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U NGUYEN\Downloads\"/>
    </mc:Choice>
  </mc:AlternateContent>
  <xr:revisionPtr revIDLastSave="0" documentId="13_ncr:1_{E4CAACFB-ACCD-4AC0-A5F4-9F23C74994B6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HTTK1" sheetId="1" r:id="rId1"/>
    <sheet name="DMTK" sheetId="2" r:id="rId2"/>
    <sheet name="CT" sheetId="3" r:id="rId3"/>
    <sheet name="CDKT" sheetId="4" r:id="rId4"/>
    <sheet name="KQKD" sheetId="5" r:id="rId5"/>
    <sheet name="LCTT" sheetId="6" r:id="rId6"/>
  </sheets>
  <externalReferences>
    <externalReference r:id="rId7"/>
    <externalReference r:id="rId8"/>
  </externalReferences>
  <definedNames>
    <definedName name="__NSO2" localSheetId="3" hidden="1">{"'Sheet1'!$L$16"}</definedName>
    <definedName name="__NSO2" hidden="1">{"'Sheet1'!$L$16"}</definedName>
    <definedName name="_Fill" localSheetId="3" hidden="1">#REF!</definedName>
    <definedName name="_Fill" hidden="1">#REF!</definedName>
    <definedName name="_xlnm._FilterDatabase" localSheetId="2" hidden="1">CT!$A$3:$I$143</definedName>
    <definedName name="_xlnm._FilterDatabase" localSheetId="1" hidden="1">DMTK!$B$4:$B$262</definedName>
    <definedName name="_Key1" localSheetId="3" hidden="1">'[1]#REF'!#REF!</definedName>
    <definedName name="_Key1" hidden="1">'[1]#REF'!#REF!</definedName>
    <definedName name="_Key2" localSheetId="3" hidden="1">'[1]#REF'!#REF!</definedName>
    <definedName name="_Key2" hidden="1">'[1]#REF'!#REF!</definedName>
    <definedName name="_NSO2" localSheetId="3" hidden="1">{"'Sheet1'!$L$16"}</definedName>
    <definedName name="_NSO2" hidden="1">{"'Sheet1'!$L$16"}</definedName>
    <definedName name="_Order1" hidden="1">0</definedName>
    <definedName name="_Order2" hidden="1">255</definedName>
    <definedName name="_Sort" localSheetId="3" hidden="1">[1]UNIT!#REF!</definedName>
    <definedName name="_Sort" hidden="1">[1]UNIT!#REF!</definedName>
    <definedName name="DMTK" hidden="1">[2]DMTK!$B$5:$Q$261</definedName>
    <definedName name="HTML_CodePage" hidden="1">950</definedName>
    <definedName name="HTML_Control" localSheetId="3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3" hidden="1">{"'Sheet1'!$L$16"}</definedName>
    <definedName name="huy" hidden="1">{"'Sheet1'!$L$16"}</definedName>
    <definedName name="wrn.chi._.tiÆt." localSheetId="3" hidden="1">{#N/A,#N/A,FALSE,"Chi tiÆt"}</definedName>
    <definedName name="wrn.chi._.tiÆt." hidden="1">{#N/A,#N/A,FALSE,"Chi tiÆt"}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D34" i="6"/>
  <c r="D33" i="6"/>
  <c r="D32" i="6"/>
  <c r="D31" i="6"/>
  <c r="D30" i="6"/>
  <c r="D29" i="6"/>
  <c r="D35" i="6" s="1"/>
  <c r="D26" i="6" l="1"/>
  <c r="D25" i="6"/>
  <c r="D24" i="6"/>
  <c r="D23" i="6"/>
  <c r="D22" i="6"/>
  <c r="D21" i="6"/>
  <c r="D20" i="6"/>
  <c r="D27" i="6" s="1"/>
  <c r="D17" i="6"/>
  <c r="D16" i="6"/>
  <c r="D15" i="6"/>
  <c r="D14" i="6"/>
  <c r="D13" i="6"/>
  <c r="D12" i="6"/>
  <c r="D11" i="6"/>
  <c r="D18" i="6" s="1"/>
  <c r="D36" i="6" s="1"/>
  <c r="D39" i="6" s="1"/>
  <c r="D25" i="5" l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5" i="2"/>
  <c r="D24" i="5"/>
  <c r="D21" i="5"/>
  <c r="D20" i="5"/>
  <c r="D18" i="5"/>
  <c r="D17" i="5"/>
  <c r="D15" i="5"/>
  <c r="D14" i="5"/>
  <c r="D10" i="5"/>
  <c r="D9" i="5"/>
  <c r="D11" i="5" s="1"/>
  <c r="D13" i="5" s="1"/>
  <c r="D19" i="5" s="1"/>
  <c r="D22" i="5" l="1"/>
  <c r="D23" i="5" s="1"/>
  <c r="E65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8" i="4"/>
  <c r="D26" i="5"/>
  <c r="J15" i="2"/>
  <c r="J16" i="2"/>
  <c r="J17" i="2"/>
  <c r="J27" i="2"/>
  <c r="J28" i="2"/>
  <c r="J29" i="2"/>
  <c r="J39" i="2"/>
  <c r="J40" i="2"/>
  <c r="J41" i="2"/>
  <c r="J51" i="2"/>
  <c r="J52" i="2"/>
  <c r="J53" i="2"/>
  <c r="J63" i="2"/>
  <c r="J64" i="2"/>
  <c r="J65" i="2"/>
  <c r="J75" i="2"/>
  <c r="J76" i="2"/>
  <c r="J77" i="2"/>
  <c r="J87" i="2"/>
  <c r="J88" i="2"/>
  <c r="J89" i="2"/>
  <c r="J93" i="2"/>
  <c r="J94" i="2"/>
  <c r="J99" i="2"/>
  <c r="J100" i="2"/>
  <c r="J101" i="2"/>
  <c r="J102" i="2"/>
  <c r="J103" i="2"/>
  <c r="J104" i="2"/>
  <c r="J111" i="2"/>
  <c r="J112" i="2"/>
  <c r="J113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8" i="2"/>
  <c r="J209" i="2"/>
  <c r="J220" i="2"/>
  <c r="J221" i="2"/>
  <c r="J232" i="2"/>
  <c r="J233" i="2"/>
  <c r="J244" i="2"/>
  <c r="J245" i="2"/>
  <c r="J252" i="2"/>
  <c r="J256" i="2"/>
  <c r="J257" i="2"/>
  <c r="J258" i="2"/>
  <c r="J259" i="2"/>
  <c r="J260" i="2"/>
  <c r="J261" i="2"/>
  <c r="J6" i="2"/>
  <c r="J7" i="2"/>
  <c r="J8" i="2"/>
  <c r="J9" i="2"/>
  <c r="J10" i="2"/>
  <c r="J11" i="2"/>
  <c r="J12" i="2"/>
  <c r="J13" i="2"/>
  <c r="J14" i="2"/>
  <c r="J18" i="2"/>
  <c r="J19" i="2"/>
  <c r="J20" i="2"/>
  <c r="J21" i="2"/>
  <c r="J22" i="2"/>
  <c r="J23" i="2"/>
  <c r="J24" i="2"/>
  <c r="J25" i="2"/>
  <c r="J26" i="2"/>
  <c r="J30" i="2"/>
  <c r="J31" i="2"/>
  <c r="J32" i="2"/>
  <c r="J33" i="2"/>
  <c r="J34" i="2"/>
  <c r="J35" i="2"/>
  <c r="J36" i="2"/>
  <c r="J37" i="2"/>
  <c r="J38" i="2"/>
  <c r="J42" i="2"/>
  <c r="J43" i="2"/>
  <c r="J44" i="2"/>
  <c r="J45" i="2"/>
  <c r="J46" i="2"/>
  <c r="J47" i="2"/>
  <c r="J48" i="2"/>
  <c r="J49" i="2"/>
  <c r="J50" i="2"/>
  <c r="J54" i="2"/>
  <c r="J55" i="2"/>
  <c r="J56" i="2"/>
  <c r="J57" i="2"/>
  <c r="J58" i="2"/>
  <c r="J59" i="2"/>
  <c r="J60" i="2"/>
  <c r="J61" i="2"/>
  <c r="J62" i="2"/>
  <c r="J66" i="2"/>
  <c r="J67" i="2"/>
  <c r="J68" i="2"/>
  <c r="J69" i="2"/>
  <c r="J70" i="2"/>
  <c r="J71" i="2"/>
  <c r="J72" i="2"/>
  <c r="J73" i="2"/>
  <c r="J74" i="2"/>
  <c r="J78" i="2"/>
  <c r="J79" i="2"/>
  <c r="J80" i="2"/>
  <c r="J81" i="2"/>
  <c r="J82" i="2"/>
  <c r="J83" i="2"/>
  <c r="J84" i="2"/>
  <c r="J85" i="2"/>
  <c r="J86" i="2"/>
  <c r="J90" i="2"/>
  <c r="J91" i="2"/>
  <c r="J92" i="2"/>
  <c r="J95" i="2"/>
  <c r="J96" i="2"/>
  <c r="J97" i="2"/>
  <c r="J98" i="2"/>
  <c r="J105" i="2"/>
  <c r="J106" i="2"/>
  <c r="J107" i="2"/>
  <c r="J108" i="2"/>
  <c r="J109" i="2"/>
  <c r="J110" i="2"/>
  <c r="J114" i="2"/>
  <c r="J115" i="2"/>
  <c r="J186" i="2"/>
  <c r="J202" i="2"/>
  <c r="J203" i="2"/>
  <c r="J204" i="2"/>
  <c r="J205" i="2"/>
  <c r="J206" i="2"/>
  <c r="J207" i="2"/>
  <c r="J210" i="2"/>
  <c r="J211" i="2"/>
  <c r="J212" i="2"/>
  <c r="J213" i="2"/>
  <c r="J214" i="2"/>
  <c r="J215" i="2"/>
  <c r="J216" i="2"/>
  <c r="J217" i="2"/>
  <c r="J218" i="2"/>
  <c r="J219" i="2"/>
  <c r="J222" i="2"/>
  <c r="J223" i="2"/>
  <c r="J224" i="2"/>
  <c r="J225" i="2"/>
  <c r="J226" i="2"/>
  <c r="J227" i="2"/>
  <c r="J228" i="2"/>
  <c r="J229" i="2"/>
  <c r="J230" i="2"/>
  <c r="J231" i="2"/>
  <c r="J234" i="2"/>
  <c r="J235" i="2"/>
  <c r="J236" i="2"/>
  <c r="J237" i="2"/>
  <c r="J238" i="2"/>
  <c r="J239" i="2"/>
  <c r="J240" i="2"/>
  <c r="J241" i="2"/>
  <c r="J242" i="2"/>
  <c r="J243" i="2"/>
  <c r="J246" i="2"/>
  <c r="J247" i="2"/>
  <c r="J248" i="2"/>
  <c r="J249" i="2"/>
  <c r="J250" i="2"/>
  <c r="J251" i="2"/>
  <c r="J253" i="2"/>
  <c r="J254" i="2"/>
  <c r="J255" i="2"/>
  <c r="J5" i="2"/>
  <c r="P5" i="2" l="1"/>
  <c r="O5" i="2"/>
  <c r="P255" i="2"/>
  <c r="O255" i="2"/>
  <c r="P254" i="2"/>
  <c r="O254" i="2"/>
  <c r="P253" i="2"/>
  <c r="O253" i="2"/>
  <c r="P251" i="2"/>
  <c r="O251" i="2"/>
  <c r="P250" i="2"/>
  <c r="O250" i="2"/>
  <c r="P249" i="2"/>
  <c r="O249" i="2"/>
  <c r="P248" i="2"/>
  <c r="O248" i="2"/>
  <c r="P247" i="2"/>
  <c r="O247" i="2"/>
  <c r="P246" i="2"/>
  <c r="O246" i="2"/>
  <c r="P243" i="2"/>
  <c r="O243" i="2"/>
  <c r="P242" i="2"/>
  <c r="O242" i="2"/>
  <c r="P241" i="2"/>
  <c r="O241" i="2"/>
  <c r="P240" i="2"/>
  <c r="O240" i="2"/>
  <c r="P239" i="2"/>
  <c r="O239" i="2"/>
  <c r="P238" i="2"/>
  <c r="O238" i="2"/>
  <c r="P237" i="2"/>
  <c r="O237" i="2"/>
  <c r="P236" i="2"/>
  <c r="O236" i="2"/>
  <c r="P235" i="2"/>
  <c r="O235" i="2"/>
  <c r="P234" i="2"/>
  <c r="O234" i="2"/>
  <c r="P231" i="2"/>
  <c r="O231" i="2"/>
  <c r="P230" i="2"/>
  <c r="O230" i="2"/>
  <c r="P229" i="2"/>
  <c r="O229" i="2"/>
  <c r="P228" i="2"/>
  <c r="O228" i="2"/>
  <c r="P227" i="2"/>
  <c r="O227" i="2"/>
  <c r="P226" i="2"/>
  <c r="O226" i="2"/>
  <c r="P225" i="2"/>
  <c r="O225" i="2"/>
  <c r="P224" i="2"/>
  <c r="O224" i="2"/>
  <c r="P223" i="2"/>
  <c r="O223" i="2"/>
  <c r="P222" i="2"/>
  <c r="O222" i="2"/>
  <c r="P219" i="2"/>
  <c r="O219" i="2"/>
  <c r="P218" i="2"/>
  <c r="O218" i="2"/>
  <c r="P217" i="2"/>
  <c r="O217" i="2"/>
  <c r="P216" i="2"/>
  <c r="O216" i="2"/>
  <c r="P215" i="2"/>
  <c r="O215" i="2"/>
  <c r="P214" i="2"/>
  <c r="O214" i="2"/>
  <c r="P213" i="2"/>
  <c r="O213" i="2"/>
  <c r="P212" i="2"/>
  <c r="O212" i="2"/>
  <c r="P211" i="2"/>
  <c r="O211" i="2"/>
  <c r="P210" i="2"/>
  <c r="O210" i="2"/>
  <c r="P207" i="2"/>
  <c r="O207" i="2"/>
  <c r="P206" i="2"/>
  <c r="O206" i="2"/>
  <c r="P205" i="2"/>
  <c r="O205" i="2"/>
  <c r="P204" i="2"/>
  <c r="O204" i="2"/>
  <c r="P203" i="2"/>
  <c r="O203" i="2"/>
  <c r="P202" i="2"/>
  <c r="O202" i="2"/>
  <c r="P186" i="2"/>
  <c r="O186" i="2"/>
  <c r="P115" i="2"/>
  <c r="O115" i="2"/>
  <c r="P114" i="2"/>
  <c r="O114" i="2"/>
  <c r="P110" i="2"/>
  <c r="O110" i="2"/>
  <c r="P109" i="2"/>
  <c r="O109" i="2"/>
  <c r="P108" i="2"/>
  <c r="O108" i="2"/>
  <c r="P107" i="2"/>
  <c r="O107" i="2"/>
  <c r="P106" i="2"/>
  <c r="O106" i="2"/>
  <c r="P105" i="2"/>
  <c r="O105" i="2"/>
  <c r="P98" i="2"/>
  <c r="O98" i="2"/>
  <c r="P97" i="2"/>
  <c r="O97" i="2"/>
  <c r="P96" i="2"/>
  <c r="O96" i="2"/>
  <c r="P95" i="2"/>
  <c r="O95" i="2"/>
  <c r="P92" i="2"/>
  <c r="O92" i="2"/>
  <c r="P91" i="2"/>
  <c r="O91" i="2"/>
  <c r="P90" i="2"/>
  <c r="O90" i="2"/>
  <c r="P86" i="2"/>
  <c r="O86" i="2"/>
  <c r="P85" i="2"/>
  <c r="O85" i="2"/>
  <c r="P84" i="2"/>
  <c r="O84" i="2"/>
  <c r="P83" i="2"/>
  <c r="O83" i="2"/>
  <c r="P82" i="2"/>
  <c r="O82" i="2"/>
  <c r="P81" i="2"/>
  <c r="O81" i="2"/>
  <c r="P80" i="2"/>
  <c r="O80" i="2"/>
  <c r="P79" i="2"/>
  <c r="O79" i="2"/>
  <c r="P78" i="2"/>
  <c r="O78" i="2"/>
  <c r="P74" i="2"/>
  <c r="O74" i="2"/>
  <c r="P73" i="2"/>
  <c r="O73" i="2"/>
  <c r="P72" i="2"/>
  <c r="O72" i="2"/>
  <c r="P71" i="2"/>
  <c r="O71" i="2"/>
  <c r="P70" i="2"/>
  <c r="O70" i="2"/>
  <c r="P69" i="2"/>
  <c r="O69" i="2"/>
  <c r="P68" i="2"/>
  <c r="O68" i="2"/>
  <c r="P67" i="2"/>
  <c r="O67" i="2"/>
  <c r="P66" i="2"/>
  <c r="O66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261" i="2"/>
  <c r="O261" i="2"/>
  <c r="P260" i="2"/>
  <c r="O260" i="2"/>
  <c r="P259" i="2"/>
  <c r="O259" i="2"/>
  <c r="P258" i="2"/>
  <c r="O258" i="2"/>
  <c r="P257" i="2"/>
  <c r="O257" i="2"/>
  <c r="P256" i="2"/>
  <c r="O256" i="2"/>
  <c r="P252" i="2"/>
  <c r="O252" i="2"/>
  <c r="P245" i="2"/>
  <c r="O245" i="2"/>
  <c r="P244" i="2"/>
  <c r="O244" i="2"/>
  <c r="P233" i="2"/>
  <c r="O233" i="2"/>
  <c r="P232" i="2"/>
  <c r="O232" i="2"/>
  <c r="P221" i="2"/>
  <c r="O221" i="2"/>
  <c r="P220" i="2"/>
  <c r="O220" i="2"/>
  <c r="P209" i="2"/>
  <c r="O209" i="2"/>
  <c r="P208" i="2"/>
  <c r="O208" i="2"/>
  <c r="P201" i="2"/>
  <c r="O201" i="2"/>
  <c r="P200" i="2"/>
  <c r="O200" i="2"/>
  <c r="P199" i="2"/>
  <c r="O199" i="2"/>
  <c r="P198" i="2"/>
  <c r="O198" i="2"/>
  <c r="P197" i="2"/>
  <c r="O197" i="2"/>
  <c r="P196" i="2"/>
  <c r="O196" i="2"/>
  <c r="P195" i="2"/>
  <c r="O195" i="2"/>
  <c r="P194" i="2"/>
  <c r="O194" i="2"/>
  <c r="P193" i="2"/>
  <c r="O193" i="2"/>
  <c r="P192" i="2"/>
  <c r="O192" i="2"/>
  <c r="P191" i="2"/>
  <c r="O191" i="2"/>
  <c r="P190" i="2"/>
  <c r="O190" i="2"/>
  <c r="P189" i="2"/>
  <c r="O189" i="2"/>
  <c r="P188" i="2"/>
  <c r="O188" i="2"/>
  <c r="P187" i="2"/>
  <c r="O187" i="2"/>
  <c r="P185" i="2"/>
  <c r="O185" i="2"/>
  <c r="P184" i="2"/>
  <c r="O184" i="2"/>
  <c r="P183" i="2"/>
  <c r="O183" i="2"/>
  <c r="P182" i="2"/>
  <c r="O182" i="2"/>
  <c r="P181" i="2"/>
  <c r="O181" i="2"/>
  <c r="P180" i="2"/>
  <c r="O180" i="2"/>
  <c r="P179" i="2"/>
  <c r="O179" i="2"/>
  <c r="P178" i="2"/>
  <c r="O178" i="2"/>
  <c r="P177" i="2"/>
  <c r="O177" i="2"/>
  <c r="P176" i="2"/>
  <c r="O176" i="2"/>
  <c r="P175" i="2"/>
  <c r="O175" i="2"/>
  <c r="P174" i="2"/>
  <c r="O174" i="2"/>
  <c r="P173" i="2"/>
  <c r="O173" i="2"/>
  <c r="P172" i="2"/>
  <c r="O172" i="2"/>
  <c r="P171" i="2"/>
  <c r="O171" i="2"/>
  <c r="P170" i="2"/>
  <c r="O170" i="2"/>
  <c r="P169" i="2"/>
  <c r="O169" i="2"/>
  <c r="P168" i="2"/>
  <c r="O168" i="2"/>
  <c r="P167" i="2"/>
  <c r="O167" i="2"/>
  <c r="P166" i="2"/>
  <c r="O166" i="2"/>
  <c r="P165" i="2"/>
  <c r="O165" i="2"/>
  <c r="P164" i="2"/>
  <c r="O164" i="2"/>
  <c r="P163" i="2"/>
  <c r="O163" i="2"/>
  <c r="P162" i="2"/>
  <c r="O162" i="2"/>
  <c r="P161" i="2"/>
  <c r="O161" i="2"/>
  <c r="P160" i="2"/>
  <c r="O160" i="2"/>
  <c r="P159" i="2"/>
  <c r="O159" i="2"/>
  <c r="P158" i="2"/>
  <c r="O158" i="2"/>
  <c r="P157" i="2"/>
  <c r="O157" i="2"/>
  <c r="P156" i="2"/>
  <c r="O156" i="2"/>
  <c r="P155" i="2"/>
  <c r="O155" i="2"/>
  <c r="P154" i="2"/>
  <c r="O154" i="2"/>
  <c r="P153" i="2"/>
  <c r="O153" i="2"/>
  <c r="P152" i="2"/>
  <c r="O152" i="2"/>
  <c r="P151" i="2"/>
  <c r="O151" i="2"/>
  <c r="P150" i="2"/>
  <c r="O150" i="2"/>
  <c r="P149" i="2"/>
  <c r="O149" i="2"/>
  <c r="P148" i="2"/>
  <c r="O148" i="2"/>
  <c r="P147" i="2"/>
  <c r="O147" i="2"/>
  <c r="P146" i="2"/>
  <c r="O146" i="2"/>
  <c r="P145" i="2"/>
  <c r="O145" i="2"/>
  <c r="P144" i="2"/>
  <c r="O144" i="2"/>
  <c r="P143" i="2"/>
  <c r="O143" i="2"/>
  <c r="P142" i="2"/>
  <c r="O142" i="2"/>
  <c r="P141" i="2"/>
  <c r="O141" i="2"/>
  <c r="P140" i="2"/>
  <c r="O140" i="2"/>
  <c r="P139" i="2"/>
  <c r="O139" i="2"/>
  <c r="P138" i="2"/>
  <c r="O138" i="2"/>
  <c r="P137" i="2"/>
  <c r="O137" i="2"/>
  <c r="P136" i="2"/>
  <c r="O136" i="2"/>
  <c r="P135" i="2"/>
  <c r="O135" i="2"/>
  <c r="P134" i="2"/>
  <c r="O134" i="2"/>
  <c r="P133" i="2"/>
  <c r="O133" i="2"/>
  <c r="P132" i="2"/>
  <c r="O132" i="2"/>
  <c r="P131" i="2"/>
  <c r="O131" i="2"/>
  <c r="P130" i="2"/>
  <c r="O130" i="2"/>
  <c r="P129" i="2"/>
  <c r="O129" i="2"/>
  <c r="P128" i="2"/>
  <c r="O128" i="2"/>
  <c r="P127" i="2"/>
  <c r="O127" i="2"/>
  <c r="P126" i="2"/>
  <c r="O126" i="2"/>
  <c r="P125" i="2"/>
  <c r="O125" i="2"/>
  <c r="P124" i="2"/>
  <c r="O124" i="2"/>
  <c r="P123" i="2"/>
  <c r="O123" i="2"/>
  <c r="P122" i="2"/>
  <c r="O122" i="2"/>
  <c r="P121" i="2"/>
  <c r="O121" i="2"/>
  <c r="P120" i="2"/>
  <c r="O120" i="2"/>
  <c r="P119" i="2"/>
  <c r="O119" i="2"/>
  <c r="P118" i="2"/>
  <c r="O118" i="2"/>
  <c r="P117" i="2"/>
  <c r="O117" i="2"/>
  <c r="P116" i="2"/>
  <c r="O116" i="2"/>
  <c r="P113" i="2"/>
  <c r="O113" i="2"/>
  <c r="P112" i="2"/>
  <c r="O112" i="2"/>
  <c r="P111" i="2"/>
  <c r="O111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4" i="2"/>
  <c r="O94" i="2"/>
  <c r="P93" i="2"/>
  <c r="O93" i="2"/>
  <c r="P89" i="2"/>
  <c r="O89" i="2"/>
  <c r="P88" i="2"/>
  <c r="O88" i="2"/>
  <c r="P87" i="2"/>
  <c r="O87" i="2"/>
  <c r="P77" i="2"/>
  <c r="O77" i="2"/>
  <c r="P76" i="2"/>
  <c r="O76" i="2"/>
  <c r="P75" i="2"/>
  <c r="O75" i="2"/>
  <c r="P65" i="2"/>
  <c r="O65" i="2"/>
  <c r="P64" i="2"/>
  <c r="O64" i="2"/>
  <c r="P63" i="2"/>
  <c r="O63" i="2"/>
  <c r="P53" i="2"/>
  <c r="O53" i="2"/>
  <c r="P52" i="2"/>
  <c r="O52" i="2"/>
  <c r="P51" i="2"/>
  <c r="O51" i="2"/>
  <c r="P41" i="2"/>
  <c r="O41" i="2"/>
  <c r="P40" i="2"/>
  <c r="O40" i="2"/>
  <c r="P39" i="2"/>
  <c r="O39" i="2"/>
  <c r="P29" i="2"/>
  <c r="O29" i="2"/>
  <c r="P28" i="2"/>
  <c r="O28" i="2"/>
  <c r="P27" i="2"/>
  <c r="O27" i="2"/>
  <c r="P17" i="2"/>
  <c r="O17" i="2"/>
  <c r="P16" i="2"/>
  <c r="O16" i="2"/>
  <c r="P15" i="2"/>
  <c r="O15" i="2"/>
  <c r="D74" i="4" l="1"/>
  <c r="D75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2" i="4"/>
  <c r="D73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8" i="4"/>
  <c r="D70" i="4" s="1"/>
  <c r="H145" i="3"/>
  <c r="D71" i="4" l="1"/>
  <c r="F71" i="4" s="1"/>
  <c r="F81" i="1"/>
  <c r="E81" i="1"/>
</calcChain>
</file>

<file path=xl/sharedStrings.xml><?xml version="1.0" encoding="utf-8"?>
<sst xmlns="http://schemas.openxmlformats.org/spreadsheetml/2006/main" count="2482" uniqueCount="1096">
  <si>
    <t>HỆ THỐNG TÀI KHOẢN CẤP 1</t>
  </si>
  <si>
    <t>TK</t>
  </si>
  <si>
    <t>Loại TK</t>
  </si>
  <si>
    <t>TÊN TK</t>
  </si>
  <si>
    <t>SDDK1</t>
  </si>
  <si>
    <t>DKNO1</t>
  </si>
  <si>
    <t>DKCO1</t>
  </si>
  <si>
    <t>111</t>
  </si>
  <si>
    <t>N</t>
  </si>
  <si>
    <t>Tiền Mặt</t>
  </si>
  <si>
    <t>112</t>
  </si>
  <si>
    <t>Tiền gửi Ngân Hàng</t>
  </si>
  <si>
    <t>113</t>
  </si>
  <si>
    <t>Tiền đang chuyển</t>
  </si>
  <si>
    <t>121</t>
  </si>
  <si>
    <t>Chứng khoán kinh doanh</t>
  </si>
  <si>
    <t>128</t>
  </si>
  <si>
    <t xml:space="preserve">Đầu tư nắm giữ đến ngày đáo hạn </t>
  </si>
  <si>
    <t>131</t>
  </si>
  <si>
    <t>Phải thu của khách hàng</t>
  </si>
  <si>
    <t>133</t>
  </si>
  <si>
    <t>Thuế GTGT được khấu trừ</t>
  </si>
  <si>
    <t>136</t>
  </si>
  <si>
    <t>Phải thu nội bộ</t>
  </si>
  <si>
    <t>138</t>
  </si>
  <si>
    <t>Phải thu khác</t>
  </si>
  <si>
    <t>141</t>
  </si>
  <si>
    <t>Tạm ứng</t>
  </si>
  <si>
    <t>151</t>
  </si>
  <si>
    <t>Hàng mua đang đi đường</t>
  </si>
  <si>
    <t>152</t>
  </si>
  <si>
    <t>Nguyên liệu, vật liệu</t>
  </si>
  <si>
    <t>153</t>
  </si>
  <si>
    <t>Công cụ, dụng cụ</t>
  </si>
  <si>
    <t>154</t>
  </si>
  <si>
    <t>Chi phí sản xuất, kinh doanh dở dang</t>
  </si>
  <si>
    <t>155</t>
  </si>
  <si>
    <t>Thành phẩm</t>
  </si>
  <si>
    <t>156</t>
  </si>
  <si>
    <t>Hàng hóa</t>
  </si>
  <si>
    <t>157</t>
  </si>
  <si>
    <t>Hàng gửi đi bán</t>
  </si>
  <si>
    <t>158</t>
  </si>
  <si>
    <t>Hàng hóa kho bảo thuế</t>
  </si>
  <si>
    <t>161</t>
  </si>
  <si>
    <t>Chi sự nghiệp</t>
  </si>
  <si>
    <t>171</t>
  </si>
  <si>
    <t>Giao dịch mua bán lại trái phiếu chính phủ</t>
  </si>
  <si>
    <t>211</t>
  </si>
  <si>
    <t>Tài sản cố định hữu hình</t>
  </si>
  <si>
    <t>212</t>
  </si>
  <si>
    <t>Tài sản cố định thuê tài chính</t>
  </si>
  <si>
    <t>213</t>
  </si>
  <si>
    <t>Tài sản cố định vô hình</t>
  </si>
  <si>
    <t>214</t>
  </si>
  <si>
    <t>C</t>
  </si>
  <si>
    <t>Hao mòn tài sản cố định</t>
  </si>
  <si>
    <t>217</t>
  </si>
  <si>
    <t>Bất động sản đầu tư</t>
  </si>
  <si>
    <t>221</t>
  </si>
  <si>
    <t>Đầu tư vào công ty con</t>
  </si>
  <si>
    <t>222</t>
  </si>
  <si>
    <t>Đầu tư vào công ty liên doanh, liên kết</t>
  </si>
  <si>
    <t>228</t>
  </si>
  <si>
    <t>Đầu tư khác</t>
  </si>
  <si>
    <t>229</t>
  </si>
  <si>
    <t>Dự phòng tổn thất tài sản</t>
  </si>
  <si>
    <t>241</t>
  </si>
  <si>
    <t xml:space="preserve">Xây dựng cơ bản dở dang </t>
  </si>
  <si>
    <t>242</t>
  </si>
  <si>
    <t>Chi phí trả trước</t>
  </si>
  <si>
    <t>243</t>
  </si>
  <si>
    <t>Tài sản thuế thu nhập hoãn lại</t>
  </si>
  <si>
    <t>244</t>
  </si>
  <si>
    <t>Cầm cố, thế chấp, ký quỹ, ký cược</t>
  </si>
  <si>
    <t>331</t>
  </si>
  <si>
    <t>Phải trả cho người bán</t>
  </si>
  <si>
    <t>333</t>
  </si>
  <si>
    <t>Thuế và các khoản phải nộp Nhà nước</t>
  </si>
  <si>
    <t>334</t>
  </si>
  <si>
    <t>Phải trả người lao động</t>
  </si>
  <si>
    <t>335</t>
  </si>
  <si>
    <t>Chi phí phải trả</t>
  </si>
  <si>
    <t>336</t>
  </si>
  <si>
    <t>Phải trả nội bộ</t>
  </si>
  <si>
    <t>337</t>
  </si>
  <si>
    <t>Thanh toán theo tiến độ kế hoạch hợp đồng xây dựng</t>
  </si>
  <si>
    <t>338</t>
  </si>
  <si>
    <t>Phải trả, phải nộp khác</t>
  </si>
  <si>
    <t>341</t>
  </si>
  <si>
    <t>Vay và nợ thuê tài chính</t>
  </si>
  <si>
    <t>343</t>
  </si>
  <si>
    <t>Trái phiếu phát hành</t>
  </si>
  <si>
    <t>344</t>
  </si>
  <si>
    <t xml:space="preserve">Nhận ký quỹ, ký cược </t>
  </si>
  <si>
    <t>347</t>
  </si>
  <si>
    <t>Thuế thu nhập hoãn lại phải trả</t>
  </si>
  <si>
    <t>352</t>
  </si>
  <si>
    <t>Dự phòng phải trả</t>
  </si>
  <si>
    <t>353</t>
  </si>
  <si>
    <t>Quỹ khen thưởng phúc lợi</t>
  </si>
  <si>
    <t>356</t>
  </si>
  <si>
    <t>Quỹ phát triển khoa học và công nghệ</t>
  </si>
  <si>
    <t>357</t>
  </si>
  <si>
    <t>Quỹ bình ổn giá</t>
  </si>
  <si>
    <t>411</t>
  </si>
  <si>
    <t>Vốn đầu tư của chủ sở hữu</t>
  </si>
  <si>
    <t>412</t>
  </si>
  <si>
    <t>Chênh lệch đánh giá lại tài sản</t>
  </si>
  <si>
    <t>413</t>
  </si>
  <si>
    <t>Chênh lệch tỷ giá hối đoái</t>
  </si>
  <si>
    <t>414</t>
  </si>
  <si>
    <t>Qũy đầu tư phát triển</t>
  </si>
  <si>
    <t>417</t>
  </si>
  <si>
    <t>Quỹ hỗ trợ sắp xếp doanh nghiệp</t>
  </si>
  <si>
    <t>418</t>
  </si>
  <si>
    <t>Các quỹ khác thuộc vốn chủ sở hữu</t>
  </si>
  <si>
    <t>419</t>
  </si>
  <si>
    <t>Cổ phiếu quỹ</t>
  </si>
  <si>
    <t>421</t>
  </si>
  <si>
    <t>Lợi nhuận sau thuế chưa phân phối</t>
  </si>
  <si>
    <t>441</t>
  </si>
  <si>
    <t>Nguồn vốn đầu tư xây dựng cơ bản</t>
  </si>
  <si>
    <t>461</t>
  </si>
  <si>
    <t>Nguồn kinh phí sự nghiêp</t>
  </si>
  <si>
    <t>466</t>
  </si>
  <si>
    <t>Nguồn kinh phí đã hình thành TSCĐ</t>
  </si>
  <si>
    <t>511</t>
  </si>
  <si>
    <t>Doanh thu bán hàng và cung cấp dịch vụ</t>
  </si>
  <si>
    <t>515</t>
  </si>
  <si>
    <t xml:space="preserve">Doanh thu hoạt động tài chính </t>
  </si>
  <si>
    <t>521</t>
  </si>
  <si>
    <t>Các khoản giảm trừ doanh thu</t>
  </si>
  <si>
    <t>611</t>
  </si>
  <si>
    <t>Mua hàng</t>
  </si>
  <si>
    <t>621</t>
  </si>
  <si>
    <t>Chi phí nguyên liệu, vật liệu trực tiếp</t>
  </si>
  <si>
    <t>622</t>
  </si>
  <si>
    <t>Chi phí nhân công trực tiếp</t>
  </si>
  <si>
    <t>623</t>
  </si>
  <si>
    <t>Chi phí sử dụng máy thi công</t>
  </si>
  <si>
    <t>627</t>
  </si>
  <si>
    <t>Chi phí sản xuất chung</t>
  </si>
  <si>
    <t>631</t>
  </si>
  <si>
    <t>Giá thành sản xuất</t>
  </si>
  <si>
    <t>632</t>
  </si>
  <si>
    <t>Giá vốn hàng bán</t>
  </si>
  <si>
    <t>635</t>
  </si>
  <si>
    <t>Chi phí tài chính</t>
  </si>
  <si>
    <t>641</t>
  </si>
  <si>
    <t>Chi phí bán hàng</t>
  </si>
  <si>
    <t>642</t>
  </si>
  <si>
    <t>Chi phí quản lý doanh nghiệp</t>
  </si>
  <si>
    <t>711</t>
  </si>
  <si>
    <t>Thu nhập khác</t>
  </si>
  <si>
    <t>811</t>
  </si>
  <si>
    <t>Chi phí khác</t>
  </si>
  <si>
    <t>821</t>
  </si>
  <si>
    <t>Chi phí thuế thu nhập doanh nghiệp</t>
  </si>
  <si>
    <t>911</t>
  </si>
  <si>
    <t>Xác định kết quả kinh doanh</t>
  </si>
  <si>
    <t>BẢNG DANH MỤC TÀI KHOẢN</t>
  </si>
  <si>
    <t>MÃ TS-NV</t>
  </si>
  <si>
    <t>SHTK</t>
  </si>
  <si>
    <t>TỒN DK</t>
  </si>
  <si>
    <t>SDD</t>
  </si>
  <si>
    <t>PSNO</t>
  </si>
  <si>
    <t>PSCO</t>
  </si>
  <si>
    <t>TỒN CK</t>
  </si>
  <si>
    <t>SDC</t>
  </si>
  <si>
    <t>DDNO</t>
  </si>
  <si>
    <t>DDCO</t>
  </si>
  <si>
    <t>MaTSNVDN</t>
  </si>
  <si>
    <t>SODN</t>
  </si>
  <si>
    <t>MaTSNVCK</t>
  </si>
  <si>
    <t>SOCK</t>
  </si>
  <si>
    <t>ĐVT</t>
  </si>
  <si>
    <t>100.110.111</t>
  </si>
  <si>
    <t>1111</t>
  </si>
  <si>
    <t>Tiền Việt Nam</t>
  </si>
  <si>
    <t>1112</t>
  </si>
  <si>
    <t>Ngoại tệ</t>
  </si>
  <si>
    <t>1113</t>
  </si>
  <si>
    <t>Vàng tiền tệ</t>
  </si>
  <si>
    <t>1121.01</t>
  </si>
  <si>
    <t>Tiền Việt Nam NH Ngoại Thương</t>
  </si>
  <si>
    <t>1121.02</t>
  </si>
  <si>
    <t>Tiền Việt Nam NH Đông Á</t>
  </si>
  <si>
    <t>1121.03</t>
  </si>
  <si>
    <t>Tiền Việt Nam NH Á Châu</t>
  </si>
  <si>
    <t>1122</t>
  </si>
  <si>
    <t>1123</t>
  </si>
  <si>
    <t>1131</t>
  </si>
  <si>
    <t>1132</t>
  </si>
  <si>
    <t>100.120.121</t>
  </si>
  <si>
    <t>1211</t>
  </si>
  <si>
    <t xml:space="preserve">Cổ phiếu </t>
  </si>
  <si>
    <t>1212</t>
  </si>
  <si>
    <t>Trái phiếu</t>
  </si>
  <si>
    <t>100.110.112</t>
  </si>
  <si>
    <t>12811</t>
  </si>
  <si>
    <t>Tiền gửi có kỳ hạn (không quá 3 tháng)</t>
  </si>
  <si>
    <t>100.120.123</t>
  </si>
  <si>
    <t>12812</t>
  </si>
  <si>
    <t>Tiền gửi có kỳ hạn (không quá 12 tháng)</t>
  </si>
  <si>
    <t>100.130.135</t>
  </si>
  <si>
    <t>12831</t>
  </si>
  <si>
    <t>Cho vay (không quá 12 tháng)</t>
  </si>
  <si>
    <t>200.210.215</t>
  </si>
  <si>
    <t>12832</t>
  </si>
  <si>
    <t>Cho vay (trên 12 tháng)</t>
  </si>
  <si>
    <t>12881</t>
  </si>
  <si>
    <t>Các khoản đầu tư khác nắm giữ đến ngày đáo hạn</t>
  </si>
  <si>
    <t>12882</t>
  </si>
  <si>
    <t>Các khoản đầu tư khác nắm giữ đến ngày đáo hạn (không quá 12 tháng)</t>
  </si>
  <si>
    <t>100.130.131</t>
  </si>
  <si>
    <t>1311.01</t>
  </si>
  <si>
    <t>Công ty Quang Minh (ngắn hạn)</t>
  </si>
  <si>
    <t>1311.02</t>
  </si>
  <si>
    <t>Cty TNHH TMDV Mai Anh (ngắn hạn)</t>
  </si>
  <si>
    <t>1311.03</t>
  </si>
  <si>
    <t>Cty TNHH Phương Nam (ngắn hạn)</t>
  </si>
  <si>
    <t>1311.04</t>
  </si>
  <si>
    <t>Cty TNHH Kim Tín (ngắn hạn)</t>
  </si>
  <si>
    <t>1311.05</t>
  </si>
  <si>
    <t>Cty TNHH Nam Việt (ngắn hạn)</t>
  </si>
  <si>
    <t>1311.06</t>
  </si>
  <si>
    <t>Cty XNK Vật Tư (ngắn hạn)</t>
  </si>
  <si>
    <t>100.150.152</t>
  </si>
  <si>
    <t>1331</t>
  </si>
  <si>
    <t>Thuế GTGT được khấu trừ của hàng hóa, dịch vụ</t>
  </si>
  <si>
    <t>1332</t>
  </si>
  <si>
    <t>Thuế GTGT được khấu trừ của TSCĐ</t>
  </si>
  <si>
    <t>200.210.213</t>
  </si>
  <si>
    <t>1361</t>
  </si>
  <si>
    <t>Vốn kinh doanh ở các đơn vị trực thuộc</t>
  </si>
  <si>
    <t>100.130.133</t>
  </si>
  <si>
    <t>13621</t>
  </si>
  <si>
    <t>Phải thu nội bộ về chênh lệch tỷ giá (không quá 12 tháng)</t>
  </si>
  <si>
    <t>200.210.214</t>
  </si>
  <si>
    <t>13622</t>
  </si>
  <si>
    <t>Phải thu nội bộ về chênh lệch tỷ giá (trên 12 tháng)</t>
  </si>
  <si>
    <t>13631</t>
  </si>
  <si>
    <t>Phải thu nội bộ về chi phí đi vay đủ điều kiện được vốn hóa (không quá 12 tháng)</t>
  </si>
  <si>
    <t>13632</t>
  </si>
  <si>
    <t>Phải thu nội bộ về chi phí đi vay đủ điều kiện được vốn hóa (trên 12 tháng)</t>
  </si>
  <si>
    <t>13681</t>
  </si>
  <si>
    <t>Phải thu nội bộ khác (không quá 12 tháng)</t>
  </si>
  <si>
    <t>13682</t>
  </si>
  <si>
    <t>Phải thu nội bộ khác (trên 12 tháng)</t>
  </si>
  <si>
    <t>100.130.139</t>
  </si>
  <si>
    <t>1381</t>
  </si>
  <si>
    <t>Tài sản thiếu chờ xử lý</t>
  </si>
  <si>
    <t>100.130.136</t>
  </si>
  <si>
    <t>13851</t>
  </si>
  <si>
    <t>Phải thu về cổ phần hóa (không quá 12 tháng)</t>
  </si>
  <si>
    <t>200.210.216</t>
  </si>
  <si>
    <t>13852</t>
  </si>
  <si>
    <t>Phải thu về cổ phần hóa</t>
  </si>
  <si>
    <t>13881</t>
  </si>
  <si>
    <t>Phải thu khác (không quá 12 tháng)</t>
  </si>
  <si>
    <t>13882</t>
  </si>
  <si>
    <t>Phải thu khác (trên 12 tháng)</t>
  </si>
  <si>
    <t>141.0101</t>
  </si>
  <si>
    <t>Vương Thiện Minh</t>
  </si>
  <si>
    <t>141.0102</t>
  </si>
  <si>
    <t>Hồ Sĩ Nhật</t>
  </si>
  <si>
    <t>141.0103</t>
  </si>
  <si>
    <t>Phạm Minh Duy</t>
  </si>
  <si>
    <t>141.0201</t>
  </si>
  <si>
    <t>Đoàn Trâm Anh</t>
  </si>
  <si>
    <t>141.0202</t>
  </si>
  <si>
    <t>Nguyễn Hoài Nam</t>
  </si>
  <si>
    <t>100.140.141</t>
  </si>
  <si>
    <t>Hàng hóa đang đi đường</t>
  </si>
  <si>
    <t>1521.0101</t>
  </si>
  <si>
    <t>Gỗ cao su</t>
  </si>
  <si>
    <t>1521.0102</t>
  </si>
  <si>
    <t>Gỗ tràm bông vàng</t>
  </si>
  <si>
    <t>1521.0103</t>
  </si>
  <si>
    <t>Gỗ thông</t>
  </si>
  <si>
    <t>1521.0201</t>
  </si>
  <si>
    <t>Ván MDF 9x6x8</t>
  </si>
  <si>
    <t>1521.0202</t>
  </si>
  <si>
    <t>Ván MDF 9x4x8</t>
  </si>
  <si>
    <t>1521.0203</t>
  </si>
  <si>
    <t>Ván MDF 4,5x6x8</t>
  </si>
  <si>
    <t>1521.0301</t>
  </si>
  <si>
    <t>Keo AB</t>
  </si>
  <si>
    <t>1521.0302</t>
  </si>
  <si>
    <t>Keo ghép</t>
  </si>
  <si>
    <t>1521.0303</t>
  </si>
  <si>
    <t>Keo 502</t>
  </si>
  <si>
    <t>1521.0401</t>
  </si>
  <si>
    <t>AC chuối</t>
  </si>
  <si>
    <t>1521.0402</t>
  </si>
  <si>
    <t>NC chuối</t>
  </si>
  <si>
    <t>1521.0403</t>
  </si>
  <si>
    <t>Dầu thông</t>
  </si>
  <si>
    <t>1522</t>
  </si>
  <si>
    <t>Nguyên vật liệu phụ</t>
  </si>
  <si>
    <t>1531.01</t>
  </si>
  <si>
    <t>Máy tính Casio</t>
  </si>
  <si>
    <t>1531.02</t>
  </si>
  <si>
    <t>Kệ tủ</t>
  </si>
  <si>
    <t>1531.03</t>
  </si>
  <si>
    <t>Lưỡi cưa</t>
  </si>
  <si>
    <t>1531.04</t>
  </si>
  <si>
    <t>Mũi khoan</t>
  </si>
  <si>
    <t>1531.05</t>
  </si>
  <si>
    <t>Dao thép</t>
  </si>
  <si>
    <t>200.240.241</t>
  </si>
  <si>
    <t>154.01</t>
  </si>
  <si>
    <t>Ghế tay vịn</t>
  </si>
  <si>
    <t>154.02</t>
  </si>
  <si>
    <t>Ghế không tay</t>
  </si>
  <si>
    <t>154.03</t>
  </si>
  <si>
    <t>Bàn tròn</t>
  </si>
  <si>
    <t>154.04</t>
  </si>
  <si>
    <t>Bàn oval</t>
  </si>
  <si>
    <t>154.05</t>
  </si>
  <si>
    <t>Bàn chữ nhật</t>
  </si>
  <si>
    <t>1551.0101</t>
  </si>
  <si>
    <t>1551.0102</t>
  </si>
  <si>
    <t>1551.0201</t>
  </si>
  <si>
    <t>1551.0202</t>
  </si>
  <si>
    <t>1551.0203</t>
  </si>
  <si>
    <t>1561</t>
  </si>
  <si>
    <t>Giá mua hàng hóa</t>
  </si>
  <si>
    <t>1562</t>
  </si>
  <si>
    <t>Chi phí thu mua hàng hóa</t>
  </si>
  <si>
    <t>1567</t>
  </si>
  <si>
    <t>Hàng hóa bất động sản</t>
  </si>
  <si>
    <t>400.430.432</t>
  </si>
  <si>
    <t>1611</t>
  </si>
  <si>
    <t>Chi sự nghiệp năm trước</t>
  </si>
  <si>
    <t>1612</t>
  </si>
  <si>
    <t>Chi sự nghiệp năm nay</t>
  </si>
  <si>
    <t>100.150.154</t>
  </si>
  <si>
    <t>200.220.221.222</t>
  </si>
  <si>
    <t>2111</t>
  </si>
  <si>
    <t>Nhà cửa, vật kiến trúc</t>
  </si>
  <si>
    <t>2112.02</t>
  </si>
  <si>
    <t>Máy cắt phôi HITACHI</t>
  </si>
  <si>
    <t>2112.03</t>
  </si>
  <si>
    <t>Máy phun xi HITACHI</t>
  </si>
  <si>
    <t>2112.04</t>
  </si>
  <si>
    <t>Máy xẻ gỗ</t>
  </si>
  <si>
    <t>2113</t>
  </si>
  <si>
    <t>Phương tiện vận tải, truyền dẫn</t>
  </si>
  <si>
    <t>2114.01</t>
  </si>
  <si>
    <t>Máy vi tính</t>
  </si>
  <si>
    <t>2114.02</t>
  </si>
  <si>
    <t>Máy photocopy</t>
  </si>
  <si>
    <t>2118</t>
  </si>
  <si>
    <t>TSCĐ khác</t>
  </si>
  <si>
    <t>200.220.221.223</t>
  </si>
  <si>
    <t>2141</t>
  </si>
  <si>
    <t>Hao mòn TSCĐ hữu hình</t>
  </si>
  <si>
    <t>200.230.232</t>
  </si>
  <si>
    <t>2147</t>
  </si>
  <si>
    <t>Hao mòn bất động sản đầu tư</t>
  </si>
  <si>
    <t>200.230.231</t>
  </si>
  <si>
    <t>200.250.251</t>
  </si>
  <si>
    <t>200.250.252</t>
  </si>
  <si>
    <t>200.250.253</t>
  </si>
  <si>
    <t>2281</t>
  </si>
  <si>
    <t>Đầu tư góp vốn vào đơn vị khác</t>
  </si>
  <si>
    <t>100.150.155</t>
  </si>
  <si>
    <t>22881</t>
  </si>
  <si>
    <t>100.120.122</t>
  </si>
  <si>
    <t>2291</t>
  </si>
  <si>
    <t>Dự phòng giảm giá chứng khoán kinh doanh</t>
  </si>
  <si>
    <t>200.250.254</t>
  </si>
  <si>
    <t>2292</t>
  </si>
  <si>
    <t>Dự phòng tổn thất đầu tư vào đơn vị khác</t>
  </si>
  <si>
    <t>100.130.137</t>
  </si>
  <si>
    <t>22931</t>
  </si>
  <si>
    <t>Dự phòng phải thu khó đòi</t>
  </si>
  <si>
    <t>200.210.219</t>
  </si>
  <si>
    <t>22932</t>
  </si>
  <si>
    <t>Dự phòng phải thu khó đòi (dài hạn)</t>
  </si>
  <si>
    <t>100.140.149</t>
  </si>
  <si>
    <t>2294</t>
  </si>
  <si>
    <t>Dự phòng giảm giá hàng tồn kho</t>
  </si>
  <si>
    <t>200.240.242</t>
  </si>
  <si>
    <t>2411</t>
  </si>
  <si>
    <t>Mua sắm TSCĐ</t>
  </si>
  <si>
    <t>2412</t>
  </si>
  <si>
    <t>Xây dựng cơ bản</t>
  </si>
  <si>
    <t>2413</t>
  </si>
  <si>
    <t>Sửa chữa lớn TSCĐ</t>
  </si>
  <si>
    <t>100.150.151</t>
  </si>
  <si>
    <t>2421.01</t>
  </si>
  <si>
    <t>Máy tính Casio (không quá 12 tháng)</t>
  </si>
  <si>
    <t>2421.02</t>
  </si>
  <si>
    <t>Kệ tủ (không quá 12 tháng)</t>
  </si>
  <si>
    <t>200.260.261</t>
  </si>
  <si>
    <t>2422.01</t>
  </si>
  <si>
    <t>Máy tính Casio (trên 12 tháng)</t>
  </si>
  <si>
    <t>2422.02</t>
  </si>
  <si>
    <t>Kệ tủ (trên 12 tháng)</t>
  </si>
  <si>
    <t>2422.03</t>
  </si>
  <si>
    <t>Chi phí sửa chữa lớn TSCĐ</t>
  </si>
  <si>
    <t>200.260.262</t>
  </si>
  <si>
    <t>2441</t>
  </si>
  <si>
    <t>Cầm cố, thế chấp, ký quỹ, ký cược (không quá 12 tháng)</t>
  </si>
  <si>
    <t>2442</t>
  </si>
  <si>
    <t>Cầm cố, thế chấp, ký quỹ, ký cược (trên 12 tháng)</t>
  </si>
  <si>
    <t>300.310.311</t>
  </si>
  <si>
    <t>3311.01</t>
  </si>
  <si>
    <t>Cty CP Mai Lan</t>
  </si>
  <si>
    <t>3311.02</t>
  </si>
  <si>
    <t>Cty TNHH Cường Phát</t>
  </si>
  <si>
    <t>3311.03</t>
  </si>
  <si>
    <t>Cty TNHH Minh Gia Phát</t>
  </si>
  <si>
    <t>300.310.313</t>
  </si>
  <si>
    <t>33311</t>
  </si>
  <si>
    <t>Thuế GTGT đầu ra</t>
  </si>
  <si>
    <t>33312</t>
  </si>
  <si>
    <t>Thuế GTGT hàng nhập khẩu</t>
  </si>
  <si>
    <t>3332</t>
  </si>
  <si>
    <t>Thuế tiêu thụ đặc biệt</t>
  </si>
  <si>
    <t>3333</t>
  </si>
  <si>
    <t>Thuế xuất, nhập khẩu</t>
  </si>
  <si>
    <t>3334</t>
  </si>
  <si>
    <t>Thuế thu nhập doanh nghiệp</t>
  </si>
  <si>
    <t>3335</t>
  </si>
  <si>
    <t>Thuế thu nhập cá nhân</t>
  </si>
  <si>
    <t>3336</t>
  </si>
  <si>
    <t>Thuế tài nguyên</t>
  </si>
  <si>
    <t>3337</t>
  </si>
  <si>
    <t>Thuế nhà đất, tiền thuê đất</t>
  </si>
  <si>
    <t>3338</t>
  </si>
  <si>
    <t>Thuế bảo vệ môi trường và các loại thuế khác</t>
  </si>
  <si>
    <t>3339</t>
  </si>
  <si>
    <t>Phí, lệ phí và các khoản phải nộp khác</t>
  </si>
  <si>
    <t>300.310.314</t>
  </si>
  <si>
    <t>3341.01</t>
  </si>
  <si>
    <t>Lương CNSX Ghế tay vịn</t>
  </si>
  <si>
    <t>3341.02</t>
  </si>
  <si>
    <t>Lương CNSX Ghế không tay</t>
  </si>
  <si>
    <t>3341.03</t>
  </si>
  <si>
    <t>Lương CNSX Bàn tròn</t>
  </si>
  <si>
    <t>3341.04</t>
  </si>
  <si>
    <t>Lương CNSX Bàn oval</t>
  </si>
  <si>
    <t>3341.05</t>
  </si>
  <si>
    <t>Lương CNSX Bàn chữ nhật</t>
  </si>
  <si>
    <t>3348.01</t>
  </si>
  <si>
    <t>Lương NV QLPX</t>
  </si>
  <si>
    <t>3348.02</t>
  </si>
  <si>
    <t>Lương NV bán hàng</t>
  </si>
  <si>
    <t>3348.03</t>
  </si>
  <si>
    <t>Lương CB QLDN</t>
  </si>
  <si>
    <t>300.310.315</t>
  </si>
  <si>
    <t>3351</t>
  </si>
  <si>
    <t>Chi phí phải trả (ngắn hạn)</t>
  </si>
  <si>
    <t>300.330.333</t>
  </si>
  <si>
    <t>3352</t>
  </si>
  <si>
    <t>Chi phí phải trả (dài hạn)</t>
  </si>
  <si>
    <t>300.330.334</t>
  </si>
  <si>
    <t>3361</t>
  </si>
  <si>
    <t>Phải trả nội bộ về vốn kinh doanh</t>
  </si>
  <si>
    <t>300.310.316</t>
  </si>
  <si>
    <t>33621</t>
  </si>
  <si>
    <t>Phải trả nội bộ về chênh lệch tỷ giá</t>
  </si>
  <si>
    <t>300.330.335</t>
  </si>
  <si>
    <t>33622</t>
  </si>
  <si>
    <t>Phải trả nội bộ về chênh lệch tỷ giá (dài hạn)</t>
  </si>
  <si>
    <t>33631</t>
  </si>
  <si>
    <t>Phải trả nội bộ về chi phí đi vay đủ điều kiện được vốn hóa</t>
  </si>
  <si>
    <t>33632</t>
  </si>
  <si>
    <t>Phải trả nội bộ về chi phí đi vay đủ điều kiện được vốn hóa (dài hạn)</t>
  </si>
  <si>
    <t>33681</t>
  </si>
  <si>
    <t>Phải trả nội bộ khác</t>
  </si>
  <si>
    <t>33682</t>
  </si>
  <si>
    <t>Phải trả nội bộ khác (dài hạn)</t>
  </si>
  <si>
    <t>300.310.317</t>
  </si>
  <si>
    <t>300.310.319</t>
  </si>
  <si>
    <t>3381</t>
  </si>
  <si>
    <t>Tài sản thừa chờ giải quyết</t>
  </si>
  <si>
    <t>3382</t>
  </si>
  <si>
    <t>Kinh phí công đoàn</t>
  </si>
  <si>
    <t>3383</t>
  </si>
  <si>
    <t>Bảo hiểm xã hội</t>
  </si>
  <si>
    <t>3384</t>
  </si>
  <si>
    <t>Bảo hiểm y tế</t>
  </si>
  <si>
    <t>3385</t>
  </si>
  <si>
    <t>Phải trả về cổ phần hóa</t>
  </si>
  <si>
    <t>3386</t>
  </si>
  <si>
    <t>Bảo hiểm thất nghiệp</t>
  </si>
  <si>
    <t>300.310.318</t>
  </si>
  <si>
    <t>33871</t>
  </si>
  <si>
    <t>Doanh thu chưa thực hiện</t>
  </si>
  <si>
    <t>300.330.336</t>
  </si>
  <si>
    <t>33872</t>
  </si>
  <si>
    <t>Doanh thu chưa thực hiện (sau 12 tháng)</t>
  </si>
  <si>
    <t>3388</t>
  </si>
  <si>
    <t>300.310.320</t>
  </si>
  <si>
    <t>3411</t>
  </si>
  <si>
    <t>Các khoản đi vay</t>
  </si>
  <si>
    <t>3412</t>
  </si>
  <si>
    <t>Nợ thuê tài chính</t>
  </si>
  <si>
    <t>34311</t>
  </si>
  <si>
    <t>Mệnh giá trái phiếu</t>
  </si>
  <si>
    <t>34312</t>
  </si>
  <si>
    <t>Chiết khấu trái phiếu</t>
  </si>
  <si>
    <t>34313</t>
  </si>
  <si>
    <t>Phụ trội trái phiếu</t>
  </si>
  <si>
    <t>300.330.339</t>
  </si>
  <si>
    <t>3432</t>
  </si>
  <si>
    <t>Trái phiếu chuyển đổi</t>
  </si>
  <si>
    <t>300.330.337</t>
  </si>
  <si>
    <t>Nhận ký quỹ, ký cược</t>
  </si>
  <si>
    <t>300.330.341</t>
  </si>
  <si>
    <t>300.310.321</t>
  </si>
  <si>
    <t>3521</t>
  </si>
  <si>
    <t>Dự phòng bảo hành sản phẩm hàng hóa</t>
  </si>
  <si>
    <t>3522</t>
  </si>
  <si>
    <t>Dự phòng bảo hành công trình xây dựng</t>
  </si>
  <si>
    <t>3523</t>
  </si>
  <si>
    <t>Dự phòng tái cơ cấu doanh nghiệp</t>
  </si>
  <si>
    <t>3524</t>
  </si>
  <si>
    <t>Dự phòng phải trả khác</t>
  </si>
  <si>
    <t>300.310.322</t>
  </si>
  <si>
    <t>3531</t>
  </si>
  <si>
    <t>Quỹ khen thưởng</t>
  </si>
  <si>
    <t>3532</t>
  </si>
  <si>
    <t>Quỹ phúc lợi</t>
  </si>
  <si>
    <t>3533</t>
  </si>
  <si>
    <t>Quỹ phúc lợi đã hình thành TSCĐ</t>
  </si>
  <si>
    <t>3534</t>
  </si>
  <si>
    <t>Quỹ thưởng ban điều hành công ty</t>
  </si>
  <si>
    <t>300.330.343</t>
  </si>
  <si>
    <t>3561</t>
  </si>
  <si>
    <t>3562</t>
  </si>
  <si>
    <t>Quỹ phát triển khoa học và công nghệ đã hình thành TSCĐ</t>
  </si>
  <si>
    <t>300.310.323</t>
  </si>
  <si>
    <t>400.410.411a</t>
  </si>
  <si>
    <t>41111</t>
  </si>
  <si>
    <t>Cổ phiếu phổ thông có quyền biểu quyết</t>
  </si>
  <si>
    <t>400.410.411b</t>
  </si>
  <si>
    <t>41112</t>
  </si>
  <si>
    <t>Cổ phiếu ưu đãi</t>
  </si>
  <si>
    <t>400.410.412</t>
  </si>
  <si>
    <t>4112</t>
  </si>
  <si>
    <t>Thặng dư vốn cổ phần</t>
  </si>
  <si>
    <t>400.410.413</t>
  </si>
  <si>
    <t>4113</t>
  </si>
  <si>
    <t>Quyền chọn chuyển đổi trái phiếu</t>
  </si>
  <si>
    <t>400.410.414</t>
  </si>
  <si>
    <t>4118</t>
  </si>
  <si>
    <t>Vốn khác</t>
  </si>
  <si>
    <t>400.410.416</t>
  </si>
  <si>
    <t>400.410.417</t>
  </si>
  <si>
    <t>4131</t>
  </si>
  <si>
    <t>Chênh lệch tỷ giá do đánh giá lại các khoản mục tiền tệ có gốc ngoại tệ</t>
  </si>
  <si>
    <t>4132</t>
  </si>
  <si>
    <t>Chênh lệch tỷ giá hối đoái trong giai đoạn trước hoạt động</t>
  </si>
  <si>
    <t>400.410.418</t>
  </si>
  <si>
    <t>Quỹ đầu tư phát triển</t>
  </si>
  <si>
    <t>400.410.419</t>
  </si>
  <si>
    <t>400.410.420</t>
  </si>
  <si>
    <t>400.410.415</t>
  </si>
  <si>
    <t>400.410.421a</t>
  </si>
  <si>
    <t>4211</t>
  </si>
  <si>
    <t>Lợi nhuận sau thuế chưa phân phối năm trước</t>
  </si>
  <si>
    <t>400.410.421b</t>
  </si>
  <si>
    <t>4212</t>
  </si>
  <si>
    <t>Lợi nhuận sau thuế chưa phân phối năm nay</t>
  </si>
  <si>
    <t>400.410.422</t>
  </si>
  <si>
    <t>400.430.431</t>
  </si>
  <si>
    <t>Nguồn kinh phí sự nghiệp</t>
  </si>
  <si>
    <t>5111</t>
  </si>
  <si>
    <t>Doanh thu bán hàng hóa</t>
  </si>
  <si>
    <t>5112.0101</t>
  </si>
  <si>
    <t>Doanh thu bán Ghế tay vịn</t>
  </si>
  <si>
    <t>5112.0102</t>
  </si>
  <si>
    <t>Doanh thu bán Ghế không tay</t>
  </si>
  <si>
    <t>5112.0201</t>
  </si>
  <si>
    <t>Doanh thu bán  Bàn tròn</t>
  </si>
  <si>
    <t>5112.0202</t>
  </si>
  <si>
    <t>Doanh thu bán Bàn oval</t>
  </si>
  <si>
    <t>5112.0203</t>
  </si>
  <si>
    <t>Doanh thu bán Bàn chữ nhật</t>
  </si>
  <si>
    <t>5113</t>
  </si>
  <si>
    <t>Doanh thu cung cấp dịch vụ</t>
  </si>
  <si>
    <t>5114</t>
  </si>
  <si>
    <t>Doanh thu trợ cấp, trợ giá</t>
  </si>
  <si>
    <t>5117</t>
  </si>
  <si>
    <t>Doanh thu kinh doanh bất động sản đầu tư</t>
  </si>
  <si>
    <t>Doanh thu hoạt động tài chính</t>
  </si>
  <si>
    <t>5211</t>
  </si>
  <si>
    <t>Chiết khấu thương mại</t>
  </si>
  <si>
    <t>5212</t>
  </si>
  <si>
    <t>Giảm giá hàng bán</t>
  </si>
  <si>
    <t>5213</t>
  </si>
  <si>
    <t>Hàng bán bị trả lại</t>
  </si>
  <si>
    <t>6111</t>
  </si>
  <si>
    <t>Mua nguyên liệu, vật liệu</t>
  </si>
  <si>
    <t>6112</t>
  </si>
  <si>
    <t>Mua hàng hóa</t>
  </si>
  <si>
    <t>6211.01</t>
  </si>
  <si>
    <t>CFNVL Ghế tay vịn</t>
  </si>
  <si>
    <t>6211.02</t>
  </si>
  <si>
    <t>CFNVL Ghế không tay</t>
  </si>
  <si>
    <t>6211.03</t>
  </si>
  <si>
    <t>CFNVL Bàn tròn</t>
  </si>
  <si>
    <t>6211.04</t>
  </si>
  <si>
    <t>CFNVL Bàn oval</t>
  </si>
  <si>
    <t>6211.05</t>
  </si>
  <si>
    <t>CFNVL Bàn chữ nhật</t>
  </si>
  <si>
    <t>622.01</t>
  </si>
  <si>
    <t>CFNC Ghế tay vịn</t>
  </si>
  <si>
    <t>622.02</t>
  </si>
  <si>
    <t>CFNC Ghế không tay</t>
  </si>
  <si>
    <t>622.03</t>
  </si>
  <si>
    <t>CFNC Bàn tròn</t>
  </si>
  <si>
    <t>622.04</t>
  </si>
  <si>
    <t>CFNCBàn oval</t>
  </si>
  <si>
    <t>622.05</t>
  </si>
  <si>
    <t>CFNC Bàn chữ nhật</t>
  </si>
  <si>
    <t>6231</t>
  </si>
  <si>
    <t>Chi phí nhân công</t>
  </si>
  <si>
    <t>6232</t>
  </si>
  <si>
    <t>Chi phí nguyên, vật liệu</t>
  </si>
  <si>
    <t>6233</t>
  </si>
  <si>
    <t>Chi phí dụng cụ sản xuất</t>
  </si>
  <si>
    <t>6234</t>
  </si>
  <si>
    <t>Chi phí khấu hao máy thi công</t>
  </si>
  <si>
    <t>6237</t>
  </si>
  <si>
    <t>Chi phí dịch vụ mua ngoài</t>
  </si>
  <si>
    <t>6238</t>
  </si>
  <si>
    <t>Chi phí bằng tiền khác</t>
  </si>
  <si>
    <t>6271</t>
  </si>
  <si>
    <t>Chi phí nhân viên phân xưởng</t>
  </si>
  <si>
    <t>6272</t>
  </si>
  <si>
    <t>6273</t>
  </si>
  <si>
    <t>6274</t>
  </si>
  <si>
    <t>Chi phí khấu hao TSCĐ</t>
  </si>
  <si>
    <t>6277</t>
  </si>
  <si>
    <t>6278</t>
  </si>
  <si>
    <t>632.0101</t>
  </si>
  <si>
    <t>GVHB Ghế tay vịn</t>
  </si>
  <si>
    <t>632.0102</t>
  </si>
  <si>
    <t>GVHB Ghế không tay</t>
  </si>
  <si>
    <t>632.0201</t>
  </si>
  <si>
    <t>GVHB Bàn tròn</t>
  </si>
  <si>
    <t>632.0202</t>
  </si>
  <si>
    <t>GVHB Bàn oval</t>
  </si>
  <si>
    <t>632.0203</t>
  </si>
  <si>
    <t>GVHB Bàn chữ nhật</t>
  </si>
  <si>
    <t>6351</t>
  </si>
  <si>
    <t>Chi phí lãi vay</t>
  </si>
  <si>
    <t>6411</t>
  </si>
  <si>
    <t xml:space="preserve">Chi phí nhân viên </t>
  </si>
  <si>
    <t>6412</t>
  </si>
  <si>
    <t>Chi phí nguyên vật liệu, bao bì</t>
  </si>
  <si>
    <t>6413</t>
  </si>
  <si>
    <t>Chi phí dụng cụ, đồ dùng</t>
  </si>
  <si>
    <t>6414</t>
  </si>
  <si>
    <t>6415</t>
  </si>
  <si>
    <t>Chi phí bảo hành</t>
  </si>
  <si>
    <t>6417</t>
  </si>
  <si>
    <t>6418</t>
  </si>
  <si>
    <t>6421</t>
  </si>
  <si>
    <t>Chi phí nhân viên quản lý</t>
  </si>
  <si>
    <t>6422</t>
  </si>
  <si>
    <t>Chi phí vật liệu quản lý</t>
  </si>
  <si>
    <t>6423</t>
  </si>
  <si>
    <t>Chi phí đồ dùng văn phòng</t>
  </si>
  <si>
    <t>6424</t>
  </si>
  <si>
    <t>6425</t>
  </si>
  <si>
    <t>Thuế, phí và lệ phí</t>
  </si>
  <si>
    <t>6426</t>
  </si>
  <si>
    <t>Chi phí dự phòng</t>
  </si>
  <si>
    <t>6427</t>
  </si>
  <si>
    <t>6428</t>
  </si>
  <si>
    <t>8211</t>
  </si>
  <si>
    <t>Chi phí thuế TNDN hiện hành</t>
  </si>
  <si>
    <t>8212</t>
  </si>
  <si>
    <t>Chi phí thuế TNDN hoãn lại</t>
  </si>
  <si>
    <t>9111.0101</t>
  </si>
  <si>
    <t>Xác định kết quả kinh doanh (GTV)</t>
  </si>
  <si>
    <t>9111.0102</t>
  </si>
  <si>
    <t>Xác định kết quả kinh doanh (GKT)</t>
  </si>
  <si>
    <t>9111.0201</t>
  </si>
  <si>
    <t>Xác định kết quả kinh doanh (BT)</t>
  </si>
  <si>
    <t>9111.0202</t>
  </si>
  <si>
    <t>Xác định kết quả kinh doanh (BO)</t>
  </si>
  <si>
    <t>9111.0203</t>
  </si>
  <si>
    <t>Xác định kết quả kinh doanh (BCN)</t>
  </si>
  <si>
    <t>9111.0303</t>
  </si>
  <si>
    <t>SỔ TẬP HỢP NGHIỆP VỤ KẾ TOÁN</t>
  </si>
  <si>
    <t>NGÀY</t>
  </si>
  <si>
    <t>SỐCT</t>
  </si>
  <si>
    <t>DIỄN GIẢI</t>
  </si>
  <si>
    <t>TKNO</t>
  </si>
  <si>
    <t>TKCO</t>
  </si>
  <si>
    <t>SL</t>
  </si>
  <si>
    <t>ĐƠN GIÁ</t>
  </si>
  <si>
    <t>SỐ TIỀN</t>
  </si>
  <si>
    <t>GHI CHÚ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</si>
  <si>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</si>
  <si>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</si>
  <si>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</si>
  <si>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</si>
  <si>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</si>
  <si>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</si>
  <si>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</si>
  <si>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</si>
  <si>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</si>
  <si>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01/PT</t>
  </si>
  <si>
    <t>Thu nợ lô hàng 200</t>
  </si>
  <si>
    <t>02/PT</t>
  </si>
  <si>
    <t>Thu nợ lô hàng 212</t>
  </si>
  <si>
    <t>01/PC</t>
  </si>
  <si>
    <t>Chi tạm ứng cho Hồ Sĩ Nhật</t>
  </si>
  <si>
    <t>01/NVL</t>
  </si>
  <si>
    <t>Thuế GTGT mua gỗ tràm bông vàng</t>
  </si>
  <si>
    <t>Mua gỗ tràm bông vàng</t>
  </si>
  <si>
    <t>02/PC</t>
  </si>
  <si>
    <t>Thuế GTGT mua VPP</t>
  </si>
  <si>
    <t>Mua VPP cho BPVP</t>
  </si>
  <si>
    <t>02/NVL</t>
  </si>
  <si>
    <t>Thuế GTGT mua AC chuối, Dầu thông</t>
  </si>
  <si>
    <t>Mua Dầu thông</t>
  </si>
  <si>
    <t>Mua AC chuối</t>
  </si>
  <si>
    <t>03/NVL</t>
  </si>
  <si>
    <t>Thuế GTGT Nhập kho keo AB</t>
  </si>
  <si>
    <t>Nhập kho keo AB</t>
  </si>
  <si>
    <t>01/XVL</t>
  </si>
  <si>
    <t>Xuất keo ghép sx GTV</t>
  </si>
  <si>
    <t>03/PC</t>
  </si>
  <si>
    <t>Chi lương cho NVBH</t>
  </si>
  <si>
    <t>Chi lương cho CB QLDN</t>
  </si>
  <si>
    <t>Xuất gỗ cao su sx GTV</t>
  </si>
  <si>
    <t>01/BC</t>
  </si>
  <si>
    <t>Cty Mai Anh trả nợ lô hàng 189</t>
  </si>
  <si>
    <t>Chi lương cho NV QLPX</t>
  </si>
  <si>
    <t>Chi lương cho CNSX GTV</t>
  </si>
  <si>
    <t>Chi lương cho CNSX GKT</t>
  </si>
  <si>
    <t>Chi lương cho CNSX BT</t>
  </si>
  <si>
    <t>Chi lương cho CNSX BO</t>
  </si>
  <si>
    <t>01/BN</t>
  </si>
  <si>
    <t>Trả Cty CP Mai Lan HĐ1170</t>
  </si>
  <si>
    <t>02/BN</t>
  </si>
  <si>
    <t>Chi đặt cọc mua hàng</t>
  </si>
  <si>
    <t>02/XVL</t>
  </si>
  <si>
    <t>Xuất ván keo 502 sx BTròn</t>
  </si>
  <si>
    <t>03/XVL</t>
  </si>
  <si>
    <t>Xuất dầu thông sx GTV</t>
  </si>
  <si>
    <t>Xuất AC chuối sx GTV</t>
  </si>
  <si>
    <t>Xuất ván MDF 9x6x8 sx BTròn</t>
  </si>
  <si>
    <t>01/XCC</t>
  </si>
  <si>
    <t>Xuất kệ tủ</t>
  </si>
  <si>
    <t>Xuất máy tính Casio</t>
  </si>
  <si>
    <t>02/XCC</t>
  </si>
  <si>
    <t>Xuất lưỡi cưa cho PXSX</t>
  </si>
  <si>
    <t>Xuất mũi khoan cho PXSX</t>
  </si>
  <si>
    <t>Xuất dao thép cho PXSX</t>
  </si>
  <si>
    <t>02/NTP</t>
  </si>
  <si>
    <t>Tạm nhập kho BT</t>
  </si>
  <si>
    <t>01/NTP</t>
  </si>
  <si>
    <t>Tạm nhập kho GTV</t>
  </si>
  <si>
    <t>03/NTP</t>
  </si>
  <si>
    <t>Tạm nhập kho GKT</t>
  </si>
  <si>
    <t>02/BTP</t>
  </si>
  <si>
    <t>Bán GKT cho Cty XNK Vật Tư</t>
  </si>
  <si>
    <t>01/BTP</t>
  </si>
  <si>
    <t>Bán GTV cho Cty Nam Việt</t>
  </si>
  <si>
    <t>Bán BO cho Cty XNK Vật Tư</t>
  </si>
  <si>
    <t>Thuế GTGT Bán GKT cho Cty XNK Vật Tư</t>
  </si>
  <si>
    <t>Thuế GTGT Bán GTV cho Cty Nam Việt</t>
  </si>
  <si>
    <t>Thuế GTGT Bán BO cho Cty XNK Vật Tư</t>
  </si>
  <si>
    <t>01/TU</t>
  </si>
  <si>
    <t>Thanh toán tạm ứng Hồ Sĩ Nhật</t>
  </si>
  <si>
    <t>04/PC</t>
  </si>
  <si>
    <t>Thuế GTGT mua máy xẻ gỗ</t>
  </si>
  <si>
    <t>Mua máy xẻ gỗ</t>
  </si>
  <si>
    <t>TH2</t>
  </si>
  <si>
    <t>Tính các khoản trích theo lương vào chi phí</t>
  </si>
  <si>
    <t>TH10</t>
  </si>
  <si>
    <t>Kết chuyển CFBH vào TK911</t>
  </si>
  <si>
    <t>TH5</t>
  </si>
  <si>
    <t>Kết chuyển CFC vào TK154</t>
  </si>
  <si>
    <t>TH7</t>
  </si>
  <si>
    <t>Bổ sung giá thành tiêu thụ TK632</t>
  </si>
  <si>
    <t>TH11</t>
  </si>
  <si>
    <t>Kết chuyển CFQLDN vào TK911</t>
  </si>
  <si>
    <t>01/PB</t>
  </si>
  <si>
    <t>Phân bổ CCDC vào chi phí</t>
  </si>
  <si>
    <t>KH2</t>
  </si>
  <si>
    <t>Trích KH cho BPQL</t>
  </si>
  <si>
    <t>TH6</t>
  </si>
  <si>
    <t>Bổ sung giá thành TK155 GTV</t>
  </si>
  <si>
    <t>Bổ sung giá thành TK155 BT</t>
  </si>
  <si>
    <t>TH12</t>
  </si>
  <si>
    <t>Chuyển lãi lỗ</t>
  </si>
  <si>
    <t>KH1</t>
  </si>
  <si>
    <t>Trích KH cho PXSX</t>
  </si>
  <si>
    <t>Bổ sung giá thành TK155 GKT</t>
  </si>
  <si>
    <t>TH3</t>
  </si>
  <si>
    <t>Kết chuyển CFNVL vào TK154</t>
  </si>
  <si>
    <t>TH1</t>
  </si>
  <si>
    <t>Tính lương vào chi phí</t>
  </si>
  <si>
    <t>TH8</t>
  </si>
  <si>
    <t>Kết chuyển CFGVHB vào TK911</t>
  </si>
  <si>
    <t>TH9</t>
  </si>
  <si>
    <t>Kết chuyển Dthu vào TK911</t>
  </si>
  <si>
    <t>TH4</t>
  </si>
  <si>
    <t>Kết chuyển CFNC vào TK154</t>
  </si>
  <si>
    <t>Đơn vị báo cáo:</t>
  </si>
  <si>
    <t>Mẫu số B 01 - DN</t>
  </si>
  <si>
    <t>Địa chỉ:</t>
  </si>
  <si>
    <t>(Ban hành theo thông tư số 200/2014/TT-BTC</t>
  </si>
  <si>
    <t>ngày 22/12/2014 của Bộ Tài Chính)</t>
  </si>
  <si>
    <t>BẢNG CÂN ĐỐI KẾ TOÁN</t>
  </si>
  <si>
    <t>TÀI SẢN</t>
  </si>
  <si>
    <t xml:space="preserve">Mã số </t>
  </si>
  <si>
    <t>Thuyết minh</t>
  </si>
  <si>
    <t>Số cuối kỳ</t>
  </si>
  <si>
    <t>Số đầu năm</t>
  </si>
  <si>
    <t>A. TÀI SẢN NGẮN HẠN</t>
  </si>
  <si>
    <t>I. Tiền và các khoản tương đương tiền</t>
  </si>
  <si>
    <t xml:space="preserve">1. Tiền </t>
  </si>
  <si>
    <t>2. Các khoản tương đương tiền</t>
  </si>
  <si>
    <t>II. Đầu tư tài chính ngắn hạn</t>
  </si>
  <si>
    <t>1. Chứng khoán kinh doanh</t>
  </si>
  <si>
    <t xml:space="preserve">2. Dự phòng giảm giá chứng khoán kinh doanh </t>
  </si>
  <si>
    <t>122</t>
  </si>
  <si>
    <t>3. Đầu tư nắm giữ đến ngày đáo hạn</t>
  </si>
  <si>
    <t>123</t>
  </si>
  <si>
    <t>III. Các khoản phải thu ngắn hạn</t>
  </si>
  <si>
    <t xml:space="preserve">1. Phải thu ngắn hạn của khách hàng </t>
  </si>
  <si>
    <t>2. Trả trước cho người bán ngắn hạn</t>
  </si>
  <si>
    <t>3. Phải thu nội bộ ngắn hạn</t>
  </si>
  <si>
    <t>4. Phải thu theo tiến độ kế hoạch hợp đồng xây dựng</t>
  </si>
  <si>
    <t>5. Phải thu về cho vay ngắn hạn</t>
  </si>
  <si>
    <t>6. Phải thu ngắn hạn khác</t>
  </si>
  <si>
    <t>7. Dự phòng phải thu ngắn hạn khó đòi (*)</t>
  </si>
  <si>
    <t>8. Tài sản thiếu chờ xử lý</t>
  </si>
  <si>
    <t>IV. Hàng tồn kho</t>
  </si>
  <si>
    <t>1. Hàng tồn kho</t>
  </si>
  <si>
    <t>2. Dự phòng giảm giá hàng tồn kho</t>
  </si>
  <si>
    <t>V. Tài sản ngắn hạn khác</t>
  </si>
  <si>
    <t xml:space="preserve">1. Chi phí trả trước ngắn hạn </t>
  </si>
  <si>
    <t>2. Thuế GTGT được khấu trừ</t>
  </si>
  <si>
    <t>3. Thuế và các khoản khác phải thu Nhà nước</t>
  </si>
  <si>
    <t>4. Giao dịch mua bán lại trái phiếu Chính phủ</t>
  </si>
  <si>
    <t>5. Tài sản ngắn hạn khác</t>
  </si>
  <si>
    <t>B. TÀI SẢN DÀI HẠN</t>
  </si>
  <si>
    <t>I. Các khoản phải thu dài hạn</t>
  </si>
  <si>
    <t>1. Phải thu dài hạn của khách hàng</t>
  </si>
  <si>
    <t>2. Trả trước cho người bán dài hạn</t>
  </si>
  <si>
    <t>3. Vốn kinh doanh ở đơn vị trực thuộc</t>
  </si>
  <si>
    <t>4. Phải thu nội bộ dài hạn</t>
  </si>
  <si>
    <t>5. Phải thu về cho vay dài hạn</t>
  </si>
  <si>
    <t>6. Phải thu dài hạn khác</t>
  </si>
  <si>
    <t>7. Dự phòng phải thu dài hạn khó đòi (*)</t>
  </si>
  <si>
    <t>II. Tài sản cố định</t>
  </si>
  <si>
    <t>220</t>
  </si>
  <si>
    <t>1. Tài sản cố định hữu hình</t>
  </si>
  <si>
    <t xml:space="preserve">      - Nguyên giá</t>
  </si>
  <si>
    <t xml:space="preserve">      - Giá trị hao mòn luỹ kế (*)</t>
  </si>
  <si>
    <t>2. Tài sản cố định thuê tài chính</t>
  </si>
  <si>
    <t>3. Tài sản cố định vô hình</t>
  </si>
  <si>
    <t>III. Bất động sản đầu tư</t>
  </si>
  <si>
    <t>230</t>
  </si>
  <si>
    <t xml:space="preserve">      - Giá trị hao mòn lũy kế (*)</t>
  </si>
  <si>
    <t xml:space="preserve">IV. Tài sản dở dang dài hạn </t>
  </si>
  <si>
    <t xml:space="preserve">1. Chi phí sản xuất, kinh doanh dở dang dài hạn </t>
  </si>
  <si>
    <t>2. Chi phí xây dựng cơ bản dở dang</t>
  </si>
  <si>
    <t>V. Đầu tư tài chính dài hạn</t>
  </si>
  <si>
    <t xml:space="preserve">1. Đầu tư vào công ty con </t>
  </si>
  <si>
    <t>2. Đầu tư vào công ty liên doanh, liên kết</t>
  </si>
  <si>
    <t>3. Đầu tư góp vốn vào đơn vị khác</t>
  </si>
  <si>
    <t>4. Dự phòng đầu tư tài chính dài hạn (*)</t>
  </si>
  <si>
    <t>5. Đầu tư nắm giữ đến ngày đáo hạn</t>
  </si>
  <si>
    <t>VI. Tài sản dài hạn khác</t>
  </si>
  <si>
    <t>1. Chi phí trả trước dài hạn</t>
  </si>
  <si>
    <t>2. Tài sản thuế thu nhập hoãn lại</t>
  </si>
  <si>
    <t>3. Thiết bị, vật tư, phụ tùng thay thế dài hạn</t>
  </si>
  <si>
    <t>4. Tài sản dài hạn khác</t>
  </si>
  <si>
    <t>Tổng cộng tài sản (270 = 100 + 200)</t>
  </si>
  <si>
    <t>Tổng cộng nguồn vốn (440 = 300 + 400)</t>
  </si>
  <si>
    <t>C. NỢ PHẢI TRẢ</t>
  </si>
  <si>
    <t>I. Nợ ngắn hạn</t>
  </si>
  <si>
    <t>1. Phải trả người bán ngắn hạn</t>
  </si>
  <si>
    <t>2. Người mua trả tiền trước ngắn hạn</t>
  </si>
  <si>
    <t>3. Thuế và các khoản phải nộp Nhà nước</t>
  </si>
  <si>
    <t>4. Phải trả người lao động</t>
  </si>
  <si>
    <t>5. Chi phí phải trả ngắn hạn</t>
  </si>
  <si>
    <t>6. Phải trả nội bộ ngắn hạn</t>
  </si>
  <si>
    <t>7. Phải trả theo tiến độ kế hoạch hợp đồng xây dựng</t>
  </si>
  <si>
    <t xml:space="preserve">8. Doanh thu chưa thực hiện ngắn hạn </t>
  </si>
  <si>
    <t>9. Phải trả ngắn hạn khác</t>
  </si>
  <si>
    <t>10. Vay và nợ thuê tài chính ngắn hạn</t>
  </si>
  <si>
    <t xml:space="preserve">11. Dự phòng phải trả ngắn hạn </t>
  </si>
  <si>
    <t xml:space="preserve">12. Quỹ khen thưởng, phúc lợi </t>
  </si>
  <si>
    <t>13. Quỹ bình ổn giá</t>
  </si>
  <si>
    <t>14. Giao dịch mua bán lại trái phiếu Chính phủ</t>
  </si>
  <si>
    <t>II. Nợ dài hạn</t>
  </si>
  <si>
    <t>330</t>
  </si>
  <si>
    <t>1. Phải trả người bán dài hạn</t>
  </si>
  <si>
    <t>2. Người mua trả tiền trước dài hạn</t>
  </si>
  <si>
    <t>3. Chi phí phải trả dài hạn</t>
  </si>
  <si>
    <t>4. Phải trả nội bộ về vốn kinh doanh</t>
  </si>
  <si>
    <t>5. Phải trả nội bộ dài hạn</t>
  </si>
  <si>
    <t xml:space="preserve">6. Doanh thu chưa thực hiện dài hạn </t>
  </si>
  <si>
    <t>7. Phải trả dài hạn khác</t>
  </si>
  <si>
    <t xml:space="preserve">8. Vay và nợ thuê tài chính dài hạn </t>
  </si>
  <si>
    <t>9. Trái phiếu chuyển đổi</t>
  </si>
  <si>
    <t>10. Cổ phiếu ưu đãi</t>
  </si>
  <si>
    <t xml:space="preserve">11. Thuế thu nhập hoãn lại phải trả </t>
  </si>
  <si>
    <t xml:space="preserve">12. Dự phòng phải trả dài hạn </t>
  </si>
  <si>
    <t>13. Quỹ phát triển khoa học và công nghệ</t>
  </si>
  <si>
    <t>D. NGUỒN VỐN CHỦ SỞ HỮU</t>
  </si>
  <si>
    <t>I. Vốn chủ sở hữu</t>
  </si>
  <si>
    <t>1. Vốn góp của chủ sở hữu</t>
  </si>
  <si>
    <t xml:space="preserve">    - Cổ phiếu phổ thông có quyền biểu quyết</t>
  </si>
  <si>
    <t>411a</t>
  </si>
  <si>
    <t xml:space="preserve">    - Cổ phiếu ưu đãi</t>
  </si>
  <si>
    <t>411b</t>
  </si>
  <si>
    <t>2. Thặng dư vốn cổ phần</t>
  </si>
  <si>
    <t>3. Quyền chọn chuyển đổi trái phiếu</t>
  </si>
  <si>
    <t xml:space="preserve">4. Vốn khác của chủ sở hữu </t>
  </si>
  <si>
    <t>5. Cổ phiếu quỹ (*)</t>
  </si>
  <si>
    <t>6. Chênh lệch đánh giá lại tài sản</t>
  </si>
  <si>
    <t>7. Chênh lệch tỷ giá hối đoái</t>
  </si>
  <si>
    <t>8. Quỹ đầu tư phát triển</t>
  </si>
  <si>
    <t>9. Quỹ hỗ trợ sắp xếp doanh nghiệp</t>
  </si>
  <si>
    <t>10. Quỹ khác thuộc vốn chủ sở hữu</t>
  </si>
  <si>
    <t>11. Lợi nhuận sau thuế chưa phân phối</t>
  </si>
  <si>
    <t xml:space="preserve">     - LNST chưa phân phối lũy kế đến cuối kỳ trước</t>
  </si>
  <si>
    <t>421a</t>
  </si>
  <si>
    <t xml:space="preserve">     - LNST chưa phân phối kỳ này</t>
  </si>
  <si>
    <t>421b</t>
  </si>
  <si>
    <t>12. Nguồn vốn đầu tư XDCB</t>
  </si>
  <si>
    <t>II. Nguồn kinh phí và quỹ khác</t>
  </si>
  <si>
    <t xml:space="preserve">  1. Nguồn kinh phí </t>
  </si>
  <si>
    <t xml:space="preserve">  2. Nguồn kinh phí đã hình thành TSCĐ</t>
  </si>
  <si>
    <t>Lập, ngày …. tháng …. năm …..</t>
  </si>
  <si>
    <t>Người lập biểu</t>
  </si>
  <si>
    <t>Kế tóan trưởng</t>
  </si>
  <si>
    <t>Giám đốc</t>
  </si>
  <si>
    <t>(Ký, họ tên)</t>
  </si>
  <si>
    <t>(Ký, họ tên, đóng dấu)</t>
  </si>
  <si>
    <t>Mẫu số B 02-DN</t>
  </si>
  <si>
    <t xml:space="preserve"> BÁO CÁO KẾT QUẢ HỌAT ĐỘNG KINH DOANH</t>
  </si>
  <si>
    <t xml:space="preserve"> Năm …</t>
  </si>
  <si>
    <r>
      <t xml:space="preserve">Đơn vị tính: </t>
    </r>
    <r>
      <rPr>
        <i/>
        <sz val="11"/>
        <color indexed="8"/>
        <rFont val="Times New Roman"/>
        <family val="1"/>
      </rPr>
      <t>đồng</t>
    </r>
    <r>
      <rPr>
        <sz val="11"/>
        <color indexed="8"/>
        <rFont val="Times New Roman"/>
        <family val="1"/>
      </rPr>
      <t>…….</t>
    </r>
  </si>
  <si>
    <t>CHỈ TIÊU</t>
  </si>
  <si>
    <t>Mã số</t>
  </si>
  <si>
    <t>Năm Nay</t>
  </si>
  <si>
    <t>Năm Trước</t>
  </si>
  <si>
    <t>MS1</t>
  </si>
  <si>
    <t>1. Doanh thu bán hàng và cung cấp dịch vụ</t>
  </si>
  <si>
    <t>01</t>
  </si>
  <si>
    <t>*</t>
  </si>
  <si>
    <t>511*</t>
  </si>
  <si>
    <t>2. Các khoản giảm trừ doanh thu</t>
  </si>
  <si>
    <t>02</t>
  </si>
  <si>
    <t>MS2</t>
  </si>
  <si>
    <t>3. Doanh thu thuần về bán hàng và cung cấp dịch vụ (10=01-02)</t>
  </si>
  <si>
    <t>521*</t>
  </si>
  <si>
    <t>4. Giá vốn hàng bán</t>
  </si>
  <si>
    <t>MS11</t>
  </si>
  <si>
    <t>5. Lợi nhuận gộp về bán hàng và cung cấp dịch vụ (20=10-11)</t>
  </si>
  <si>
    <t>911*</t>
  </si>
  <si>
    <t>632*</t>
  </si>
  <si>
    <t>6. Doanh thu hoạt động tài chính</t>
  </si>
  <si>
    <t>MS21</t>
  </si>
  <si>
    <t>7. Chi phí tài chính</t>
  </si>
  <si>
    <t>515*</t>
  </si>
  <si>
    <r>
      <t xml:space="preserve">  - Trong đó:</t>
    </r>
    <r>
      <rPr>
        <sz val="13"/>
        <rFont val="Times New Roman"/>
        <family val="1"/>
      </rPr>
      <t xml:space="preserve"> Chi phí lãi vay </t>
    </r>
  </si>
  <si>
    <t>MS22</t>
  </si>
  <si>
    <t>8. Chi phí bán hàng</t>
  </si>
  <si>
    <t>635*</t>
  </si>
  <si>
    <t>9. Chi phí quản lý doanh nghiệp</t>
  </si>
  <si>
    <t>MS25</t>
  </si>
  <si>
    <t>10 Lợi nhuận thuần từ hoạt động kinh doanh {30=20+(21-22)-(25+26)}</t>
  </si>
  <si>
    <t>641*</t>
  </si>
  <si>
    <t>11. Thu nhập khác</t>
  </si>
  <si>
    <t>MS26</t>
  </si>
  <si>
    <t>12. Chi phí khác</t>
  </si>
  <si>
    <t>642*</t>
  </si>
  <si>
    <t>13. Lợi nhuận khác (40=31-32)</t>
  </si>
  <si>
    <t>MS31</t>
  </si>
  <si>
    <t>14. Tổng lợi nhuận kế toán trước thuế (50=30+40)</t>
  </si>
  <si>
    <t>711*</t>
  </si>
  <si>
    <t>15. Chi phí thuế TNDN hiện hành</t>
  </si>
  <si>
    <t>MS32</t>
  </si>
  <si>
    <t>16. Chi phí thuế TNDN hoãn lại</t>
  </si>
  <si>
    <t>811*</t>
  </si>
  <si>
    <t>17. Lợi nhuận sau thuế thu nhập doanh nghiệp {60=50-(51+52)}</t>
  </si>
  <si>
    <t>MS51</t>
  </si>
  <si>
    <t>18. Lãi cơ bản trên cổ phiếu (*)</t>
  </si>
  <si>
    <t>8211*</t>
  </si>
  <si>
    <t>19. Lãi suy giảm trên cổ phiếu (*)</t>
  </si>
  <si>
    <t>8212*</t>
  </si>
  <si>
    <t>Ghi chú:</t>
  </si>
  <si>
    <r>
      <t>(1)</t>
    </r>
    <r>
      <rPr>
        <i/>
        <sz val="7"/>
        <rFont val="Times New Roman"/>
        <family val="1"/>
      </rPr>
      <t xml:space="preserve">   </t>
    </r>
    <r>
      <rPr>
        <i/>
        <sz val="13"/>
        <rFont val="Times New Roman"/>
        <family val="1"/>
      </rPr>
      <t>Những chỉ tiêu không có số liệu có thể không phải trình bày nhưng không được đánh lại số thứ tự chỉ tiêu và “Mã số“.</t>
    </r>
  </si>
  <si>
    <t>(*) Chỉ tiêu này chỉ áp dụng đối với công ty cổ phần</t>
  </si>
  <si>
    <t>Mẫu số B 03-DN</t>
  </si>
  <si>
    <t>BÁO CÁO LƯU CHUYỂN TIỀN TỆ</t>
  </si>
  <si>
    <t>(Theo phương pháp trực tiếp)</t>
  </si>
  <si>
    <t>Năm …</t>
  </si>
  <si>
    <t>Đơn vị tính: đồng</t>
  </si>
  <si>
    <t>Chỉ tiêu</t>
  </si>
  <si>
    <t>Năm nay</t>
  </si>
  <si>
    <t>Năm trước</t>
  </si>
  <si>
    <t>MS33</t>
  </si>
  <si>
    <t>I. Lưu chuyển tiền tệ từ hoạt động kinh doanh</t>
  </si>
  <si>
    <t>111*</t>
  </si>
  <si>
    <t>131*</t>
  </si>
  <si>
    <t>331*</t>
  </si>
  <si>
    <t>171*</t>
  </si>
  <si>
    <t>1. Tiền thu từ bán hàng, cung cấp dịch vụ và doanh thu khác</t>
  </si>
  <si>
    <t>112*</t>
  </si>
  <si>
    <t>2. Tiền chi trả cho người cung cấp hàng hóa và dịch vụ</t>
  </si>
  <si>
    <t>152*</t>
  </si>
  <si>
    <t>113*</t>
  </si>
  <si>
    <t>3. Tiền chi trả cho người lao động</t>
  </si>
  <si>
    <t>3411*</t>
  </si>
  <si>
    <t>4. Tiền chi trả lãi vay</t>
  </si>
  <si>
    <t>121*</t>
  </si>
  <si>
    <t>153*</t>
  </si>
  <si>
    <t>5. Thuế thu nhập doanh nghiệp đã nộp</t>
  </si>
  <si>
    <t>6. Tiền thu khác từ hoạt động kinh doanh</t>
  </si>
  <si>
    <t>155*</t>
  </si>
  <si>
    <t>3431*</t>
  </si>
  <si>
    <t>7. Tiền chi khác cho hoạt động kinh doanh</t>
  </si>
  <si>
    <t>Lưu chuyển tiền thuần từ hoạt động kinh doanh</t>
  </si>
  <si>
    <t>MS3</t>
  </si>
  <si>
    <t>156*</t>
  </si>
  <si>
    <t>II. Lưu chuyển tiền từ hoạt động đầu tư</t>
  </si>
  <si>
    <t>334*</t>
  </si>
  <si>
    <t>3432*</t>
  </si>
  <si>
    <t>1.Tiền chi để mua sắm, xây dựng TSCĐ và các tài sản dài hạn khác</t>
  </si>
  <si>
    <t>2.Tiền thu từ thanh lý, nhượng bán TSCĐ và các tài sản dài hạn khác</t>
  </si>
  <si>
    <t>MS4</t>
  </si>
  <si>
    <t>3.Tiền chi cho vay, mua các công cụ nợ của đơn vị khác</t>
  </si>
  <si>
    <t>41112*</t>
  </si>
  <si>
    <t>4.Tiền thu hồi cho vay, bán lại các công cụ nợ của đơn vị khác</t>
  </si>
  <si>
    <t>5.Tiền chi đầu tư góp vốn vào đơn vị khác</t>
  </si>
  <si>
    <t>6.Tiền thu hồi đầu tư góp vốn vào đơn vị khác</t>
  </si>
  <si>
    <t>335*</t>
  </si>
  <si>
    <t>MS34</t>
  </si>
  <si>
    <t>7.Tiền thu lãi cho vay, cổ tức và lợi nhuận được chia</t>
  </si>
  <si>
    <t>Lưu chuyển tiền thuần từ hoạt động đầu tư</t>
  </si>
  <si>
    <t>III. Lưu chuyển tiền từ hoạt động tài chính</t>
  </si>
  <si>
    <t>242*</t>
  </si>
  <si>
    <t>5118*</t>
  </si>
  <si>
    <t>1.Tiền thu từ phát hành cổ phiếu, nhận vốn góp của chủ sở hữu</t>
  </si>
  <si>
    <t>2.Tiền trả lại vốn góp cho các chủ sở hữu, mua lại cổ phiếu của doanh nghiệp đã phát hành</t>
  </si>
  <si>
    <t>3.Tiền thu từ đi vay</t>
  </si>
  <si>
    <t>MS5</t>
  </si>
  <si>
    <t>4.Tiền trả nợ gốc vay</t>
  </si>
  <si>
    <t>3334*</t>
  </si>
  <si>
    <t>MS23</t>
  </si>
  <si>
    <t>5.Tiền trả nợ gốc thuê tài chính</t>
  </si>
  <si>
    <t>128*</t>
  </si>
  <si>
    <t>6. Cổ tức, lợi nhuận đã trả cho chủ sở hữu</t>
  </si>
  <si>
    <t>Lưu chuyển tiền thuần từ hoạt động tài chính</t>
  </si>
  <si>
    <t>MS6</t>
  </si>
  <si>
    <t>228*</t>
  </si>
  <si>
    <t>Lưu chuyển tiền thuần trong kỳ (50 = 20+30+40)</t>
  </si>
  <si>
    <t>Tiền và tương đương tiền đầu kỳ</t>
  </si>
  <si>
    <t>MS24</t>
  </si>
  <si>
    <t>Ảnh hưởng của thay đổi tỷ giá hối đoái quy đổi ngoại tệ</t>
  </si>
  <si>
    <t>133*</t>
  </si>
  <si>
    <t>Tiền và tương đương tiền cuối kỳ (70 = 50+60+61)</t>
  </si>
  <si>
    <t>141*</t>
  </si>
  <si>
    <t>MS35</t>
  </si>
  <si>
    <t>244*</t>
  </si>
  <si>
    <t>MS27</t>
  </si>
  <si>
    <t>3412*</t>
  </si>
  <si>
    <t>MS7</t>
  </si>
  <si>
    <t>MS36</t>
  </si>
  <si>
    <t>221*</t>
  </si>
  <si>
    <t>421*</t>
  </si>
  <si>
    <t>161*</t>
  </si>
  <si>
    <t>222*</t>
  </si>
  <si>
    <t>338*</t>
  </si>
  <si>
    <t>2281*</t>
  </si>
  <si>
    <t>333*</t>
  </si>
  <si>
    <t>344*</t>
  </si>
  <si>
    <t>352*</t>
  </si>
  <si>
    <t>353*</t>
  </si>
  <si>
    <t>356*</t>
  </si>
  <si>
    <t>411*</t>
  </si>
  <si>
    <t>211*</t>
  </si>
  <si>
    <t>217*</t>
  </si>
  <si>
    <t>241*</t>
  </si>
  <si>
    <t>419*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</si>
</sst>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[&quot;0&quot;]&quot;"/>
    <numFmt numFmtId="165" formatCode="#,##0;\(#,##0\);;"/>
    <numFmt numFmtId="166" formatCode="_(* #,##0_);_(* \(#,##0\);_(* &quot;-&quot;??_);_(@_)"/>
    <numFmt numFmtId="167" formatCode="\(0\)"/>
    <numFmt numFmtId="168" formatCode="#,##0;\(#,##0\)"/>
    <numFmt numFmtId="169" formatCode="00"/>
  </numFmts>
  <fonts count="22" x14ac:knownFonts="1">
    <font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6"/>
      <name val="Times New Roman"/>
      <family val="1"/>
    </font>
    <font>
      <i/>
      <sz val="13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1"/>
      <name val="Times New Roman"/>
      <family val="1"/>
    </font>
    <font>
      <b/>
      <i/>
      <sz val="13"/>
      <name val="Times New Roman"/>
      <family val="1"/>
    </font>
    <font>
      <i/>
      <sz val="7"/>
      <name val="Times New Roman"/>
      <family val="1"/>
    </font>
    <font>
      <b/>
      <sz val="15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quotePrefix="1" applyFont="1"/>
    <xf numFmtId="0" fontId="3" fillId="0" borderId="1" xfId="0" quotePrefix="1" applyFont="1" applyBorder="1"/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166" fontId="4" fillId="0" borderId="0" xfId="1" applyNumberFormat="1" applyFont="1"/>
    <xf numFmtId="0" fontId="5" fillId="0" borderId="0" xfId="0" applyFont="1"/>
    <xf numFmtId="3" fontId="5" fillId="0" borderId="0" xfId="0" applyNumberFormat="1" applyFont="1"/>
    <xf numFmtId="166" fontId="5" fillId="0" borderId="0" xfId="0" applyNumberFormat="1" applyFont="1"/>
    <xf numFmtId="0" fontId="2" fillId="0" borderId="0" xfId="0" applyFont="1"/>
    <xf numFmtId="166" fontId="3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7" fontId="2" fillId="2" borderId="2" xfId="0" applyNumberFormat="1" applyFont="1" applyFill="1" applyBorder="1" applyAlignment="1">
      <alignment horizontal="center" vertical="center"/>
    </xf>
    <xf numFmtId="167" fontId="2" fillId="2" borderId="3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/>
    </xf>
    <xf numFmtId="165" fontId="3" fillId="0" borderId="5" xfId="0" applyNumberFormat="1" applyFont="1" applyBorder="1"/>
    <xf numFmtId="165" fontId="3" fillId="3" borderId="1" xfId="0" applyNumberFormat="1" applyFont="1" applyFill="1" applyBorder="1"/>
    <xf numFmtId="165" fontId="3" fillId="2" borderId="1" xfId="0" applyNumberFormat="1" applyFont="1" applyFill="1" applyBorder="1"/>
    <xf numFmtId="0" fontId="6" fillId="0" borderId="1" xfId="0" quotePrefix="1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/>
    </xf>
    <xf numFmtId="3" fontId="3" fillId="0" borderId="1" xfId="0" quotePrefix="1" applyNumberFormat="1" applyFont="1" applyBorder="1"/>
    <xf numFmtId="0" fontId="3" fillId="0" borderId="4" xfId="0" applyFont="1" applyBorder="1" applyAlignment="1">
      <alignment horizontal="center"/>
    </xf>
    <xf numFmtId="165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2" xfId="0" quotePrefix="1" applyFont="1" applyBorder="1"/>
    <xf numFmtId="3" fontId="3" fillId="0" borderId="2" xfId="0" applyNumberFormat="1" applyFont="1" applyBorder="1"/>
    <xf numFmtId="0" fontId="3" fillId="0" borderId="6" xfId="0" applyFont="1" applyBorder="1"/>
    <xf numFmtId="0" fontId="3" fillId="0" borderId="6" xfId="0" quotePrefix="1" applyFont="1" applyBorder="1"/>
    <xf numFmtId="3" fontId="3" fillId="0" borderId="6" xfId="0" applyNumberFormat="1" applyFont="1" applyBorder="1"/>
    <xf numFmtId="0" fontId="3" fillId="0" borderId="6" xfId="0" applyFont="1" applyBorder="1" applyAlignment="1">
      <alignment horizontal="left"/>
    </xf>
    <xf numFmtId="0" fontId="3" fillId="0" borderId="7" xfId="0" applyFont="1" applyBorder="1"/>
    <xf numFmtId="3" fontId="3" fillId="0" borderId="7" xfId="0" applyNumberFormat="1" applyFont="1" applyBorder="1"/>
    <xf numFmtId="166" fontId="2" fillId="0" borderId="0" xfId="1" applyNumberFormat="1" applyFont="1"/>
    <xf numFmtId="14" fontId="3" fillId="0" borderId="2" xfId="0" applyNumberFormat="1" applyFont="1" applyBorder="1"/>
    <xf numFmtId="14" fontId="3" fillId="0" borderId="6" xfId="0" applyNumberFormat="1" applyFont="1" applyBorder="1"/>
    <xf numFmtId="14" fontId="3" fillId="0" borderId="7" xfId="0" applyNumberFormat="1" applyFont="1" applyBorder="1"/>
    <xf numFmtId="0" fontId="5" fillId="0" borderId="0" xfId="2" applyFont="1"/>
    <xf numFmtId="0" fontId="8" fillId="0" borderId="0" xfId="2" applyFont="1" applyAlignment="1">
      <alignment horizontal="center"/>
    </xf>
    <xf numFmtId="0" fontId="9" fillId="0" borderId="0" xfId="2" applyFont="1" applyAlignment="1">
      <alignment horizontal="center"/>
    </xf>
    <xf numFmtId="0" fontId="10" fillId="0" borderId="0" xfId="2" applyFont="1"/>
    <xf numFmtId="49" fontId="4" fillId="3" borderId="1" xfId="2" applyNumberFormat="1" applyFont="1" applyFill="1" applyBorder="1" applyAlignment="1">
      <alignment horizontal="centerContinuous" vertical="center"/>
    </xf>
    <xf numFmtId="49" fontId="4" fillId="3" borderId="1" xfId="2" applyNumberFormat="1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/>
    </xf>
    <xf numFmtId="164" fontId="4" fillId="0" borderId="1" xfId="2" applyNumberFormat="1" applyFont="1" applyBorder="1" applyAlignment="1">
      <alignment horizontal="centerContinuous" vertical="center"/>
    </xf>
    <xf numFmtId="164" fontId="4" fillId="0" borderId="1" xfId="2" applyNumberFormat="1" applyFont="1" applyBorder="1" applyAlignment="1">
      <alignment horizontal="center" vertical="center" wrapText="1"/>
    </xf>
    <xf numFmtId="164" fontId="4" fillId="0" borderId="1" xfId="2" applyNumberFormat="1" applyFont="1" applyBorder="1" applyAlignment="1">
      <alignment horizontal="center" vertical="center"/>
    </xf>
    <xf numFmtId="49" fontId="4" fillId="0" borderId="2" xfId="2" applyNumberFormat="1" applyFont="1" applyBorder="1"/>
    <xf numFmtId="49" fontId="4" fillId="0" borderId="2" xfId="2" applyNumberFormat="1" applyFont="1" applyBorder="1" applyAlignment="1">
      <alignment horizontal="center"/>
    </xf>
    <xf numFmtId="165" fontId="5" fillId="0" borderId="2" xfId="2" applyNumberFormat="1" applyFont="1" applyBorder="1"/>
    <xf numFmtId="49" fontId="4" fillId="0" borderId="6" xfId="2" applyNumberFormat="1" applyFont="1" applyBorder="1"/>
    <xf numFmtId="49" fontId="4" fillId="0" borderId="6" xfId="2" applyNumberFormat="1" applyFont="1" applyBorder="1" applyAlignment="1">
      <alignment horizontal="center"/>
    </xf>
    <xf numFmtId="49" fontId="5" fillId="0" borderId="6" xfId="2" applyNumberFormat="1" applyFont="1" applyBorder="1"/>
    <xf numFmtId="49" fontId="5" fillId="0" borderId="6" xfId="2" applyNumberFormat="1" applyFont="1" applyBorder="1" applyAlignment="1">
      <alignment horizontal="center"/>
    </xf>
    <xf numFmtId="0" fontId="5" fillId="0" borderId="6" xfId="2" applyFont="1" applyBorder="1" applyAlignment="1">
      <alignment horizontal="justify" vertical="center"/>
    </xf>
    <xf numFmtId="0" fontId="5" fillId="0" borderId="6" xfId="2" applyFont="1" applyBorder="1" applyAlignment="1">
      <alignment horizontal="justify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/>
    <xf numFmtId="0" fontId="5" fillId="0" borderId="6" xfId="2" applyFont="1" applyBorder="1" applyAlignment="1">
      <alignment horizontal="center"/>
    </xf>
    <xf numFmtId="0" fontId="1" fillId="0" borderId="0" xfId="2"/>
    <xf numFmtId="0" fontId="5" fillId="0" borderId="6" xfId="2" applyFont="1" applyBorder="1" applyAlignment="1">
      <alignment vertical="center" wrapText="1"/>
    </xf>
    <xf numFmtId="165" fontId="5" fillId="0" borderId="0" xfId="2" applyNumberFormat="1" applyFont="1"/>
    <xf numFmtId="0" fontId="5" fillId="0" borderId="7" xfId="2" applyFont="1" applyBorder="1" applyAlignment="1">
      <alignment horizontal="justify" vertical="center" wrapText="1"/>
    </xf>
    <xf numFmtId="0" fontId="5" fillId="0" borderId="7" xfId="2" applyFont="1" applyBorder="1" applyAlignment="1">
      <alignment horizontal="center" vertical="center" wrapText="1"/>
    </xf>
    <xf numFmtId="0" fontId="11" fillId="0" borderId="0" xfId="2" applyFont="1"/>
    <xf numFmtId="0" fontId="12" fillId="0" borderId="0" xfId="2" applyFont="1" applyAlignment="1">
      <alignment horizontal="center"/>
    </xf>
    <xf numFmtId="0" fontId="12" fillId="0" borderId="0" xfId="2" applyFont="1"/>
    <xf numFmtId="0" fontId="12" fillId="0" borderId="0" xfId="2" applyFont="1" applyAlignment="1">
      <alignment horizontal="right"/>
    </xf>
    <xf numFmtId="0" fontId="4" fillId="0" borderId="1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top"/>
    </xf>
    <xf numFmtId="164" fontId="15" fillId="0" borderId="2" xfId="2" quotePrefix="1" applyNumberFormat="1" applyFont="1" applyBorder="1" applyAlignment="1">
      <alignment horizontal="center" vertical="top" wrapText="1"/>
    </xf>
    <xf numFmtId="0" fontId="12" fillId="0" borderId="0" xfId="2" applyFont="1" applyAlignment="1">
      <alignment horizontal="center" vertical="top"/>
    </xf>
    <xf numFmtId="0" fontId="5" fillId="0" borderId="1" xfId="2" applyFont="1" applyBorder="1" applyAlignment="1">
      <alignment horizontal="justify" vertical="top" wrapText="1"/>
    </xf>
    <xf numFmtId="0" fontId="5" fillId="0" borderId="1" xfId="2" quotePrefix="1" applyFont="1" applyBorder="1" applyAlignment="1">
      <alignment horizontal="center" vertical="top" wrapText="1"/>
    </xf>
    <xf numFmtId="0" fontId="5" fillId="0" borderId="1" xfId="2" applyFont="1" applyBorder="1" applyAlignment="1">
      <alignment horizontal="center" vertical="top" wrapText="1"/>
    </xf>
    <xf numFmtId="168" fontId="5" fillId="0" borderId="1" xfId="2" applyNumberFormat="1" applyFont="1" applyBorder="1" applyAlignment="1">
      <alignment horizontal="right" vertical="top" wrapText="1"/>
    </xf>
    <xf numFmtId="166" fontId="5" fillId="0" borderId="1" xfId="1" applyNumberFormat="1" applyFont="1" applyBorder="1" applyAlignment="1">
      <alignment horizontal="right" vertical="top" wrapText="1"/>
    </xf>
    <xf numFmtId="0" fontId="12" fillId="0" borderId="0" xfId="2" applyFont="1" applyAlignment="1">
      <alignment vertical="top"/>
    </xf>
    <xf numFmtId="0" fontId="11" fillId="0" borderId="1" xfId="2" applyFont="1" applyBorder="1" applyAlignment="1">
      <alignment horizontal="justify" vertical="top" wrapText="1"/>
    </xf>
    <xf numFmtId="0" fontId="8" fillId="0" borderId="0" xfId="2" applyFont="1"/>
    <xf numFmtId="0" fontId="12" fillId="0" borderId="0" xfId="2" applyFont="1" applyAlignment="1">
      <alignment horizontal="left" wrapText="1"/>
    </xf>
    <xf numFmtId="0" fontId="16" fillId="0" borderId="0" xfId="2" applyFont="1" applyAlignment="1">
      <alignment horizontal="justify"/>
    </xf>
    <xf numFmtId="0" fontId="2" fillId="0" borderId="0" xfId="2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2" fillId="0" borderId="0" xfId="2" applyFont="1" applyAlignment="1">
      <alignment horizontal="center"/>
    </xf>
    <xf numFmtId="0" fontId="3" fillId="0" borderId="0" xfId="2" applyFont="1"/>
    <xf numFmtId="0" fontId="2" fillId="0" borderId="8" xfId="2" applyFont="1" applyBorder="1" applyAlignment="1">
      <alignment vertical="center"/>
    </xf>
    <xf numFmtId="0" fontId="3" fillId="0" borderId="7" xfId="2" applyFont="1" applyBorder="1" applyAlignment="1">
      <alignment horizontal="center" vertical="center"/>
    </xf>
    <xf numFmtId="165" fontId="3" fillId="0" borderId="7" xfId="2" applyNumberFormat="1" applyFont="1" applyBorder="1" applyAlignment="1">
      <alignment horizontal="right" vertical="center"/>
    </xf>
    <xf numFmtId="0" fontId="3" fillId="0" borderId="9" xfId="2" applyFont="1" applyBorder="1" applyAlignment="1">
      <alignment horizontal="left" vertical="center" indent="1"/>
    </xf>
    <xf numFmtId="169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65" fontId="3" fillId="0" borderId="1" xfId="2" applyNumberFormat="1" applyFont="1" applyBorder="1" applyAlignment="1">
      <alignment horizontal="right" vertical="center"/>
    </xf>
    <xf numFmtId="0" fontId="20" fillId="0" borderId="9" xfId="2" applyFont="1" applyBorder="1" applyAlignment="1">
      <alignment horizontal="left" vertical="center"/>
    </xf>
    <xf numFmtId="0" fontId="2" fillId="0" borderId="1" xfId="2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/>
    </xf>
    <xf numFmtId="165" fontId="2" fillId="0" borderId="1" xfId="2" applyNumberFormat="1" applyFont="1" applyBorder="1" applyAlignment="1">
      <alignment horizontal="right" vertical="center"/>
    </xf>
    <xf numFmtId="0" fontId="2" fillId="0" borderId="9" xfId="2" applyFont="1" applyBorder="1" applyAlignment="1">
      <alignment horizontal="left" vertical="center"/>
    </xf>
    <xf numFmtId="0" fontId="3" fillId="0" borderId="9" xfId="2" applyFont="1" applyBorder="1" applyAlignment="1">
      <alignment horizontal="left" vertical="center"/>
    </xf>
    <xf numFmtId="0" fontId="3" fillId="0" borderId="2" xfId="2" applyFont="1" applyBorder="1" applyAlignment="1">
      <alignment horizontal="center" vertical="center"/>
    </xf>
    <xf numFmtId="0" fontId="15" fillId="0" borderId="0" xfId="2" applyFont="1" applyAlignment="1">
      <alignment horizontal="center"/>
    </xf>
    <xf numFmtId="0" fontId="15" fillId="0" borderId="0" xfId="2" applyFont="1"/>
    <xf numFmtId="0" fontId="7" fillId="0" borderId="0" xfId="2" applyFont="1"/>
    <xf numFmtId="49" fontId="5" fillId="0" borderId="0" xfId="2" applyNumberFormat="1" applyFont="1" applyAlignment="1">
      <alignment vertical="center"/>
    </xf>
    <xf numFmtId="0" fontId="5" fillId="0" borderId="0" xfId="2" applyFont="1" applyAlignment="1">
      <alignment horizontal="center"/>
    </xf>
    <xf numFmtId="49" fontId="4" fillId="0" borderId="1" xfId="2" applyNumberFormat="1" applyFont="1" applyBorder="1" applyAlignment="1">
      <alignment horizontal="center"/>
    </xf>
    <xf numFmtId="49" fontId="5" fillId="0" borderId="1" xfId="2" applyNumberFormat="1" applyFont="1" applyBorder="1" applyAlignment="1">
      <alignment horizontal="center"/>
    </xf>
    <xf numFmtId="49" fontId="11" fillId="0" borderId="1" xfId="2" applyNumberFormat="1" applyFont="1" applyBorder="1" applyAlignment="1">
      <alignment horizontal="center"/>
    </xf>
    <xf numFmtId="165" fontId="3" fillId="0" borderId="0" xfId="0" applyNumberFormat="1" applyFont="1"/>
    <xf numFmtId="0" fontId="6" fillId="0" borderId="0" xfId="0" quotePrefix="1" applyFont="1" applyAlignment="1">
      <alignment horizontal="left" vertical="center" readingOrder="1"/>
    </xf>
    <xf numFmtId="165" fontId="5" fillId="0" borderId="1" xfId="2" applyNumberFormat="1" applyFont="1" applyBorder="1"/>
    <xf numFmtId="0" fontId="21" fillId="0" borderId="0" xfId="0" applyFont="1"/>
    <xf numFmtId="0" fontId="3" fillId="0" borderId="10" xfId="2" applyFont="1" applyBorder="1" applyAlignment="1">
      <alignment horizontal="center" vertical="center"/>
    </xf>
    <xf numFmtId="165" fontId="2" fillId="0" borderId="10" xfId="2" applyNumberFormat="1" applyFont="1" applyBorder="1" applyAlignment="1">
      <alignment horizontal="right" vertical="center"/>
    </xf>
    <xf numFmtId="0" fontId="2" fillId="0" borderId="2" xfId="2" applyFont="1" applyBorder="1" applyAlignment="1">
      <alignment horizontal="center" vertical="center"/>
    </xf>
    <xf numFmtId="0" fontId="5" fillId="0" borderId="11" xfId="2" applyFont="1" applyBorder="1"/>
    <xf numFmtId="0" fontId="2" fillId="0" borderId="12" xfId="2" applyFont="1" applyBorder="1" applyAlignment="1">
      <alignment horizontal="left" vertical="center"/>
    </xf>
    <xf numFmtId="0" fontId="3" fillId="0" borderId="4" xfId="2" applyFont="1" applyBorder="1" applyAlignment="1">
      <alignment horizontal="right" vertical="center"/>
    </xf>
    <xf numFmtId="0" fontId="5" fillId="0" borderId="13" xfId="2" applyFont="1" applyBorder="1"/>
    <xf numFmtId="0" fontId="19" fillId="0" borderId="14" xfId="2" applyFont="1" applyBorder="1" applyAlignment="1">
      <alignment horizontal="right" vertical="center"/>
    </xf>
    <xf numFmtId="0" fontId="3" fillId="0" borderId="14" xfId="2" applyFont="1" applyBorder="1" applyAlignment="1">
      <alignment horizontal="right" vertical="center"/>
    </xf>
    <xf numFmtId="0" fontId="3" fillId="0" borderId="15" xfId="2" applyFont="1" applyBorder="1" applyAlignment="1">
      <alignment horizontal="right" vertical="center"/>
    </xf>
    <xf numFmtId="3" fontId="3" fillId="0" borderId="16" xfId="2" applyNumberFormat="1" applyFont="1" applyBorder="1" applyAlignment="1">
      <alignment horizontal="right" vertical="center"/>
    </xf>
    <xf numFmtId="0" fontId="3" fillId="0" borderId="17" xfId="2" applyFont="1" applyBorder="1"/>
    <xf numFmtId="0" fontId="2" fillId="0" borderId="18" xfId="2" applyFont="1" applyBorder="1" applyAlignment="1">
      <alignment horizontal="center" vertical="center" wrapText="1"/>
    </xf>
    <xf numFmtId="0" fontId="2" fillId="0" borderId="19" xfId="2" applyFont="1" applyBorder="1" applyAlignment="1">
      <alignment horizontal="center" vertical="center" wrapText="1"/>
    </xf>
    <xf numFmtId="0" fontId="2" fillId="0" borderId="20" xfId="2" applyFont="1" applyBorder="1" applyAlignment="1">
      <alignment horizontal="center" vertical="center" wrapText="1"/>
    </xf>
    <xf numFmtId="164" fontId="3" fillId="0" borderId="18" xfId="2" applyNumberFormat="1" applyFont="1" applyBorder="1" applyAlignment="1">
      <alignment horizontal="center" vertical="center" wrapText="1"/>
    </xf>
    <xf numFmtId="164" fontId="3" fillId="0" borderId="19" xfId="2" applyNumberFormat="1" applyFont="1" applyBorder="1" applyAlignment="1">
      <alignment horizontal="center" vertical="center" wrapText="1"/>
    </xf>
    <xf numFmtId="164" fontId="3" fillId="0" borderId="20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11" fillId="0" borderId="0" xfId="2" applyFont="1" applyAlignment="1">
      <alignment horizontal="left" wrapText="1"/>
    </xf>
    <xf numFmtId="0" fontId="13" fillId="0" borderId="0" xfId="2" applyFont="1" applyAlignment="1">
      <alignment horizontal="center"/>
    </xf>
    <xf numFmtId="0" fontId="14" fillId="0" borderId="0" xfId="2" applyFont="1" applyAlignment="1">
      <alignment horizontal="center"/>
    </xf>
    <xf numFmtId="0" fontId="18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19" fillId="0" borderId="17" xfId="2" applyFont="1" applyBorder="1" applyAlignment="1">
      <alignment horizontal="right"/>
    </xf>
  </cellXfs>
  <cellStyles count="3">
    <cellStyle name="Comma" xfId="1" builtinId="3"/>
    <cellStyle name="Normal" xfId="0" builtinId="0"/>
    <cellStyle name="Normal 2" xfId="2" xr:uid="{3A919EB4-FEC8-478B-A724-352CDB20A256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im%20thien%20phu\2007\Nam2004\Baitap\bc-bh\TPHCM\Book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in%20hoc%20ung%20dung%20trong%20ke%20toan\Dulieu%20minh%20hoa%20THUDTKT%20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2"/>
      <sheetName val="D.TUAN"/>
      <sheetName val="BINH"/>
      <sheetName val="TIEN"/>
      <sheetName val="H.YEN"/>
      <sheetName val="N.DUNG"/>
      <sheetName val="QUANGPHUNG"/>
      <sheetName val="LE"/>
      <sheetName val="T.TUAN"/>
      <sheetName val="N.ANH"/>
      <sheetName val="P.LAN"/>
      <sheetName val="A.TUAN"/>
      <sheetName val="K.THUY"/>
      <sheetName val="TRIET"/>
      <sheetName val="#REF"/>
      <sheetName val="thanh"/>
      <sheetName val="H.HUY"/>
      <sheetName val="luynh"/>
      <sheetName val="v.sy"/>
      <sheetName val="TRUNG"/>
      <sheetName val="T.LUONG"/>
      <sheetName val="T.LOC"/>
      <sheetName val="t.hai"/>
      <sheetName val="Xuan"/>
      <sheetName val="M.THUY"/>
      <sheetName val="DIEP1"/>
      <sheetName val="SIEUTHI"/>
      <sheetName val="C.SO"/>
      <sheetName val="N.HUONG"/>
      <sheetName val="QHA"/>
      <sheetName val="NPP2"/>
      <sheetName val="G.HAN"/>
      <sheetName val="NPPQ7"/>
      <sheetName val="ngoc"/>
      <sheetName val="c.huong"/>
      <sheetName val="DIEP3"/>
      <sheetName val="NHATHANH"/>
      <sheetName val="nghia"/>
      <sheetName val="Hoa"/>
      <sheetName val="NPP1"/>
      <sheetName val="T.VU"/>
      <sheetName val="maile"/>
      <sheetName val="ut"/>
      <sheetName val="T.LAN"/>
      <sheetName val="NVS"/>
      <sheetName val="L.chi"/>
      <sheetName val="TONGHOP"/>
      <sheetName val="ESTI."/>
      <sheetName val="DI-ESTI"/>
      <sheetName val="Tæng ng¹ch"/>
      <sheetName val="chitimc"/>
      <sheetName val="Gia_GC_Satthep"/>
      <sheetName val="Chiet tinh dz22"/>
      <sheetName val="CTKM"/>
      <sheetName val="BANGPHU"/>
      <sheetName val="k12"/>
      <sheetName val="Gia"/>
      <sheetName val="PNT-QUOT-#3"/>
      <sheetName val="COAT&amp;WRAP-QIOT-#3"/>
      <sheetName val="PNT_QUOT__3"/>
      <sheetName val="COAT_WRAP_QIOT__3"/>
      <sheetName val="UNIT"/>
      <sheetName val="MTL$-INTER"/>
      <sheetName val="IBASE"/>
      <sheetName val="Dutoan KL"/>
      <sheetName val="PT VATTU"/>
      <sheetName val="DG CANTHO"/>
      <sheetName val="Giathanh1m3BT"/>
      <sheetName val="DON GIA TRAM (3)"/>
      <sheetName val="DGXDCB_DD"/>
      <sheetName val="Gia thanh"/>
      <sheetName val="BAOGIATHANG"/>
      <sheetName val="vanchuyen TC"/>
      <sheetName val="DAODAT"/>
      <sheetName val="gvl"/>
      <sheetName val="Du_lieu"/>
      <sheetName val="KH-Q1,Q2,01"/>
      <sheetName val="VANKHUON"/>
      <sheetName val="CHITIET"/>
      <sheetName val="MTP"/>
      <sheetName val="MTP1"/>
      <sheetName val="QMCT"/>
      <sheetName val="dg-VTu"/>
      <sheetName val="CT Thang Mo"/>
      <sheetName val="CT  PL"/>
      <sheetName val="Chiet tinh dz35"/>
      <sheetName val="Chi tiet"/>
      <sheetName val="NGUON"/>
      <sheetName val="DONVIBAN"/>
      <sheetName val="bang tien luong"/>
      <sheetName val="truc tiep"/>
      <sheetName val="DM 67"/>
      <sheetName val="chi tiet dz 22 kv"/>
      <sheetName val="??-BLDG"/>
      <sheetName val="NEW-PANEL"/>
      <sheetName val="SILICATE"/>
      <sheetName val="MTO REV.0"/>
      <sheetName val="MTO REV.2(ARMOR)"/>
      <sheetName val="Sheet1"/>
      <sheetName val="CTGS"/>
      <sheetName val="XL4Poppy"/>
      <sheetName val="TDTKP"/>
      <sheetName val="DK_KH"/>
      <sheetName val="VAO"/>
      <sheetName val="Tiep 05"/>
      <sheetName val="MA"/>
      <sheetName val="Sheet3"/>
      <sheetName val="phulucvua"/>
      <sheetName val="DTXL"/>
      <sheetName val="CTU"/>
      <sheetName val="MATK"/>
      <sheetName val="l­ongthang"/>
      <sheetName val="thunhap2"/>
      <sheetName val="DG "/>
      <sheetName val="FA-LISTING"/>
      <sheetName val="May"/>
      <sheetName val="vua"/>
      <sheetName val="Vat lieu"/>
      <sheetName val="DTCT"/>
      <sheetName val="DGduong"/>
      <sheetName val="Thuc thanh"/>
      <sheetName val="DG"/>
      <sheetName val="Tra_bang"/>
      <sheetName val="ND"/>
      <sheetName val="TN"/>
      <sheetName val="VL"/>
      <sheetName val="tra-vat-lieu"/>
      <sheetName val="GiaVL"/>
      <sheetName val="DO AM DT"/>
      <sheetName val="dtct cong"/>
      <sheetName val="Section"/>
      <sheetName val="PEDESB"/>
      <sheetName val="TTDZ22"/>
      <sheetName val="TONGKE3p "/>
      <sheetName val="TNHCHINH"/>
      <sheetName val="CHITIET VL-NC-TT -1p"/>
      <sheetName val="TDTKP1"/>
      <sheetName val="KPVC-BD "/>
      <sheetName val="Tiepdia"/>
      <sheetName val="CHITIET VL-NC-TT-3p"/>
      <sheetName val="VCV-BE-TONG"/>
      <sheetName val="VC"/>
      <sheetName val="CHITIET VL-NC"/>
      <sheetName val="THPDMoi  (2)"/>
      <sheetName val="t-h HA THE"/>
      <sheetName val="giathanh1"/>
      <sheetName val="TONGKE-HT"/>
      <sheetName val="dongia (2)"/>
      <sheetName val="gtrinh"/>
      <sheetName val="lam-moi"/>
      <sheetName val="TH XL"/>
      <sheetName val="thao-go"/>
      <sheetName val="DON GIA"/>
      <sheetName val="TONG HOP VL-NC"/>
      <sheetName val="phuluc1"/>
      <sheetName val="TONG HOP VL-NC TT"/>
      <sheetName val="LKVL-CK-HT-GD1"/>
      <sheetName val="TH VL, NC, DDHT Thanhphuoc"/>
      <sheetName val="DONGIA"/>
      <sheetName val="MAIN GATE HOUSE"/>
      <sheetName val="KHQT-00-01"/>
      <sheetName val="Chiet tinh"/>
      <sheetName val="Tongke"/>
      <sheetName val="Sheet2"/>
      <sheetName val="nhan cong"/>
      <sheetName val="A6,MAY"/>
      <sheetName val="NC"/>
      <sheetName val="Page 3"/>
      <sheetName val="CPTNo"/>
      <sheetName val="A6"/>
      <sheetName val="Bang gia tong hop"/>
      <sheetName val="m doc"/>
      <sheetName val="dghn"/>
      <sheetName val="Main"/>
      <sheetName val="Bang chiet tinh TBA"/>
      <sheetName val="THDZ0,4"/>
      <sheetName val="THCT"/>
      <sheetName val="TH DZ35"/>
      <sheetName val="He so"/>
      <sheetName val="btct"/>
      <sheetName val="THKP"/>
      <sheetName val="1vanban"/>
      <sheetName val="gia vt,nc,may"/>
      <sheetName val="TT04"/>
      <sheetName val="TTTram"/>
      <sheetName val="ma-pt"/>
      <sheetName val="T.Tinh"/>
      <sheetName val="4"/>
      <sheetName val="PhÇnCK"/>
      <sheetName val="Gia vat tu"/>
      <sheetName val="DG-Don vi"/>
      <sheetName val="Tke"/>
      <sheetName val="03-01"/>
      <sheetName val="DATA"/>
      <sheetName val="BR"/>
      <sheetName val="Sum"/>
      <sheetName val="DGchitiet "/>
      <sheetName val="DSNV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TK1"/>
      <sheetName val="DMTK"/>
      <sheetName val="CT"/>
      <sheetName val="SC TN ĐN"/>
      <sheetName val="NKCT TN ĐN"/>
      <sheetName val="CDTKTH TN DN"/>
      <sheetName val="SQ-TGNH TN DN"/>
      <sheetName val="NKC TN DN"/>
      <sheetName val="SC"/>
      <sheetName val="NKC"/>
      <sheetName val="CDKT"/>
      <sheetName val="KQKD"/>
      <sheetName val="LCTT"/>
      <sheetName val="NKTT"/>
      <sheetName val="NKCT"/>
      <sheetName val="SCTTK"/>
      <sheetName val="SQ-TGNH"/>
      <sheetName val="SCTHTK"/>
      <sheetName val="SCP"/>
      <sheetName val="BTHHTK"/>
      <sheetName val="TH131"/>
      <sheetName val="TH152"/>
      <sheetName val="CDTKCT"/>
      <sheetName val="CDTKTH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workbookViewId="0">
      <selection activeCell="E5" sqref="E5"/>
    </sheetView>
  </sheetViews>
  <sheetFormatPr defaultColWidth="9.33203125" defaultRowHeight="18" customHeight="1" x14ac:dyDescent="0.3"/>
  <cols>
    <col min="1" max="1" width="8.6640625" style="14" customWidth="1"/>
    <col min="2" max="2" width="12.33203125" style="14" customWidth="1"/>
    <col min="3" max="3" width="56.6640625" style="14" bestFit="1" customWidth="1"/>
    <col min="4" max="4" width="16.6640625" style="14" bestFit="1" customWidth="1"/>
    <col min="5" max="6" width="20.77734375" style="14" bestFit="1" customWidth="1"/>
    <col min="7" max="16384" width="9.33203125" style="14"/>
  </cols>
  <sheetData>
    <row r="1" spans="1:10" s="3" customFormat="1" ht="18" customHeight="1" x14ac:dyDescent="0.3">
      <c r="A1" s="1" t="s">
        <v>0</v>
      </c>
      <c r="B1" s="1"/>
      <c r="C1" s="1"/>
      <c r="D1" s="2"/>
      <c r="E1" s="2"/>
      <c r="F1" s="2"/>
    </row>
    <row r="3" spans="1:10" s="3" customFormat="1" ht="18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10" s="3" customFormat="1" ht="18" customHeight="1" x14ac:dyDescent="0.3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J4" s="6"/>
    </row>
    <row r="5" spans="1:10" s="3" customFormat="1" ht="18" customHeight="1" x14ac:dyDescent="0.3">
      <c r="A5" s="7" t="s">
        <v>7</v>
      </c>
      <c r="B5" s="8" t="s">
        <v>8</v>
      </c>
      <c r="C5" s="9" t="s">
        <v>9</v>
      </c>
      <c r="D5" s="10"/>
      <c r="E5" s="10"/>
      <c r="F5" s="10"/>
    </row>
    <row r="6" spans="1:10" s="3" customFormat="1" ht="18" customHeight="1" x14ac:dyDescent="0.3">
      <c r="A6" s="7" t="s">
        <v>10</v>
      </c>
      <c r="B6" s="8" t="s">
        <v>8</v>
      </c>
      <c r="C6" s="9" t="s">
        <v>11</v>
      </c>
      <c r="D6" s="10"/>
      <c r="E6" s="10"/>
      <c r="F6" s="10"/>
    </row>
    <row r="7" spans="1:10" s="3" customFormat="1" ht="18" customHeight="1" x14ac:dyDescent="0.3">
      <c r="A7" s="7" t="s">
        <v>12</v>
      </c>
      <c r="B7" s="8" t="s">
        <v>8</v>
      </c>
      <c r="C7" s="9" t="s">
        <v>13</v>
      </c>
      <c r="D7" s="10"/>
      <c r="E7" s="10"/>
      <c r="F7" s="10"/>
    </row>
    <row r="8" spans="1:10" s="3" customFormat="1" ht="18" customHeight="1" x14ac:dyDescent="0.3">
      <c r="A8" s="7" t="s">
        <v>14</v>
      </c>
      <c r="B8" s="8" t="s">
        <v>8</v>
      </c>
      <c r="C8" s="11" t="s">
        <v>15</v>
      </c>
      <c r="D8" s="10"/>
      <c r="E8" s="10"/>
      <c r="F8" s="10"/>
    </row>
    <row r="9" spans="1:10" s="3" customFormat="1" ht="18" customHeight="1" x14ac:dyDescent="0.3">
      <c r="A9" s="7" t="s">
        <v>16</v>
      </c>
      <c r="B9" s="8" t="s">
        <v>8</v>
      </c>
      <c r="C9" s="11" t="s">
        <v>17</v>
      </c>
      <c r="D9" s="10"/>
      <c r="E9" s="10"/>
      <c r="F9" s="10"/>
    </row>
    <row r="10" spans="1:10" s="3" customFormat="1" ht="18" customHeight="1" x14ac:dyDescent="0.3">
      <c r="A10" s="7" t="s">
        <v>18</v>
      </c>
      <c r="B10" s="8" t="s">
        <v>8</v>
      </c>
      <c r="C10" s="9" t="s">
        <v>19</v>
      </c>
      <c r="D10" s="10"/>
      <c r="E10" s="10"/>
      <c r="F10" s="10"/>
    </row>
    <row r="11" spans="1:10" s="3" customFormat="1" ht="18" customHeight="1" x14ac:dyDescent="0.3">
      <c r="A11" s="7" t="s">
        <v>20</v>
      </c>
      <c r="B11" s="8" t="s">
        <v>8</v>
      </c>
      <c r="C11" s="11" t="s">
        <v>21</v>
      </c>
      <c r="D11" s="10"/>
      <c r="E11" s="10"/>
      <c r="F11" s="10"/>
    </row>
    <row r="12" spans="1:10" s="3" customFormat="1" ht="18" customHeight="1" x14ac:dyDescent="0.3">
      <c r="A12" s="7" t="s">
        <v>22</v>
      </c>
      <c r="B12" s="8" t="s">
        <v>8</v>
      </c>
      <c r="C12" s="9" t="s">
        <v>23</v>
      </c>
      <c r="D12" s="10"/>
      <c r="E12" s="10"/>
      <c r="F12" s="10"/>
    </row>
    <row r="13" spans="1:10" s="3" customFormat="1" ht="18" customHeight="1" x14ac:dyDescent="0.3">
      <c r="A13" s="7" t="s">
        <v>24</v>
      </c>
      <c r="B13" s="8" t="s">
        <v>8</v>
      </c>
      <c r="C13" s="9" t="s">
        <v>25</v>
      </c>
      <c r="D13" s="10"/>
      <c r="E13" s="10"/>
      <c r="F13" s="10"/>
    </row>
    <row r="14" spans="1:10" s="3" customFormat="1" ht="18" customHeight="1" x14ac:dyDescent="0.3">
      <c r="A14" s="7" t="s">
        <v>26</v>
      </c>
      <c r="B14" s="8" t="s">
        <v>8</v>
      </c>
      <c r="C14" s="9" t="s">
        <v>27</v>
      </c>
      <c r="D14" s="10"/>
      <c r="E14" s="10"/>
      <c r="F14" s="10"/>
    </row>
    <row r="15" spans="1:10" s="3" customFormat="1" ht="18" customHeight="1" x14ac:dyDescent="0.3">
      <c r="A15" s="7" t="s">
        <v>28</v>
      </c>
      <c r="B15" s="8" t="s">
        <v>8</v>
      </c>
      <c r="C15" s="9" t="s">
        <v>29</v>
      </c>
      <c r="D15" s="10"/>
      <c r="E15" s="10"/>
      <c r="F15" s="10"/>
    </row>
    <row r="16" spans="1:10" s="3" customFormat="1" ht="18" customHeight="1" x14ac:dyDescent="0.3">
      <c r="A16" s="7" t="s">
        <v>30</v>
      </c>
      <c r="B16" s="8" t="s">
        <v>8</v>
      </c>
      <c r="C16" s="9" t="s">
        <v>31</v>
      </c>
      <c r="D16" s="10"/>
      <c r="E16" s="10"/>
      <c r="F16" s="10"/>
    </row>
    <row r="17" spans="1:6" s="3" customFormat="1" ht="18" customHeight="1" x14ac:dyDescent="0.3">
      <c r="A17" s="7" t="s">
        <v>32</v>
      </c>
      <c r="B17" s="8" t="s">
        <v>8</v>
      </c>
      <c r="C17" s="9" t="s">
        <v>33</v>
      </c>
      <c r="D17" s="10"/>
      <c r="E17" s="10"/>
      <c r="F17" s="10"/>
    </row>
    <row r="18" spans="1:6" s="3" customFormat="1" ht="18" customHeight="1" x14ac:dyDescent="0.3">
      <c r="A18" s="7" t="s">
        <v>34</v>
      </c>
      <c r="B18" s="8" t="s">
        <v>8</v>
      </c>
      <c r="C18" s="9" t="s">
        <v>35</v>
      </c>
      <c r="D18" s="10"/>
      <c r="E18" s="10"/>
      <c r="F18" s="10"/>
    </row>
    <row r="19" spans="1:6" s="3" customFormat="1" ht="18" customHeight="1" x14ac:dyDescent="0.3">
      <c r="A19" s="7" t="s">
        <v>36</v>
      </c>
      <c r="B19" s="8" t="s">
        <v>8</v>
      </c>
      <c r="C19" s="9" t="s">
        <v>37</v>
      </c>
      <c r="D19" s="10"/>
      <c r="E19" s="10"/>
      <c r="F19" s="10"/>
    </row>
    <row r="20" spans="1:6" s="3" customFormat="1" ht="18" customHeight="1" x14ac:dyDescent="0.3">
      <c r="A20" s="7" t="s">
        <v>38</v>
      </c>
      <c r="B20" s="8" t="s">
        <v>8</v>
      </c>
      <c r="C20" s="9" t="s">
        <v>39</v>
      </c>
      <c r="D20" s="10"/>
      <c r="E20" s="10"/>
      <c r="F20" s="10"/>
    </row>
    <row r="21" spans="1:6" s="3" customFormat="1" ht="18" customHeight="1" x14ac:dyDescent="0.3">
      <c r="A21" s="7" t="s">
        <v>40</v>
      </c>
      <c r="B21" s="8" t="s">
        <v>8</v>
      </c>
      <c r="C21" s="9" t="s">
        <v>41</v>
      </c>
      <c r="D21" s="10"/>
      <c r="E21" s="10"/>
      <c r="F21" s="10"/>
    </row>
    <row r="22" spans="1:6" s="3" customFormat="1" ht="18" customHeight="1" x14ac:dyDescent="0.3">
      <c r="A22" s="7" t="s">
        <v>42</v>
      </c>
      <c r="B22" s="8" t="s">
        <v>8</v>
      </c>
      <c r="C22" s="9" t="s">
        <v>43</v>
      </c>
      <c r="D22" s="10"/>
      <c r="E22" s="10"/>
      <c r="F22" s="10"/>
    </row>
    <row r="23" spans="1:6" s="3" customFormat="1" ht="18" customHeight="1" x14ac:dyDescent="0.3">
      <c r="A23" s="7" t="s">
        <v>44</v>
      </c>
      <c r="B23" s="8" t="s">
        <v>8</v>
      </c>
      <c r="C23" s="9" t="s">
        <v>45</v>
      </c>
      <c r="D23" s="10"/>
      <c r="E23" s="10"/>
      <c r="F23" s="10"/>
    </row>
    <row r="24" spans="1:6" s="3" customFormat="1" ht="18" customHeight="1" x14ac:dyDescent="0.3">
      <c r="A24" s="7" t="s">
        <v>46</v>
      </c>
      <c r="B24" s="8" t="s">
        <v>8</v>
      </c>
      <c r="C24" s="9" t="s">
        <v>47</v>
      </c>
      <c r="D24" s="10"/>
      <c r="E24" s="10"/>
      <c r="F24" s="10"/>
    </row>
    <row r="25" spans="1:6" s="3" customFormat="1" ht="18" customHeight="1" x14ac:dyDescent="0.3">
      <c r="A25" s="7" t="s">
        <v>48</v>
      </c>
      <c r="B25" s="8" t="s">
        <v>8</v>
      </c>
      <c r="C25" s="9" t="s">
        <v>49</v>
      </c>
      <c r="D25" s="10"/>
      <c r="E25" s="10"/>
      <c r="F25" s="10"/>
    </row>
    <row r="26" spans="1:6" s="3" customFormat="1" ht="18" customHeight="1" x14ac:dyDescent="0.3">
      <c r="A26" s="7" t="s">
        <v>50</v>
      </c>
      <c r="B26" s="8" t="s">
        <v>8</v>
      </c>
      <c r="C26" s="9" t="s">
        <v>51</v>
      </c>
      <c r="D26" s="10"/>
      <c r="E26" s="10"/>
      <c r="F26" s="10"/>
    </row>
    <row r="27" spans="1:6" s="3" customFormat="1" ht="18" customHeight="1" x14ac:dyDescent="0.3">
      <c r="A27" s="7" t="s">
        <v>52</v>
      </c>
      <c r="B27" s="8" t="s">
        <v>8</v>
      </c>
      <c r="C27" s="9" t="s">
        <v>53</v>
      </c>
      <c r="D27" s="10"/>
      <c r="E27" s="10"/>
      <c r="F27" s="10"/>
    </row>
    <row r="28" spans="1:6" s="3" customFormat="1" ht="18" customHeight="1" x14ac:dyDescent="0.3">
      <c r="A28" s="7" t="s">
        <v>54</v>
      </c>
      <c r="B28" s="8" t="s">
        <v>55</v>
      </c>
      <c r="C28" s="9" t="s">
        <v>56</v>
      </c>
      <c r="D28" s="10"/>
      <c r="E28" s="10"/>
      <c r="F28" s="10"/>
    </row>
    <row r="29" spans="1:6" s="3" customFormat="1" ht="18" customHeight="1" x14ac:dyDescent="0.3">
      <c r="A29" s="7" t="s">
        <v>57</v>
      </c>
      <c r="B29" s="8" t="s">
        <v>8</v>
      </c>
      <c r="C29" s="9" t="s">
        <v>58</v>
      </c>
      <c r="D29" s="10"/>
      <c r="E29" s="10"/>
      <c r="F29" s="10"/>
    </row>
    <row r="30" spans="1:6" s="3" customFormat="1" ht="18" customHeight="1" x14ac:dyDescent="0.3">
      <c r="A30" s="7" t="s">
        <v>59</v>
      </c>
      <c r="B30" s="8" t="s">
        <v>8</v>
      </c>
      <c r="C30" s="9" t="s">
        <v>60</v>
      </c>
      <c r="D30" s="10"/>
      <c r="E30" s="10"/>
      <c r="F30" s="10"/>
    </row>
    <row r="31" spans="1:6" s="3" customFormat="1" ht="18" customHeight="1" x14ac:dyDescent="0.3">
      <c r="A31" s="7" t="s">
        <v>61</v>
      </c>
      <c r="B31" s="8" t="s">
        <v>8</v>
      </c>
      <c r="C31" s="9" t="s">
        <v>62</v>
      </c>
      <c r="D31" s="10"/>
      <c r="E31" s="10"/>
      <c r="F31" s="10"/>
    </row>
    <row r="32" spans="1:6" s="3" customFormat="1" ht="18" customHeight="1" x14ac:dyDescent="0.3">
      <c r="A32" s="7" t="s">
        <v>63</v>
      </c>
      <c r="B32" s="8" t="s">
        <v>8</v>
      </c>
      <c r="C32" s="9" t="s">
        <v>64</v>
      </c>
      <c r="D32" s="10"/>
      <c r="E32" s="10"/>
      <c r="F32" s="10"/>
    </row>
    <row r="33" spans="1:6" s="3" customFormat="1" ht="18" customHeight="1" x14ac:dyDescent="0.3">
      <c r="A33" s="7" t="s">
        <v>65</v>
      </c>
      <c r="B33" s="8" t="s">
        <v>55</v>
      </c>
      <c r="C33" s="9" t="s">
        <v>66</v>
      </c>
      <c r="D33" s="10"/>
      <c r="E33" s="10"/>
      <c r="F33" s="10"/>
    </row>
    <row r="34" spans="1:6" s="3" customFormat="1" ht="18" customHeight="1" x14ac:dyDescent="0.3">
      <c r="A34" s="7" t="s">
        <v>67</v>
      </c>
      <c r="B34" s="8" t="s">
        <v>8</v>
      </c>
      <c r="C34" s="9" t="s">
        <v>68</v>
      </c>
      <c r="D34" s="10"/>
      <c r="E34" s="10"/>
      <c r="F34" s="10"/>
    </row>
    <row r="35" spans="1:6" s="3" customFormat="1" ht="18" customHeight="1" x14ac:dyDescent="0.3">
      <c r="A35" s="7" t="s">
        <v>69</v>
      </c>
      <c r="B35" s="8" t="s">
        <v>8</v>
      </c>
      <c r="C35" s="9" t="s">
        <v>70</v>
      </c>
      <c r="D35" s="10"/>
      <c r="E35" s="10"/>
      <c r="F35" s="10"/>
    </row>
    <row r="36" spans="1:6" s="3" customFormat="1" ht="18" customHeight="1" x14ac:dyDescent="0.3">
      <c r="A36" s="7" t="s">
        <v>71</v>
      </c>
      <c r="B36" s="8" t="s">
        <v>8</v>
      </c>
      <c r="C36" s="9" t="s">
        <v>72</v>
      </c>
      <c r="D36" s="10"/>
      <c r="E36" s="10"/>
      <c r="F36" s="10"/>
    </row>
    <row r="37" spans="1:6" s="3" customFormat="1" ht="18" customHeight="1" x14ac:dyDescent="0.3">
      <c r="A37" s="7" t="s">
        <v>73</v>
      </c>
      <c r="B37" s="8" t="s">
        <v>8</v>
      </c>
      <c r="C37" s="9" t="s">
        <v>74</v>
      </c>
      <c r="D37" s="10"/>
      <c r="E37" s="10"/>
      <c r="F37" s="10"/>
    </row>
    <row r="38" spans="1:6" s="3" customFormat="1" ht="18" customHeight="1" x14ac:dyDescent="0.3">
      <c r="A38" s="7" t="s">
        <v>75</v>
      </c>
      <c r="B38" s="8" t="s">
        <v>55</v>
      </c>
      <c r="C38" s="9" t="s">
        <v>76</v>
      </c>
      <c r="D38" s="10"/>
      <c r="E38" s="10"/>
      <c r="F38" s="10"/>
    </row>
    <row r="39" spans="1:6" s="3" customFormat="1" ht="18" customHeight="1" x14ac:dyDescent="0.3">
      <c r="A39" s="7" t="s">
        <v>77</v>
      </c>
      <c r="B39" s="8" t="s">
        <v>55</v>
      </c>
      <c r="C39" s="9" t="s">
        <v>78</v>
      </c>
      <c r="D39" s="10"/>
      <c r="E39" s="10"/>
      <c r="F39" s="10"/>
    </row>
    <row r="40" spans="1:6" s="3" customFormat="1" ht="18" customHeight="1" x14ac:dyDescent="0.3">
      <c r="A40" s="7" t="s">
        <v>79</v>
      </c>
      <c r="B40" s="8" t="s">
        <v>55</v>
      </c>
      <c r="C40" s="9" t="s">
        <v>80</v>
      </c>
      <c r="D40" s="10"/>
      <c r="E40" s="10"/>
      <c r="F40" s="10"/>
    </row>
    <row r="41" spans="1:6" s="3" customFormat="1" ht="18" customHeight="1" x14ac:dyDescent="0.3">
      <c r="A41" s="7" t="s">
        <v>81</v>
      </c>
      <c r="B41" s="8" t="s">
        <v>55</v>
      </c>
      <c r="C41" s="9" t="s">
        <v>82</v>
      </c>
      <c r="D41" s="10"/>
      <c r="E41" s="10"/>
      <c r="F41" s="10"/>
    </row>
    <row r="42" spans="1:6" s="3" customFormat="1" ht="18" customHeight="1" x14ac:dyDescent="0.3">
      <c r="A42" s="7" t="s">
        <v>83</v>
      </c>
      <c r="B42" s="8" t="s">
        <v>55</v>
      </c>
      <c r="C42" s="9" t="s">
        <v>84</v>
      </c>
      <c r="D42" s="10"/>
      <c r="E42" s="10"/>
      <c r="F42" s="10"/>
    </row>
    <row r="43" spans="1:6" s="3" customFormat="1" ht="18" customHeight="1" x14ac:dyDescent="0.3">
      <c r="A43" s="7" t="s">
        <v>85</v>
      </c>
      <c r="B43" s="8" t="s">
        <v>55</v>
      </c>
      <c r="C43" s="9" t="s">
        <v>86</v>
      </c>
      <c r="D43" s="10"/>
      <c r="E43" s="10"/>
      <c r="F43" s="10"/>
    </row>
    <row r="44" spans="1:6" s="3" customFormat="1" ht="18" customHeight="1" x14ac:dyDescent="0.3">
      <c r="A44" s="7" t="s">
        <v>87</v>
      </c>
      <c r="B44" s="8" t="s">
        <v>55</v>
      </c>
      <c r="C44" s="9" t="s">
        <v>88</v>
      </c>
      <c r="D44" s="10"/>
      <c r="E44" s="10"/>
      <c r="F44" s="10"/>
    </row>
    <row r="45" spans="1:6" s="3" customFormat="1" ht="18" customHeight="1" x14ac:dyDescent="0.3">
      <c r="A45" s="7" t="s">
        <v>89</v>
      </c>
      <c r="B45" s="8" t="s">
        <v>55</v>
      </c>
      <c r="C45" s="9" t="s">
        <v>90</v>
      </c>
      <c r="D45" s="10"/>
      <c r="E45" s="10"/>
      <c r="F45" s="10"/>
    </row>
    <row r="46" spans="1:6" s="3" customFormat="1" ht="18" customHeight="1" x14ac:dyDescent="0.3">
      <c r="A46" s="7" t="s">
        <v>91</v>
      </c>
      <c r="B46" s="8" t="s">
        <v>55</v>
      </c>
      <c r="C46" s="9" t="s">
        <v>92</v>
      </c>
      <c r="D46" s="10"/>
      <c r="E46" s="10"/>
      <c r="F46" s="10"/>
    </row>
    <row r="47" spans="1:6" s="3" customFormat="1" ht="18" customHeight="1" x14ac:dyDescent="0.3">
      <c r="A47" s="7" t="s">
        <v>93</v>
      </c>
      <c r="B47" s="8" t="s">
        <v>55</v>
      </c>
      <c r="C47" s="9" t="s">
        <v>94</v>
      </c>
      <c r="D47" s="10"/>
      <c r="E47" s="10"/>
      <c r="F47" s="10"/>
    </row>
    <row r="48" spans="1:6" s="3" customFormat="1" ht="18" customHeight="1" x14ac:dyDescent="0.3">
      <c r="A48" s="7" t="s">
        <v>95</v>
      </c>
      <c r="B48" s="8" t="s">
        <v>55</v>
      </c>
      <c r="C48" s="9" t="s">
        <v>96</v>
      </c>
      <c r="D48" s="10"/>
      <c r="E48" s="10"/>
      <c r="F48" s="10"/>
    </row>
    <row r="49" spans="1:6" s="3" customFormat="1" ht="18" customHeight="1" x14ac:dyDescent="0.3">
      <c r="A49" s="7" t="s">
        <v>97</v>
      </c>
      <c r="B49" s="8" t="s">
        <v>55</v>
      </c>
      <c r="C49" s="9" t="s">
        <v>98</v>
      </c>
      <c r="D49" s="10"/>
      <c r="E49" s="10"/>
      <c r="F49" s="10"/>
    </row>
    <row r="50" spans="1:6" s="3" customFormat="1" ht="18" customHeight="1" x14ac:dyDescent="0.3">
      <c r="A50" s="12" t="s">
        <v>99</v>
      </c>
      <c r="B50" s="8" t="s">
        <v>55</v>
      </c>
      <c r="C50" s="9" t="s">
        <v>100</v>
      </c>
      <c r="D50" s="10"/>
      <c r="E50" s="10"/>
      <c r="F50" s="10"/>
    </row>
    <row r="51" spans="1:6" s="3" customFormat="1" ht="18" customHeight="1" x14ac:dyDescent="0.3">
      <c r="A51" s="7" t="s">
        <v>101</v>
      </c>
      <c r="B51" s="8" t="s">
        <v>55</v>
      </c>
      <c r="C51" s="9" t="s">
        <v>102</v>
      </c>
      <c r="D51" s="10"/>
      <c r="E51" s="10"/>
      <c r="F51" s="10"/>
    </row>
    <row r="52" spans="1:6" s="3" customFormat="1" ht="18" customHeight="1" x14ac:dyDescent="0.3">
      <c r="A52" s="7" t="s">
        <v>103</v>
      </c>
      <c r="B52" s="8" t="s">
        <v>55</v>
      </c>
      <c r="C52" s="9" t="s">
        <v>104</v>
      </c>
      <c r="D52" s="10"/>
      <c r="E52" s="10"/>
      <c r="F52" s="10"/>
    </row>
    <row r="53" spans="1:6" s="3" customFormat="1" ht="18" customHeight="1" x14ac:dyDescent="0.3">
      <c r="A53" s="7" t="s">
        <v>105</v>
      </c>
      <c r="B53" s="8" t="s">
        <v>55</v>
      </c>
      <c r="C53" s="9" t="s">
        <v>106</v>
      </c>
      <c r="D53" s="10"/>
      <c r="E53" s="10"/>
      <c r="F53" s="10"/>
    </row>
    <row r="54" spans="1:6" s="3" customFormat="1" ht="18" customHeight="1" x14ac:dyDescent="0.3">
      <c r="A54" s="7" t="s">
        <v>107</v>
      </c>
      <c r="B54" s="8" t="s">
        <v>55</v>
      </c>
      <c r="C54" s="9" t="s">
        <v>108</v>
      </c>
      <c r="D54" s="10"/>
      <c r="E54" s="10"/>
      <c r="F54" s="10"/>
    </row>
    <row r="55" spans="1:6" s="3" customFormat="1" ht="18" customHeight="1" x14ac:dyDescent="0.3">
      <c r="A55" s="7" t="s">
        <v>109</v>
      </c>
      <c r="B55" s="8" t="s">
        <v>55</v>
      </c>
      <c r="C55" s="9" t="s">
        <v>110</v>
      </c>
      <c r="D55" s="10"/>
      <c r="E55" s="10"/>
      <c r="F55" s="10"/>
    </row>
    <row r="56" spans="1:6" s="3" customFormat="1" ht="18" customHeight="1" x14ac:dyDescent="0.3">
      <c r="A56" s="7" t="s">
        <v>111</v>
      </c>
      <c r="B56" s="8" t="s">
        <v>55</v>
      </c>
      <c r="C56" s="9" t="s">
        <v>112</v>
      </c>
      <c r="D56" s="10"/>
      <c r="E56" s="10"/>
      <c r="F56" s="10"/>
    </row>
    <row r="57" spans="1:6" s="3" customFormat="1" ht="18" customHeight="1" x14ac:dyDescent="0.3">
      <c r="A57" s="7" t="s">
        <v>113</v>
      </c>
      <c r="B57" s="8" t="s">
        <v>55</v>
      </c>
      <c r="C57" s="9" t="s">
        <v>114</v>
      </c>
      <c r="D57" s="10"/>
      <c r="E57" s="10"/>
      <c r="F57" s="10"/>
    </row>
    <row r="58" spans="1:6" s="3" customFormat="1" ht="18" customHeight="1" x14ac:dyDescent="0.3">
      <c r="A58" s="7" t="s">
        <v>115</v>
      </c>
      <c r="B58" s="8" t="s">
        <v>55</v>
      </c>
      <c r="C58" s="9" t="s">
        <v>116</v>
      </c>
      <c r="D58" s="10"/>
      <c r="E58" s="10"/>
      <c r="F58" s="10"/>
    </row>
    <row r="59" spans="1:6" s="3" customFormat="1" ht="18" customHeight="1" x14ac:dyDescent="0.3">
      <c r="A59" s="7" t="s">
        <v>117</v>
      </c>
      <c r="B59" s="8" t="s">
        <v>8</v>
      </c>
      <c r="C59" s="9" t="s">
        <v>118</v>
      </c>
      <c r="D59" s="10"/>
      <c r="E59" s="10"/>
      <c r="F59" s="10"/>
    </row>
    <row r="60" spans="1:6" s="3" customFormat="1" ht="18" customHeight="1" x14ac:dyDescent="0.3">
      <c r="A60" s="7" t="s">
        <v>119</v>
      </c>
      <c r="B60" s="8" t="s">
        <v>55</v>
      </c>
      <c r="C60" s="9" t="s">
        <v>120</v>
      </c>
      <c r="D60" s="10"/>
      <c r="E60" s="10"/>
      <c r="F60" s="10"/>
    </row>
    <row r="61" spans="1:6" s="3" customFormat="1" ht="18" customHeight="1" x14ac:dyDescent="0.3">
      <c r="A61" s="7" t="s">
        <v>121</v>
      </c>
      <c r="B61" s="8" t="s">
        <v>55</v>
      </c>
      <c r="C61" s="9" t="s">
        <v>122</v>
      </c>
      <c r="D61" s="10"/>
      <c r="E61" s="10"/>
      <c r="F61" s="10"/>
    </row>
    <row r="62" spans="1:6" s="3" customFormat="1" ht="18" customHeight="1" x14ac:dyDescent="0.3">
      <c r="A62" s="7" t="s">
        <v>123</v>
      </c>
      <c r="B62" s="8" t="s">
        <v>55</v>
      </c>
      <c r="C62" s="9" t="s">
        <v>124</v>
      </c>
      <c r="D62" s="10"/>
      <c r="E62" s="10"/>
      <c r="F62" s="10"/>
    </row>
    <row r="63" spans="1:6" s="3" customFormat="1" ht="18" customHeight="1" x14ac:dyDescent="0.3">
      <c r="A63" s="7" t="s">
        <v>125</v>
      </c>
      <c r="B63" s="8" t="s">
        <v>55</v>
      </c>
      <c r="C63" s="9" t="s">
        <v>126</v>
      </c>
      <c r="D63" s="10"/>
      <c r="E63" s="10"/>
      <c r="F63" s="10"/>
    </row>
    <row r="64" spans="1:6" s="3" customFormat="1" ht="18" customHeight="1" x14ac:dyDescent="0.3">
      <c r="A64" s="7" t="s">
        <v>127</v>
      </c>
      <c r="B64" s="8" t="s">
        <v>55</v>
      </c>
      <c r="C64" s="9" t="s">
        <v>128</v>
      </c>
      <c r="D64" s="10"/>
      <c r="E64" s="10"/>
      <c r="F64" s="10"/>
    </row>
    <row r="65" spans="1:6" s="3" customFormat="1" ht="18" customHeight="1" x14ac:dyDescent="0.3">
      <c r="A65" s="7" t="s">
        <v>129</v>
      </c>
      <c r="B65" s="8" t="s">
        <v>55</v>
      </c>
      <c r="C65" s="9" t="s">
        <v>130</v>
      </c>
      <c r="D65" s="10"/>
      <c r="E65" s="10"/>
      <c r="F65" s="10"/>
    </row>
    <row r="66" spans="1:6" s="3" customFormat="1" ht="18" customHeight="1" x14ac:dyDescent="0.3">
      <c r="A66" s="7" t="s">
        <v>131</v>
      </c>
      <c r="B66" s="8" t="s">
        <v>55</v>
      </c>
      <c r="C66" s="9" t="s">
        <v>132</v>
      </c>
      <c r="D66" s="10"/>
      <c r="E66" s="10"/>
      <c r="F66" s="10"/>
    </row>
    <row r="67" spans="1:6" s="3" customFormat="1" ht="18" customHeight="1" x14ac:dyDescent="0.3">
      <c r="A67" s="7" t="s">
        <v>133</v>
      </c>
      <c r="B67" s="8" t="s">
        <v>8</v>
      </c>
      <c r="C67" s="9" t="s">
        <v>134</v>
      </c>
      <c r="D67" s="10"/>
      <c r="E67" s="10"/>
      <c r="F67" s="10"/>
    </row>
    <row r="68" spans="1:6" s="3" customFormat="1" ht="18" customHeight="1" x14ac:dyDescent="0.3">
      <c r="A68" s="7" t="s">
        <v>135</v>
      </c>
      <c r="B68" s="8" t="s">
        <v>8</v>
      </c>
      <c r="C68" s="9" t="s">
        <v>136</v>
      </c>
      <c r="D68" s="10"/>
      <c r="E68" s="10"/>
      <c r="F68" s="10"/>
    </row>
    <row r="69" spans="1:6" s="3" customFormat="1" ht="18" customHeight="1" x14ac:dyDescent="0.3">
      <c r="A69" s="7" t="s">
        <v>137</v>
      </c>
      <c r="B69" s="8" t="s">
        <v>8</v>
      </c>
      <c r="C69" s="9" t="s">
        <v>138</v>
      </c>
      <c r="D69" s="10"/>
      <c r="E69" s="10"/>
      <c r="F69" s="10"/>
    </row>
    <row r="70" spans="1:6" s="3" customFormat="1" ht="18" customHeight="1" x14ac:dyDescent="0.3">
      <c r="A70" s="7" t="s">
        <v>139</v>
      </c>
      <c r="B70" s="8" t="s">
        <v>8</v>
      </c>
      <c r="C70" s="9" t="s">
        <v>140</v>
      </c>
      <c r="D70" s="10"/>
      <c r="E70" s="10"/>
      <c r="F70" s="10"/>
    </row>
    <row r="71" spans="1:6" s="3" customFormat="1" ht="18" customHeight="1" x14ac:dyDescent="0.3">
      <c r="A71" s="7" t="s">
        <v>141</v>
      </c>
      <c r="B71" s="8" t="s">
        <v>8</v>
      </c>
      <c r="C71" s="9" t="s">
        <v>142</v>
      </c>
      <c r="D71" s="10"/>
      <c r="E71" s="10"/>
      <c r="F71" s="10"/>
    </row>
    <row r="72" spans="1:6" s="3" customFormat="1" ht="18" customHeight="1" x14ac:dyDescent="0.3">
      <c r="A72" s="7" t="s">
        <v>143</v>
      </c>
      <c r="B72" s="8" t="s">
        <v>8</v>
      </c>
      <c r="C72" s="9" t="s">
        <v>144</v>
      </c>
      <c r="D72" s="10"/>
      <c r="E72" s="10"/>
      <c r="F72" s="10"/>
    </row>
    <row r="73" spans="1:6" s="3" customFormat="1" ht="18" customHeight="1" x14ac:dyDescent="0.3">
      <c r="A73" s="7" t="s">
        <v>145</v>
      </c>
      <c r="B73" s="8" t="s">
        <v>8</v>
      </c>
      <c r="C73" s="9" t="s">
        <v>146</v>
      </c>
      <c r="D73" s="10"/>
      <c r="E73" s="10"/>
      <c r="F73" s="10"/>
    </row>
    <row r="74" spans="1:6" s="3" customFormat="1" ht="18" customHeight="1" x14ac:dyDescent="0.3">
      <c r="A74" s="7" t="s">
        <v>147</v>
      </c>
      <c r="B74" s="8" t="s">
        <v>8</v>
      </c>
      <c r="C74" s="9" t="s">
        <v>148</v>
      </c>
      <c r="D74" s="10"/>
      <c r="E74" s="10"/>
      <c r="F74" s="10"/>
    </row>
    <row r="75" spans="1:6" s="3" customFormat="1" ht="18" customHeight="1" x14ac:dyDescent="0.3">
      <c r="A75" s="7" t="s">
        <v>149</v>
      </c>
      <c r="B75" s="8" t="s">
        <v>8</v>
      </c>
      <c r="C75" s="9" t="s">
        <v>150</v>
      </c>
      <c r="D75" s="10"/>
      <c r="E75" s="10"/>
      <c r="F75" s="10"/>
    </row>
    <row r="76" spans="1:6" s="3" customFormat="1" ht="18" customHeight="1" x14ac:dyDescent="0.3">
      <c r="A76" s="7" t="s">
        <v>151</v>
      </c>
      <c r="B76" s="8" t="s">
        <v>8</v>
      </c>
      <c r="C76" s="9" t="s">
        <v>152</v>
      </c>
      <c r="D76" s="10"/>
      <c r="E76" s="10"/>
      <c r="F76" s="10"/>
    </row>
    <row r="77" spans="1:6" s="3" customFormat="1" ht="18" customHeight="1" x14ac:dyDescent="0.3">
      <c r="A77" s="7" t="s">
        <v>153</v>
      </c>
      <c r="B77" s="8" t="s">
        <v>8</v>
      </c>
      <c r="C77" s="9" t="s">
        <v>154</v>
      </c>
      <c r="D77" s="10"/>
      <c r="E77" s="10"/>
      <c r="F77" s="10"/>
    </row>
    <row r="78" spans="1:6" s="3" customFormat="1" ht="18" customHeight="1" x14ac:dyDescent="0.3">
      <c r="A78" s="7" t="s">
        <v>155</v>
      </c>
      <c r="B78" s="8" t="s">
        <v>55</v>
      </c>
      <c r="C78" s="9" t="s">
        <v>156</v>
      </c>
      <c r="D78" s="10"/>
      <c r="E78" s="10"/>
      <c r="F78" s="10"/>
    </row>
    <row r="79" spans="1:6" s="3" customFormat="1" ht="18" customHeight="1" x14ac:dyDescent="0.3">
      <c r="A79" s="7" t="s">
        <v>157</v>
      </c>
      <c r="B79" s="8" t="s">
        <v>55</v>
      </c>
      <c r="C79" s="9" t="s">
        <v>158</v>
      </c>
      <c r="D79" s="10"/>
      <c r="E79" s="10"/>
      <c r="F79" s="10"/>
    </row>
    <row r="80" spans="1:6" s="3" customFormat="1" ht="18" customHeight="1" x14ac:dyDescent="0.3">
      <c r="A80" s="7" t="s">
        <v>159</v>
      </c>
      <c r="B80" s="8" t="s">
        <v>55</v>
      </c>
      <c r="C80" s="9" t="s">
        <v>160</v>
      </c>
      <c r="D80" s="10"/>
      <c r="E80" s="10"/>
      <c r="F80" s="10"/>
    </row>
    <row r="81" spans="5:6" ht="18" customHeight="1" x14ac:dyDescent="0.3">
      <c r="E81" s="13">
        <f>SUM(E5:E80)</f>
        <v>0</v>
      </c>
      <c r="F81" s="13">
        <f>SUM(F5:F80)</f>
        <v>0</v>
      </c>
    </row>
    <row r="82" spans="5:6" ht="18" customHeight="1" x14ac:dyDescent="0.3">
      <c r="F82" s="15"/>
    </row>
    <row r="84" spans="5:6" ht="18" customHeight="1" x14ac:dyDescent="0.3">
      <c r="F84" s="16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262"/>
  <sheetViews>
    <sheetView showGridLines="0" topLeftCell="D1" zoomScaleNormal="100" workbookViewId="0">
      <selection activeCell="N16" sqref="N16"/>
    </sheetView>
  </sheetViews>
  <sheetFormatPr defaultColWidth="9.33203125" defaultRowHeight="16.5" customHeight="1" x14ac:dyDescent="0.3"/>
  <cols>
    <col min="1" max="1" width="19.6640625" style="3" bestFit="1" customWidth="1"/>
    <col min="2" max="2" width="12.44140625" style="3" bestFit="1" customWidth="1"/>
    <col min="3" max="3" width="11.33203125" style="3" customWidth="1"/>
    <col min="4" max="4" width="30.6640625" style="3" customWidth="1"/>
    <col min="5" max="5" width="13.6640625" style="3" customWidth="1"/>
    <col min="6" max="6" width="18.77734375" style="3" bestFit="1" customWidth="1"/>
    <col min="7" max="8" width="16.6640625" style="3" bestFit="1" customWidth="1"/>
    <col min="9" max="9" width="11.33203125" bestFit="1" customWidth="1"/>
    <col min="10" max="10" width="16.6640625" style="123" bestFit="1" customWidth="1"/>
    <col min="11" max="11" width="16.6640625" bestFit="1" customWidth="1"/>
    <col min="12" max="12" width="16.6640625" style="3" bestFit="1" customWidth="1"/>
    <col min="13" max="13" width="16.33203125" style="124" bestFit="1" customWidth="1"/>
    <col min="14" max="14" width="14.6640625" style="123" bestFit="1" customWidth="1"/>
    <col min="15" max="15" width="16.109375" style="3" bestFit="1" customWidth="1"/>
    <col min="16" max="16" width="16.6640625" style="123" bestFit="1" customWidth="1"/>
    <col min="17" max="17" width="6.6640625" style="3" bestFit="1" customWidth="1"/>
    <col min="18" max="16384" width="9.33203125" style="3"/>
  </cols>
  <sheetData>
    <row r="1" spans="1:17" ht="16.5" customHeight="1" x14ac:dyDescent="0.3">
      <c r="E1" s="17" t="s">
        <v>161</v>
      </c>
      <c r="F1" s="17"/>
      <c r="G1" s="17"/>
      <c r="H1" s="17"/>
      <c r="I1" s="17"/>
      <c r="J1" s="17"/>
      <c r="K1" s="17"/>
      <c r="L1" s="17"/>
      <c r="M1" s="17"/>
      <c r="N1" s="17"/>
      <c r="P1" s="3"/>
    </row>
    <row r="2" spans="1:17" ht="16.5" customHeight="1" x14ac:dyDescent="0.3">
      <c r="I2" s="3"/>
      <c r="J2" s="3"/>
      <c r="K2" s="18"/>
      <c r="L2" s="18"/>
      <c r="M2" s="3"/>
      <c r="N2" s="3"/>
      <c r="P2" s="3"/>
    </row>
    <row r="3" spans="1:17" ht="16.5" customHeight="1" x14ac:dyDescent="0.3">
      <c r="A3" s="19" t="s">
        <v>162</v>
      </c>
      <c r="B3" s="20" t="s">
        <v>163</v>
      </c>
      <c r="C3" s="20" t="s">
        <v>2</v>
      </c>
      <c r="D3" s="20" t="s">
        <v>3</v>
      </c>
      <c r="E3" s="21" t="s">
        <v>164</v>
      </c>
      <c r="F3" s="22" t="s">
        <v>165</v>
      </c>
      <c r="G3" s="23" t="s">
        <v>166</v>
      </c>
      <c r="H3" s="22" t="s">
        <v>167</v>
      </c>
      <c r="I3" s="21" t="s">
        <v>168</v>
      </c>
      <c r="J3" s="20" t="s">
        <v>169</v>
      </c>
      <c r="K3" s="22" t="s">
        <v>170</v>
      </c>
      <c r="L3" s="22" t="s">
        <v>171</v>
      </c>
      <c r="M3" s="22" t="s">
        <v>172</v>
      </c>
      <c r="N3" s="22" t="s">
        <v>173</v>
      </c>
      <c r="O3" s="22" t="s">
        <v>174</v>
      </c>
      <c r="P3" s="22" t="s">
        <v>175</v>
      </c>
      <c r="Q3" s="22" t="s">
        <v>176</v>
      </c>
    </row>
    <row r="4" spans="1:17" ht="16.5" customHeight="1" x14ac:dyDescent="0.3">
      <c r="A4" s="24">
        <v>0</v>
      </c>
      <c r="B4" s="24">
        <v>1</v>
      </c>
      <c r="C4" s="24">
        <v>2</v>
      </c>
      <c r="D4" s="24">
        <v>3</v>
      </c>
      <c r="E4" s="24">
        <v>4</v>
      </c>
      <c r="F4" s="24">
        <v>5</v>
      </c>
      <c r="G4" s="24">
        <v>6</v>
      </c>
      <c r="H4" s="24">
        <v>7</v>
      </c>
      <c r="I4" s="24">
        <v>8</v>
      </c>
      <c r="J4" s="24">
        <v>9</v>
      </c>
      <c r="K4" s="24">
        <v>10</v>
      </c>
      <c r="L4" s="24">
        <v>11</v>
      </c>
      <c r="M4" s="24">
        <v>12</v>
      </c>
      <c r="N4" s="24">
        <v>13</v>
      </c>
      <c r="O4" s="24">
        <v>14</v>
      </c>
      <c r="P4" s="24">
        <v>15</v>
      </c>
      <c r="Q4" s="24">
        <v>16</v>
      </c>
    </row>
    <row r="5" spans="1:17" ht="16.5" customHeight="1" x14ac:dyDescent="0.3">
      <c r="A5" s="12" t="s">
        <v>177</v>
      </c>
      <c r="B5" s="7" t="s">
        <v>178</v>
      </c>
      <c r="C5" s="25" t="s">
        <v>8</v>
      </c>
      <c r="D5" s="12" t="s">
        <v>179</v>
      </c>
      <c r="E5" s="26"/>
      <c r="F5" s="10">
        <v>400000000</v>
      </c>
      <c r="G5" s="27">
        <f>SUMIFS(CT!$H$5:$H$143,CT!$D$5:$D$143,DMTK!$B5)</f>
        <v>25200000</v>
      </c>
      <c r="H5" s="27">
        <f>SUMIFS(CT!$H$5:$H$143,CT!$E$5:$E$143,DMTK!$B5)</f>
        <v>404100000</v>
      </c>
      <c r="I5" s="10"/>
      <c r="J5" s="28">
        <f>IF(C5="N",F5+G5-H5,F5+H5-G5)</f>
        <v>21100000</v>
      </c>
      <c r="K5" s="10"/>
      <c r="L5" s="10"/>
      <c r="M5" s="29" t="str">
        <f>IF(AND(LEFT(B5,4)="1311",F5&lt;0),"300.310.312",IF(AND(LEFT(B5,3)="138",F5&lt;0),"300.310.319",IF(AND(LEFT(B5,4)="3311",F5&lt;0),"100.130.132",IF(AND(LEFT(B5,3)="333",F5&lt;0),"100.150.153",IF(AND(LEFT(B5,3)="337",F5&lt;0),"100.130.134",A5)))))</f>
        <v>100.110.111</v>
      </c>
      <c r="N5" s="10">
        <f>IF(OR(AND(LEFT(B5,4)="1311",F5&lt;0),AND(LEFT(B5,3)="138",F5&lt;0),AND(LEFT(B5,4)="3311",F5&lt;0),AND(LEFT(B5,3)="333",F5&lt;0),AND(LEFT(B5,3)="337",F5&lt;0),LEFT(B5,3)="214",LEFT(B5,3)="229",LEFT(B5,3)="419",AND(LEFT(B5,3)="421",F5&lt;0)),-1,1)*F5</f>
        <v>400000000</v>
      </c>
      <c r="O5" s="12" t="str">
        <f>IF(AND(LEFT(B5,4)="1311",J5&lt;0),"300.310.312",IF(AND(LEFT(B5,3)="138",J5&lt;0),"300.310.319",IF(AND(LEFT(B5,4)="3311",J5&lt;0),"100.130.132",IF(AND(LEFT(B5,3)="333",J5&lt;0),"100.150.153",IF(AND(LEFT(B5,3)="337",J5&lt;0),"100.130.134",A5)))))</f>
        <v>100.110.111</v>
      </c>
      <c r="P5" s="10">
        <f>IF(OR(AND(LEFT(B5,4)="1311",J5&lt;0),AND(LEFT(B5,3)="138",J5&lt;0),AND(LEFT(B5,4)="3311",J5&lt;0),AND(LEFT(B5,3)="333",J5&lt;0),AND(LEFT(B5,3)="337",J5&lt;0),LEFT(B5,3)="214",LEFT(B5,3)="229",LEFT(B5,3)="419",AND(LEFT(B5,3)="421",F5&lt;0)),-1,1)*J5</f>
        <v>21100000</v>
      </c>
      <c r="Q5" s="12"/>
    </row>
    <row r="6" spans="1:17" ht="16.5" customHeight="1" x14ac:dyDescent="0.3">
      <c r="A6" s="12" t="s">
        <v>177</v>
      </c>
      <c r="B6" s="7" t="s">
        <v>180</v>
      </c>
      <c r="C6" s="25" t="s">
        <v>8</v>
      </c>
      <c r="D6" s="12" t="s">
        <v>181</v>
      </c>
      <c r="E6" s="26"/>
      <c r="F6" s="10">
        <v>0</v>
      </c>
      <c r="G6" s="27">
        <f>SUMIFS(CT!$H$5:$H$143,CT!$D$5:$D$143,DMTK!$B6)</f>
        <v>0</v>
      </c>
      <c r="H6" s="27">
        <f>SUMIFS(CT!$H$5:$H$143,CT!$E$5:$E$143,DMTK!$B6)</f>
        <v>0</v>
      </c>
      <c r="I6" s="10"/>
      <c r="J6" s="28">
        <f t="shared" ref="J6:J69" si="0">IF(C6="N",F6+G6-H6,F6+H6-G6)</f>
        <v>0</v>
      </c>
      <c r="K6" s="10"/>
      <c r="L6" s="10"/>
      <c r="M6" s="29" t="str">
        <f t="shared" ref="M6:M69" si="1">IF(AND(LEFT(B6,4)="1311",F6&lt;0),"300.310.312",IF(AND(LEFT(B6,3)="138",F6&lt;0),"300.310.319",IF(AND(LEFT(B6,4)="3311",F6&lt;0),"100.130.132",IF(AND(LEFT(B6,3)="333",F6&lt;0),"100.150.153",IF(AND(LEFT(B6,3)="337",F6&lt;0),"100.130.134",A6)))))</f>
        <v>100.110.111</v>
      </c>
      <c r="N6" s="10">
        <f t="shared" ref="N6:N69" si="2">IF(OR(AND(LEFT(B6,4)="1311",F6&lt;0),AND(LEFT(B6,3)="138",F6&lt;0),AND(LEFT(B6,4)="3311",F6&lt;0),AND(LEFT(B6,3)="333",F6&lt;0),AND(LEFT(B6,3)="337",F6&lt;0),LEFT(B6,3)="214",LEFT(B6,3)="229",LEFT(B6,3)="419",AND(LEFT(B6,3)="421",F6&lt;0)),-1,1)*F6</f>
        <v>0</v>
      </c>
      <c r="O6" s="12" t="str">
        <f t="shared" ref="O6:O69" si="3">IF(AND(LEFT(B6,4)="1311",J6&lt;0),"300.310.312",IF(AND(LEFT(B6,3)="138",J6&lt;0),"300.310.319",IF(AND(LEFT(B6,4)="3311",J6&lt;0),"100.130.132",IF(AND(LEFT(B6,3)="333",J6&lt;0),"100.150.153",IF(AND(LEFT(B6,3)="337",J6&lt;0),"100.130.134",A6)))))</f>
        <v>100.110.111</v>
      </c>
      <c r="P6" s="10">
        <f t="shared" ref="P6:P69" si="4">IF(OR(AND(LEFT(B6,4)="1311",J6&lt;0),AND(LEFT(B6,3)="138",J6&lt;0),AND(LEFT(B6,4)="3311",J6&lt;0),AND(LEFT(B6,3)="333",J6&lt;0),AND(LEFT(B6,3)="337",J6&lt;0),LEFT(B6,3)="214",LEFT(B6,3)="229",LEFT(B6,3)="419",AND(LEFT(B6,3)="421",F6&lt;0)),-1,1)*J6</f>
        <v>0</v>
      </c>
      <c r="Q6" s="12"/>
    </row>
    <row r="7" spans="1:17" ht="16.5" customHeight="1" x14ac:dyDescent="0.3">
      <c r="A7" s="12" t="s">
        <v>177</v>
      </c>
      <c r="B7" s="7" t="s">
        <v>182</v>
      </c>
      <c r="C7" s="25" t="s">
        <v>8</v>
      </c>
      <c r="D7" s="12" t="s">
        <v>183</v>
      </c>
      <c r="E7" s="26"/>
      <c r="F7" s="10">
        <v>0</v>
      </c>
      <c r="G7" s="27">
        <f>SUMIFS(CT!$H$5:$H$143,CT!$D$5:$D$143,DMTK!$B7)</f>
        <v>0</v>
      </c>
      <c r="H7" s="27">
        <f>SUMIFS(CT!$H$5:$H$143,CT!$E$5:$E$143,DMTK!$B7)</f>
        <v>0</v>
      </c>
      <c r="I7" s="10"/>
      <c r="J7" s="28">
        <f t="shared" si="0"/>
        <v>0</v>
      </c>
      <c r="K7" s="10"/>
      <c r="L7" s="10"/>
      <c r="M7" s="29" t="str">
        <f t="shared" si="1"/>
        <v>100.110.111</v>
      </c>
      <c r="N7" s="10">
        <f t="shared" si="2"/>
        <v>0</v>
      </c>
      <c r="O7" s="12" t="str">
        <f t="shared" si="3"/>
        <v>100.110.111</v>
      </c>
      <c r="P7" s="10">
        <f t="shared" si="4"/>
        <v>0</v>
      </c>
      <c r="Q7" s="12"/>
    </row>
    <row r="8" spans="1:17" ht="16.5" customHeight="1" x14ac:dyDescent="0.3">
      <c r="A8" s="12" t="s">
        <v>177</v>
      </c>
      <c r="B8" s="7" t="s">
        <v>184</v>
      </c>
      <c r="C8" s="25" t="s">
        <v>8</v>
      </c>
      <c r="D8" s="9" t="s">
        <v>185</v>
      </c>
      <c r="E8" s="26"/>
      <c r="F8" s="10">
        <v>258221000</v>
      </c>
      <c r="G8" s="27">
        <f>SUMIFS(CT!$H$5:$H$143,CT!$D$5:$D$143,DMTK!$B8)</f>
        <v>0</v>
      </c>
      <c r="H8" s="27">
        <f>SUMIFS(CT!$H$5:$H$143,CT!$E$5:$E$143,DMTK!$B8)</f>
        <v>90000000</v>
      </c>
      <c r="I8" s="10"/>
      <c r="J8" s="28">
        <f t="shared" si="0"/>
        <v>168221000</v>
      </c>
      <c r="K8" s="10"/>
      <c r="L8" s="10"/>
      <c r="M8" s="29" t="str">
        <f t="shared" si="1"/>
        <v>100.110.111</v>
      </c>
      <c r="N8" s="10">
        <f t="shared" si="2"/>
        <v>258221000</v>
      </c>
      <c r="O8" s="12" t="str">
        <f t="shared" si="3"/>
        <v>100.110.111</v>
      </c>
      <c r="P8" s="10">
        <f t="shared" si="4"/>
        <v>168221000</v>
      </c>
      <c r="Q8" s="12"/>
    </row>
    <row r="9" spans="1:17" ht="16.5" customHeight="1" x14ac:dyDescent="0.3">
      <c r="A9" s="12" t="s">
        <v>177</v>
      </c>
      <c r="B9" s="7" t="s">
        <v>186</v>
      </c>
      <c r="C9" s="25" t="s">
        <v>8</v>
      </c>
      <c r="D9" s="9" t="s">
        <v>187</v>
      </c>
      <c r="E9" s="26"/>
      <c r="F9" s="10">
        <v>60000000</v>
      </c>
      <c r="G9" s="27">
        <f>SUMIFS(CT!$H$5:$H$143,CT!$D$5:$D$143,DMTK!$B9)</f>
        <v>30000000</v>
      </c>
      <c r="H9" s="27">
        <f>SUMIFS(CT!$H$5:$H$143,CT!$E$5:$E$143,DMTK!$B9)</f>
        <v>0</v>
      </c>
      <c r="I9" s="10"/>
      <c r="J9" s="28">
        <f t="shared" si="0"/>
        <v>90000000</v>
      </c>
      <c r="K9" s="10"/>
      <c r="L9" s="10"/>
      <c r="M9" s="29" t="str">
        <f t="shared" si="1"/>
        <v>100.110.111</v>
      </c>
      <c r="N9" s="10">
        <f t="shared" si="2"/>
        <v>60000000</v>
      </c>
      <c r="O9" s="12" t="str">
        <f t="shared" si="3"/>
        <v>100.110.111</v>
      </c>
      <c r="P9" s="10">
        <f t="shared" si="4"/>
        <v>90000000</v>
      </c>
      <c r="Q9" s="12"/>
    </row>
    <row r="10" spans="1:17" ht="16.5" customHeight="1" x14ac:dyDescent="0.3">
      <c r="A10" s="12" t="s">
        <v>177</v>
      </c>
      <c r="B10" s="7" t="s">
        <v>188</v>
      </c>
      <c r="C10" s="25" t="s">
        <v>8</v>
      </c>
      <c r="D10" s="9" t="s">
        <v>189</v>
      </c>
      <c r="E10" s="26"/>
      <c r="F10" s="10">
        <v>40000000</v>
      </c>
      <c r="G10" s="27">
        <f>SUMIFS(CT!$H$5:$H$143,CT!$D$5:$D$143,DMTK!$B10)</f>
        <v>0</v>
      </c>
      <c r="H10" s="27">
        <f>SUMIFS(CT!$H$5:$H$143,CT!$E$5:$E$143,DMTK!$B10)</f>
        <v>0</v>
      </c>
      <c r="I10" s="10"/>
      <c r="J10" s="28">
        <f t="shared" si="0"/>
        <v>40000000</v>
      </c>
      <c r="K10" s="10"/>
      <c r="L10" s="10"/>
      <c r="M10" s="29" t="str">
        <f t="shared" si="1"/>
        <v>100.110.111</v>
      </c>
      <c r="N10" s="10">
        <f t="shared" si="2"/>
        <v>40000000</v>
      </c>
      <c r="O10" s="12" t="str">
        <f t="shared" si="3"/>
        <v>100.110.111</v>
      </c>
      <c r="P10" s="10">
        <f t="shared" si="4"/>
        <v>40000000</v>
      </c>
      <c r="Q10" s="12"/>
    </row>
    <row r="11" spans="1:17" ht="16.5" customHeight="1" x14ac:dyDescent="0.3">
      <c r="A11" s="12" t="s">
        <v>177</v>
      </c>
      <c r="B11" s="7" t="s">
        <v>190</v>
      </c>
      <c r="C11" s="25" t="s">
        <v>8</v>
      </c>
      <c r="D11" s="12" t="s">
        <v>181</v>
      </c>
      <c r="E11" s="26"/>
      <c r="F11" s="10">
        <v>0</v>
      </c>
      <c r="G11" s="27">
        <f>SUMIFS(CT!$H$5:$H$143,CT!$D$5:$D$143,DMTK!$B11)</f>
        <v>0</v>
      </c>
      <c r="H11" s="27">
        <f>SUMIFS(CT!$H$5:$H$143,CT!$E$5:$E$143,DMTK!$B11)</f>
        <v>0</v>
      </c>
      <c r="I11" s="10"/>
      <c r="J11" s="28">
        <f t="shared" si="0"/>
        <v>0</v>
      </c>
      <c r="K11" s="10"/>
      <c r="L11" s="10"/>
      <c r="M11" s="29" t="str">
        <f t="shared" si="1"/>
        <v>100.110.111</v>
      </c>
      <c r="N11" s="10">
        <f t="shared" si="2"/>
        <v>0</v>
      </c>
      <c r="O11" s="12" t="str">
        <f t="shared" si="3"/>
        <v>100.110.111</v>
      </c>
      <c r="P11" s="10">
        <f t="shared" si="4"/>
        <v>0</v>
      </c>
      <c r="Q11" s="12"/>
    </row>
    <row r="12" spans="1:17" ht="16.5" customHeight="1" x14ac:dyDescent="0.3">
      <c r="A12" s="12" t="s">
        <v>177</v>
      </c>
      <c r="B12" s="7" t="s">
        <v>191</v>
      </c>
      <c r="C12" s="25" t="s">
        <v>8</v>
      </c>
      <c r="D12" s="12" t="s">
        <v>183</v>
      </c>
      <c r="E12" s="26"/>
      <c r="F12" s="10">
        <v>0</v>
      </c>
      <c r="G12" s="27">
        <f>SUMIFS(CT!$H$5:$H$143,CT!$D$5:$D$143,DMTK!$B12)</f>
        <v>0</v>
      </c>
      <c r="H12" s="27">
        <f>SUMIFS(CT!$H$5:$H$143,CT!$E$5:$E$143,DMTK!$B12)</f>
        <v>0</v>
      </c>
      <c r="I12" s="10"/>
      <c r="J12" s="28">
        <f t="shared" si="0"/>
        <v>0</v>
      </c>
      <c r="K12" s="10"/>
      <c r="L12" s="10"/>
      <c r="M12" s="29" t="str">
        <f t="shared" si="1"/>
        <v>100.110.111</v>
      </c>
      <c r="N12" s="10">
        <f t="shared" si="2"/>
        <v>0</v>
      </c>
      <c r="O12" s="12" t="str">
        <f t="shared" si="3"/>
        <v>100.110.111</v>
      </c>
      <c r="P12" s="10">
        <f t="shared" si="4"/>
        <v>0</v>
      </c>
      <c r="Q12" s="12"/>
    </row>
    <row r="13" spans="1:17" ht="16.5" customHeight="1" x14ac:dyDescent="0.3">
      <c r="A13" s="12" t="s">
        <v>177</v>
      </c>
      <c r="B13" s="7" t="s">
        <v>192</v>
      </c>
      <c r="C13" s="25" t="s">
        <v>8</v>
      </c>
      <c r="D13" s="12" t="s">
        <v>179</v>
      </c>
      <c r="E13" s="26"/>
      <c r="F13" s="10">
        <v>0</v>
      </c>
      <c r="G13" s="27">
        <f>SUMIFS(CT!$H$5:$H$143,CT!$D$5:$D$143,DMTK!$B13)</f>
        <v>0</v>
      </c>
      <c r="H13" s="27">
        <f>SUMIFS(CT!$H$5:$H$143,CT!$E$5:$E$143,DMTK!$B13)</f>
        <v>0</v>
      </c>
      <c r="I13" s="10"/>
      <c r="J13" s="28">
        <f t="shared" si="0"/>
        <v>0</v>
      </c>
      <c r="K13" s="10"/>
      <c r="L13" s="10"/>
      <c r="M13" s="29" t="str">
        <f t="shared" si="1"/>
        <v>100.110.111</v>
      </c>
      <c r="N13" s="10">
        <f t="shared" si="2"/>
        <v>0</v>
      </c>
      <c r="O13" s="12" t="str">
        <f t="shared" si="3"/>
        <v>100.110.111</v>
      </c>
      <c r="P13" s="10">
        <f t="shared" si="4"/>
        <v>0</v>
      </c>
      <c r="Q13" s="12"/>
    </row>
    <row r="14" spans="1:17" ht="16.5" customHeight="1" x14ac:dyDescent="0.3">
      <c r="A14" s="12" t="s">
        <v>177</v>
      </c>
      <c r="B14" s="7" t="s">
        <v>193</v>
      </c>
      <c r="C14" s="25" t="s">
        <v>8</v>
      </c>
      <c r="D14" s="12" t="s">
        <v>181</v>
      </c>
      <c r="E14" s="26"/>
      <c r="F14" s="10"/>
      <c r="G14" s="27">
        <f>SUMIFS(CT!$H$5:$H$143,CT!$D$5:$D$143,DMTK!$B14)</f>
        <v>0</v>
      </c>
      <c r="H14" s="27">
        <f>SUMIFS(CT!$H$5:$H$143,CT!$E$5:$E$143,DMTK!$B14)</f>
        <v>0</v>
      </c>
      <c r="I14" s="10"/>
      <c r="J14" s="28">
        <f t="shared" si="0"/>
        <v>0</v>
      </c>
      <c r="K14" s="10"/>
      <c r="L14" s="10"/>
      <c r="M14" s="29" t="str">
        <f t="shared" si="1"/>
        <v>100.110.111</v>
      </c>
      <c r="N14" s="10">
        <f t="shared" si="2"/>
        <v>0</v>
      </c>
      <c r="O14" s="12" t="str">
        <f t="shared" si="3"/>
        <v>100.110.111</v>
      </c>
      <c r="P14" s="10">
        <f t="shared" si="4"/>
        <v>0</v>
      </c>
      <c r="Q14" s="12"/>
    </row>
    <row r="15" spans="1:17" ht="16.5" customHeight="1" x14ac:dyDescent="0.3">
      <c r="A15" s="12" t="s">
        <v>194</v>
      </c>
      <c r="B15" s="7" t="s">
        <v>195</v>
      </c>
      <c r="C15" s="25" t="s">
        <v>8</v>
      </c>
      <c r="D15" s="9" t="s">
        <v>196</v>
      </c>
      <c r="E15" s="26"/>
      <c r="F15" s="10">
        <v>0</v>
      </c>
      <c r="G15" s="27">
        <f>SUMIFS(CT!$H$5:$H$143,CT!$D$5:$D$143,DMTK!$B15)</f>
        <v>0</v>
      </c>
      <c r="H15" s="27">
        <f>SUMIFS(CT!$H$5:$H$143,CT!$E$5:$E$143,DMTK!$B15)</f>
        <v>0</v>
      </c>
      <c r="I15" s="10"/>
      <c r="J15" s="28">
        <f t="shared" si="0"/>
        <v>0</v>
      </c>
      <c r="K15" s="10"/>
      <c r="L15" s="10"/>
      <c r="M15" s="29" t="str">
        <f t="shared" si="1"/>
        <v>100.120.121</v>
      </c>
      <c r="N15" s="10">
        <f t="shared" si="2"/>
        <v>0</v>
      </c>
      <c r="O15" s="12" t="str">
        <f t="shared" si="3"/>
        <v>100.120.121</v>
      </c>
      <c r="P15" s="10">
        <f t="shared" si="4"/>
        <v>0</v>
      </c>
      <c r="Q15" s="12"/>
    </row>
    <row r="16" spans="1:17" ht="16.5" customHeight="1" x14ac:dyDescent="0.3">
      <c r="A16" s="12" t="s">
        <v>194</v>
      </c>
      <c r="B16" s="7" t="s">
        <v>197</v>
      </c>
      <c r="C16" s="25" t="s">
        <v>8</v>
      </c>
      <c r="D16" s="9" t="s">
        <v>198</v>
      </c>
      <c r="E16" s="26"/>
      <c r="F16" s="10">
        <v>0</v>
      </c>
      <c r="G16" s="27">
        <f>SUMIFS(CT!$H$5:$H$143,CT!$D$5:$D$143,DMTK!$B16)</f>
        <v>0</v>
      </c>
      <c r="H16" s="27">
        <f>SUMIFS(CT!$H$5:$H$143,CT!$E$5:$E$143,DMTK!$B16)</f>
        <v>0</v>
      </c>
      <c r="I16" s="10"/>
      <c r="J16" s="28">
        <f t="shared" si="0"/>
        <v>0</v>
      </c>
      <c r="K16" s="10"/>
      <c r="L16" s="10"/>
      <c r="M16" s="29" t="str">
        <f t="shared" si="1"/>
        <v>100.120.121</v>
      </c>
      <c r="N16" s="10">
        <f t="shared" si="2"/>
        <v>0</v>
      </c>
      <c r="O16" s="12" t="str">
        <f t="shared" si="3"/>
        <v>100.120.121</v>
      </c>
      <c r="P16" s="10">
        <f t="shared" si="4"/>
        <v>0</v>
      </c>
      <c r="Q16" s="12"/>
    </row>
    <row r="17" spans="1:17" ht="16.5" customHeight="1" x14ac:dyDescent="0.3">
      <c r="A17" s="12" t="s">
        <v>199</v>
      </c>
      <c r="B17" s="7" t="s">
        <v>200</v>
      </c>
      <c r="C17" s="25" t="s">
        <v>8</v>
      </c>
      <c r="D17" s="12" t="s">
        <v>201</v>
      </c>
      <c r="E17" s="26"/>
      <c r="F17" s="10">
        <v>100000000</v>
      </c>
      <c r="G17" s="27">
        <f>SUMIFS(CT!$H$5:$H$143,CT!$D$5:$D$143,DMTK!$B17)</f>
        <v>0</v>
      </c>
      <c r="H17" s="27">
        <f>SUMIFS(CT!$H$5:$H$143,CT!$E$5:$E$143,DMTK!$B17)</f>
        <v>0</v>
      </c>
      <c r="I17" s="10"/>
      <c r="J17" s="28">
        <f t="shared" si="0"/>
        <v>100000000</v>
      </c>
      <c r="K17" s="10"/>
      <c r="L17" s="10"/>
      <c r="M17" s="29" t="str">
        <f t="shared" si="1"/>
        <v>100.110.112</v>
      </c>
      <c r="N17" s="10">
        <f t="shared" si="2"/>
        <v>100000000</v>
      </c>
      <c r="O17" s="12" t="str">
        <f t="shared" si="3"/>
        <v>100.110.112</v>
      </c>
      <c r="P17" s="10">
        <f t="shared" si="4"/>
        <v>100000000</v>
      </c>
      <c r="Q17" s="12"/>
    </row>
    <row r="18" spans="1:17" ht="16.5" customHeight="1" x14ac:dyDescent="0.3">
      <c r="A18" s="12" t="s">
        <v>202</v>
      </c>
      <c r="B18" s="7" t="s">
        <v>203</v>
      </c>
      <c r="C18" s="25" t="s">
        <v>8</v>
      </c>
      <c r="D18" s="12" t="s">
        <v>204</v>
      </c>
      <c r="E18" s="26"/>
      <c r="F18" s="10"/>
      <c r="G18" s="27">
        <f>SUMIFS(CT!$H$5:$H$143,CT!$D$5:$D$143,DMTK!$B18)</f>
        <v>0</v>
      </c>
      <c r="H18" s="27">
        <f>SUMIFS(CT!$H$5:$H$143,CT!$E$5:$E$143,DMTK!$B18)</f>
        <v>0</v>
      </c>
      <c r="I18" s="10"/>
      <c r="J18" s="28">
        <f t="shared" si="0"/>
        <v>0</v>
      </c>
      <c r="K18" s="10"/>
      <c r="L18" s="10"/>
      <c r="M18" s="29" t="str">
        <f t="shared" si="1"/>
        <v>100.120.123</v>
      </c>
      <c r="N18" s="10">
        <f t="shared" si="2"/>
        <v>0</v>
      </c>
      <c r="O18" s="12" t="str">
        <f t="shared" si="3"/>
        <v>100.120.123</v>
      </c>
      <c r="P18" s="10">
        <f t="shared" si="4"/>
        <v>0</v>
      </c>
      <c r="Q18" s="12"/>
    </row>
    <row r="19" spans="1:17" ht="16.5" customHeight="1" x14ac:dyDescent="0.3">
      <c r="A19" s="12" t="s">
        <v>205</v>
      </c>
      <c r="B19" s="7" t="s">
        <v>206</v>
      </c>
      <c r="C19" s="25" t="s">
        <v>8</v>
      </c>
      <c r="D19" s="12" t="s">
        <v>207</v>
      </c>
      <c r="E19" s="26"/>
      <c r="F19" s="10"/>
      <c r="G19" s="27">
        <f>SUMIFS(CT!$H$5:$H$143,CT!$D$5:$D$143,DMTK!$B19)</f>
        <v>0</v>
      </c>
      <c r="H19" s="27">
        <f>SUMIFS(CT!$H$5:$H$143,CT!$E$5:$E$143,DMTK!$B19)</f>
        <v>0</v>
      </c>
      <c r="I19" s="10"/>
      <c r="J19" s="28">
        <f t="shared" si="0"/>
        <v>0</v>
      </c>
      <c r="K19" s="10"/>
      <c r="L19" s="10"/>
      <c r="M19" s="29" t="str">
        <f t="shared" si="1"/>
        <v>100.130.135</v>
      </c>
      <c r="N19" s="10">
        <f t="shared" si="2"/>
        <v>0</v>
      </c>
      <c r="O19" s="12" t="str">
        <f t="shared" si="3"/>
        <v>100.130.135</v>
      </c>
      <c r="P19" s="10">
        <f t="shared" si="4"/>
        <v>0</v>
      </c>
      <c r="Q19" s="12"/>
    </row>
    <row r="20" spans="1:17" ht="16.5" customHeight="1" x14ac:dyDescent="0.3">
      <c r="A20" s="12" t="s">
        <v>208</v>
      </c>
      <c r="B20" s="7" t="s">
        <v>209</v>
      </c>
      <c r="C20" s="25" t="s">
        <v>8</v>
      </c>
      <c r="D20" s="12" t="s">
        <v>210</v>
      </c>
      <c r="E20" s="26"/>
      <c r="F20" s="10"/>
      <c r="G20" s="27">
        <f>SUMIFS(CT!$H$5:$H$143,CT!$D$5:$D$143,DMTK!$B20)</f>
        <v>0</v>
      </c>
      <c r="H20" s="27">
        <f>SUMIFS(CT!$H$5:$H$143,CT!$E$5:$E$143,DMTK!$B20)</f>
        <v>0</v>
      </c>
      <c r="I20" s="10"/>
      <c r="J20" s="28">
        <f t="shared" si="0"/>
        <v>0</v>
      </c>
      <c r="K20" s="10"/>
      <c r="L20" s="10"/>
      <c r="M20" s="29" t="str">
        <f t="shared" si="1"/>
        <v>200.210.215</v>
      </c>
      <c r="N20" s="10">
        <f t="shared" si="2"/>
        <v>0</v>
      </c>
      <c r="O20" s="12" t="str">
        <f t="shared" si="3"/>
        <v>200.210.215</v>
      </c>
      <c r="P20" s="10">
        <f t="shared" si="4"/>
        <v>0</v>
      </c>
      <c r="Q20" s="12"/>
    </row>
    <row r="21" spans="1:17" ht="16.5" customHeight="1" x14ac:dyDescent="0.3">
      <c r="A21" s="12" t="s">
        <v>199</v>
      </c>
      <c r="B21" s="7" t="s">
        <v>211</v>
      </c>
      <c r="C21" s="25" t="s">
        <v>8</v>
      </c>
      <c r="D21" s="30" t="s">
        <v>212</v>
      </c>
      <c r="E21" s="26"/>
      <c r="F21" s="10">
        <v>0</v>
      </c>
      <c r="G21" s="27">
        <f>SUMIFS(CT!$H$5:$H$143,CT!$D$5:$D$143,DMTK!$B21)</f>
        <v>0</v>
      </c>
      <c r="H21" s="27">
        <f>SUMIFS(CT!$H$5:$H$143,CT!$E$5:$E$143,DMTK!$B21)</f>
        <v>0</v>
      </c>
      <c r="I21" s="10"/>
      <c r="J21" s="28">
        <f t="shared" si="0"/>
        <v>0</v>
      </c>
      <c r="K21" s="10"/>
      <c r="L21" s="10"/>
      <c r="M21" s="29" t="str">
        <f t="shared" si="1"/>
        <v>100.110.112</v>
      </c>
      <c r="N21" s="10">
        <f t="shared" si="2"/>
        <v>0</v>
      </c>
      <c r="O21" s="12" t="str">
        <f t="shared" si="3"/>
        <v>100.110.112</v>
      </c>
      <c r="P21" s="10">
        <f t="shared" si="4"/>
        <v>0</v>
      </c>
      <c r="Q21" s="12"/>
    </row>
    <row r="22" spans="1:17" ht="16.5" customHeight="1" x14ac:dyDescent="0.3">
      <c r="A22" s="12" t="s">
        <v>202</v>
      </c>
      <c r="B22" s="7" t="s">
        <v>213</v>
      </c>
      <c r="C22" s="25" t="s">
        <v>8</v>
      </c>
      <c r="D22" s="30" t="s">
        <v>214</v>
      </c>
      <c r="E22" s="26"/>
      <c r="F22" s="10"/>
      <c r="G22" s="27">
        <f>SUMIFS(CT!$H$5:$H$143,CT!$D$5:$D$143,DMTK!$B22)</f>
        <v>0</v>
      </c>
      <c r="H22" s="27">
        <f>SUMIFS(CT!$H$5:$H$143,CT!$E$5:$E$143,DMTK!$B22)</f>
        <v>0</v>
      </c>
      <c r="I22" s="10"/>
      <c r="J22" s="28">
        <f t="shared" si="0"/>
        <v>0</v>
      </c>
      <c r="K22" s="10"/>
      <c r="L22" s="10"/>
      <c r="M22" s="29" t="str">
        <f t="shared" si="1"/>
        <v>100.120.123</v>
      </c>
      <c r="N22" s="10">
        <f t="shared" si="2"/>
        <v>0</v>
      </c>
      <c r="O22" s="12" t="str">
        <f t="shared" si="3"/>
        <v>100.120.123</v>
      </c>
      <c r="P22" s="10">
        <f t="shared" si="4"/>
        <v>0</v>
      </c>
      <c r="Q22" s="12"/>
    </row>
    <row r="23" spans="1:17" ht="16.5" customHeight="1" x14ac:dyDescent="0.3">
      <c r="A23" s="12" t="s">
        <v>215</v>
      </c>
      <c r="B23" s="7" t="s">
        <v>216</v>
      </c>
      <c r="C23" s="25" t="s">
        <v>8</v>
      </c>
      <c r="D23" s="9" t="s">
        <v>217</v>
      </c>
      <c r="E23" s="26"/>
      <c r="F23" s="10">
        <v>100000000</v>
      </c>
      <c r="G23" s="27">
        <f>SUMIFS(CT!$H$5:$H$143,CT!$D$5:$D$143,DMTK!$B23)</f>
        <v>0</v>
      </c>
      <c r="H23" s="27">
        <f>SUMIFS(CT!$H$5:$H$143,CT!$E$5:$E$143,DMTK!$B23)</f>
        <v>20000000</v>
      </c>
      <c r="I23" s="10"/>
      <c r="J23" s="28">
        <f t="shared" si="0"/>
        <v>80000000</v>
      </c>
      <c r="K23" s="10"/>
      <c r="L23" s="10"/>
      <c r="M23" s="29" t="str">
        <f t="shared" si="1"/>
        <v>100.130.131</v>
      </c>
      <c r="N23" s="10">
        <f t="shared" si="2"/>
        <v>100000000</v>
      </c>
      <c r="O23" s="12" t="str">
        <f t="shared" si="3"/>
        <v>100.130.131</v>
      </c>
      <c r="P23" s="10">
        <f t="shared" si="4"/>
        <v>80000000</v>
      </c>
      <c r="Q23" s="12"/>
    </row>
    <row r="24" spans="1:17" ht="16.5" customHeight="1" x14ac:dyDescent="0.3">
      <c r="A24" s="12" t="s">
        <v>215</v>
      </c>
      <c r="B24" s="7" t="s">
        <v>218</v>
      </c>
      <c r="C24" s="25" t="s">
        <v>8</v>
      </c>
      <c r="D24" s="9" t="s">
        <v>219</v>
      </c>
      <c r="E24" s="26"/>
      <c r="F24" s="10">
        <v>70000000</v>
      </c>
      <c r="G24" s="27">
        <f>SUMIFS(CT!$H$5:$H$143,CT!$D$5:$D$143,DMTK!$B24)</f>
        <v>0</v>
      </c>
      <c r="H24" s="27">
        <f>SUMIFS(CT!$H$5:$H$143,CT!$E$5:$E$143,DMTK!$B24)</f>
        <v>30000000</v>
      </c>
      <c r="I24" s="10"/>
      <c r="J24" s="28">
        <f t="shared" si="0"/>
        <v>40000000</v>
      </c>
      <c r="K24" s="10"/>
      <c r="L24" s="10"/>
      <c r="M24" s="29" t="str">
        <f t="shared" si="1"/>
        <v>100.130.131</v>
      </c>
      <c r="N24" s="10">
        <f t="shared" si="2"/>
        <v>70000000</v>
      </c>
      <c r="O24" s="12" t="str">
        <f t="shared" si="3"/>
        <v>100.130.131</v>
      </c>
      <c r="P24" s="10">
        <f t="shared" si="4"/>
        <v>40000000</v>
      </c>
      <c r="Q24" s="12"/>
    </row>
    <row r="25" spans="1:17" ht="16.5" customHeight="1" x14ac:dyDescent="0.3">
      <c r="A25" s="12" t="s">
        <v>215</v>
      </c>
      <c r="B25" s="7" t="s">
        <v>220</v>
      </c>
      <c r="C25" s="25" t="s">
        <v>8</v>
      </c>
      <c r="D25" s="9" t="s">
        <v>221</v>
      </c>
      <c r="E25" s="26"/>
      <c r="F25" s="10">
        <v>57000000</v>
      </c>
      <c r="G25" s="27">
        <f>SUMIFS(CT!$H$5:$H$143,CT!$D$5:$D$143,DMTK!$B25)</f>
        <v>0</v>
      </c>
      <c r="H25" s="27">
        <f>SUMIFS(CT!$H$5:$H$143,CT!$E$5:$E$143,DMTK!$B25)</f>
        <v>5000000</v>
      </c>
      <c r="I25" s="10"/>
      <c r="J25" s="28">
        <f t="shared" si="0"/>
        <v>52000000</v>
      </c>
      <c r="K25" s="10"/>
      <c r="L25" s="10"/>
      <c r="M25" s="29" t="str">
        <f t="shared" si="1"/>
        <v>100.130.131</v>
      </c>
      <c r="N25" s="10">
        <f t="shared" si="2"/>
        <v>57000000</v>
      </c>
      <c r="O25" s="12" t="str">
        <f t="shared" si="3"/>
        <v>100.130.131</v>
      </c>
      <c r="P25" s="10">
        <f t="shared" si="4"/>
        <v>52000000</v>
      </c>
      <c r="Q25" s="12"/>
    </row>
    <row r="26" spans="1:17" ht="16.5" customHeight="1" x14ac:dyDescent="0.3">
      <c r="A26" s="12" t="s">
        <v>215</v>
      </c>
      <c r="B26" s="7" t="s">
        <v>222</v>
      </c>
      <c r="C26" s="25" t="s">
        <v>8</v>
      </c>
      <c r="D26" s="9" t="s">
        <v>223</v>
      </c>
      <c r="E26" s="26"/>
      <c r="F26" s="10">
        <v>-52000000</v>
      </c>
      <c r="G26" s="27">
        <f>SUMIFS(CT!$H$5:$H$143,CT!$D$5:$D$143,DMTK!$B26)</f>
        <v>31500000</v>
      </c>
      <c r="H26" s="27">
        <f>SUMIFS(CT!$H$5:$H$143,CT!$E$5:$E$143,DMTK!$B26)</f>
        <v>0</v>
      </c>
      <c r="I26" s="10"/>
      <c r="J26" s="28">
        <f t="shared" si="0"/>
        <v>-20500000</v>
      </c>
      <c r="K26" s="10"/>
      <c r="L26" s="10"/>
      <c r="M26" s="29" t="str">
        <f t="shared" si="1"/>
        <v>300.310.312</v>
      </c>
      <c r="N26" s="10">
        <f t="shared" si="2"/>
        <v>52000000</v>
      </c>
      <c r="O26" s="12" t="str">
        <f t="shared" si="3"/>
        <v>300.310.312</v>
      </c>
      <c r="P26" s="10">
        <f t="shared" si="4"/>
        <v>20500000</v>
      </c>
      <c r="Q26" s="12"/>
    </row>
    <row r="27" spans="1:17" ht="16.5" customHeight="1" x14ac:dyDescent="0.3">
      <c r="A27" s="12" t="s">
        <v>215</v>
      </c>
      <c r="B27" s="7" t="s">
        <v>224</v>
      </c>
      <c r="C27" s="25" t="s">
        <v>8</v>
      </c>
      <c r="D27" s="9" t="s">
        <v>225</v>
      </c>
      <c r="E27" s="26"/>
      <c r="F27" s="10"/>
      <c r="G27" s="27">
        <f>SUMIFS(CT!$H$5:$H$143,CT!$D$5:$D$143,DMTK!$B27)</f>
        <v>31500000</v>
      </c>
      <c r="H27" s="27">
        <f>SUMIFS(CT!$H$5:$H$143,CT!$E$5:$E$143,DMTK!$B27)</f>
        <v>0</v>
      </c>
      <c r="I27" s="10"/>
      <c r="J27" s="28">
        <f t="shared" si="0"/>
        <v>31500000</v>
      </c>
      <c r="K27" s="10"/>
      <c r="L27" s="10"/>
      <c r="M27" s="29" t="str">
        <f t="shared" si="1"/>
        <v>100.130.131</v>
      </c>
      <c r="N27" s="10">
        <f t="shared" si="2"/>
        <v>0</v>
      </c>
      <c r="O27" s="12" t="str">
        <f t="shared" si="3"/>
        <v>100.130.131</v>
      </c>
      <c r="P27" s="10">
        <f t="shared" si="4"/>
        <v>31500000</v>
      </c>
      <c r="Q27" s="12"/>
    </row>
    <row r="28" spans="1:17" ht="16.5" customHeight="1" x14ac:dyDescent="0.3">
      <c r="A28" s="12" t="s">
        <v>215</v>
      </c>
      <c r="B28" s="7" t="s">
        <v>226</v>
      </c>
      <c r="C28" s="25" t="s">
        <v>8</v>
      </c>
      <c r="D28" s="9" t="s">
        <v>227</v>
      </c>
      <c r="E28" s="26"/>
      <c r="F28" s="10">
        <v>0</v>
      </c>
      <c r="G28" s="27">
        <f>SUMIFS(CT!$H$5:$H$143,CT!$D$5:$D$143,DMTK!$B28)</f>
        <v>29400000</v>
      </c>
      <c r="H28" s="27">
        <f>SUMIFS(CT!$H$5:$H$143,CT!$E$5:$E$143,DMTK!$B28)</f>
        <v>0</v>
      </c>
      <c r="I28" s="10"/>
      <c r="J28" s="28">
        <f t="shared" si="0"/>
        <v>29400000</v>
      </c>
      <c r="K28" s="10"/>
      <c r="L28" s="10"/>
      <c r="M28" s="29" t="str">
        <f t="shared" si="1"/>
        <v>100.130.131</v>
      </c>
      <c r="N28" s="10">
        <f t="shared" si="2"/>
        <v>0</v>
      </c>
      <c r="O28" s="12" t="str">
        <f t="shared" si="3"/>
        <v>100.130.131</v>
      </c>
      <c r="P28" s="10">
        <f t="shared" si="4"/>
        <v>29400000</v>
      </c>
      <c r="Q28" s="12"/>
    </row>
    <row r="29" spans="1:17" ht="16.5" customHeight="1" x14ac:dyDescent="0.3">
      <c r="A29" s="12" t="s">
        <v>228</v>
      </c>
      <c r="B29" s="7" t="s">
        <v>229</v>
      </c>
      <c r="C29" s="25" t="s">
        <v>8</v>
      </c>
      <c r="D29" s="9" t="s">
        <v>230</v>
      </c>
      <c r="E29" s="26"/>
      <c r="F29" s="10">
        <v>0</v>
      </c>
      <c r="G29" s="27">
        <f>SUMIFS(CT!$H$5:$H$143,CT!$D$5:$D$143,DMTK!$B29)</f>
        <v>1960000</v>
      </c>
      <c r="H29" s="27">
        <f>SUMIFS(CT!$H$5:$H$143,CT!$E$5:$E$143,DMTK!$B29)</f>
        <v>0</v>
      </c>
      <c r="I29" s="10"/>
      <c r="J29" s="28">
        <f t="shared" si="0"/>
        <v>1960000</v>
      </c>
      <c r="K29" s="10"/>
      <c r="L29" s="10"/>
      <c r="M29" s="29" t="str">
        <f t="shared" si="1"/>
        <v>100.150.152</v>
      </c>
      <c r="N29" s="10">
        <f t="shared" si="2"/>
        <v>0</v>
      </c>
      <c r="O29" s="12" t="str">
        <f t="shared" si="3"/>
        <v>100.150.152</v>
      </c>
      <c r="P29" s="10">
        <f t="shared" si="4"/>
        <v>1960000</v>
      </c>
      <c r="Q29" s="12"/>
    </row>
    <row r="30" spans="1:17" ht="16.5" customHeight="1" x14ac:dyDescent="0.3">
      <c r="A30" s="12" t="s">
        <v>228</v>
      </c>
      <c r="B30" s="7" t="s">
        <v>231</v>
      </c>
      <c r="C30" s="25" t="s">
        <v>8</v>
      </c>
      <c r="D30" s="9" t="s">
        <v>232</v>
      </c>
      <c r="E30" s="26"/>
      <c r="F30" s="10">
        <v>0</v>
      </c>
      <c r="G30" s="27">
        <f>SUMIFS(CT!$H$5:$H$143,CT!$D$5:$D$143,DMTK!$B30)</f>
        <v>14000000</v>
      </c>
      <c r="H30" s="27">
        <f>SUMIFS(CT!$H$5:$H$143,CT!$E$5:$E$143,DMTK!$B30)</f>
        <v>0</v>
      </c>
      <c r="I30" s="10"/>
      <c r="J30" s="28">
        <f t="shared" si="0"/>
        <v>14000000</v>
      </c>
      <c r="K30" s="10"/>
      <c r="L30" s="10"/>
      <c r="M30" s="29" t="str">
        <f t="shared" si="1"/>
        <v>100.150.152</v>
      </c>
      <c r="N30" s="10">
        <f t="shared" si="2"/>
        <v>0</v>
      </c>
      <c r="O30" s="12" t="str">
        <f t="shared" si="3"/>
        <v>100.150.152</v>
      </c>
      <c r="P30" s="10">
        <f t="shared" si="4"/>
        <v>14000000</v>
      </c>
      <c r="Q30" s="12"/>
    </row>
    <row r="31" spans="1:17" ht="16.5" customHeight="1" x14ac:dyDescent="0.3">
      <c r="A31" s="12" t="s">
        <v>233</v>
      </c>
      <c r="B31" s="7" t="s">
        <v>234</v>
      </c>
      <c r="C31" s="25" t="s">
        <v>8</v>
      </c>
      <c r="D31" s="9" t="s">
        <v>235</v>
      </c>
      <c r="E31" s="26"/>
      <c r="F31" s="10"/>
      <c r="G31" s="27">
        <f>SUMIFS(CT!$H$5:$H$143,CT!$D$5:$D$143,DMTK!$B31)</f>
        <v>0</v>
      </c>
      <c r="H31" s="27">
        <f>SUMIFS(CT!$H$5:$H$143,CT!$E$5:$E$143,DMTK!$B31)</f>
        <v>0</v>
      </c>
      <c r="I31" s="10"/>
      <c r="J31" s="28">
        <f t="shared" si="0"/>
        <v>0</v>
      </c>
      <c r="K31" s="10"/>
      <c r="L31" s="10"/>
      <c r="M31" s="29" t="str">
        <f t="shared" si="1"/>
        <v>200.210.213</v>
      </c>
      <c r="N31" s="10">
        <f t="shared" si="2"/>
        <v>0</v>
      </c>
      <c r="O31" s="12" t="str">
        <f t="shared" si="3"/>
        <v>200.210.213</v>
      </c>
      <c r="P31" s="10">
        <f t="shared" si="4"/>
        <v>0</v>
      </c>
      <c r="Q31" s="12"/>
    </row>
    <row r="32" spans="1:17" ht="16.5" customHeight="1" x14ac:dyDescent="0.3">
      <c r="A32" s="31" t="s">
        <v>236</v>
      </c>
      <c r="B32" s="7" t="s">
        <v>237</v>
      </c>
      <c r="C32" s="25" t="s">
        <v>8</v>
      </c>
      <c r="D32" s="12" t="s">
        <v>238</v>
      </c>
      <c r="E32" s="26"/>
      <c r="F32" s="10"/>
      <c r="G32" s="27">
        <f>SUMIFS(CT!$H$5:$H$143,CT!$D$5:$D$143,DMTK!$B32)</f>
        <v>0</v>
      </c>
      <c r="H32" s="27">
        <f>SUMIFS(CT!$H$5:$H$143,CT!$E$5:$E$143,DMTK!$B32)</f>
        <v>0</v>
      </c>
      <c r="I32" s="10"/>
      <c r="J32" s="28">
        <f t="shared" si="0"/>
        <v>0</v>
      </c>
      <c r="K32" s="10"/>
      <c r="L32" s="10"/>
      <c r="M32" s="29" t="str">
        <f t="shared" si="1"/>
        <v>100.130.133</v>
      </c>
      <c r="N32" s="10">
        <f t="shared" si="2"/>
        <v>0</v>
      </c>
      <c r="O32" s="12" t="str">
        <f t="shared" si="3"/>
        <v>100.130.133</v>
      </c>
      <c r="P32" s="10">
        <f t="shared" si="4"/>
        <v>0</v>
      </c>
      <c r="Q32" s="12"/>
    </row>
    <row r="33" spans="1:17" ht="16.5" customHeight="1" x14ac:dyDescent="0.3">
      <c r="A33" s="31" t="s">
        <v>239</v>
      </c>
      <c r="B33" s="7" t="s">
        <v>240</v>
      </c>
      <c r="C33" s="25" t="s">
        <v>8</v>
      </c>
      <c r="D33" s="12" t="s">
        <v>241</v>
      </c>
      <c r="E33" s="26"/>
      <c r="F33" s="10"/>
      <c r="G33" s="27">
        <f>SUMIFS(CT!$H$5:$H$143,CT!$D$5:$D$143,DMTK!$B33)</f>
        <v>0</v>
      </c>
      <c r="H33" s="27">
        <f>SUMIFS(CT!$H$5:$H$143,CT!$E$5:$E$143,DMTK!$B33)</f>
        <v>0</v>
      </c>
      <c r="I33" s="10"/>
      <c r="J33" s="28">
        <f t="shared" si="0"/>
        <v>0</v>
      </c>
      <c r="K33" s="10"/>
      <c r="L33" s="10"/>
      <c r="M33" s="29" t="str">
        <f t="shared" si="1"/>
        <v>200.210.214</v>
      </c>
      <c r="N33" s="10">
        <f t="shared" si="2"/>
        <v>0</v>
      </c>
      <c r="O33" s="12" t="str">
        <f t="shared" si="3"/>
        <v>200.210.214</v>
      </c>
      <c r="P33" s="10">
        <f t="shared" si="4"/>
        <v>0</v>
      </c>
      <c r="Q33" s="12"/>
    </row>
    <row r="34" spans="1:17" ht="16.5" customHeight="1" x14ac:dyDescent="0.3">
      <c r="A34" s="31" t="s">
        <v>236</v>
      </c>
      <c r="B34" s="6" t="s">
        <v>242</v>
      </c>
      <c r="C34" s="25" t="s">
        <v>8</v>
      </c>
      <c r="D34" s="12" t="s">
        <v>243</v>
      </c>
      <c r="E34" s="26"/>
      <c r="F34" s="10">
        <v>0</v>
      </c>
      <c r="G34" s="27">
        <f>SUMIFS(CT!$H$5:$H$143,CT!$D$5:$D$143,DMTK!$B34)</f>
        <v>0</v>
      </c>
      <c r="H34" s="27">
        <f>SUMIFS(CT!$H$5:$H$143,CT!$E$5:$E$143,DMTK!$B34)</f>
        <v>0</v>
      </c>
      <c r="I34" s="10"/>
      <c r="J34" s="28">
        <f t="shared" si="0"/>
        <v>0</v>
      </c>
      <c r="K34" s="10"/>
      <c r="L34" s="10"/>
      <c r="M34" s="29" t="str">
        <f t="shared" si="1"/>
        <v>100.130.133</v>
      </c>
      <c r="N34" s="10">
        <f t="shared" si="2"/>
        <v>0</v>
      </c>
      <c r="O34" s="12" t="str">
        <f t="shared" si="3"/>
        <v>100.130.133</v>
      </c>
      <c r="P34" s="10">
        <f t="shared" si="4"/>
        <v>0</v>
      </c>
      <c r="Q34" s="12"/>
    </row>
    <row r="35" spans="1:17" ht="16.5" customHeight="1" x14ac:dyDescent="0.3">
      <c r="A35" s="31" t="s">
        <v>239</v>
      </c>
      <c r="B35" s="6" t="s">
        <v>244</v>
      </c>
      <c r="C35" s="25" t="s">
        <v>8</v>
      </c>
      <c r="D35" s="12" t="s">
        <v>245</v>
      </c>
      <c r="E35" s="26"/>
      <c r="F35" s="10"/>
      <c r="G35" s="27">
        <f>SUMIFS(CT!$H$5:$H$143,CT!$D$5:$D$143,DMTK!$B35)</f>
        <v>0</v>
      </c>
      <c r="H35" s="27">
        <f>SUMIFS(CT!$H$5:$H$143,CT!$E$5:$E$143,DMTK!$B35)</f>
        <v>0</v>
      </c>
      <c r="I35" s="10"/>
      <c r="J35" s="28">
        <f t="shared" si="0"/>
        <v>0</v>
      </c>
      <c r="K35" s="10"/>
      <c r="L35" s="10"/>
      <c r="M35" s="29" t="str">
        <f t="shared" si="1"/>
        <v>200.210.214</v>
      </c>
      <c r="N35" s="10">
        <f t="shared" si="2"/>
        <v>0</v>
      </c>
      <c r="O35" s="12" t="str">
        <f t="shared" si="3"/>
        <v>200.210.214</v>
      </c>
      <c r="P35" s="10">
        <f t="shared" si="4"/>
        <v>0</v>
      </c>
      <c r="Q35" s="12"/>
    </row>
    <row r="36" spans="1:17" ht="16.5" customHeight="1" x14ac:dyDescent="0.3">
      <c r="A36" s="31" t="s">
        <v>236</v>
      </c>
      <c r="B36" s="7" t="s">
        <v>246</v>
      </c>
      <c r="C36" s="25" t="s">
        <v>8</v>
      </c>
      <c r="D36" s="12" t="s">
        <v>247</v>
      </c>
      <c r="E36" s="26"/>
      <c r="F36" s="10"/>
      <c r="G36" s="27">
        <f>SUMIFS(CT!$H$5:$H$143,CT!$D$5:$D$143,DMTK!$B36)</f>
        <v>0</v>
      </c>
      <c r="H36" s="27">
        <f>SUMIFS(CT!$H$5:$H$143,CT!$E$5:$E$143,DMTK!$B36)</f>
        <v>0</v>
      </c>
      <c r="I36" s="10"/>
      <c r="J36" s="28">
        <f t="shared" si="0"/>
        <v>0</v>
      </c>
      <c r="K36" s="10"/>
      <c r="L36" s="10"/>
      <c r="M36" s="29" t="str">
        <f t="shared" si="1"/>
        <v>100.130.133</v>
      </c>
      <c r="N36" s="10">
        <f t="shared" si="2"/>
        <v>0</v>
      </c>
      <c r="O36" s="12" t="str">
        <f t="shared" si="3"/>
        <v>100.130.133</v>
      </c>
      <c r="P36" s="10">
        <f t="shared" si="4"/>
        <v>0</v>
      </c>
      <c r="Q36" s="12"/>
    </row>
    <row r="37" spans="1:17" ht="16.5" customHeight="1" x14ac:dyDescent="0.3">
      <c r="A37" s="31" t="s">
        <v>239</v>
      </c>
      <c r="B37" s="7" t="s">
        <v>248</v>
      </c>
      <c r="C37" s="25" t="s">
        <v>8</v>
      </c>
      <c r="D37" s="12" t="s">
        <v>249</v>
      </c>
      <c r="E37" s="26"/>
      <c r="F37" s="10"/>
      <c r="G37" s="27">
        <f>SUMIFS(CT!$H$5:$H$143,CT!$D$5:$D$143,DMTK!$B37)</f>
        <v>0</v>
      </c>
      <c r="H37" s="27">
        <f>SUMIFS(CT!$H$5:$H$143,CT!$E$5:$E$143,DMTK!$B37)</f>
        <v>0</v>
      </c>
      <c r="I37" s="10"/>
      <c r="J37" s="28">
        <f t="shared" si="0"/>
        <v>0</v>
      </c>
      <c r="K37" s="10"/>
      <c r="L37" s="10"/>
      <c r="M37" s="29" t="str">
        <f t="shared" si="1"/>
        <v>200.210.214</v>
      </c>
      <c r="N37" s="10">
        <f t="shared" si="2"/>
        <v>0</v>
      </c>
      <c r="O37" s="12" t="str">
        <f t="shared" si="3"/>
        <v>200.210.214</v>
      </c>
      <c r="P37" s="10">
        <f t="shared" si="4"/>
        <v>0</v>
      </c>
      <c r="Q37" s="12"/>
    </row>
    <row r="38" spans="1:17" ht="16.5" customHeight="1" x14ac:dyDescent="0.3">
      <c r="A38" s="31" t="s">
        <v>250</v>
      </c>
      <c r="B38" s="7" t="s">
        <v>251</v>
      </c>
      <c r="C38" s="25" t="s">
        <v>8</v>
      </c>
      <c r="D38" s="9" t="s">
        <v>252</v>
      </c>
      <c r="E38" s="26"/>
      <c r="F38" s="10"/>
      <c r="G38" s="27">
        <f>SUMIFS(CT!$H$5:$H$143,CT!$D$5:$D$143,DMTK!$B38)</f>
        <v>0</v>
      </c>
      <c r="H38" s="27">
        <f>SUMIFS(CT!$H$5:$H$143,CT!$E$5:$E$143,DMTK!$B38)</f>
        <v>0</v>
      </c>
      <c r="I38" s="10"/>
      <c r="J38" s="28">
        <f t="shared" si="0"/>
        <v>0</v>
      </c>
      <c r="K38" s="10"/>
      <c r="L38" s="10"/>
      <c r="M38" s="29" t="str">
        <f t="shared" si="1"/>
        <v>100.130.139</v>
      </c>
      <c r="N38" s="10">
        <f t="shared" si="2"/>
        <v>0</v>
      </c>
      <c r="O38" s="12" t="str">
        <f t="shared" si="3"/>
        <v>100.130.139</v>
      </c>
      <c r="P38" s="10">
        <f t="shared" si="4"/>
        <v>0</v>
      </c>
      <c r="Q38" s="12"/>
    </row>
    <row r="39" spans="1:17" ht="16.5" customHeight="1" x14ac:dyDescent="0.3">
      <c r="A39" s="12" t="s">
        <v>253</v>
      </c>
      <c r="B39" s="7" t="s">
        <v>254</v>
      </c>
      <c r="C39" s="25" t="s">
        <v>8</v>
      </c>
      <c r="D39" s="12" t="s">
        <v>255</v>
      </c>
      <c r="E39" s="26"/>
      <c r="F39" s="10"/>
      <c r="G39" s="27">
        <f>SUMIFS(CT!$H$5:$H$143,CT!$D$5:$D$143,DMTK!$B39)</f>
        <v>0</v>
      </c>
      <c r="H39" s="27">
        <f>SUMIFS(CT!$H$5:$H$143,CT!$E$5:$E$143,DMTK!$B39)</f>
        <v>0</v>
      </c>
      <c r="I39" s="10"/>
      <c r="J39" s="28">
        <f t="shared" si="0"/>
        <v>0</v>
      </c>
      <c r="K39" s="10"/>
      <c r="L39" s="10"/>
      <c r="M39" s="29" t="str">
        <f t="shared" si="1"/>
        <v>100.130.136</v>
      </c>
      <c r="N39" s="10">
        <f t="shared" si="2"/>
        <v>0</v>
      </c>
      <c r="O39" s="12" t="str">
        <f t="shared" si="3"/>
        <v>100.130.136</v>
      </c>
      <c r="P39" s="10">
        <f t="shared" si="4"/>
        <v>0</v>
      </c>
      <c r="Q39" s="12"/>
    </row>
    <row r="40" spans="1:17" ht="16.5" customHeight="1" x14ac:dyDescent="0.3">
      <c r="A40" s="12" t="s">
        <v>256</v>
      </c>
      <c r="B40" s="7" t="s">
        <v>257</v>
      </c>
      <c r="C40" s="25" t="s">
        <v>8</v>
      </c>
      <c r="D40" s="12" t="s">
        <v>258</v>
      </c>
      <c r="E40" s="26"/>
      <c r="F40" s="10">
        <v>0</v>
      </c>
      <c r="G40" s="27">
        <f>SUMIFS(CT!$H$5:$H$143,CT!$D$5:$D$143,DMTK!$B40)</f>
        <v>0</v>
      </c>
      <c r="H40" s="27">
        <f>SUMIFS(CT!$H$5:$H$143,CT!$E$5:$E$143,DMTK!$B40)</f>
        <v>0</v>
      </c>
      <c r="I40" s="10"/>
      <c r="J40" s="28">
        <f t="shared" si="0"/>
        <v>0</v>
      </c>
      <c r="K40" s="10"/>
      <c r="L40" s="10"/>
      <c r="M40" s="29" t="str">
        <f t="shared" si="1"/>
        <v>200.210.216</v>
      </c>
      <c r="N40" s="10">
        <f t="shared" si="2"/>
        <v>0</v>
      </c>
      <c r="O40" s="12" t="str">
        <f t="shared" si="3"/>
        <v>200.210.216</v>
      </c>
      <c r="P40" s="10">
        <f t="shared" si="4"/>
        <v>0</v>
      </c>
      <c r="Q40" s="12"/>
    </row>
    <row r="41" spans="1:17" ht="16.5" customHeight="1" x14ac:dyDescent="0.3">
      <c r="A41" s="12" t="s">
        <v>253</v>
      </c>
      <c r="B41" s="7" t="s">
        <v>259</v>
      </c>
      <c r="C41" s="25" t="s">
        <v>8</v>
      </c>
      <c r="D41" s="9" t="s">
        <v>260</v>
      </c>
      <c r="E41" s="26"/>
      <c r="F41" s="10">
        <v>52200000</v>
      </c>
      <c r="G41" s="27">
        <f>SUMIFS(CT!$H$5:$H$143,CT!$D$5:$D$143,DMTK!$B41)</f>
        <v>0</v>
      </c>
      <c r="H41" s="27">
        <f>SUMIFS(CT!$H$5:$H$143,CT!$E$5:$E$143,DMTK!$B41)</f>
        <v>0</v>
      </c>
      <c r="I41" s="10"/>
      <c r="J41" s="28">
        <f t="shared" si="0"/>
        <v>52200000</v>
      </c>
      <c r="K41" s="10"/>
      <c r="L41" s="10"/>
      <c r="M41" s="29" t="str">
        <f t="shared" si="1"/>
        <v>100.130.136</v>
      </c>
      <c r="N41" s="10">
        <f t="shared" si="2"/>
        <v>52200000</v>
      </c>
      <c r="O41" s="12" t="str">
        <f t="shared" si="3"/>
        <v>100.130.136</v>
      </c>
      <c r="P41" s="10">
        <f t="shared" si="4"/>
        <v>52200000</v>
      </c>
      <c r="Q41" s="12"/>
    </row>
    <row r="42" spans="1:17" ht="16.5" customHeight="1" x14ac:dyDescent="0.3">
      <c r="A42" s="12" t="s">
        <v>256</v>
      </c>
      <c r="B42" s="7" t="s">
        <v>261</v>
      </c>
      <c r="C42" s="25" t="s">
        <v>8</v>
      </c>
      <c r="D42" s="9" t="s">
        <v>262</v>
      </c>
      <c r="E42" s="26"/>
      <c r="F42" s="10"/>
      <c r="G42" s="27">
        <f>SUMIFS(CT!$H$5:$H$143,CT!$D$5:$D$143,DMTK!$B42)</f>
        <v>0</v>
      </c>
      <c r="H42" s="27">
        <f>SUMIFS(CT!$H$5:$H$143,CT!$E$5:$E$143,DMTK!$B42)</f>
        <v>0</v>
      </c>
      <c r="I42" s="10"/>
      <c r="J42" s="28">
        <f t="shared" si="0"/>
        <v>0</v>
      </c>
      <c r="K42" s="10"/>
      <c r="L42" s="10"/>
      <c r="M42" s="29" t="str">
        <f t="shared" si="1"/>
        <v>200.210.216</v>
      </c>
      <c r="N42" s="10">
        <f t="shared" si="2"/>
        <v>0</v>
      </c>
      <c r="O42" s="12" t="str">
        <f t="shared" si="3"/>
        <v>200.210.216</v>
      </c>
      <c r="P42" s="10">
        <f t="shared" si="4"/>
        <v>0</v>
      </c>
      <c r="Q42" s="12"/>
    </row>
    <row r="43" spans="1:17" ht="16.5" customHeight="1" x14ac:dyDescent="0.3">
      <c r="A43" s="12" t="s">
        <v>253</v>
      </c>
      <c r="B43" s="7" t="s">
        <v>263</v>
      </c>
      <c r="C43" s="25" t="s">
        <v>8</v>
      </c>
      <c r="D43" s="9" t="s">
        <v>264</v>
      </c>
      <c r="E43" s="26"/>
      <c r="F43" s="10">
        <v>200000</v>
      </c>
      <c r="G43" s="27">
        <f>SUMIFS(CT!$H$5:$H$143,CT!$D$5:$D$143,DMTK!$B43)</f>
        <v>0</v>
      </c>
      <c r="H43" s="27">
        <f>SUMIFS(CT!$H$5:$H$143,CT!$E$5:$E$143,DMTK!$B43)</f>
        <v>0</v>
      </c>
      <c r="I43" s="10"/>
      <c r="J43" s="28">
        <f t="shared" si="0"/>
        <v>200000</v>
      </c>
      <c r="K43" s="10"/>
      <c r="L43" s="10"/>
      <c r="M43" s="29" t="str">
        <f t="shared" si="1"/>
        <v>100.130.136</v>
      </c>
      <c r="N43" s="10">
        <f t="shared" si="2"/>
        <v>200000</v>
      </c>
      <c r="O43" s="12" t="str">
        <f t="shared" si="3"/>
        <v>100.130.136</v>
      </c>
      <c r="P43" s="10">
        <f t="shared" si="4"/>
        <v>200000</v>
      </c>
      <c r="Q43" s="12"/>
    </row>
    <row r="44" spans="1:17" ht="16.5" customHeight="1" x14ac:dyDescent="0.3">
      <c r="A44" s="12" t="s">
        <v>253</v>
      </c>
      <c r="B44" s="7" t="s">
        <v>265</v>
      </c>
      <c r="C44" s="25" t="s">
        <v>8</v>
      </c>
      <c r="D44" s="9" t="s">
        <v>266</v>
      </c>
      <c r="E44" s="26"/>
      <c r="F44" s="10">
        <v>1000000</v>
      </c>
      <c r="G44" s="27">
        <f>SUMIFS(CT!$H$5:$H$143,CT!$D$5:$D$143,DMTK!$B44)</f>
        <v>2000000</v>
      </c>
      <c r="H44" s="27">
        <f>SUMIFS(CT!$H$5:$H$143,CT!$E$5:$E$143,DMTK!$B44)</f>
        <v>2000000</v>
      </c>
      <c r="I44" s="10"/>
      <c r="J44" s="28">
        <f t="shared" si="0"/>
        <v>1000000</v>
      </c>
      <c r="K44" s="10"/>
      <c r="L44" s="10"/>
      <c r="M44" s="29" t="str">
        <f t="shared" si="1"/>
        <v>100.130.136</v>
      </c>
      <c r="N44" s="10">
        <f t="shared" si="2"/>
        <v>1000000</v>
      </c>
      <c r="O44" s="12" t="str">
        <f t="shared" si="3"/>
        <v>100.130.136</v>
      </c>
      <c r="P44" s="10">
        <f t="shared" si="4"/>
        <v>1000000</v>
      </c>
      <c r="Q44" s="12"/>
    </row>
    <row r="45" spans="1:17" ht="16.5" customHeight="1" x14ac:dyDescent="0.3">
      <c r="A45" s="12" t="s">
        <v>253</v>
      </c>
      <c r="B45" s="7" t="s">
        <v>267</v>
      </c>
      <c r="C45" s="25" t="s">
        <v>8</v>
      </c>
      <c r="D45" s="9" t="s">
        <v>268</v>
      </c>
      <c r="E45" s="26"/>
      <c r="F45" s="10">
        <v>300000</v>
      </c>
      <c r="G45" s="27">
        <f>SUMIFS(CT!$H$5:$H$143,CT!$D$5:$D$143,DMTK!$B45)</f>
        <v>0</v>
      </c>
      <c r="H45" s="27">
        <f>SUMIFS(CT!$H$5:$H$143,CT!$E$5:$E$143,DMTK!$B45)</f>
        <v>0</v>
      </c>
      <c r="I45" s="10"/>
      <c r="J45" s="28">
        <f t="shared" si="0"/>
        <v>300000</v>
      </c>
      <c r="K45" s="10"/>
      <c r="L45" s="10"/>
      <c r="M45" s="29" t="str">
        <f t="shared" si="1"/>
        <v>100.130.136</v>
      </c>
      <c r="N45" s="10">
        <f t="shared" si="2"/>
        <v>300000</v>
      </c>
      <c r="O45" s="12" t="str">
        <f t="shared" si="3"/>
        <v>100.130.136</v>
      </c>
      <c r="P45" s="10">
        <f t="shared" si="4"/>
        <v>300000</v>
      </c>
      <c r="Q45" s="12"/>
    </row>
    <row r="46" spans="1:17" ht="16.5" customHeight="1" x14ac:dyDescent="0.3">
      <c r="A46" s="12" t="s">
        <v>253</v>
      </c>
      <c r="B46" s="7" t="s">
        <v>269</v>
      </c>
      <c r="C46" s="25" t="s">
        <v>8</v>
      </c>
      <c r="D46" s="9" t="s">
        <v>270</v>
      </c>
      <c r="E46" s="26"/>
      <c r="F46" s="10">
        <v>1500000</v>
      </c>
      <c r="G46" s="27">
        <f>SUMIFS(CT!$H$5:$H$143,CT!$D$5:$D$143,DMTK!$B46)</f>
        <v>0</v>
      </c>
      <c r="H46" s="27">
        <f>SUMIFS(CT!$H$5:$H$143,CT!$E$5:$E$143,DMTK!$B46)</f>
        <v>0</v>
      </c>
      <c r="I46" s="10"/>
      <c r="J46" s="28">
        <f t="shared" si="0"/>
        <v>1500000</v>
      </c>
      <c r="K46" s="10"/>
      <c r="L46" s="10"/>
      <c r="M46" s="29" t="str">
        <f t="shared" si="1"/>
        <v>100.130.136</v>
      </c>
      <c r="N46" s="10">
        <f t="shared" si="2"/>
        <v>1500000</v>
      </c>
      <c r="O46" s="12" t="str">
        <f t="shared" si="3"/>
        <v>100.130.136</v>
      </c>
      <c r="P46" s="10">
        <f t="shared" si="4"/>
        <v>1500000</v>
      </c>
      <c r="Q46" s="12"/>
    </row>
    <row r="47" spans="1:17" ht="16.5" customHeight="1" x14ac:dyDescent="0.3">
      <c r="A47" s="12" t="s">
        <v>253</v>
      </c>
      <c r="B47" s="7" t="s">
        <v>271</v>
      </c>
      <c r="C47" s="25" t="s">
        <v>8</v>
      </c>
      <c r="D47" s="9" t="s">
        <v>272</v>
      </c>
      <c r="E47" s="26"/>
      <c r="F47" s="10">
        <v>500000</v>
      </c>
      <c r="G47" s="27">
        <f>SUMIFS(CT!$H$5:$H$143,CT!$D$5:$D$143,DMTK!$B47)</f>
        <v>0</v>
      </c>
      <c r="H47" s="27">
        <f>SUMIFS(CT!$H$5:$H$143,CT!$E$5:$E$143,DMTK!$B47)</f>
        <v>0</v>
      </c>
      <c r="I47" s="10"/>
      <c r="J47" s="28">
        <f t="shared" si="0"/>
        <v>500000</v>
      </c>
      <c r="K47" s="10"/>
      <c r="L47" s="10"/>
      <c r="M47" s="29" t="str">
        <f t="shared" si="1"/>
        <v>100.130.136</v>
      </c>
      <c r="N47" s="10">
        <f t="shared" si="2"/>
        <v>500000</v>
      </c>
      <c r="O47" s="12" t="str">
        <f t="shared" si="3"/>
        <v>100.130.136</v>
      </c>
      <c r="P47" s="10">
        <f t="shared" si="4"/>
        <v>500000</v>
      </c>
      <c r="Q47" s="12"/>
    </row>
    <row r="48" spans="1:17" ht="16.5" customHeight="1" x14ac:dyDescent="0.3">
      <c r="A48" s="12" t="s">
        <v>273</v>
      </c>
      <c r="B48" s="7" t="s">
        <v>28</v>
      </c>
      <c r="C48" s="25" t="s">
        <v>8</v>
      </c>
      <c r="D48" s="12" t="s">
        <v>274</v>
      </c>
      <c r="E48" s="26"/>
      <c r="F48" s="10">
        <v>0</v>
      </c>
      <c r="G48" s="27">
        <f>SUMIFS(CT!$H$5:$H$143,CT!$D$5:$D$143,DMTK!$B48)</f>
        <v>0</v>
      </c>
      <c r="H48" s="27">
        <f>SUMIFS(CT!$H$5:$H$143,CT!$E$5:$E$143,DMTK!$B48)</f>
        <v>0</v>
      </c>
      <c r="I48" s="10"/>
      <c r="J48" s="28">
        <f t="shared" si="0"/>
        <v>0</v>
      </c>
      <c r="K48" s="10"/>
      <c r="L48" s="10"/>
      <c r="M48" s="29" t="str">
        <f t="shared" si="1"/>
        <v>100.140.141</v>
      </c>
      <c r="N48" s="10">
        <f t="shared" si="2"/>
        <v>0</v>
      </c>
      <c r="O48" s="12" t="str">
        <f t="shared" si="3"/>
        <v>100.140.141</v>
      </c>
      <c r="P48" s="10">
        <f t="shared" si="4"/>
        <v>0</v>
      </c>
      <c r="Q48" s="12"/>
    </row>
    <row r="49" spans="1:17" ht="16.5" customHeight="1" x14ac:dyDescent="0.3">
      <c r="A49" s="12" t="s">
        <v>273</v>
      </c>
      <c r="B49" s="7" t="s">
        <v>275</v>
      </c>
      <c r="C49" s="25" t="s">
        <v>8</v>
      </c>
      <c r="D49" s="12" t="s">
        <v>276</v>
      </c>
      <c r="E49" s="26">
        <v>10</v>
      </c>
      <c r="F49" s="10">
        <v>33000000</v>
      </c>
      <c r="G49" s="27">
        <f>SUMIFS(CT!$H$5:$H$143,CT!$D$5:$D$143,DMTK!$B49)</f>
        <v>0</v>
      </c>
      <c r="H49" s="27">
        <f>SUMIFS(CT!$H$5:$H$143,CT!$E$5:$E$143,DMTK!$B49)</f>
        <v>13200000</v>
      </c>
      <c r="I49" s="10"/>
      <c r="J49" s="28">
        <f t="shared" si="0"/>
        <v>19800000</v>
      </c>
      <c r="K49" s="10"/>
      <c r="L49" s="10"/>
      <c r="M49" s="29" t="str">
        <f t="shared" si="1"/>
        <v>100.140.141</v>
      </c>
      <c r="N49" s="10">
        <f t="shared" si="2"/>
        <v>33000000</v>
      </c>
      <c r="O49" s="12" t="str">
        <f t="shared" si="3"/>
        <v>100.140.141</v>
      </c>
      <c r="P49" s="10">
        <f t="shared" si="4"/>
        <v>19800000</v>
      </c>
      <c r="Q49" s="12"/>
    </row>
    <row r="50" spans="1:17" ht="16.5" customHeight="1" x14ac:dyDescent="0.3">
      <c r="A50" s="12" t="s">
        <v>273</v>
      </c>
      <c r="B50" s="7" t="s">
        <v>277</v>
      </c>
      <c r="C50" s="25" t="s">
        <v>8</v>
      </c>
      <c r="D50" s="12" t="s">
        <v>278</v>
      </c>
      <c r="E50" s="26">
        <v>5</v>
      </c>
      <c r="F50" s="10">
        <v>22000000</v>
      </c>
      <c r="G50" s="27">
        <f>SUMIFS(CT!$H$5:$H$143,CT!$D$5:$D$143,DMTK!$B50)</f>
        <v>22500000</v>
      </c>
      <c r="H50" s="27">
        <f>SUMIFS(CT!$H$5:$H$143,CT!$E$5:$E$143,DMTK!$B50)</f>
        <v>0</v>
      </c>
      <c r="I50" s="10"/>
      <c r="J50" s="28">
        <f t="shared" si="0"/>
        <v>44500000</v>
      </c>
      <c r="K50" s="10"/>
      <c r="L50" s="10"/>
      <c r="M50" s="29" t="str">
        <f t="shared" si="1"/>
        <v>100.140.141</v>
      </c>
      <c r="N50" s="10">
        <f t="shared" si="2"/>
        <v>22000000</v>
      </c>
      <c r="O50" s="12" t="str">
        <f t="shared" si="3"/>
        <v>100.140.141</v>
      </c>
      <c r="P50" s="10">
        <f t="shared" si="4"/>
        <v>44500000</v>
      </c>
      <c r="Q50" s="12"/>
    </row>
    <row r="51" spans="1:17" ht="16.5" customHeight="1" x14ac:dyDescent="0.3">
      <c r="A51" s="12" t="s">
        <v>273</v>
      </c>
      <c r="B51" s="7" t="s">
        <v>279</v>
      </c>
      <c r="C51" s="25" t="s">
        <v>8</v>
      </c>
      <c r="D51" s="12" t="s">
        <v>280</v>
      </c>
      <c r="E51" s="26">
        <v>4</v>
      </c>
      <c r="F51" s="10">
        <v>14400000</v>
      </c>
      <c r="G51" s="27">
        <f>SUMIFS(CT!$H$5:$H$143,CT!$D$5:$D$143,DMTK!$B51)</f>
        <v>0</v>
      </c>
      <c r="H51" s="27">
        <f>SUMIFS(CT!$H$5:$H$143,CT!$E$5:$E$143,DMTK!$B51)</f>
        <v>0</v>
      </c>
      <c r="I51" s="10"/>
      <c r="J51" s="28">
        <f t="shared" si="0"/>
        <v>14400000</v>
      </c>
      <c r="K51" s="10"/>
      <c r="L51" s="10"/>
      <c r="M51" s="29" t="str">
        <f t="shared" si="1"/>
        <v>100.140.141</v>
      </c>
      <c r="N51" s="10">
        <f t="shared" si="2"/>
        <v>14400000</v>
      </c>
      <c r="O51" s="12" t="str">
        <f t="shared" si="3"/>
        <v>100.140.141</v>
      </c>
      <c r="P51" s="10">
        <f t="shared" si="4"/>
        <v>14400000</v>
      </c>
      <c r="Q51" s="12"/>
    </row>
    <row r="52" spans="1:17" ht="16.5" customHeight="1" x14ac:dyDescent="0.3">
      <c r="A52" s="12" t="s">
        <v>273</v>
      </c>
      <c r="B52" s="7" t="s">
        <v>281</v>
      </c>
      <c r="C52" s="25" t="s">
        <v>8</v>
      </c>
      <c r="D52" s="12" t="s">
        <v>282</v>
      </c>
      <c r="E52" s="26">
        <v>200</v>
      </c>
      <c r="F52" s="10">
        <v>24000000</v>
      </c>
      <c r="G52" s="27">
        <f>SUMIFS(CT!$H$5:$H$143,CT!$D$5:$D$143,DMTK!$B52)</f>
        <v>0</v>
      </c>
      <c r="H52" s="27">
        <f>SUMIFS(CT!$H$5:$H$143,CT!$E$5:$E$143,DMTK!$B52)</f>
        <v>3600000</v>
      </c>
      <c r="I52" s="10"/>
      <c r="J52" s="28">
        <f t="shared" si="0"/>
        <v>20400000</v>
      </c>
      <c r="K52" s="10"/>
      <c r="L52" s="10"/>
      <c r="M52" s="29" t="str">
        <f t="shared" si="1"/>
        <v>100.140.141</v>
      </c>
      <c r="N52" s="10">
        <f t="shared" si="2"/>
        <v>24000000</v>
      </c>
      <c r="O52" s="12" t="str">
        <f t="shared" si="3"/>
        <v>100.140.141</v>
      </c>
      <c r="P52" s="10">
        <f t="shared" si="4"/>
        <v>20400000</v>
      </c>
      <c r="Q52" s="12"/>
    </row>
    <row r="53" spans="1:17" ht="16.5" customHeight="1" x14ac:dyDescent="0.3">
      <c r="A53" s="12" t="s">
        <v>273</v>
      </c>
      <c r="B53" s="7" t="s">
        <v>283</v>
      </c>
      <c r="C53" s="25" t="s">
        <v>8</v>
      </c>
      <c r="D53" s="12" t="s">
        <v>284</v>
      </c>
      <c r="E53" s="26">
        <v>300</v>
      </c>
      <c r="F53" s="10">
        <v>31200000</v>
      </c>
      <c r="G53" s="27">
        <f>SUMIFS(CT!$H$5:$H$143,CT!$D$5:$D$143,DMTK!$B53)</f>
        <v>0</v>
      </c>
      <c r="H53" s="27">
        <f>SUMIFS(CT!$H$5:$H$143,CT!$E$5:$E$143,DMTK!$B53)</f>
        <v>0</v>
      </c>
      <c r="I53" s="10"/>
      <c r="J53" s="28">
        <f t="shared" si="0"/>
        <v>31200000</v>
      </c>
      <c r="K53" s="10"/>
      <c r="L53" s="10"/>
      <c r="M53" s="29" t="str">
        <f t="shared" si="1"/>
        <v>100.140.141</v>
      </c>
      <c r="N53" s="10">
        <f t="shared" si="2"/>
        <v>31200000</v>
      </c>
      <c r="O53" s="12" t="str">
        <f t="shared" si="3"/>
        <v>100.140.141</v>
      </c>
      <c r="P53" s="10">
        <f t="shared" si="4"/>
        <v>31200000</v>
      </c>
      <c r="Q53" s="12"/>
    </row>
    <row r="54" spans="1:17" ht="16.5" customHeight="1" x14ac:dyDescent="0.3">
      <c r="A54" s="12" t="s">
        <v>273</v>
      </c>
      <c r="B54" s="7" t="s">
        <v>285</v>
      </c>
      <c r="C54" s="25" t="s">
        <v>8</v>
      </c>
      <c r="D54" s="12" t="s">
        <v>286</v>
      </c>
      <c r="E54" s="26">
        <v>100</v>
      </c>
      <c r="F54" s="10">
        <v>10000000</v>
      </c>
      <c r="G54" s="27">
        <f>SUMIFS(CT!$H$5:$H$143,CT!$D$5:$D$143,DMTK!$B54)</f>
        <v>0</v>
      </c>
      <c r="H54" s="27">
        <f>SUMIFS(CT!$H$5:$H$143,CT!$E$5:$E$143,DMTK!$B54)</f>
        <v>0</v>
      </c>
      <c r="I54" s="10"/>
      <c r="J54" s="28">
        <f t="shared" si="0"/>
        <v>10000000</v>
      </c>
      <c r="K54" s="10"/>
      <c r="L54" s="10"/>
      <c r="M54" s="29" t="str">
        <f t="shared" si="1"/>
        <v>100.140.141</v>
      </c>
      <c r="N54" s="10">
        <f t="shared" si="2"/>
        <v>10000000</v>
      </c>
      <c r="O54" s="12" t="str">
        <f t="shared" si="3"/>
        <v>100.140.141</v>
      </c>
      <c r="P54" s="10">
        <f t="shared" si="4"/>
        <v>10000000</v>
      </c>
      <c r="Q54" s="12"/>
    </row>
    <row r="55" spans="1:17" ht="16.5" customHeight="1" x14ac:dyDescent="0.3">
      <c r="A55" s="12" t="s">
        <v>273</v>
      </c>
      <c r="B55" s="7" t="s">
        <v>287</v>
      </c>
      <c r="C55" s="25" t="s">
        <v>8</v>
      </c>
      <c r="D55" s="12" t="s">
        <v>288</v>
      </c>
      <c r="E55" s="26">
        <v>50</v>
      </c>
      <c r="F55" s="10">
        <v>1200000</v>
      </c>
      <c r="G55" s="27">
        <f>SUMIFS(CT!$H$5:$H$143,CT!$D$5:$D$143,DMTK!$B55)</f>
        <v>5000000</v>
      </c>
      <c r="H55" s="27">
        <f>SUMIFS(CT!$H$5:$H$143,CT!$E$5:$E$143,DMTK!$B55)</f>
        <v>0</v>
      </c>
      <c r="I55" s="10"/>
      <c r="J55" s="28">
        <f t="shared" si="0"/>
        <v>6200000</v>
      </c>
      <c r="K55" s="10"/>
      <c r="L55" s="10"/>
      <c r="M55" s="29" t="str">
        <f t="shared" si="1"/>
        <v>100.140.141</v>
      </c>
      <c r="N55" s="10">
        <f t="shared" si="2"/>
        <v>1200000</v>
      </c>
      <c r="O55" s="12" t="str">
        <f t="shared" si="3"/>
        <v>100.140.141</v>
      </c>
      <c r="P55" s="10">
        <f t="shared" si="4"/>
        <v>6200000</v>
      </c>
      <c r="Q55" s="12"/>
    </row>
    <row r="56" spans="1:17" ht="16.5" customHeight="1" x14ac:dyDescent="0.3">
      <c r="A56" s="12" t="s">
        <v>273</v>
      </c>
      <c r="B56" s="7" t="s">
        <v>289</v>
      </c>
      <c r="C56" s="25" t="s">
        <v>8</v>
      </c>
      <c r="D56" s="12" t="s">
        <v>290</v>
      </c>
      <c r="E56" s="26">
        <v>150</v>
      </c>
      <c r="F56" s="10">
        <v>7200000</v>
      </c>
      <c r="G56" s="27">
        <f>SUMIFS(CT!$H$5:$H$143,CT!$D$5:$D$143,DMTK!$B56)</f>
        <v>0</v>
      </c>
      <c r="H56" s="27">
        <f>SUMIFS(CT!$H$5:$H$143,CT!$E$5:$E$143,DMTK!$B56)</f>
        <v>480000</v>
      </c>
      <c r="I56" s="10"/>
      <c r="J56" s="28">
        <f t="shared" si="0"/>
        <v>6720000</v>
      </c>
      <c r="K56" s="10"/>
      <c r="L56" s="10"/>
      <c r="M56" s="29" t="str">
        <f t="shared" si="1"/>
        <v>100.140.141</v>
      </c>
      <c r="N56" s="10">
        <f t="shared" si="2"/>
        <v>7200000</v>
      </c>
      <c r="O56" s="12" t="str">
        <f t="shared" si="3"/>
        <v>100.140.141</v>
      </c>
      <c r="P56" s="10">
        <f t="shared" si="4"/>
        <v>6720000</v>
      </c>
      <c r="Q56" s="12"/>
    </row>
    <row r="57" spans="1:17" ht="16.5" customHeight="1" x14ac:dyDescent="0.3">
      <c r="A57" s="12" t="s">
        <v>273</v>
      </c>
      <c r="B57" s="7" t="s">
        <v>291</v>
      </c>
      <c r="C57" s="25" t="s">
        <v>8</v>
      </c>
      <c r="D57" s="12" t="s">
        <v>292</v>
      </c>
      <c r="E57" s="26">
        <v>500</v>
      </c>
      <c r="F57" s="10">
        <v>1150000</v>
      </c>
      <c r="G57" s="27">
        <f>SUMIFS(CT!$H$5:$H$143,CT!$D$5:$D$143,DMTK!$B57)</f>
        <v>0</v>
      </c>
      <c r="H57" s="27">
        <f>SUMIFS(CT!$H$5:$H$143,CT!$E$5:$E$143,DMTK!$B57)</f>
        <v>46000</v>
      </c>
      <c r="I57" s="10"/>
      <c r="J57" s="28">
        <f t="shared" si="0"/>
        <v>1104000</v>
      </c>
      <c r="K57" s="10"/>
      <c r="L57" s="10"/>
      <c r="M57" s="29" t="str">
        <f t="shared" si="1"/>
        <v>100.140.141</v>
      </c>
      <c r="N57" s="10">
        <f t="shared" si="2"/>
        <v>1150000</v>
      </c>
      <c r="O57" s="12" t="str">
        <f t="shared" si="3"/>
        <v>100.140.141</v>
      </c>
      <c r="P57" s="10">
        <f t="shared" si="4"/>
        <v>1104000</v>
      </c>
      <c r="Q57" s="12"/>
    </row>
    <row r="58" spans="1:17" ht="16.5" customHeight="1" x14ac:dyDescent="0.3">
      <c r="A58" s="12" t="s">
        <v>273</v>
      </c>
      <c r="B58" s="7" t="s">
        <v>293</v>
      </c>
      <c r="C58" s="25" t="s">
        <v>8</v>
      </c>
      <c r="D58" s="12" t="s">
        <v>294</v>
      </c>
      <c r="E58" s="26">
        <v>100</v>
      </c>
      <c r="F58" s="10">
        <v>1500000</v>
      </c>
      <c r="G58" s="27">
        <f>SUMIFS(CT!$H$5:$H$143,CT!$D$5:$D$143,DMTK!$B58)</f>
        <v>3200000</v>
      </c>
      <c r="H58" s="27">
        <f>SUMIFS(CT!$H$5:$H$143,CT!$E$5:$E$143,DMTK!$B58)</f>
        <v>469980</v>
      </c>
      <c r="I58" s="10"/>
      <c r="J58" s="28">
        <f t="shared" si="0"/>
        <v>4230020</v>
      </c>
      <c r="K58" s="10"/>
      <c r="L58" s="10"/>
      <c r="M58" s="29" t="str">
        <f t="shared" si="1"/>
        <v>100.140.141</v>
      </c>
      <c r="N58" s="10">
        <f t="shared" si="2"/>
        <v>1500000</v>
      </c>
      <c r="O58" s="12" t="str">
        <f t="shared" si="3"/>
        <v>100.140.141</v>
      </c>
      <c r="P58" s="10">
        <f t="shared" si="4"/>
        <v>4230020</v>
      </c>
      <c r="Q58" s="12"/>
    </row>
    <row r="59" spans="1:17" ht="16.5" customHeight="1" x14ac:dyDescent="0.3">
      <c r="A59" s="12" t="s">
        <v>273</v>
      </c>
      <c r="B59" s="7" t="s">
        <v>295</v>
      </c>
      <c r="C59" s="25" t="s">
        <v>8</v>
      </c>
      <c r="D59" s="12" t="s">
        <v>296</v>
      </c>
      <c r="E59" s="26">
        <v>50</v>
      </c>
      <c r="F59" s="10">
        <v>850000</v>
      </c>
      <c r="G59" s="27">
        <f>SUMIFS(CT!$H$5:$H$143,CT!$D$5:$D$143,DMTK!$B59)</f>
        <v>0</v>
      </c>
      <c r="H59" s="27">
        <f>SUMIFS(CT!$H$5:$H$143,CT!$E$5:$E$143,DMTK!$B59)</f>
        <v>0</v>
      </c>
      <c r="I59" s="10"/>
      <c r="J59" s="28">
        <f t="shared" si="0"/>
        <v>850000</v>
      </c>
      <c r="K59" s="10"/>
      <c r="L59" s="10"/>
      <c r="M59" s="29" t="str">
        <f t="shared" si="1"/>
        <v>100.140.141</v>
      </c>
      <c r="N59" s="10">
        <f t="shared" si="2"/>
        <v>850000</v>
      </c>
      <c r="O59" s="12" t="str">
        <f t="shared" si="3"/>
        <v>100.140.141</v>
      </c>
      <c r="P59" s="10">
        <f t="shared" si="4"/>
        <v>850000</v>
      </c>
      <c r="Q59" s="12"/>
    </row>
    <row r="60" spans="1:17" ht="16.5" customHeight="1" x14ac:dyDescent="0.3">
      <c r="A60" s="12" t="s">
        <v>273</v>
      </c>
      <c r="B60" s="7" t="s">
        <v>297</v>
      </c>
      <c r="C60" s="25" t="s">
        <v>8</v>
      </c>
      <c r="D60" s="12" t="s">
        <v>298</v>
      </c>
      <c r="E60" s="26">
        <v>80</v>
      </c>
      <c r="F60" s="10">
        <v>1040000</v>
      </c>
      <c r="G60" s="27">
        <f>SUMIFS(CT!$H$5:$H$143,CT!$D$5:$D$143,DMTK!$B60)</f>
        <v>1500000</v>
      </c>
      <c r="H60" s="27">
        <f>SUMIFS(CT!$H$5:$H$143,CT!$E$5:$E$143,DMTK!$B60)</f>
        <v>282220</v>
      </c>
      <c r="I60" s="10"/>
      <c r="J60" s="28">
        <f t="shared" si="0"/>
        <v>2257780</v>
      </c>
      <c r="K60" s="10"/>
      <c r="L60" s="10"/>
      <c r="M60" s="29" t="str">
        <f t="shared" si="1"/>
        <v>100.140.141</v>
      </c>
      <c r="N60" s="10">
        <f t="shared" si="2"/>
        <v>1040000</v>
      </c>
      <c r="O60" s="12" t="str">
        <f t="shared" si="3"/>
        <v>100.140.141</v>
      </c>
      <c r="P60" s="10">
        <f t="shared" si="4"/>
        <v>2257780</v>
      </c>
      <c r="Q60" s="12"/>
    </row>
    <row r="61" spans="1:17" ht="16.5" customHeight="1" x14ac:dyDescent="0.3">
      <c r="A61" s="12" t="s">
        <v>273</v>
      </c>
      <c r="B61" s="7" t="s">
        <v>299</v>
      </c>
      <c r="C61" s="25" t="s">
        <v>8</v>
      </c>
      <c r="D61" s="12" t="s">
        <v>300</v>
      </c>
      <c r="E61" s="26"/>
      <c r="F61" s="10">
        <v>0</v>
      </c>
      <c r="G61" s="27">
        <f>SUMIFS(CT!$H$5:$H$143,CT!$D$5:$D$143,DMTK!$B61)</f>
        <v>0</v>
      </c>
      <c r="H61" s="27">
        <f>SUMIFS(CT!$H$5:$H$143,CT!$E$5:$E$143,DMTK!$B61)</f>
        <v>0</v>
      </c>
      <c r="I61" s="10"/>
      <c r="J61" s="28">
        <f t="shared" si="0"/>
        <v>0</v>
      </c>
      <c r="K61" s="10"/>
      <c r="L61" s="10"/>
      <c r="M61" s="29" t="str">
        <f t="shared" si="1"/>
        <v>100.140.141</v>
      </c>
      <c r="N61" s="10">
        <f t="shared" si="2"/>
        <v>0</v>
      </c>
      <c r="O61" s="12" t="str">
        <f t="shared" si="3"/>
        <v>100.140.141</v>
      </c>
      <c r="P61" s="10">
        <f t="shared" si="4"/>
        <v>0</v>
      </c>
      <c r="Q61" s="12"/>
    </row>
    <row r="62" spans="1:17" ht="16.5" customHeight="1" x14ac:dyDescent="0.3">
      <c r="A62" s="12" t="s">
        <v>273</v>
      </c>
      <c r="B62" s="7" t="s">
        <v>301</v>
      </c>
      <c r="C62" s="25" t="s">
        <v>8</v>
      </c>
      <c r="D62" s="12" t="s">
        <v>302</v>
      </c>
      <c r="E62" s="26">
        <v>15</v>
      </c>
      <c r="F62" s="10">
        <v>7500000</v>
      </c>
      <c r="G62" s="27">
        <f>SUMIFS(CT!$H$5:$H$143,CT!$D$5:$D$143,DMTK!$B62)</f>
        <v>0</v>
      </c>
      <c r="H62" s="27">
        <f>SUMIFS(CT!$H$5:$H$143,CT!$E$5:$E$143,DMTK!$B62)</f>
        <v>2500000</v>
      </c>
      <c r="I62" s="10"/>
      <c r="J62" s="28">
        <f t="shared" si="0"/>
        <v>5000000</v>
      </c>
      <c r="K62" s="10"/>
      <c r="L62" s="10"/>
      <c r="M62" s="29" t="str">
        <f t="shared" si="1"/>
        <v>100.140.141</v>
      </c>
      <c r="N62" s="10">
        <f t="shared" si="2"/>
        <v>7500000</v>
      </c>
      <c r="O62" s="12" t="str">
        <f t="shared" si="3"/>
        <v>100.140.141</v>
      </c>
      <c r="P62" s="10">
        <f t="shared" si="4"/>
        <v>5000000</v>
      </c>
      <c r="Q62" s="12"/>
    </row>
    <row r="63" spans="1:17" ht="16.5" customHeight="1" x14ac:dyDescent="0.3">
      <c r="A63" s="12" t="s">
        <v>273</v>
      </c>
      <c r="B63" s="7" t="s">
        <v>303</v>
      </c>
      <c r="C63" s="25" t="s">
        <v>8</v>
      </c>
      <c r="D63" s="12" t="s">
        <v>304</v>
      </c>
      <c r="E63" s="26">
        <v>20</v>
      </c>
      <c r="F63" s="10">
        <v>5000000</v>
      </c>
      <c r="G63" s="27">
        <f>SUMIFS(CT!$H$5:$H$143,CT!$D$5:$D$143,DMTK!$B63)</f>
        <v>0</v>
      </c>
      <c r="H63" s="27">
        <f>SUMIFS(CT!$H$5:$H$143,CT!$E$5:$E$143,DMTK!$B63)</f>
        <v>1000000</v>
      </c>
      <c r="I63" s="10"/>
      <c r="J63" s="28">
        <f t="shared" si="0"/>
        <v>4000000</v>
      </c>
      <c r="K63" s="10"/>
      <c r="L63" s="10"/>
      <c r="M63" s="29" t="str">
        <f t="shared" si="1"/>
        <v>100.140.141</v>
      </c>
      <c r="N63" s="10">
        <f t="shared" si="2"/>
        <v>5000000</v>
      </c>
      <c r="O63" s="12" t="str">
        <f t="shared" si="3"/>
        <v>100.140.141</v>
      </c>
      <c r="P63" s="10">
        <f t="shared" si="4"/>
        <v>4000000</v>
      </c>
      <c r="Q63" s="12"/>
    </row>
    <row r="64" spans="1:17" ht="16.5" customHeight="1" x14ac:dyDescent="0.3">
      <c r="A64" s="12" t="s">
        <v>273</v>
      </c>
      <c r="B64" s="7" t="s">
        <v>305</v>
      </c>
      <c r="C64" s="25" t="s">
        <v>8</v>
      </c>
      <c r="D64" s="12" t="s">
        <v>306</v>
      </c>
      <c r="E64" s="26">
        <v>100</v>
      </c>
      <c r="F64" s="10">
        <v>1000000</v>
      </c>
      <c r="G64" s="27">
        <f>SUMIFS(CT!$H$5:$H$143,CT!$D$5:$D$143,DMTK!$B64)</f>
        <v>0</v>
      </c>
      <c r="H64" s="27">
        <f>SUMIFS(CT!$H$5:$H$143,CT!$E$5:$E$143,DMTK!$B64)</f>
        <v>100000</v>
      </c>
      <c r="I64" s="10"/>
      <c r="J64" s="28">
        <f t="shared" si="0"/>
        <v>900000</v>
      </c>
      <c r="K64" s="10"/>
      <c r="L64" s="10"/>
      <c r="M64" s="29" t="str">
        <f t="shared" si="1"/>
        <v>100.140.141</v>
      </c>
      <c r="N64" s="10">
        <f t="shared" si="2"/>
        <v>1000000</v>
      </c>
      <c r="O64" s="12" t="str">
        <f t="shared" si="3"/>
        <v>100.140.141</v>
      </c>
      <c r="P64" s="10">
        <f t="shared" si="4"/>
        <v>900000</v>
      </c>
      <c r="Q64" s="12"/>
    </row>
    <row r="65" spans="1:17" ht="16.5" customHeight="1" x14ac:dyDescent="0.3">
      <c r="A65" s="12" t="s">
        <v>273</v>
      </c>
      <c r="B65" s="7" t="s">
        <v>307</v>
      </c>
      <c r="C65" s="25" t="s">
        <v>8</v>
      </c>
      <c r="D65" s="12" t="s">
        <v>308</v>
      </c>
      <c r="E65" s="26">
        <v>400</v>
      </c>
      <c r="F65" s="10">
        <v>2000000</v>
      </c>
      <c r="G65" s="27">
        <f>SUMIFS(CT!$H$5:$H$143,CT!$D$5:$D$143,DMTK!$B65)</f>
        <v>0</v>
      </c>
      <c r="H65" s="27">
        <f>SUMIFS(CT!$H$5:$H$143,CT!$E$5:$E$143,DMTK!$B65)</f>
        <v>100000</v>
      </c>
      <c r="I65" s="10"/>
      <c r="J65" s="28">
        <f t="shared" si="0"/>
        <v>1900000</v>
      </c>
      <c r="K65" s="10"/>
      <c r="L65" s="10"/>
      <c r="M65" s="29" t="str">
        <f t="shared" si="1"/>
        <v>100.140.141</v>
      </c>
      <c r="N65" s="10">
        <f t="shared" si="2"/>
        <v>2000000</v>
      </c>
      <c r="O65" s="12" t="str">
        <f t="shared" si="3"/>
        <v>100.140.141</v>
      </c>
      <c r="P65" s="10">
        <f t="shared" si="4"/>
        <v>1900000</v>
      </c>
      <c r="Q65" s="12"/>
    </row>
    <row r="66" spans="1:17" ht="16.5" customHeight="1" x14ac:dyDescent="0.3">
      <c r="A66" s="12" t="s">
        <v>273</v>
      </c>
      <c r="B66" s="7" t="s">
        <v>309</v>
      </c>
      <c r="C66" s="25" t="s">
        <v>8</v>
      </c>
      <c r="D66" s="12" t="s">
        <v>310</v>
      </c>
      <c r="E66" s="26">
        <v>100</v>
      </c>
      <c r="F66" s="10">
        <v>1000000</v>
      </c>
      <c r="G66" s="27">
        <f>SUMIFS(CT!$H$5:$H$143,CT!$D$5:$D$143,DMTK!$B66)</f>
        <v>0</v>
      </c>
      <c r="H66" s="27">
        <f>SUMIFS(CT!$H$5:$H$143,CT!$E$5:$E$143,DMTK!$B66)</f>
        <v>300000</v>
      </c>
      <c r="I66" s="10"/>
      <c r="J66" s="28">
        <f t="shared" si="0"/>
        <v>700000</v>
      </c>
      <c r="K66" s="10"/>
      <c r="L66" s="10"/>
      <c r="M66" s="29" t="str">
        <f t="shared" si="1"/>
        <v>100.140.141</v>
      </c>
      <c r="N66" s="10">
        <f t="shared" si="2"/>
        <v>1000000</v>
      </c>
      <c r="O66" s="12" t="str">
        <f t="shared" si="3"/>
        <v>100.140.141</v>
      </c>
      <c r="P66" s="10">
        <f t="shared" si="4"/>
        <v>700000</v>
      </c>
      <c r="Q66" s="12"/>
    </row>
    <row r="67" spans="1:17" ht="16.5" customHeight="1" x14ac:dyDescent="0.3">
      <c r="A67" s="12" t="s">
        <v>311</v>
      </c>
      <c r="B67" s="7" t="s">
        <v>312</v>
      </c>
      <c r="C67" s="25" t="s">
        <v>8</v>
      </c>
      <c r="D67" s="9" t="s">
        <v>313</v>
      </c>
      <c r="E67" s="26"/>
      <c r="F67" s="10">
        <v>70000000</v>
      </c>
      <c r="G67" s="27">
        <f>SUMIFS(CT!$H$5:$H$143,CT!$D$5:$D$143,DMTK!$B67)</f>
        <v>99050185</v>
      </c>
      <c r="H67" s="27">
        <f>SUMIFS(CT!$H$5:$H$143,CT!$E$5:$E$143,DMTK!$B67)</f>
        <v>102060000</v>
      </c>
      <c r="I67" s="10"/>
      <c r="J67" s="28">
        <f t="shared" si="0"/>
        <v>66990185</v>
      </c>
      <c r="K67" s="10"/>
      <c r="L67" s="10"/>
      <c r="M67" s="29" t="str">
        <f t="shared" si="1"/>
        <v>200.240.241</v>
      </c>
      <c r="N67" s="10">
        <f t="shared" si="2"/>
        <v>70000000</v>
      </c>
      <c r="O67" s="12" t="str">
        <f t="shared" si="3"/>
        <v>200.240.241</v>
      </c>
      <c r="P67" s="10">
        <f t="shared" si="4"/>
        <v>66990185</v>
      </c>
      <c r="Q67" s="12"/>
    </row>
    <row r="68" spans="1:17" ht="16.5" customHeight="1" x14ac:dyDescent="0.3">
      <c r="A68" s="12" t="s">
        <v>311</v>
      </c>
      <c r="B68" s="7" t="s">
        <v>314</v>
      </c>
      <c r="C68" s="25" t="s">
        <v>8</v>
      </c>
      <c r="D68" s="9" t="s">
        <v>315</v>
      </c>
      <c r="E68" s="26"/>
      <c r="F68" s="10">
        <v>80000000</v>
      </c>
      <c r="G68" s="27">
        <f>SUMIFS(CT!$H$5:$H$143,CT!$D$5:$D$143,DMTK!$B68)</f>
        <v>48800000</v>
      </c>
      <c r="H68" s="27">
        <f>SUMIFS(CT!$H$5:$H$143,CT!$E$5:$E$143,DMTK!$B68)</f>
        <v>61800000</v>
      </c>
      <c r="I68" s="10"/>
      <c r="J68" s="28">
        <f t="shared" si="0"/>
        <v>67000000</v>
      </c>
      <c r="K68" s="10"/>
      <c r="L68" s="10"/>
      <c r="M68" s="29" t="str">
        <f t="shared" si="1"/>
        <v>200.240.241</v>
      </c>
      <c r="N68" s="10">
        <f t="shared" si="2"/>
        <v>80000000</v>
      </c>
      <c r="O68" s="12" t="str">
        <f t="shared" si="3"/>
        <v>200.240.241</v>
      </c>
      <c r="P68" s="10">
        <f t="shared" si="4"/>
        <v>67000000</v>
      </c>
      <c r="Q68" s="12"/>
    </row>
    <row r="69" spans="1:17" ht="16.5" customHeight="1" x14ac:dyDescent="0.3">
      <c r="A69" s="12" t="s">
        <v>311</v>
      </c>
      <c r="B69" s="7" t="s">
        <v>316</v>
      </c>
      <c r="C69" s="25" t="s">
        <v>8</v>
      </c>
      <c r="D69" s="9" t="s">
        <v>317</v>
      </c>
      <c r="E69" s="26"/>
      <c r="F69" s="10">
        <v>7000000</v>
      </c>
      <c r="G69" s="27">
        <f>SUMIFS(CT!$H$5:$H$143,CT!$D$5:$D$143,DMTK!$B69)</f>
        <v>61494681</v>
      </c>
      <c r="H69" s="27">
        <f>SUMIFS(CT!$H$5:$H$143,CT!$E$5:$E$143,DMTK!$B69)</f>
        <v>61500000</v>
      </c>
      <c r="I69" s="10"/>
      <c r="J69" s="28">
        <f t="shared" si="0"/>
        <v>6994681</v>
      </c>
      <c r="K69" s="10"/>
      <c r="L69" s="10"/>
      <c r="M69" s="29" t="str">
        <f t="shared" si="1"/>
        <v>200.240.241</v>
      </c>
      <c r="N69" s="10">
        <f t="shared" si="2"/>
        <v>7000000</v>
      </c>
      <c r="O69" s="12" t="str">
        <f t="shared" si="3"/>
        <v>200.240.241</v>
      </c>
      <c r="P69" s="10">
        <f t="shared" si="4"/>
        <v>6994681</v>
      </c>
      <c r="Q69" s="12"/>
    </row>
    <row r="70" spans="1:17" ht="16.5" customHeight="1" x14ac:dyDescent="0.3">
      <c r="A70" s="12" t="s">
        <v>311</v>
      </c>
      <c r="B70" s="7" t="s">
        <v>318</v>
      </c>
      <c r="C70" s="25" t="s">
        <v>8</v>
      </c>
      <c r="D70" s="9" t="s">
        <v>319</v>
      </c>
      <c r="E70" s="26"/>
      <c r="F70" s="10">
        <v>43000000</v>
      </c>
      <c r="G70" s="27">
        <f>SUMIFS(CT!$H$5:$H$143,CT!$D$5:$D$143,DMTK!$B70)</f>
        <v>48800000</v>
      </c>
      <c r="H70" s="27">
        <f>SUMIFS(CT!$H$5:$H$143,CT!$E$5:$E$143,DMTK!$B70)</f>
        <v>0</v>
      </c>
      <c r="I70" s="10"/>
      <c r="J70" s="28">
        <f t="shared" ref="J70:J133" si="5">IF(C70="N",F70+G70-H70,F70+H70-G70)</f>
        <v>91800000</v>
      </c>
      <c r="K70" s="10"/>
      <c r="L70" s="10"/>
      <c r="M70" s="29" t="str">
        <f t="shared" ref="M70:M133" si="6">IF(AND(LEFT(B70,4)="1311",F70&lt;0),"300.310.312",IF(AND(LEFT(B70,3)="138",F70&lt;0),"300.310.319",IF(AND(LEFT(B70,4)="3311",F70&lt;0),"100.130.132",IF(AND(LEFT(B70,3)="333",F70&lt;0),"100.150.153",IF(AND(LEFT(B70,3)="337",F70&lt;0),"100.130.134",A70)))))</f>
        <v>200.240.241</v>
      </c>
      <c r="N70" s="10">
        <f t="shared" ref="N70:N133" si="7">IF(OR(AND(LEFT(B70,4)="1311",F70&lt;0),AND(LEFT(B70,3)="138",F70&lt;0),AND(LEFT(B70,4)="3311",F70&lt;0),AND(LEFT(B70,3)="333",F70&lt;0),AND(LEFT(B70,3)="337",F70&lt;0),LEFT(B70,3)="214",LEFT(B70,3)="229",LEFT(B70,3)="419",AND(LEFT(B70,3)="421",F70&lt;0)),-1,1)*F70</f>
        <v>43000000</v>
      </c>
      <c r="O70" s="12" t="str">
        <f t="shared" ref="O70:O133" si="8">IF(AND(LEFT(B70,4)="1311",J70&lt;0),"300.310.312",IF(AND(LEFT(B70,3)="138",J70&lt;0),"300.310.319",IF(AND(LEFT(B70,4)="3311",J70&lt;0),"100.130.132",IF(AND(LEFT(B70,3)="333",J70&lt;0),"100.150.153",IF(AND(LEFT(B70,3)="337",J70&lt;0),"100.130.134",A70)))))</f>
        <v>200.240.241</v>
      </c>
      <c r="P70" s="10">
        <f t="shared" ref="P70:P133" si="9">IF(OR(AND(LEFT(B70,4)="1311",J70&lt;0),AND(LEFT(B70,3)="138",J70&lt;0),AND(LEFT(B70,4)="3311",J70&lt;0),AND(LEFT(B70,3)="333",J70&lt;0),AND(LEFT(B70,3)="337",J70&lt;0),LEFT(B70,3)="214",LEFT(B70,3)="229",LEFT(B70,3)="419",AND(LEFT(B70,3)="421",F70&lt;0)),-1,1)*J70</f>
        <v>91800000</v>
      </c>
      <c r="Q70" s="12"/>
    </row>
    <row r="71" spans="1:17" ht="16.5" customHeight="1" x14ac:dyDescent="0.3">
      <c r="A71" s="12" t="s">
        <v>311</v>
      </c>
      <c r="B71" s="7" t="s">
        <v>320</v>
      </c>
      <c r="C71" s="25" t="s">
        <v>8</v>
      </c>
      <c r="D71" s="9" t="s">
        <v>321</v>
      </c>
      <c r="E71" s="26"/>
      <c r="F71" s="10">
        <v>22000000</v>
      </c>
      <c r="G71" s="27">
        <f>SUMIFS(CT!$H$5:$H$143,CT!$D$5:$D$143,DMTK!$B71)</f>
        <v>48800000</v>
      </c>
      <c r="H71" s="27">
        <f>SUMIFS(CT!$H$5:$H$143,CT!$E$5:$E$143,DMTK!$B71)</f>
        <v>0</v>
      </c>
      <c r="I71" s="10"/>
      <c r="J71" s="28">
        <f t="shared" si="5"/>
        <v>70800000</v>
      </c>
      <c r="K71" s="10"/>
      <c r="L71" s="10"/>
      <c r="M71" s="29" t="str">
        <f t="shared" si="6"/>
        <v>200.240.241</v>
      </c>
      <c r="N71" s="10">
        <f t="shared" si="7"/>
        <v>22000000</v>
      </c>
      <c r="O71" s="12" t="str">
        <f t="shared" si="8"/>
        <v>200.240.241</v>
      </c>
      <c r="P71" s="10">
        <f t="shared" si="9"/>
        <v>70800000</v>
      </c>
      <c r="Q71" s="12"/>
    </row>
    <row r="72" spans="1:17" ht="16.5" customHeight="1" x14ac:dyDescent="0.3">
      <c r="A72" s="12" t="s">
        <v>273</v>
      </c>
      <c r="B72" s="7" t="s">
        <v>322</v>
      </c>
      <c r="C72" s="25" t="s">
        <v>8</v>
      </c>
      <c r="D72" s="9" t="s">
        <v>313</v>
      </c>
      <c r="E72" s="26">
        <v>250</v>
      </c>
      <c r="F72" s="10">
        <v>62500000</v>
      </c>
      <c r="G72" s="27">
        <f>SUMIFS(CT!$H$5:$H$143,CT!$D$5:$D$143,DMTK!$B72)</f>
        <v>102060000</v>
      </c>
      <c r="H72" s="27">
        <f>SUMIFS(CT!$H$5:$H$143,CT!$E$5:$E$143,DMTK!$B72)</f>
        <v>25123700</v>
      </c>
      <c r="I72" s="10"/>
      <c r="J72" s="28">
        <f t="shared" si="5"/>
        <v>139436300</v>
      </c>
      <c r="K72" s="10"/>
      <c r="L72" s="10"/>
      <c r="M72" s="29" t="str">
        <f t="shared" si="6"/>
        <v>100.140.141</v>
      </c>
      <c r="N72" s="10">
        <f t="shared" si="7"/>
        <v>62500000</v>
      </c>
      <c r="O72" s="12" t="str">
        <f t="shared" si="8"/>
        <v>100.140.141</v>
      </c>
      <c r="P72" s="10">
        <f t="shared" si="9"/>
        <v>139436300</v>
      </c>
      <c r="Q72" s="12"/>
    </row>
    <row r="73" spans="1:17" ht="16.5" customHeight="1" x14ac:dyDescent="0.3">
      <c r="A73" s="12" t="s">
        <v>273</v>
      </c>
      <c r="B73" s="7" t="s">
        <v>323</v>
      </c>
      <c r="C73" s="25" t="s">
        <v>8</v>
      </c>
      <c r="D73" s="9" t="s">
        <v>315</v>
      </c>
      <c r="E73" s="26">
        <v>220</v>
      </c>
      <c r="F73" s="10">
        <v>44000000</v>
      </c>
      <c r="G73" s="27">
        <f>SUMIFS(CT!$H$5:$H$143,CT!$D$5:$D$143,DMTK!$B73)</f>
        <v>61800000</v>
      </c>
      <c r="H73" s="27">
        <f>SUMIFS(CT!$H$5:$H$143,CT!$E$5:$E$143,DMTK!$B73)</f>
        <v>20346200</v>
      </c>
      <c r="I73" s="10"/>
      <c r="J73" s="28">
        <f t="shared" si="5"/>
        <v>85453800</v>
      </c>
      <c r="K73" s="10"/>
      <c r="L73" s="10"/>
      <c r="M73" s="29" t="str">
        <f t="shared" si="6"/>
        <v>100.140.141</v>
      </c>
      <c r="N73" s="10">
        <f t="shared" si="7"/>
        <v>44000000</v>
      </c>
      <c r="O73" s="12" t="str">
        <f t="shared" si="8"/>
        <v>100.140.141</v>
      </c>
      <c r="P73" s="10">
        <f t="shared" si="9"/>
        <v>85453800</v>
      </c>
      <c r="Q73" s="12"/>
    </row>
    <row r="74" spans="1:17" ht="16.5" customHeight="1" x14ac:dyDescent="0.3">
      <c r="A74" s="12" t="s">
        <v>273</v>
      </c>
      <c r="B74" s="7" t="s">
        <v>324</v>
      </c>
      <c r="C74" s="25" t="s">
        <v>8</v>
      </c>
      <c r="D74" s="9" t="s">
        <v>317</v>
      </c>
      <c r="E74" s="26">
        <v>150</v>
      </c>
      <c r="F74" s="10">
        <v>45000000</v>
      </c>
      <c r="G74" s="27">
        <f>SUMIFS(CT!$H$5:$H$143,CT!$D$5:$D$143,DMTK!$B74)</f>
        <v>61500000</v>
      </c>
      <c r="H74" s="27">
        <f>SUMIFS(CT!$H$5:$H$143,CT!$E$5:$E$143,DMTK!$B74)</f>
        <v>0</v>
      </c>
      <c r="I74" s="10"/>
      <c r="J74" s="28">
        <f t="shared" si="5"/>
        <v>106500000</v>
      </c>
      <c r="K74" s="10"/>
      <c r="L74" s="10"/>
      <c r="M74" s="29" t="str">
        <f t="shared" si="6"/>
        <v>100.140.141</v>
      </c>
      <c r="N74" s="10">
        <f t="shared" si="7"/>
        <v>45000000</v>
      </c>
      <c r="O74" s="12" t="str">
        <f t="shared" si="8"/>
        <v>100.140.141</v>
      </c>
      <c r="P74" s="10">
        <f t="shared" si="9"/>
        <v>106500000</v>
      </c>
      <c r="Q74" s="12"/>
    </row>
    <row r="75" spans="1:17" ht="16.5" customHeight="1" x14ac:dyDescent="0.3">
      <c r="A75" s="12" t="s">
        <v>273</v>
      </c>
      <c r="B75" s="7" t="s">
        <v>325</v>
      </c>
      <c r="C75" s="25" t="s">
        <v>8</v>
      </c>
      <c r="D75" s="9" t="s">
        <v>319</v>
      </c>
      <c r="E75" s="26">
        <v>50</v>
      </c>
      <c r="F75" s="10">
        <v>25000000</v>
      </c>
      <c r="G75" s="27">
        <f>SUMIFS(CT!$H$5:$H$143,CT!$D$5:$D$143,DMTK!$B75)</f>
        <v>0</v>
      </c>
      <c r="H75" s="27">
        <f>SUMIFS(CT!$H$5:$H$143,CT!$E$5:$E$143,DMTK!$B75)</f>
        <v>25000000</v>
      </c>
      <c r="I75" s="10"/>
      <c r="J75" s="28">
        <f t="shared" si="5"/>
        <v>0</v>
      </c>
      <c r="K75" s="10"/>
      <c r="L75" s="10"/>
      <c r="M75" s="29" t="str">
        <f t="shared" si="6"/>
        <v>100.140.141</v>
      </c>
      <c r="N75" s="10">
        <f t="shared" si="7"/>
        <v>25000000</v>
      </c>
      <c r="O75" s="12" t="str">
        <f t="shared" si="8"/>
        <v>100.140.141</v>
      </c>
      <c r="P75" s="10">
        <f t="shared" si="9"/>
        <v>0</v>
      </c>
      <c r="Q75" s="12"/>
    </row>
    <row r="76" spans="1:17" ht="16.5" customHeight="1" x14ac:dyDescent="0.3">
      <c r="A76" s="12" t="s">
        <v>273</v>
      </c>
      <c r="B76" s="7" t="s">
        <v>326</v>
      </c>
      <c r="C76" s="25" t="s">
        <v>8</v>
      </c>
      <c r="D76" s="9" t="s">
        <v>321</v>
      </c>
      <c r="E76" s="26">
        <v>100</v>
      </c>
      <c r="F76" s="10">
        <v>70000000</v>
      </c>
      <c r="G76" s="27">
        <f>SUMIFS(CT!$H$5:$H$143,CT!$D$5:$D$143,DMTK!$B76)</f>
        <v>0</v>
      </c>
      <c r="H76" s="27">
        <f>SUMIFS(CT!$H$5:$H$143,CT!$E$5:$E$143,DMTK!$B76)</f>
        <v>0</v>
      </c>
      <c r="I76" s="10"/>
      <c r="J76" s="28">
        <f t="shared" si="5"/>
        <v>70000000</v>
      </c>
      <c r="K76" s="10"/>
      <c r="L76" s="10"/>
      <c r="M76" s="29" t="str">
        <f t="shared" si="6"/>
        <v>100.140.141</v>
      </c>
      <c r="N76" s="10">
        <f t="shared" si="7"/>
        <v>70000000</v>
      </c>
      <c r="O76" s="12" t="str">
        <f t="shared" si="8"/>
        <v>100.140.141</v>
      </c>
      <c r="P76" s="10">
        <f t="shared" si="9"/>
        <v>70000000</v>
      </c>
      <c r="Q76" s="12"/>
    </row>
    <row r="77" spans="1:17" ht="16.5" customHeight="1" x14ac:dyDescent="0.3">
      <c r="A77" s="12" t="s">
        <v>273</v>
      </c>
      <c r="B77" s="7" t="s">
        <v>327</v>
      </c>
      <c r="C77" s="25" t="s">
        <v>8</v>
      </c>
      <c r="D77" s="9" t="s">
        <v>328</v>
      </c>
      <c r="E77" s="26"/>
      <c r="F77" s="10">
        <v>0</v>
      </c>
      <c r="G77" s="27">
        <f>SUMIFS(CT!$H$5:$H$143,CT!$D$5:$D$143,DMTK!$B77)</f>
        <v>0</v>
      </c>
      <c r="H77" s="27">
        <f>SUMIFS(CT!$H$5:$H$143,CT!$E$5:$E$143,DMTK!$B77)</f>
        <v>0</v>
      </c>
      <c r="I77" s="10"/>
      <c r="J77" s="28">
        <f t="shared" si="5"/>
        <v>0</v>
      </c>
      <c r="K77" s="10"/>
      <c r="L77" s="10"/>
      <c r="M77" s="29" t="str">
        <f t="shared" si="6"/>
        <v>100.140.141</v>
      </c>
      <c r="N77" s="10">
        <f t="shared" si="7"/>
        <v>0</v>
      </c>
      <c r="O77" s="12" t="str">
        <f t="shared" si="8"/>
        <v>100.140.141</v>
      </c>
      <c r="P77" s="10">
        <f t="shared" si="9"/>
        <v>0</v>
      </c>
      <c r="Q77" s="12"/>
    </row>
    <row r="78" spans="1:17" ht="16.5" customHeight="1" x14ac:dyDescent="0.3">
      <c r="A78" s="12" t="s">
        <v>273</v>
      </c>
      <c r="B78" s="7" t="s">
        <v>329</v>
      </c>
      <c r="C78" s="25" t="s">
        <v>8</v>
      </c>
      <c r="D78" s="12" t="s">
        <v>330</v>
      </c>
      <c r="E78" s="26"/>
      <c r="F78" s="10">
        <v>0</v>
      </c>
      <c r="G78" s="27">
        <f>SUMIFS(CT!$H$5:$H$143,CT!$D$5:$D$143,DMTK!$B78)</f>
        <v>0</v>
      </c>
      <c r="H78" s="27">
        <f>SUMIFS(CT!$H$5:$H$143,CT!$E$5:$E$143,DMTK!$B78)</f>
        <v>0</v>
      </c>
      <c r="I78" s="10"/>
      <c r="J78" s="28">
        <f t="shared" si="5"/>
        <v>0</v>
      </c>
      <c r="K78" s="10"/>
      <c r="L78" s="10"/>
      <c r="M78" s="29" t="str">
        <f t="shared" si="6"/>
        <v>100.140.141</v>
      </c>
      <c r="N78" s="10">
        <f t="shared" si="7"/>
        <v>0</v>
      </c>
      <c r="O78" s="12" t="str">
        <f t="shared" si="8"/>
        <v>100.140.141</v>
      </c>
      <c r="P78" s="10">
        <f t="shared" si="9"/>
        <v>0</v>
      </c>
      <c r="Q78" s="12"/>
    </row>
    <row r="79" spans="1:17" ht="16.5" customHeight="1" x14ac:dyDescent="0.3">
      <c r="A79" s="12" t="s">
        <v>273</v>
      </c>
      <c r="B79" s="7" t="s">
        <v>331</v>
      </c>
      <c r="C79" s="25" t="s">
        <v>8</v>
      </c>
      <c r="D79" s="9" t="s">
        <v>332</v>
      </c>
      <c r="E79" s="26"/>
      <c r="F79" s="10">
        <v>0</v>
      </c>
      <c r="G79" s="27">
        <f>SUMIFS(CT!$H$5:$H$143,CT!$D$5:$D$143,DMTK!$B79)</f>
        <v>0</v>
      </c>
      <c r="H79" s="27">
        <f>SUMIFS(CT!$H$5:$H$143,CT!$E$5:$E$143,DMTK!$B79)</f>
        <v>0</v>
      </c>
      <c r="I79" s="10"/>
      <c r="J79" s="28">
        <f t="shared" si="5"/>
        <v>0</v>
      </c>
      <c r="K79" s="10"/>
      <c r="L79" s="10"/>
      <c r="M79" s="29" t="str">
        <f t="shared" si="6"/>
        <v>100.140.141</v>
      </c>
      <c r="N79" s="10">
        <f t="shared" si="7"/>
        <v>0</v>
      </c>
      <c r="O79" s="12" t="str">
        <f t="shared" si="8"/>
        <v>100.140.141</v>
      </c>
      <c r="P79" s="10">
        <f t="shared" si="9"/>
        <v>0</v>
      </c>
      <c r="Q79" s="12"/>
    </row>
    <row r="80" spans="1:17" ht="16.5" customHeight="1" x14ac:dyDescent="0.3">
      <c r="A80" s="12" t="s">
        <v>273</v>
      </c>
      <c r="B80" s="7" t="s">
        <v>40</v>
      </c>
      <c r="C80" s="25" t="s">
        <v>8</v>
      </c>
      <c r="D80" s="12" t="s">
        <v>41</v>
      </c>
      <c r="E80" s="26"/>
      <c r="F80" s="10">
        <v>0</v>
      </c>
      <c r="G80" s="27">
        <f>SUMIFS(CT!$H$5:$H$143,CT!$D$5:$D$143,DMTK!$B80)</f>
        <v>0</v>
      </c>
      <c r="H80" s="27">
        <f>SUMIFS(CT!$H$5:$H$143,CT!$E$5:$E$143,DMTK!$B80)</f>
        <v>0</v>
      </c>
      <c r="I80" s="10"/>
      <c r="J80" s="28">
        <f t="shared" si="5"/>
        <v>0</v>
      </c>
      <c r="K80" s="10"/>
      <c r="L80" s="10"/>
      <c r="M80" s="29" t="str">
        <f t="shared" si="6"/>
        <v>100.140.141</v>
      </c>
      <c r="N80" s="10">
        <f t="shared" si="7"/>
        <v>0</v>
      </c>
      <c r="O80" s="12" t="str">
        <f t="shared" si="8"/>
        <v>100.140.141</v>
      </c>
      <c r="P80" s="10">
        <f t="shared" si="9"/>
        <v>0</v>
      </c>
      <c r="Q80" s="12"/>
    </row>
    <row r="81" spans="1:17" ht="16.5" customHeight="1" x14ac:dyDescent="0.3">
      <c r="A81" s="7" t="s">
        <v>273</v>
      </c>
      <c r="B81" s="7" t="s">
        <v>42</v>
      </c>
      <c r="C81" s="25" t="s">
        <v>8</v>
      </c>
      <c r="D81" s="9" t="s">
        <v>43</v>
      </c>
      <c r="E81" s="26"/>
      <c r="F81" s="10"/>
      <c r="G81" s="27">
        <f>SUMIFS(CT!$H$5:$H$143,CT!$D$5:$D$143,DMTK!$B81)</f>
        <v>0</v>
      </c>
      <c r="H81" s="27">
        <f>SUMIFS(CT!$H$5:$H$143,CT!$E$5:$E$143,DMTK!$B81)</f>
        <v>0</v>
      </c>
      <c r="I81" s="10"/>
      <c r="J81" s="28">
        <f t="shared" si="5"/>
        <v>0</v>
      </c>
      <c r="K81" s="10"/>
      <c r="L81" s="10"/>
      <c r="M81" s="29" t="str">
        <f t="shared" si="6"/>
        <v>100.140.141</v>
      </c>
      <c r="N81" s="10">
        <f t="shared" si="7"/>
        <v>0</v>
      </c>
      <c r="O81" s="12" t="str">
        <f t="shared" si="8"/>
        <v>100.140.141</v>
      </c>
      <c r="P81" s="10">
        <f t="shared" si="9"/>
        <v>0</v>
      </c>
      <c r="Q81" s="12"/>
    </row>
    <row r="82" spans="1:17" ht="16.5" customHeight="1" x14ac:dyDescent="0.3">
      <c r="A82" s="7" t="s">
        <v>333</v>
      </c>
      <c r="B82" s="7" t="s">
        <v>334</v>
      </c>
      <c r="C82" s="25" t="s">
        <v>8</v>
      </c>
      <c r="D82" s="9" t="s">
        <v>335</v>
      </c>
      <c r="E82" s="26"/>
      <c r="F82" s="10">
        <v>0</v>
      </c>
      <c r="G82" s="27">
        <f>SUMIFS(CT!$H$5:$H$143,CT!$D$5:$D$143,DMTK!$B82)</f>
        <v>0</v>
      </c>
      <c r="H82" s="27">
        <f>SUMIFS(CT!$H$5:$H$143,CT!$E$5:$E$143,DMTK!$B82)</f>
        <v>0</v>
      </c>
      <c r="I82" s="10"/>
      <c r="J82" s="28">
        <f t="shared" si="5"/>
        <v>0</v>
      </c>
      <c r="K82" s="10"/>
      <c r="L82" s="10"/>
      <c r="M82" s="29" t="str">
        <f t="shared" si="6"/>
        <v>400.430.432</v>
      </c>
      <c r="N82" s="10">
        <f t="shared" si="7"/>
        <v>0</v>
      </c>
      <c r="O82" s="12" t="str">
        <f t="shared" si="8"/>
        <v>400.430.432</v>
      </c>
      <c r="P82" s="10">
        <f t="shared" si="9"/>
        <v>0</v>
      </c>
      <c r="Q82" s="12"/>
    </row>
    <row r="83" spans="1:17" ht="16.5" customHeight="1" x14ac:dyDescent="0.3">
      <c r="A83" s="7" t="s">
        <v>333</v>
      </c>
      <c r="B83" s="7" t="s">
        <v>336</v>
      </c>
      <c r="C83" s="25" t="s">
        <v>8</v>
      </c>
      <c r="D83" s="12" t="s">
        <v>337</v>
      </c>
      <c r="E83" s="26"/>
      <c r="F83" s="10">
        <v>0</v>
      </c>
      <c r="G83" s="27">
        <f>SUMIFS(CT!$H$5:$H$143,CT!$D$5:$D$143,DMTK!$B83)</f>
        <v>0</v>
      </c>
      <c r="H83" s="27">
        <f>SUMIFS(CT!$H$5:$H$143,CT!$E$5:$E$143,DMTK!$B83)</f>
        <v>0</v>
      </c>
      <c r="I83" s="10"/>
      <c r="J83" s="28">
        <f t="shared" si="5"/>
        <v>0</v>
      </c>
      <c r="K83" s="10"/>
      <c r="L83" s="10"/>
      <c r="M83" s="29" t="str">
        <f t="shared" si="6"/>
        <v>400.430.432</v>
      </c>
      <c r="N83" s="10">
        <f t="shared" si="7"/>
        <v>0</v>
      </c>
      <c r="O83" s="12" t="str">
        <f t="shared" si="8"/>
        <v>400.430.432</v>
      </c>
      <c r="P83" s="10">
        <f t="shared" si="9"/>
        <v>0</v>
      </c>
      <c r="Q83" s="12"/>
    </row>
    <row r="84" spans="1:17" ht="16.5" customHeight="1" x14ac:dyDescent="0.3">
      <c r="A84" s="7" t="s">
        <v>338</v>
      </c>
      <c r="B84" s="7" t="s">
        <v>46</v>
      </c>
      <c r="C84" s="25" t="s">
        <v>8</v>
      </c>
      <c r="D84" s="12" t="s">
        <v>47</v>
      </c>
      <c r="E84" s="26"/>
      <c r="F84" s="10"/>
      <c r="G84" s="27">
        <f>SUMIFS(CT!$H$5:$H$143,CT!$D$5:$D$143,DMTK!$B84)</f>
        <v>0</v>
      </c>
      <c r="H84" s="27">
        <f>SUMIFS(CT!$H$5:$H$143,CT!$E$5:$E$143,DMTK!$B84)</f>
        <v>0</v>
      </c>
      <c r="I84" s="10"/>
      <c r="J84" s="28">
        <f t="shared" si="5"/>
        <v>0</v>
      </c>
      <c r="K84" s="10"/>
      <c r="L84" s="10"/>
      <c r="M84" s="29" t="str">
        <f t="shared" si="6"/>
        <v>100.150.154</v>
      </c>
      <c r="N84" s="10">
        <f t="shared" si="7"/>
        <v>0</v>
      </c>
      <c r="O84" s="12" t="str">
        <f t="shared" si="8"/>
        <v>100.150.154</v>
      </c>
      <c r="P84" s="10">
        <f t="shared" si="9"/>
        <v>0</v>
      </c>
      <c r="Q84" s="12"/>
    </row>
    <row r="85" spans="1:17" ht="16.5" customHeight="1" x14ac:dyDescent="0.3">
      <c r="A85" s="12" t="s">
        <v>339</v>
      </c>
      <c r="B85" s="7" t="s">
        <v>340</v>
      </c>
      <c r="C85" s="25" t="s">
        <v>8</v>
      </c>
      <c r="D85" s="12" t="s">
        <v>341</v>
      </c>
      <c r="E85" s="26"/>
      <c r="F85" s="10">
        <v>200000000</v>
      </c>
      <c r="G85" s="27">
        <f>SUMIFS(CT!$H$5:$H$143,CT!$D$5:$D$143,DMTK!$B85)</f>
        <v>0</v>
      </c>
      <c r="H85" s="27">
        <f>SUMIFS(CT!$H$5:$H$143,CT!$E$5:$E$143,DMTK!$B85)</f>
        <v>0</v>
      </c>
      <c r="I85" s="10"/>
      <c r="J85" s="28">
        <f t="shared" si="5"/>
        <v>200000000</v>
      </c>
      <c r="K85" s="10"/>
      <c r="L85" s="10"/>
      <c r="M85" s="29" t="str">
        <f t="shared" si="6"/>
        <v>200.220.221.222</v>
      </c>
      <c r="N85" s="10">
        <f t="shared" si="7"/>
        <v>200000000</v>
      </c>
      <c r="O85" s="12" t="str">
        <f t="shared" si="8"/>
        <v>200.220.221.222</v>
      </c>
      <c r="P85" s="10">
        <f t="shared" si="9"/>
        <v>200000000</v>
      </c>
      <c r="Q85" s="12"/>
    </row>
    <row r="86" spans="1:17" ht="16.5" customHeight="1" x14ac:dyDescent="0.3">
      <c r="A86" s="12" t="s">
        <v>339</v>
      </c>
      <c r="B86" s="7" t="s">
        <v>342</v>
      </c>
      <c r="C86" s="25" t="s">
        <v>8</v>
      </c>
      <c r="D86" s="12" t="s">
        <v>343</v>
      </c>
      <c r="E86" s="26"/>
      <c r="F86" s="10">
        <v>188000000</v>
      </c>
      <c r="G86" s="27">
        <f>SUMIFS(CT!$H$5:$H$143,CT!$D$5:$D$143,DMTK!$B86)</f>
        <v>0</v>
      </c>
      <c r="H86" s="27">
        <f>SUMIFS(CT!$H$5:$H$143,CT!$E$5:$E$143,DMTK!$B86)</f>
        <v>0</v>
      </c>
      <c r="I86" s="10"/>
      <c r="J86" s="28">
        <f t="shared" si="5"/>
        <v>188000000</v>
      </c>
      <c r="K86" s="10"/>
      <c r="L86" s="10"/>
      <c r="M86" s="29" t="str">
        <f t="shared" si="6"/>
        <v>200.220.221.222</v>
      </c>
      <c r="N86" s="10">
        <f t="shared" si="7"/>
        <v>188000000</v>
      </c>
      <c r="O86" s="12" t="str">
        <f t="shared" si="8"/>
        <v>200.220.221.222</v>
      </c>
      <c r="P86" s="10">
        <f t="shared" si="9"/>
        <v>188000000</v>
      </c>
      <c r="Q86" s="12"/>
    </row>
    <row r="87" spans="1:17" ht="16.5" customHeight="1" x14ac:dyDescent="0.3">
      <c r="A87" s="12" t="s">
        <v>339</v>
      </c>
      <c r="B87" s="7" t="s">
        <v>344</v>
      </c>
      <c r="C87" s="25" t="s">
        <v>8</v>
      </c>
      <c r="D87" s="12" t="s">
        <v>345</v>
      </c>
      <c r="E87" s="26"/>
      <c r="F87" s="10">
        <v>150000000</v>
      </c>
      <c r="G87" s="27">
        <f>SUMIFS(CT!$H$5:$H$143,CT!$D$5:$D$143,DMTK!$B87)</f>
        <v>0</v>
      </c>
      <c r="H87" s="27">
        <f>SUMIFS(CT!$H$5:$H$143,CT!$E$5:$E$143,DMTK!$B87)</f>
        <v>0</v>
      </c>
      <c r="I87" s="10"/>
      <c r="J87" s="28">
        <f t="shared" si="5"/>
        <v>150000000</v>
      </c>
      <c r="K87" s="10"/>
      <c r="L87" s="10"/>
      <c r="M87" s="29" t="str">
        <f t="shared" si="6"/>
        <v>200.220.221.222</v>
      </c>
      <c r="N87" s="10">
        <f t="shared" si="7"/>
        <v>150000000</v>
      </c>
      <c r="O87" s="12" t="str">
        <f t="shared" si="8"/>
        <v>200.220.221.222</v>
      </c>
      <c r="P87" s="10">
        <f t="shared" si="9"/>
        <v>150000000</v>
      </c>
      <c r="Q87" s="12"/>
    </row>
    <row r="88" spans="1:17" ht="16.5" customHeight="1" x14ac:dyDescent="0.3">
      <c r="A88" s="12" t="s">
        <v>339</v>
      </c>
      <c r="B88" s="7" t="s">
        <v>346</v>
      </c>
      <c r="C88" s="25" t="s">
        <v>8</v>
      </c>
      <c r="D88" s="12" t="s">
        <v>347</v>
      </c>
      <c r="E88" s="26"/>
      <c r="F88" s="10">
        <v>0</v>
      </c>
      <c r="G88" s="27">
        <f>SUMIFS(CT!$H$5:$H$143,CT!$D$5:$D$143,DMTK!$B88)</f>
        <v>140000000</v>
      </c>
      <c r="H88" s="27">
        <f>SUMIFS(CT!$H$5:$H$143,CT!$E$5:$E$143,DMTK!$B88)</f>
        <v>0</v>
      </c>
      <c r="I88" s="10"/>
      <c r="J88" s="28">
        <f t="shared" si="5"/>
        <v>140000000</v>
      </c>
      <c r="K88" s="10"/>
      <c r="L88" s="10"/>
      <c r="M88" s="29" t="str">
        <f t="shared" si="6"/>
        <v>200.220.221.222</v>
      </c>
      <c r="N88" s="10">
        <f t="shared" si="7"/>
        <v>0</v>
      </c>
      <c r="O88" s="12" t="str">
        <f t="shared" si="8"/>
        <v>200.220.221.222</v>
      </c>
      <c r="P88" s="10">
        <f t="shared" si="9"/>
        <v>140000000</v>
      </c>
      <c r="Q88" s="12"/>
    </row>
    <row r="89" spans="1:17" ht="16.5" customHeight="1" x14ac:dyDescent="0.3">
      <c r="A89" s="12" t="s">
        <v>339</v>
      </c>
      <c r="B89" s="7" t="s">
        <v>348</v>
      </c>
      <c r="C89" s="25" t="s">
        <v>8</v>
      </c>
      <c r="D89" s="12" t="s">
        <v>349</v>
      </c>
      <c r="E89" s="26"/>
      <c r="F89" s="10">
        <v>220000000</v>
      </c>
      <c r="G89" s="27">
        <f>SUMIFS(CT!$H$5:$H$143,CT!$D$5:$D$143,DMTK!$B89)</f>
        <v>0</v>
      </c>
      <c r="H89" s="27">
        <f>SUMIFS(CT!$H$5:$H$143,CT!$E$5:$E$143,DMTK!$B89)</f>
        <v>0</v>
      </c>
      <c r="I89" s="10"/>
      <c r="J89" s="28">
        <f t="shared" si="5"/>
        <v>220000000</v>
      </c>
      <c r="K89" s="10"/>
      <c r="L89" s="10"/>
      <c r="M89" s="29" t="str">
        <f t="shared" si="6"/>
        <v>200.220.221.222</v>
      </c>
      <c r="N89" s="10">
        <f t="shared" si="7"/>
        <v>220000000</v>
      </c>
      <c r="O89" s="12" t="str">
        <f t="shared" si="8"/>
        <v>200.220.221.222</v>
      </c>
      <c r="P89" s="10">
        <f t="shared" si="9"/>
        <v>220000000</v>
      </c>
      <c r="Q89" s="12"/>
    </row>
    <row r="90" spans="1:17" ht="16.5" customHeight="1" x14ac:dyDescent="0.3">
      <c r="A90" s="12" t="s">
        <v>339</v>
      </c>
      <c r="B90" s="7" t="s">
        <v>350</v>
      </c>
      <c r="C90" s="25" t="s">
        <v>8</v>
      </c>
      <c r="D90" s="12" t="s">
        <v>351</v>
      </c>
      <c r="E90" s="26"/>
      <c r="F90" s="10">
        <v>50779000</v>
      </c>
      <c r="G90" s="27">
        <f>SUMIFS(CT!$H$5:$H$143,CT!$D$5:$D$143,DMTK!$B90)</f>
        <v>0</v>
      </c>
      <c r="H90" s="27">
        <f>SUMIFS(CT!$H$5:$H$143,CT!$E$5:$E$143,DMTK!$B90)</f>
        <v>0</v>
      </c>
      <c r="I90" s="10"/>
      <c r="J90" s="28">
        <f t="shared" si="5"/>
        <v>50779000</v>
      </c>
      <c r="K90" s="10"/>
      <c r="L90" s="10"/>
      <c r="M90" s="29" t="str">
        <f t="shared" si="6"/>
        <v>200.220.221.222</v>
      </c>
      <c r="N90" s="10">
        <f t="shared" si="7"/>
        <v>50779000</v>
      </c>
      <c r="O90" s="12" t="str">
        <f t="shared" si="8"/>
        <v>200.220.221.222</v>
      </c>
      <c r="P90" s="10">
        <f t="shared" si="9"/>
        <v>50779000</v>
      </c>
      <c r="Q90" s="12"/>
    </row>
    <row r="91" spans="1:17" ht="16.5" customHeight="1" x14ac:dyDescent="0.3">
      <c r="A91" s="12" t="s">
        <v>339</v>
      </c>
      <c r="B91" s="7" t="s">
        <v>352</v>
      </c>
      <c r="C91" s="25" t="s">
        <v>8</v>
      </c>
      <c r="D91" s="12" t="s">
        <v>353</v>
      </c>
      <c r="E91" s="26"/>
      <c r="F91" s="10">
        <v>125000000</v>
      </c>
      <c r="G91" s="27">
        <f>SUMIFS(CT!$H$5:$H$143,CT!$D$5:$D$143,DMTK!$B91)</f>
        <v>0</v>
      </c>
      <c r="H91" s="27">
        <f>SUMIFS(CT!$H$5:$H$143,CT!$E$5:$E$143,DMTK!$B91)</f>
        <v>0</v>
      </c>
      <c r="I91" s="10"/>
      <c r="J91" s="28">
        <f t="shared" si="5"/>
        <v>125000000</v>
      </c>
      <c r="K91" s="10"/>
      <c r="L91" s="10"/>
      <c r="M91" s="29" t="str">
        <f t="shared" si="6"/>
        <v>200.220.221.222</v>
      </c>
      <c r="N91" s="10">
        <f t="shared" si="7"/>
        <v>125000000</v>
      </c>
      <c r="O91" s="12" t="str">
        <f t="shared" si="8"/>
        <v>200.220.221.222</v>
      </c>
      <c r="P91" s="10">
        <f t="shared" si="9"/>
        <v>125000000</v>
      </c>
      <c r="Q91" s="12"/>
    </row>
    <row r="92" spans="1:17" ht="16.5" customHeight="1" x14ac:dyDescent="0.3">
      <c r="A92" s="12" t="s">
        <v>339</v>
      </c>
      <c r="B92" s="7" t="s">
        <v>354</v>
      </c>
      <c r="C92" s="25" t="s">
        <v>8</v>
      </c>
      <c r="D92" s="12" t="s">
        <v>355</v>
      </c>
      <c r="E92" s="26"/>
      <c r="F92" s="10">
        <v>0</v>
      </c>
      <c r="G92" s="27">
        <f>SUMIFS(CT!$H$5:$H$143,CT!$D$5:$D$143,DMTK!$B92)</f>
        <v>0</v>
      </c>
      <c r="H92" s="27">
        <f>SUMIFS(CT!$H$5:$H$143,CT!$E$5:$E$143,DMTK!$B92)</f>
        <v>0</v>
      </c>
      <c r="I92" s="10"/>
      <c r="J92" s="28">
        <f t="shared" si="5"/>
        <v>0</v>
      </c>
      <c r="K92" s="10"/>
      <c r="L92" s="10"/>
      <c r="M92" s="29" t="str">
        <f t="shared" si="6"/>
        <v>200.220.221.222</v>
      </c>
      <c r="N92" s="10">
        <f t="shared" si="7"/>
        <v>0</v>
      </c>
      <c r="O92" s="12" t="str">
        <f t="shared" si="8"/>
        <v>200.220.221.222</v>
      </c>
      <c r="P92" s="10">
        <f t="shared" si="9"/>
        <v>0</v>
      </c>
      <c r="Q92" s="12"/>
    </row>
    <row r="93" spans="1:17" ht="16.5" customHeight="1" x14ac:dyDescent="0.3">
      <c r="A93" s="12" t="s">
        <v>356</v>
      </c>
      <c r="B93" s="7" t="s">
        <v>357</v>
      </c>
      <c r="C93" s="25" t="s">
        <v>55</v>
      </c>
      <c r="D93" s="12" t="s">
        <v>358</v>
      </c>
      <c r="E93" s="26"/>
      <c r="F93" s="10">
        <v>90000000</v>
      </c>
      <c r="G93" s="27">
        <f>SUMIFS(CT!$H$5:$H$143,CT!$D$5:$D$143,DMTK!$B93)</f>
        <v>0</v>
      </c>
      <c r="H93" s="27">
        <f>SUMIFS(CT!$H$5:$H$143,CT!$E$5:$E$143,DMTK!$B93)</f>
        <v>2124999</v>
      </c>
      <c r="I93" s="10"/>
      <c r="J93" s="28">
        <f t="shared" si="5"/>
        <v>92124999</v>
      </c>
      <c r="K93" s="10"/>
      <c r="L93" s="10"/>
      <c r="M93" s="29" t="str">
        <f t="shared" si="6"/>
        <v>200.220.221.223</v>
      </c>
      <c r="N93" s="10">
        <f t="shared" si="7"/>
        <v>-90000000</v>
      </c>
      <c r="O93" s="12" t="str">
        <f t="shared" si="8"/>
        <v>200.220.221.223</v>
      </c>
      <c r="P93" s="10">
        <f t="shared" si="9"/>
        <v>-92124999</v>
      </c>
      <c r="Q93" s="12"/>
    </row>
    <row r="94" spans="1:17" ht="16.5" customHeight="1" x14ac:dyDescent="0.3">
      <c r="A94" s="12" t="s">
        <v>359</v>
      </c>
      <c r="B94" s="7" t="s">
        <v>360</v>
      </c>
      <c r="C94" s="25" t="s">
        <v>55</v>
      </c>
      <c r="D94" s="9" t="s">
        <v>361</v>
      </c>
      <c r="E94" s="26"/>
      <c r="F94" s="10"/>
      <c r="G94" s="27">
        <f>SUMIFS(CT!$H$5:$H$143,CT!$D$5:$D$143,DMTK!$B94)</f>
        <v>0</v>
      </c>
      <c r="H94" s="27">
        <f>SUMIFS(CT!$H$5:$H$143,CT!$E$5:$E$143,DMTK!$B94)</f>
        <v>0</v>
      </c>
      <c r="I94" s="10"/>
      <c r="J94" s="28">
        <f t="shared" si="5"/>
        <v>0</v>
      </c>
      <c r="K94" s="10"/>
      <c r="L94" s="10"/>
      <c r="M94" s="29" t="str">
        <f t="shared" si="6"/>
        <v>200.230.232</v>
      </c>
      <c r="N94" s="10">
        <f t="shared" si="7"/>
        <v>0</v>
      </c>
      <c r="O94" s="12" t="str">
        <f t="shared" si="8"/>
        <v>200.230.232</v>
      </c>
      <c r="P94" s="10">
        <f t="shared" si="9"/>
        <v>0</v>
      </c>
      <c r="Q94" s="12"/>
    </row>
    <row r="95" spans="1:17" ht="16.5" customHeight="1" x14ac:dyDescent="0.3">
      <c r="A95" s="12" t="s">
        <v>362</v>
      </c>
      <c r="B95" s="7" t="s">
        <v>57</v>
      </c>
      <c r="C95" s="25" t="s">
        <v>8</v>
      </c>
      <c r="D95" s="9" t="s">
        <v>58</v>
      </c>
      <c r="E95" s="26"/>
      <c r="F95" s="10">
        <v>0</v>
      </c>
      <c r="G95" s="27">
        <f>SUMIFS(CT!$H$5:$H$143,CT!$D$5:$D$143,DMTK!$B95)</f>
        <v>0</v>
      </c>
      <c r="H95" s="27">
        <f>SUMIFS(CT!$H$5:$H$143,CT!$E$5:$E$143,DMTK!$B95)</f>
        <v>0</v>
      </c>
      <c r="I95" s="10"/>
      <c r="J95" s="28">
        <f t="shared" si="5"/>
        <v>0</v>
      </c>
      <c r="K95" s="10"/>
      <c r="L95" s="10"/>
      <c r="M95" s="29" t="str">
        <f t="shared" si="6"/>
        <v>200.230.231</v>
      </c>
      <c r="N95" s="10">
        <f t="shared" si="7"/>
        <v>0</v>
      </c>
      <c r="O95" s="12" t="str">
        <f t="shared" si="8"/>
        <v>200.230.231</v>
      </c>
      <c r="P95" s="10">
        <f t="shared" si="9"/>
        <v>0</v>
      </c>
      <c r="Q95" s="12"/>
    </row>
    <row r="96" spans="1:17" ht="16.5" customHeight="1" x14ac:dyDescent="0.3">
      <c r="A96" s="12" t="s">
        <v>363</v>
      </c>
      <c r="B96" s="7" t="s">
        <v>59</v>
      </c>
      <c r="C96" s="25" t="s">
        <v>8</v>
      </c>
      <c r="D96" s="9" t="s">
        <v>60</v>
      </c>
      <c r="E96" s="26"/>
      <c r="F96" s="10">
        <v>0</v>
      </c>
      <c r="G96" s="27">
        <f>SUMIFS(CT!$H$5:$H$143,CT!$D$5:$D$143,DMTK!$B96)</f>
        <v>0</v>
      </c>
      <c r="H96" s="27">
        <f>SUMIFS(CT!$H$5:$H$143,CT!$E$5:$E$143,DMTK!$B96)</f>
        <v>0</v>
      </c>
      <c r="I96" s="10"/>
      <c r="J96" s="28">
        <f t="shared" si="5"/>
        <v>0</v>
      </c>
      <c r="K96" s="10"/>
      <c r="L96" s="10"/>
      <c r="M96" s="29" t="str">
        <f t="shared" si="6"/>
        <v>200.250.251</v>
      </c>
      <c r="N96" s="10">
        <f t="shared" si="7"/>
        <v>0</v>
      </c>
      <c r="O96" s="12" t="str">
        <f t="shared" si="8"/>
        <v>200.250.251</v>
      </c>
      <c r="P96" s="10">
        <f t="shared" si="9"/>
        <v>0</v>
      </c>
      <c r="Q96" s="12"/>
    </row>
    <row r="97" spans="1:17" ht="16.5" customHeight="1" x14ac:dyDescent="0.3">
      <c r="A97" s="12" t="s">
        <v>364</v>
      </c>
      <c r="B97" s="7" t="s">
        <v>61</v>
      </c>
      <c r="C97" s="25" t="s">
        <v>8</v>
      </c>
      <c r="D97" s="30" t="s">
        <v>62</v>
      </c>
      <c r="E97" s="26"/>
      <c r="F97" s="10">
        <v>26000000</v>
      </c>
      <c r="G97" s="27">
        <f>SUMIFS(CT!$H$5:$H$143,CT!$D$5:$D$143,DMTK!$B97)</f>
        <v>0</v>
      </c>
      <c r="H97" s="27">
        <f>SUMIFS(CT!$H$5:$H$143,CT!$E$5:$E$143,DMTK!$B97)</f>
        <v>0</v>
      </c>
      <c r="I97" s="10"/>
      <c r="J97" s="28">
        <f t="shared" si="5"/>
        <v>26000000</v>
      </c>
      <c r="K97" s="10"/>
      <c r="L97" s="10"/>
      <c r="M97" s="29" t="str">
        <f t="shared" si="6"/>
        <v>200.250.252</v>
      </c>
      <c r="N97" s="10">
        <f t="shared" si="7"/>
        <v>26000000</v>
      </c>
      <c r="O97" s="12" t="str">
        <f t="shared" si="8"/>
        <v>200.250.252</v>
      </c>
      <c r="P97" s="10">
        <f t="shared" si="9"/>
        <v>26000000</v>
      </c>
      <c r="Q97" s="12"/>
    </row>
    <row r="98" spans="1:17" ht="16.5" customHeight="1" x14ac:dyDescent="0.3">
      <c r="A98" s="12" t="s">
        <v>365</v>
      </c>
      <c r="B98" s="7" t="s">
        <v>366</v>
      </c>
      <c r="C98" s="25" t="s">
        <v>8</v>
      </c>
      <c r="D98" s="30" t="s">
        <v>367</v>
      </c>
      <c r="E98" s="26"/>
      <c r="F98" s="10">
        <v>80000000</v>
      </c>
      <c r="G98" s="27">
        <f>SUMIFS(CT!$H$5:$H$143,CT!$D$5:$D$143,DMTK!$B98)</f>
        <v>0</v>
      </c>
      <c r="H98" s="27">
        <f>SUMIFS(CT!$H$5:$H$143,CT!$E$5:$E$143,DMTK!$B98)</f>
        <v>0</v>
      </c>
      <c r="I98" s="10"/>
      <c r="J98" s="28">
        <f t="shared" si="5"/>
        <v>80000000</v>
      </c>
      <c r="K98" s="10"/>
      <c r="L98" s="10"/>
      <c r="M98" s="29" t="str">
        <f t="shared" si="6"/>
        <v>200.250.253</v>
      </c>
      <c r="N98" s="10">
        <f t="shared" si="7"/>
        <v>80000000</v>
      </c>
      <c r="O98" s="12" t="str">
        <f t="shared" si="8"/>
        <v>200.250.253</v>
      </c>
      <c r="P98" s="10">
        <f t="shared" si="9"/>
        <v>80000000</v>
      </c>
      <c r="Q98" s="12"/>
    </row>
    <row r="99" spans="1:17" ht="16.5" customHeight="1" x14ac:dyDescent="0.3">
      <c r="A99" s="12" t="s">
        <v>368</v>
      </c>
      <c r="B99" s="7" t="s">
        <v>369</v>
      </c>
      <c r="C99" s="25" t="s">
        <v>8</v>
      </c>
      <c r="D99" s="9" t="s">
        <v>64</v>
      </c>
      <c r="E99" s="26"/>
      <c r="F99" s="10">
        <v>30000000</v>
      </c>
      <c r="G99" s="27">
        <f>SUMIFS(CT!$H$5:$H$143,CT!$D$5:$D$143,DMTK!$B99)</f>
        <v>0</v>
      </c>
      <c r="H99" s="27">
        <f>SUMIFS(CT!$H$5:$H$143,CT!$E$5:$E$143,DMTK!$B99)</f>
        <v>0</v>
      </c>
      <c r="I99" s="10"/>
      <c r="J99" s="28">
        <f t="shared" si="5"/>
        <v>30000000</v>
      </c>
      <c r="K99" s="10"/>
      <c r="L99" s="10"/>
      <c r="M99" s="29" t="str">
        <f t="shared" si="6"/>
        <v>100.150.155</v>
      </c>
      <c r="N99" s="10">
        <f t="shared" si="7"/>
        <v>30000000</v>
      </c>
      <c r="O99" s="12" t="str">
        <f t="shared" si="8"/>
        <v>100.150.155</v>
      </c>
      <c r="P99" s="10">
        <f t="shared" si="9"/>
        <v>30000000</v>
      </c>
      <c r="Q99" s="12"/>
    </row>
    <row r="100" spans="1:17" ht="16.5" customHeight="1" x14ac:dyDescent="0.3">
      <c r="A100" s="12" t="s">
        <v>370</v>
      </c>
      <c r="B100" s="7" t="s">
        <v>371</v>
      </c>
      <c r="C100" s="25" t="s">
        <v>55</v>
      </c>
      <c r="D100" s="30" t="s">
        <v>372</v>
      </c>
      <c r="E100" s="26"/>
      <c r="F100" s="10"/>
      <c r="G100" s="27">
        <f>SUMIFS(CT!$H$5:$H$143,CT!$D$5:$D$143,DMTK!$B100)</f>
        <v>0</v>
      </c>
      <c r="H100" s="27">
        <f>SUMIFS(CT!$H$5:$H$143,CT!$E$5:$E$143,DMTK!$B100)</f>
        <v>0</v>
      </c>
      <c r="I100" s="10"/>
      <c r="J100" s="28">
        <f t="shared" si="5"/>
        <v>0</v>
      </c>
      <c r="K100" s="10"/>
      <c r="L100" s="10"/>
      <c r="M100" s="29" t="str">
        <f t="shared" si="6"/>
        <v>100.120.122</v>
      </c>
      <c r="N100" s="10">
        <f t="shared" si="7"/>
        <v>0</v>
      </c>
      <c r="O100" s="12" t="str">
        <f t="shared" si="8"/>
        <v>100.120.122</v>
      </c>
      <c r="P100" s="10">
        <f t="shared" si="9"/>
        <v>0</v>
      </c>
      <c r="Q100" s="12"/>
    </row>
    <row r="101" spans="1:17" ht="16.5" customHeight="1" x14ac:dyDescent="0.3">
      <c r="A101" s="12" t="s">
        <v>373</v>
      </c>
      <c r="B101" s="7" t="s">
        <v>374</v>
      </c>
      <c r="C101" s="25" t="s">
        <v>55</v>
      </c>
      <c r="D101" s="30" t="s">
        <v>375</v>
      </c>
      <c r="E101" s="26"/>
      <c r="F101" s="10"/>
      <c r="G101" s="27">
        <f>SUMIFS(CT!$H$5:$H$143,CT!$D$5:$D$143,DMTK!$B101)</f>
        <v>0</v>
      </c>
      <c r="H101" s="27">
        <f>SUMIFS(CT!$H$5:$H$143,CT!$E$5:$E$143,DMTK!$B101)</f>
        <v>0</v>
      </c>
      <c r="I101" s="10"/>
      <c r="J101" s="28">
        <f t="shared" si="5"/>
        <v>0</v>
      </c>
      <c r="K101" s="10"/>
      <c r="L101" s="10"/>
      <c r="M101" s="29" t="str">
        <f t="shared" si="6"/>
        <v>200.250.254</v>
      </c>
      <c r="N101" s="10">
        <f t="shared" si="7"/>
        <v>0</v>
      </c>
      <c r="O101" s="12" t="str">
        <f t="shared" si="8"/>
        <v>200.250.254</v>
      </c>
      <c r="P101" s="10">
        <f t="shared" si="9"/>
        <v>0</v>
      </c>
      <c r="Q101" s="12"/>
    </row>
    <row r="102" spans="1:17" ht="16.5" customHeight="1" x14ac:dyDescent="0.3">
      <c r="A102" s="12" t="s">
        <v>376</v>
      </c>
      <c r="B102" s="7" t="s">
        <v>377</v>
      </c>
      <c r="C102" s="25" t="s">
        <v>55</v>
      </c>
      <c r="D102" s="30" t="s">
        <v>378</v>
      </c>
      <c r="E102" s="26"/>
      <c r="F102" s="10">
        <v>30000000</v>
      </c>
      <c r="G102" s="27">
        <f>SUMIFS(CT!$H$5:$H$143,CT!$D$5:$D$143,DMTK!$B102)</f>
        <v>0</v>
      </c>
      <c r="H102" s="27">
        <f>SUMIFS(CT!$H$5:$H$143,CT!$E$5:$E$143,DMTK!$B102)</f>
        <v>0</v>
      </c>
      <c r="I102" s="10"/>
      <c r="J102" s="28">
        <f t="shared" si="5"/>
        <v>30000000</v>
      </c>
      <c r="K102" s="10"/>
      <c r="L102" s="10"/>
      <c r="M102" s="29" t="str">
        <f t="shared" si="6"/>
        <v>100.130.137</v>
      </c>
      <c r="N102" s="10">
        <f t="shared" si="7"/>
        <v>-30000000</v>
      </c>
      <c r="O102" s="12" t="str">
        <f t="shared" si="8"/>
        <v>100.130.137</v>
      </c>
      <c r="P102" s="10">
        <f t="shared" si="9"/>
        <v>-30000000</v>
      </c>
      <c r="Q102" s="12"/>
    </row>
    <row r="103" spans="1:17" ht="16.5" customHeight="1" x14ac:dyDescent="0.3">
      <c r="A103" s="12" t="s">
        <v>379</v>
      </c>
      <c r="B103" s="7" t="s">
        <v>380</v>
      </c>
      <c r="C103" s="25" t="s">
        <v>55</v>
      </c>
      <c r="D103" s="30" t="s">
        <v>381</v>
      </c>
      <c r="E103" s="26"/>
      <c r="G103" s="27">
        <f>SUMIFS(CT!$H$5:$H$143,CT!$D$5:$D$143,DMTK!$B103)</f>
        <v>0</v>
      </c>
      <c r="H103" s="27">
        <f>SUMIFS(CT!$H$5:$H$143,CT!$E$5:$E$143,DMTK!$B103)</f>
        <v>0</v>
      </c>
      <c r="I103" s="10"/>
      <c r="J103" s="28">
        <f t="shared" si="5"/>
        <v>0</v>
      </c>
      <c r="K103" s="10"/>
      <c r="L103" s="10"/>
      <c r="M103" s="29" t="str">
        <f t="shared" si="6"/>
        <v>200.210.219</v>
      </c>
      <c r="N103" s="10">
        <f t="shared" si="7"/>
        <v>0</v>
      </c>
      <c r="O103" s="12" t="str">
        <f t="shared" si="8"/>
        <v>200.210.219</v>
      </c>
      <c r="P103" s="10">
        <f t="shared" si="9"/>
        <v>0</v>
      </c>
      <c r="Q103" s="12"/>
    </row>
    <row r="104" spans="1:17" ht="16.5" customHeight="1" x14ac:dyDescent="0.3">
      <c r="A104" s="12" t="s">
        <v>382</v>
      </c>
      <c r="B104" s="7" t="s">
        <v>383</v>
      </c>
      <c r="C104" s="25" t="s">
        <v>55</v>
      </c>
      <c r="D104" s="30" t="s">
        <v>384</v>
      </c>
      <c r="E104" s="26"/>
      <c r="F104" s="10">
        <v>80000000</v>
      </c>
      <c r="G104" s="27">
        <f>SUMIFS(CT!$H$5:$H$143,CT!$D$5:$D$143,DMTK!$B104)</f>
        <v>0</v>
      </c>
      <c r="H104" s="27">
        <f>SUMIFS(CT!$H$5:$H$143,CT!$E$5:$E$143,DMTK!$B104)</f>
        <v>0</v>
      </c>
      <c r="I104" s="10"/>
      <c r="J104" s="28">
        <f t="shared" si="5"/>
        <v>80000000</v>
      </c>
      <c r="K104" s="10"/>
      <c r="L104" s="10"/>
      <c r="M104" s="29" t="str">
        <f t="shared" si="6"/>
        <v>100.140.149</v>
      </c>
      <c r="N104" s="10">
        <f t="shared" si="7"/>
        <v>-80000000</v>
      </c>
      <c r="O104" s="12" t="str">
        <f t="shared" si="8"/>
        <v>100.140.149</v>
      </c>
      <c r="P104" s="10">
        <f t="shared" si="9"/>
        <v>-80000000</v>
      </c>
      <c r="Q104" s="12"/>
    </row>
    <row r="105" spans="1:17" ht="16.5" customHeight="1" x14ac:dyDescent="0.3">
      <c r="A105" s="12" t="s">
        <v>385</v>
      </c>
      <c r="B105" s="7" t="s">
        <v>386</v>
      </c>
      <c r="C105" s="25" t="s">
        <v>8</v>
      </c>
      <c r="D105" s="9" t="s">
        <v>387</v>
      </c>
      <c r="E105" s="26"/>
      <c r="F105" s="10">
        <v>250000000</v>
      </c>
      <c r="G105" s="27">
        <f>SUMIFS(CT!$H$5:$H$143,CT!$D$5:$D$143,DMTK!$B105)</f>
        <v>0</v>
      </c>
      <c r="H105" s="27">
        <f>SUMIFS(CT!$H$5:$H$143,CT!$E$5:$E$143,DMTK!$B105)</f>
        <v>0</v>
      </c>
      <c r="I105" s="10"/>
      <c r="J105" s="28">
        <f t="shared" si="5"/>
        <v>250000000</v>
      </c>
      <c r="K105" s="10"/>
      <c r="L105" s="10"/>
      <c r="M105" s="29" t="str">
        <f t="shared" si="6"/>
        <v>200.240.242</v>
      </c>
      <c r="N105" s="10">
        <f t="shared" si="7"/>
        <v>250000000</v>
      </c>
      <c r="O105" s="12" t="str">
        <f t="shared" si="8"/>
        <v>200.240.242</v>
      </c>
      <c r="P105" s="10">
        <f t="shared" si="9"/>
        <v>250000000</v>
      </c>
      <c r="Q105" s="12"/>
    </row>
    <row r="106" spans="1:17" ht="16.5" customHeight="1" x14ac:dyDescent="0.3">
      <c r="A106" s="12" t="s">
        <v>385</v>
      </c>
      <c r="B106" s="7" t="s">
        <v>388</v>
      </c>
      <c r="C106" s="25" t="s">
        <v>8</v>
      </c>
      <c r="D106" s="9" t="s">
        <v>389</v>
      </c>
      <c r="E106" s="26"/>
      <c r="F106" s="10">
        <v>213760000</v>
      </c>
      <c r="G106" s="27">
        <f>SUMIFS(CT!$H$5:$H$143,CT!$D$5:$D$143,DMTK!$B106)</f>
        <v>0</v>
      </c>
      <c r="H106" s="27">
        <f>SUMIFS(CT!$H$5:$H$143,CT!$E$5:$E$143,DMTK!$B106)</f>
        <v>0</v>
      </c>
      <c r="I106" s="10"/>
      <c r="J106" s="28">
        <f t="shared" si="5"/>
        <v>213760000</v>
      </c>
      <c r="K106" s="10"/>
      <c r="L106" s="10"/>
      <c r="M106" s="29" t="str">
        <f t="shared" si="6"/>
        <v>200.240.242</v>
      </c>
      <c r="N106" s="10">
        <f t="shared" si="7"/>
        <v>213760000</v>
      </c>
      <c r="O106" s="12" t="str">
        <f t="shared" si="8"/>
        <v>200.240.242</v>
      </c>
      <c r="P106" s="10">
        <f t="shared" si="9"/>
        <v>213760000</v>
      </c>
      <c r="Q106" s="12"/>
    </row>
    <row r="107" spans="1:17" ht="16.5" customHeight="1" x14ac:dyDescent="0.3">
      <c r="A107" s="12" t="s">
        <v>385</v>
      </c>
      <c r="B107" s="7" t="s">
        <v>390</v>
      </c>
      <c r="C107" s="25" t="s">
        <v>8</v>
      </c>
      <c r="D107" s="9" t="s">
        <v>391</v>
      </c>
      <c r="E107" s="26"/>
      <c r="F107" s="10">
        <v>0</v>
      </c>
      <c r="G107" s="27">
        <f>SUMIFS(CT!$H$5:$H$143,CT!$D$5:$D$143,DMTK!$B107)</f>
        <v>0</v>
      </c>
      <c r="H107" s="27">
        <f>SUMIFS(CT!$H$5:$H$143,CT!$E$5:$E$143,DMTK!$B107)</f>
        <v>0</v>
      </c>
      <c r="I107" s="10"/>
      <c r="J107" s="28">
        <f t="shared" si="5"/>
        <v>0</v>
      </c>
      <c r="K107" s="10"/>
      <c r="L107" s="10"/>
      <c r="M107" s="29" t="str">
        <f t="shared" si="6"/>
        <v>200.240.242</v>
      </c>
      <c r="N107" s="10">
        <f t="shared" si="7"/>
        <v>0</v>
      </c>
      <c r="O107" s="12" t="str">
        <f t="shared" si="8"/>
        <v>200.240.242</v>
      </c>
      <c r="P107" s="10">
        <f t="shared" si="9"/>
        <v>0</v>
      </c>
      <c r="Q107" s="12"/>
    </row>
    <row r="108" spans="1:17" ht="16.5" customHeight="1" x14ac:dyDescent="0.3">
      <c r="A108" s="12" t="s">
        <v>392</v>
      </c>
      <c r="B108" s="7" t="s">
        <v>393</v>
      </c>
      <c r="C108" s="25" t="s">
        <v>8</v>
      </c>
      <c r="D108" s="9" t="s">
        <v>394</v>
      </c>
      <c r="E108" s="26"/>
      <c r="F108" s="10">
        <v>5000000</v>
      </c>
      <c r="G108" s="27">
        <f>SUMIFS(CT!$H$5:$H$143,CT!$D$5:$D$143,DMTK!$B108)</f>
        <v>2500000</v>
      </c>
      <c r="H108" s="27">
        <f>SUMIFS(CT!$H$5:$H$143,CT!$E$5:$E$143,DMTK!$B108)</f>
        <v>500000</v>
      </c>
      <c r="I108" s="10"/>
      <c r="J108" s="28">
        <f t="shared" si="5"/>
        <v>7000000</v>
      </c>
      <c r="K108" s="10"/>
      <c r="L108" s="10"/>
      <c r="M108" s="29" t="str">
        <f t="shared" si="6"/>
        <v>100.150.151</v>
      </c>
      <c r="N108" s="10">
        <f t="shared" si="7"/>
        <v>5000000</v>
      </c>
      <c r="O108" s="12" t="str">
        <f t="shared" si="8"/>
        <v>100.150.151</v>
      </c>
      <c r="P108" s="10">
        <f t="shared" si="9"/>
        <v>7000000</v>
      </c>
      <c r="Q108" s="12"/>
    </row>
    <row r="109" spans="1:17" ht="16.5" customHeight="1" x14ac:dyDescent="0.3">
      <c r="A109" s="12" t="s">
        <v>392</v>
      </c>
      <c r="B109" s="7" t="s">
        <v>395</v>
      </c>
      <c r="C109" s="25" t="s">
        <v>8</v>
      </c>
      <c r="D109" s="9" t="s">
        <v>396</v>
      </c>
      <c r="E109" s="26"/>
      <c r="F109" s="10">
        <v>8000000</v>
      </c>
      <c r="G109" s="27">
        <f>SUMIFS(CT!$H$5:$H$143,CT!$D$5:$D$143,DMTK!$B109)</f>
        <v>1000000</v>
      </c>
      <c r="H109" s="27">
        <f>SUMIFS(CT!$H$5:$H$143,CT!$E$5:$E$143,DMTK!$B109)</f>
        <v>250000</v>
      </c>
      <c r="I109" s="10"/>
      <c r="J109" s="28">
        <f t="shared" si="5"/>
        <v>8750000</v>
      </c>
      <c r="K109" s="10"/>
      <c r="L109" s="10"/>
      <c r="M109" s="29" t="str">
        <f t="shared" si="6"/>
        <v>100.150.151</v>
      </c>
      <c r="N109" s="10">
        <f t="shared" si="7"/>
        <v>8000000</v>
      </c>
      <c r="O109" s="12" t="str">
        <f t="shared" si="8"/>
        <v>100.150.151</v>
      </c>
      <c r="P109" s="10">
        <f t="shared" si="9"/>
        <v>8750000</v>
      </c>
      <c r="Q109" s="12"/>
    </row>
    <row r="110" spans="1:17" ht="16.5" customHeight="1" x14ac:dyDescent="0.3">
      <c r="A110" s="12" t="s">
        <v>397</v>
      </c>
      <c r="B110" s="7" t="s">
        <v>398</v>
      </c>
      <c r="C110" s="25" t="s">
        <v>8</v>
      </c>
      <c r="D110" s="9" t="s">
        <v>399</v>
      </c>
      <c r="E110" s="26"/>
      <c r="F110" s="10">
        <v>0</v>
      </c>
      <c r="G110" s="27">
        <f>SUMIFS(CT!$H$5:$H$143,CT!$D$5:$D$143,DMTK!$B110)</f>
        <v>0</v>
      </c>
      <c r="H110" s="27">
        <f>SUMIFS(CT!$H$5:$H$143,CT!$E$5:$E$143,DMTK!$B110)</f>
        <v>0</v>
      </c>
      <c r="I110" s="10"/>
      <c r="J110" s="28">
        <f t="shared" si="5"/>
        <v>0</v>
      </c>
      <c r="K110" s="10"/>
      <c r="L110" s="10"/>
      <c r="M110" s="29" t="str">
        <f t="shared" si="6"/>
        <v>200.260.261</v>
      </c>
      <c r="N110" s="10">
        <f t="shared" si="7"/>
        <v>0</v>
      </c>
      <c r="O110" s="12" t="str">
        <f t="shared" si="8"/>
        <v>200.260.261</v>
      </c>
      <c r="P110" s="10">
        <f t="shared" si="9"/>
        <v>0</v>
      </c>
      <c r="Q110" s="12"/>
    </row>
    <row r="111" spans="1:17" ht="16.5" customHeight="1" x14ac:dyDescent="0.3">
      <c r="A111" s="12" t="s">
        <v>397</v>
      </c>
      <c r="B111" s="7" t="s">
        <v>400</v>
      </c>
      <c r="C111" s="25" t="s">
        <v>8</v>
      </c>
      <c r="D111" s="9" t="s">
        <v>401</v>
      </c>
      <c r="E111" s="26"/>
      <c r="F111" s="10">
        <v>0</v>
      </c>
      <c r="G111" s="27">
        <f>SUMIFS(CT!$H$5:$H$143,CT!$D$5:$D$143,DMTK!$B111)</f>
        <v>0</v>
      </c>
      <c r="H111" s="27">
        <f>SUMIFS(CT!$H$5:$H$143,CT!$E$5:$E$143,DMTK!$B111)</f>
        <v>0</v>
      </c>
      <c r="I111" s="10"/>
      <c r="J111" s="28">
        <f t="shared" si="5"/>
        <v>0</v>
      </c>
      <c r="K111" s="10"/>
      <c r="L111" s="10"/>
      <c r="M111" s="29" t="str">
        <f t="shared" si="6"/>
        <v>200.260.261</v>
      </c>
      <c r="N111" s="10">
        <f t="shared" si="7"/>
        <v>0</v>
      </c>
      <c r="O111" s="12" t="str">
        <f t="shared" si="8"/>
        <v>200.260.261</v>
      </c>
      <c r="P111" s="10">
        <f t="shared" si="9"/>
        <v>0</v>
      </c>
      <c r="Q111" s="12"/>
    </row>
    <row r="112" spans="1:17" ht="16.5" customHeight="1" x14ac:dyDescent="0.3">
      <c r="A112" s="12" t="s">
        <v>397</v>
      </c>
      <c r="B112" s="7" t="s">
        <v>402</v>
      </c>
      <c r="C112" s="25" t="s">
        <v>8</v>
      </c>
      <c r="D112" s="9" t="s">
        <v>403</v>
      </c>
      <c r="E112" s="26"/>
      <c r="F112" s="10"/>
      <c r="G112" s="27">
        <f>SUMIFS(CT!$H$5:$H$143,CT!$D$5:$D$143,DMTK!$B112)</f>
        <v>0</v>
      </c>
      <c r="H112" s="27">
        <f>SUMIFS(CT!$H$5:$H$143,CT!$E$5:$E$143,DMTK!$B112)</f>
        <v>0</v>
      </c>
      <c r="I112" s="10"/>
      <c r="J112" s="28">
        <f t="shared" si="5"/>
        <v>0</v>
      </c>
      <c r="K112" s="10"/>
      <c r="L112" s="10"/>
      <c r="M112" s="29" t="str">
        <f t="shared" si="6"/>
        <v>200.260.261</v>
      </c>
      <c r="N112" s="10">
        <f t="shared" si="7"/>
        <v>0</v>
      </c>
      <c r="O112" s="12" t="str">
        <f t="shared" si="8"/>
        <v>200.260.261</v>
      </c>
      <c r="P112" s="10">
        <f t="shared" si="9"/>
        <v>0</v>
      </c>
      <c r="Q112" s="12"/>
    </row>
    <row r="113" spans="1:17" ht="16.5" customHeight="1" x14ac:dyDescent="0.3">
      <c r="A113" s="12" t="s">
        <v>404</v>
      </c>
      <c r="B113" s="7" t="s">
        <v>71</v>
      </c>
      <c r="C113" s="25" t="s">
        <v>8</v>
      </c>
      <c r="D113" s="12" t="s">
        <v>72</v>
      </c>
      <c r="E113" s="26"/>
      <c r="F113" s="10">
        <v>0</v>
      </c>
      <c r="G113" s="27">
        <f>SUMIFS(CT!$H$5:$H$143,CT!$D$5:$D$143,DMTK!$B113)</f>
        <v>0</v>
      </c>
      <c r="H113" s="27">
        <f>SUMIFS(CT!$H$5:$H$143,CT!$E$5:$E$143,DMTK!$B113)</f>
        <v>0</v>
      </c>
      <c r="I113" s="10"/>
      <c r="J113" s="28">
        <f t="shared" si="5"/>
        <v>0</v>
      </c>
      <c r="K113" s="10"/>
      <c r="L113" s="10"/>
      <c r="M113" s="29" t="str">
        <f t="shared" si="6"/>
        <v>200.260.262</v>
      </c>
      <c r="N113" s="10">
        <f t="shared" si="7"/>
        <v>0</v>
      </c>
      <c r="O113" s="12" t="str">
        <f t="shared" si="8"/>
        <v>200.260.262</v>
      </c>
      <c r="P113" s="10">
        <f t="shared" si="9"/>
        <v>0</v>
      </c>
      <c r="Q113" s="12"/>
    </row>
    <row r="114" spans="1:17" ht="16.5" customHeight="1" x14ac:dyDescent="0.3">
      <c r="A114" s="12" t="s">
        <v>253</v>
      </c>
      <c r="B114" s="7" t="s">
        <v>405</v>
      </c>
      <c r="C114" s="25" t="s">
        <v>8</v>
      </c>
      <c r="D114" s="12" t="s">
        <v>406</v>
      </c>
      <c r="E114" s="26"/>
      <c r="F114" s="10">
        <v>130000000</v>
      </c>
      <c r="G114" s="27">
        <f>SUMIFS(CT!$H$5:$H$143,CT!$D$5:$D$143,DMTK!$B114)</f>
        <v>0</v>
      </c>
      <c r="H114" s="27">
        <f>SUMIFS(CT!$H$5:$H$143,CT!$E$5:$E$143,DMTK!$B114)</f>
        <v>0</v>
      </c>
      <c r="I114" s="10"/>
      <c r="J114" s="28">
        <f t="shared" si="5"/>
        <v>130000000</v>
      </c>
      <c r="K114" s="10"/>
      <c r="L114" s="10"/>
      <c r="M114" s="29" t="str">
        <f t="shared" si="6"/>
        <v>100.130.136</v>
      </c>
      <c r="N114" s="10">
        <f t="shared" si="7"/>
        <v>130000000</v>
      </c>
      <c r="O114" s="12" t="str">
        <f t="shared" si="8"/>
        <v>100.130.136</v>
      </c>
      <c r="P114" s="10">
        <f t="shared" si="9"/>
        <v>130000000</v>
      </c>
      <c r="Q114" s="12"/>
    </row>
    <row r="115" spans="1:17" ht="16.5" customHeight="1" x14ac:dyDescent="0.3">
      <c r="A115" s="12" t="s">
        <v>256</v>
      </c>
      <c r="B115" s="7" t="s">
        <v>407</v>
      </c>
      <c r="C115" s="25" t="s">
        <v>8</v>
      </c>
      <c r="D115" s="12" t="s">
        <v>408</v>
      </c>
      <c r="E115" s="26"/>
      <c r="F115" s="10">
        <v>0</v>
      </c>
      <c r="G115" s="27">
        <f>SUMIFS(CT!$H$5:$H$143,CT!$D$5:$D$143,DMTK!$B115)</f>
        <v>0</v>
      </c>
      <c r="H115" s="27">
        <f>SUMIFS(CT!$H$5:$H$143,CT!$E$5:$E$143,DMTK!$B115)</f>
        <v>0</v>
      </c>
      <c r="I115" s="10"/>
      <c r="J115" s="28">
        <f t="shared" si="5"/>
        <v>0</v>
      </c>
      <c r="K115" s="10"/>
      <c r="L115" s="10"/>
      <c r="M115" s="29" t="str">
        <f t="shared" si="6"/>
        <v>200.210.216</v>
      </c>
      <c r="N115" s="10">
        <f t="shared" si="7"/>
        <v>0</v>
      </c>
      <c r="O115" s="12" t="str">
        <f t="shared" si="8"/>
        <v>200.210.216</v>
      </c>
      <c r="P115" s="10">
        <f t="shared" si="9"/>
        <v>0</v>
      </c>
      <c r="Q115" s="12"/>
    </row>
    <row r="116" spans="1:17" ht="16.5" customHeight="1" x14ac:dyDescent="0.3">
      <c r="A116" s="12" t="s">
        <v>409</v>
      </c>
      <c r="B116" s="7" t="s">
        <v>410</v>
      </c>
      <c r="C116" s="25" t="s">
        <v>55</v>
      </c>
      <c r="D116" s="9" t="s">
        <v>411</v>
      </c>
      <c r="E116" s="26"/>
      <c r="F116" s="10">
        <v>139000000</v>
      </c>
      <c r="G116" s="27">
        <f>SUMIFS(CT!$H$5:$H$143,CT!$D$5:$D$143,DMTK!$B116)</f>
        <v>40000000</v>
      </c>
      <c r="H116" s="27">
        <f>SUMIFS(CT!$H$5:$H$143,CT!$E$5:$E$143,DMTK!$B116)</f>
        <v>4935000</v>
      </c>
      <c r="I116" s="10"/>
      <c r="J116" s="28">
        <f t="shared" si="5"/>
        <v>103935000</v>
      </c>
      <c r="K116" s="10"/>
      <c r="L116" s="10"/>
      <c r="M116" s="29" t="str">
        <f t="shared" si="6"/>
        <v>300.310.311</v>
      </c>
      <c r="N116" s="10">
        <f t="shared" si="7"/>
        <v>139000000</v>
      </c>
      <c r="O116" s="12" t="str">
        <f t="shared" si="8"/>
        <v>300.310.311</v>
      </c>
      <c r="P116" s="10">
        <f t="shared" si="9"/>
        <v>103935000</v>
      </c>
      <c r="Q116" s="12"/>
    </row>
    <row r="117" spans="1:17" ht="16.5" customHeight="1" x14ac:dyDescent="0.3">
      <c r="A117" s="12" t="s">
        <v>409</v>
      </c>
      <c r="B117" s="7" t="s">
        <v>412</v>
      </c>
      <c r="C117" s="25" t="s">
        <v>55</v>
      </c>
      <c r="D117" s="9" t="s">
        <v>413</v>
      </c>
      <c r="E117" s="26"/>
      <c r="F117" s="10">
        <v>73000000</v>
      </c>
      <c r="G117" s="27">
        <f>SUMIFS(CT!$H$5:$H$143,CT!$D$5:$D$143,DMTK!$B117)</f>
        <v>0</v>
      </c>
      <c r="H117" s="27">
        <f>SUMIFS(CT!$H$5:$H$143,CT!$E$5:$E$143,DMTK!$B117)</f>
        <v>23625000</v>
      </c>
      <c r="I117" s="10"/>
      <c r="J117" s="28">
        <f t="shared" si="5"/>
        <v>96625000</v>
      </c>
      <c r="K117" s="10"/>
      <c r="L117" s="10"/>
      <c r="M117" s="29" t="str">
        <f t="shared" si="6"/>
        <v>300.310.311</v>
      </c>
      <c r="N117" s="10">
        <f t="shared" si="7"/>
        <v>73000000</v>
      </c>
      <c r="O117" s="12" t="str">
        <f t="shared" si="8"/>
        <v>300.310.311</v>
      </c>
      <c r="P117" s="10">
        <f t="shared" si="9"/>
        <v>96625000</v>
      </c>
      <c r="Q117" s="12"/>
    </row>
    <row r="118" spans="1:17" ht="16.5" customHeight="1" x14ac:dyDescent="0.3">
      <c r="A118" s="12" t="s">
        <v>409</v>
      </c>
      <c r="B118" s="7" t="s">
        <v>414</v>
      </c>
      <c r="C118" s="25" t="s">
        <v>55</v>
      </c>
      <c r="D118" s="9" t="s">
        <v>415</v>
      </c>
      <c r="E118" s="26"/>
      <c r="F118" s="10"/>
      <c r="G118" s="27">
        <f>SUMIFS(CT!$H$5:$H$143,CT!$D$5:$D$143,DMTK!$B118)</f>
        <v>50000000</v>
      </c>
      <c r="H118" s="27">
        <f>SUMIFS(CT!$H$5:$H$143,CT!$E$5:$E$143,DMTK!$B118)</f>
        <v>5500000</v>
      </c>
      <c r="I118" s="10"/>
      <c r="J118" s="28">
        <f t="shared" si="5"/>
        <v>-44500000</v>
      </c>
      <c r="K118" s="10"/>
      <c r="L118" s="10"/>
      <c r="M118" s="29" t="str">
        <f t="shared" si="6"/>
        <v>300.310.311</v>
      </c>
      <c r="N118" s="10">
        <f t="shared" si="7"/>
        <v>0</v>
      </c>
      <c r="O118" s="12" t="str">
        <f t="shared" si="8"/>
        <v>100.130.132</v>
      </c>
      <c r="P118" s="10">
        <f t="shared" si="9"/>
        <v>44500000</v>
      </c>
      <c r="Q118" s="12"/>
    </row>
    <row r="119" spans="1:17" ht="16.5" customHeight="1" x14ac:dyDescent="0.3">
      <c r="A119" s="12" t="s">
        <v>416</v>
      </c>
      <c r="B119" s="7" t="s">
        <v>417</v>
      </c>
      <c r="C119" s="25" t="s">
        <v>55</v>
      </c>
      <c r="D119" s="9" t="s">
        <v>418</v>
      </c>
      <c r="E119" s="26"/>
      <c r="F119" s="10">
        <v>14200000</v>
      </c>
      <c r="G119" s="27">
        <f>SUMIFS(CT!$H$5:$H$143,CT!$D$5:$D$143,DMTK!$B119)</f>
        <v>0</v>
      </c>
      <c r="H119" s="27">
        <f>SUMIFS(CT!$H$5:$H$143,CT!$E$5:$E$143,DMTK!$B119)</f>
        <v>4400000</v>
      </c>
      <c r="I119" s="10"/>
      <c r="J119" s="28">
        <f t="shared" si="5"/>
        <v>18600000</v>
      </c>
      <c r="K119" s="10"/>
      <c r="L119" s="10"/>
      <c r="M119" s="29" t="str">
        <f t="shared" si="6"/>
        <v>300.310.313</v>
      </c>
      <c r="N119" s="10">
        <f t="shared" si="7"/>
        <v>14200000</v>
      </c>
      <c r="O119" s="12" t="str">
        <f t="shared" si="8"/>
        <v>300.310.313</v>
      </c>
      <c r="P119" s="10">
        <f t="shared" si="9"/>
        <v>18600000</v>
      </c>
      <c r="Q119" s="12"/>
    </row>
    <row r="120" spans="1:17" ht="16.5" customHeight="1" x14ac:dyDescent="0.3">
      <c r="A120" s="12" t="s">
        <v>416</v>
      </c>
      <c r="B120" s="7" t="s">
        <v>419</v>
      </c>
      <c r="C120" s="25" t="s">
        <v>55</v>
      </c>
      <c r="D120" s="9" t="s">
        <v>420</v>
      </c>
      <c r="E120" s="26"/>
      <c r="F120" s="10">
        <v>8000000</v>
      </c>
      <c r="G120" s="27">
        <f>SUMIFS(CT!$H$5:$H$143,CT!$D$5:$D$143,DMTK!$B120)</f>
        <v>0</v>
      </c>
      <c r="H120" s="27">
        <f>SUMIFS(CT!$H$5:$H$143,CT!$E$5:$E$143,DMTK!$B120)</f>
        <v>0</v>
      </c>
      <c r="I120" s="10"/>
      <c r="J120" s="28">
        <f t="shared" si="5"/>
        <v>8000000</v>
      </c>
      <c r="K120" s="10"/>
      <c r="L120" s="10"/>
      <c r="M120" s="29" t="str">
        <f t="shared" si="6"/>
        <v>300.310.313</v>
      </c>
      <c r="N120" s="10">
        <f t="shared" si="7"/>
        <v>8000000</v>
      </c>
      <c r="O120" s="12" t="str">
        <f t="shared" si="8"/>
        <v>300.310.313</v>
      </c>
      <c r="P120" s="10">
        <f t="shared" si="9"/>
        <v>8000000</v>
      </c>
      <c r="Q120" s="12"/>
    </row>
    <row r="121" spans="1:17" ht="16.5" customHeight="1" x14ac:dyDescent="0.3">
      <c r="A121" s="12" t="s">
        <v>416</v>
      </c>
      <c r="B121" s="7" t="s">
        <v>421</v>
      </c>
      <c r="C121" s="25" t="s">
        <v>55</v>
      </c>
      <c r="D121" s="9" t="s">
        <v>422</v>
      </c>
      <c r="E121" s="26"/>
      <c r="F121" s="10">
        <v>0</v>
      </c>
      <c r="G121" s="27">
        <f>SUMIFS(CT!$H$5:$H$143,CT!$D$5:$D$143,DMTK!$B121)</f>
        <v>0</v>
      </c>
      <c r="H121" s="27">
        <f>SUMIFS(CT!$H$5:$H$143,CT!$E$5:$E$143,DMTK!$B121)</f>
        <v>0</v>
      </c>
      <c r="I121" s="10"/>
      <c r="J121" s="28">
        <f t="shared" si="5"/>
        <v>0</v>
      </c>
      <c r="K121" s="10"/>
      <c r="L121" s="10"/>
      <c r="M121" s="29" t="str">
        <f t="shared" si="6"/>
        <v>300.310.313</v>
      </c>
      <c r="N121" s="10">
        <f t="shared" si="7"/>
        <v>0</v>
      </c>
      <c r="O121" s="12" t="str">
        <f t="shared" si="8"/>
        <v>300.310.313</v>
      </c>
      <c r="P121" s="10">
        <f t="shared" si="9"/>
        <v>0</v>
      </c>
      <c r="Q121" s="12"/>
    </row>
    <row r="122" spans="1:17" ht="16.5" customHeight="1" x14ac:dyDescent="0.3">
      <c r="A122" s="12" t="s">
        <v>416</v>
      </c>
      <c r="B122" s="7" t="s">
        <v>423</v>
      </c>
      <c r="C122" s="25" t="s">
        <v>55</v>
      </c>
      <c r="D122" s="9" t="s">
        <v>424</v>
      </c>
      <c r="E122" s="26"/>
      <c r="F122" s="10">
        <v>0</v>
      </c>
      <c r="G122" s="27">
        <f>SUMIFS(CT!$H$5:$H$143,CT!$D$5:$D$143,DMTK!$B122)</f>
        <v>0</v>
      </c>
      <c r="H122" s="27">
        <f>SUMIFS(CT!$H$5:$H$143,CT!$E$5:$E$143,DMTK!$B122)</f>
        <v>0</v>
      </c>
      <c r="I122" s="10"/>
      <c r="J122" s="28">
        <f t="shared" si="5"/>
        <v>0</v>
      </c>
      <c r="K122" s="10"/>
      <c r="L122" s="10"/>
      <c r="M122" s="29" t="str">
        <f t="shared" si="6"/>
        <v>300.310.313</v>
      </c>
      <c r="N122" s="10">
        <f t="shared" si="7"/>
        <v>0</v>
      </c>
      <c r="O122" s="12" t="str">
        <f t="shared" si="8"/>
        <v>300.310.313</v>
      </c>
      <c r="P122" s="10">
        <f t="shared" si="9"/>
        <v>0</v>
      </c>
      <c r="Q122" s="12"/>
    </row>
    <row r="123" spans="1:17" ht="16.5" customHeight="1" x14ac:dyDescent="0.3">
      <c r="A123" s="12" t="s">
        <v>416</v>
      </c>
      <c r="B123" s="7" t="s">
        <v>425</v>
      </c>
      <c r="C123" s="25" t="s">
        <v>55</v>
      </c>
      <c r="D123" s="9" t="s">
        <v>426</v>
      </c>
      <c r="E123" s="26"/>
      <c r="F123" s="10">
        <v>12000000</v>
      </c>
      <c r="G123" s="27">
        <f>SUMIFS(CT!$H$5:$H$143,CT!$D$5:$D$143,DMTK!$B123)</f>
        <v>0</v>
      </c>
      <c r="H123" s="27">
        <f>SUMIFS(CT!$H$5:$H$143,CT!$E$5:$E$143,DMTK!$B123)</f>
        <v>0</v>
      </c>
      <c r="I123" s="10"/>
      <c r="J123" s="28">
        <f t="shared" si="5"/>
        <v>12000000</v>
      </c>
      <c r="K123" s="10"/>
      <c r="L123" s="10"/>
      <c r="M123" s="29" t="str">
        <f t="shared" si="6"/>
        <v>300.310.313</v>
      </c>
      <c r="N123" s="10">
        <f t="shared" si="7"/>
        <v>12000000</v>
      </c>
      <c r="O123" s="12" t="str">
        <f t="shared" si="8"/>
        <v>300.310.313</v>
      </c>
      <c r="P123" s="10">
        <f t="shared" si="9"/>
        <v>12000000</v>
      </c>
      <c r="Q123" s="12"/>
    </row>
    <row r="124" spans="1:17" ht="16.5" customHeight="1" x14ac:dyDescent="0.3">
      <c r="A124" s="12" t="s">
        <v>416</v>
      </c>
      <c r="B124" s="7" t="s">
        <v>427</v>
      </c>
      <c r="C124" s="25" t="s">
        <v>55</v>
      </c>
      <c r="D124" s="9" t="s">
        <v>428</v>
      </c>
      <c r="E124" s="26"/>
      <c r="F124" s="10">
        <v>0</v>
      </c>
      <c r="G124" s="27">
        <f>SUMIFS(CT!$H$5:$H$143,CT!$D$5:$D$143,DMTK!$B124)</f>
        <v>0</v>
      </c>
      <c r="H124" s="27">
        <f>SUMIFS(CT!$H$5:$H$143,CT!$E$5:$E$143,DMTK!$B124)</f>
        <v>0</v>
      </c>
      <c r="I124" s="10"/>
      <c r="J124" s="28">
        <f t="shared" si="5"/>
        <v>0</v>
      </c>
      <c r="K124" s="10"/>
      <c r="L124" s="10"/>
      <c r="M124" s="29" t="str">
        <f t="shared" si="6"/>
        <v>300.310.313</v>
      </c>
      <c r="N124" s="10">
        <f t="shared" si="7"/>
        <v>0</v>
      </c>
      <c r="O124" s="12" t="str">
        <f t="shared" si="8"/>
        <v>300.310.313</v>
      </c>
      <c r="P124" s="10">
        <f t="shared" si="9"/>
        <v>0</v>
      </c>
      <c r="Q124" s="12"/>
    </row>
    <row r="125" spans="1:17" ht="16.5" customHeight="1" x14ac:dyDescent="0.3">
      <c r="A125" s="12" t="s">
        <v>416</v>
      </c>
      <c r="B125" s="7" t="s">
        <v>429</v>
      </c>
      <c r="C125" s="25" t="s">
        <v>55</v>
      </c>
      <c r="D125" s="9" t="s">
        <v>430</v>
      </c>
      <c r="E125" s="26"/>
      <c r="F125" s="10">
        <v>0</v>
      </c>
      <c r="G125" s="27">
        <f>SUMIFS(CT!$H$5:$H$143,CT!$D$5:$D$143,DMTK!$B125)</f>
        <v>0</v>
      </c>
      <c r="H125" s="27">
        <f>SUMIFS(CT!$H$5:$H$143,CT!$E$5:$E$143,DMTK!$B125)</f>
        <v>0</v>
      </c>
      <c r="I125" s="10"/>
      <c r="J125" s="28">
        <f t="shared" si="5"/>
        <v>0</v>
      </c>
      <c r="K125" s="10"/>
      <c r="L125" s="10"/>
      <c r="M125" s="29" t="str">
        <f t="shared" si="6"/>
        <v>300.310.313</v>
      </c>
      <c r="N125" s="10">
        <f t="shared" si="7"/>
        <v>0</v>
      </c>
      <c r="O125" s="12" t="str">
        <f t="shared" si="8"/>
        <v>300.310.313</v>
      </c>
      <c r="P125" s="10">
        <f t="shared" si="9"/>
        <v>0</v>
      </c>
      <c r="Q125" s="12"/>
    </row>
    <row r="126" spans="1:17" ht="16.5" customHeight="1" x14ac:dyDescent="0.3">
      <c r="A126" s="12" t="s">
        <v>416</v>
      </c>
      <c r="B126" s="7" t="s">
        <v>431</v>
      </c>
      <c r="C126" s="25" t="s">
        <v>55</v>
      </c>
      <c r="D126" s="9" t="s">
        <v>432</v>
      </c>
      <c r="E126" s="26"/>
      <c r="F126" s="10">
        <v>0</v>
      </c>
      <c r="G126" s="27">
        <f>SUMIFS(CT!$H$5:$H$143,CT!$D$5:$D$143,DMTK!$B126)</f>
        <v>0</v>
      </c>
      <c r="H126" s="27">
        <f>SUMIFS(CT!$H$5:$H$143,CT!$E$5:$E$143,DMTK!$B126)</f>
        <v>0</v>
      </c>
      <c r="I126" s="10"/>
      <c r="J126" s="28">
        <f t="shared" si="5"/>
        <v>0</v>
      </c>
      <c r="K126" s="10"/>
      <c r="L126" s="10"/>
      <c r="M126" s="29" t="str">
        <f t="shared" si="6"/>
        <v>300.310.313</v>
      </c>
      <c r="N126" s="10">
        <f t="shared" si="7"/>
        <v>0</v>
      </c>
      <c r="O126" s="12" t="str">
        <f t="shared" si="8"/>
        <v>300.310.313</v>
      </c>
      <c r="P126" s="10">
        <f t="shared" si="9"/>
        <v>0</v>
      </c>
      <c r="Q126" s="12"/>
    </row>
    <row r="127" spans="1:17" ht="16.5" customHeight="1" x14ac:dyDescent="0.3">
      <c r="A127" s="12" t="s">
        <v>416</v>
      </c>
      <c r="B127" s="7" t="s">
        <v>433</v>
      </c>
      <c r="C127" s="25" t="s">
        <v>55</v>
      </c>
      <c r="D127" s="30" t="s">
        <v>434</v>
      </c>
      <c r="E127" s="26"/>
      <c r="F127" s="10">
        <v>0</v>
      </c>
      <c r="G127" s="27">
        <f>SUMIFS(CT!$H$5:$H$143,CT!$D$5:$D$143,DMTK!$B127)</f>
        <v>0</v>
      </c>
      <c r="H127" s="27">
        <f>SUMIFS(CT!$H$5:$H$143,CT!$E$5:$E$143,DMTK!$B127)</f>
        <v>0</v>
      </c>
      <c r="I127" s="10"/>
      <c r="J127" s="28">
        <f t="shared" si="5"/>
        <v>0</v>
      </c>
      <c r="K127" s="10"/>
      <c r="L127" s="10"/>
      <c r="M127" s="29" t="str">
        <f t="shared" si="6"/>
        <v>300.310.313</v>
      </c>
      <c r="N127" s="10">
        <f t="shared" si="7"/>
        <v>0</v>
      </c>
      <c r="O127" s="12" t="str">
        <f t="shared" si="8"/>
        <v>300.310.313</v>
      </c>
      <c r="P127" s="10">
        <f t="shared" si="9"/>
        <v>0</v>
      </c>
      <c r="Q127" s="12"/>
    </row>
    <row r="128" spans="1:17" ht="16.5" customHeight="1" x14ac:dyDescent="0.3">
      <c r="A128" s="12" t="s">
        <v>416</v>
      </c>
      <c r="B128" s="7" t="s">
        <v>435</v>
      </c>
      <c r="C128" s="25" t="s">
        <v>55</v>
      </c>
      <c r="D128" s="12" t="s">
        <v>436</v>
      </c>
      <c r="E128" s="26"/>
      <c r="F128" s="10">
        <v>0</v>
      </c>
      <c r="G128" s="27">
        <f>SUMIFS(CT!$H$5:$H$143,CT!$D$5:$D$143,DMTK!$B128)</f>
        <v>0</v>
      </c>
      <c r="H128" s="27">
        <f>SUMIFS(CT!$H$5:$H$143,CT!$E$5:$E$143,DMTK!$B128)</f>
        <v>0</v>
      </c>
      <c r="I128" s="10"/>
      <c r="J128" s="28">
        <f t="shared" si="5"/>
        <v>0</v>
      </c>
      <c r="K128" s="10"/>
      <c r="L128" s="10"/>
      <c r="M128" s="29" t="str">
        <f t="shared" si="6"/>
        <v>300.310.313</v>
      </c>
      <c r="N128" s="10">
        <f t="shared" si="7"/>
        <v>0</v>
      </c>
      <c r="O128" s="12" t="str">
        <f t="shared" si="8"/>
        <v>300.310.313</v>
      </c>
      <c r="P128" s="10">
        <f t="shared" si="9"/>
        <v>0</v>
      </c>
      <c r="Q128" s="12"/>
    </row>
    <row r="129" spans="1:17" ht="16.5" customHeight="1" x14ac:dyDescent="0.3">
      <c r="A129" s="12" t="s">
        <v>437</v>
      </c>
      <c r="B129" s="7" t="s">
        <v>438</v>
      </c>
      <c r="C129" s="25" t="s">
        <v>55</v>
      </c>
      <c r="D129" s="9" t="s">
        <v>439</v>
      </c>
      <c r="E129" s="26"/>
      <c r="F129" s="10">
        <v>12000000</v>
      </c>
      <c r="G129" s="27">
        <f>SUMIFS(CT!$H$5:$H$143,CT!$D$5:$D$143,DMTK!$B129)</f>
        <v>40000000</v>
      </c>
      <c r="H129" s="27">
        <f>SUMIFS(CT!$H$5:$H$143,CT!$E$5:$E$143,DMTK!$B129)</f>
        <v>40000000</v>
      </c>
      <c r="I129" s="10"/>
      <c r="J129" s="28">
        <f t="shared" si="5"/>
        <v>12000000</v>
      </c>
      <c r="K129" s="10"/>
      <c r="L129" s="10"/>
      <c r="M129" s="29" t="str">
        <f t="shared" si="6"/>
        <v>300.310.314</v>
      </c>
      <c r="N129" s="10">
        <f t="shared" si="7"/>
        <v>12000000</v>
      </c>
      <c r="O129" s="12" t="str">
        <f t="shared" si="8"/>
        <v>300.310.314</v>
      </c>
      <c r="P129" s="10">
        <f t="shared" si="9"/>
        <v>12000000</v>
      </c>
      <c r="Q129" s="12"/>
    </row>
    <row r="130" spans="1:17" ht="16.5" customHeight="1" x14ac:dyDescent="0.3">
      <c r="A130" s="12" t="s">
        <v>437</v>
      </c>
      <c r="B130" s="7" t="s">
        <v>440</v>
      </c>
      <c r="C130" s="25" t="s">
        <v>55</v>
      </c>
      <c r="D130" s="9" t="s">
        <v>441</v>
      </c>
      <c r="E130" s="26"/>
      <c r="F130" s="10">
        <v>8000000</v>
      </c>
      <c r="G130" s="27">
        <f>SUMIFS(CT!$H$5:$H$143,CT!$D$5:$D$143,DMTK!$B130)</f>
        <v>40000000</v>
      </c>
      <c r="H130" s="27">
        <f>SUMIFS(CT!$H$5:$H$143,CT!$E$5:$E$143,DMTK!$B130)</f>
        <v>40000000</v>
      </c>
      <c r="I130" s="10"/>
      <c r="J130" s="28">
        <f t="shared" si="5"/>
        <v>8000000</v>
      </c>
      <c r="K130" s="10"/>
      <c r="L130" s="10"/>
      <c r="M130" s="29" t="str">
        <f t="shared" si="6"/>
        <v>300.310.314</v>
      </c>
      <c r="N130" s="10">
        <f t="shared" si="7"/>
        <v>8000000</v>
      </c>
      <c r="O130" s="12" t="str">
        <f t="shared" si="8"/>
        <v>300.310.314</v>
      </c>
      <c r="P130" s="10">
        <f t="shared" si="9"/>
        <v>8000000</v>
      </c>
      <c r="Q130" s="12"/>
    </row>
    <row r="131" spans="1:17" ht="16.5" customHeight="1" x14ac:dyDescent="0.3">
      <c r="A131" s="12" t="s">
        <v>437</v>
      </c>
      <c r="B131" s="7" t="s">
        <v>442</v>
      </c>
      <c r="C131" s="25" t="s">
        <v>55</v>
      </c>
      <c r="D131" s="9" t="s">
        <v>443</v>
      </c>
      <c r="E131" s="26"/>
      <c r="F131" s="10">
        <v>10000000</v>
      </c>
      <c r="G131" s="27">
        <f>SUMIFS(CT!$H$5:$H$143,CT!$D$5:$D$143,DMTK!$B131)</f>
        <v>40000000</v>
      </c>
      <c r="H131" s="27">
        <f>SUMIFS(CT!$H$5:$H$143,CT!$E$5:$E$143,DMTK!$B131)</f>
        <v>40000000</v>
      </c>
      <c r="I131" s="10"/>
      <c r="J131" s="28">
        <f t="shared" si="5"/>
        <v>10000000</v>
      </c>
      <c r="K131" s="10"/>
      <c r="L131" s="10"/>
      <c r="M131" s="29" t="str">
        <f t="shared" si="6"/>
        <v>300.310.314</v>
      </c>
      <c r="N131" s="10">
        <f t="shared" si="7"/>
        <v>10000000</v>
      </c>
      <c r="O131" s="12" t="str">
        <f t="shared" si="8"/>
        <v>300.310.314</v>
      </c>
      <c r="P131" s="10">
        <f t="shared" si="9"/>
        <v>10000000</v>
      </c>
      <c r="Q131" s="12"/>
    </row>
    <row r="132" spans="1:17" ht="16.5" customHeight="1" x14ac:dyDescent="0.3">
      <c r="A132" s="12" t="s">
        <v>437</v>
      </c>
      <c r="B132" s="7" t="s">
        <v>444</v>
      </c>
      <c r="C132" s="25" t="s">
        <v>55</v>
      </c>
      <c r="D132" s="9" t="s">
        <v>445</v>
      </c>
      <c r="E132" s="26"/>
      <c r="F132" s="10">
        <v>12000000</v>
      </c>
      <c r="G132" s="27">
        <f>SUMIFS(CT!$H$5:$H$143,CT!$D$5:$D$143,DMTK!$B132)</f>
        <v>40000000</v>
      </c>
      <c r="H132" s="27">
        <f>SUMIFS(CT!$H$5:$H$143,CT!$E$5:$E$143,DMTK!$B132)</f>
        <v>40000000</v>
      </c>
      <c r="I132" s="10"/>
      <c r="J132" s="28">
        <f t="shared" si="5"/>
        <v>12000000</v>
      </c>
      <c r="K132" s="10"/>
      <c r="L132" s="10"/>
      <c r="M132" s="29" t="str">
        <f t="shared" si="6"/>
        <v>300.310.314</v>
      </c>
      <c r="N132" s="10">
        <f t="shared" si="7"/>
        <v>12000000</v>
      </c>
      <c r="O132" s="12" t="str">
        <f t="shared" si="8"/>
        <v>300.310.314</v>
      </c>
      <c r="P132" s="10">
        <f t="shared" si="9"/>
        <v>12000000</v>
      </c>
      <c r="Q132" s="12"/>
    </row>
    <row r="133" spans="1:17" ht="16.5" customHeight="1" x14ac:dyDescent="0.3">
      <c r="A133" s="12" t="s">
        <v>437</v>
      </c>
      <c r="B133" s="7" t="s">
        <v>446</v>
      </c>
      <c r="C133" s="25" t="s">
        <v>55</v>
      </c>
      <c r="D133" s="9" t="s">
        <v>447</v>
      </c>
      <c r="E133" s="26"/>
      <c r="F133" s="10">
        <v>10000000</v>
      </c>
      <c r="G133" s="27">
        <f>SUMIFS(CT!$H$5:$H$143,CT!$D$5:$D$143,DMTK!$B133)</f>
        <v>40000000</v>
      </c>
      <c r="H133" s="27">
        <f>SUMIFS(CT!$H$5:$H$143,CT!$E$5:$E$143,DMTK!$B133)</f>
        <v>40000000</v>
      </c>
      <c r="I133" s="10"/>
      <c r="J133" s="28">
        <f t="shared" si="5"/>
        <v>10000000</v>
      </c>
      <c r="K133" s="10"/>
      <c r="L133" s="10"/>
      <c r="M133" s="29" t="str">
        <f t="shared" si="6"/>
        <v>300.310.314</v>
      </c>
      <c r="N133" s="10">
        <f t="shared" si="7"/>
        <v>10000000</v>
      </c>
      <c r="O133" s="12" t="str">
        <f t="shared" si="8"/>
        <v>300.310.314</v>
      </c>
      <c r="P133" s="10">
        <f t="shared" si="9"/>
        <v>10000000</v>
      </c>
      <c r="Q133" s="12"/>
    </row>
    <row r="134" spans="1:17" ht="16.5" customHeight="1" x14ac:dyDescent="0.3">
      <c r="A134" s="12" t="s">
        <v>437</v>
      </c>
      <c r="B134" s="7" t="s">
        <v>448</v>
      </c>
      <c r="C134" s="25" t="s">
        <v>55</v>
      </c>
      <c r="D134" s="9" t="s">
        <v>449</v>
      </c>
      <c r="E134" s="26"/>
      <c r="F134" s="10">
        <v>53000000</v>
      </c>
      <c r="G134" s="27">
        <f>SUMIFS(CT!$H$5:$H$143,CT!$D$5:$D$143,DMTK!$B134)</f>
        <v>35000000</v>
      </c>
      <c r="H134" s="27">
        <f>SUMIFS(CT!$H$5:$H$143,CT!$E$5:$E$143,DMTK!$B134)</f>
        <v>35000000</v>
      </c>
      <c r="I134" s="10"/>
      <c r="J134" s="28">
        <f t="shared" ref="J134:J197" si="10">IF(C134="N",F134+G134-H134,F134+H134-G134)</f>
        <v>53000000</v>
      </c>
      <c r="K134" s="10"/>
      <c r="L134" s="10"/>
      <c r="M134" s="29" t="str">
        <f t="shared" ref="M134:M197" si="11">IF(AND(LEFT(B134,4)="1311",F134&lt;0),"300.310.312",IF(AND(LEFT(B134,3)="138",F134&lt;0),"300.310.319",IF(AND(LEFT(B134,4)="3311",F134&lt;0),"100.130.132",IF(AND(LEFT(B134,3)="333",F134&lt;0),"100.150.153",IF(AND(LEFT(B134,3)="337",F134&lt;0),"100.130.134",A134)))))</f>
        <v>300.310.314</v>
      </c>
      <c r="N134" s="10">
        <f t="shared" ref="N134:N197" si="12">IF(OR(AND(LEFT(B134,4)="1311",F134&lt;0),AND(LEFT(B134,3)="138",F134&lt;0),AND(LEFT(B134,4)="3311",F134&lt;0),AND(LEFT(B134,3)="333",F134&lt;0),AND(LEFT(B134,3)="337",F134&lt;0),LEFT(B134,3)="214",LEFT(B134,3)="229",LEFT(B134,3)="419",AND(LEFT(B134,3)="421",F134&lt;0)),-1,1)*F134</f>
        <v>53000000</v>
      </c>
      <c r="O134" s="12" t="str">
        <f t="shared" ref="O134:O197" si="13">IF(AND(LEFT(B134,4)="1311",J134&lt;0),"300.310.312",IF(AND(LEFT(B134,3)="138",J134&lt;0),"300.310.319",IF(AND(LEFT(B134,4)="3311",J134&lt;0),"100.130.132",IF(AND(LEFT(B134,3)="333",J134&lt;0),"100.150.153",IF(AND(LEFT(B134,3)="337",J134&lt;0),"100.130.134",A134)))))</f>
        <v>300.310.314</v>
      </c>
      <c r="P134" s="10">
        <f t="shared" ref="P134:P197" si="14">IF(OR(AND(LEFT(B134,4)="1311",J134&lt;0),AND(LEFT(B134,3)="138",J134&lt;0),AND(LEFT(B134,4)="3311",J134&lt;0),AND(LEFT(B134,3)="333",J134&lt;0),AND(LEFT(B134,3)="337",J134&lt;0),LEFT(B134,3)="214",LEFT(B134,3)="229",LEFT(B134,3)="419",AND(LEFT(B134,3)="421",F134&lt;0)),-1,1)*J134</f>
        <v>53000000</v>
      </c>
      <c r="Q134" s="12"/>
    </row>
    <row r="135" spans="1:17" ht="16.5" customHeight="1" x14ac:dyDescent="0.3">
      <c r="A135" s="12" t="s">
        <v>437</v>
      </c>
      <c r="B135" s="7" t="s">
        <v>450</v>
      </c>
      <c r="C135" s="25" t="s">
        <v>55</v>
      </c>
      <c r="D135" s="9" t="s">
        <v>451</v>
      </c>
      <c r="E135" s="26"/>
      <c r="F135" s="10">
        <v>3000000</v>
      </c>
      <c r="G135" s="27">
        <f>SUMIFS(CT!$H$5:$H$143,CT!$D$5:$D$143,DMTK!$B135)</f>
        <v>5000000</v>
      </c>
      <c r="H135" s="27">
        <f>SUMIFS(CT!$H$5:$H$143,CT!$E$5:$E$143,DMTK!$B135)</f>
        <v>5000000</v>
      </c>
      <c r="I135" s="10"/>
      <c r="J135" s="28">
        <f t="shared" si="10"/>
        <v>3000000</v>
      </c>
      <c r="K135" s="10"/>
      <c r="L135" s="10"/>
      <c r="M135" s="29" t="str">
        <f t="shared" si="11"/>
        <v>300.310.314</v>
      </c>
      <c r="N135" s="10">
        <f t="shared" si="12"/>
        <v>3000000</v>
      </c>
      <c r="O135" s="12" t="str">
        <f t="shared" si="13"/>
        <v>300.310.314</v>
      </c>
      <c r="P135" s="10">
        <f t="shared" si="14"/>
        <v>3000000</v>
      </c>
      <c r="Q135" s="12"/>
    </row>
    <row r="136" spans="1:17" ht="16.5" customHeight="1" x14ac:dyDescent="0.3">
      <c r="A136" s="12" t="s">
        <v>437</v>
      </c>
      <c r="B136" s="7" t="s">
        <v>452</v>
      </c>
      <c r="C136" s="25" t="s">
        <v>55</v>
      </c>
      <c r="D136" s="9" t="s">
        <v>453</v>
      </c>
      <c r="E136" s="26"/>
      <c r="F136" s="10">
        <v>1500000</v>
      </c>
      <c r="G136" s="27">
        <f>SUMIFS(CT!$H$5:$H$143,CT!$D$5:$D$143,DMTK!$B136)</f>
        <v>7000000</v>
      </c>
      <c r="H136" s="27">
        <f>SUMIFS(CT!$H$5:$H$143,CT!$E$5:$E$143,DMTK!$B136)</f>
        <v>7000000</v>
      </c>
      <c r="I136" s="10"/>
      <c r="J136" s="28">
        <f t="shared" si="10"/>
        <v>1500000</v>
      </c>
      <c r="K136" s="10"/>
      <c r="L136" s="10"/>
      <c r="M136" s="29" t="str">
        <f t="shared" si="11"/>
        <v>300.310.314</v>
      </c>
      <c r="N136" s="10">
        <f t="shared" si="12"/>
        <v>1500000</v>
      </c>
      <c r="O136" s="12" t="str">
        <f t="shared" si="13"/>
        <v>300.310.314</v>
      </c>
      <c r="P136" s="10">
        <f t="shared" si="14"/>
        <v>1500000</v>
      </c>
      <c r="Q136" s="12"/>
    </row>
    <row r="137" spans="1:17" ht="16.5" customHeight="1" x14ac:dyDescent="0.3">
      <c r="A137" s="12" t="s">
        <v>454</v>
      </c>
      <c r="B137" s="7" t="s">
        <v>455</v>
      </c>
      <c r="C137" s="25" t="s">
        <v>55</v>
      </c>
      <c r="D137" s="9" t="s">
        <v>456</v>
      </c>
      <c r="E137" s="26"/>
      <c r="F137" s="10">
        <v>56000000</v>
      </c>
      <c r="G137" s="27">
        <f>SUMIFS(CT!$H$5:$H$143,CT!$D$5:$D$143,DMTK!$B137)</f>
        <v>0</v>
      </c>
      <c r="H137" s="27">
        <f>SUMIFS(CT!$H$5:$H$143,CT!$E$5:$E$143,DMTK!$B137)</f>
        <v>0</v>
      </c>
      <c r="I137" s="10"/>
      <c r="J137" s="28">
        <f t="shared" si="10"/>
        <v>56000000</v>
      </c>
      <c r="K137" s="10"/>
      <c r="L137" s="10"/>
      <c r="M137" s="29" t="str">
        <f t="shared" si="11"/>
        <v>300.310.315</v>
      </c>
      <c r="N137" s="10">
        <f t="shared" si="12"/>
        <v>56000000</v>
      </c>
      <c r="O137" s="12" t="str">
        <f t="shared" si="13"/>
        <v>300.310.315</v>
      </c>
      <c r="P137" s="10">
        <f t="shared" si="14"/>
        <v>56000000</v>
      </c>
      <c r="Q137" s="12"/>
    </row>
    <row r="138" spans="1:17" ht="16.5" customHeight="1" x14ac:dyDescent="0.3">
      <c r="A138" s="12" t="s">
        <v>457</v>
      </c>
      <c r="B138" s="7" t="s">
        <v>458</v>
      </c>
      <c r="C138" s="25" t="s">
        <v>55</v>
      </c>
      <c r="D138" s="9" t="s">
        <v>459</v>
      </c>
      <c r="E138" s="26"/>
      <c r="F138" s="10"/>
      <c r="G138" s="27">
        <f>SUMIFS(CT!$H$5:$H$143,CT!$D$5:$D$143,DMTK!$B138)</f>
        <v>0</v>
      </c>
      <c r="H138" s="27">
        <f>SUMIFS(CT!$H$5:$H$143,CT!$E$5:$E$143,DMTK!$B138)</f>
        <v>0</v>
      </c>
      <c r="I138" s="10"/>
      <c r="J138" s="28">
        <f t="shared" si="10"/>
        <v>0</v>
      </c>
      <c r="K138" s="10"/>
      <c r="L138" s="10"/>
      <c r="M138" s="29" t="str">
        <f t="shared" si="11"/>
        <v>300.330.333</v>
      </c>
      <c r="N138" s="10">
        <f t="shared" si="12"/>
        <v>0</v>
      </c>
      <c r="O138" s="12" t="str">
        <f t="shared" si="13"/>
        <v>300.330.333</v>
      </c>
      <c r="P138" s="10">
        <f t="shared" si="14"/>
        <v>0</v>
      </c>
      <c r="Q138" s="12"/>
    </row>
    <row r="139" spans="1:17" ht="16.5" customHeight="1" x14ac:dyDescent="0.3">
      <c r="A139" s="12" t="s">
        <v>460</v>
      </c>
      <c r="B139" s="7" t="s">
        <v>461</v>
      </c>
      <c r="C139" s="25" t="s">
        <v>55</v>
      </c>
      <c r="D139" s="9" t="s">
        <v>462</v>
      </c>
      <c r="E139" s="26"/>
      <c r="F139" s="10">
        <v>0</v>
      </c>
      <c r="G139" s="27">
        <f>SUMIFS(CT!$H$5:$H$143,CT!$D$5:$D$143,DMTK!$B139)</f>
        <v>0</v>
      </c>
      <c r="H139" s="27">
        <f>SUMIFS(CT!$H$5:$H$143,CT!$E$5:$E$143,DMTK!$B139)</f>
        <v>0</v>
      </c>
      <c r="I139" s="10"/>
      <c r="J139" s="28">
        <f t="shared" si="10"/>
        <v>0</v>
      </c>
      <c r="K139" s="10"/>
      <c r="L139" s="10"/>
      <c r="M139" s="29" t="str">
        <f t="shared" si="11"/>
        <v>300.330.334</v>
      </c>
      <c r="N139" s="10">
        <f t="shared" si="12"/>
        <v>0</v>
      </c>
      <c r="O139" s="12" t="str">
        <f t="shared" si="13"/>
        <v>300.330.334</v>
      </c>
      <c r="P139" s="10">
        <f t="shared" si="14"/>
        <v>0</v>
      </c>
      <c r="Q139" s="12"/>
    </row>
    <row r="140" spans="1:17" ht="16.5" customHeight="1" x14ac:dyDescent="0.3">
      <c r="A140" s="12" t="s">
        <v>463</v>
      </c>
      <c r="B140" s="7" t="s">
        <v>464</v>
      </c>
      <c r="C140" s="25" t="s">
        <v>55</v>
      </c>
      <c r="D140" s="9" t="s">
        <v>465</v>
      </c>
      <c r="E140" s="26"/>
      <c r="F140" s="10">
        <v>0</v>
      </c>
      <c r="G140" s="27">
        <f>SUMIFS(CT!$H$5:$H$143,CT!$D$5:$D$143,DMTK!$B140)</f>
        <v>0</v>
      </c>
      <c r="H140" s="27">
        <f>SUMIFS(CT!$H$5:$H$143,CT!$E$5:$E$143,DMTK!$B140)</f>
        <v>0</v>
      </c>
      <c r="I140" s="10"/>
      <c r="J140" s="28">
        <f t="shared" si="10"/>
        <v>0</v>
      </c>
      <c r="K140" s="10"/>
      <c r="L140" s="10"/>
      <c r="M140" s="29" t="str">
        <f t="shared" si="11"/>
        <v>300.310.316</v>
      </c>
      <c r="N140" s="10">
        <f t="shared" si="12"/>
        <v>0</v>
      </c>
      <c r="O140" s="12" t="str">
        <f t="shared" si="13"/>
        <v>300.310.316</v>
      </c>
      <c r="P140" s="10">
        <f t="shared" si="14"/>
        <v>0</v>
      </c>
      <c r="Q140" s="12"/>
    </row>
    <row r="141" spans="1:17" ht="16.5" customHeight="1" x14ac:dyDescent="0.3">
      <c r="A141" s="12" t="s">
        <v>466</v>
      </c>
      <c r="B141" s="7" t="s">
        <v>467</v>
      </c>
      <c r="C141" s="25" t="s">
        <v>55</v>
      </c>
      <c r="D141" s="9" t="s">
        <v>468</v>
      </c>
      <c r="E141" s="26"/>
      <c r="F141" s="10"/>
      <c r="G141" s="27">
        <f>SUMIFS(CT!$H$5:$H$143,CT!$D$5:$D$143,DMTK!$B141)</f>
        <v>0</v>
      </c>
      <c r="H141" s="27">
        <f>SUMIFS(CT!$H$5:$H$143,CT!$E$5:$E$143,DMTK!$B141)</f>
        <v>0</v>
      </c>
      <c r="I141" s="10"/>
      <c r="J141" s="28">
        <f t="shared" si="10"/>
        <v>0</v>
      </c>
      <c r="K141" s="10"/>
      <c r="L141" s="10"/>
      <c r="M141" s="29" t="str">
        <f t="shared" si="11"/>
        <v>300.330.335</v>
      </c>
      <c r="N141" s="10">
        <f t="shared" si="12"/>
        <v>0</v>
      </c>
      <c r="O141" s="12" t="str">
        <f t="shared" si="13"/>
        <v>300.330.335</v>
      </c>
      <c r="P141" s="10">
        <f t="shared" si="14"/>
        <v>0</v>
      </c>
      <c r="Q141" s="12"/>
    </row>
    <row r="142" spans="1:17" ht="16.5" customHeight="1" x14ac:dyDescent="0.3">
      <c r="A142" s="12" t="s">
        <v>463</v>
      </c>
      <c r="B142" s="7" t="s">
        <v>469</v>
      </c>
      <c r="C142" s="25" t="s">
        <v>55</v>
      </c>
      <c r="D142" s="9" t="s">
        <v>470</v>
      </c>
      <c r="E142" s="26"/>
      <c r="F142" s="10"/>
      <c r="G142" s="27">
        <f>SUMIFS(CT!$H$5:$H$143,CT!$D$5:$D$143,DMTK!$B142)</f>
        <v>0</v>
      </c>
      <c r="H142" s="27">
        <f>SUMIFS(CT!$H$5:$H$143,CT!$E$5:$E$143,DMTK!$B142)</f>
        <v>0</v>
      </c>
      <c r="I142" s="10"/>
      <c r="J142" s="28">
        <f t="shared" si="10"/>
        <v>0</v>
      </c>
      <c r="K142" s="10"/>
      <c r="L142" s="10"/>
      <c r="M142" s="29" t="str">
        <f t="shared" si="11"/>
        <v>300.310.316</v>
      </c>
      <c r="N142" s="10">
        <f t="shared" si="12"/>
        <v>0</v>
      </c>
      <c r="O142" s="12" t="str">
        <f t="shared" si="13"/>
        <v>300.310.316</v>
      </c>
      <c r="P142" s="10">
        <f t="shared" si="14"/>
        <v>0</v>
      </c>
      <c r="Q142" s="12"/>
    </row>
    <row r="143" spans="1:17" ht="16.5" customHeight="1" x14ac:dyDescent="0.3">
      <c r="A143" s="12" t="s">
        <v>466</v>
      </c>
      <c r="B143" s="7" t="s">
        <v>471</v>
      </c>
      <c r="C143" s="25" t="s">
        <v>55</v>
      </c>
      <c r="D143" s="9" t="s">
        <v>472</v>
      </c>
      <c r="E143" s="26"/>
      <c r="F143" s="10"/>
      <c r="G143" s="27">
        <f>SUMIFS(CT!$H$5:$H$143,CT!$D$5:$D$143,DMTK!$B143)</f>
        <v>0</v>
      </c>
      <c r="H143" s="27">
        <f>SUMIFS(CT!$H$5:$H$143,CT!$E$5:$E$143,DMTK!$B143)</f>
        <v>0</v>
      </c>
      <c r="I143" s="10"/>
      <c r="J143" s="28">
        <f t="shared" si="10"/>
        <v>0</v>
      </c>
      <c r="K143" s="10"/>
      <c r="L143" s="10"/>
      <c r="M143" s="29" t="str">
        <f t="shared" si="11"/>
        <v>300.330.335</v>
      </c>
      <c r="N143" s="10">
        <f t="shared" si="12"/>
        <v>0</v>
      </c>
      <c r="O143" s="12" t="str">
        <f t="shared" si="13"/>
        <v>300.330.335</v>
      </c>
      <c r="P143" s="10">
        <f t="shared" si="14"/>
        <v>0</v>
      </c>
      <c r="Q143" s="12"/>
    </row>
    <row r="144" spans="1:17" ht="16.5" customHeight="1" x14ac:dyDescent="0.3">
      <c r="A144" s="12" t="s">
        <v>463</v>
      </c>
      <c r="B144" s="7" t="s">
        <v>473</v>
      </c>
      <c r="C144" s="25" t="s">
        <v>55</v>
      </c>
      <c r="D144" s="9" t="s">
        <v>474</v>
      </c>
      <c r="E144" s="26"/>
      <c r="F144" s="10"/>
      <c r="G144" s="27">
        <f>SUMIFS(CT!$H$5:$H$143,CT!$D$5:$D$143,DMTK!$B144)</f>
        <v>0</v>
      </c>
      <c r="H144" s="27">
        <f>SUMIFS(CT!$H$5:$H$143,CT!$E$5:$E$143,DMTK!$B144)</f>
        <v>0</v>
      </c>
      <c r="I144" s="10"/>
      <c r="J144" s="28">
        <f t="shared" si="10"/>
        <v>0</v>
      </c>
      <c r="K144" s="10"/>
      <c r="L144" s="10"/>
      <c r="M144" s="29" t="str">
        <f t="shared" si="11"/>
        <v>300.310.316</v>
      </c>
      <c r="N144" s="10">
        <f t="shared" si="12"/>
        <v>0</v>
      </c>
      <c r="O144" s="12" t="str">
        <f t="shared" si="13"/>
        <v>300.310.316</v>
      </c>
      <c r="P144" s="10">
        <f t="shared" si="14"/>
        <v>0</v>
      </c>
      <c r="Q144" s="12"/>
    </row>
    <row r="145" spans="1:17" ht="16.5" customHeight="1" x14ac:dyDescent="0.3">
      <c r="A145" s="12" t="s">
        <v>466</v>
      </c>
      <c r="B145" s="7" t="s">
        <v>475</v>
      </c>
      <c r="C145" s="25" t="s">
        <v>55</v>
      </c>
      <c r="D145" s="9" t="s">
        <v>476</v>
      </c>
      <c r="E145" s="26"/>
      <c r="F145" s="10"/>
      <c r="G145" s="27">
        <f>SUMIFS(CT!$H$5:$H$143,CT!$D$5:$D$143,DMTK!$B145)</f>
        <v>0</v>
      </c>
      <c r="H145" s="27">
        <f>SUMIFS(CT!$H$5:$H$143,CT!$E$5:$E$143,DMTK!$B145)</f>
        <v>0</v>
      </c>
      <c r="I145" s="10"/>
      <c r="J145" s="28">
        <f t="shared" si="10"/>
        <v>0</v>
      </c>
      <c r="K145" s="10"/>
      <c r="L145" s="10"/>
      <c r="M145" s="29" t="str">
        <f t="shared" si="11"/>
        <v>300.330.335</v>
      </c>
      <c r="N145" s="10">
        <f t="shared" si="12"/>
        <v>0</v>
      </c>
      <c r="O145" s="12" t="str">
        <f t="shared" si="13"/>
        <v>300.330.335</v>
      </c>
      <c r="P145" s="10">
        <f t="shared" si="14"/>
        <v>0</v>
      </c>
      <c r="Q145" s="12"/>
    </row>
    <row r="146" spans="1:17" ht="16.5" customHeight="1" x14ac:dyDescent="0.3">
      <c r="A146" s="12" t="s">
        <v>477</v>
      </c>
      <c r="B146" s="7" t="s">
        <v>85</v>
      </c>
      <c r="C146" s="25" t="s">
        <v>55</v>
      </c>
      <c r="D146" s="12" t="s">
        <v>86</v>
      </c>
      <c r="E146" s="26"/>
      <c r="F146" s="10">
        <v>0</v>
      </c>
      <c r="G146" s="27">
        <f>SUMIFS(CT!$H$5:$H$143,CT!$D$5:$D$143,DMTK!$B146)</f>
        <v>0</v>
      </c>
      <c r="H146" s="27">
        <f>SUMIFS(CT!$H$5:$H$143,CT!$E$5:$E$143,DMTK!$B146)</f>
        <v>0</v>
      </c>
      <c r="I146" s="10"/>
      <c r="J146" s="28">
        <f t="shared" si="10"/>
        <v>0</v>
      </c>
      <c r="K146" s="10"/>
      <c r="L146" s="10"/>
      <c r="M146" s="29" t="str">
        <f t="shared" si="11"/>
        <v>300.310.317</v>
      </c>
      <c r="N146" s="10">
        <f t="shared" si="12"/>
        <v>0</v>
      </c>
      <c r="O146" s="12" t="str">
        <f t="shared" si="13"/>
        <v>300.310.317</v>
      </c>
      <c r="P146" s="10">
        <f t="shared" si="14"/>
        <v>0</v>
      </c>
      <c r="Q146" s="12"/>
    </row>
    <row r="147" spans="1:17" ht="16.5" customHeight="1" x14ac:dyDescent="0.3">
      <c r="A147" s="12" t="s">
        <v>478</v>
      </c>
      <c r="B147" s="7" t="s">
        <v>479</v>
      </c>
      <c r="C147" s="25" t="s">
        <v>55</v>
      </c>
      <c r="D147" s="12" t="s">
        <v>480</v>
      </c>
      <c r="E147" s="26"/>
      <c r="F147" s="10">
        <v>0</v>
      </c>
      <c r="G147" s="27">
        <f>SUMIFS(CT!$H$5:$H$143,CT!$D$5:$D$143,DMTK!$B147)</f>
        <v>0</v>
      </c>
      <c r="H147" s="27">
        <f>SUMIFS(CT!$H$5:$H$143,CT!$E$5:$E$143,DMTK!$B147)</f>
        <v>0</v>
      </c>
      <c r="I147" s="10"/>
      <c r="J147" s="28">
        <f t="shared" si="10"/>
        <v>0</v>
      </c>
      <c r="K147" s="10"/>
      <c r="L147" s="10"/>
      <c r="M147" s="29" t="str">
        <f t="shared" si="11"/>
        <v>300.310.319</v>
      </c>
      <c r="N147" s="10">
        <f t="shared" si="12"/>
        <v>0</v>
      </c>
      <c r="O147" s="12" t="str">
        <f t="shared" si="13"/>
        <v>300.310.319</v>
      </c>
      <c r="P147" s="10">
        <f t="shared" si="14"/>
        <v>0</v>
      </c>
      <c r="Q147" s="12"/>
    </row>
    <row r="148" spans="1:17" ht="16.5" customHeight="1" x14ac:dyDescent="0.3">
      <c r="A148" s="12" t="s">
        <v>478</v>
      </c>
      <c r="B148" s="7" t="s">
        <v>481</v>
      </c>
      <c r="C148" s="25" t="s">
        <v>55</v>
      </c>
      <c r="D148" s="12" t="s">
        <v>482</v>
      </c>
      <c r="E148" s="26"/>
      <c r="F148" s="10">
        <v>0</v>
      </c>
      <c r="G148" s="27">
        <f>SUMIFS(CT!$H$5:$H$143,CT!$D$5:$D$143,DMTK!$B148)</f>
        <v>0</v>
      </c>
      <c r="H148" s="27">
        <f>SUMIFS(CT!$H$5:$H$143,CT!$E$5:$E$143,DMTK!$B148)</f>
        <v>4940000</v>
      </c>
      <c r="I148" s="10"/>
      <c r="J148" s="28">
        <f t="shared" si="10"/>
        <v>4940000</v>
      </c>
      <c r="K148" s="10"/>
      <c r="L148" s="10"/>
      <c r="M148" s="29" t="str">
        <f t="shared" si="11"/>
        <v>300.310.319</v>
      </c>
      <c r="N148" s="10">
        <f t="shared" si="12"/>
        <v>0</v>
      </c>
      <c r="O148" s="12" t="str">
        <f t="shared" si="13"/>
        <v>300.310.319</v>
      </c>
      <c r="P148" s="10">
        <f t="shared" si="14"/>
        <v>4940000</v>
      </c>
      <c r="Q148" s="12"/>
    </row>
    <row r="149" spans="1:17" ht="16.5" customHeight="1" x14ac:dyDescent="0.3">
      <c r="A149" s="12" t="s">
        <v>478</v>
      </c>
      <c r="B149" s="7" t="s">
        <v>483</v>
      </c>
      <c r="C149" s="25" t="s">
        <v>55</v>
      </c>
      <c r="D149" s="12" t="s">
        <v>484</v>
      </c>
      <c r="E149" s="26"/>
      <c r="F149" s="10">
        <v>20000000</v>
      </c>
      <c r="G149" s="27">
        <f>SUMIFS(CT!$H$5:$H$143,CT!$D$5:$D$143,DMTK!$B149)</f>
        <v>0</v>
      </c>
      <c r="H149" s="27">
        <f>SUMIFS(CT!$H$5:$H$143,CT!$E$5:$E$143,DMTK!$B149)</f>
        <v>39520000</v>
      </c>
      <c r="I149" s="10"/>
      <c r="J149" s="28">
        <f t="shared" si="10"/>
        <v>59520000</v>
      </c>
      <c r="K149" s="10"/>
      <c r="L149" s="10"/>
      <c r="M149" s="29" t="str">
        <f t="shared" si="11"/>
        <v>300.310.319</v>
      </c>
      <c r="N149" s="10">
        <f t="shared" si="12"/>
        <v>20000000</v>
      </c>
      <c r="O149" s="12" t="str">
        <f t="shared" si="13"/>
        <v>300.310.319</v>
      </c>
      <c r="P149" s="10">
        <f t="shared" si="14"/>
        <v>59520000</v>
      </c>
      <c r="Q149" s="12"/>
    </row>
    <row r="150" spans="1:17" ht="16.5" customHeight="1" x14ac:dyDescent="0.3">
      <c r="A150" s="12" t="s">
        <v>478</v>
      </c>
      <c r="B150" s="7" t="s">
        <v>485</v>
      </c>
      <c r="C150" s="25" t="s">
        <v>55</v>
      </c>
      <c r="D150" s="9" t="s">
        <v>486</v>
      </c>
      <c r="E150" s="26"/>
      <c r="F150" s="10">
        <v>0</v>
      </c>
      <c r="G150" s="27">
        <f>SUMIFS(CT!$H$5:$H$143,CT!$D$5:$D$143,DMTK!$B150)</f>
        <v>0</v>
      </c>
      <c r="H150" s="27">
        <f>SUMIFS(CT!$H$5:$H$143,CT!$E$5:$E$143,DMTK!$B150)</f>
        <v>7410000</v>
      </c>
      <c r="I150" s="10"/>
      <c r="J150" s="28">
        <f t="shared" si="10"/>
        <v>7410000</v>
      </c>
      <c r="K150" s="10"/>
      <c r="L150" s="10"/>
      <c r="M150" s="29" t="str">
        <f t="shared" si="11"/>
        <v>300.310.319</v>
      </c>
      <c r="N150" s="10">
        <f t="shared" si="12"/>
        <v>0</v>
      </c>
      <c r="O150" s="12" t="str">
        <f t="shared" si="13"/>
        <v>300.310.319</v>
      </c>
      <c r="P150" s="10">
        <f t="shared" si="14"/>
        <v>7410000</v>
      </c>
      <c r="Q150" s="12"/>
    </row>
    <row r="151" spans="1:17" ht="16.5" customHeight="1" x14ac:dyDescent="0.3">
      <c r="A151" s="12" t="s">
        <v>478</v>
      </c>
      <c r="B151" s="7" t="s">
        <v>487</v>
      </c>
      <c r="C151" s="25" t="s">
        <v>55</v>
      </c>
      <c r="D151" s="9" t="s">
        <v>488</v>
      </c>
      <c r="E151" s="26"/>
      <c r="F151" s="10">
        <v>0</v>
      </c>
      <c r="G151" s="27">
        <f>SUMIFS(CT!$H$5:$H$143,CT!$D$5:$D$143,DMTK!$B151)</f>
        <v>0</v>
      </c>
      <c r="H151" s="27">
        <f>SUMIFS(CT!$H$5:$H$143,CT!$E$5:$E$143,DMTK!$B151)</f>
        <v>0</v>
      </c>
      <c r="I151" s="10"/>
      <c r="J151" s="28">
        <f t="shared" si="10"/>
        <v>0</v>
      </c>
      <c r="K151" s="10"/>
      <c r="L151" s="10"/>
      <c r="M151" s="29" t="str">
        <f t="shared" si="11"/>
        <v>300.310.319</v>
      </c>
      <c r="N151" s="10">
        <f t="shared" si="12"/>
        <v>0</v>
      </c>
      <c r="O151" s="12" t="str">
        <f t="shared" si="13"/>
        <v>300.310.319</v>
      </c>
      <c r="P151" s="10">
        <f t="shared" si="14"/>
        <v>0</v>
      </c>
      <c r="Q151" s="12"/>
    </row>
    <row r="152" spans="1:17" ht="16.5" customHeight="1" x14ac:dyDescent="0.3">
      <c r="A152" s="12" t="s">
        <v>478</v>
      </c>
      <c r="B152" s="7" t="s">
        <v>489</v>
      </c>
      <c r="C152" s="25" t="s">
        <v>55</v>
      </c>
      <c r="D152" s="12" t="s">
        <v>490</v>
      </c>
      <c r="E152" s="26"/>
      <c r="F152" s="10">
        <v>0</v>
      </c>
      <c r="G152" s="27">
        <f>SUMIFS(CT!$H$5:$H$143,CT!$D$5:$D$143,DMTK!$B152)</f>
        <v>0</v>
      </c>
      <c r="H152" s="27">
        <f>SUMIFS(CT!$H$5:$H$143,CT!$E$5:$E$143,DMTK!$B152)</f>
        <v>0</v>
      </c>
      <c r="I152" s="10"/>
      <c r="J152" s="28">
        <f t="shared" si="10"/>
        <v>0</v>
      </c>
      <c r="K152" s="10"/>
      <c r="L152" s="10"/>
      <c r="M152" s="29" t="str">
        <f t="shared" si="11"/>
        <v>300.310.319</v>
      </c>
      <c r="N152" s="10">
        <f t="shared" si="12"/>
        <v>0</v>
      </c>
      <c r="O152" s="12" t="str">
        <f t="shared" si="13"/>
        <v>300.310.319</v>
      </c>
      <c r="P152" s="10">
        <f t="shared" si="14"/>
        <v>0</v>
      </c>
      <c r="Q152" s="12"/>
    </row>
    <row r="153" spans="1:17" ht="16.5" customHeight="1" x14ac:dyDescent="0.3">
      <c r="A153" s="12" t="s">
        <v>491</v>
      </c>
      <c r="B153" s="7" t="s">
        <v>492</v>
      </c>
      <c r="C153" s="25" t="s">
        <v>55</v>
      </c>
      <c r="D153" s="12" t="s">
        <v>493</v>
      </c>
      <c r="E153" s="26"/>
      <c r="F153" s="10">
        <v>0</v>
      </c>
      <c r="G153" s="27">
        <f>SUMIFS(CT!$H$5:$H$143,CT!$D$5:$D$143,DMTK!$B153)</f>
        <v>0</v>
      </c>
      <c r="H153" s="27">
        <f>SUMIFS(CT!$H$5:$H$143,CT!$E$5:$E$143,DMTK!$B153)</f>
        <v>0</v>
      </c>
      <c r="I153" s="10"/>
      <c r="J153" s="28">
        <f t="shared" si="10"/>
        <v>0</v>
      </c>
      <c r="K153" s="10"/>
      <c r="L153" s="10"/>
      <c r="M153" s="29" t="str">
        <f t="shared" si="11"/>
        <v>300.310.318</v>
      </c>
      <c r="N153" s="10">
        <f t="shared" si="12"/>
        <v>0</v>
      </c>
      <c r="O153" s="12" t="str">
        <f t="shared" si="13"/>
        <v>300.310.318</v>
      </c>
      <c r="P153" s="10">
        <f t="shared" si="14"/>
        <v>0</v>
      </c>
      <c r="Q153" s="12"/>
    </row>
    <row r="154" spans="1:17" ht="16.5" customHeight="1" x14ac:dyDescent="0.3">
      <c r="A154" s="12" t="s">
        <v>494</v>
      </c>
      <c r="B154" s="7" t="s">
        <v>495</v>
      </c>
      <c r="C154" s="25" t="s">
        <v>55</v>
      </c>
      <c r="D154" s="12" t="s">
        <v>496</v>
      </c>
      <c r="E154" s="26"/>
      <c r="F154" s="10"/>
      <c r="G154" s="27">
        <f>SUMIFS(CT!$H$5:$H$143,CT!$D$5:$D$143,DMTK!$B154)</f>
        <v>0</v>
      </c>
      <c r="H154" s="27">
        <f>SUMIFS(CT!$H$5:$H$143,CT!$E$5:$E$143,DMTK!$B154)</f>
        <v>0</v>
      </c>
      <c r="I154" s="10"/>
      <c r="J154" s="28">
        <f t="shared" si="10"/>
        <v>0</v>
      </c>
      <c r="K154" s="10"/>
      <c r="L154" s="10"/>
      <c r="M154" s="29" t="str">
        <f t="shared" si="11"/>
        <v>300.330.336</v>
      </c>
      <c r="N154" s="10">
        <f t="shared" si="12"/>
        <v>0</v>
      </c>
      <c r="O154" s="12" t="str">
        <f t="shared" si="13"/>
        <v>300.330.336</v>
      </c>
      <c r="P154" s="10">
        <f t="shared" si="14"/>
        <v>0</v>
      </c>
      <c r="Q154" s="12"/>
    </row>
    <row r="155" spans="1:17" ht="16.5" customHeight="1" x14ac:dyDescent="0.3">
      <c r="A155" s="12" t="s">
        <v>478</v>
      </c>
      <c r="B155" s="7" t="s">
        <v>497</v>
      </c>
      <c r="C155" s="25" t="s">
        <v>55</v>
      </c>
      <c r="D155" s="9" t="s">
        <v>88</v>
      </c>
      <c r="E155" s="26"/>
      <c r="F155" s="10">
        <v>38800000</v>
      </c>
      <c r="G155" s="27">
        <f>SUMIFS(CT!$H$5:$H$143,CT!$D$5:$D$143,DMTK!$B155)</f>
        <v>0</v>
      </c>
      <c r="H155" s="27">
        <f>SUMIFS(CT!$H$5:$H$143,CT!$E$5:$E$143,DMTK!$B155)</f>
        <v>2470000</v>
      </c>
      <c r="I155" s="10"/>
      <c r="J155" s="28">
        <f t="shared" si="10"/>
        <v>41270000</v>
      </c>
      <c r="K155" s="10"/>
      <c r="L155" s="10"/>
      <c r="M155" s="29" t="str">
        <f t="shared" si="11"/>
        <v>300.310.319</v>
      </c>
      <c r="N155" s="10">
        <f t="shared" si="12"/>
        <v>38800000</v>
      </c>
      <c r="O155" s="12" t="str">
        <f t="shared" si="13"/>
        <v>300.310.319</v>
      </c>
      <c r="P155" s="10">
        <f t="shared" si="14"/>
        <v>41270000</v>
      </c>
      <c r="Q155" s="12"/>
    </row>
    <row r="156" spans="1:17" ht="16.5" customHeight="1" x14ac:dyDescent="0.3">
      <c r="A156" s="12" t="s">
        <v>498</v>
      </c>
      <c r="B156" s="7" t="s">
        <v>499</v>
      </c>
      <c r="C156" s="25" t="s">
        <v>55</v>
      </c>
      <c r="D156" s="30" t="s">
        <v>500</v>
      </c>
      <c r="E156" s="26"/>
      <c r="F156" s="10">
        <v>385000000</v>
      </c>
      <c r="G156" s="27">
        <f>SUMIFS(CT!$H$5:$H$143,CT!$D$5:$D$143,DMTK!$B156)</f>
        <v>0</v>
      </c>
      <c r="H156" s="27">
        <f>SUMIFS(CT!$H$5:$H$143,CT!$E$5:$E$143,DMTK!$B156)</f>
        <v>0</v>
      </c>
      <c r="I156" s="10"/>
      <c r="J156" s="28">
        <f t="shared" si="10"/>
        <v>385000000</v>
      </c>
      <c r="K156" s="10"/>
      <c r="L156" s="10"/>
      <c r="M156" s="29" t="str">
        <f t="shared" si="11"/>
        <v>300.310.320</v>
      </c>
      <c r="N156" s="10">
        <f t="shared" si="12"/>
        <v>385000000</v>
      </c>
      <c r="O156" s="12" t="str">
        <f t="shared" si="13"/>
        <v>300.310.320</v>
      </c>
      <c r="P156" s="10">
        <f t="shared" si="14"/>
        <v>385000000</v>
      </c>
      <c r="Q156" s="12"/>
    </row>
    <row r="157" spans="1:17" ht="16.5" customHeight="1" x14ac:dyDescent="0.3">
      <c r="A157" s="12" t="s">
        <v>498</v>
      </c>
      <c r="B157" s="7" t="s">
        <v>501</v>
      </c>
      <c r="C157" s="25" t="s">
        <v>55</v>
      </c>
      <c r="D157" s="30" t="s">
        <v>502</v>
      </c>
      <c r="E157" s="26"/>
      <c r="F157" s="10"/>
      <c r="G157" s="27">
        <f>SUMIFS(CT!$H$5:$H$143,CT!$D$5:$D$143,DMTK!$B157)</f>
        <v>0</v>
      </c>
      <c r="H157" s="27">
        <f>SUMIFS(CT!$H$5:$H$143,CT!$E$5:$E$143,DMTK!$B157)</f>
        <v>0</v>
      </c>
      <c r="I157" s="10"/>
      <c r="J157" s="28">
        <f t="shared" si="10"/>
        <v>0</v>
      </c>
      <c r="K157" s="10"/>
      <c r="L157" s="10"/>
      <c r="M157" s="29" t="str">
        <f t="shared" si="11"/>
        <v>300.310.320</v>
      </c>
      <c r="N157" s="10">
        <f t="shared" si="12"/>
        <v>0</v>
      </c>
      <c r="O157" s="12" t="str">
        <f t="shared" si="13"/>
        <v>300.310.320</v>
      </c>
      <c r="P157" s="10">
        <f t="shared" si="14"/>
        <v>0</v>
      </c>
      <c r="Q157" s="12"/>
    </row>
    <row r="158" spans="1:17" ht="16.5" customHeight="1" x14ac:dyDescent="0.3">
      <c r="A158" s="12" t="s">
        <v>498</v>
      </c>
      <c r="B158" s="7" t="s">
        <v>503</v>
      </c>
      <c r="C158" s="25" t="s">
        <v>55</v>
      </c>
      <c r="D158" s="9" t="s">
        <v>504</v>
      </c>
      <c r="E158" s="26"/>
      <c r="F158" s="10">
        <v>0</v>
      </c>
      <c r="G158" s="27">
        <f>SUMIFS(CT!$H$5:$H$143,CT!$D$5:$D$143,DMTK!$B158)</f>
        <v>0</v>
      </c>
      <c r="H158" s="27">
        <f>SUMIFS(CT!$H$5:$H$143,CT!$E$5:$E$143,DMTK!$B158)</f>
        <v>0</v>
      </c>
      <c r="I158" s="10"/>
      <c r="J158" s="28">
        <f t="shared" si="10"/>
        <v>0</v>
      </c>
      <c r="K158" s="10"/>
      <c r="L158" s="10"/>
      <c r="M158" s="29" t="str">
        <f t="shared" si="11"/>
        <v>300.310.320</v>
      </c>
      <c r="N158" s="10">
        <f t="shared" si="12"/>
        <v>0</v>
      </c>
      <c r="O158" s="12" t="str">
        <f t="shared" si="13"/>
        <v>300.310.320</v>
      </c>
      <c r="P158" s="10">
        <f t="shared" si="14"/>
        <v>0</v>
      </c>
      <c r="Q158" s="12"/>
    </row>
    <row r="159" spans="1:17" ht="16.5" customHeight="1" x14ac:dyDescent="0.3">
      <c r="A159" s="12" t="s">
        <v>460</v>
      </c>
      <c r="B159" s="7" t="s">
        <v>505</v>
      </c>
      <c r="C159" s="25" t="s">
        <v>55</v>
      </c>
      <c r="D159" s="9" t="s">
        <v>506</v>
      </c>
      <c r="E159" s="26"/>
      <c r="F159" s="10">
        <v>0</v>
      </c>
      <c r="G159" s="27">
        <f>SUMIFS(CT!$H$5:$H$143,CT!$D$5:$D$143,DMTK!$B159)</f>
        <v>0</v>
      </c>
      <c r="H159" s="27">
        <f>SUMIFS(CT!$H$5:$H$143,CT!$E$5:$E$143,DMTK!$B159)</f>
        <v>0</v>
      </c>
      <c r="I159" s="10"/>
      <c r="J159" s="28">
        <f t="shared" si="10"/>
        <v>0</v>
      </c>
      <c r="K159" s="10"/>
      <c r="L159" s="10"/>
      <c r="M159" s="29" t="str">
        <f t="shared" si="11"/>
        <v>300.330.334</v>
      </c>
      <c r="N159" s="10">
        <f t="shared" si="12"/>
        <v>0</v>
      </c>
      <c r="O159" s="12" t="str">
        <f t="shared" si="13"/>
        <v>300.330.334</v>
      </c>
      <c r="P159" s="10">
        <f t="shared" si="14"/>
        <v>0</v>
      </c>
      <c r="Q159" s="12"/>
    </row>
    <row r="160" spans="1:17" ht="16.5" customHeight="1" x14ac:dyDescent="0.3">
      <c r="A160" s="12" t="s">
        <v>460</v>
      </c>
      <c r="B160" s="7" t="s">
        <v>507</v>
      </c>
      <c r="C160" s="25" t="s">
        <v>55</v>
      </c>
      <c r="D160" s="9" t="s">
        <v>508</v>
      </c>
      <c r="E160" s="26"/>
      <c r="F160" s="10">
        <v>0</v>
      </c>
      <c r="G160" s="27">
        <f>SUMIFS(CT!$H$5:$H$143,CT!$D$5:$D$143,DMTK!$B160)</f>
        <v>0</v>
      </c>
      <c r="H160" s="27">
        <f>SUMIFS(CT!$H$5:$H$143,CT!$E$5:$E$143,DMTK!$B160)</f>
        <v>0</v>
      </c>
      <c r="I160" s="10"/>
      <c r="J160" s="28">
        <f t="shared" si="10"/>
        <v>0</v>
      </c>
      <c r="K160" s="10"/>
      <c r="L160" s="10"/>
      <c r="M160" s="29" t="str">
        <f t="shared" si="11"/>
        <v>300.330.334</v>
      </c>
      <c r="N160" s="10">
        <f t="shared" si="12"/>
        <v>0</v>
      </c>
      <c r="O160" s="12" t="str">
        <f t="shared" si="13"/>
        <v>300.330.334</v>
      </c>
      <c r="P160" s="10">
        <f t="shared" si="14"/>
        <v>0</v>
      </c>
      <c r="Q160" s="12"/>
    </row>
    <row r="161" spans="1:17" ht="16.5" customHeight="1" x14ac:dyDescent="0.3">
      <c r="A161" s="12" t="s">
        <v>509</v>
      </c>
      <c r="B161" s="7" t="s">
        <v>510</v>
      </c>
      <c r="C161" s="25" t="s">
        <v>55</v>
      </c>
      <c r="D161" s="9" t="s">
        <v>511</v>
      </c>
      <c r="E161" s="26"/>
      <c r="F161" s="10"/>
      <c r="G161" s="27">
        <f>SUMIFS(CT!$H$5:$H$143,CT!$D$5:$D$143,DMTK!$B161)</f>
        <v>0</v>
      </c>
      <c r="H161" s="27">
        <f>SUMIFS(CT!$H$5:$H$143,CT!$E$5:$E$143,DMTK!$B161)</f>
        <v>0</v>
      </c>
      <c r="I161" s="10"/>
      <c r="J161" s="28">
        <f t="shared" si="10"/>
        <v>0</v>
      </c>
      <c r="K161" s="10"/>
      <c r="L161" s="10"/>
      <c r="M161" s="29" t="str">
        <f t="shared" si="11"/>
        <v>300.330.339</v>
      </c>
      <c r="N161" s="10">
        <f t="shared" si="12"/>
        <v>0</v>
      </c>
      <c r="O161" s="12" t="str">
        <f t="shared" si="13"/>
        <v>300.330.339</v>
      </c>
      <c r="P161" s="10">
        <f t="shared" si="14"/>
        <v>0</v>
      </c>
      <c r="Q161" s="12"/>
    </row>
    <row r="162" spans="1:17" ht="16.5" customHeight="1" x14ac:dyDescent="0.3">
      <c r="A162" s="12" t="s">
        <v>512</v>
      </c>
      <c r="B162" s="7" t="s">
        <v>93</v>
      </c>
      <c r="C162" s="25" t="s">
        <v>55</v>
      </c>
      <c r="D162" s="9" t="s">
        <v>513</v>
      </c>
      <c r="E162" s="26"/>
      <c r="F162" s="10">
        <v>0</v>
      </c>
      <c r="G162" s="27">
        <f>SUMIFS(CT!$H$5:$H$143,CT!$D$5:$D$143,DMTK!$B162)</f>
        <v>0</v>
      </c>
      <c r="H162" s="27">
        <f>SUMIFS(CT!$H$5:$H$143,CT!$E$5:$E$143,DMTK!$B162)</f>
        <v>0</v>
      </c>
      <c r="I162" s="10"/>
      <c r="J162" s="28">
        <f t="shared" si="10"/>
        <v>0</v>
      </c>
      <c r="K162" s="10"/>
      <c r="L162" s="10"/>
      <c r="M162" s="29" t="str">
        <f t="shared" si="11"/>
        <v>300.330.337</v>
      </c>
      <c r="N162" s="10">
        <f t="shared" si="12"/>
        <v>0</v>
      </c>
      <c r="O162" s="12" t="str">
        <f t="shared" si="13"/>
        <v>300.330.337</v>
      </c>
      <c r="P162" s="10">
        <f t="shared" si="14"/>
        <v>0</v>
      </c>
      <c r="Q162" s="12"/>
    </row>
    <row r="163" spans="1:17" ht="16.5" customHeight="1" x14ac:dyDescent="0.3">
      <c r="A163" s="12" t="s">
        <v>514</v>
      </c>
      <c r="B163" s="7" t="s">
        <v>95</v>
      </c>
      <c r="C163" s="25" t="s">
        <v>55</v>
      </c>
      <c r="D163" s="9" t="s">
        <v>96</v>
      </c>
      <c r="E163" s="26"/>
      <c r="F163" s="10">
        <v>0</v>
      </c>
      <c r="G163" s="27">
        <f>SUMIFS(CT!$H$5:$H$143,CT!$D$5:$D$143,DMTK!$B163)</f>
        <v>0</v>
      </c>
      <c r="H163" s="27">
        <f>SUMIFS(CT!$H$5:$H$143,CT!$E$5:$E$143,DMTK!$B163)</f>
        <v>0</v>
      </c>
      <c r="I163" s="10"/>
      <c r="J163" s="28">
        <f t="shared" si="10"/>
        <v>0</v>
      </c>
      <c r="K163" s="10"/>
      <c r="L163" s="10"/>
      <c r="M163" s="29" t="str">
        <f t="shared" si="11"/>
        <v>300.330.341</v>
      </c>
      <c r="N163" s="10">
        <f t="shared" si="12"/>
        <v>0</v>
      </c>
      <c r="O163" s="12" t="str">
        <f t="shared" si="13"/>
        <v>300.330.341</v>
      </c>
      <c r="P163" s="10">
        <f t="shared" si="14"/>
        <v>0</v>
      </c>
      <c r="Q163" s="12"/>
    </row>
    <row r="164" spans="1:17" ht="16.5" customHeight="1" x14ac:dyDescent="0.3">
      <c r="A164" s="12" t="s">
        <v>515</v>
      </c>
      <c r="B164" s="7" t="s">
        <v>516</v>
      </c>
      <c r="C164" s="25" t="s">
        <v>55</v>
      </c>
      <c r="D164" s="9" t="s">
        <v>517</v>
      </c>
      <c r="E164" s="26"/>
      <c r="F164" s="10">
        <v>22000000</v>
      </c>
      <c r="G164" s="27">
        <f>SUMIFS(CT!$H$5:$H$143,CT!$D$5:$D$143,DMTK!$B164)</f>
        <v>0</v>
      </c>
      <c r="H164" s="27">
        <f>SUMIFS(CT!$H$5:$H$143,CT!$E$5:$E$143,DMTK!$B164)</f>
        <v>0</v>
      </c>
      <c r="I164" s="10"/>
      <c r="J164" s="28">
        <f t="shared" si="10"/>
        <v>22000000</v>
      </c>
      <c r="K164" s="10"/>
      <c r="L164" s="10"/>
      <c r="M164" s="29" t="str">
        <f t="shared" si="11"/>
        <v>300.310.321</v>
      </c>
      <c r="N164" s="10">
        <f t="shared" si="12"/>
        <v>22000000</v>
      </c>
      <c r="O164" s="12" t="str">
        <f t="shared" si="13"/>
        <v>300.310.321</v>
      </c>
      <c r="P164" s="10">
        <f t="shared" si="14"/>
        <v>22000000</v>
      </c>
      <c r="Q164" s="12"/>
    </row>
    <row r="165" spans="1:17" ht="16.5" customHeight="1" x14ac:dyDescent="0.3">
      <c r="A165" s="12" t="s">
        <v>515</v>
      </c>
      <c r="B165" s="7" t="s">
        <v>518</v>
      </c>
      <c r="C165" s="25" t="s">
        <v>55</v>
      </c>
      <c r="D165" s="9" t="s">
        <v>519</v>
      </c>
      <c r="E165" s="26"/>
      <c r="F165" s="10"/>
      <c r="G165" s="27">
        <f>SUMIFS(CT!$H$5:$H$143,CT!$D$5:$D$143,DMTK!$B165)</f>
        <v>0</v>
      </c>
      <c r="H165" s="27">
        <f>SUMIFS(CT!$H$5:$H$143,CT!$E$5:$E$143,DMTK!$B165)</f>
        <v>0</v>
      </c>
      <c r="I165" s="10"/>
      <c r="J165" s="28">
        <f t="shared" si="10"/>
        <v>0</v>
      </c>
      <c r="K165" s="10"/>
      <c r="L165" s="10"/>
      <c r="M165" s="29" t="str">
        <f t="shared" si="11"/>
        <v>300.310.321</v>
      </c>
      <c r="N165" s="10">
        <f t="shared" si="12"/>
        <v>0</v>
      </c>
      <c r="O165" s="12" t="str">
        <f t="shared" si="13"/>
        <v>300.310.321</v>
      </c>
      <c r="P165" s="10">
        <f t="shared" si="14"/>
        <v>0</v>
      </c>
      <c r="Q165" s="12"/>
    </row>
    <row r="166" spans="1:17" ht="16.5" customHeight="1" x14ac:dyDescent="0.3">
      <c r="A166" s="12" t="s">
        <v>515</v>
      </c>
      <c r="B166" s="7" t="s">
        <v>520</v>
      </c>
      <c r="C166" s="25" t="s">
        <v>55</v>
      </c>
      <c r="D166" s="9" t="s">
        <v>521</v>
      </c>
      <c r="E166" s="26"/>
      <c r="F166" s="10"/>
      <c r="G166" s="27">
        <f>SUMIFS(CT!$H$5:$H$143,CT!$D$5:$D$143,DMTK!$B166)</f>
        <v>0</v>
      </c>
      <c r="H166" s="27">
        <f>SUMIFS(CT!$H$5:$H$143,CT!$E$5:$E$143,DMTK!$B166)</f>
        <v>0</v>
      </c>
      <c r="I166" s="10"/>
      <c r="J166" s="28">
        <f t="shared" si="10"/>
        <v>0</v>
      </c>
      <c r="K166" s="10"/>
      <c r="L166" s="10"/>
      <c r="M166" s="29" t="str">
        <f t="shared" si="11"/>
        <v>300.310.321</v>
      </c>
      <c r="N166" s="10">
        <f t="shared" si="12"/>
        <v>0</v>
      </c>
      <c r="O166" s="12" t="str">
        <f t="shared" si="13"/>
        <v>300.310.321</v>
      </c>
      <c r="P166" s="10">
        <f t="shared" si="14"/>
        <v>0</v>
      </c>
      <c r="Q166" s="12"/>
    </row>
    <row r="167" spans="1:17" ht="16.5" customHeight="1" x14ac:dyDescent="0.3">
      <c r="A167" s="12" t="s">
        <v>515</v>
      </c>
      <c r="B167" s="7" t="s">
        <v>522</v>
      </c>
      <c r="C167" s="25" t="s">
        <v>55</v>
      </c>
      <c r="D167" s="9" t="s">
        <v>523</v>
      </c>
      <c r="E167" s="26"/>
      <c r="F167" s="10"/>
      <c r="G167" s="27">
        <f>SUMIFS(CT!$H$5:$H$143,CT!$D$5:$D$143,DMTK!$B167)</f>
        <v>0</v>
      </c>
      <c r="H167" s="27">
        <f>SUMIFS(CT!$H$5:$H$143,CT!$E$5:$E$143,DMTK!$B167)</f>
        <v>0</v>
      </c>
      <c r="I167" s="10"/>
      <c r="J167" s="28">
        <f t="shared" si="10"/>
        <v>0</v>
      </c>
      <c r="K167" s="10"/>
      <c r="L167" s="10"/>
      <c r="M167" s="29" t="str">
        <f t="shared" si="11"/>
        <v>300.310.321</v>
      </c>
      <c r="N167" s="10">
        <f t="shared" si="12"/>
        <v>0</v>
      </c>
      <c r="O167" s="12" t="str">
        <f t="shared" si="13"/>
        <v>300.310.321</v>
      </c>
      <c r="P167" s="10">
        <f t="shared" si="14"/>
        <v>0</v>
      </c>
      <c r="Q167" s="12"/>
    </row>
    <row r="168" spans="1:17" ht="16.5" customHeight="1" x14ac:dyDescent="0.3">
      <c r="A168" s="7" t="s">
        <v>524</v>
      </c>
      <c r="B168" s="7" t="s">
        <v>525</v>
      </c>
      <c r="C168" s="25" t="s">
        <v>55</v>
      </c>
      <c r="D168" s="9" t="s">
        <v>526</v>
      </c>
      <c r="E168" s="26"/>
      <c r="F168" s="10">
        <v>37000000</v>
      </c>
      <c r="G168" s="27">
        <f>SUMIFS(CT!$H$5:$H$143,CT!$D$5:$D$143,DMTK!$B168)</f>
        <v>0</v>
      </c>
      <c r="H168" s="27">
        <f>SUMIFS(CT!$H$5:$H$143,CT!$E$5:$E$143,DMTK!$B168)</f>
        <v>0</v>
      </c>
      <c r="I168" s="10"/>
      <c r="J168" s="28">
        <f t="shared" si="10"/>
        <v>37000000</v>
      </c>
      <c r="K168" s="10"/>
      <c r="L168" s="10"/>
      <c r="M168" s="29" t="str">
        <f t="shared" si="11"/>
        <v>300.310.322</v>
      </c>
      <c r="N168" s="10">
        <f t="shared" si="12"/>
        <v>37000000</v>
      </c>
      <c r="O168" s="12" t="str">
        <f t="shared" si="13"/>
        <v>300.310.322</v>
      </c>
      <c r="P168" s="10">
        <f t="shared" si="14"/>
        <v>37000000</v>
      </c>
      <c r="Q168" s="12"/>
    </row>
    <row r="169" spans="1:17" ht="16.5" customHeight="1" x14ac:dyDescent="0.3">
      <c r="A169" s="7" t="s">
        <v>524</v>
      </c>
      <c r="B169" s="7" t="s">
        <v>527</v>
      </c>
      <c r="C169" s="25" t="s">
        <v>55</v>
      </c>
      <c r="D169" s="9" t="s">
        <v>528</v>
      </c>
      <c r="E169" s="26"/>
      <c r="F169" s="10">
        <v>26000000</v>
      </c>
      <c r="G169" s="27">
        <f>SUMIFS(CT!$H$5:$H$143,CT!$D$5:$D$143,DMTK!$B169)</f>
        <v>0</v>
      </c>
      <c r="H169" s="27">
        <f>SUMIFS(CT!$H$5:$H$143,CT!$E$5:$E$143,DMTK!$B169)</f>
        <v>0</v>
      </c>
      <c r="I169" s="10"/>
      <c r="J169" s="28">
        <f t="shared" si="10"/>
        <v>26000000</v>
      </c>
      <c r="K169" s="10"/>
      <c r="L169" s="10"/>
      <c r="M169" s="29" t="str">
        <f t="shared" si="11"/>
        <v>300.310.322</v>
      </c>
      <c r="N169" s="10">
        <f t="shared" si="12"/>
        <v>26000000</v>
      </c>
      <c r="O169" s="12" t="str">
        <f t="shared" si="13"/>
        <v>300.310.322</v>
      </c>
      <c r="P169" s="10">
        <f t="shared" si="14"/>
        <v>26000000</v>
      </c>
      <c r="Q169" s="12"/>
    </row>
    <row r="170" spans="1:17" ht="16.5" customHeight="1" x14ac:dyDescent="0.3">
      <c r="A170" s="7" t="s">
        <v>524</v>
      </c>
      <c r="B170" s="7" t="s">
        <v>529</v>
      </c>
      <c r="C170" s="25" t="s">
        <v>55</v>
      </c>
      <c r="D170" s="9" t="s">
        <v>530</v>
      </c>
      <c r="E170" s="26"/>
      <c r="F170" s="10">
        <v>20000000</v>
      </c>
      <c r="G170" s="27">
        <f>SUMIFS(CT!$H$5:$H$143,CT!$D$5:$D$143,DMTK!$B170)</f>
        <v>0</v>
      </c>
      <c r="H170" s="27">
        <f>SUMIFS(CT!$H$5:$H$143,CT!$E$5:$E$143,DMTK!$B170)</f>
        <v>0</v>
      </c>
      <c r="I170" s="10"/>
      <c r="J170" s="28">
        <f t="shared" si="10"/>
        <v>20000000</v>
      </c>
      <c r="K170" s="10"/>
      <c r="L170" s="10"/>
      <c r="M170" s="29" t="str">
        <f t="shared" si="11"/>
        <v>300.310.322</v>
      </c>
      <c r="N170" s="10">
        <f t="shared" si="12"/>
        <v>20000000</v>
      </c>
      <c r="O170" s="12" t="str">
        <f t="shared" si="13"/>
        <v>300.310.322</v>
      </c>
      <c r="P170" s="10">
        <f t="shared" si="14"/>
        <v>20000000</v>
      </c>
      <c r="Q170" s="12"/>
    </row>
    <row r="171" spans="1:17" ht="16.5" customHeight="1" x14ac:dyDescent="0.3">
      <c r="A171" s="7" t="s">
        <v>524</v>
      </c>
      <c r="B171" s="7" t="s">
        <v>531</v>
      </c>
      <c r="C171" s="25" t="s">
        <v>55</v>
      </c>
      <c r="D171" s="9" t="s">
        <v>532</v>
      </c>
      <c r="E171" s="26"/>
      <c r="F171" s="10"/>
      <c r="G171" s="27">
        <f>SUMIFS(CT!$H$5:$H$143,CT!$D$5:$D$143,DMTK!$B171)</f>
        <v>0</v>
      </c>
      <c r="H171" s="27">
        <f>SUMIFS(CT!$H$5:$H$143,CT!$E$5:$E$143,DMTK!$B171)</f>
        <v>0</v>
      </c>
      <c r="I171" s="10"/>
      <c r="J171" s="28">
        <f t="shared" si="10"/>
        <v>0</v>
      </c>
      <c r="K171" s="10"/>
      <c r="L171" s="10"/>
      <c r="M171" s="29" t="str">
        <f t="shared" si="11"/>
        <v>300.310.322</v>
      </c>
      <c r="N171" s="10">
        <f t="shared" si="12"/>
        <v>0</v>
      </c>
      <c r="O171" s="12" t="str">
        <f t="shared" si="13"/>
        <v>300.310.322</v>
      </c>
      <c r="P171" s="10">
        <f t="shared" si="14"/>
        <v>0</v>
      </c>
      <c r="Q171" s="12"/>
    </row>
    <row r="172" spans="1:17" ht="16.5" customHeight="1" x14ac:dyDescent="0.3">
      <c r="A172" s="7" t="s">
        <v>533</v>
      </c>
      <c r="B172" s="7" t="s">
        <v>534</v>
      </c>
      <c r="C172" s="25" t="s">
        <v>55</v>
      </c>
      <c r="D172" s="9" t="s">
        <v>102</v>
      </c>
      <c r="E172" s="26"/>
      <c r="F172" s="10"/>
      <c r="G172" s="27">
        <f>SUMIFS(CT!$H$5:$H$143,CT!$D$5:$D$143,DMTK!$B172)</f>
        <v>0</v>
      </c>
      <c r="H172" s="27">
        <f>SUMIFS(CT!$H$5:$H$143,CT!$E$5:$E$143,DMTK!$B172)</f>
        <v>0</v>
      </c>
      <c r="I172" s="10"/>
      <c r="J172" s="28">
        <f t="shared" si="10"/>
        <v>0</v>
      </c>
      <c r="K172" s="10"/>
      <c r="L172" s="10"/>
      <c r="M172" s="29" t="str">
        <f t="shared" si="11"/>
        <v>300.330.343</v>
      </c>
      <c r="N172" s="10">
        <f t="shared" si="12"/>
        <v>0</v>
      </c>
      <c r="O172" s="12" t="str">
        <f t="shared" si="13"/>
        <v>300.330.343</v>
      </c>
      <c r="P172" s="10">
        <f t="shared" si="14"/>
        <v>0</v>
      </c>
      <c r="Q172" s="12"/>
    </row>
    <row r="173" spans="1:17" ht="16.5" customHeight="1" x14ac:dyDescent="0.3">
      <c r="A173" s="7" t="s">
        <v>533</v>
      </c>
      <c r="B173" s="7" t="s">
        <v>535</v>
      </c>
      <c r="C173" s="25" t="s">
        <v>55</v>
      </c>
      <c r="D173" s="9" t="s">
        <v>536</v>
      </c>
      <c r="E173" s="26"/>
      <c r="F173" s="10"/>
      <c r="G173" s="27">
        <f>SUMIFS(CT!$H$5:$H$143,CT!$D$5:$D$143,DMTK!$B173)</f>
        <v>0</v>
      </c>
      <c r="H173" s="27">
        <f>SUMIFS(CT!$H$5:$H$143,CT!$E$5:$E$143,DMTK!$B173)</f>
        <v>0</v>
      </c>
      <c r="I173" s="10"/>
      <c r="J173" s="28">
        <f t="shared" si="10"/>
        <v>0</v>
      </c>
      <c r="K173" s="10"/>
      <c r="L173" s="10"/>
      <c r="M173" s="29" t="str">
        <f t="shared" si="11"/>
        <v>300.330.343</v>
      </c>
      <c r="N173" s="10">
        <f t="shared" si="12"/>
        <v>0</v>
      </c>
      <c r="O173" s="12" t="str">
        <f t="shared" si="13"/>
        <v>300.330.343</v>
      </c>
      <c r="P173" s="10">
        <f t="shared" si="14"/>
        <v>0</v>
      </c>
      <c r="Q173" s="12"/>
    </row>
    <row r="174" spans="1:17" ht="16.5" customHeight="1" x14ac:dyDescent="0.3">
      <c r="A174" s="7" t="s">
        <v>537</v>
      </c>
      <c r="B174" s="7" t="s">
        <v>103</v>
      </c>
      <c r="C174" s="25" t="s">
        <v>55</v>
      </c>
      <c r="D174" s="9" t="s">
        <v>104</v>
      </c>
      <c r="E174" s="26"/>
      <c r="F174" s="10"/>
      <c r="G174" s="27">
        <f>SUMIFS(CT!$H$5:$H$143,CT!$D$5:$D$143,DMTK!$B174)</f>
        <v>0</v>
      </c>
      <c r="H174" s="27">
        <f>SUMIFS(CT!$H$5:$H$143,CT!$E$5:$E$143,DMTK!$B174)</f>
        <v>0</v>
      </c>
      <c r="I174" s="10"/>
      <c r="J174" s="28">
        <f t="shared" si="10"/>
        <v>0</v>
      </c>
      <c r="K174" s="10"/>
      <c r="L174" s="10"/>
      <c r="M174" s="29" t="str">
        <f t="shared" si="11"/>
        <v>300.310.323</v>
      </c>
      <c r="N174" s="10">
        <f t="shared" si="12"/>
        <v>0</v>
      </c>
      <c r="O174" s="12" t="str">
        <f t="shared" si="13"/>
        <v>300.310.323</v>
      </c>
      <c r="P174" s="10">
        <f t="shared" si="14"/>
        <v>0</v>
      </c>
      <c r="Q174" s="12"/>
    </row>
    <row r="175" spans="1:17" ht="16.5" customHeight="1" x14ac:dyDescent="0.3">
      <c r="A175" s="12" t="s">
        <v>538</v>
      </c>
      <c r="B175" s="7" t="s">
        <v>539</v>
      </c>
      <c r="C175" s="25" t="s">
        <v>55</v>
      </c>
      <c r="D175" s="30" t="s">
        <v>540</v>
      </c>
      <c r="E175" s="26"/>
      <c r="F175" s="10">
        <v>1430000000</v>
      </c>
      <c r="G175" s="27">
        <f>SUMIFS(CT!$H$5:$H$143,CT!$D$5:$D$143,DMTK!$B175)</f>
        <v>0</v>
      </c>
      <c r="H175" s="27">
        <f>SUMIFS(CT!$H$5:$H$143,CT!$E$5:$E$143,DMTK!$B175)</f>
        <v>0</v>
      </c>
      <c r="I175" s="10"/>
      <c r="J175" s="28">
        <f t="shared" si="10"/>
        <v>1430000000</v>
      </c>
      <c r="K175" s="10"/>
      <c r="L175" s="10"/>
      <c r="M175" s="29" t="str">
        <f t="shared" si="11"/>
        <v>400.410.411a</v>
      </c>
      <c r="N175" s="10">
        <f t="shared" si="12"/>
        <v>1430000000</v>
      </c>
      <c r="O175" s="12" t="str">
        <f t="shared" si="13"/>
        <v>400.410.411a</v>
      </c>
      <c r="P175" s="10">
        <f t="shared" si="14"/>
        <v>1430000000</v>
      </c>
      <c r="Q175" s="12"/>
    </row>
    <row r="176" spans="1:17" ht="16.5" customHeight="1" x14ac:dyDescent="0.3">
      <c r="A176" s="12" t="s">
        <v>541</v>
      </c>
      <c r="B176" s="7" t="s">
        <v>542</v>
      </c>
      <c r="C176" s="25" t="s">
        <v>55</v>
      </c>
      <c r="D176" s="30" t="s">
        <v>543</v>
      </c>
      <c r="E176" s="26"/>
      <c r="F176" s="10">
        <v>43641000</v>
      </c>
      <c r="G176" s="27">
        <f>SUMIFS(CT!$H$5:$H$143,CT!$D$5:$D$143,DMTK!$B176)</f>
        <v>0</v>
      </c>
      <c r="H176" s="27">
        <f>SUMIFS(CT!$H$5:$H$143,CT!$E$5:$E$143,DMTK!$B176)</f>
        <v>0</v>
      </c>
      <c r="I176" s="10"/>
      <c r="J176" s="28">
        <f t="shared" si="10"/>
        <v>43641000</v>
      </c>
      <c r="K176" s="10"/>
      <c r="L176" s="10"/>
      <c r="M176" s="29" t="str">
        <f t="shared" si="11"/>
        <v>400.410.411b</v>
      </c>
      <c r="N176" s="10">
        <f t="shared" si="12"/>
        <v>43641000</v>
      </c>
      <c r="O176" s="12" t="str">
        <f t="shared" si="13"/>
        <v>400.410.411b</v>
      </c>
      <c r="P176" s="10">
        <f t="shared" si="14"/>
        <v>43641000</v>
      </c>
      <c r="Q176" s="12"/>
    </row>
    <row r="177" spans="1:17" ht="16.5" customHeight="1" x14ac:dyDescent="0.3">
      <c r="A177" s="12" t="s">
        <v>544</v>
      </c>
      <c r="B177" s="7" t="s">
        <v>545</v>
      </c>
      <c r="C177" s="25" t="s">
        <v>55</v>
      </c>
      <c r="D177" s="9" t="s">
        <v>546</v>
      </c>
      <c r="E177" s="26"/>
      <c r="F177" s="10">
        <v>0</v>
      </c>
      <c r="G177" s="27">
        <f>SUMIFS(CT!$H$5:$H$143,CT!$D$5:$D$143,DMTK!$B177)</f>
        <v>0</v>
      </c>
      <c r="H177" s="27">
        <f>SUMIFS(CT!$H$5:$H$143,CT!$E$5:$E$143,DMTK!$B177)</f>
        <v>0</v>
      </c>
      <c r="I177" s="10"/>
      <c r="J177" s="28">
        <f t="shared" si="10"/>
        <v>0</v>
      </c>
      <c r="K177" s="10"/>
      <c r="L177" s="10"/>
      <c r="M177" s="29" t="str">
        <f t="shared" si="11"/>
        <v>400.410.412</v>
      </c>
      <c r="N177" s="10">
        <f t="shared" si="12"/>
        <v>0</v>
      </c>
      <c r="O177" s="12" t="str">
        <f t="shared" si="13"/>
        <v>400.410.412</v>
      </c>
      <c r="P177" s="10">
        <f t="shared" si="14"/>
        <v>0</v>
      </c>
      <c r="Q177" s="12"/>
    </row>
    <row r="178" spans="1:17" ht="16.5" customHeight="1" x14ac:dyDescent="0.3">
      <c r="A178" s="12" t="s">
        <v>547</v>
      </c>
      <c r="B178" s="7" t="s">
        <v>548</v>
      </c>
      <c r="C178" s="25" t="s">
        <v>55</v>
      </c>
      <c r="D178" s="9" t="s">
        <v>549</v>
      </c>
      <c r="E178" s="26"/>
      <c r="F178" s="10"/>
      <c r="G178" s="27">
        <f>SUMIFS(CT!$H$5:$H$143,CT!$D$5:$D$143,DMTK!$B178)</f>
        <v>0</v>
      </c>
      <c r="H178" s="27">
        <f>SUMIFS(CT!$H$5:$H$143,CT!$E$5:$E$143,DMTK!$B178)</f>
        <v>0</v>
      </c>
      <c r="I178" s="10"/>
      <c r="J178" s="28">
        <f t="shared" si="10"/>
        <v>0</v>
      </c>
      <c r="K178" s="10"/>
      <c r="L178" s="10"/>
      <c r="M178" s="29" t="str">
        <f t="shared" si="11"/>
        <v>400.410.413</v>
      </c>
      <c r="N178" s="10">
        <f t="shared" si="12"/>
        <v>0</v>
      </c>
      <c r="O178" s="12" t="str">
        <f t="shared" si="13"/>
        <v>400.410.413</v>
      </c>
      <c r="P178" s="10">
        <f t="shared" si="14"/>
        <v>0</v>
      </c>
      <c r="Q178" s="12"/>
    </row>
    <row r="179" spans="1:17" ht="16.5" customHeight="1" x14ac:dyDescent="0.3">
      <c r="A179" s="12" t="s">
        <v>550</v>
      </c>
      <c r="B179" s="7" t="s">
        <v>551</v>
      </c>
      <c r="C179" s="25" t="s">
        <v>55</v>
      </c>
      <c r="D179" s="12" t="s">
        <v>552</v>
      </c>
      <c r="E179" s="26"/>
      <c r="F179" s="10">
        <v>18898000</v>
      </c>
      <c r="G179" s="27">
        <f>SUMIFS(CT!$H$5:$H$143,CT!$D$5:$D$143,DMTK!$B179)</f>
        <v>0</v>
      </c>
      <c r="H179" s="27">
        <f>SUMIFS(CT!$H$5:$H$143,CT!$E$5:$E$143,DMTK!$B179)</f>
        <v>0</v>
      </c>
      <c r="I179" s="10"/>
      <c r="J179" s="28">
        <f t="shared" si="10"/>
        <v>18898000</v>
      </c>
      <c r="K179" s="10"/>
      <c r="L179" s="10"/>
      <c r="M179" s="29" t="str">
        <f t="shared" si="11"/>
        <v>400.410.414</v>
      </c>
      <c r="N179" s="10">
        <f t="shared" si="12"/>
        <v>18898000</v>
      </c>
      <c r="O179" s="12" t="str">
        <f t="shared" si="13"/>
        <v>400.410.414</v>
      </c>
      <c r="P179" s="10">
        <f t="shared" si="14"/>
        <v>18898000</v>
      </c>
      <c r="Q179" s="12"/>
    </row>
    <row r="180" spans="1:17" ht="16.5" customHeight="1" x14ac:dyDescent="0.3">
      <c r="A180" s="12" t="s">
        <v>553</v>
      </c>
      <c r="B180" s="7" t="s">
        <v>107</v>
      </c>
      <c r="C180" s="25" t="s">
        <v>55</v>
      </c>
      <c r="D180" s="30" t="s">
        <v>108</v>
      </c>
      <c r="E180" s="26"/>
      <c r="F180" s="10">
        <v>0</v>
      </c>
      <c r="G180" s="27">
        <f>SUMIFS(CT!$H$5:$H$143,CT!$D$5:$D$143,DMTK!$B180)</f>
        <v>0</v>
      </c>
      <c r="H180" s="27">
        <f>SUMIFS(CT!$H$5:$H$143,CT!$E$5:$E$143,DMTK!$B180)</f>
        <v>0</v>
      </c>
      <c r="I180" s="10"/>
      <c r="J180" s="28">
        <f t="shared" si="10"/>
        <v>0</v>
      </c>
      <c r="K180" s="10"/>
      <c r="L180" s="10"/>
      <c r="M180" s="29" t="str">
        <f t="shared" si="11"/>
        <v>400.410.416</v>
      </c>
      <c r="N180" s="10">
        <f t="shared" si="12"/>
        <v>0</v>
      </c>
      <c r="O180" s="12" t="str">
        <f t="shared" si="13"/>
        <v>400.410.416</v>
      </c>
      <c r="P180" s="10">
        <f t="shared" si="14"/>
        <v>0</v>
      </c>
      <c r="Q180" s="12"/>
    </row>
    <row r="181" spans="1:17" ht="16.5" customHeight="1" x14ac:dyDescent="0.3">
      <c r="A181" s="12" t="s">
        <v>554</v>
      </c>
      <c r="B181" s="7" t="s">
        <v>555</v>
      </c>
      <c r="C181" s="25" t="s">
        <v>55</v>
      </c>
      <c r="D181" s="12" t="s">
        <v>556</v>
      </c>
      <c r="E181" s="26"/>
      <c r="F181" s="10">
        <v>0</v>
      </c>
      <c r="G181" s="27">
        <f>SUMIFS(CT!$H$5:$H$143,CT!$D$5:$D$143,DMTK!$B181)</f>
        <v>0</v>
      </c>
      <c r="H181" s="27">
        <f>SUMIFS(CT!$H$5:$H$143,CT!$E$5:$E$143,DMTK!$B181)</f>
        <v>0</v>
      </c>
      <c r="I181" s="10"/>
      <c r="J181" s="28">
        <f t="shared" si="10"/>
        <v>0</v>
      </c>
      <c r="K181" s="10"/>
      <c r="L181" s="10"/>
      <c r="M181" s="29" t="str">
        <f t="shared" si="11"/>
        <v>400.410.417</v>
      </c>
      <c r="N181" s="10">
        <f t="shared" si="12"/>
        <v>0</v>
      </c>
      <c r="O181" s="12" t="str">
        <f t="shared" si="13"/>
        <v>400.410.417</v>
      </c>
      <c r="P181" s="10">
        <f t="shared" si="14"/>
        <v>0</v>
      </c>
      <c r="Q181" s="12"/>
    </row>
    <row r="182" spans="1:17" ht="16.5" customHeight="1" x14ac:dyDescent="0.3">
      <c r="A182" s="12" t="s">
        <v>554</v>
      </c>
      <c r="B182" s="7" t="s">
        <v>557</v>
      </c>
      <c r="C182" s="25" t="s">
        <v>55</v>
      </c>
      <c r="D182" s="12" t="s">
        <v>558</v>
      </c>
      <c r="E182" s="26"/>
      <c r="F182" s="10">
        <v>0</v>
      </c>
      <c r="G182" s="27">
        <f>SUMIFS(CT!$H$5:$H$143,CT!$D$5:$D$143,DMTK!$B182)</f>
        <v>0</v>
      </c>
      <c r="H182" s="27">
        <f>SUMIFS(CT!$H$5:$H$143,CT!$E$5:$E$143,DMTK!$B182)</f>
        <v>0</v>
      </c>
      <c r="I182" s="10"/>
      <c r="J182" s="28">
        <f t="shared" si="10"/>
        <v>0</v>
      </c>
      <c r="K182" s="10"/>
      <c r="L182" s="10"/>
      <c r="M182" s="29" t="str">
        <f t="shared" si="11"/>
        <v>400.410.417</v>
      </c>
      <c r="N182" s="10">
        <f t="shared" si="12"/>
        <v>0</v>
      </c>
      <c r="O182" s="12" t="str">
        <f t="shared" si="13"/>
        <v>400.410.417</v>
      </c>
      <c r="P182" s="10">
        <f t="shared" si="14"/>
        <v>0</v>
      </c>
      <c r="Q182" s="12"/>
    </row>
    <row r="183" spans="1:17" ht="16.5" customHeight="1" x14ac:dyDescent="0.3">
      <c r="A183" s="12" t="s">
        <v>559</v>
      </c>
      <c r="B183" s="7" t="s">
        <v>111</v>
      </c>
      <c r="C183" s="25" t="s">
        <v>55</v>
      </c>
      <c r="D183" s="9" t="s">
        <v>560</v>
      </c>
      <c r="E183" s="26"/>
      <c r="F183" s="10">
        <v>120000000</v>
      </c>
      <c r="G183" s="27">
        <f>SUMIFS(CT!$H$5:$H$143,CT!$D$5:$D$143,DMTK!$B183)</f>
        <v>0</v>
      </c>
      <c r="H183" s="27">
        <f>SUMIFS(CT!$H$5:$H$143,CT!$E$5:$E$143,DMTK!$B183)</f>
        <v>0</v>
      </c>
      <c r="I183" s="10"/>
      <c r="J183" s="28">
        <f t="shared" si="10"/>
        <v>120000000</v>
      </c>
      <c r="K183" s="10"/>
      <c r="L183" s="10"/>
      <c r="M183" s="29" t="str">
        <f t="shared" si="11"/>
        <v>400.410.418</v>
      </c>
      <c r="N183" s="10">
        <f t="shared" si="12"/>
        <v>120000000</v>
      </c>
      <c r="O183" s="12" t="str">
        <f t="shared" si="13"/>
        <v>400.410.418</v>
      </c>
      <c r="P183" s="10">
        <f t="shared" si="14"/>
        <v>120000000</v>
      </c>
      <c r="Q183" s="12"/>
    </row>
    <row r="184" spans="1:17" ht="16.5" customHeight="1" x14ac:dyDescent="0.3">
      <c r="A184" s="12" t="s">
        <v>561</v>
      </c>
      <c r="B184" s="7" t="s">
        <v>113</v>
      </c>
      <c r="C184" s="25" t="s">
        <v>55</v>
      </c>
      <c r="D184" s="30" t="s">
        <v>114</v>
      </c>
      <c r="E184" s="26"/>
      <c r="F184" s="10">
        <v>0</v>
      </c>
      <c r="G184" s="27">
        <f>SUMIFS(CT!$H$5:$H$143,CT!$D$5:$D$143,DMTK!$B184)</f>
        <v>0</v>
      </c>
      <c r="H184" s="27">
        <f>SUMIFS(CT!$H$5:$H$143,CT!$E$5:$E$143,DMTK!$B184)</f>
        <v>0</v>
      </c>
      <c r="I184" s="10"/>
      <c r="J184" s="28">
        <f t="shared" si="10"/>
        <v>0</v>
      </c>
      <c r="K184" s="10"/>
      <c r="L184" s="10"/>
      <c r="M184" s="29" t="str">
        <f t="shared" si="11"/>
        <v>400.410.419</v>
      </c>
      <c r="N184" s="10">
        <f t="shared" si="12"/>
        <v>0</v>
      </c>
      <c r="O184" s="12" t="str">
        <f t="shared" si="13"/>
        <v>400.410.419</v>
      </c>
      <c r="P184" s="10">
        <f t="shared" si="14"/>
        <v>0</v>
      </c>
      <c r="Q184" s="12"/>
    </row>
    <row r="185" spans="1:17" ht="16.5" customHeight="1" x14ac:dyDescent="0.3">
      <c r="A185" s="12" t="s">
        <v>562</v>
      </c>
      <c r="B185" s="7" t="s">
        <v>115</v>
      </c>
      <c r="C185" s="25" t="s">
        <v>55</v>
      </c>
      <c r="D185" s="9" t="s">
        <v>116</v>
      </c>
      <c r="E185" s="26"/>
      <c r="F185" s="10">
        <v>130000000</v>
      </c>
      <c r="G185" s="27">
        <f>SUMIFS(CT!$H$5:$H$143,CT!$D$5:$D$143,DMTK!$B185)</f>
        <v>0</v>
      </c>
      <c r="H185" s="27">
        <f>SUMIFS(CT!$H$5:$H$143,CT!$E$5:$E$143,DMTK!$B185)</f>
        <v>0</v>
      </c>
      <c r="I185" s="10"/>
      <c r="J185" s="28">
        <f t="shared" si="10"/>
        <v>130000000</v>
      </c>
      <c r="K185" s="10"/>
      <c r="L185" s="10"/>
      <c r="M185" s="29" t="str">
        <f t="shared" si="11"/>
        <v>400.410.420</v>
      </c>
      <c r="N185" s="10">
        <f t="shared" si="12"/>
        <v>130000000</v>
      </c>
      <c r="O185" s="12" t="str">
        <f t="shared" si="13"/>
        <v>400.410.420</v>
      </c>
      <c r="P185" s="10">
        <f t="shared" si="14"/>
        <v>130000000</v>
      </c>
      <c r="Q185" s="12"/>
    </row>
    <row r="186" spans="1:17" ht="16.5" customHeight="1" x14ac:dyDescent="0.3">
      <c r="A186" s="12" t="s">
        <v>563</v>
      </c>
      <c r="B186" s="7" t="s">
        <v>117</v>
      </c>
      <c r="C186" s="25" t="s">
        <v>8</v>
      </c>
      <c r="D186" s="9" t="s">
        <v>118</v>
      </c>
      <c r="E186" s="26"/>
      <c r="F186" s="10">
        <v>9449000</v>
      </c>
      <c r="G186" s="27">
        <f>SUMIFS(CT!$H$5:$H$143,CT!$D$5:$D$143,DMTK!$B186)</f>
        <v>0</v>
      </c>
      <c r="H186" s="27">
        <f>SUMIFS(CT!$H$5:$H$143,CT!$E$5:$E$143,DMTK!$B186)</f>
        <v>0</v>
      </c>
      <c r="I186" s="10"/>
      <c r="J186" s="28">
        <f t="shared" si="10"/>
        <v>9449000</v>
      </c>
      <c r="K186" s="10"/>
      <c r="L186" s="10"/>
      <c r="M186" s="29" t="str">
        <f t="shared" si="11"/>
        <v>400.410.415</v>
      </c>
      <c r="N186" s="10">
        <f t="shared" si="12"/>
        <v>-9449000</v>
      </c>
      <c r="O186" s="12" t="str">
        <f t="shared" si="13"/>
        <v>400.410.415</v>
      </c>
      <c r="P186" s="10">
        <f t="shared" si="14"/>
        <v>-9449000</v>
      </c>
      <c r="Q186" s="12"/>
    </row>
    <row r="187" spans="1:17" ht="16.5" customHeight="1" x14ac:dyDescent="0.3">
      <c r="A187" s="7" t="s">
        <v>564</v>
      </c>
      <c r="B187" s="7" t="s">
        <v>565</v>
      </c>
      <c r="C187" s="25" t="s">
        <v>55</v>
      </c>
      <c r="D187" s="12" t="s">
        <v>566</v>
      </c>
      <c r="E187" s="26"/>
      <c r="F187" s="10">
        <v>204410000</v>
      </c>
      <c r="G187" s="27">
        <f>SUMIFS(CT!$H$5:$H$143,CT!$D$5:$D$143,DMTK!$B187)</f>
        <v>0</v>
      </c>
      <c r="H187" s="27">
        <f>SUMIFS(CT!$H$5:$H$143,CT!$E$5:$E$143,DMTK!$B187)</f>
        <v>0</v>
      </c>
      <c r="I187" s="10"/>
      <c r="J187" s="28">
        <f t="shared" si="10"/>
        <v>204410000</v>
      </c>
      <c r="K187" s="10"/>
      <c r="L187" s="10"/>
      <c r="M187" s="29" t="str">
        <f t="shared" si="11"/>
        <v>400.410.421a</v>
      </c>
      <c r="N187" s="10">
        <f t="shared" si="12"/>
        <v>204410000</v>
      </c>
      <c r="O187" s="12" t="str">
        <f t="shared" si="13"/>
        <v>400.410.421a</v>
      </c>
      <c r="P187" s="10">
        <f t="shared" si="14"/>
        <v>204410000</v>
      </c>
      <c r="Q187" s="12"/>
    </row>
    <row r="188" spans="1:17" ht="16.5" customHeight="1" x14ac:dyDescent="0.3">
      <c r="A188" s="7" t="s">
        <v>567</v>
      </c>
      <c r="B188" s="7" t="s">
        <v>568</v>
      </c>
      <c r="C188" s="25" t="s">
        <v>55</v>
      </c>
      <c r="D188" s="30" t="s">
        <v>569</v>
      </c>
      <c r="E188" s="26"/>
      <c r="F188" s="10">
        <v>0</v>
      </c>
      <c r="G188" s="27">
        <f>SUMIFS(CT!$H$5:$H$143,CT!$D$5:$D$143,DMTK!$B188)</f>
        <v>3387852</v>
      </c>
      <c r="H188" s="27">
        <f>SUMIFS(CT!$H$5:$H$143,CT!$E$5:$E$143,DMTK!$B188)</f>
        <v>2269619</v>
      </c>
      <c r="I188" s="10"/>
      <c r="J188" s="28">
        <f t="shared" si="10"/>
        <v>-1118233</v>
      </c>
      <c r="K188" s="10"/>
      <c r="L188" s="10"/>
      <c r="M188" s="29" t="str">
        <f t="shared" si="11"/>
        <v>400.410.421b</v>
      </c>
      <c r="N188" s="10">
        <f t="shared" si="12"/>
        <v>0</v>
      </c>
      <c r="O188" s="12" t="str">
        <f t="shared" si="13"/>
        <v>400.410.421b</v>
      </c>
      <c r="P188" s="10">
        <f t="shared" si="14"/>
        <v>-1118233</v>
      </c>
      <c r="Q188" s="12"/>
    </row>
    <row r="189" spans="1:17" ht="16.5" customHeight="1" x14ac:dyDescent="0.3">
      <c r="A189" s="7" t="s">
        <v>570</v>
      </c>
      <c r="B189" s="7" t="s">
        <v>121</v>
      </c>
      <c r="C189" s="25" t="s">
        <v>55</v>
      </c>
      <c r="D189" s="30" t="s">
        <v>122</v>
      </c>
      <c r="E189" s="26"/>
      <c r="F189" s="10">
        <v>300000000</v>
      </c>
      <c r="G189" s="27">
        <f>SUMIFS(CT!$H$5:$H$143,CT!$D$5:$D$143,DMTK!$B189)</f>
        <v>0</v>
      </c>
      <c r="H189" s="27">
        <f>SUMIFS(CT!$H$5:$H$143,CT!$E$5:$E$143,DMTK!$B189)</f>
        <v>0</v>
      </c>
      <c r="I189" s="10"/>
      <c r="J189" s="28">
        <f t="shared" si="10"/>
        <v>300000000</v>
      </c>
      <c r="K189" s="10"/>
      <c r="L189" s="10"/>
      <c r="M189" s="29" t="str">
        <f t="shared" si="11"/>
        <v>400.410.422</v>
      </c>
      <c r="N189" s="10">
        <f t="shared" si="12"/>
        <v>300000000</v>
      </c>
      <c r="O189" s="12" t="str">
        <f t="shared" si="13"/>
        <v>400.410.422</v>
      </c>
      <c r="P189" s="10">
        <f t="shared" si="14"/>
        <v>300000000</v>
      </c>
      <c r="Q189" s="12"/>
    </row>
    <row r="190" spans="1:17" ht="16.5" customHeight="1" x14ac:dyDescent="0.3">
      <c r="A190" s="12" t="s">
        <v>571</v>
      </c>
      <c r="B190" s="7" t="s">
        <v>123</v>
      </c>
      <c r="C190" s="25" t="s">
        <v>55</v>
      </c>
      <c r="D190" s="9" t="s">
        <v>572</v>
      </c>
      <c r="E190" s="26"/>
      <c r="F190" s="10"/>
      <c r="G190" s="27">
        <f>SUMIFS(CT!$H$5:$H$143,CT!$D$5:$D$143,DMTK!$B190)</f>
        <v>0</v>
      </c>
      <c r="H190" s="27">
        <f>SUMIFS(CT!$H$5:$H$143,CT!$E$5:$E$143,DMTK!$B190)</f>
        <v>0</v>
      </c>
      <c r="I190" s="10"/>
      <c r="J190" s="28">
        <f t="shared" si="10"/>
        <v>0</v>
      </c>
      <c r="K190" s="10"/>
      <c r="L190" s="10"/>
      <c r="M190" s="29" t="str">
        <f t="shared" si="11"/>
        <v>400.430.431</v>
      </c>
      <c r="N190" s="10">
        <f t="shared" si="12"/>
        <v>0</v>
      </c>
      <c r="O190" s="12" t="str">
        <f t="shared" si="13"/>
        <v>400.430.431</v>
      </c>
      <c r="P190" s="10">
        <f t="shared" si="14"/>
        <v>0</v>
      </c>
      <c r="Q190" s="12"/>
    </row>
    <row r="191" spans="1:17" ht="16.5" customHeight="1" x14ac:dyDescent="0.3">
      <c r="A191" s="7" t="s">
        <v>333</v>
      </c>
      <c r="B191" s="7" t="s">
        <v>125</v>
      </c>
      <c r="C191" s="25" t="s">
        <v>55</v>
      </c>
      <c r="D191" s="9" t="s">
        <v>126</v>
      </c>
      <c r="E191" s="26"/>
      <c r="F191" s="10">
        <v>0</v>
      </c>
      <c r="G191" s="27">
        <f>SUMIFS(CT!$H$5:$H$143,CT!$D$5:$D$143,DMTK!$B191)</f>
        <v>0</v>
      </c>
      <c r="H191" s="27">
        <f>SUMIFS(CT!$H$5:$H$143,CT!$E$5:$E$143,DMTK!$B191)</f>
        <v>0</v>
      </c>
      <c r="I191" s="10"/>
      <c r="J191" s="28">
        <f t="shared" si="10"/>
        <v>0</v>
      </c>
      <c r="K191" s="10"/>
      <c r="L191" s="10"/>
      <c r="M191" s="29" t="str">
        <f t="shared" si="11"/>
        <v>400.430.432</v>
      </c>
      <c r="N191" s="10">
        <f t="shared" si="12"/>
        <v>0</v>
      </c>
      <c r="O191" s="12" t="str">
        <f t="shared" si="13"/>
        <v>400.430.432</v>
      </c>
      <c r="P191" s="10">
        <f t="shared" si="14"/>
        <v>0</v>
      </c>
      <c r="Q191" s="12"/>
    </row>
    <row r="192" spans="1:17" ht="16.5" customHeight="1" x14ac:dyDescent="0.3">
      <c r="A192" s="12"/>
      <c r="B192" s="7" t="s">
        <v>573</v>
      </c>
      <c r="C192" s="25" t="s">
        <v>55</v>
      </c>
      <c r="D192" s="12" t="s">
        <v>574</v>
      </c>
      <c r="E192" s="26"/>
      <c r="F192" s="10">
        <v>0</v>
      </c>
      <c r="G192" s="27">
        <f>SUMIFS(CT!$H$5:$H$143,CT!$D$5:$D$143,DMTK!$B192)</f>
        <v>0</v>
      </c>
      <c r="H192" s="27">
        <f>SUMIFS(CT!$H$5:$H$143,CT!$E$5:$E$143,DMTK!$B192)</f>
        <v>0</v>
      </c>
      <c r="I192" s="10"/>
      <c r="J192" s="28">
        <f t="shared" si="10"/>
        <v>0</v>
      </c>
      <c r="K192" s="10"/>
      <c r="L192" s="10"/>
      <c r="M192" s="29">
        <f t="shared" si="11"/>
        <v>0</v>
      </c>
      <c r="N192" s="10">
        <f t="shared" si="12"/>
        <v>0</v>
      </c>
      <c r="O192" s="12">
        <f t="shared" si="13"/>
        <v>0</v>
      </c>
      <c r="P192" s="10">
        <f t="shared" si="14"/>
        <v>0</v>
      </c>
      <c r="Q192" s="12"/>
    </row>
    <row r="193" spans="1:17" ht="16.5" customHeight="1" x14ac:dyDescent="0.3">
      <c r="A193" s="12"/>
      <c r="B193" s="7" t="s">
        <v>575</v>
      </c>
      <c r="C193" s="25" t="s">
        <v>55</v>
      </c>
      <c r="D193" s="9" t="s">
        <v>576</v>
      </c>
      <c r="E193" s="26"/>
      <c r="F193" s="10">
        <v>0</v>
      </c>
      <c r="G193" s="27">
        <f>SUMIFS(CT!$H$5:$H$143,CT!$D$5:$D$143,DMTK!$B193)</f>
        <v>30000000</v>
      </c>
      <c r="H193" s="27">
        <f>SUMIFS(CT!$H$5:$H$143,CT!$E$5:$E$143,DMTK!$B193)</f>
        <v>30000000</v>
      </c>
      <c r="I193" s="10"/>
      <c r="J193" s="28">
        <f t="shared" si="10"/>
        <v>0</v>
      </c>
      <c r="K193" s="10"/>
      <c r="L193" s="10"/>
      <c r="M193" s="29">
        <f t="shared" si="11"/>
        <v>0</v>
      </c>
      <c r="N193" s="10">
        <f t="shared" si="12"/>
        <v>0</v>
      </c>
      <c r="O193" s="12">
        <f t="shared" si="13"/>
        <v>0</v>
      </c>
      <c r="P193" s="10">
        <f t="shared" si="14"/>
        <v>0</v>
      </c>
      <c r="Q193" s="12"/>
    </row>
    <row r="194" spans="1:17" ht="16.5" customHeight="1" x14ac:dyDescent="0.3">
      <c r="A194" s="12"/>
      <c r="B194" s="7" t="s">
        <v>577</v>
      </c>
      <c r="C194" s="25" t="s">
        <v>55</v>
      </c>
      <c r="D194" s="9" t="s">
        <v>578</v>
      </c>
      <c r="E194" s="26"/>
      <c r="F194" s="10">
        <v>0</v>
      </c>
      <c r="G194" s="27">
        <f>SUMIFS(CT!$H$5:$H$143,CT!$D$5:$D$143,DMTK!$B194)</f>
        <v>28000000</v>
      </c>
      <c r="H194" s="27">
        <f>SUMIFS(CT!$H$5:$H$143,CT!$E$5:$E$143,DMTK!$B194)</f>
        <v>28000000</v>
      </c>
      <c r="I194" s="10"/>
      <c r="J194" s="28">
        <f t="shared" si="10"/>
        <v>0</v>
      </c>
      <c r="K194" s="10"/>
      <c r="L194" s="10"/>
      <c r="M194" s="29">
        <f t="shared" si="11"/>
        <v>0</v>
      </c>
      <c r="N194" s="10">
        <f t="shared" si="12"/>
        <v>0</v>
      </c>
      <c r="O194" s="12">
        <f t="shared" si="13"/>
        <v>0</v>
      </c>
      <c r="P194" s="10">
        <f t="shared" si="14"/>
        <v>0</v>
      </c>
      <c r="Q194" s="12"/>
    </row>
    <row r="195" spans="1:17" ht="16.5" customHeight="1" x14ac:dyDescent="0.3">
      <c r="A195" s="12"/>
      <c r="B195" s="7" t="s">
        <v>579</v>
      </c>
      <c r="C195" s="25" t="s">
        <v>55</v>
      </c>
      <c r="D195" s="9" t="s">
        <v>580</v>
      </c>
      <c r="E195" s="26"/>
      <c r="F195" s="10">
        <v>0</v>
      </c>
      <c r="G195" s="27">
        <f>SUMIFS(CT!$H$5:$H$143,CT!$D$5:$D$143,DMTK!$B195)</f>
        <v>0</v>
      </c>
      <c r="H195" s="27">
        <f>SUMIFS(CT!$H$5:$H$143,CT!$E$5:$E$143,DMTK!$B195)</f>
        <v>0</v>
      </c>
      <c r="I195" s="10"/>
      <c r="J195" s="28">
        <f t="shared" si="10"/>
        <v>0</v>
      </c>
      <c r="K195" s="10"/>
      <c r="L195" s="10"/>
      <c r="M195" s="29">
        <f t="shared" si="11"/>
        <v>0</v>
      </c>
      <c r="N195" s="10">
        <f t="shared" si="12"/>
        <v>0</v>
      </c>
      <c r="O195" s="12">
        <f t="shared" si="13"/>
        <v>0</v>
      </c>
      <c r="P195" s="10">
        <f t="shared" si="14"/>
        <v>0</v>
      </c>
      <c r="Q195" s="12"/>
    </row>
    <row r="196" spans="1:17" ht="16.5" customHeight="1" x14ac:dyDescent="0.3">
      <c r="A196" s="12"/>
      <c r="B196" s="7" t="s">
        <v>581</v>
      </c>
      <c r="C196" s="25" t="s">
        <v>55</v>
      </c>
      <c r="D196" s="9" t="s">
        <v>582</v>
      </c>
      <c r="E196" s="26"/>
      <c r="F196" s="10">
        <v>0</v>
      </c>
      <c r="G196" s="27">
        <f>SUMIFS(CT!$H$5:$H$143,CT!$D$5:$D$143,DMTK!$B196)</f>
        <v>30000000</v>
      </c>
      <c r="H196" s="27">
        <f>SUMIFS(CT!$H$5:$H$143,CT!$E$5:$E$143,DMTK!$B196)</f>
        <v>30000000</v>
      </c>
      <c r="I196" s="10"/>
      <c r="J196" s="28">
        <f t="shared" si="10"/>
        <v>0</v>
      </c>
      <c r="K196" s="10"/>
      <c r="L196" s="10"/>
      <c r="M196" s="29">
        <f t="shared" si="11"/>
        <v>0</v>
      </c>
      <c r="N196" s="10">
        <f t="shared" si="12"/>
        <v>0</v>
      </c>
      <c r="O196" s="12">
        <f t="shared" si="13"/>
        <v>0</v>
      </c>
      <c r="P196" s="10">
        <f t="shared" si="14"/>
        <v>0</v>
      </c>
      <c r="Q196" s="12"/>
    </row>
    <row r="197" spans="1:17" ht="16.5" customHeight="1" x14ac:dyDescent="0.3">
      <c r="A197" s="12"/>
      <c r="B197" s="7" t="s">
        <v>583</v>
      </c>
      <c r="C197" s="25" t="s">
        <v>55</v>
      </c>
      <c r="D197" s="9" t="s">
        <v>584</v>
      </c>
      <c r="E197" s="26"/>
      <c r="F197" s="10">
        <v>0</v>
      </c>
      <c r="G197" s="27">
        <f>SUMIFS(CT!$H$5:$H$143,CT!$D$5:$D$143,DMTK!$B197)</f>
        <v>0</v>
      </c>
      <c r="H197" s="27">
        <f>SUMIFS(CT!$H$5:$H$143,CT!$E$5:$E$143,DMTK!$B197)</f>
        <v>0</v>
      </c>
      <c r="I197" s="10"/>
      <c r="J197" s="28">
        <f t="shared" si="10"/>
        <v>0</v>
      </c>
      <c r="K197" s="10"/>
      <c r="L197" s="10"/>
      <c r="M197" s="29">
        <f t="shared" si="11"/>
        <v>0</v>
      </c>
      <c r="N197" s="10">
        <f t="shared" si="12"/>
        <v>0</v>
      </c>
      <c r="O197" s="12">
        <f t="shared" si="13"/>
        <v>0</v>
      </c>
      <c r="P197" s="10">
        <f t="shared" si="14"/>
        <v>0</v>
      </c>
      <c r="Q197" s="12"/>
    </row>
    <row r="198" spans="1:17" ht="16.5" customHeight="1" x14ac:dyDescent="0.3">
      <c r="A198" s="12"/>
      <c r="B198" s="7" t="s">
        <v>585</v>
      </c>
      <c r="C198" s="25" t="s">
        <v>55</v>
      </c>
      <c r="D198" s="9" t="s">
        <v>586</v>
      </c>
      <c r="E198" s="26"/>
      <c r="F198" s="10">
        <v>0</v>
      </c>
      <c r="G198" s="27">
        <f>SUMIFS(CT!$H$5:$H$143,CT!$D$5:$D$143,DMTK!$B198)</f>
        <v>0</v>
      </c>
      <c r="H198" s="27">
        <f>SUMIFS(CT!$H$5:$H$143,CT!$E$5:$E$143,DMTK!$B198)</f>
        <v>0</v>
      </c>
      <c r="I198" s="10"/>
      <c r="J198" s="28">
        <f t="shared" ref="J198:J261" si="15">IF(C198="N",F198+G198-H198,F198+H198-G198)</f>
        <v>0</v>
      </c>
      <c r="K198" s="10"/>
      <c r="L198" s="10"/>
      <c r="M198" s="29">
        <f t="shared" ref="M198:M261" si="16">IF(AND(LEFT(B198,4)="1311",F198&lt;0),"300.310.312",IF(AND(LEFT(B198,3)="138",F198&lt;0),"300.310.319",IF(AND(LEFT(B198,4)="3311",F198&lt;0),"100.130.132",IF(AND(LEFT(B198,3)="333",F198&lt;0),"100.150.153",IF(AND(LEFT(B198,3)="337",F198&lt;0),"100.130.134",A198)))))</f>
        <v>0</v>
      </c>
      <c r="N198" s="10">
        <f t="shared" ref="N198:N261" si="17">IF(OR(AND(LEFT(B198,4)="1311",F198&lt;0),AND(LEFT(B198,3)="138",F198&lt;0),AND(LEFT(B198,4)="3311",F198&lt;0),AND(LEFT(B198,3)="333",F198&lt;0),AND(LEFT(B198,3)="337",F198&lt;0),LEFT(B198,3)="214",LEFT(B198,3)="229",LEFT(B198,3)="419",AND(LEFT(B198,3)="421",F198&lt;0)),-1,1)*F198</f>
        <v>0</v>
      </c>
      <c r="O198" s="12">
        <f t="shared" ref="O198:O261" si="18">IF(AND(LEFT(B198,4)="1311",J198&lt;0),"300.310.312",IF(AND(LEFT(B198,3)="138",J198&lt;0),"300.310.319",IF(AND(LEFT(B198,4)="3311",J198&lt;0),"100.130.132",IF(AND(LEFT(B198,3)="333",J198&lt;0),"100.150.153",IF(AND(LEFT(B198,3)="337",J198&lt;0),"100.130.134",A198)))))</f>
        <v>0</v>
      </c>
      <c r="P198" s="10">
        <f t="shared" ref="P198:P261" si="19">IF(OR(AND(LEFT(B198,4)="1311",J198&lt;0),AND(LEFT(B198,3)="138",J198&lt;0),AND(LEFT(B198,4)="3311",J198&lt;0),AND(LEFT(B198,3)="333",J198&lt;0),AND(LEFT(B198,3)="337",J198&lt;0),LEFT(B198,3)="214",LEFT(B198,3)="229",LEFT(B198,3)="419",AND(LEFT(B198,3)="421",F198&lt;0)),-1,1)*J198</f>
        <v>0</v>
      </c>
      <c r="Q198" s="12"/>
    </row>
    <row r="199" spans="1:17" ht="16.5" customHeight="1" x14ac:dyDescent="0.3">
      <c r="A199" s="12"/>
      <c r="B199" s="7" t="s">
        <v>587</v>
      </c>
      <c r="C199" s="25" t="s">
        <v>55</v>
      </c>
      <c r="D199" s="9" t="s">
        <v>588</v>
      </c>
      <c r="E199" s="26"/>
      <c r="F199" s="10">
        <v>0</v>
      </c>
      <c r="G199" s="27">
        <f>SUMIFS(CT!$H$5:$H$143,CT!$D$5:$D$143,DMTK!$B199)</f>
        <v>0</v>
      </c>
      <c r="H199" s="27">
        <f>SUMIFS(CT!$H$5:$H$143,CT!$E$5:$E$143,DMTK!$B199)</f>
        <v>0</v>
      </c>
      <c r="I199" s="10"/>
      <c r="J199" s="28">
        <f t="shared" si="15"/>
        <v>0</v>
      </c>
      <c r="K199" s="10"/>
      <c r="L199" s="10"/>
      <c r="M199" s="29">
        <f t="shared" si="16"/>
        <v>0</v>
      </c>
      <c r="N199" s="10">
        <f t="shared" si="17"/>
        <v>0</v>
      </c>
      <c r="O199" s="12">
        <f t="shared" si="18"/>
        <v>0</v>
      </c>
      <c r="P199" s="10">
        <f t="shared" si="19"/>
        <v>0</v>
      </c>
      <c r="Q199" s="12"/>
    </row>
    <row r="200" spans="1:17" ht="16.5" customHeight="1" x14ac:dyDescent="0.3">
      <c r="A200" s="12"/>
      <c r="B200" s="7" t="s">
        <v>589</v>
      </c>
      <c r="C200" s="25" t="s">
        <v>55</v>
      </c>
      <c r="D200" s="9" t="s">
        <v>590</v>
      </c>
      <c r="E200" s="26"/>
      <c r="F200" s="10">
        <v>0</v>
      </c>
      <c r="G200" s="27">
        <f>SUMIFS(CT!$H$5:$H$143,CT!$D$5:$D$143,DMTK!$B200)</f>
        <v>0</v>
      </c>
      <c r="H200" s="27">
        <f>SUMIFS(CT!$H$5:$H$143,CT!$E$5:$E$143,DMTK!$B200)</f>
        <v>0</v>
      </c>
      <c r="I200" s="10"/>
      <c r="J200" s="28">
        <f t="shared" si="15"/>
        <v>0</v>
      </c>
      <c r="K200" s="10"/>
      <c r="L200" s="10"/>
      <c r="M200" s="29">
        <f t="shared" si="16"/>
        <v>0</v>
      </c>
      <c r="N200" s="10">
        <f t="shared" si="17"/>
        <v>0</v>
      </c>
      <c r="O200" s="12">
        <f t="shared" si="18"/>
        <v>0</v>
      </c>
      <c r="P200" s="10">
        <f t="shared" si="19"/>
        <v>0</v>
      </c>
      <c r="Q200" s="12"/>
    </row>
    <row r="201" spans="1:17" ht="16.5" customHeight="1" x14ac:dyDescent="0.3">
      <c r="A201" s="12"/>
      <c r="B201" s="7" t="s">
        <v>129</v>
      </c>
      <c r="C201" s="25" t="s">
        <v>55</v>
      </c>
      <c r="D201" s="9" t="s">
        <v>591</v>
      </c>
      <c r="E201" s="26"/>
      <c r="F201" s="10">
        <v>0</v>
      </c>
      <c r="G201" s="27">
        <f>SUMIFS(CT!$H$5:$H$143,CT!$D$5:$D$143,DMTK!$B201)</f>
        <v>0</v>
      </c>
      <c r="H201" s="27">
        <f>SUMIFS(CT!$H$5:$H$143,CT!$E$5:$E$143,DMTK!$B201)</f>
        <v>0</v>
      </c>
      <c r="I201" s="10"/>
      <c r="J201" s="28">
        <f t="shared" si="15"/>
        <v>0</v>
      </c>
      <c r="K201" s="10"/>
      <c r="L201" s="10"/>
      <c r="M201" s="29">
        <f t="shared" si="16"/>
        <v>0</v>
      </c>
      <c r="N201" s="10">
        <f t="shared" si="17"/>
        <v>0</v>
      </c>
      <c r="O201" s="12">
        <f t="shared" si="18"/>
        <v>0</v>
      </c>
      <c r="P201" s="10">
        <f t="shared" si="19"/>
        <v>0</v>
      </c>
      <c r="Q201" s="12"/>
    </row>
    <row r="202" spans="1:17" ht="16.5" customHeight="1" x14ac:dyDescent="0.3">
      <c r="A202" s="12"/>
      <c r="B202" s="7" t="s">
        <v>592</v>
      </c>
      <c r="C202" s="25" t="s">
        <v>8</v>
      </c>
      <c r="D202" s="9" t="s">
        <v>593</v>
      </c>
      <c r="E202" s="26"/>
      <c r="F202" s="10">
        <v>0</v>
      </c>
      <c r="G202" s="27">
        <f>SUMIFS(CT!$H$5:$H$143,CT!$D$5:$D$143,DMTK!$B202)</f>
        <v>0</v>
      </c>
      <c r="H202" s="27">
        <f>SUMIFS(CT!$H$5:$H$143,CT!$E$5:$E$143,DMTK!$B202)</f>
        <v>0</v>
      </c>
      <c r="I202" s="10"/>
      <c r="J202" s="28">
        <f t="shared" si="15"/>
        <v>0</v>
      </c>
      <c r="K202" s="10"/>
      <c r="L202" s="10"/>
      <c r="M202" s="29">
        <f t="shared" si="16"/>
        <v>0</v>
      </c>
      <c r="N202" s="10">
        <f t="shared" si="17"/>
        <v>0</v>
      </c>
      <c r="O202" s="12">
        <f t="shared" si="18"/>
        <v>0</v>
      </c>
      <c r="P202" s="10">
        <f t="shared" si="19"/>
        <v>0</v>
      </c>
      <c r="Q202" s="12"/>
    </row>
    <row r="203" spans="1:17" ht="16.5" customHeight="1" x14ac:dyDescent="0.3">
      <c r="A203" s="12"/>
      <c r="B203" s="7" t="s">
        <v>594</v>
      </c>
      <c r="C203" s="25" t="s">
        <v>8</v>
      </c>
      <c r="D203" s="12" t="s">
        <v>595</v>
      </c>
      <c r="E203" s="26"/>
      <c r="F203" s="10">
        <v>0</v>
      </c>
      <c r="G203" s="27">
        <f>SUMIFS(CT!$H$5:$H$143,CT!$D$5:$D$143,DMTK!$B203)</f>
        <v>0</v>
      </c>
      <c r="H203" s="27">
        <f>SUMIFS(CT!$H$5:$H$143,CT!$E$5:$E$143,DMTK!$B203)</f>
        <v>0</v>
      </c>
      <c r="I203" s="10"/>
      <c r="J203" s="28">
        <f t="shared" si="15"/>
        <v>0</v>
      </c>
      <c r="K203" s="10"/>
      <c r="L203" s="10"/>
      <c r="M203" s="29">
        <f t="shared" si="16"/>
        <v>0</v>
      </c>
      <c r="N203" s="10">
        <f t="shared" si="17"/>
        <v>0</v>
      </c>
      <c r="O203" s="12">
        <f t="shared" si="18"/>
        <v>0</v>
      </c>
      <c r="P203" s="10">
        <f t="shared" si="19"/>
        <v>0</v>
      </c>
      <c r="Q203" s="12"/>
    </row>
    <row r="204" spans="1:17" ht="16.5" customHeight="1" x14ac:dyDescent="0.3">
      <c r="A204" s="12"/>
      <c r="B204" s="7" t="s">
        <v>596</v>
      </c>
      <c r="C204" s="25" t="s">
        <v>8</v>
      </c>
      <c r="D204" s="12" t="s">
        <v>597</v>
      </c>
      <c r="E204" s="26"/>
      <c r="F204" s="10">
        <v>0</v>
      </c>
      <c r="G204" s="27">
        <f>SUMIFS(CT!$H$5:$H$143,CT!$D$5:$D$143,DMTK!$B204)</f>
        <v>0</v>
      </c>
      <c r="H204" s="27">
        <f>SUMIFS(CT!$H$5:$H$143,CT!$E$5:$E$143,DMTK!$B204)</f>
        <v>0</v>
      </c>
      <c r="I204" s="10"/>
      <c r="J204" s="28">
        <f t="shared" si="15"/>
        <v>0</v>
      </c>
      <c r="K204" s="10"/>
      <c r="L204" s="10"/>
      <c r="M204" s="29">
        <f t="shared" si="16"/>
        <v>0</v>
      </c>
      <c r="N204" s="10">
        <f t="shared" si="17"/>
        <v>0</v>
      </c>
      <c r="O204" s="12">
        <f t="shared" si="18"/>
        <v>0</v>
      </c>
      <c r="P204" s="10">
        <f t="shared" si="19"/>
        <v>0</v>
      </c>
      <c r="Q204" s="12"/>
    </row>
    <row r="205" spans="1:17" ht="16.5" customHeight="1" x14ac:dyDescent="0.3">
      <c r="A205" s="12"/>
      <c r="B205" s="7" t="s">
        <v>598</v>
      </c>
      <c r="C205" s="25" t="s">
        <v>8</v>
      </c>
      <c r="D205" s="9" t="s">
        <v>599</v>
      </c>
      <c r="E205" s="26"/>
      <c r="F205" s="10">
        <v>0</v>
      </c>
      <c r="G205" s="27">
        <f>SUMIFS(CT!$H$5:$H$143,CT!$D$5:$D$143,DMTK!$B205)</f>
        <v>0</v>
      </c>
      <c r="H205" s="27">
        <f>SUMIFS(CT!$H$5:$H$143,CT!$E$5:$E$143,DMTK!$B205)</f>
        <v>0</v>
      </c>
      <c r="I205" s="10"/>
      <c r="J205" s="28">
        <f t="shared" si="15"/>
        <v>0</v>
      </c>
      <c r="K205" s="10"/>
      <c r="L205" s="10"/>
      <c r="M205" s="29">
        <f t="shared" si="16"/>
        <v>0</v>
      </c>
      <c r="N205" s="10">
        <f t="shared" si="17"/>
        <v>0</v>
      </c>
      <c r="O205" s="12">
        <f t="shared" si="18"/>
        <v>0</v>
      </c>
      <c r="P205" s="10">
        <f t="shared" si="19"/>
        <v>0</v>
      </c>
      <c r="Q205" s="12"/>
    </row>
    <row r="206" spans="1:17" ht="16.5" customHeight="1" x14ac:dyDescent="0.3">
      <c r="A206" s="12"/>
      <c r="B206" s="7" t="s">
        <v>600</v>
      </c>
      <c r="C206" s="25" t="s">
        <v>8</v>
      </c>
      <c r="D206" s="9" t="s">
        <v>601</v>
      </c>
      <c r="E206" s="26"/>
      <c r="F206" s="10">
        <v>0</v>
      </c>
      <c r="G206" s="27">
        <f>SUMIFS(CT!$H$5:$H$143,CT!$D$5:$D$143,DMTK!$B206)</f>
        <v>0</v>
      </c>
      <c r="H206" s="27">
        <f>SUMIFS(CT!$H$5:$H$143,CT!$E$5:$E$143,DMTK!$B206)</f>
        <v>0</v>
      </c>
      <c r="I206" s="10"/>
      <c r="J206" s="28">
        <f t="shared" si="15"/>
        <v>0</v>
      </c>
      <c r="K206" s="10"/>
      <c r="L206" s="10"/>
      <c r="M206" s="29">
        <f t="shared" si="16"/>
        <v>0</v>
      </c>
      <c r="N206" s="10">
        <f t="shared" si="17"/>
        <v>0</v>
      </c>
      <c r="O206" s="12">
        <f t="shared" si="18"/>
        <v>0</v>
      </c>
      <c r="P206" s="10">
        <f t="shared" si="19"/>
        <v>0</v>
      </c>
      <c r="Q206" s="12"/>
    </row>
    <row r="207" spans="1:17" ht="16.5" customHeight="1" x14ac:dyDescent="0.3">
      <c r="A207" s="12"/>
      <c r="B207" s="7" t="s">
        <v>602</v>
      </c>
      <c r="C207" s="25" t="s">
        <v>8</v>
      </c>
      <c r="D207" s="9" t="s">
        <v>603</v>
      </c>
      <c r="E207" s="26"/>
      <c r="F207" s="10">
        <v>0</v>
      </c>
      <c r="G207" s="27">
        <f>SUMIFS(CT!$H$5:$H$143,CT!$D$5:$D$143,DMTK!$B207)</f>
        <v>14432200</v>
      </c>
      <c r="H207" s="27">
        <f>SUMIFS(CT!$H$5:$H$143,CT!$E$5:$E$143,DMTK!$B207)</f>
        <v>14432200</v>
      </c>
      <c r="I207" s="10"/>
      <c r="J207" s="28">
        <f t="shared" si="15"/>
        <v>0</v>
      </c>
      <c r="K207" s="10"/>
      <c r="L207" s="10"/>
      <c r="M207" s="29">
        <f t="shared" si="16"/>
        <v>0</v>
      </c>
      <c r="N207" s="10">
        <f t="shared" si="17"/>
        <v>0</v>
      </c>
      <c r="O207" s="12">
        <f t="shared" si="18"/>
        <v>0</v>
      </c>
      <c r="P207" s="10">
        <f t="shared" si="19"/>
        <v>0</v>
      </c>
      <c r="Q207" s="12"/>
    </row>
    <row r="208" spans="1:17" ht="16.5" customHeight="1" x14ac:dyDescent="0.3">
      <c r="A208" s="12"/>
      <c r="B208" s="7" t="s">
        <v>604</v>
      </c>
      <c r="C208" s="25" t="s">
        <v>8</v>
      </c>
      <c r="D208" s="9" t="s">
        <v>605</v>
      </c>
      <c r="E208" s="26"/>
      <c r="F208" s="10">
        <v>0</v>
      </c>
      <c r="G208" s="27">
        <f>SUMIFS(CT!$H$5:$H$143,CT!$D$5:$D$143,DMTK!$B208)</f>
        <v>0</v>
      </c>
      <c r="H208" s="27">
        <f>SUMIFS(CT!$H$5:$H$143,CT!$E$5:$E$143,DMTK!$B208)</f>
        <v>0</v>
      </c>
      <c r="I208" s="10"/>
      <c r="J208" s="28">
        <f t="shared" si="15"/>
        <v>0</v>
      </c>
      <c r="K208" s="10"/>
      <c r="L208" s="10"/>
      <c r="M208" s="29">
        <f t="shared" si="16"/>
        <v>0</v>
      </c>
      <c r="N208" s="10">
        <f t="shared" si="17"/>
        <v>0</v>
      </c>
      <c r="O208" s="12">
        <f t="shared" si="18"/>
        <v>0</v>
      </c>
      <c r="P208" s="10">
        <f t="shared" si="19"/>
        <v>0</v>
      </c>
      <c r="Q208" s="12"/>
    </row>
    <row r="209" spans="1:17" ht="16.5" customHeight="1" x14ac:dyDescent="0.3">
      <c r="A209" s="12"/>
      <c r="B209" s="7" t="s">
        <v>606</v>
      </c>
      <c r="C209" s="25" t="s">
        <v>8</v>
      </c>
      <c r="D209" s="9" t="s">
        <v>607</v>
      </c>
      <c r="E209" s="26"/>
      <c r="F209" s="10">
        <v>0</v>
      </c>
      <c r="G209" s="27">
        <f>SUMIFS(CT!$H$5:$H$143,CT!$D$5:$D$143,DMTK!$B209)</f>
        <v>3646000</v>
      </c>
      <c r="H209" s="27">
        <f>SUMIFS(CT!$H$5:$H$143,CT!$E$5:$E$143,DMTK!$B209)</f>
        <v>3646000</v>
      </c>
      <c r="I209" s="10"/>
      <c r="J209" s="28">
        <f t="shared" si="15"/>
        <v>0</v>
      </c>
      <c r="K209" s="10"/>
      <c r="L209" s="10"/>
      <c r="M209" s="29">
        <f t="shared" si="16"/>
        <v>0</v>
      </c>
      <c r="N209" s="10">
        <f t="shared" si="17"/>
        <v>0</v>
      </c>
      <c r="O209" s="12">
        <f t="shared" si="18"/>
        <v>0</v>
      </c>
      <c r="P209" s="10">
        <f t="shared" si="19"/>
        <v>0</v>
      </c>
      <c r="Q209" s="12"/>
    </row>
    <row r="210" spans="1:17" ht="16.5" customHeight="1" x14ac:dyDescent="0.3">
      <c r="A210" s="12"/>
      <c r="B210" s="7" t="s">
        <v>608</v>
      </c>
      <c r="C210" s="25" t="s">
        <v>8</v>
      </c>
      <c r="D210" s="9" t="s">
        <v>609</v>
      </c>
      <c r="E210" s="26"/>
      <c r="F210" s="10">
        <v>0</v>
      </c>
      <c r="G210" s="27">
        <f>SUMIFS(CT!$H$5:$H$143,CT!$D$5:$D$143,DMTK!$B210)</f>
        <v>0</v>
      </c>
      <c r="H210" s="27">
        <f>SUMIFS(CT!$H$5:$H$143,CT!$E$5:$E$143,DMTK!$B210)</f>
        <v>0</v>
      </c>
      <c r="I210" s="10"/>
      <c r="J210" s="28">
        <f t="shared" si="15"/>
        <v>0</v>
      </c>
      <c r="K210" s="10"/>
      <c r="L210" s="10"/>
      <c r="M210" s="29">
        <f t="shared" si="16"/>
        <v>0</v>
      </c>
      <c r="N210" s="10">
        <f t="shared" si="17"/>
        <v>0</v>
      </c>
      <c r="O210" s="12">
        <f t="shared" si="18"/>
        <v>0</v>
      </c>
      <c r="P210" s="10">
        <f t="shared" si="19"/>
        <v>0</v>
      </c>
      <c r="Q210" s="12"/>
    </row>
    <row r="211" spans="1:17" ht="16.5" customHeight="1" x14ac:dyDescent="0.3">
      <c r="A211" s="12"/>
      <c r="B211" s="7" t="s">
        <v>610</v>
      </c>
      <c r="C211" s="25" t="s">
        <v>8</v>
      </c>
      <c r="D211" s="9" t="s">
        <v>611</v>
      </c>
      <c r="E211" s="26"/>
      <c r="F211" s="10">
        <v>0</v>
      </c>
      <c r="G211" s="27">
        <f>SUMIFS(CT!$H$5:$H$143,CT!$D$5:$D$143,DMTK!$B211)</f>
        <v>0</v>
      </c>
      <c r="H211" s="27">
        <f>SUMIFS(CT!$H$5:$H$143,CT!$E$5:$E$143,DMTK!$B211)</f>
        <v>0</v>
      </c>
      <c r="I211" s="10"/>
      <c r="J211" s="28">
        <f t="shared" si="15"/>
        <v>0</v>
      </c>
      <c r="K211" s="10"/>
      <c r="L211" s="10"/>
      <c r="M211" s="29">
        <f t="shared" si="16"/>
        <v>0</v>
      </c>
      <c r="N211" s="10">
        <f t="shared" si="17"/>
        <v>0</v>
      </c>
      <c r="O211" s="12">
        <f t="shared" si="18"/>
        <v>0</v>
      </c>
      <c r="P211" s="10">
        <f t="shared" si="19"/>
        <v>0</v>
      </c>
      <c r="Q211" s="12"/>
    </row>
    <row r="212" spans="1:17" ht="16.5" customHeight="1" x14ac:dyDescent="0.3">
      <c r="A212" s="12"/>
      <c r="B212" s="7" t="s">
        <v>612</v>
      </c>
      <c r="C212" s="25" t="s">
        <v>8</v>
      </c>
      <c r="D212" s="9" t="s">
        <v>613</v>
      </c>
      <c r="E212" s="26"/>
      <c r="F212" s="10">
        <v>0</v>
      </c>
      <c r="G212" s="27">
        <f>SUMIFS(CT!$H$5:$H$143,CT!$D$5:$D$143,DMTK!$B212)</f>
        <v>48800000</v>
      </c>
      <c r="H212" s="27">
        <f>SUMIFS(CT!$H$5:$H$143,CT!$E$5:$E$143,DMTK!$B212)</f>
        <v>48800000</v>
      </c>
      <c r="I212" s="10"/>
      <c r="J212" s="28">
        <f t="shared" si="15"/>
        <v>0</v>
      </c>
      <c r="K212" s="10"/>
      <c r="L212" s="10"/>
      <c r="M212" s="29">
        <f t="shared" si="16"/>
        <v>0</v>
      </c>
      <c r="N212" s="10">
        <f t="shared" si="17"/>
        <v>0</v>
      </c>
      <c r="O212" s="12">
        <f t="shared" si="18"/>
        <v>0</v>
      </c>
      <c r="P212" s="10">
        <f t="shared" si="19"/>
        <v>0</v>
      </c>
      <c r="Q212" s="12"/>
    </row>
    <row r="213" spans="1:17" ht="16.5" customHeight="1" x14ac:dyDescent="0.3">
      <c r="A213" s="12"/>
      <c r="B213" s="7" t="s">
        <v>614</v>
      </c>
      <c r="C213" s="25" t="s">
        <v>8</v>
      </c>
      <c r="D213" s="9" t="s">
        <v>615</v>
      </c>
      <c r="E213" s="26"/>
      <c r="F213" s="10">
        <v>0</v>
      </c>
      <c r="G213" s="27">
        <f>SUMIFS(CT!$H$5:$H$143,CT!$D$5:$D$143,DMTK!$B213)</f>
        <v>48800000</v>
      </c>
      <c r="H213" s="27">
        <f>SUMIFS(CT!$H$5:$H$143,CT!$E$5:$E$143,DMTK!$B213)</f>
        <v>48800000</v>
      </c>
      <c r="I213" s="10"/>
      <c r="J213" s="28">
        <f t="shared" si="15"/>
        <v>0</v>
      </c>
      <c r="K213" s="10"/>
      <c r="L213" s="10"/>
      <c r="M213" s="29">
        <f t="shared" si="16"/>
        <v>0</v>
      </c>
      <c r="N213" s="10">
        <f t="shared" si="17"/>
        <v>0</v>
      </c>
      <c r="O213" s="12">
        <f t="shared" si="18"/>
        <v>0</v>
      </c>
      <c r="P213" s="10">
        <f t="shared" si="19"/>
        <v>0</v>
      </c>
      <c r="Q213" s="12"/>
    </row>
    <row r="214" spans="1:17" ht="16.5" customHeight="1" x14ac:dyDescent="0.3">
      <c r="A214" s="12"/>
      <c r="B214" s="7" t="s">
        <v>616</v>
      </c>
      <c r="C214" s="25" t="s">
        <v>8</v>
      </c>
      <c r="D214" s="9" t="s">
        <v>617</v>
      </c>
      <c r="E214" s="26"/>
      <c r="F214" s="10">
        <v>0</v>
      </c>
      <c r="G214" s="27">
        <f>SUMIFS(CT!$H$5:$H$143,CT!$D$5:$D$143,DMTK!$B214)</f>
        <v>48800000</v>
      </c>
      <c r="H214" s="27">
        <f>SUMIFS(CT!$H$5:$H$143,CT!$E$5:$E$143,DMTK!$B214)</f>
        <v>48800000</v>
      </c>
      <c r="I214" s="10"/>
      <c r="J214" s="28">
        <f t="shared" si="15"/>
        <v>0</v>
      </c>
      <c r="K214" s="10"/>
      <c r="L214" s="10"/>
      <c r="M214" s="29">
        <f t="shared" si="16"/>
        <v>0</v>
      </c>
      <c r="N214" s="10">
        <f t="shared" si="17"/>
        <v>0</v>
      </c>
      <c r="O214" s="12">
        <f t="shared" si="18"/>
        <v>0</v>
      </c>
      <c r="P214" s="10">
        <f t="shared" si="19"/>
        <v>0</v>
      </c>
      <c r="Q214" s="12"/>
    </row>
    <row r="215" spans="1:17" ht="16.5" customHeight="1" x14ac:dyDescent="0.3">
      <c r="A215" s="12"/>
      <c r="B215" s="7" t="s">
        <v>618</v>
      </c>
      <c r="C215" s="25" t="s">
        <v>8</v>
      </c>
      <c r="D215" s="9" t="s">
        <v>619</v>
      </c>
      <c r="E215" s="26"/>
      <c r="F215" s="10">
        <v>0</v>
      </c>
      <c r="G215" s="27">
        <f>SUMIFS(CT!$H$5:$H$143,CT!$D$5:$D$143,DMTK!$B215)</f>
        <v>48800000</v>
      </c>
      <c r="H215" s="27">
        <f>SUMIFS(CT!$H$5:$H$143,CT!$E$5:$E$143,DMTK!$B215)</f>
        <v>48800000</v>
      </c>
      <c r="I215" s="10"/>
      <c r="J215" s="28">
        <f t="shared" si="15"/>
        <v>0</v>
      </c>
      <c r="K215" s="10"/>
      <c r="L215" s="10"/>
      <c r="M215" s="29">
        <f t="shared" si="16"/>
        <v>0</v>
      </c>
      <c r="N215" s="10">
        <f t="shared" si="17"/>
        <v>0</v>
      </c>
      <c r="O215" s="12">
        <f t="shared" si="18"/>
        <v>0</v>
      </c>
      <c r="P215" s="10">
        <f t="shared" si="19"/>
        <v>0</v>
      </c>
      <c r="Q215" s="12"/>
    </row>
    <row r="216" spans="1:17" ht="16.5" customHeight="1" x14ac:dyDescent="0.3">
      <c r="A216" s="12"/>
      <c r="B216" s="7" t="s">
        <v>620</v>
      </c>
      <c r="C216" s="25" t="s">
        <v>8</v>
      </c>
      <c r="D216" s="9" t="s">
        <v>621</v>
      </c>
      <c r="E216" s="26"/>
      <c r="F216" s="10">
        <v>0</v>
      </c>
      <c r="G216" s="27">
        <f>SUMIFS(CT!$H$5:$H$143,CT!$D$5:$D$143,DMTK!$B216)</f>
        <v>48800000</v>
      </c>
      <c r="H216" s="27">
        <f>SUMIFS(CT!$H$5:$H$143,CT!$E$5:$E$143,DMTK!$B216)</f>
        <v>48800000</v>
      </c>
      <c r="I216" s="10"/>
      <c r="J216" s="28">
        <f t="shared" si="15"/>
        <v>0</v>
      </c>
      <c r="K216" s="10"/>
      <c r="L216" s="10"/>
      <c r="M216" s="29">
        <f t="shared" si="16"/>
        <v>0</v>
      </c>
      <c r="N216" s="10">
        <f t="shared" si="17"/>
        <v>0</v>
      </c>
      <c r="O216" s="12">
        <f t="shared" si="18"/>
        <v>0</v>
      </c>
      <c r="P216" s="10">
        <f t="shared" si="19"/>
        <v>0</v>
      </c>
      <c r="Q216" s="12"/>
    </row>
    <row r="217" spans="1:17" ht="16.5" customHeight="1" x14ac:dyDescent="0.3">
      <c r="A217" s="12"/>
      <c r="B217" s="7" t="s">
        <v>622</v>
      </c>
      <c r="C217" s="25" t="s">
        <v>8</v>
      </c>
      <c r="D217" s="9" t="s">
        <v>623</v>
      </c>
      <c r="E217" s="26"/>
      <c r="F217" s="10">
        <v>0</v>
      </c>
      <c r="G217" s="27">
        <f>SUMIFS(CT!$H$5:$H$143,CT!$D$5:$D$143,DMTK!$B217)</f>
        <v>0</v>
      </c>
      <c r="H217" s="27">
        <f>SUMIFS(CT!$H$5:$H$143,CT!$E$5:$E$143,DMTK!$B217)</f>
        <v>0</v>
      </c>
      <c r="I217" s="10"/>
      <c r="J217" s="28">
        <f t="shared" si="15"/>
        <v>0</v>
      </c>
      <c r="K217" s="10"/>
      <c r="L217" s="10"/>
      <c r="M217" s="29">
        <f t="shared" si="16"/>
        <v>0</v>
      </c>
      <c r="N217" s="10">
        <f t="shared" si="17"/>
        <v>0</v>
      </c>
      <c r="O217" s="12">
        <f t="shared" si="18"/>
        <v>0</v>
      </c>
      <c r="P217" s="10">
        <f t="shared" si="19"/>
        <v>0</v>
      </c>
      <c r="Q217" s="12"/>
    </row>
    <row r="218" spans="1:17" ht="16.5" customHeight="1" x14ac:dyDescent="0.3">
      <c r="A218" s="12"/>
      <c r="B218" s="7" t="s">
        <v>624</v>
      </c>
      <c r="C218" s="25" t="s">
        <v>8</v>
      </c>
      <c r="D218" s="12" t="s">
        <v>625</v>
      </c>
      <c r="E218" s="26"/>
      <c r="F218" s="10">
        <v>0</v>
      </c>
      <c r="G218" s="27">
        <f>SUMIFS(CT!$H$5:$H$143,CT!$D$5:$D$143,DMTK!$B218)</f>
        <v>0</v>
      </c>
      <c r="H218" s="27">
        <f>SUMIFS(CT!$H$5:$H$143,CT!$E$5:$E$143,DMTK!$B218)</f>
        <v>0</v>
      </c>
      <c r="I218" s="10"/>
      <c r="J218" s="28">
        <f t="shared" si="15"/>
        <v>0</v>
      </c>
      <c r="K218" s="10"/>
      <c r="L218" s="10"/>
      <c r="M218" s="29">
        <f t="shared" si="16"/>
        <v>0</v>
      </c>
      <c r="N218" s="10">
        <f t="shared" si="17"/>
        <v>0</v>
      </c>
      <c r="O218" s="12">
        <f t="shared" si="18"/>
        <v>0</v>
      </c>
      <c r="P218" s="10">
        <f t="shared" si="19"/>
        <v>0</v>
      </c>
      <c r="Q218" s="12"/>
    </row>
    <row r="219" spans="1:17" ht="16.5" customHeight="1" x14ac:dyDescent="0.3">
      <c r="A219" s="12"/>
      <c r="B219" s="7" t="s">
        <v>626</v>
      </c>
      <c r="C219" s="25" t="s">
        <v>8</v>
      </c>
      <c r="D219" s="12" t="s">
        <v>627</v>
      </c>
      <c r="E219" s="26"/>
      <c r="F219" s="10">
        <v>0</v>
      </c>
      <c r="G219" s="27">
        <f>SUMIFS(CT!$H$5:$H$143,CT!$D$5:$D$143,DMTK!$B219)</f>
        <v>0</v>
      </c>
      <c r="H219" s="27">
        <f>SUMIFS(CT!$H$5:$H$143,CT!$E$5:$E$143,DMTK!$B219)</f>
        <v>0</v>
      </c>
      <c r="I219" s="10"/>
      <c r="J219" s="28">
        <f t="shared" si="15"/>
        <v>0</v>
      </c>
      <c r="K219" s="10"/>
      <c r="L219" s="10"/>
      <c r="M219" s="29">
        <f t="shared" si="16"/>
        <v>0</v>
      </c>
      <c r="N219" s="10">
        <f t="shared" si="17"/>
        <v>0</v>
      </c>
      <c r="O219" s="12">
        <f t="shared" si="18"/>
        <v>0</v>
      </c>
      <c r="P219" s="10">
        <f t="shared" si="19"/>
        <v>0</v>
      </c>
      <c r="Q219" s="12"/>
    </row>
    <row r="220" spans="1:17" ht="16.5" customHeight="1" x14ac:dyDescent="0.3">
      <c r="A220" s="12"/>
      <c r="B220" s="7" t="s">
        <v>628</v>
      </c>
      <c r="C220" s="25" t="s">
        <v>8</v>
      </c>
      <c r="D220" s="9" t="s">
        <v>629</v>
      </c>
      <c r="E220" s="26"/>
      <c r="F220" s="10">
        <v>0</v>
      </c>
      <c r="G220" s="27">
        <f>SUMIFS(CT!$H$5:$H$143,CT!$D$5:$D$143,DMTK!$B220)</f>
        <v>0</v>
      </c>
      <c r="H220" s="27">
        <f>SUMIFS(CT!$H$5:$H$143,CT!$E$5:$E$143,DMTK!$B220)</f>
        <v>0</v>
      </c>
      <c r="I220" s="10"/>
      <c r="J220" s="28">
        <f t="shared" si="15"/>
        <v>0</v>
      </c>
      <c r="K220" s="10"/>
      <c r="L220" s="10"/>
      <c r="M220" s="29">
        <f t="shared" si="16"/>
        <v>0</v>
      </c>
      <c r="N220" s="10">
        <f t="shared" si="17"/>
        <v>0</v>
      </c>
      <c r="O220" s="12">
        <f t="shared" si="18"/>
        <v>0</v>
      </c>
      <c r="P220" s="10">
        <f t="shared" si="19"/>
        <v>0</v>
      </c>
      <c r="Q220" s="12"/>
    </row>
    <row r="221" spans="1:17" ht="16.5" customHeight="1" x14ac:dyDescent="0.3">
      <c r="A221" s="12"/>
      <c r="B221" s="7" t="s">
        <v>630</v>
      </c>
      <c r="C221" s="25" t="s">
        <v>8</v>
      </c>
      <c r="D221" s="9" t="s">
        <v>631</v>
      </c>
      <c r="E221" s="26"/>
      <c r="F221" s="10">
        <v>0</v>
      </c>
      <c r="G221" s="27">
        <f>SUMIFS(CT!$H$5:$H$143,CT!$D$5:$D$143,DMTK!$B221)</f>
        <v>0</v>
      </c>
      <c r="H221" s="27">
        <f>SUMIFS(CT!$H$5:$H$143,CT!$E$5:$E$143,DMTK!$B221)</f>
        <v>0</v>
      </c>
      <c r="I221" s="10"/>
      <c r="J221" s="28">
        <f t="shared" si="15"/>
        <v>0</v>
      </c>
      <c r="K221" s="10"/>
      <c r="L221" s="10"/>
      <c r="M221" s="29">
        <f t="shared" si="16"/>
        <v>0</v>
      </c>
      <c r="N221" s="10">
        <f t="shared" si="17"/>
        <v>0</v>
      </c>
      <c r="O221" s="12">
        <f t="shared" si="18"/>
        <v>0</v>
      </c>
      <c r="P221" s="10">
        <f t="shared" si="19"/>
        <v>0</v>
      </c>
      <c r="Q221" s="12"/>
    </row>
    <row r="222" spans="1:17" ht="16.5" customHeight="1" x14ac:dyDescent="0.3">
      <c r="A222" s="12"/>
      <c r="B222" s="7" t="s">
        <v>632</v>
      </c>
      <c r="C222" s="25" t="s">
        <v>8</v>
      </c>
      <c r="D222" s="9" t="s">
        <v>633</v>
      </c>
      <c r="E222" s="26"/>
      <c r="F222" s="10">
        <v>0</v>
      </c>
      <c r="G222" s="27">
        <f>SUMIFS(CT!$H$5:$H$143,CT!$D$5:$D$143,DMTK!$B222)</f>
        <v>0</v>
      </c>
      <c r="H222" s="27">
        <f>SUMIFS(CT!$H$5:$H$143,CT!$E$5:$E$143,DMTK!$B222)</f>
        <v>0</v>
      </c>
      <c r="I222" s="10"/>
      <c r="J222" s="28">
        <f t="shared" si="15"/>
        <v>0</v>
      </c>
      <c r="K222" s="10"/>
      <c r="L222" s="10"/>
      <c r="M222" s="29">
        <f t="shared" si="16"/>
        <v>0</v>
      </c>
      <c r="N222" s="10">
        <f t="shared" si="17"/>
        <v>0</v>
      </c>
      <c r="O222" s="12">
        <f t="shared" si="18"/>
        <v>0</v>
      </c>
      <c r="P222" s="10">
        <f t="shared" si="19"/>
        <v>0</v>
      </c>
      <c r="Q222" s="12"/>
    </row>
    <row r="223" spans="1:17" ht="16.5" customHeight="1" x14ac:dyDescent="0.3">
      <c r="A223" s="12"/>
      <c r="B223" s="7" t="s">
        <v>634</v>
      </c>
      <c r="C223" s="25" t="s">
        <v>8</v>
      </c>
      <c r="D223" s="9" t="s">
        <v>635</v>
      </c>
      <c r="E223" s="26"/>
      <c r="F223" s="10">
        <v>0</v>
      </c>
      <c r="G223" s="27">
        <f>SUMIFS(CT!$H$5:$H$143,CT!$D$5:$D$143,DMTK!$B223)</f>
        <v>42700000</v>
      </c>
      <c r="H223" s="27">
        <f>SUMIFS(CT!$H$5:$H$143,CT!$E$5:$E$143,DMTK!$B223)</f>
        <v>42700000</v>
      </c>
      <c r="I223" s="10"/>
      <c r="J223" s="28">
        <f t="shared" si="15"/>
        <v>0</v>
      </c>
      <c r="K223" s="10"/>
      <c r="L223" s="10"/>
      <c r="M223" s="29">
        <f t="shared" si="16"/>
        <v>0</v>
      </c>
      <c r="N223" s="10">
        <f t="shared" si="17"/>
        <v>0</v>
      </c>
      <c r="O223" s="12">
        <f t="shared" si="18"/>
        <v>0</v>
      </c>
      <c r="P223" s="10">
        <f t="shared" si="19"/>
        <v>0</v>
      </c>
      <c r="Q223" s="12"/>
    </row>
    <row r="224" spans="1:17" ht="16.5" customHeight="1" x14ac:dyDescent="0.3">
      <c r="A224" s="12"/>
      <c r="B224" s="7" t="s">
        <v>636</v>
      </c>
      <c r="C224" s="25" t="s">
        <v>8</v>
      </c>
      <c r="D224" s="12" t="s">
        <v>625</v>
      </c>
      <c r="E224" s="26"/>
      <c r="F224" s="10">
        <v>0</v>
      </c>
      <c r="G224" s="27">
        <f>SUMIFS(CT!$H$5:$H$143,CT!$D$5:$D$143,DMTK!$B224)</f>
        <v>0</v>
      </c>
      <c r="H224" s="27">
        <f>SUMIFS(CT!$H$5:$H$143,CT!$E$5:$E$143,DMTK!$B224)</f>
        <v>0</v>
      </c>
      <c r="I224" s="10"/>
      <c r="J224" s="28">
        <f t="shared" si="15"/>
        <v>0</v>
      </c>
      <c r="K224" s="10"/>
      <c r="L224" s="10"/>
      <c r="M224" s="29">
        <f t="shared" si="16"/>
        <v>0</v>
      </c>
      <c r="N224" s="10">
        <f t="shared" si="17"/>
        <v>0</v>
      </c>
      <c r="O224" s="12">
        <f t="shared" si="18"/>
        <v>0</v>
      </c>
      <c r="P224" s="10">
        <f t="shared" si="19"/>
        <v>0</v>
      </c>
      <c r="Q224" s="12"/>
    </row>
    <row r="225" spans="1:17" ht="16.5" customHeight="1" x14ac:dyDescent="0.3">
      <c r="A225" s="12"/>
      <c r="B225" s="7" t="s">
        <v>637</v>
      </c>
      <c r="C225" s="25" t="s">
        <v>8</v>
      </c>
      <c r="D225" s="9" t="s">
        <v>627</v>
      </c>
      <c r="E225" s="26"/>
      <c r="F225" s="10">
        <v>0</v>
      </c>
      <c r="G225" s="27">
        <f>SUMIFS(CT!$H$5:$H$143,CT!$D$5:$D$143,DMTK!$B225)</f>
        <v>500000</v>
      </c>
      <c r="H225" s="27">
        <f>SUMIFS(CT!$H$5:$H$143,CT!$E$5:$E$143,DMTK!$B225)</f>
        <v>500000</v>
      </c>
      <c r="I225" s="10"/>
      <c r="J225" s="28">
        <f t="shared" si="15"/>
        <v>0</v>
      </c>
      <c r="K225" s="10"/>
      <c r="L225" s="10"/>
      <c r="M225" s="29">
        <f t="shared" si="16"/>
        <v>0</v>
      </c>
      <c r="N225" s="10">
        <f t="shared" si="17"/>
        <v>0</v>
      </c>
      <c r="O225" s="12">
        <f t="shared" si="18"/>
        <v>0</v>
      </c>
      <c r="P225" s="10">
        <f t="shared" si="19"/>
        <v>0</v>
      </c>
      <c r="Q225" s="12"/>
    </row>
    <row r="226" spans="1:17" ht="16.5" customHeight="1" x14ac:dyDescent="0.3">
      <c r="A226" s="12"/>
      <c r="B226" s="7" t="s">
        <v>638</v>
      </c>
      <c r="C226" s="25" t="s">
        <v>8</v>
      </c>
      <c r="D226" s="9" t="s">
        <v>639</v>
      </c>
      <c r="E226" s="26"/>
      <c r="F226" s="10">
        <v>0</v>
      </c>
      <c r="G226" s="27">
        <f>SUMIFS(CT!$H$5:$H$143,CT!$D$5:$D$143,DMTK!$B226)</f>
        <v>1666666</v>
      </c>
      <c r="H226" s="27">
        <f>SUMIFS(CT!$H$5:$H$143,CT!$E$5:$E$143,DMTK!$B226)</f>
        <v>1666666</v>
      </c>
      <c r="I226" s="10"/>
      <c r="J226" s="28">
        <f t="shared" si="15"/>
        <v>0</v>
      </c>
      <c r="K226" s="10"/>
      <c r="L226" s="10"/>
      <c r="M226" s="29">
        <f t="shared" si="16"/>
        <v>0</v>
      </c>
      <c r="N226" s="10">
        <f t="shared" si="17"/>
        <v>0</v>
      </c>
      <c r="O226" s="12">
        <f t="shared" si="18"/>
        <v>0</v>
      </c>
      <c r="P226" s="10">
        <f t="shared" si="19"/>
        <v>0</v>
      </c>
      <c r="Q226" s="12"/>
    </row>
    <row r="227" spans="1:17" ht="16.5" customHeight="1" x14ac:dyDescent="0.3">
      <c r="A227" s="12"/>
      <c r="B227" s="7" t="s">
        <v>640</v>
      </c>
      <c r="C227" s="25" t="s">
        <v>8</v>
      </c>
      <c r="D227" s="9" t="s">
        <v>631</v>
      </c>
      <c r="E227" s="26"/>
      <c r="F227" s="10">
        <v>0</v>
      </c>
      <c r="G227" s="27">
        <f>SUMIFS(CT!$H$5:$H$143,CT!$D$5:$D$143,DMTK!$B227)</f>
        <v>0</v>
      </c>
      <c r="H227" s="27">
        <f>SUMIFS(CT!$H$5:$H$143,CT!$E$5:$E$143,DMTK!$B227)</f>
        <v>0</v>
      </c>
      <c r="I227" s="10"/>
      <c r="J227" s="28">
        <f t="shared" si="15"/>
        <v>0</v>
      </c>
      <c r="K227" s="10"/>
      <c r="L227" s="10"/>
      <c r="M227" s="29">
        <f t="shared" si="16"/>
        <v>0</v>
      </c>
      <c r="N227" s="10">
        <f t="shared" si="17"/>
        <v>0</v>
      </c>
      <c r="O227" s="12">
        <f t="shared" si="18"/>
        <v>0</v>
      </c>
      <c r="P227" s="10">
        <f t="shared" si="19"/>
        <v>0</v>
      </c>
      <c r="Q227" s="12"/>
    </row>
    <row r="228" spans="1:17" ht="16.5" customHeight="1" x14ac:dyDescent="0.3">
      <c r="A228" s="12"/>
      <c r="B228" s="7" t="s">
        <v>641</v>
      </c>
      <c r="C228" s="25" t="s">
        <v>8</v>
      </c>
      <c r="D228" s="9" t="s">
        <v>633</v>
      </c>
      <c r="E228" s="26"/>
      <c r="F228" s="10">
        <v>0</v>
      </c>
      <c r="G228" s="27">
        <f>SUMIFS(CT!$H$5:$H$143,CT!$D$5:$D$143,DMTK!$B228)</f>
        <v>0</v>
      </c>
      <c r="H228" s="27">
        <f>SUMIFS(CT!$H$5:$H$143,CT!$E$5:$E$143,DMTK!$B228)</f>
        <v>0</v>
      </c>
      <c r="I228" s="10"/>
      <c r="J228" s="28">
        <f t="shared" si="15"/>
        <v>0</v>
      </c>
      <c r="K228" s="10"/>
      <c r="L228" s="10"/>
      <c r="M228" s="29">
        <f t="shared" si="16"/>
        <v>0</v>
      </c>
      <c r="N228" s="10">
        <f t="shared" si="17"/>
        <v>0</v>
      </c>
      <c r="O228" s="12">
        <f t="shared" si="18"/>
        <v>0</v>
      </c>
      <c r="P228" s="10">
        <f t="shared" si="19"/>
        <v>0</v>
      </c>
      <c r="Q228" s="12"/>
    </row>
    <row r="229" spans="1:17" ht="16.5" customHeight="1" x14ac:dyDescent="0.3">
      <c r="A229" s="12"/>
      <c r="B229" s="7" t="s">
        <v>143</v>
      </c>
      <c r="C229" s="25" t="s">
        <v>8</v>
      </c>
      <c r="D229" s="9" t="s">
        <v>144</v>
      </c>
      <c r="E229" s="26"/>
      <c r="F229" s="10">
        <v>0</v>
      </c>
      <c r="G229" s="27">
        <f>SUMIFS(CT!$H$5:$H$143,CT!$D$5:$D$143,DMTK!$B229)</f>
        <v>0</v>
      </c>
      <c r="H229" s="27">
        <f>SUMIFS(CT!$H$5:$H$143,CT!$E$5:$E$143,DMTK!$B229)</f>
        <v>0</v>
      </c>
      <c r="I229" s="10"/>
      <c r="J229" s="28">
        <f t="shared" si="15"/>
        <v>0</v>
      </c>
      <c r="K229" s="10"/>
      <c r="L229" s="10"/>
      <c r="M229" s="29">
        <f t="shared" si="16"/>
        <v>0</v>
      </c>
      <c r="N229" s="10">
        <f t="shared" si="17"/>
        <v>0</v>
      </c>
      <c r="O229" s="12">
        <f t="shared" si="18"/>
        <v>0</v>
      </c>
      <c r="P229" s="10">
        <f t="shared" si="19"/>
        <v>0</v>
      </c>
      <c r="Q229" s="12"/>
    </row>
    <row r="230" spans="1:17" ht="16.5" customHeight="1" x14ac:dyDescent="0.3">
      <c r="A230" s="12"/>
      <c r="B230" s="7" t="s">
        <v>642</v>
      </c>
      <c r="C230" s="25" t="s">
        <v>8</v>
      </c>
      <c r="D230" s="9" t="s">
        <v>643</v>
      </c>
      <c r="E230" s="26"/>
      <c r="F230" s="10">
        <v>0</v>
      </c>
      <c r="G230" s="27">
        <f>SUMIFS(CT!$H$5:$H$143,CT!$D$5:$D$143,DMTK!$B230)</f>
        <v>25123700</v>
      </c>
      <c r="H230" s="27">
        <f>SUMIFS(CT!$H$5:$H$143,CT!$E$5:$E$143,DMTK!$B230)</f>
        <v>25123700</v>
      </c>
      <c r="I230" s="10"/>
      <c r="J230" s="28">
        <f t="shared" si="15"/>
        <v>0</v>
      </c>
      <c r="K230" s="10"/>
      <c r="L230" s="10"/>
      <c r="M230" s="29">
        <f t="shared" si="16"/>
        <v>0</v>
      </c>
      <c r="N230" s="10">
        <f t="shared" si="17"/>
        <v>0</v>
      </c>
      <c r="O230" s="12">
        <f t="shared" si="18"/>
        <v>0</v>
      </c>
      <c r="P230" s="10">
        <f t="shared" si="19"/>
        <v>0</v>
      </c>
      <c r="Q230" s="12"/>
    </row>
    <row r="231" spans="1:17" ht="16.5" customHeight="1" x14ac:dyDescent="0.3">
      <c r="A231" s="12"/>
      <c r="B231" s="7" t="s">
        <v>644</v>
      </c>
      <c r="C231" s="25" t="s">
        <v>8</v>
      </c>
      <c r="D231" s="9" t="s">
        <v>645</v>
      </c>
      <c r="E231" s="26"/>
      <c r="F231" s="10">
        <v>0</v>
      </c>
      <c r="G231" s="27">
        <f>SUMIFS(CT!$H$5:$H$143,CT!$D$5:$D$143,DMTK!$B231)</f>
        <v>20346200</v>
      </c>
      <c r="H231" s="27">
        <f>SUMIFS(CT!$H$5:$H$143,CT!$E$5:$E$143,DMTK!$B231)</f>
        <v>20346200</v>
      </c>
      <c r="I231" s="10"/>
      <c r="J231" s="28">
        <f t="shared" si="15"/>
        <v>0</v>
      </c>
      <c r="K231" s="10"/>
      <c r="L231" s="10"/>
      <c r="M231" s="29">
        <f t="shared" si="16"/>
        <v>0</v>
      </c>
      <c r="N231" s="10">
        <f t="shared" si="17"/>
        <v>0</v>
      </c>
      <c r="O231" s="12">
        <f t="shared" si="18"/>
        <v>0</v>
      </c>
      <c r="P231" s="10">
        <f t="shared" si="19"/>
        <v>0</v>
      </c>
      <c r="Q231" s="12"/>
    </row>
    <row r="232" spans="1:17" ht="16.5" customHeight="1" x14ac:dyDescent="0.3">
      <c r="A232" s="12"/>
      <c r="B232" s="7" t="s">
        <v>646</v>
      </c>
      <c r="C232" s="25" t="s">
        <v>8</v>
      </c>
      <c r="D232" s="9" t="s">
        <v>647</v>
      </c>
      <c r="E232" s="26"/>
      <c r="F232" s="10">
        <v>0</v>
      </c>
      <c r="G232" s="27">
        <f>SUMIFS(CT!$H$5:$H$143,CT!$D$5:$D$143,DMTK!$B232)</f>
        <v>0</v>
      </c>
      <c r="H232" s="27">
        <f>SUMIFS(CT!$H$5:$H$143,CT!$E$5:$E$143,DMTK!$B232)</f>
        <v>0</v>
      </c>
      <c r="I232" s="10"/>
      <c r="J232" s="28">
        <f t="shared" si="15"/>
        <v>0</v>
      </c>
      <c r="K232" s="10"/>
      <c r="L232" s="10"/>
      <c r="M232" s="29">
        <f t="shared" si="16"/>
        <v>0</v>
      </c>
      <c r="N232" s="10">
        <f t="shared" si="17"/>
        <v>0</v>
      </c>
      <c r="O232" s="12">
        <f t="shared" si="18"/>
        <v>0</v>
      </c>
      <c r="P232" s="10">
        <f t="shared" si="19"/>
        <v>0</v>
      </c>
      <c r="Q232" s="12"/>
    </row>
    <row r="233" spans="1:17" ht="16.5" customHeight="1" x14ac:dyDescent="0.3">
      <c r="A233" s="12"/>
      <c r="B233" s="7" t="s">
        <v>648</v>
      </c>
      <c r="C233" s="25" t="s">
        <v>8</v>
      </c>
      <c r="D233" s="9" t="s">
        <v>649</v>
      </c>
      <c r="E233" s="26"/>
      <c r="F233" s="10">
        <v>0</v>
      </c>
      <c r="G233" s="27">
        <f>SUMIFS(CT!$H$5:$H$143,CT!$D$5:$D$143,DMTK!$B233)</f>
        <v>25000000</v>
      </c>
      <c r="H233" s="27">
        <f>SUMIFS(CT!$H$5:$H$143,CT!$E$5:$E$143,DMTK!$B233)</f>
        <v>25000000</v>
      </c>
      <c r="I233" s="10"/>
      <c r="J233" s="28">
        <f t="shared" si="15"/>
        <v>0</v>
      </c>
      <c r="K233" s="10"/>
      <c r="L233" s="10"/>
      <c r="M233" s="29">
        <f t="shared" si="16"/>
        <v>0</v>
      </c>
      <c r="N233" s="10">
        <f t="shared" si="17"/>
        <v>0</v>
      </c>
      <c r="O233" s="12">
        <f t="shared" si="18"/>
        <v>0</v>
      </c>
      <c r="P233" s="10">
        <f t="shared" si="19"/>
        <v>0</v>
      </c>
      <c r="Q233" s="12"/>
    </row>
    <row r="234" spans="1:17" ht="16.5" customHeight="1" x14ac:dyDescent="0.3">
      <c r="A234" s="12"/>
      <c r="B234" s="7" t="s">
        <v>650</v>
      </c>
      <c r="C234" s="25" t="s">
        <v>8</v>
      </c>
      <c r="D234" s="9" t="s">
        <v>651</v>
      </c>
      <c r="E234" s="26"/>
      <c r="F234" s="10">
        <v>0</v>
      </c>
      <c r="G234" s="27">
        <f>SUMIFS(CT!$H$5:$H$143,CT!$D$5:$D$143,DMTK!$B234)</f>
        <v>0</v>
      </c>
      <c r="H234" s="27">
        <f>SUMIFS(CT!$H$5:$H$143,CT!$E$5:$E$143,DMTK!$B234)</f>
        <v>0</v>
      </c>
      <c r="I234" s="10"/>
      <c r="J234" s="28">
        <f t="shared" si="15"/>
        <v>0</v>
      </c>
      <c r="K234" s="10"/>
      <c r="L234" s="10"/>
      <c r="M234" s="29">
        <f t="shared" si="16"/>
        <v>0</v>
      </c>
      <c r="N234" s="10">
        <f t="shared" si="17"/>
        <v>0</v>
      </c>
      <c r="O234" s="12">
        <f t="shared" si="18"/>
        <v>0</v>
      </c>
      <c r="P234" s="10">
        <f t="shared" si="19"/>
        <v>0</v>
      </c>
      <c r="Q234" s="12"/>
    </row>
    <row r="235" spans="1:17" ht="16.5" customHeight="1" x14ac:dyDescent="0.3">
      <c r="A235" s="12"/>
      <c r="B235" s="7" t="s">
        <v>147</v>
      </c>
      <c r="C235" s="25" t="s">
        <v>8</v>
      </c>
      <c r="D235" s="9" t="s">
        <v>148</v>
      </c>
      <c r="E235" s="26"/>
      <c r="F235" s="10">
        <v>0</v>
      </c>
      <c r="G235" s="27">
        <f>SUMIFS(CT!$H$5:$H$143,CT!$D$5:$D$143,DMTK!$B235)</f>
        <v>0</v>
      </c>
      <c r="H235" s="27">
        <f>SUMIFS(CT!$H$5:$H$143,CT!$E$5:$E$143,DMTK!$B235)</f>
        <v>0</v>
      </c>
      <c r="I235" s="10"/>
      <c r="J235" s="28">
        <f t="shared" si="15"/>
        <v>0</v>
      </c>
      <c r="K235" s="10"/>
      <c r="L235" s="10"/>
      <c r="M235" s="29">
        <f t="shared" si="16"/>
        <v>0</v>
      </c>
      <c r="N235" s="10">
        <f t="shared" si="17"/>
        <v>0</v>
      </c>
      <c r="O235" s="12">
        <f t="shared" si="18"/>
        <v>0</v>
      </c>
      <c r="P235" s="10">
        <f t="shared" si="19"/>
        <v>0</v>
      </c>
      <c r="Q235" s="12"/>
    </row>
    <row r="236" spans="1:17" ht="16.5" customHeight="1" x14ac:dyDescent="0.3">
      <c r="A236" s="12"/>
      <c r="B236" s="7" t="s">
        <v>652</v>
      </c>
      <c r="C236" s="25" t="s">
        <v>8</v>
      </c>
      <c r="D236" s="9" t="s">
        <v>653</v>
      </c>
      <c r="E236" s="26"/>
      <c r="F236" s="10">
        <v>0</v>
      </c>
      <c r="G236" s="27">
        <f>SUMIFS(CT!$H$5:$H$143,CT!$D$5:$D$143,DMTK!$B236)</f>
        <v>0</v>
      </c>
      <c r="H236" s="27">
        <f>SUMIFS(CT!$H$5:$H$143,CT!$E$5:$E$143,DMTK!$B236)</f>
        <v>0</v>
      </c>
      <c r="I236" s="10"/>
      <c r="J236" s="28">
        <f t="shared" si="15"/>
        <v>0</v>
      </c>
      <c r="K236" s="10"/>
      <c r="L236" s="10"/>
      <c r="M236" s="29">
        <f t="shared" si="16"/>
        <v>0</v>
      </c>
      <c r="N236" s="10">
        <f t="shared" si="17"/>
        <v>0</v>
      </c>
      <c r="O236" s="12">
        <f t="shared" si="18"/>
        <v>0</v>
      </c>
      <c r="P236" s="10">
        <f t="shared" si="19"/>
        <v>0</v>
      </c>
      <c r="Q236" s="12"/>
    </row>
    <row r="237" spans="1:17" ht="16.5" customHeight="1" x14ac:dyDescent="0.3">
      <c r="A237" s="12"/>
      <c r="B237" s="7" t="s">
        <v>654</v>
      </c>
      <c r="C237" s="25" t="s">
        <v>8</v>
      </c>
      <c r="D237" s="12" t="s">
        <v>655</v>
      </c>
      <c r="E237" s="26"/>
      <c r="F237" s="10">
        <v>0</v>
      </c>
      <c r="G237" s="27">
        <f>SUMIFS(CT!$H$5:$H$143,CT!$D$5:$D$143,DMTK!$B237)</f>
        <v>6100000</v>
      </c>
      <c r="H237" s="27">
        <f>SUMIFS(CT!$H$5:$H$143,CT!$E$5:$E$143,DMTK!$B237)</f>
        <v>6100000</v>
      </c>
      <c r="I237" s="10"/>
      <c r="J237" s="28">
        <f t="shared" si="15"/>
        <v>0</v>
      </c>
      <c r="K237" s="10"/>
      <c r="L237" s="10"/>
      <c r="M237" s="29">
        <f t="shared" si="16"/>
        <v>0</v>
      </c>
      <c r="N237" s="10">
        <f t="shared" si="17"/>
        <v>0</v>
      </c>
      <c r="O237" s="12">
        <f t="shared" si="18"/>
        <v>0</v>
      </c>
      <c r="P237" s="10">
        <f t="shared" si="19"/>
        <v>0</v>
      </c>
      <c r="Q237" s="12"/>
    </row>
    <row r="238" spans="1:17" ht="16.5" customHeight="1" x14ac:dyDescent="0.3">
      <c r="A238" s="12"/>
      <c r="B238" s="7" t="s">
        <v>656</v>
      </c>
      <c r="C238" s="25" t="s">
        <v>8</v>
      </c>
      <c r="D238" s="12" t="s">
        <v>657</v>
      </c>
      <c r="E238" s="26"/>
      <c r="F238" s="10">
        <v>0</v>
      </c>
      <c r="G238" s="27">
        <f>SUMIFS(CT!$H$5:$H$143,CT!$D$5:$D$143,DMTK!$B238)</f>
        <v>0</v>
      </c>
      <c r="H238" s="27">
        <f>SUMIFS(CT!$H$5:$H$143,CT!$E$5:$E$143,DMTK!$B238)</f>
        <v>0</v>
      </c>
      <c r="I238" s="10"/>
      <c r="J238" s="28">
        <f t="shared" si="15"/>
        <v>0</v>
      </c>
      <c r="K238" s="10"/>
      <c r="L238" s="10"/>
      <c r="M238" s="29">
        <f t="shared" si="16"/>
        <v>0</v>
      </c>
      <c r="N238" s="10">
        <f t="shared" si="17"/>
        <v>0</v>
      </c>
      <c r="O238" s="12">
        <f t="shared" si="18"/>
        <v>0</v>
      </c>
      <c r="P238" s="10">
        <f t="shared" si="19"/>
        <v>0</v>
      </c>
      <c r="Q238" s="12"/>
    </row>
    <row r="239" spans="1:17" ht="16.5" customHeight="1" x14ac:dyDescent="0.3">
      <c r="A239" s="12"/>
      <c r="B239" s="7" t="s">
        <v>658</v>
      </c>
      <c r="C239" s="25" t="s">
        <v>8</v>
      </c>
      <c r="D239" s="11" t="s">
        <v>659</v>
      </c>
      <c r="E239" s="26"/>
      <c r="F239" s="10">
        <v>0</v>
      </c>
      <c r="G239" s="27">
        <f>SUMIFS(CT!$H$5:$H$143,CT!$D$5:$D$143,DMTK!$B239)</f>
        <v>250000</v>
      </c>
      <c r="H239" s="27">
        <f>SUMIFS(CT!$H$5:$H$143,CT!$E$5:$E$143,DMTK!$B239)</f>
        <v>250000</v>
      </c>
      <c r="I239" s="10"/>
      <c r="J239" s="28">
        <f t="shared" si="15"/>
        <v>0</v>
      </c>
      <c r="K239" s="10"/>
      <c r="L239" s="10"/>
      <c r="M239" s="29">
        <f t="shared" si="16"/>
        <v>0</v>
      </c>
      <c r="N239" s="10">
        <f t="shared" si="17"/>
        <v>0</v>
      </c>
      <c r="O239" s="12">
        <f t="shared" si="18"/>
        <v>0</v>
      </c>
      <c r="P239" s="10">
        <f t="shared" si="19"/>
        <v>0</v>
      </c>
      <c r="Q239" s="12"/>
    </row>
    <row r="240" spans="1:17" ht="16.5" customHeight="1" x14ac:dyDescent="0.3">
      <c r="A240" s="12"/>
      <c r="B240" s="7" t="s">
        <v>660</v>
      </c>
      <c r="C240" s="25" t="s">
        <v>8</v>
      </c>
      <c r="D240" s="9" t="s">
        <v>639</v>
      </c>
      <c r="E240" s="26"/>
      <c r="F240" s="10">
        <v>0</v>
      </c>
      <c r="G240" s="27">
        <f>SUMIFS(CT!$H$5:$H$143,CT!$D$5:$D$143,DMTK!$B240)</f>
        <v>0</v>
      </c>
      <c r="H240" s="27">
        <f>SUMIFS(CT!$H$5:$H$143,CT!$E$5:$E$143,DMTK!$B240)</f>
        <v>0</v>
      </c>
      <c r="I240" s="10"/>
      <c r="J240" s="28">
        <f t="shared" si="15"/>
        <v>0</v>
      </c>
      <c r="K240" s="10"/>
      <c r="L240" s="10"/>
      <c r="M240" s="29">
        <f t="shared" si="16"/>
        <v>0</v>
      </c>
      <c r="N240" s="10">
        <f t="shared" si="17"/>
        <v>0</v>
      </c>
      <c r="O240" s="12">
        <f t="shared" si="18"/>
        <v>0</v>
      </c>
      <c r="P240" s="10">
        <f t="shared" si="19"/>
        <v>0</v>
      </c>
      <c r="Q240" s="12"/>
    </row>
    <row r="241" spans="1:17" ht="16.5" customHeight="1" x14ac:dyDescent="0.3">
      <c r="A241" s="12"/>
      <c r="B241" s="7" t="s">
        <v>661</v>
      </c>
      <c r="C241" s="25" t="s">
        <v>8</v>
      </c>
      <c r="D241" s="9" t="s">
        <v>662</v>
      </c>
      <c r="E241" s="26"/>
      <c r="F241" s="10">
        <v>0</v>
      </c>
      <c r="G241" s="27">
        <f>SUMIFS(CT!$H$5:$H$143,CT!$D$5:$D$143,DMTK!$B241)</f>
        <v>0</v>
      </c>
      <c r="H241" s="27">
        <f>SUMIFS(CT!$H$5:$H$143,CT!$E$5:$E$143,DMTK!$B241)</f>
        <v>0</v>
      </c>
      <c r="I241" s="10"/>
      <c r="J241" s="28">
        <f t="shared" si="15"/>
        <v>0</v>
      </c>
      <c r="K241" s="10"/>
      <c r="L241" s="10"/>
      <c r="M241" s="29">
        <f t="shared" si="16"/>
        <v>0</v>
      </c>
      <c r="N241" s="10">
        <f t="shared" si="17"/>
        <v>0</v>
      </c>
      <c r="O241" s="12">
        <f t="shared" si="18"/>
        <v>0</v>
      </c>
      <c r="P241" s="10">
        <f t="shared" si="19"/>
        <v>0</v>
      </c>
      <c r="Q241" s="12"/>
    </row>
    <row r="242" spans="1:17" ht="16.5" customHeight="1" x14ac:dyDescent="0.3">
      <c r="A242" s="12"/>
      <c r="B242" s="7" t="s">
        <v>663</v>
      </c>
      <c r="C242" s="25" t="s">
        <v>8</v>
      </c>
      <c r="D242" s="9" t="s">
        <v>631</v>
      </c>
      <c r="E242" s="26"/>
      <c r="F242" s="10">
        <v>0</v>
      </c>
      <c r="G242" s="27">
        <f>SUMIFS(CT!$H$5:$H$143,CT!$D$5:$D$143,DMTK!$B242)</f>
        <v>0</v>
      </c>
      <c r="H242" s="27">
        <f>SUMIFS(CT!$H$5:$H$143,CT!$E$5:$E$143,DMTK!$B242)</f>
        <v>0</v>
      </c>
      <c r="I242" s="10"/>
      <c r="J242" s="28">
        <f t="shared" si="15"/>
        <v>0</v>
      </c>
      <c r="K242" s="10"/>
      <c r="L242" s="10"/>
      <c r="M242" s="29">
        <f t="shared" si="16"/>
        <v>0</v>
      </c>
      <c r="N242" s="10">
        <f t="shared" si="17"/>
        <v>0</v>
      </c>
      <c r="O242" s="12">
        <f t="shared" si="18"/>
        <v>0</v>
      </c>
      <c r="P242" s="10">
        <f t="shared" si="19"/>
        <v>0</v>
      </c>
      <c r="Q242" s="12"/>
    </row>
    <row r="243" spans="1:17" ht="16.5" customHeight="1" x14ac:dyDescent="0.3">
      <c r="A243" s="12"/>
      <c r="B243" s="7" t="s">
        <v>664</v>
      </c>
      <c r="C243" s="25" t="s">
        <v>8</v>
      </c>
      <c r="D243" s="9" t="s">
        <v>633</v>
      </c>
      <c r="E243" s="26"/>
      <c r="F243" s="10">
        <v>0</v>
      </c>
      <c r="G243" s="27">
        <f>SUMIFS(CT!$H$5:$H$143,CT!$D$5:$D$143,DMTK!$B243)</f>
        <v>0</v>
      </c>
      <c r="H243" s="27">
        <f>SUMIFS(CT!$H$5:$H$143,CT!$E$5:$E$143,DMTK!$B243)</f>
        <v>0</v>
      </c>
      <c r="I243" s="10"/>
      <c r="J243" s="28">
        <f t="shared" si="15"/>
        <v>0</v>
      </c>
      <c r="K243" s="10"/>
      <c r="L243" s="10"/>
      <c r="M243" s="29">
        <f t="shared" si="16"/>
        <v>0</v>
      </c>
      <c r="N243" s="10">
        <f t="shared" si="17"/>
        <v>0</v>
      </c>
      <c r="O243" s="12">
        <f t="shared" si="18"/>
        <v>0</v>
      </c>
      <c r="P243" s="10">
        <f t="shared" si="19"/>
        <v>0</v>
      </c>
      <c r="Q243" s="12"/>
    </row>
    <row r="244" spans="1:17" ht="16.5" customHeight="1" x14ac:dyDescent="0.3">
      <c r="A244" s="12"/>
      <c r="B244" s="7" t="s">
        <v>665</v>
      </c>
      <c r="C244" s="25" t="s">
        <v>8</v>
      </c>
      <c r="D244" s="9" t="s">
        <v>666</v>
      </c>
      <c r="E244" s="26"/>
      <c r="F244" s="10">
        <v>0</v>
      </c>
      <c r="G244" s="27">
        <f>SUMIFS(CT!$H$5:$H$143,CT!$D$5:$D$143,DMTK!$B244)</f>
        <v>8540000</v>
      </c>
      <c r="H244" s="27">
        <f>SUMIFS(CT!$H$5:$H$143,CT!$E$5:$E$143,DMTK!$B244)</f>
        <v>8540000</v>
      </c>
      <c r="I244" s="10"/>
      <c r="J244" s="28">
        <f t="shared" si="15"/>
        <v>0</v>
      </c>
      <c r="K244" s="10"/>
      <c r="L244" s="10"/>
      <c r="M244" s="29">
        <f t="shared" si="16"/>
        <v>0</v>
      </c>
      <c r="N244" s="10">
        <f t="shared" si="17"/>
        <v>0</v>
      </c>
      <c r="O244" s="12">
        <f t="shared" si="18"/>
        <v>0</v>
      </c>
      <c r="P244" s="10">
        <f t="shared" si="19"/>
        <v>0</v>
      </c>
      <c r="Q244" s="12"/>
    </row>
    <row r="245" spans="1:17" ht="16.5" customHeight="1" x14ac:dyDescent="0.3">
      <c r="A245" s="12"/>
      <c r="B245" s="7" t="s">
        <v>667</v>
      </c>
      <c r="C245" s="25" t="s">
        <v>8</v>
      </c>
      <c r="D245" s="9" t="s">
        <v>668</v>
      </c>
      <c r="E245" s="26"/>
      <c r="F245" s="10">
        <v>0</v>
      </c>
      <c r="G245" s="27">
        <f>SUMIFS(CT!$H$5:$H$143,CT!$D$5:$D$143,DMTK!$B245)</f>
        <v>0</v>
      </c>
      <c r="H245" s="27">
        <f>SUMIFS(CT!$H$5:$H$143,CT!$E$5:$E$143,DMTK!$B245)</f>
        <v>0</v>
      </c>
      <c r="I245" s="10"/>
      <c r="J245" s="28">
        <f t="shared" si="15"/>
        <v>0</v>
      </c>
      <c r="K245" s="10"/>
      <c r="L245" s="10"/>
      <c r="M245" s="29">
        <f t="shared" si="16"/>
        <v>0</v>
      </c>
      <c r="N245" s="10">
        <f t="shared" si="17"/>
        <v>0</v>
      </c>
      <c r="O245" s="12">
        <f t="shared" si="18"/>
        <v>0</v>
      </c>
      <c r="P245" s="10">
        <f t="shared" si="19"/>
        <v>0</v>
      </c>
      <c r="Q245" s="12"/>
    </row>
    <row r="246" spans="1:17" ht="16.5" customHeight="1" x14ac:dyDescent="0.3">
      <c r="A246" s="12"/>
      <c r="B246" s="7" t="s">
        <v>669</v>
      </c>
      <c r="C246" s="25" t="s">
        <v>8</v>
      </c>
      <c r="D246" s="9" t="s">
        <v>670</v>
      </c>
      <c r="E246" s="26"/>
      <c r="F246" s="10">
        <v>0</v>
      </c>
      <c r="G246" s="27">
        <f>SUMIFS(CT!$H$5:$H$143,CT!$D$5:$D$143,DMTK!$B246)</f>
        <v>500000</v>
      </c>
      <c r="H246" s="27">
        <f>SUMIFS(CT!$H$5:$H$143,CT!$E$5:$E$143,DMTK!$B246)</f>
        <v>500000</v>
      </c>
      <c r="I246" s="10"/>
      <c r="J246" s="28">
        <f t="shared" si="15"/>
        <v>0</v>
      </c>
      <c r="K246" s="10"/>
      <c r="L246" s="10"/>
      <c r="M246" s="29">
        <f t="shared" si="16"/>
        <v>0</v>
      </c>
      <c r="N246" s="10">
        <f t="shared" si="17"/>
        <v>0</v>
      </c>
      <c r="O246" s="12">
        <f t="shared" si="18"/>
        <v>0</v>
      </c>
      <c r="P246" s="10">
        <f t="shared" si="19"/>
        <v>0</v>
      </c>
      <c r="Q246" s="12"/>
    </row>
    <row r="247" spans="1:17" ht="16.5" customHeight="1" x14ac:dyDescent="0.3">
      <c r="A247" s="12"/>
      <c r="B247" s="7" t="s">
        <v>671</v>
      </c>
      <c r="C247" s="25" t="s">
        <v>8</v>
      </c>
      <c r="D247" s="9" t="s">
        <v>639</v>
      </c>
      <c r="E247" s="26"/>
      <c r="F247" s="10">
        <v>0</v>
      </c>
      <c r="G247" s="27">
        <f>SUMIFS(CT!$H$5:$H$143,CT!$D$5:$D$143,DMTK!$B247)</f>
        <v>458333</v>
      </c>
      <c r="H247" s="27">
        <f>SUMIFS(CT!$H$5:$H$143,CT!$E$5:$E$143,DMTK!$B247)</f>
        <v>458333</v>
      </c>
      <c r="I247" s="10"/>
      <c r="J247" s="28">
        <f t="shared" si="15"/>
        <v>0</v>
      </c>
      <c r="K247" s="10"/>
      <c r="L247" s="10"/>
      <c r="M247" s="29">
        <f t="shared" si="16"/>
        <v>0</v>
      </c>
      <c r="N247" s="10">
        <f t="shared" si="17"/>
        <v>0</v>
      </c>
      <c r="O247" s="12">
        <f t="shared" si="18"/>
        <v>0</v>
      </c>
      <c r="P247" s="10">
        <f t="shared" si="19"/>
        <v>0</v>
      </c>
      <c r="Q247" s="12"/>
    </row>
    <row r="248" spans="1:17" ht="16.5" customHeight="1" x14ac:dyDescent="0.3">
      <c r="A248" s="12"/>
      <c r="B248" s="7" t="s">
        <v>672</v>
      </c>
      <c r="C248" s="25" t="s">
        <v>8</v>
      </c>
      <c r="D248" s="9" t="s">
        <v>673</v>
      </c>
      <c r="E248" s="26"/>
      <c r="F248" s="10">
        <v>0</v>
      </c>
      <c r="G248" s="27">
        <f>SUMIFS(CT!$H$5:$H$143,CT!$D$5:$D$143,DMTK!$B248)</f>
        <v>0</v>
      </c>
      <c r="H248" s="27">
        <f>SUMIFS(CT!$H$5:$H$143,CT!$E$5:$E$143,DMTK!$B248)</f>
        <v>0</v>
      </c>
      <c r="I248" s="10"/>
      <c r="J248" s="28">
        <f t="shared" si="15"/>
        <v>0</v>
      </c>
      <c r="K248" s="10"/>
      <c r="L248" s="10"/>
      <c r="M248" s="29">
        <f t="shared" si="16"/>
        <v>0</v>
      </c>
      <c r="N248" s="10">
        <f t="shared" si="17"/>
        <v>0</v>
      </c>
      <c r="O248" s="12">
        <f t="shared" si="18"/>
        <v>0</v>
      </c>
      <c r="P248" s="10">
        <f t="shared" si="19"/>
        <v>0</v>
      </c>
      <c r="Q248" s="12"/>
    </row>
    <row r="249" spans="1:17" ht="16.5" customHeight="1" x14ac:dyDescent="0.3">
      <c r="A249" s="12"/>
      <c r="B249" s="7" t="s">
        <v>674</v>
      </c>
      <c r="C249" s="25" t="s">
        <v>8</v>
      </c>
      <c r="D249" s="9" t="s">
        <v>675</v>
      </c>
      <c r="E249" s="26"/>
      <c r="F249" s="10">
        <v>0</v>
      </c>
      <c r="G249" s="27">
        <f>SUMIFS(CT!$H$5:$H$143,CT!$D$5:$D$143,DMTK!$B249)</f>
        <v>0</v>
      </c>
      <c r="H249" s="27">
        <f>SUMIFS(CT!$H$5:$H$143,CT!$E$5:$E$143,DMTK!$B249)</f>
        <v>0</v>
      </c>
      <c r="I249" s="10"/>
      <c r="J249" s="28">
        <f t="shared" si="15"/>
        <v>0</v>
      </c>
      <c r="K249" s="10"/>
      <c r="L249" s="10"/>
      <c r="M249" s="29">
        <f t="shared" si="16"/>
        <v>0</v>
      </c>
      <c r="N249" s="10">
        <f t="shared" si="17"/>
        <v>0</v>
      </c>
      <c r="O249" s="12">
        <f t="shared" si="18"/>
        <v>0</v>
      </c>
      <c r="P249" s="10">
        <f t="shared" si="19"/>
        <v>0</v>
      </c>
      <c r="Q249" s="12"/>
    </row>
    <row r="250" spans="1:17" ht="16.5" customHeight="1" x14ac:dyDescent="0.3">
      <c r="A250" s="12"/>
      <c r="B250" s="7" t="s">
        <v>676</v>
      </c>
      <c r="C250" s="25" t="s">
        <v>8</v>
      </c>
      <c r="D250" s="9" t="s">
        <v>631</v>
      </c>
      <c r="E250" s="26"/>
      <c r="F250" s="10">
        <v>0</v>
      </c>
      <c r="G250" s="27">
        <f>SUMIFS(CT!$H$5:$H$143,CT!$D$5:$D$143,DMTK!$B250)</f>
        <v>0</v>
      </c>
      <c r="H250" s="27">
        <f>SUMIFS(CT!$H$5:$H$143,CT!$E$5:$E$143,DMTK!$B250)</f>
        <v>0</v>
      </c>
      <c r="I250" s="10"/>
      <c r="J250" s="28">
        <f t="shared" si="15"/>
        <v>0</v>
      </c>
      <c r="K250" s="10"/>
      <c r="L250" s="10"/>
      <c r="M250" s="29">
        <f t="shared" si="16"/>
        <v>0</v>
      </c>
      <c r="N250" s="10">
        <f t="shared" si="17"/>
        <v>0</v>
      </c>
      <c r="O250" s="12">
        <f t="shared" si="18"/>
        <v>0</v>
      </c>
      <c r="P250" s="10">
        <f t="shared" si="19"/>
        <v>0</v>
      </c>
      <c r="Q250" s="12"/>
    </row>
    <row r="251" spans="1:17" ht="16.5" customHeight="1" x14ac:dyDescent="0.3">
      <c r="A251" s="12"/>
      <c r="B251" s="7" t="s">
        <v>677</v>
      </c>
      <c r="C251" s="25" t="s">
        <v>8</v>
      </c>
      <c r="D251" s="9" t="s">
        <v>633</v>
      </c>
      <c r="E251" s="26"/>
      <c r="F251" s="10">
        <v>0</v>
      </c>
      <c r="G251" s="27">
        <f>SUMIFS(CT!$H$5:$H$143,CT!$D$5:$D$143,DMTK!$B251)</f>
        <v>2800000</v>
      </c>
      <c r="H251" s="27">
        <f>SUMIFS(CT!$H$5:$H$143,CT!$E$5:$E$143,DMTK!$B251)</f>
        <v>2800000</v>
      </c>
      <c r="I251" s="10"/>
      <c r="J251" s="28">
        <f t="shared" si="15"/>
        <v>0</v>
      </c>
      <c r="K251" s="10"/>
      <c r="L251" s="10"/>
      <c r="M251" s="29">
        <f t="shared" si="16"/>
        <v>0</v>
      </c>
      <c r="N251" s="10">
        <f t="shared" si="17"/>
        <v>0</v>
      </c>
      <c r="O251" s="12">
        <f t="shared" si="18"/>
        <v>0</v>
      </c>
      <c r="P251" s="10">
        <f t="shared" si="19"/>
        <v>0</v>
      </c>
      <c r="Q251" s="12"/>
    </row>
    <row r="252" spans="1:17" ht="16.5" customHeight="1" x14ac:dyDescent="0.3">
      <c r="A252" s="12"/>
      <c r="B252" s="7" t="s">
        <v>153</v>
      </c>
      <c r="C252" s="25" t="s">
        <v>55</v>
      </c>
      <c r="D252" s="9" t="s">
        <v>154</v>
      </c>
      <c r="E252" s="26"/>
      <c r="F252" s="10">
        <v>0</v>
      </c>
      <c r="G252" s="27">
        <f>SUMIFS(CT!$H$5:$H$143,CT!$D$5:$D$143,DMTK!$B252)</f>
        <v>0</v>
      </c>
      <c r="H252" s="27">
        <f>SUMIFS(CT!$H$5:$H$143,CT!$E$5:$E$143,DMTK!$B252)</f>
        <v>0</v>
      </c>
      <c r="I252" s="10"/>
      <c r="J252" s="28">
        <f t="shared" si="15"/>
        <v>0</v>
      </c>
      <c r="K252" s="10"/>
      <c r="L252" s="10"/>
      <c r="M252" s="29">
        <f t="shared" si="16"/>
        <v>0</v>
      </c>
      <c r="N252" s="10">
        <f t="shared" si="17"/>
        <v>0</v>
      </c>
      <c r="O252" s="12">
        <f t="shared" si="18"/>
        <v>0</v>
      </c>
      <c r="P252" s="10">
        <f t="shared" si="19"/>
        <v>0</v>
      </c>
      <c r="Q252" s="12"/>
    </row>
    <row r="253" spans="1:17" ht="16.5" customHeight="1" x14ac:dyDescent="0.3">
      <c r="A253" s="12"/>
      <c r="B253" s="7" t="s">
        <v>155</v>
      </c>
      <c r="C253" s="25" t="s">
        <v>8</v>
      </c>
      <c r="D253" s="9" t="s">
        <v>156</v>
      </c>
      <c r="E253" s="26"/>
      <c r="F253" s="10">
        <v>0</v>
      </c>
      <c r="G253" s="27">
        <f>SUMIFS(CT!$H$5:$H$143,CT!$D$5:$D$143,DMTK!$B253)</f>
        <v>0</v>
      </c>
      <c r="H253" s="27">
        <f>SUMIFS(CT!$H$5:$H$143,CT!$E$5:$E$143,DMTK!$B253)</f>
        <v>0</v>
      </c>
      <c r="I253" s="10"/>
      <c r="J253" s="28">
        <f t="shared" si="15"/>
        <v>0</v>
      </c>
      <c r="K253" s="10"/>
      <c r="L253" s="10"/>
      <c r="M253" s="29">
        <f t="shared" si="16"/>
        <v>0</v>
      </c>
      <c r="N253" s="10">
        <f t="shared" si="17"/>
        <v>0</v>
      </c>
      <c r="O253" s="12">
        <f t="shared" si="18"/>
        <v>0</v>
      </c>
      <c r="P253" s="10">
        <f t="shared" si="19"/>
        <v>0</v>
      </c>
      <c r="Q253" s="12"/>
    </row>
    <row r="254" spans="1:17" ht="16.5" customHeight="1" x14ac:dyDescent="0.3">
      <c r="A254" s="12"/>
      <c r="B254" s="7" t="s">
        <v>678</v>
      </c>
      <c r="C254" s="25" t="s">
        <v>8</v>
      </c>
      <c r="D254" s="12" t="s">
        <v>679</v>
      </c>
      <c r="E254" s="26"/>
      <c r="F254" s="10">
        <v>0</v>
      </c>
      <c r="G254" s="27">
        <f>SUMIFS(CT!$H$5:$H$143,CT!$D$5:$D$143,DMTK!$B254)</f>
        <v>0</v>
      </c>
      <c r="H254" s="27">
        <f>SUMIFS(CT!$H$5:$H$143,CT!$E$5:$E$143,DMTK!$B254)</f>
        <v>0</v>
      </c>
      <c r="I254" s="10"/>
      <c r="J254" s="28">
        <f t="shared" si="15"/>
        <v>0</v>
      </c>
      <c r="K254" s="10"/>
      <c r="L254" s="10"/>
      <c r="M254" s="29">
        <f t="shared" si="16"/>
        <v>0</v>
      </c>
      <c r="N254" s="10">
        <f t="shared" si="17"/>
        <v>0</v>
      </c>
      <c r="O254" s="12">
        <f t="shared" si="18"/>
        <v>0</v>
      </c>
      <c r="P254" s="10">
        <f t="shared" si="19"/>
        <v>0</v>
      </c>
      <c r="Q254" s="12"/>
    </row>
    <row r="255" spans="1:17" ht="16.5" customHeight="1" x14ac:dyDescent="0.3">
      <c r="A255" s="12"/>
      <c r="B255" s="7" t="s">
        <v>680</v>
      </c>
      <c r="C255" s="32" t="s">
        <v>8</v>
      </c>
      <c r="D255" s="12" t="s">
        <v>681</v>
      </c>
      <c r="E255" s="26"/>
      <c r="F255" s="10">
        <v>0</v>
      </c>
      <c r="G255" s="27">
        <f>SUMIFS(CT!$H$5:$H$143,CT!$D$5:$D$143,DMTK!$B255)</f>
        <v>0</v>
      </c>
      <c r="H255" s="27">
        <f>SUMIFS(CT!$H$5:$H$143,CT!$E$5:$E$143,DMTK!$B255)</f>
        <v>0</v>
      </c>
      <c r="I255" s="10"/>
      <c r="J255" s="28">
        <f t="shared" si="15"/>
        <v>0</v>
      </c>
      <c r="K255" s="10"/>
      <c r="L255" s="10"/>
      <c r="M255" s="29">
        <f t="shared" si="16"/>
        <v>0</v>
      </c>
      <c r="N255" s="10">
        <f t="shared" si="17"/>
        <v>0</v>
      </c>
      <c r="O255" s="12">
        <f t="shared" si="18"/>
        <v>0</v>
      </c>
      <c r="P255" s="10">
        <f t="shared" si="19"/>
        <v>0</v>
      </c>
      <c r="Q255" s="12"/>
    </row>
    <row r="256" spans="1:17" ht="16.5" customHeight="1" x14ac:dyDescent="0.3">
      <c r="A256" s="12"/>
      <c r="B256" s="7" t="s">
        <v>682</v>
      </c>
      <c r="C256" s="32" t="s">
        <v>55</v>
      </c>
      <c r="D256" s="12" t="s">
        <v>683</v>
      </c>
      <c r="E256" s="26"/>
      <c r="F256" s="10">
        <v>0</v>
      </c>
      <c r="G256" s="27">
        <f>SUMIFS(CT!$H$5:$H$143,CT!$D$5:$D$143,DMTK!$B256)</f>
        <v>31772143</v>
      </c>
      <c r="H256" s="27">
        <f>SUMIFS(CT!$H$5:$H$143,CT!$E$5:$E$143,DMTK!$B256)</f>
        <v>31772143</v>
      </c>
      <c r="I256" s="10"/>
      <c r="J256" s="28">
        <f t="shared" si="15"/>
        <v>0</v>
      </c>
      <c r="K256" s="10"/>
      <c r="L256" s="10"/>
      <c r="M256" s="29">
        <f t="shared" si="16"/>
        <v>0</v>
      </c>
      <c r="N256" s="10">
        <f t="shared" si="17"/>
        <v>0</v>
      </c>
      <c r="O256" s="12">
        <f t="shared" si="18"/>
        <v>0</v>
      </c>
      <c r="P256" s="10">
        <f t="shared" si="19"/>
        <v>0</v>
      </c>
      <c r="Q256" s="12"/>
    </row>
    <row r="257" spans="1:18" ht="16.5" customHeight="1" x14ac:dyDescent="0.3">
      <c r="A257" s="12"/>
      <c r="B257" s="7" t="s">
        <v>684</v>
      </c>
      <c r="C257" s="32" t="s">
        <v>55</v>
      </c>
      <c r="D257" s="12" t="s">
        <v>685</v>
      </c>
      <c r="E257" s="26"/>
      <c r="F257" s="10"/>
      <c r="G257" s="27">
        <f>SUMIFS(CT!$H$5:$H$143,CT!$D$5:$D$143,DMTK!$B257)</f>
        <v>28000000</v>
      </c>
      <c r="H257" s="27">
        <f>SUMIFS(CT!$H$5:$H$143,CT!$E$5:$E$143,DMTK!$B257)</f>
        <v>28000000</v>
      </c>
      <c r="I257" s="10"/>
      <c r="J257" s="28">
        <f t="shared" si="15"/>
        <v>0</v>
      </c>
      <c r="K257" s="10"/>
      <c r="L257" s="10"/>
      <c r="M257" s="29">
        <f t="shared" si="16"/>
        <v>0</v>
      </c>
      <c r="N257" s="10">
        <f t="shared" si="17"/>
        <v>0</v>
      </c>
      <c r="O257" s="12">
        <f t="shared" si="18"/>
        <v>0</v>
      </c>
      <c r="P257" s="10">
        <f t="shared" si="19"/>
        <v>0</v>
      </c>
      <c r="Q257" s="12"/>
    </row>
    <row r="258" spans="1:18" ht="16.5" customHeight="1" x14ac:dyDescent="0.3">
      <c r="A258" s="12"/>
      <c r="B258" s="7" t="s">
        <v>686</v>
      </c>
      <c r="C258" s="32" t="s">
        <v>55</v>
      </c>
      <c r="D258" s="12" t="s">
        <v>687</v>
      </c>
      <c r="E258" s="26"/>
      <c r="F258" s="10"/>
      <c r="G258" s="27">
        <f>SUMIFS(CT!$H$5:$H$143,CT!$D$5:$D$143,DMTK!$B258)</f>
        <v>0</v>
      </c>
      <c r="H258" s="27">
        <f>SUMIFS(CT!$H$5:$H$143,CT!$E$5:$E$143,DMTK!$B258)</f>
        <v>0</v>
      </c>
      <c r="I258" s="10"/>
      <c r="J258" s="28">
        <f t="shared" si="15"/>
        <v>0</v>
      </c>
      <c r="K258" s="10"/>
      <c r="L258" s="10"/>
      <c r="M258" s="29">
        <f t="shared" si="16"/>
        <v>0</v>
      </c>
      <c r="N258" s="10">
        <f t="shared" si="17"/>
        <v>0</v>
      </c>
      <c r="O258" s="12">
        <f t="shared" si="18"/>
        <v>0</v>
      </c>
      <c r="P258" s="10">
        <f t="shared" si="19"/>
        <v>0</v>
      </c>
      <c r="Q258" s="12"/>
    </row>
    <row r="259" spans="1:18" s="17" customFormat="1" ht="16.5" customHeight="1" x14ac:dyDescent="0.3">
      <c r="A259" s="12"/>
      <c r="B259" s="7" t="s">
        <v>688</v>
      </c>
      <c r="C259" s="32" t="s">
        <v>55</v>
      </c>
      <c r="D259" s="12" t="s">
        <v>689</v>
      </c>
      <c r="E259" s="26"/>
      <c r="F259" s="10"/>
      <c r="G259" s="27">
        <f>SUMIFS(CT!$H$5:$H$143,CT!$D$5:$D$143,DMTK!$B259)</f>
        <v>31615709</v>
      </c>
      <c r="H259" s="27">
        <f>SUMIFS(CT!$H$5:$H$143,CT!$E$5:$E$143,DMTK!$B259)</f>
        <v>31615709</v>
      </c>
      <c r="I259" s="10"/>
      <c r="J259" s="28">
        <f t="shared" si="15"/>
        <v>0</v>
      </c>
      <c r="K259" s="10"/>
      <c r="L259" s="10"/>
      <c r="M259" s="29">
        <f t="shared" si="16"/>
        <v>0</v>
      </c>
      <c r="N259" s="10">
        <f t="shared" si="17"/>
        <v>0</v>
      </c>
      <c r="O259" s="12">
        <f t="shared" si="18"/>
        <v>0</v>
      </c>
      <c r="P259" s="10">
        <f t="shared" si="19"/>
        <v>0</v>
      </c>
      <c r="Q259" s="12"/>
      <c r="R259" s="3"/>
    </row>
    <row r="260" spans="1:18" ht="16.5" customHeight="1" x14ac:dyDescent="0.3">
      <c r="A260" s="12"/>
      <c r="B260" s="7" t="s">
        <v>690</v>
      </c>
      <c r="C260" s="32" t="s">
        <v>55</v>
      </c>
      <c r="D260" s="12" t="s">
        <v>691</v>
      </c>
      <c r="E260" s="26"/>
      <c r="F260" s="10"/>
      <c r="G260" s="27">
        <f>SUMIFS(CT!$H$5:$H$143,CT!$D$5:$D$143,DMTK!$B260)</f>
        <v>0</v>
      </c>
      <c r="H260" s="27">
        <f>SUMIFS(CT!$H$5:$H$143,CT!$E$5:$E$143,DMTK!$B260)</f>
        <v>0</v>
      </c>
      <c r="I260" s="10"/>
      <c r="J260" s="28">
        <f t="shared" si="15"/>
        <v>0</v>
      </c>
      <c r="K260" s="10"/>
      <c r="L260" s="10"/>
      <c r="M260" s="29">
        <f t="shared" si="16"/>
        <v>0</v>
      </c>
      <c r="N260" s="10">
        <f t="shared" si="17"/>
        <v>0</v>
      </c>
      <c r="O260" s="12">
        <f t="shared" si="18"/>
        <v>0</v>
      </c>
      <c r="P260" s="10">
        <f t="shared" si="19"/>
        <v>0</v>
      </c>
      <c r="Q260" s="12"/>
    </row>
    <row r="261" spans="1:18" ht="16.5" customHeight="1" x14ac:dyDescent="0.3">
      <c r="A261" s="12"/>
      <c r="B261" s="7" t="s">
        <v>692</v>
      </c>
      <c r="C261" s="32" t="s">
        <v>55</v>
      </c>
      <c r="D261" s="12" t="s">
        <v>160</v>
      </c>
      <c r="E261" s="26"/>
      <c r="F261" s="10"/>
      <c r="G261" s="27">
        <f>SUMIFS(CT!$H$5:$H$143,CT!$D$5:$D$143,DMTK!$B261)</f>
        <v>0</v>
      </c>
      <c r="H261" s="27">
        <f>SUMIFS(CT!$H$5:$H$143,CT!$E$5:$E$143,DMTK!$B261)</f>
        <v>0</v>
      </c>
      <c r="I261" s="10"/>
      <c r="J261" s="28">
        <f t="shared" si="15"/>
        <v>0</v>
      </c>
      <c r="K261" s="10"/>
      <c r="L261" s="10"/>
      <c r="M261" s="29">
        <f t="shared" si="16"/>
        <v>0</v>
      </c>
      <c r="N261" s="10">
        <f t="shared" si="17"/>
        <v>0</v>
      </c>
      <c r="O261" s="12">
        <f t="shared" si="18"/>
        <v>0</v>
      </c>
      <c r="P261" s="10">
        <f t="shared" si="19"/>
        <v>0</v>
      </c>
      <c r="Q261" s="12"/>
    </row>
    <row r="262" spans="1:18" ht="16.5" customHeight="1" x14ac:dyDescent="0.3">
      <c r="G262" s="27">
        <f>SUMIFS(CT!$H$5:$H$143,CT!$D$5:$D$143,DMTK!$B262)</f>
        <v>0</v>
      </c>
      <c r="H262" s="27">
        <f>SUMIFS(CT!$H$5:$H$143,CT!$E$5:$E$143,DMTK!$B262)</f>
        <v>0</v>
      </c>
      <c r="J262" s="28"/>
      <c r="K262" s="33"/>
      <c r="L262" s="33"/>
      <c r="M262" s="29"/>
      <c r="N262" s="10"/>
      <c r="O262" s="12"/>
      <c r="P262" s="10"/>
      <c r="Q262" s="12"/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10"/>
  </sheetPr>
  <dimension ref="A1:I145"/>
  <sheetViews>
    <sheetView showGridLines="0" topLeftCell="A3" zoomScaleNormal="100" workbookViewId="0">
      <selection activeCell="E7" sqref="E7"/>
    </sheetView>
  </sheetViews>
  <sheetFormatPr defaultColWidth="9.33203125" defaultRowHeight="15.6" x14ac:dyDescent="0.3"/>
  <cols>
    <col min="1" max="1" width="15" style="3" bestFit="1" customWidth="1"/>
    <col min="2" max="2" width="11.33203125" style="3" bestFit="1" customWidth="1"/>
    <col min="3" max="3" width="52" style="3" bestFit="1" customWidth="1"/>
    <col min="4" max="5" width="14.33203125" style="3" bestFit="1" customWidth="1"/>
    <col min="6" max="6" width="6" style="3" bestFit="1" customWidth="1"/>
    <col min="7" max="7" width="13.33203125" style="3" bestFit="1" customWidth="1"/>
    <col min="8" max="8" width="18.44140625" style="3" bestFit="1" customWidth="1"/>
    <col min="9" max="9" width="13.77734375" style="3" customWidth="1"/>
    <col min="10" max="16384" width="9.33203125" style="3"/>
  </cols>
  <sheetData>
    <row r="1" spans="1:9" x14ac:dyDescent="0.3">
      <c r="A1" s="145" t="s">
        <v>693</v>
      </c>
      <c r="B1" s="145"/>
      <c r="C1" s="145"/>
      <c r="D1" s="145"/>
      <c r="E1" s="145"/>
      <c r="F1" s="145"/>
      <c r="G1" s="145"/>
      <c r="H1" s="145"/>
      <c r="I1" s="145"/>
    </row>
    <row r="3" spans="1:9" ht="39.75" customHeight="1" x14ac:dyDescent="0.3">
      <c r="A3" s="34" t="s">
        <v>694</v>
      </c>
      <c r="B3" s="34" t="s">
        <v>695</v>
      </c>
      <c r="C3" s="34" t="s">
        <v>696</v>
      </c>
      <c r="D3" s="34" t="s">
        <v>697</v>
      </c>
      <c r="E3" s="34" t="s">
        <v>698</v>
      </c>
      <c r="F3" s="34" t="s">
        <v>699</v>
      </c>
      <c r="G3" s="34" t="s">
        <v>700</v>
      </c>
      <c r="H3" s="35" t="s">
        <v>701</v>
      </c>
      <c r="I3" s="34" t="s">
        <v>702</v>
      </c>
    </row>
    <row r="4" spans="1:9" x14ac:dyDescent="0.3">
      <c r="A4" s="36" t="s">
        <v>703</v>
      </c>
      <c r="B4" s="37" t="s">
        <v>704</v>
      </c>
      <c r="C4" s="37" t="s">
        <v>705</v>
      </c>
      <c r="D4" s="37" t="s">
        <v>706</v>
      </c>
      <c r="E4" s="37" t="s">
        <v>707</v>
      </c>
      <c r="F4" s="37" t="s">
        <v>708</v>
      </c>
      <c r="G4" s="37" t="s">
        <v>709</v>
      </c>
      <c r="H4" s="37" t="s">
        <v>710</v>
      </c>
      <c r="I4" s="37" t="s">
        <v>711</v>
      </c>
    </row>
    <row r="5" spans="1:9" x14ac:dyDescent="0.3">
      <c r="A5" s="48">
        <v>45293</v>
      </c>
      <c r="B5" s="38" t="s">
        <v>712</v>
      </c>
      <c r="C5" s="38" t="s">
        <v>713</v>
      </c>
      <c r="D5" s="39" t="s">
        <v>178</v>
      </c>
      <c r="E5" s="38" t="s">
        <v>220</v>
      </c>
      <c r="F5" s="40"/>
      <c r="G5" s="40"/>
      <c r="H5" s="40">
        <v>5000000</v>
      </c>
      <c r="I5" s="38"/>
    </row>
    <row r="6" spans="1:9" x14ac:dyDescent="0.3">
      <c r="A6" s="49">
        <v>45293</v>
      </c>
      <c r="B6" s="41" t="s">
        <v>714</v>
      </c>
      <c r="C6" s="41" t="s">
        <v>715</v>
      </c>
      <c r="D6" s="42" t="s">
        <v>178</v>
      </c>
      <c r="E6" s="41" t="s">
        <v>216</v>
      </c>
      <c r="F6" s="43"/>
      <c r="G6" s="43"/>
      <c r="H6" s="43">
        <v>20000000</v>
      </c>
      <c r="I6" s="41"/>
    </row>
    <row r="7" spans="1:9" x14ac:dyDescent="0.3">
      <c r="A7" s="49">
        <v>45295</v>
      </c>
      <c r="B7" s="41" t="s">
        <v>716</v>
      </c>
      <c r="C7" s="41" t="s">
        <v>717</v>
      </c>
      <c r="D7" s="42" t="s">
        <v>265</v>
      </c>
      <c r="E7" s="41" t="s">
        <v>178</v>
      </c>
      <c r="F7" s="43"/>
      <c r="G7" s="43"/>
      <c r="H7" s="43">
        <v>2000000</v>
      </c>
      <c r="I7" s="41"/>
    </row>
    <row r="8" spans="1:9" x14ac:dyDescent="0.3">
      <c r="A8" s="49">
        <v>45295</v>
      </c>
      <c r="B8" s="41" t="s">
        <v>718</v>
      </c>
      <c r="C8" s="41" t="s">
        <v>719</v>
      </c>
      <c r="D8" s="41" t="s">
        <v>229</v>
      </c>
      <c r="E8" s="41" t="s">
        <v>412</v>
      </c>
      <c r="F8" s="43"/>
      <c r="G8" s="43"/>
      <c r="H8" s="43">
        <v>1125000</v>
      </c>
      <c r="I8" s="41"/>
    </row>
    <row r="9" spans="1:9" x14ac:dyDescent="0.3">
      <c r="A9" s="49">
        <v>45295</v>
      </c>
      <c r="B9" s="41" t="s">
        <v>718</v>
      </c>
      <c r="C9" s="41" t="s">
        <v>720</v>
      </c>
      <c r="D9" s="41" t="s">
        <v>277</v>
      </c>
      <c r="E9" s="41" t="s">
        <v>412</v>
      </c>
      <c r="F9" s="43">
        <v>5</v>
      </c>
      <c r="G9" s="43">
        <v>4500000</v>
      </c>
      <c r="H9" s="43">
        <v>22500000</v>
      </c>
      <c r="I9" s="41"/>
    </row>
    <row r="10" spans="1:9" x14ac:dyDescent="0.3">
      <c r="A10" s="49">
        <v>45296</v>
      </c>
      <c r="B10" s="41" t="s">
        <v>721</v>
      </c>
      <c r="C10" s="41" t="s">
        <v>722</v>
      </c>
      <c r="D10" s="41" t="s">
        <v>229</v>
      </c>
      <c r="E10" s="41" t="s">
        <v>178</v>
      </c>
      <c r="F10" s="43"/>
      <c r="G10" s="43"/>
      <c r="H10" s="43">
        <v>100000</v>
      </c>
      <c r="I10" s="41"/>
    </row>
    <row r="11" spans="1:9" x14ac:dyDescent="0.3">
      <c r="A11" s="49">
        <v>45296</v>
      </c>
      <c r="B11" s="41" t="s">
        <v>721</v>
      </c>
      <c r="C11" s="41" t="s">
        <v>723</v>
      </c>
      <c r="D11" s="41" t="s">
        <v>677</v>
      </c>
      <c r="E11" s="41" t="s">
        <v>178</v>
      </c>
      <c r="F11" s="43"/>
      <c r="G11" s="43"/>
      <c r="H11" s="43">
        <v>1000000</v>
      </c>
      <c r="I11" s="41"/>
    </row>
    <row r="12" spans="1:9" x14ac:dyDescent="0.3">
      <c r="A12" s="49">
        <v>45301</v>
      </c>
      <c r="B12" s="41" t="s">
        <v>724</v>
      </c>
      <c r="C12" s="41" t="s">
        <v>725</v>
      </c>
      <c r="D12" s="41" t="s">
        <v>229</v>
      </c>
      <c r="E12" s="41" t="s">
        <v>410</v>
      </c>
      <c r="F12" s="43"/>
      <c r="G12" s="43"/>
      <c r="H12" s="43">
        <v>235000</v>
      </c>
      <c r="I12" s="41"/>
    </row>
    <row r="13" spans="1:9" x14ac:dyDescent="0.3">
      <c r="A13" s="49">
        <v>45301</v>
      </c>
      <c r="B13" s="41" t="s">
        <v>724</v>
      </c>
      <c r="C13" s="41" t="s">
        <v>726</v>
      </c>
      <c r="D13" s="41" t="s">
        <v>297</v>
      </c>
      <c r="E13" s="41" t="s">
        <v>410</v>
      </c>
      <c r="F13" s="43">
        <v>100</v>
      </c>
      <c r="G13" s="43">
        <v>15000</v>
      </c>
      <c r="H13" s="43">
        <v>1500000</v>
      </c>
      <c r="I13" s="41"/>
    </row>
    <row r="14" spans="1:9" x14ac:dyDescent="0.3">
      <c r="A14" s="49">
        <v>45301</v>
      </c>
      <c r="B14" s="41" t="s">
        <v>724</v>
      </c>
      <c r="C14" s="41" t="s">
        <v>727</v>
      </c>
      <c r="D14" s="41" t="s">
        <v>293</v>
      </c>
      <c r="E14" s="41" t="s">
        <v>410</v>
      </c>
      <c r="F14" s="43">
        <v>200</v>
      </c>
      <c r="G14" s="43">
        <v>16000</v>
      </c>
      <c r="H14" s="43">
        <v>3200000</v>
      </c>
      <c r="I14" s="41"/>
    </row>
    <row r="15" spans="1:9" x14ac:dyDescent="0.3">
      <c r="A15" s="49">
        <v>45302</v>
      </c>
      <c r="B15" s="41" t="s">
        <v>728</v>
      </c>
      <c r="C15" s="41" t="s">
        <v>729</v>
      </c>
      <c r="D15" s="41" t="s">
        <v>229</v>
      </c>
      <c r="E15" s="41" t="s">
        <v>414</v>
      </c>
      <c r="F15" s="43"/>
      <c r="G15" s="43"/>
      <c r="H15" s="43">
        <v>500000</v>
      </c>
      <c r="I15" s="41"/>
    </row>
    <row r="16" spans="1:9" x14ac:dyDescent="0.3">
      <c r="A16" s="49">
        <v>45302</v>
      </c>
      <c r="B16" s="41" t="s">
        <v>728</v>
      </c>
      <c r="C16" s="41" t="s">
        <v>730</v>
      </c>
      <c r="D16" s="41" t="s">
        <v>287</v>
      </c>
      <c r="E16" s="41" t="s">
        <v>414</v>
      </c>
      <c r="F16" s="43">
        <v>200</v>
      </c>
      <c r="G16" s="43">
        <v>25000</v>
      </c>
      <c r="H16" s="43">
        <v>5000000</v>
      </c>
      <c r="I16" s="41"/>
    </row>
    <row r="17" spans="1:9" x14ac:dyDescent="0.3">
      <c r="A17" s="49">
        <v>45306</v>
      </c>
      <c r="B17" s="41" t="s">
        <v>731</v>
      </c>
      <c r="C17" s="41" t="s">
        <v>732</v>
      </c>
      <c r="D17" s="41" t="s">
        <v>602</v>
      </c>
      <c r="E17" s="41" t="s">
        <v>289</v>
      </c>
      <c r="F17" s="43">
        <v>10</v>
      </c>
      <c r="G17" s="43">
        <v>48000</v>
      </c>
      <c r="H17" s="43">
        <v>480000</v>
      </c>
      <c r="I17" s="41"/>
    </row>
    <row r="18" spans="1:9" x14ac:dyDescent="0.3">
      <c r="A18" s="49">
        <v>45306</v>
      </c>
      <c r="B18" s="41" t="s">
        <v>733</v>
      </c>
      <c r="C18" s="41" t="s">
        <v>734</v>
      </c>
      <c r="D18" s="41" t="s">
        <v>450</v>
      </c>
      <c r="E18" s="41" t="s">
        <v>178</v>
      </c>
      <c r="F18" s="43"/>
      <c r="G18" s="43"/>
      <c r="H18" s="43">
        <v>5000000</v>
      </c>
      <c r="I18" s="41"/>
    </row>
    <row r="19" spans="1:9" x14ac:dyDescent="0.3">
      <c r="A19" s="49">
        <v>45306</v>
      </c>
      <c r="B19" s="41" t="s">
        <v>733</v>
      </c>
      <c r="C19" s="41" t="s">
        <v>735</v>
      </c>
      <c r="D19" s="41" t="s">
        <v>452</v>
      </c>
      <c r="E19" s="41" t="s">
        <v>178</v>
      </c>
      <c r="F19" s="43"/>
      <c r="G19" s="43"/>
      <c r="H19" s="43">
        <v>7000000</v>
      </c>
      <c r="I19" s="41"/>
    </row>
    <row r="20" spans="1:9" x14ac:dyDescent="0.3">
      <c r="A20" s="49">
        <v>45306</v>
      </c>
      <c r="B20" s="41" t="s">
        <v>731</v>
      </c>
      <c r="C20" s="41" t="s">
        <v>736</v>
      </c>
      <c r="D20" s="41" t="s">
        <v>602</v>
      </c>
      <c r="E20" s="41" t="s">
        <v>275</v>
      </c>
      <c r="F20" s="43">
        <v>4</v>
      </c>
      <c r="G20" s="43">
        <v>3300000</v>
      </c>
      <c r="H20" s="43">
        <v>13200000</v>
      </c>
      <c r="I20" s="41"/>
    </row>
    <row r="21" spans="1:9" x14ac:dyDescent="0.3">
      <c r="A21" s="49">
        <v>45306</v>
      </c>
      <c r="B21" s="41" t="s">
        <v>737</v>
      </c>
      <c r="C21" s="41" t="s">
        <v>738</v>
      </c>
      <c r="D21" s="41" t="s">
        <v>186</v>
      </c>
      <c r="E21" s="41" t="s">
        <v>218</v>
      </c>
      <c r="F21" s="43"/>
      <c r="G21" s="43"/>
      <c r="H21" s="43">
        <v>30000000</v>
      </c>
      <c r="I21" s="41"/>
    </row>
    <row r="22" spans="1:9" x14ac:dyDescent="0.3">
      <c r="A22" s="49">
        <v>45306</v>
      </c>
      <c r="B22" s="41" t="s">
        <v>733</v>
      </c>
      <c r="C22" s="41" t="s">
        <v>739</v>
      </c>
      <c r="D22" s="41" t="s">
        <v>448</v>
      </c>
      <c r="E22" s="41" t="s">
        <v>178</v>
      </c>
      <c r="F22" s="43"/>
      <c r="G22" s="43"/>
      <c r="H22" s="43">
        <v>35000000</v>
      </c>
      <c r="I22" s="41"/>
    </row>
    <row r="23" spans="1:9" x14ac:dyDescent="0.3">
      <c r="A23" s="49">
        <v>45306</v>
      </c>
      <c r="B23" s="41" t="s">
        <v>733</v>
      </c>
      <c r="C23" s="41" t="s">
        <v>740</v>
      </c>
      <c r="D23" s="41" t="s">
        <v>438</v>
      </c>
      <c r="E23" s="41" t="s">
        <v>178</v>
      </c>
      <c r="F23" s="43"/>
      <c r="G23" s="43"/>
      <c r="H23" s="43">
        <v>40000000</v>
      </c>
      <c r="I23" s="41"/>
    </row>
    <row r="24" spans="1:9" x14ac:dyDescent="0.3">
      <c r="A24" s="49">
        <v>45306</v>
      </c>
      <c r="B24" s="41" t="s">
        <v>733</v>
      </c>
      <c r="C24" s="41" t="s">
        <v>741</v>
      </c>
      <c r="D24" s="41" t="s">
        <v>440</v>
      </c>
      <c r="E24" s="41" t="s">
        <v>178</v>
      </c>
      <c r="F24" s="43"/>
      <c r="G24" s="43"/>
      <c r="H24" s="43">
        <v>40000000</v>
      </c>
      <c r="I24" s="41"/>
    </row>
    <row r="25" spans="1:9" x14ac:dyDescent="0.3">
      <c r="A25" s="49">
        <v>45306</v>
      </c>
      <c r="B25" s="41" t="s">
        <v>733</v>
      </c>
      <c r="C25" s="41" t="s">
        <v>740</v>
      </c>
      <c r="D25" s="41" t="s">
        <v>442</v>
      </c>
      <c r="E25" s="41" t="s">
        <v>178</v>
      </c>
      <c r="F25" s="43"/>
      <c r="G25" s="43"/>
      <c r="H25" s="43">
        <v>40000000</v>
      </c>
      <c r="I25" s="41"/>
    </row>
    <row r="26" spans="1:9" x14ac:dyDescent="0.3">
      <c r="A26" s="49">
        <v>45306</v>
      </c>
      <c r="B26" s="41" t="s">
        <v>733</v>
      </c>
      <c r="C26" s="41" t="s">
        <v>742</v>
      </c>
      <c r="D26" s="41" t="s">
        <v>444</v>
      </c>
      <c r="E26" s="41" t="s">
        <v>178</v>
      </c>
      <c r="F26" s="43"/>
      <c r="G26" s="43"/>
      <c r="H26" s="43">
        <v>40000000</v>
      </c>
      <c r="I26" s="41"/>
    </row>
    <row r="27" spans="1:9" x14ac:dyDescent="0.3">
      <c r="A27" s="49">
        <v>45306</v>
      </c>
      <c r="B27" s="41" t="s">
        <v>733</v>
      </c>
      <c r="C27" s="41" t="s">
        <v>743</v>
      </c>
      <c r="D27" s="41" t="s">
        <v>446</v>
      </c>
      <c r="E27" s="41" t="s">
        <v>178</v>
      </c>
      <c r="F27" s="43"/>
      <c r="G27" s="43"/>
      <c r="H27" s="43">
        <v>40000000</v>
      </c>
      <c r="I27" s="41"/>
    </row>
    <row r="28" spans="1:9" x14ac:dyDescent="0.3">
      <c r="A28" s="49">
        <v>45307</v>
      </c>
      <c r="B28" s="41" t="s">
        <v>744</v>
      </c>
      <c r="C28" s="41" t="s">
        <v>745</v>
      </c>
      <c r="D28" s="42" t="s">
        <v>410</v>
      </c>
      <c r="E28" s="42" t="s">
        <v>184</v>
      </c>
      <c r="F28" s="43"/>
      <c r="G28" s="43"/>
      <c r="H28" s="43">
        <v>40000000</v>
      </c>
      <c r="I28" s="41"/>
    </row>
    <row r="29" spans="1:9" x14ac:dyDescent="0.3">
      <c r="A29" s="49">
        <v>45307</v>
      </c>
      <c r="B29" s="41" t="s">
        <v>746</v>
      </c>
      <c r="C29" s="41" t="s">
        <v>747</v>
      </c>
      <c r="D29" s="42" t="s">
        <v>414</v>
      </c>
      <c r="E29" s="42" t="s">
        <v>184</v>
      </c>
      <c r="F29" s="43"/>
      <c r="G29" s="43"/>
      <c r="H29" s="43">
        <v>50000000</v>
      </c>
      <c r="I29" s="41"/>
    </row>
    <row r="30" spans="1:9" x14ac:dyDescent="0.3">
      <c r="A30" s="49">
        <v>45308</v>
      </c>
      <c r="B30" s="41" t="s">
        <v>748</v>
      </c>
      <c r="C30" s="41" t="s">
        <v>749</v>
      </c>
      <c r="D30" s="41" t="s">
        <v>606</v>
      </c>
      <c r="E30" s="41" t="s">
        <v>291</v>
      </c>
      <c r="F30" s="43">
        <v>20</v>
      </c>
      <c r="G30" s="43">
        <v>2300</v>
      </c>
      <c r="H30" s="43">
        <v>46000</v>
      </c>
      <c r="I30" s="41"/>
    </row>
    <row r="31" spans="1:9" x14ac:dyDescent="0.3">
      <c r="A31" s="49">
        <v>45308</v>
      </c>
      <c r="B31" s="41" t="s">
        <v>750</v>
      </c>
      <c r="C31" s="41" t="s">
        <v>751</v>
      </c>
      <c r="D31" s="41" t="s">
        <v>602</v>
      </c>
      <c r="E31" s="41" t="s">
        <v>297</v>
      </c>
      <c r="F31" s="43">
        <v>20</v>
      </c>
      <c r="G31" s="43">
        <v>14111</v>
      </c>
      <c r="H31" s="43">
        <v>282220</v>
      </c>
      <c r="I31" s="41"/>
    </row>
    <row r="32" spans="1:9" x14ac:dyDescent="0.3">
      <c r="A32" s="49">
        <v>45308</v>
      </c>
      <c r="B32" s="41" t="s">
        <v>750</v>
      </c>
      <c r="C32" s="41" t="s">
        <v>752</v>
      </c>
      <c r="D32" s="41" t="s">
        <v>602</v>
      </c>
      <c r="E32" s="41" t="s">
        <v>293</v>
      </c>
      <c r="F32" s="43">
        <v>30</v>
      </c>
      <c r="G32" s="43">
        <v>15666</v>
      </c>
      <c r="H32" s="43">
        <v>469980</v>
      </c>
      <c r="I32" s="41"/>
    </row>
    <row r="33" spans="1:9" x14ac:dyDescent="0.3">
      <c r="A33" s="49">
        <v>45308</v>
      </c>
      <c r="B33" s="41" t="s">
        <v>748</v>
      </c>
      <c r="C33" s="41" t="s">
        <v>753</v>
      </c>
      <c r="D33" s="41" t="s">
        <v>606</v>
      </c>
      <c r="E33" s="41" t="s">
        <v>281</v>
      </c>
      <c r="F33" s="43">
        <v>30</v>
      </c>
      <c r="G33" s="43">
        <v>120000</v>
      </c>
      <c r="H33" s="43">
        <v>3600000</v>
      </c>
      <c r="I33" s="41"/>
    </row>
    <row r="34" spans="1:9" x14ac:dyDescent="0.3">
      <c r="A34" s="49">
        <v>45309</v>
      </c>
      <c r="B34" s="41" t="s">
        <v>754</v>
      </c>
      <c r="C34" s="41" t="s">
        <v>755</v>
      </c>
      <c r="D34" s="41" t="s">
        <v>395</v>
      </c>
      <c r="E34" s="41" t="s">
        <v>303</v>
      </c>
      <c r="F34" s="43">
        <v>4</v>
      </c>
      <c r="G34" s="43">
        <v>250000</v>
      </c>
      <c r="H34" s="43">
        <v>1000000</v>
      </c>
      <c r="I34" s="41"/>
    </row>
    <row r="35" spans="1:9" x14ac:dyDescent="0.3">
      <c r="A35" s="49">
        <v>45309</v>
      </c>
      <c r="B35" s="41" t="s">
        <v>754</v>
      </c>
      <c r="C35" s="41" t="s">
        <v>756</v>
      </c>
      <c r="D35" s="41" t="s">
        <v>393</v>
      </c>
      <c r="E35" s="41" t="s">
        <v>301</v>
      </c>
      <c r="F35" s="43">
        <v>5</v>
      </c>
      <c r="G35" s="43">
        <v>500000</v>
      </c>
      <c r="H35" s="43">
        <v>2500000</v>
      </c>
      <c r="I35" s="41"/>
    </row>
    <row r="36" spans="1:9" x14ac:dyDescent="0.3">
      <c r="A36" s="49">
        <v>45310</v>
      </c>
      <c r="B36" s="41" t="s">
        <v>757</v>
      </c>
      <c r="C36" s="41" t="s">
        <v>758</v>
      </c>
      <c r="D36" s="41" t="s">
        <v>637</v>
      </c>
      <c r="E36" s="41" t="s">
        <v>305</v>
      </c>
      <c r="F36" s="43">
        <v>10</v>
      </c>
      <c r="G36" s="43">
        <v>10000</v>
      </c>
      <c r="H36" s="43">
        <v>100000</v>
      </c>
      <c r="I36" s="41"/>
    </row>
    <row r="37" spans="1:9" x14ac:dyDescent="0.3">
      <c r="A37" s="49">
        <v>45310</v>
      </c>
      <c r="B37" s="41" t="s">
        <v>757</v>
      </c>
      <c r="C37" s="41" t="s">
        <v>759</v>
      </c>
      <c r="D37" s="41" t="s">
        <v>637</v>
      </c>
      <c r="E37" s="41" t="s">
        <v>307</v>
      </c>
      <c r="F37" s="43">
        <v>20</v>
      </c>
      <c r="G37" s="43">
        <v>5000</v>
      </c>
      <c r="H37" s="43">
        <v>100000</v>
      </c>
      <c r="I37" s="41"/>
    </row>
    <row r="38" spans="1:9" x14ac:dyDescent="0.3">
      <c r="A38" s="49">
        <v>45310</v>
      </c>
      <c r="B38" s="41" t="s">
        <v>757</v>
      </c>
      <c r="C38" s="41" t="s">
        <v>760</v>
      </c>
      <c r="D38" s="41" t="s">
        <v>637</v>
      </c>
      <c r="E38" s="41" t="s">
        <v>309</v>
      </c>
      <c r="F38" s="43">
        <v>30</v>
      </c>
      <c r="G38" s="43">
        <v>10000</v>
      </c>
      <c r="H38" s="43">
        <v>300000</v>
      </c>
      <c r="I38" s="41"/>
    </row>
    <row r="39" spans="1:9" x14ac:dyDescent="0.3">
      <c r="A39" s="49">
        <v>45314</v>
      </c>
      <c r="B39" s="41" t="s">
        <v>761</v>
      </c>
      <c r="C39" s="41" t="s">
        <v>762</v>
      </c>
      <c r="D39" s="41" t="s">
        <v>324</v>
      </c>
      <c r="E39" s="41" t="s">
        <v>316</v>
      </c>
      <c r="F39" s="43">
        <v>200</v>
      </c>
      <c r="G39" s="43">
        <v>300000</v>
      </c>
      <c r="H39" s="43">
        <v>60000000</v>
      </c>
      <c r="I39" s="41"/>
    </row>
    <row r="40" spans="1:9" x14ac:dyDescent="0.3">
      <c r="A40" s="49">
        <v>45314</v>
      </c>
      <c r="B40" s="41" t="s">
        <v>763</v>
      </c>
      <c r="C40" s="41" t="s">
        <v>764</v>
      </c>
      <c r="D40" s="41" t="s">
        <v>322</v>
      </c>
      <c r="E40" s="41" t="s">
        <v>312</v>
      </c>
      <c r="F40" s="43">
        <v>405</v>
      </c>
      <c r="G40" s="43">
        <v>250000</v>
      </c>
      <c r="H40" s="43">
        <v>101250000</v>
      </c>
      <c r="I40" s="41"/>
    </row>
    <row r="41" spans="1:9" x14ac:dyDescent="0.3">
      <c r="A41" s="49">
        <v>45315</v>
      </c>
      <c r="B41" s="41" t="s">
        <v>765</v>
      </c>
      <c r="C41" s="41" t="s">
        <v>766</v>
      </c>
      <c r="D41" s="41" t="s">
        <v>323</v>
      </c>
      <c r="E41" s="41" t="s">
        <v>314</v>
      </c>
      <c r="F41" s="43">
        <v>300</v>
      </c>
      <c r="G41" s="43">
        <v>200000</v>
      </c>
      <c r="H41" s="43">
        <v>60000000</v>
      </c>
      <c r="I41" s="41"/>
    </row>
    <row r="42" spans="1:9" x14ac:dyDescent="0.3">
      <c r="A42" s="49">
        <v>45316</v>
      </c>
      <c r="B42" s="41" t="s">
        <v>767</v>
      </c>
      <c r="C42" s="41" t="s">
        <v>768</v>
      </c>
      <c r="D42" s="41" t="s">
        <v>644</v>
      </c>
      <c r="E42" s="41" t="s">
        <v>323</v>
      </c>
      <c r="F42" s="43">
        <v>100</v>
      </c>
      <c r="G42" s="43">
        <v>200000</v>
      </c>
      <c r="H42" s="43">
        <v>20000000</v>
      </c>
      <c r="I42" s="41"/>
    </row>
    <row r="43" spans="1:9" x14ac:dyDescent="0.3">
      <c r="A43" s="49">
        <v>45316</v>
      </c>
      <c r="B43" s="41" t="s">
        <v>769</v>
      </c>
      <c r="C43" s="41" t="s">
        <v>770</v>
      </c>
      <c r="D43" s="41" t="s">
        <v>642</v>
      </c>
      <c r="E43" s="41" t="s">
        <v>322</v>
      </c>
      <c r="F43" s="43">
        <v>100</v>
      </c>
      <c r="G43" s="43">
        <v>250000</v>
      </c>
      <c r="H43" s="43">
        <v>25000000</v>
      </c>
      <c r="I43" s="41"/>
    </row>
    <row r="44" spans="1:9" x14ac:dyDescent="0.3">
      <c r="A44" s="49">
        <v>45316</v>
      </c>
      <c r="B44" s="41" t="s">
        <v>767</v>
      </c>
      <c r="C44" s="41" t="s">
        <v>771</v>
      </c>
      <c r="D44" s="41" t="s">
        <v>648</v>
      </c>
      <c r="E44" s="41" t="s">
        <v>325</v>
      </c>
      <c r="F44" s="43">
        <v>50</v>
      </c>
      <c r="G44" s="43">
        <v>500000</v>
      </c>
      <c r="H44" s="43">
        <v>25000000</v>
      </c>
      <c r="I44" s="41"/>
    </row>
    <row r="45" spans="1:9" x14ac:dyDescent="0.3">
      <c r="A45" s="49">
        <v>45316</v>
      </c>
      <c r="B45" s="41" t="s">
        <v>767</v>
      </c>
      <c r="C45" s="41" t="s">
        <v>772</v>
      </c>
      <c r="D45" s="42" t="s">
        <v>226</v>
      </c>
      <c r="E45" s="41" t="s">
        <v>417</v>
      </c>
      <c r="F45" s="43"/>
      <c r="G45" s="43"/>
      <c r="H45" s="43">
        <v>1400000</v>
      </c>
      <c r="I45" s="41"/>
    </row>
    <row r="46" spans="1:9" x14ac:dyDescent="0.3">
      <c r="A46" s="49">
        <v>45316</v>
      </c>
      <c r="B46" s="41" t="s">
        <v>767</v>
      </c>
      <c r="C46" s="41" t="s">
        <v>768</v>
      </c>
      <c r="D46" s="42" t="s">
        <v>226</v>
      </c>
      <c r="E46" s="41" t="s">
        <v>577</v>
      </c>
      <c r="F46" s="43">
        <v>100</v>
      </c>
      <c r="G46" s="43">
        <v>280000</v>
      </c>
      <c r="H46" s="43">
        <v>28000000</v>
      </c>
      <c r="I46" s="41"/>
    </row>
    <row r="47" spans="1:9" x14ac:dyDescent="0.3">
      <c r="A47" s="49">
        <v>45316</v>
      </c>
      <c r="B47" s="41" t="s">
        <v>769</v>
      </c>
      <c r="C47" s="41" t="s">
        <v>773</v>
      </c>
      <c r="D47" s="41" t="s">
        <v>224</v>
      </c>
      <c r="E47" s="41" t="s">
        <v>417</v>
      </c>
      <c r="F47" s="43"/>
      <c r="G47" s="43"/>
      <c r="H47" s="43">
        <v>1500000</v>
      </c>
      <c r="I47" s="41"/>
    </row>
    <row r="48" spans="1:9" x14ac:dyDescent="0.3">
      <c r="A48" s="49">
        <v>45316</v>
      </c>
      <c r="B48" s="41" t="s">
        <v>769</v>
      </c>
      <c r="C48" s="41" t="s">
        <v>770</v>
      </c>
      <c r="D48" s="41" t="s">
        <v>224</v>
      </c>
      <c r="E48" s="41" t="s">
        <v>575</v>
      </c>
      <c r="F48" s="43">
        <v>100</v>
      </c>
      <c r="G48" s="43">
        <v>300000</v>
      </c>
      <c r="H48" s="43">
        <v>30000000</v>
      </c>
      <c r="I48" s="41"/>
    </row>
    <row r="49" spans="1:9" x14ac:dyDescent="0.3">
      <c r="A49" s="49">
        <v>45316</v>
      </c>
      <c r="B49" s="41" t="s">
        <v>767</v>
      </c>
      <c r="C49" s="41" t="s">
        <v>774</v>
      </c>
      <c r="D49" s="42" t="s">
        <v>222</v>
      </c>
      <c r="E49" s="41" t="s">
        <v>417</v>
      </c>
      <c r="F49" s="43"/>
      <c r="G49" s="43"/>
      <c r="H49" s="43">
        <v>1500000</v>
      </c>
      <c r="I49" s="41"/>
    </row>
    <row r="50" spans="1:9" x14ac:dyDescent="0.3">
      <c r="A50" s="49">
        <v>45316</v>
      </c>
      <c r="B50" s="41" t="s">
        <v>767</v>
      </c>
      <c r="C50" s="41" t="s">
        <v>771</v>
      </c>
      <c r="D50" s="42" t="s">
        <v>222</v>
      </c>
      <c r="E50" s="41" t="s">
        <v>581</v>
      </c>
      <c r="F50" s="43">
        <v>50</v>
      </c>
      <c r="G50" s="43">
        <v>600000</v>
      </c>
      <c r="H50" s="43">
        <v>30000000</v>
      </c>
      <c r="I50" s="41"/>
    </row>
    <row r="51" spans="1:9" x14ac:dyDescent="0.3">
      <c r="A51" s="49">
        <v>45319</v>
      </c>
      <c r="B51" s="41" t="s">
        <v>775</v>
      </c>
      <c r="C51" s="41" t="s">
        <v>776</v>
      </c>
      <c r="D51" s="41" t="s">
        <v>178</v>
      </c>
      <c r="E51" s="41" t="s">
        <v>265</v>
      </c>
      <c r="F51" s="43"/>
      <c r="G51" s="43"/>
      <c r="H51" s="43">
        <v>200000</v>
      </c>
      <c r="I51" s="41"/>
    </row>
    <row r="52" spans="1:9" x14ac:dyDescent="0.3">
      <c r="A52" s="49">
        <v>45319</v>
      </c>
      <c r="B52" s="41" t="s">
        <v>775</v>
      </c>
      <c r="C52" s="41" t="s">
        <v>776</v>
      </c>
      <c r="D52" s="41" t="s">
        <v>677</v>
      </c>
      <c r="E52" s="41" t="s">
        <v>265</v>
      </c>
      <c r="F52" s="43"/>
      <c r="G52" s="43"/>
      <c r="H52" s="43">
        <v>1800000</v>
      </c>
      <c r="I52" s="41"/>
    </row>
    <row r="53" spans="1:9" x14ac:dyDescent="0.3">
      <c r="A53" s="49">
        <v>45319</v>
      </c>
      <c r="B53" s="41" t="s">
        <v>777</v>
      </c>
      <c r="C53" s="41" t="s">
        <v>778</v>
      </c>
      <c r="D53" s="41" t="s">
        <v>231</v>
      </c>
      <c r="E53" s="41" t="s">
        <v>178</v>
      </c>
      <c r="F53" s="43"/>
      <c r="G53" s="43"/>
      <c r="H53" s="43">
        <v>14000000</v>
      </c>
      <c r="I53" s="41"/>
    </row>
    <row r="54" spans="1:9" x14ac:dyDescent="0.3">
      <c r="A54" s="49">
        <v>45319</v>
      </c>
      <c r="B54" s="41" t="s">
        <v>777</v>
      </c>
      <c r="C54" s="41" t="s">
        <v>779</v>
      </c>
      <c r="D54" s="41" t="s">
        <v>346</v>
      </c>
      <c r="E54" s="41" t="s">
        <v>178</v>
      </c>
      <c r="F54" s="43"/>
      <c r="G54" s="43"/>
      <c r="H54" s="43">
        <v>140000000</v>
      </c>
      <c r="I54" s="41"/>
    </row>
    <row r="55" spans="1:9" ht="15.75" customHeight="1" x14ac:dyDescent="0.3">
      <c r="A55" s="49">
        <v>45322</v>
      </c>
      <c r="B55" s="41" t="s">
        <v>780</v>
      </c>
      <c r="C55" s="41" t="s">
        <v>781</v>
      </c>
      <c r="D55" s="41" t="s">
        <v>654</v>
      </c>
      <c r="E55" s="41" t="s">
        <v>497</v>
      </c>
      <c r="F55" s="43"/>
      <c r="G55" s="43"/>
      <c r="H55" s="43">
        <v>50000</v>
      </c>
      <c r="I55" s="41"/>
    </row>
    <row r="56" spans="1:9" x14ac:dyDescent="0.3">
      <c r="A56" s="49">
        <v>45322</v>
      </c>
      <c r="B56" s="41" t="s">
        <v>780</v>
      </c>
      <c r="C56" s="41" t="s">
        <v>781</v>
      </c>
      <c r="D56" s="41" t="s">
        <v>665</v>
      </c>
      <c r="E56" s="41" t="s">
        <v>497</v>
      </c>
      <c r="F56" s="43"/>
      <c r="G56" s="43"/>
      <c r="H56" s="43">
        <v>70000</v>
      </c>
      <c r="I56" s="41"/>
    </row>
    <row r="57" spans="1:9" x14ac:dyDescent="0.3">
      <c r="A57" s="49">
        <v>45322</v>
      </c>
      <c r="B57" s="41" t="s">
        <v>782</v>
      </c>
      <c r="C57" s="41" t="s">
        <v>783</v>
      </c>
      <c r="D57" s="41" t="s">
        <v>684</v>
      </c>
      <c r="E57" s="41" t="s">
        <v>658</v>
      </c>
      <c r="F57" s="43"/>
      <c r="G57" s="43"/>
      <c r="H57" s="43">
        <v>72180</v>
      </c>
      <c r="I57" s="41"/>
    </row>
    <row r="58" spans="1:9" x14ac:dyDescent="0.3">
      <c r="A58" s="49">
        <v>45322</v>
      </c>
      <c r="B58" s="41" t="s">
        <v>782</v>
      </c>
      <c r="C58" s="41" t="s">
        <v>783</v>
      </c>
      <c r="D58" s="41" t="s">
        <v>688</v>
      </c>
      <c r="E58" s="41" t="s">
        <v>658</v>
      </c>
      <c r="F58" s="43"/>
      <c r="G58" s="43"/>
      <c r="H58" s="43">
        <v>88690</v>
      </c>
      <c r="I58" s="41"/>
    </row>
    <row r="59" spans="1:9" x14ac:dyDescent="0.3">
      <c r="A59" s="49">
        <v>45322</v>
      </c>
      <c r="B59" s="41" t="s">
        <v>782</v>
      </c>
      <c r="C59" s="41" t="s">
        <v>783</v>
      </c>
      <c r="D59" s="41" t="s">
        <v>682</v>
      </c>
      <c r="E59" s="41" t="s">
        <v>658</v>
      </c>
      <c r="F59" s="43"/>
      <c r="G59" s="43"/>
      <c r="H59" s="43">
        <v>89130</v>
      </c>
      <c r="I59" s="41"/>
    </row>
    <row r="60" spans="1:9" x14ac:dyDescent="0.3">
      <c r="A60" s="49">
        <v>45322</v>
      </c>
      <c r="B60" s="41" t="s">
        <v>780</v>
      </c>
      <c r="C60" s="41" t="s">
        <v>781</v>
      </c>
      <c r="D60" s="41" t="s">
        <v>654</v>
      </c>
      <c r="E60" s="41" t="s">
        <v>481</v>
      </c>
      <c r="F60" s="43"/>
      <c r="G60" s="43"/>
      <c r="H60" s="43">
        <v>100000</v>
      </c>
      <c r="I60" s="41"/>
    </row>
    <row r="61" spans="1:9" x14ac:dyDescent="0.3">
      <c r="A61" s="49">
        <v>45322</v>
      </c>
      <c r="B61" s="41" t="s">
        <v>784</v>
      </c>
      <c r="C61" s="41" t="s">
        <v>785</v>
      </c>
      <c r="D61" s="41" t="s">
        <v>316</v>
      </c>
      <c r="E61" s="41" t="s">
        <v>637</v>
      </c>
      <c r="F61" s="43"/>
      <c r="G61" s="43"/>
      <c r="H61" s="43">
        <v>100840</v>
      </c>
      <c r="I61" s="41"/>
    </row>
    <row r="62" spans="1:9" x14ac:dyDescent="0.3">
      <c r="A62" s="49">
        <v>45322</v>
      </c>
      <c r="B62" s="41" t="s">
        <v>786</v>
      </c>
      <c r="C62" s="41" t="s">
        <v>787</v>
      </c>
      <c r="D62" s="41" t="s">
        <v>642</v>
      </c>
      <c r="E62" s="41" t="s">
        <v>322</v>
      </c>
      <c r="F62" s="43"/>
      <c r="G62" s="43"/>
      <c r="H62" s="43">
        <v>123700</v>
      </c>
      <c r="I62" s="41"/>
    </row>
    <row r="63" spans="1:9" x14ac:dyDescent="0.3">
      <c r="A63" s="49">
        <v>45322</v>
      </c>
      <c r="B63" s="41" t="s">
        <v>788</v>
      </c>
      <c r="C63" s="41" t="s">
        <v>789</v>
      </c>
      <c r="D63" s="41" t="s">
        <v>684</v>
      </c>
      <c r="E63" s="41" t="s">
        <v>671</v>
      </c>
      <c r="F63" s="43"/>
      <c r="G63" s="43"/>
      <c r="H63" s="43">
        <v>132331</v>
      </c>
      <c r="I63" s="41"/>
    </row>
    <row r="64" spans="1:9" x14ac:dyDescent="0.3">
      <c r="A64" s="49">
        <v>45322</v>
      </c>
      <c r="B64" s="41" t="s">
        <v>780</v>
      </c>
      <c r="C64" s="41" t="s">
        <v>781</v>
      </c>
      <c r="D64" s="41" t="s">
        <v>665</v>
      </c>
      <c r="E64" s="41" t="s">
        <v>481</v>
      </c>
      <c r="F64" s="43"/>
      <c r="G64" s="43"/>
      <c r="H64" s="43">
        <v>140000</v>
      </c>
      <c r="I64" s="41"/>
    </row>
    <row r="65" spans="1:9" x14ac:dyDescent="0.3">
      <c r="A65" s="49">
        <v>45322</v>
      </c>
      <c r="B65" s="41" t="s">
        <v>788</v>
      </c>
      <c r="C65" s="41" t="s">
        <v>789</v>
      </c>
      <c r="D65" s="41" t="s">
        <v>684</v>
      </c>
      <c r="E65" s="41" t="s">
        <v>669</v>
      </c>
      <c r="F65" s="43"/>
      <c r="G65" s="43"/>
      <c r="H65" s="43">
        <v>144361</v>
      </c>
      <c r="I65" s="41"/>
    </row>
    <row r="66" spans="1:9" x14ac:dyDescent="0.3">
      <c r="A66" s="49">
        <v>45322</v>
      </c>
      <c r="B66" s="41" t="s">
        <v>780</v>
      </c>
      <c r="C66" s="41" t="s">
        <v>781</v>
      </c>
      <c r="D66" s="41" t="s">
        <v>654</v>
      </c>
      <c r="E66" s="41" t="s">
        <v>485</v>
      </c>
      <c r="F66" s="43"/>
      <c r="G66" s="43"/>
      <c r="H66" s="43">
        <v>150000</v>
      </c>
      <c r="I66" s="41"/>
    </row>
    <row r="67" spans="1:9" x14ac:dyDescent="0.3">
      <c r="A67" s="49">
        <v>45322</v>
      </c>
      <c r="B67" s="41" t="s">
        <v>788</v>
      </c>
      <c r="C67" s="41" t="s">
        <v>789</v>
      </c>
      <c r="D67" s="41" t="s">
        <v>688</v>
      </c>
      <c r="E67" s="41" t="s">
        <v>671</v>
      </c>
      <c r="F67" s="43"/>
      <c r="G67" s="43"/>
      <c r="H67" s="43">
        <v>162599</v>
      </c>
      <c r="I67" s="41"/>
    </row>
    <row r="68" spans="1:9" x14ac:dyDescent="0.3">
      <c r="A68" s="49">
        <v>45322</v>
      </c>
      <c r="B68" s="41" t="s">
        <v>788</v>
      </c>
      <c r="C68" s="41" t="s">
        <v>789</v>
      </c>
      <c r="D68" s="41" t="s">
        <v>682</v>
      </c>
      <c r="E68" s="41" t="s">
        <v>671</v>
      </c>
      <c r="F68" s="43"/>
      <c r="G68" s="43"/>
      <c r="H68" s="43">
        <v>163403</v>
      </c>
      <c r="I68" s="41"/>
    </row>
    <row r="69" spans="1:9" x14ac:dyDescent="0.3">
      <c r="A69" s="49">
        <v>45322</v>
      </c>
      <c r="B69" s="41" t="s">
        <v>788</v>
      </c>
      <c r="C69" s="41" t="s">
        <v>789</v>
      </c>
      <c r="D69" s="41" t="s">
        <v>688</v>
      </c>
      <c r="E69" s="41" t="s">
        <v>669</v>
      </c>
      <c r="F69" s="43"/>
      <c r="G69" s="43"/>
      <c r="H69" s="43">
        <v>177381</v>
      </c>
      <c r="I69" s="41"/>
    </row>
    <row r="70" spans="1:9" x14ac:dyDescent="0.3">
      <c r="A70" s="49">
        <v>45322</v>
      </c>
      <c r="B70" s="41" t="s">
        <v>788</v>
      </c>
      <c r="C70" s="41" t="s">
        <v>789</v>
      </c>
      <c r="D70" s="41" t="s">
        <v>682</v>
      </c>
      <c r="E70" s="41" t="s">
        <v>669</v>
      </c>
      <c r="F70" s="43"/>
      <c r="G70" s="43"/>
      <c r="H70" s="43">
        <v>178258</v>
      </c>
      <c r="I70" s="41"/>
    </row>
    <row r="71" spans="1:9" x14ac:dyDescent="0.3">
      <c r="A71" s="49">
        <v>45322</v>
      </c>
      <c r="B71" s="41" t="s">
        <v>780</v>
      </c>
      <c r="C71" s="41" t="s">
        <v>781</v>
      </c>
      <c r="D71" s="41" t="s">
        <v>665</v>
      </c>
      <c r="E71" s="41" t="s">
        <v>485</v>
      </c>
      <c r="F71" s="43"/>
      <c r="G71" s="43"/>
      <c r="H71" s="43">
        <v>210000</v>
      </c>
      <c r="I71" s="41"/>
    </row>
    <row r="72" spans="1:9" x14ac:dyDescent="0.3">
      <c r="A72" s="49">
        <v>45322</v>
      </c>
      <c r="B72" s="41" t="s">
        <v>790</v>
      </c>
      <c r="C72" s="41" t="s">
        <v>791</v>
      </c>
      <c r="D72" s="41" t="s">
        <v>658</v>
      </c>
      <c r="E72" s="42" t="s">
        <v>395</v>
      </c>
      <c r="F72" s="43"/>
      <c r="G72" s="43"/>
      <c r="H72" s="43">
        <v>250000</v>
      </c>
      <c r="I72" s="41"/>
    </row>
    <row r="73" spans="1:9" x14ac:dyDescent="0.3">
      <c r="A73" s="49">
        <v>45322</v>
      </c>
      <c r="B73" s="41" t="s">
        <v>784</v>
      </c>
      <c r="C73" s="41" t="s">
        <v>785</v>
      </c>
      <c r="D73" s="41" t="s">
        <v>316</v>
      </c>
      <c r="E73" s="41" t="s">
        <v>638</v>
      </c>
      <c r="F73" s="43"/>
      <c r="G73" s="43"/>
      <c r="H73" s="43">
        <v>336132</v>
      </c>
      <c r="I73" s="41"/>
    </row>
    <row r="74" spans="1:9" x14ac:dyDescent="0.3">
      <c r="A74" s="49">
        <v>45322</v>
      </c>
      <c r="B74" s="41" t="s">
        <v>786</v>
      </c>
      <c r="C74" s="41" t="s">
        <v>787</v>
      </c>
      <c r="D74" s="41" t="s">
        <v>644</v>
      </c>
      <c r="E74" s="41" t="s">
        <v>323</v>
      </c>
      <c r="F74" s="43"/>
      <c r="G74" s="43"/>
      <c r="H74" s="43">
        <v>346200</v>
      </c>
      <c r="I74" s="41"/>
    </row>
    <row r="75" spans="1:9" x14ac:dyDescent="0.3">
      <c r="A75" s="49">
        <v>45322</v>
      </c>
      <c r="B75" s="41" t="s">
        <v>780</v>
      </c>
      <c r="C75" s="41" t="s">
        <v>781</v>
      </c>
      <c r="D75" s="41" t="s">
        <v>634</v>
      </c>
      <c r="E75" s="41" t="s">
        <v>497</v>
      </c>
      <c r="F75" s="43"/>
      <c r="G75" s="43"/>
      <c r="H75" s="43">
        <v>350000</v>
      </c>
      <c r="I75" s="41"/>
    </row>
    <row r="76" spans="1:9" x14ac:dyDescent="0.3">
      <c r="A76" s="49">
        <v>45322</v>
      </c>
      <c r="B76" s="41" t="s">
        <v>784</v>
      </c>
      <c r="C76" s="41" t="s">
        <v>785</v>
      </c>
      <c r="D76" s="41" t="s">
        <v>312</v>
      </c>
      <c r="E76" s="41" t="s">
        <v>637</v>
      </c>
      <c r="F76" s="43"/>
      <c r="G76" s="43"/>
      <c r="H76" s="43">
        <v>399160</v>
      </c>
      <c r="I76" s="41"/>
    </row>
    <row r="77" spans="1:9" x14ac:dyDescent="0.3">
      <c r="A77" s="49">
        <v>45322</v>
      </c>
      <c r="B77" s="41" t="s">
        <v>780</v>
      </c>
      <c r="C77" s="41" t="s">
        <v>781</v>
      </c>
      <c r="D77" s="41" t="s">
        <v>612</v>
      </c>
      <c r="E77" s="41" t="s">
        <v>497</v>
      </c>
      <c r="F77" s="43"/>
      <c r="G77" s="43"/>
      <c r="H77" s="43">
        <v>400000</v>
      </c>
      <c r="I77" s="41"/>
    </row>
    <row r="78" spans="1:9" x14ac:dyDescent="0.3">
      <c r="A78" s="49">
        <v>45322</v>
      </c>
      <c r="B78" s="41" t="s">
        <v>780</v>
      </c>
      <c r="C78" s="41" t="s">
        <v>781</v>
      </c>
      <c r="D78" s="41" t="s">
        <v>614</v>
      </c>
      <c r="E78" s="41" t="s">
        <v>497</v>
      </c>
      <c r="F78" s="43"/>
      <c r="G78" s="43"/>
      <c r="H78" s="43">
        <v>400000</v>
      </c>
      <c r="I78" s="41"/>
    </row>
    <row r="79" spans="1:9" x14ac:dyDescent="0.3">
      <c r="A79" s="49">
        <v>45322</v>
      </c>
      <c r="B79" s="41" t="s">
        <v>780</v>
      </c>
      <c r="C79" s="41" t="s">
        <v>781</v>
      </c>
      <c r="D79" s="41" t="s">
        <v>616</v>
      </c>
      <c r="E79" s="41" t="s">
        <v>497</v>
      </c>
      <c r="F79" s="43"/>
      <c r="G79" s="43"/>
      <c r="H79" s="43">
        <v>400000</v>
      </c>
      <c r="I79" s="41"/>
    </row>
    <row r="80" spans="1:9" x14ac:dyDescent="0.3">
      <c r="A80" s="49">
        <v>45322</v>
      </c>
      <c r="B80" s="41" t="s">
        <v>780</v>
      </c>
      <c r="C80" s="41" t="s">
        <v>781</v>
      </c>
      <c r="D80" s="41" t="s">
        <v>618</v>
      </c>
      <c r="E80" s="41" t="s">
        <v>497</v>
      </c>
      <c r="F80" s="43"/>
      <c r="G80" s="43"/>
      <c r="H80" s="43">
        <v>400000</v>
      </c>
      <c r="I80" s="41"/>
    </row>
    <row r="81" spans="1:9" x14ac:dyDescent="0.3">
      <c r="A81" s="49">
        <v>45322</v>
      </c>
      <c r="B81" s="41" t="s">
        <v>780</v>
      </c>
      <c r="C81" s="41" t="s">
        <v>781</v>
      </c>
      <c r="D81" s="41" t="s">
        <v>620</v>
      </c>
      <c r="E81" s="41" t="s">
        <v>497</v>
      </c>
      <c r="F81" s="43"/>
      <c r="G81" s="43"/>
      <c r="H81" s="43">
        <v>400000</v>
      </c>
      <c r="I81" s="41"/>
    </row>
    <row r="82" spans="1:9" x14ac:dyDescent="0.3">
      <c r="A82" s="49">
        <v>45322</v>
      </c>
      <c r="B82" s="41" t="s">
        <v>792</v>
      </c>
      <c r="C82" s="41" t="s">
        <v>793</v>
      </c>
      <c r="D82" s="41" t="s">
        <v>671</v>
      </c>
      <c r="E82" s="41" t="s">
        <v>357</v>
      </c>
      <c r="F82" s="43"/>
      <c r="G82" s="43"/>
      <c r="H82" s="43">
        <v>458333</v>
      </c>
      <c r="I82" s="41"/>
    </row>
    <row r="83" spans="1:9" x14ac:dyDescent="0.3">
      <c r="A83" s="49">
        <v>45322</v>
      </c>
      <c r="B83" s="41" t="s">
        <v>790</v>
      </c>
      <c r="C83" s="41" t="s">
        <v>791</v>
      </c>
      <c r="D83" s="42" t="s">
        <v>669</v>
      </c>
      <c r="E83" s="42" t="s">
        <v>393</v>
      </c>
      <c r="F83" s="43"/>
      <c r="G83" s="43"/>
      <c r="H83" s="43">
        <v>500000</v>
      </c>
      <c r="I83" s="41"/>
    </row>
    <row r="84" spans="1:9" x14ac:dyDescent="0.3">
      <c r="A84" s="49">
        <v>45322</v>
      </c>
      <c r="B84" s="41" t="s">
        <v>780</v>
      </c>
      <c r="C84" s="41" t="s">
        <v>781</v>
      </c>
      <c r="D84" s="41" t="s">
        <v>634</v>
      </c>
      <c r="E84" s="41" t="s">
        <v>481</v>
      </c>
      <c r="F84" s="43"/>
      <c r="G84" s="43"/>
      <c r="H84" s="43">
        <v>700000</v>
      </c>
      <c r="I84" s="41"/>
    </row>
    <row r="85" spans="1:9" x14ac:dyDescent="0.3">
      <c r="A85" s="49">
        <v>45322</v>
      </c>
      <c r="B85" s="41" t="s">
        <v>780</v>
      </c>
      <c r="C85" s="41" t="s">
        <v>781</v>
      </c>
      <c r="D85" s="41" t="s">
        <v>612</v>
      </c>
      <c r="E85" s="41" t="s">
        <v>481</v>
      </c>
      <c r="F85" s="43"/>
      <c r="G85" s="43"/>
      <c r="H85" s="43">
        <v>800000</v>
      </c>
      <c r="I85" s="41"/>
    </row>
    <row r="86" spans="1:9" x14ac:dyDescent="0.3">
      <c r="A86" s="49">
        <v>45322</v>
      </c>
      <c r="B86" s="41" t="s">
        <v>780</v>
      </c>
      <c r="C86" s="41" t="s">
        <v>781</v>
      </c>
      <c r="D86" s="41" t="s">
        <v>614</v>
      </c>
      <c r="E86" s="41" t="s">
        <v>481</v>
      </c>
      <c r="F86" s="43"/>
      <c r="G86" s="43"/>
      <c r="H86" s="43">
        <v>800000</v>
      </c>
      <c r="I86" s="41"/>
    </row>
    <row r="87" spans="1:9" x14ac:dyDescent="0.3">
      <c r="A87" s="49">
        <v>45322</v>
      </c>
      <c r="B87" s="41" t="s">
        <v>780</v>
      </c>
      <c r="C87" s="41" t="s">
        <v>781</v>
      </c>
      <c r="D87" s="41" t="s">
        <v>616</v>
      </c>
      <c r="E87" s="41" t="s">
        <v>481</v>
      </c>
      <c r="F87" s="43"/>
      <c r="G87" s="43"/>
      <c r="H87" s="43">
        <v>800000</v>
      </c>
      <c r="I87" s="41"/>
    </row>
    <row r="88" spans="1:9" x14ac:dyDescent="0.3">
      <c r="A88" s="49">
        <v>45322</v>
      </c>
      <c r="B88" s="41" t="s">
        <v>780</v>
      </c>
      <c r="C88" s="41" t="s">
        <v>781</v>
      </c>
      <c r="D88" s="41" t="s">
        <v>618</v>
      </c>
      <c r="E88" s="41" t="s">
        <v>481</v>
      </c>
      <c r="F88" s="43"/>
      <c r="G88" s="43"/>
      <c r="H88" s="43">
        <v>800000</v>
      </c>
      <c r="I88" s="41"/>
    </row>
    <row r="89" spans="1:9" x14ac:dyDescent="0.3">
      <c r="A89" s="49">
        <v>45322</v>
      </c>
      <c r="B89" s="41" t="s">
        <v>780</v>
      </c>
      <c r="C89" s="41" t="s">
        <v>781</v>
      </c>
      <c r="D89" s="41" t="s">
        <v>620</v>
      </c>
      <c r="E89" s="41" t="s">
        <v>481</v>
      </c>
      <c r="F89" s="43"/>
      <c r="G89" s="43"/>
      <c r="H89" s="43">
        <v>800000</v>
      </c>
      <c r="I89" s="41"/>
    </row>
    <row r="90" spans="1:9" x14ac:dyDescent="0.3">
      <c r="A90" s="49">
        <v>45322</v>
      </c>
      <c r="B90" s="41" t="s">
        <v>780</v>
      </c>
      <c r="C90" s="41" t="s">
        <v>781</v>
      </c>
      <c r="D90" s="41" t="s">
        <v>654</v>
      </c>
      <c r="E90" s="41" t="s">
        <v>483</v>
      </c>
      <c r="F90" s="43"/>
      <c r="G90" s="43"/>
      <c r="H90" s="43">
        <v>800000</v>
      </c>
      <c r="I90" s="41"/>
    </row>
    <row r="91" spans="1:9" x14ac:dyDescent="0.3">
      <c r="A91" s="49">
        <v>45322</v>
      </c>
      <c r="B91" s="41" t="s">
        <v>788</v>
      </c>
      <c r="C91" s="41" t="s">
        <v>789</v>
      </c>
      <c r="D91" s="41" t="s">
        <v>684</v>
      </c>
      <c r="E91" s="41" t="s">
        <v>677</v>
      </c>
      <c r="F91" s="43"/>
      <c r="G91" s="43"/>
      <c r="H91" s="43">
        <v>808421</v>
      </c>
      <c r="I91" s="41"/>
    </row>
    <row r="92" spans="1:9" x14ac:dyDescent="0.3">
      <c r="A92" s="49">
        <v>45322</v>
      </c>
      <c r="B92" s="41" t="s">
        <v>794</v>
      </c>
      <c r="C92" s="41" t="s">
        <v>795</v>
      </c>
      <c r="D92" s="41" t="s">
        <v>322</v>
      </c>
      <c r="E92" s="41" t="s">
        <v>312</v>
      </c>
      <c r="F92" s="43"/>
      <c r="G92" s="43"/>
      <c r="H92" s="43">
        <v>810000</v>
      </c>
      <c r="I92" s="41"/>
    </row>
    <row r="93" spans="1:9" x14ac:dyDescent="0.3">
      <c r="A93" s="49">
        <v>45322</v>
      </c>
      <c r="B93" s="41" t="s">
        <v>788</v>
      </c>
      <c r="C93" s="41" t="s">
        <v>789</v>
      </c>
      <c r="D93" s="41" t="s">
        <v>688</v>
      </c>
      <c r="E93" s="41" t="s">
        <v>677</v>
      </c>
      <c r="F93" s="43"/>
      <c r="G93" s="43"/>
      <c r="H93" s="43">
        <v>993332</v>
      </c>
      <c r="I93" s="41"/>
    </row>
    <row r="94" spans="1:9" x14ac:dyDescent="0.3">
      <c r="A94" s="49">
        <v>45322</v>
      </c>
      <c r="B94" s="41" t="s">
        <v>788</v>
      </c>
      <c r="C94" s="41" t="s">
        <v>789</v>
      </c>
      <c r="D94" s="41" t="s">
        <v>682</v>
      </c>
      <c r="E94" s="41" t="s">
        <v>677</v>
      </c>
      <c r="F94" s="43"/>
      <c r="G94" s="43"/>
      <c r="H94" s="43">
        <v>998247</v>
      </c>
      <c r="I94" s="41"/>
    </row>
    <row r="95" spans="1:9" x14ac:dyDescent="0.3">
      <c r="A95" s="49">
        <v>45322</v>
      </c>
      <c r="B95" s="41" t="s">
        <v>780</v>
      </c>
      <c r="C95" s="41" t="s">
        <v>781</v>
      </c>
      <c r="D95" s="41" t="s">
        <v>634</v>
      </c>
      <c r="E95" s="41" t="s">
        <v>485</v>
      </c>
      <c r="F95" s="43"/>
      <c r="G95" s="43"/>
      <c r="H95" s="43">
        <v>1050000</v>
      </c>
      <c r="I95" s="41"/>
    </row>
    <row r="96" spans="1:9" x14ac:dyDescent="0.3">
      <c r="A96" s="49">
        <v>45322</v>
      </c>
      <c r="B96" s="41" t="s">
        <v>780</v>
      </c>
      <c r="C96" s="41" t="s">
        <v>781</v>
      </c>
      <c r="D96" s="41" t="s">
        <v>665</v>
      </c>
      <c r="E96" s="41" t="s">
        <v>483</v>
      </c>
      <c r="F96" s="43"/>
      <c r="G96" s="43"/>
      <c r="H96" s="43">
        <v>1120000</v>
      </c>
      <c r="I96" s="41"/>
    </row>
    <row r="97" spans="1:9" x14ac:dyDescent="0.3">
      <c r="A97" s="49">
        <v>45322</v>
      </c>
      <c r="B97" s="41" t="s">
        <v>780</v>
      </c>
      <c r="C97" s="41" t="s">
        <v>781</v>
      </c>
      <c r="D97" s="41" t="s">
        <v>612</v>
      </c>
      <c r="E97" s="41" t="s">
        <v>485</v>
      </c>
      <c r="F97" s="43"/>
      <c r="G97" s="43"/>
      <c r="H97" s="43">
        <v>1200000</v>
      </c>
      <c r="I97" s="41"/>
    </row>
    <row r="98" spans="1:9" x14ac:dyDescent="0.3">
      <c r="A98" s="49">
        <v>45322</v>
      </c>
      <c r="B98" s="41" t="s">
        <v>780</v>
      </c>
      <c r="C98" s="41" t="s">
        <v>781</v>
      </c>
      <c r="D98" s="41" t="s">
        <v>614</v>
      </c>
      <c r="E98" s="41" t="s">
        <v>485</v>
      </c>
      <c r="F98" s="43"/>
      <c r="G98" s="43"/>
      <c r="H98" s="43">
        <v>1200000</v>
      </c>
      <c r="I98" s="41"/>
    </row>
    <row r="99" spans="1:9" x14ac:dyDescent="0.3">
      <c r="A99" s="49">
        <v>45322</v>
      </c>
      <c r="B99" s="41" t="s">
        <v>780</v>
      </c>
      <c r="C99" s="41" t="s">
        <v>781</v>
      </c>
      <c r="D99" s="41" t="s">
        <v>616</v>
      </c>
      <c r="E99" s="41" t="s">
        <v>485</v>
      </c>
      <c r="F99" s="43"/>
      <c r="G99" s="43"/>
      <c r="H99" s="43">
        <v>1200000</v>
      </c>
      <c r="I99" s="41"/>
    </row>
    <row r="100" spans="1:9" x14ac:dyDescent="0.3">
      <c r="A100" s="49">
        <v>45322</v>
      </c>
      <c r="B100" s="41" t="s">
        <v>780</v>
      </c>
      <c r="C100" s="41" t="s">
        <v>781</v>
      </c>
      <c r="D100" s="41" t="s">
        <v>618</v>
      </c>
      <c r="E100" s="41" t="s">
        <v>485</v>
      </c>
      <c r="F100" s="43"/>
      <c r="G100" s="43"/>
      <c r="H100" s="43">
        <v>1200000</v>
      </c>
      <c r="I100" s="41"/>
    </row>
    <row r="101" spans="1:9" x14ac:dyDescent="0.3">
      <c r="A101" s="49">
        <v>45322</v>
      </c>
      <c r="B101" s="41" t="s">
        <v>780</v>
      </c>
      <c r="C101" s="41" t="s">
        <v>781</v>
      </c>
      <c r="D101" s="41" t="s">
        <v>620</v>
      </c>
      <c r="E101" s="41" t="s">
        <v>485</v>
      </c>
      <c r="F101" s="43"/>
      <c r="G101" s="43"/>
      <c r="H101" s="43">
        <v>1200000</v>
      </c>
      <c r="I101" s="41"/>
    </row>
    <row r="102" spans="1:9" x14ac:dyDescent="0.3">
      <c r="A102" s="49">
        <v>45322</v>
      </c>
      <c r="B102" s="41" t="s">
        <v>784</v>
      </c>
      <c r="C102" s="41" t="s">
        <v>785</v>
      </c>
      <c r="D102" s="41" t="s">
        <v>312</v>
      </c>
      <c r="E102" s="41" t="s">
        <v>638</v>
      </c>
      <c r="F102" s="43"/>
      <c r="G102" s="43"/>
      <c r="H102" s="43">
        <v>1330534</v>
      </c>
      <c r="I102" s="41"/>
    </row>
    <row r="103" spans="1:9" x14ac:dyDescent="0.3">
      <c r="A103" s="49">
        <v>45322</v>
      </c>
      <c r="B103" s="41" t="s">
        <v>794</v>
      </c>
      <c r="C103" s="41" t="s">
        <v>796</v>
      </c>
      <c r="D103" s="41" t="s">
        <v>324</v>
      </c>
      <c r="E103" s="41" t="s">
        <v>316</v>
      </c>
      <c r="F103" s="43"/>
      <c r="G103" s="43"/>
      <c r="H103" s="43">
        <v>1500000</v>
      </c>
      <c r="I103" s="41"/>
    </row>
    <row r="104" spans="1:9" x14ac:dyDescent="0.3">
      <c r="A104" s="49">
        <v>45322</v>
      </c>
      <c r="B104" s="41" t="s">
        <v>797</v>
      </c>
      <c r="C104" s="44" t="s">
        <v>798</v>
      </c>
      <c r="D104" s="41" t="s">
        <v>568</v>
      </c>
      <c r="E104" s="42" t="s">
        <v>688</v>
      </c>
      <c r="F104" s="43"/>
      <c r="G104" s="43"/>
      <c r="H104" s="43">
        <v>1615709</v>
      </c>
      <c r="I104" s="41"/>
    </row>
    <row r="105" spans="1:9" x14ac:dyDescent="0.3">
      <c r="A105" s="49">
        <v>45322</v>
      </c>
      <c r="B105" s="41" t="s">
        <v>799</v>
      </c>
      <c r="C105" s="41" t="s">
        <v>800</v>
      </c>
      <c r="D105" s="41" t="s">
        <v>638</v>
      </c>
      <c r="E105" s="41" t="s">
        <v>357</v>
      </c>
      <c r="F105" s="43"/>
      <c r="G105" s="43"/>
      <c r="H105" s="43">
        <v>1666666</v>
      </c>
      <c r="I105" s="41"/>
    </row>
    <row r="106" spans="1:9" x14ac:dyDescent="0.3">
      <c r="A106" s="49">
        <v>45322</v>
      </c>
      <c r="B106" s="41" t="s">
        <v>782</v>
      </c>
      <c r="C106" s="41" t="s">
        <v>783</v>
      </c>
      <c r="D106" s="41" t="s">
        <v>684</v>
      </c>
      <c r="E106" s="41" t="s">
        <v>654</v>
      </c>
      <c r="F106" s="43"/>
      <c r="G106" s="43"/>
      <c r="H106" s="43">
        <v>1761203</v>
      </c>
      <c r="I106" s="41"/>
    </row>
    <row r="107" spans="1:9" x14ac:dyDescent="0.3">
      <c r="A107" s="49">
        <v>45322</v>
      </c>
      <c r="B107" s="41" t="s">
        <v>797</v>
      </c>
      <c r="C107" s="44" t="s">
        <v>798</v>
      </c>
      <c r="D107" s="41" t="s">
        <v>568</v>
      </c>
      <c r="E107" s="41" t="s">
        <v>682</v>
      </c>
      <c r="F107" s="43"/>
      <c r="G107" s="43"/>
      <c r="H107" s="43">
        <v>1772143</v>
      </c>
      <c r="I107" s="41"/>
    </row>
    <row r="108" spans="1:9" x14ac:dyDescent="0.3">
      <c r="A108" s="49">
        <v>45322</v>
      </c>
      <c r="B108" s="41" t="s">
        <v>794</v>
      </c>
      <c r="C108" s="41" t="s">
        <v>801</v>
      </c>
      <c r="D108" s="41" t="s">
        <v>323</v>
      </c>
      <c r="E108" s="41" t="s">
        <v>314</v>
      </c>
      <c r="F108" s="43"/>
      <c r="G108" s="43"/>
      <c r="H108" s="43">
        <v>1800000</v>
      </c>
      <c r="I108" s="41"/>
    </row>
    <row r="109" spans="1:9" x14ac:dyDescent="0.3">
      <c r="A109" s="49">
        <v>45322</v>
      </c>
      <c r="B109" s="41" t="s">
        <v>782</v>
      </c>
      <c r="C109" s="41" t="s">
        <v>783</v>
      </c>
      <c r="D109" s="41" t="s">
        <v>688</v>
      </c>
      <c r="E109" s="41" t="s">
        <v>654</v>
      </c>
      <c r="F109" s="43"/>
      <c r="G109" s="43"/>
      <c r="H109" s="43">
        <v>2164045</v>
      </c>
      <c r="I109" s="41"/>
    </row>
    <row r="110" spans="1:9" x14ac:dyDescent="0.3">
      <c r="A110" s="49">
        <v>45322</v>
      </c>
      <c r="B110" s="41" t="s">
        <v>782</v>
      </c>
      <c r="C110" s="41" t="s">
        <v>783</v>
      </c>
      <c r="D110" s="41" t="s">
        <v>682</v>
      </c>
      <c r="E110" s="41" t="s">
        <v>654</v>
      </c>
      <c r="F110" s="43"/>
      <c r="G110" s="43"/>
      <c r="H110" s="43">
        <v>2174752</v>
      </c>
      <c r="I110" s="41"/>
    </row>
    <row r="111" spans="1:9" x14ac:dyDescent="0.3">
      <c r="A111" s="49">
        <v>45322</v>
      </c>
      <c r="B111" s="41" t="s">
        <v>797</v>
      </c>
      <c r="C111" s="44" t="s">
        <v>798</v>
      </c>
      <c r="D111" s="42" t="s">
        <v>684</v>
      </c>
      <c r="E111" s="42" t="s">
        <v>568</v>
      </c>
      <c r="F111" s="43"/>
      <c r="G111" s="43"/>
      <c r="H111" s="43">
        <v>2269619</v>
      </c>
      <c r="I111" s="41"/>
    </row>
    <row r="112" spans="1:9" x14ac:dyDescent="0.3">
      <c r="A112" s="49">
        <v>45322</v>
      </c>
      <c r="B112" s="41" t="s">
        <v>788</v>
      </c>
      <c r="C112" s="41" t="s">
        <v>789</v>
      </c>
      <c r="D112" s="41" t="s">
        <v>684</v>
      </c>
      <c r="E112" s="41" t="s">
        <v>665</v>
      </c>
      <c r="F112" s="43"/>
      <c r="G112" s="43"/>
      <c r="H112" s="43">
        <v>2465685</v>
      </c>
      <c r="I112" s="41"/>
    </row>
    <row r="113" spans="1:9" x14ac:dyDescent="0.3">
      <c r="A113" s="49">
        <v>45322</v>
      </c>
      <c r="B113" s="41" t="s">
        <v>788</v>
      </c>
      <c r="C113" s="41" t="s">
        <v>789</v>
      </c>
      <c r="D113" s="41" t="s">
        <v>688</v>
      </c>
      <c r="E113" s="41" t="s">
        <v>665</v>
      </c>
      <c r="F113" s="43"/>
      <c r="G113" s="43"/>
      <c r="H113" s="43">
        <v>3029662</v>
      </c>
      <c r="I113" s="41"/>
    </row>
    <row r="114" spans="1:9" x14ac:dyDescent="0.3">
      <c r="A114" s="49">
        <v>45322</v>
      </c>
      <c r="B114" s="41" t="s">
        <v>788</v>
      </c>
      <c r="C114" s="41" t="s">
        <v>789</v>
      </c>
      <c r="D114" s="41" t="s">
        <v>682</v>
      </c>
      <c r="E114" s="41" t="s">
        <v>665</v>
      </c>
      <c r="F114" s="43"/>
      <c r="G114" s="43"/>
      <c r="H114" s="43">
        <v>3044653</v>
      </c>
      <c r="I114" s="41"/>
    </row>
    <row r="115" spans="1:9" x14ac:dyDescent="0.3">
      <c r="A115" s="49">
        <v>45322</v>
      </c>
      <c r="B115" s="41" t="s">
        <v>802</v>
      </c>
      <c r="C115" s="41" t="s">
        <v>803</v>
      </c>
      <c r="D115" s="41" t="s">
        <v>316</v>
      </c>
      <c r="E115" s="41" t="s">
        <v>606</v>
      </c>
      <c r="F115" s="43"/>
      <c r="G115" s="43"/>
      <c r="H115" s="43">
        <v>3646000</v>
      </c>
      <c r="I115" s="41"/>
    </row>
    <row r="116" spans="1:9" x14ac:dyDescent="0.3">
      <c r="A116" s="49">
        <v>45322</v>
      </c>
      <c r="B116" s="41" t="s">
        <v>804</v>
      </c>
      <c r="C116" s="41" t="s">
        <v>805</v>
      </c>
      <c r="D116" s="41" t="s">
        <v>654</v>
      </c>
      <c r="E116" s="41" t="s">
        <v>450</v>
      </c>
      <c r="F116" s="43"/>
      <c r="G116" s="43"/>
      <c r="H116" s="43">
        <v>5000000</v>
      </c>
      <c r="I116" s="41"/>
    </row>
    <row r="117" spans="1:9" x14ac:dyDescent="0.3">
      <c r="A117" s="49">
        <v>45322</v>
      </c>
      <c r="B117" s="41" t="s">
        <v>780</v>
      </c>
      <c r="C117" s="41" t="s">
        <v>781</v>
      </c>
      <c r="D117" s="41" t="s">
        <v>634</v>
      </c>
      <c r="E117" s="41" t="s">
        <v>483</v>
      </c>
      <c r="F117" s="43"/>
      <c r="G117" s="43"/>
      <c r="H117" s="43">
        <v>5600000</v>
      </c>
      <c r="I117" s="41"/>
    </row>
    <row r="118" spans="1:9" x14ac:dyDescent="0.3">
      <c r="A118" s="49">
        <v>45322</v>
      </c>
      <c r="B118" s="41" t="s">
        <v>780</v>
      </c>
      <c r="C118" s="41" t="s">
        <v>781</v>
      </c>
      <c r="D118" s="41" t="s">
        <v>612</v>
      </c>
      <c r="E118" s="41" t="s">
        <v>483</v>
      </c>
      <c r="F118" s="43"/>
      <c r="G118" s="43"/>
      <c r="H118" s="43">
        <v>6400000</v>
      </c>
      <c r="I118" s="41"/>
    </row>
    <row r="119" spans="1:9" x14ac:dyDescent="0.3">
      <c r="A119" s="49">
        <v>45322</v>
      </c>
      <c r="B119" s="41" t="s">
        <v>780</v>
      </c>
      <c r="C119" s="41" t="s">
        <v>781</v>
      </c>
      <c r="D119" s="41" t="s">
        <v>614</v>
      </c>
      <c r="E119" s="41" t="s">
        <v>483</v>
      </c>
      <c r="F119" s="43"/>
      <c r="G119" s="43"/>
      <c r="H119" s="43">
        <v>6400000</v>
      </c>
      <c r="I119" s="41"/>
    </row>
    <row r="120" spans="1:9" x14ac:dyDescent="0.3">
      <c r="A120" s="49">
        <v>45322</v>
      </c>
      <c r="B120" s="41" t="s">
        <v>780</v>
      </c>
      <c r="C120" s="41" t="s">
        <v>781</v>
      </c>
      <c r="D120" s="41" t="s">
        <v>616</v>
      </c>
      <c r="E120" s="41" t="s">
        <v>483</v>
      </c>
      <c r="F120" s="43"/>
      <c r="G120" s="43"/>
      <c r="H120" s="43">
        <v>6400000</v>
      </c>
      <c r="I120" s="41"/>
    </row>
    <row r="121" spans="1:9" x14ac:dyDescent="0.3">
      <c r="A121" s="49">
        <v>45322</v>
      </c>
      <c r="B121" s="41" t="s">
        <v>780</v>
      </c>
      <c r="C121" s="41" t="s">
        <v>781</v>
      </c>
      <c r="D121" s="41" t="s">
        <v>618</v>
      </c>
      <c r="E121" s="41" t="s">
        <v>483</v>
      </c>
      <c r="F121" s="43"/>
      <c r="G121" s="43"/>
      <c r="H121" s="43">
        <v>6400000</v>
      </c>
      <c r="I121" s="41"/>
    </row>
    <row r="122" spans="1:9" x14ac:dyDescent="0.3">
      <c r="A122" s="49">
        <v>45322</v>
      </c>
      <c r="B122" s="41" t="s">
        <v>780</v>
      </c>
      <c r="C122" s="41" t="s">
        <v>781</v>
      </c>
      <c r="D122" s="41" t="s">
        <v>620</v>
      </c>
      <c r="E122" s="41" t="s">
        <v>483</v>
      </c>
      <c r="F122" s="43"/>
      <c r="G122" s="43"/>
      <c r="H122" s="43">
        <v>6400000</v>
      </c>
      <c r="I122" s="41"/>
    </row>
    <row r="123" spans="1:9" x14ac:dyDescent="0.3">
      <c r="A123" s="49">
        <v>45322</v>
      </c>
      <c r="B123" s="41" t="s">
        <v>804</v>
      </c>
      <c r="C123" s="41" t="s">
        <v>805</v>
      </c>
      <c r="D123" s="41" t="s">
        <v>665</v>
      </c>
      <c r="E123" s="41" t="s">
        <v>452</v>
      </c>
      <c r="F123" s="43"/>
      <c r="G123" s="43"/>
      <c r="H123" s="43">
        <v>7000000</v>
      </c>
      <c r="I123" s="41"/>
    </row>
    <row r="124" spans="1:9" x14ac:dyDescent="0.3">
      <c r="A124" s="49">
        <v>45322</v>
      </c>
      <c r="B124" s="41" t="s">
        <v>784</v>
      </c>
      <c r="C124" s="41" t="s">
        <v>785</v>
      </c>
      <c r="D124" s="41" t="s">
        <v>316</v>
      </c>
      <c r="E124" s="41" t="s">
        <v>634</v>
      </c>
      <c r="F124" s="43"/>
      <c r="G124" s="43"/>
      <c r="H124" s="43">
        <v>8611709</v>
      </c>
      <c r="I124" s="41"/>
    </row>
    <row r="125" spans="1:9" x14ac:dyDescent="0.3">
      <c r="A125" s="49">
        <v>45322</v>
      </c>
      <c r="B125" s="41" t="s">
        <v>802</v>
      </c>
      <c r="C125" s="41" t="s">
        <v>803</v>
      </c>
      <c r="D125" s="42" t="s">
        <v>312</v>
      </c>
      <c r="E125" s="42" t="s">
        <v>602</v>
      </c>
      <c r="F125" s="43"/>
      <c r="G125" s="43"/>
      <c r="H125" s="43">
        <v>14432200</v>
      </c>
      <c r="I125" s="41"/>
    </row>
    <row r="126" spans="1:9" x14ac:dyDescent="0.3">
      <c r="A126" s="49">
        <v>45322</v>
      </c>
      <c r="B126" s="41" t="s">
        <v>806</v>
      </c>
      <c r="C126" s="41" t="s">
        <v>807</v>
      </c>
      <c r="D126" s="42" t="s">
        <v>684</v>
      </c>
      <c r="E126" s="41" t="s">
        <v>644</v>
      </c>
      <c r="F126" s="43"/>
      <c r="G126" s="43"/>
      <c r="H126" s="43">
        <v>20346200</v>
      </c>
      <c r="I126" s="41"/>
    </row>
    <row r="127" spans="1:9" x14ac:dyDescent="0.3">
      <c r="A127" s="49">
        <v>45322</v>
      </c>
      <c r="B127" s="41" t="s">
        <v>806</v>
      </c>
      <c r="C127" s="41" t="s">
        <v>807</v>
      </c>
      <c r="D127" s="42" t="s">
        <v>688</v>
      </c>
      <c r="E127" s="41" t="s">
        <v>648</v>
      </c>
      <c r="F127" s="43"/>
      <c r="G127" s="43"/>
      <c r="H127" s="43">
        <v>25000000</v>
      </c>
      <c r="I127" s="41"/>
    </row>
    <row r="128" spans="1:9" x14ac:dyDescent="0.3">
      <c r="A128" s="49">
        <v>45322</v>
      </c>
      <c r="B128" s="41" t="s">
        <v>806</v>
      </c>
      <c r="C128" s="41" t="s">
        <v>807</v>
      </c>
      <c r="D128" s="41" t="s">
        <v>682</v>
      </c>
      <c r="E128" s="41" t="s">
        <v>642</v>
      </c>
      <c r="F128" s="43"/>
      <c r="G128" s="43"/>
      <c r="H128" s="43">
        <v>25123700</v>
      </c>
      <c r="I128" s="41"/>
    </row>
    <row r="129" spans="1:9" x14ac:dyDescent="0.3">
      <c r="A129" s="49">
        <v>45322</v>
      </c>
      <c r="B129" s="41" t="s">
        <v>808</v>
      </c>
      <c r="C129" s="44" t="s">
        <v>809</v>
      </c>
      <c r="D129" s="41" t="s">
        <v>577</v>
      </c>
      <c r="E129" s="42" t="s">
        <v>684</v>
      </c>
      <c r="F129" s="43"/>
      <c r="G129" s="43"/>
      <c r="H129" s="43">
        <v>28000000</v>
      </c>
      <c r="I129" s="41"/>
    </row>
    <row r="130" spans="1:9" x14ac:dyDescent="0.3">
      <c r="A130" s="49">
        <v>45322</v>
      </c>
      <c r="B130" s="41" t="s">
        <v>808</v>
      </c>
      <c r="C130" s="44" t="s">
        <v>809</v>
      </c>
      <c r="D130" s="41" t="s">
        <v>575</v>
      </c>
      <c r="E130" s="41" t="s">
        <v>682</v>
      </c>
      <c r="F130" s="43"/>
      <c r="G130" s="43"/>
      <c r="H130" s="43">
        <v>30000000</v>
      </c>
      <c r="I130" s="41"/>
    </row>
    <row r="131" spans="1:9" x14ac:dyDescent="0.3">
      <c r="A131" s="49">
        <v>45322</v>
      </c>
      <c r="B131" s="41" t="s">
        <v>808</v>
      </c>
      <c r="C131" s="44" t="s">
        <v>809</v>
      </c>
      <c r="D131" s="41" t="s">
        <v>581</v>
      </c>
      <c r="E131" s="42" t="s">
        <v>688</v>
      </c>
      <c r="F131" s="43"/>
      <c r="G131" s="43"/>
      <c r="H131" s="43">
        <v>30000000</v>
      </c>
      <c r="I131" s="41"/>
    </row>
    <row r="132" spans="1:9" x14ac:dyDescent="0.3">
      <c r="A132" s="49">
        <v>45322</v>
      </c>
      <c r="B132" s="41" t="s">
        <v>784</v>
      </c>
      <c r="C132" s="41" t="s">
        <v>785</v>
      </c>
      <c r="D132" s="41" t="s">
        <v>312</v>
      </c>
      <c r="E132" s="41" t="s">
        <v>634</v>
      </c>
      <c r="F132" s="43"/>
      <c r="G132" s="43"/>
      <c r="H132" s="43">
        <v>34088291</v>
      </c>
      <c r="I132" s="41"/>
    </row>
    <row r="133" spans="1:9" x14ac:dyDescent="0.3">
      <c r="A133" s="49">
        <v>45322</v>
      </c>
      <c r="B133" s="41" t="s">
        <v>804</v>
      </c>
      <c r="C133" s="41" t="s">
        <v>805</v>
      </c>
      <c r="D133" s="41" t="s">
        <v>634</v>
      </c>
      <c r="E133" s="41" t="s">
        <v>448</v>
      </c>
      <c r="F133" s="43"/>
      <c r="G133" s="43"/>
      <c r="H133" s="43">
        <v>35000000</v>
      </c>
      <c r="I133" s="41"/>
    </row>
    <row r="134" spans="1:9" x14ac:dyDescent="0.3">
      <c r="A134" s="49">
        <v>45322</v>
      </c>
      <c r="B134" s="41" t="s">
        <v>804</v>
      </c>
      <c r="C134" s="41" t="s">
        <v>805</v>
      </c>
      <c r="D134" s="41" t="s">
        <v>612</v>
      </c>
      <c r="E134" s="41" t="s">
        <v>438</v>
      </c>
      <c r="F134" s="43"/>
      <c r="G134" s="43"/>
      <c r="H134" s="43">
        <v>40000000</v>
      </c>
      <c r="I134" s="41"/>
    </row>
    <row r="135" spans="1:9" x14ac:dyDescent="0.3">
      <c r="A135" s="49">
        <v>45322</v>
      </c>
      <c r="B135" s="41" t="s">
        <v>804</v>
      </c>
      <c r="C135" s="41" t="s">
        <v>805</v>
      </c>
      <c r="D135" s="41" t="s">
        <v>614</v>
      </c>
      <c r="E135" s="41" t="s">
        <v>440</v>
      </c>
      <c r="F135" s="43"/>
      <c r="G135" s="43"/>
      <c r="H135" s="43">
        <v>40000000</v>
      </c>
      <c r="I135" s="41"/>
    </row>
    <row r="136" spans="1:9" x14ac:dyDescent="0.3">
      <c r="A136" s="49">
        <v>45322</v>
      </c>
      <c r="B136" s="41" t="s">
        <v>804</v>
      </c>
      <c r="C136" s="41" t="s">
        <v>805</v>
      </c>
      <c r="D136" s="41" t="s">
        <v>616</v>
      </c>
      <c r="E136" s="41" t="s">
        <v>442</v>
      </c>
      <c r="F136" s="43"/>
      <c r="G136" s="43"/>
      <c r="H136" s="43">
        <v>40000000</v>
      </c>
      <c r="I136" s="41"/>
    </row>
    <row r="137" spans="1:9" x14ac:dyDescent="0.3">
      <c r="A137" s="49">
        <v>45322</v>
      </c>
      <c r="B137" s="41" t="s">
        <v>804</v>
      </c>
      <c r="C137" s="41" t="s">
        <v>805</v>
      </c>
      <c r="D137" s="41" t="s">
        <v>618</v>
      </c>
      <c r="E137" s="41" t="s">
        <v>444</v>
      </c>
      <c r="F137" s="43"/>
      <c r="G137" s="43"/>
      <c r="H137" s="43">
        <v>40000000</v>
      </c>
      <c r="I137" s="41"/>
    </row>
    <row r="138" spans="1:9" x14ac:dyDescent="0.3">
      <c r="A138" s="49">
        <v>45322</v>
      </c>
      <c r="B138" s="41" t="s">
        <v>804</v>
      </c>
      <c r="C138" s="41" t="s">
        <v>805</v>
      </c>
      <c r="D138" s="41" t="s">
        <v>620</v>
      </c>
      <c r="E138" s="41" t="s">
        <v>446</v>
      </c>
      <c r="F138" s="43"/>
      <c r="G138" s="43"/>
      <c r="H138" s="43">
        <v>40000000</v>
      </c>
      <c r="I138" s="41"/>
    </row>
    <row r="139" spans="1:9" x14ac:dyDescent="0.3">
      <c r="A139" s="49">
        <v>45322</v>
      </c>
      <c r="B139" s="41" t="s">
        <v>810</v>
      </c>
      <c r="C139" s="41" t="s">
        <v>811</v>
      </c>
      <c r="D139" s="41" t="s">
        <v>312</v>
      </c>
      <c r="E139" s="41" t="s">
        <v>612</v>
      </c>
      <c r="F139" s="43"/>
      <c r="G139" s="43"/>
      <c r="H139" s="43">
        <v>48800000</v>
      </c>
      <c r="I139" s="41"/>
    </row>
    <row r="140" spans="1:9" x14ac:dyDescent="0.3">
      <c r="A140" s="49">
        <v>45322</v>
      </c>
      <c r="B140" s="41" t="s">
        <v>810</v>
      </c>
      <c r="C140" s="44" t="s">
        <v>811</v>
      </c>
      <c r="D140" s="41" t="s">
        <v>314</v>
      </c>
      <c r="E140" s="41" t="s">
        <v>614</v>
      </c>
      <c r="F140" s="43"/>
      <c r="G140" s="43"/>
      <c r="H140" s="43">
        <v>48800000</v>
      </c>
      <c r="I140" s="41"/>
    </row>
    <row r="141" spans="1:9" x14ac:dyDescent="0.3">
      <c r="A141" s="49">
        <v>45322</v>
      </c>
      <c r="B141" s="41" t="s">
        <v>810</v>
      </c>
      <c r="C141" s="44" t="s">
        <v>811</v>
      </c>
      <c r="D141" s="41" t="s">
        <v>316</v>
      </c>
      <c r="E141" s="41" t="s">
        <v>616</v>
      </c>
      <c r="F141" s="43"/>
      <c r="G141" s="43"/>
      <c r="H141" s="43">
        <v>48800000</v>
      </c>
      <c r="I141" s="41"/>
    </row>
    <row r="142" spans="1:9" x14ac:dyDescent="0.3">
      <c r="A142" s="49">
        <v>45322</v>
      </c>
      <c r="B142" s="41" t="s">
        <v>810</v>
      </c>
      <c r="C142" s="41" t="s">
        <v>811</v>
      </c>
      <c r="D142" s="41" t="s">
        <v>318</v>
      </c>
      <c r="E142" s="41" t="s">
        <v>618</v>
      </c>
      <c r="F142" s="43"/>
      <c r="G142" s="43"/>
      <c r="H142" s="43">
        <v>48800000</v>
      </c>
      <c r="I142" s="41"/>
    </row>
    <row r="143" spans="1:9" x14ac:dyDescent="0.3">
      <c r="A143" s="50">
        <v>45322</v>
      </c>
      <c r="B143" s="45" t="s">
        <v>810</v>
      </c>
      <c r="C143" s="45" t="s">
        <v>811</v>
      </c>
      <c r="D143" s="45" t="s">
        <v>320</v>
      </c>
      <c r="E143" s="45" t="s">
        <v>620</v>
      </c>
      <c r="F143" s="46"/>
      <c r="G143" s="46"/>
      <c r="H143" s="46">
        <v>48800000</v>
      </c>
      <c r="I143" s="45"/>
    </row>
    <row r="145" spans="8:8" ht="14.25" customHeight="1" x14ac:dyDescent="0.3">
      <c r="H145" s="47">
        <f>SUBTOTAL(9,H5:H143)</f>
        <v>1789403669</v>
      </c>
    </row>
  </sheetData>
  <mergeCells count="1">
    <mergeCell ref="A1:I1"/>
  </mergeCells>
  <conditionalFormatting sqref="H6">
    <cfRule type="cellIs" dxfId="0" priority="1" operator="equal">
      <formula>200000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636E-1E16-4AE0-9B11-0C964A8F5FE0}">
  <sheetPr codeName="Sheet24"/>
  <dimension ref="A1:L126"/>
  <sheetViews>
    <sheetView zoomScale="89" workbookViewId="0">
      <selection activeCell="E8" sqref="E8"/>
    </sheetView>
  </sheetViews>
  <sheetFormatPr defaultColWidth="9.33203125" defaultRowHeight="16.8" x14ac:dyDescent="0.3"/>
  <cols>
    <col min="1" max="1" width="62.33203125" style="51" customWidth="1"/>
    <col min="2" max="2" width="12.77734375" style="51" customWidth="1"/>
    <col min="3" max="3" width="18.77734375" style="51" customWidth="1"/>
    <col min="4" max="5" width="22.44140625" style="51" customWidth="1"/>
    <col min="6" max="6" width="15.44140625" style="51" bestFit="1" customWidth="1"/>
    <col min="7" max="7" width="18.6640625" style="51" bestFit="1" customWidth="1"/>
    <col min="8" max="8" width="9.33203125" style="74"/>
    <col min="9" max="11" width="9.33203125" style="51"/>
    <col min="12" max="12" width="8.77734375" style="74" customWidth="1"/>
    <col min="13" max="16384" width="9.33203125" style="51"/>
  </cols>
  <sheetData>
    <row r="1" spans="1:5" x14ac:dyDescent="0.3">
      <c r="A1" s="51" t="s">
        <v>812</v>
      </c>
      <c r="D1" s="52" t="s">
        <v>813</v>
      </c>
    </row>
    <row r="2" spans="1:5" x14ac:dyDescent="0.3">
      <c r="A2" s="51" t="s">
        <v>814</v>
      </c>
      <c r="D2" s="53" t="s">
        <v>815</v>
      </c>
    </row>
    <row r="3" spans="1:5" x14ac:dyDescent="0.3">
      <c r="D3" s="53" t="s">
        <v>816</v>
      </c>
    </row>
    <row r="4" spans="1:5" ht="20.399999999999999" x14ac:dyDescent="0.35">
      <c r="B4" s="54" t="s">
        <v>817</v>
      </c>
    </row>
    <row r="6" spans="1:5" x14ac:dyDescent="0.3">
      <c r="A6" s="55" t="s">
        <v>818</v>
      </c>
      <c r="B6" s="56" t="s">
        <v>819</v>
      </c>
      <c r="C6" s="56" t="s">
        <v>820</v>
      </c>
      <c r="D6" s="57" t="s">
        <v>821</v>
      </c>
      <c r="E6" s="57" t="s">
        <v>822</v>
      </c>
    </row>
    <row r="7" spans="1:5" x14ac:dyDescent="0.3">
      <c r="A7" s="58">
        <v>1</v>
      </c>
      <c r="B7" s="59">
        <v>2</v>
      </c>
      <c r="C7" s="59">
        <v>3</v>
      </c>
      <c r="D7" s="60">
        <v>4</v>
      </c>
      <c r="E7" s="60">
        <v>5</v>
      </c>
    </row>
    <row r="8" spans="1:5" x14ac:dyDescent="0.3">
      <c r="A8" s="61" t="s">
        <v>823</v>
      </c>
      <c r="B8" s="62">
        <v>100</v>
      </c>
      <c r="C8" s="120"/>
      <c r="D8" s="63">
        <f>SUMIFS(DMTK!$P$5:$P$191,DMTK!$O$5:$O$191,"*"&amp;B8&amp;"*")</f>
        <v>1409682900</v>
      </c>
      <c r="E8" s="63">
        <f>SUMIFS(DMTK!$N$5:$N$191,DMTK!$M$5:$M$191,"*"&amp;B8&amp;"*")</f>
        <v>1614461000</v>
      </c>
    </row>
    <row r="9" spans="1:5" x14ac:dyDescent="0.3">
      <c r="A9" s="64" t="s">
        <v>824</v>
      </c>
      <c r="B9" s="65">
        <v>110</v>
      </c>
      <c r="C9" s="120"/>
      <c r="D9" s="63">
        <f>SUMIFS(DMTK!$P$5:$P$191,DMTK!$O$5:$O$191,"*"&amp;B9&amp;"*")</f>
        <v>419321000</v>
      </c>
      <c r="E9" s="63">
        <f>SUMIFS(DMTK!$N$5:$N$191,DMTK!$M$5:$M$191,"*"&amp;B9&amp;"*")</f>
        <v>858221000</v>
      </c>
    </row>
    <row r="10" spans="1:5" x14ac:dyDescent="0.3">
      <c r="A10" s="66" t="s">
        <v>825</v>
      </c>
      <c r="B10" s="67">
        <v>111</v>
      </c>
      <c r="C10" s="121"/>
      <c r="D10" s="63">
        <f>SUMIFS(DMTK!$P$5:$P$191,DMTK!$O$5:$O$191,"*"&amp;B10&amp;"*")</f>
        <v>319321000</v>
      </c>
      <c r="E10" s="63">
        <f>SUMIFS(DMTK!$N$5:$N$191,DMTK!$M$5:$M$191,"*"&amp;B10&amp;"*")</f>
        <v>758221000</v>
      </c>
    </row>
    <row r="11" spans="1:5" x14ac:dyDescent="0.3">
      <c r="A11" s="66" t="s">
        <v>826</v>
      </c>
      <c r="B11" s="67">
        <v>112</v>
      </c>
      <c r="C11" s="121"/>
      <c r="D11" s="63">
        <f>SUMIFS(DMTK!$P$5:$P$191,DMTK!$O$5:$O$191,"*"&amp;B11&amp;"*")</f>
        <v>100000000</v>
      </c>
      <c r="E11" s="63">
        <f>SUMIFS(DMTK!$N$5:$N$191,DMTK!$M$5:$M$191,"*"&amp;B11&amp;"*")</f>
        <v>100000000</v>
      </c>
    </row>
    <row r="12" spans="1:5" x14ac:dyDescent="0.3">
      <c r="A12" s="64" t="s">
        <v>827</v>
      </c>
      <c r="B12" s="65">
        <v>120</v>
      </c>
      <c r="C12" s="120"/>
      <c r="D12" s="63">
        <f>SUMIFS(DMTK!$P$5:$P$191,DMTK!$O$5:$O$191,"*"&amp;B12&amp;"*")</f>
        <v>0</v>
      </c>
      <c r="E12" s="63">
        <f>SUMIFS(DMTK!$N$5:$N$191,DMTK!$M$5:$M$191,"*"&amp;B12&amp;"*")</f>
        <v>0</v>
      </c>
    </row>
    <row r="13" spans="1:5" x14ac:dyDescent="0.3">
      <c r="A13" s="66" t="s">
        <v>828</v>
      </c>
      <c r="B13" s="67" t="s">
        <v>14</v>
      </c>
      <c r="C13" s="121"/>
      <c r="D13" s="63">
        <f>SUMIFS(DMTK!$P$5:$P$191,DMTK!$O$5:$O$191,"*"&amp;B13&amp;"*")</f>
        <v>0</v>
      </c>
      <c r="E13" s="63">
        <f>SUMIFS(DMTK!$N$5:$N$191,DMTK!$M$5:$M$191,"*"&amp;B13&amp;"*")</f>
        <v>0</v>
      </c>
    </row>
    <row r="14" spans="1:5" x14ac:dyDescent="0.3">
      <c r="A14" s="66" t="s">
        <v>829</v>
      </c>
      <c r="B14" s="67" t="s">
        <v>830</v>
      </c>
      <c r="C14" s="121"/>
      <c r="D14" s="63">
        <f>SUMIFS(DMTK!$P$5:$P$191,DMTK!$O$5:$O$191,"*"&amp;B14&amp;"*")</f>
        <v>0</v>
      </c>
      <c r="E14" s="63">
        <f>SUMIFS(DMTK!$N$5:$N$191,DMTK!$M$5:$M$191,"*"&amp;B14&amp;"*")</f>
        <v>0</v>
      </c>
    </row>
    <row r="15" spans="1:5" x14ac:dyDescent="0.3">
      <c r="A15" s="68" t="s">
        <v>831</v>
      </c>
      <c r="B15" s="67" t="s">
        <v>832</v>
      </c>
      <c r="C15" s="121"/>
      <c r="D15" s="63">
        <f>SUMIFS(DMTK!$P$5:$P$191,DMTK!$O$5:$O$191,"*"&amp;B15&amp;"*")</f>
        <v>0</v>
      </c>
      <c r="E15" s="63">
        <f>SUMIFS(DMTK!$N$5:$N$191,DMTK!$M$5:$M$191,"*"&amp;B15&amp;"*")</f>
        <v>0</v>
      </c>
    </row>
    <row r="16" spans="1:5" x14ac:dyDescent="0.3">
      <c r="A16" s="64" t="s">
        <v>833</v>
      </c>
      <c r="B16" s="65">
        <v>130</v>
      </c>
      <c r="C16" s="120"/>
      <c r="D16" s="63">
        <f>SUMIFS(DMTK!$P$5:$P$191,DMTK!$O$5:$O$191,"*"&amp;B16&amp;"*")</f>
        <v>433100000</v>
      </c>
      <c r="E16" s="63">
        <f>SUMIFS(DMTK!$N$5:$N$191,DMTK!$M$5:$M$191,"*"&amp;B16&amp;"*")</f>
        <v>382700000</v>
      </c>
    </row>
    <row r="17" spans="1:5" x14ac:dyDescent="0.3">
      <c r="A17" s="69" t="s">
        <v>834</v>
      </c>
      <c r="B17" s="70">
        <v>131</v>
      </c>
      <c r="C17" s="121"/>
      <c r="D17" s="63">
        <f>SUMIFS(DMTK!$P$5:$P$191,DMTK!$O$5:$O$191,"*"&amp;B17&amp;"*")</f>
        <v>232900000</v>
      </c>
      <c r="E17" s="63">
        <f>SUMIFS(DMTK!$N$5:$N$191,DMTK!$M$5:$M$191,"*"&amp;B17&amp;"*")</f>
        <v>227000000</v>
      </c>
    </row>
    <row r="18" spans="1:5" x14ac:dyDescent="0.3">
      <c r="A18" s="69" t="s">
        <v>835</v>
      </c>
      <c r="B18" s="70">
        <v>132</v>
      </c>
      <c r="C18" s="121"/>
      <c r="D18" s="63">
        <f>SUMIFS(DMTK!$P$5:$P$191,DMTK!$O$5:$O$191,"*"&amp;B18&amp;"*")</f>
        <v>44500000</v>
      </c>
      <c r="E18" s="63">
        <f>SUMIFS(DMTK!$N$5:$N$191,DMTK!$M$5:$M$191,"*"&amp;B18&amp;"*")</f>
        <v>0</v>
      </c>
    </row>
    <row r="19" spans="1:5" x14ac:dyDescent="0.3">
      <c r="A19" s="69" t="s">
        <v>836</v>
      </c>
      <c r="B19" s="70">
        <v>133</v>
      </c>
      <c r="C19" s="121"/>
      <c r="D19" s="63">
        <f>SUMIFS(DMTK!$P$5:$P$191,DMTK!$O$5:$O$191,"*"&amp;B19&amp;"*")</f>
        <v>0</v>
      </c>
      <c r="E19" s="63">
        <f>SUMIFS(DMTK!$N$5:$N$191,DMTK!$M$5:$M$191,"*"&amp;B19&amp;"*")</f>
        <v>0</v>
      </c>
    </row>
    <row r="20" spans="1:5" x14ac:dyDescent="0.3">
      <c r="A20" s="69" t="s">
        <v>837</v>
      </c>
      <c r="B20" s="70">
        <v>134</v>
      </c>
      <c r="C20" s="121"/>
      <c r="D20" s="63">
        <f>SUMIFS(DMTK!$P$5:$P$191,DMTK!$O$5:$O$191,"*"&amp;B20&amp;"*")</f>
        <v>0</v>
      </c>
      <c r="E20" s="63">
        <f>SUMIFS(DMTK!$N$5:$N$191,DMTK!$M$5:$M$191,"*"&amp;B20&amp;"*")</f>
        <v>0</v>
      </c>
    </row>
    <row r="21" spans="1:5" x14ac:dyDescent="0.3">
      <c r="A21" s="69" t="s">
        <v>838</v>
      </c>
      <c r="B21" s="70">
        <v>135</v>
      </c>
      <c r="C21" s="121"/>
      <c r="D21" s="63">
        <f>SUMIFS(DMTK!$P$5:$P$191,DMTK!$O$5:$O$191,"*"&amp;B21&amp;"*")</f>
        <v>0</v>
      </c>
      <c r="E21" s="63">
        <f>SUMIFS(DMTK!$N$5:$N$191,DMTK!$M$5:$M$191,"*"&amp;B21&amp;"*")</f>
        <v>0</v>
      </c>
    </row>
    <row r="22" spans="1:5" x14ac:dyDescent="0.3">
      <c r="A22" s="69" t="s">
        <v>839</v>
      </c>
      <c r="B22" s="70">
        <v>136</v>
      </c>
      <c r="C22" s="121"/>
      <c r="D22" s="63">
        <f>SUMIFS(DMTK!$P$5:$P$191,DMTK!$O$5:$O$191,"*"&amp;B22&amp;"*")</f>
        <v>185700000</v>
      </c>
      <c r="E22" s="63">
        <f>SUMIFS(DMTK!$N$5:$N$191,DMTK!$M$5:$M$191,"*"&amp;B22&amp;"*")</f>
        <v>185700000</v>
      </c>
    </row>
    <row r="23" spans="1:5" x14ac:dyDescent="0.3">
      <c r="A23" s="69" t="s">
        <v>840</v>
      </c>
      <c r="B23" s="70">
        <v>137</v>
      </c>
      <c r="C23" s="121"/>
      <c r="D23" s="63">
        <f>SUMIFS(DMTK!$P$5:$P$191,DMTK!$O$5:$O$191,"*"&amp;B23&amp;"*")</f>
        <v>-30000000</v>
      </c>
      <c r="E23" s="63">
        <f>SUMIFS(DMTK!$N$5:$N$191,DMTK!$M$5:$M$191,"*"&amp;B23&amp;"*")</f>
        <v>-30000000</v>
      </c>
    </row>
    <row r="24" spans="1:5" x14ac:dyDescent="0.3">
      <c r="A24" s="69" t="s">
        <v>841</v>
      </c>
      <c r="B24" s="70">
        <v>139</v>
      </c>
      <c r="C24" s="121"/>
      <c r="D24" s="63">
        <f>SUMIFS(DMTK!$P$5:$P$191,DMTK!$O$5:$O$191,"*"&amp;B24&amp;"*")</f>
        <v>0</v>
      </c>
      <c r="E24" s="63">
        <f>SUMIFS(DMTK!$N$5:$N$191,DMTK!$M$5:$M$191,"*"&amp;B24&amp;"*")</f>
        <v>0</v>
      </c>
    </row>
    <row r="25" spans="1:5" x14ac:dyDescent="0.3">
      <c r="A25" s="64" t="s">
        <v>842</v>
      </c>
      <c r="B25" s="65">
        <v>140</v>
      </c>
      <c r="C25" s="120"/>
      <c r="D25" s="63">
        <f>SUMIFS(DMTK!$P$5:$P$191,DMTK!$O$5:$O$191,"*"&amp;B25&amp;"*")</f>
        <v>495551900</v>
      </c>
      <c r="E25" s="63">
        <f>SUMIFS(DMTK!$N$5:$N$191,DMTK!$M$5:$M$191,"*"&amp;B25&amp;"*")</f>
        <v>330540000</v>
      </c>
    </row>
    <row r="26" spans="1:5" x14ac:dyDescent="0.3">
      <c r="A26" s="66" t="s">
        <v>843</v>
      </c>
      <c r="B26" s="67">
        <v>141</v>
      </c>
      <c r="C26" s="121"/>
      <c r="D26" s="63">
        <f>SUMIFS(DMTK!$P$5:$P$191,DMTK!$O$5:$O$191,"*"&amp;B26&amp;"*")</f>
        <v>575551900</v>
      </c>
      <c r="E26" s="63">
        <f>SUMIFS(DMTK!$N$5:$N$191,DMTK!$M$5:$M$191,"*"&amp;B26&amp;"*")</f>
        <v>410540000</v>
      </c>
    </row>
    <row r="27" spans="1:5" x14ac:dyDescent="0.3">
      <c r="A27" s="66" t="s">
        <v>844</v>
      </c>
      <c r="B27" s="67">
        <v>149</v>
      </c>
      <c r="C27" s="121"/>
      <c r="D27" s="63">
        <f>SUMIFS(DMTK!$P$5:$P$191,DMTK!$O$5:$O$191,"*"&amp;B27&amp;"*")</f>
        <v>-80000000</v>
      </c>
      <c r="E27" s="63">
        <f>SUMIFS(DMTK!$N$5:$N$191,DMTK!$M$5:$M$191,"*"&amp;B27&amp;"*")</f>
        <v>-80000000</v>
      </c>
    </row>
    <row r="28" spans="1:5" x14ac:dyDescent="0.3">
      <c r="A28" s="64" t="s">
        <v>845</v>
      </c>
      <c r="B28" s="65">
        <v>150</v>
      </c>
      <c r="C28" s="120"/>
      <c r="D28" s="63">
        <f>SUMIFS(DMTK!$P$5:$P$191,DMTK!$O$5:$O$191,"*"&amp;B28&amp;"*")</f>
        <v>61710000</v>
      </c>
      <c r="E28" s="63">
        <f>SUMIFS(DMTK!$N$5:$N$191,DMTK!$M$5:$M$191,"*"&amp;B28&amp;"*")</f>
        <v>43000000</v>
      </c>
    </row>
    <row r="29" spans="1:5" x14ac:dyDescent="0.3">
      <c r="A29" s="69" t="s">
        <v>846</v>
      </c>
      <c r="B29" s="70">
        <v>151</v>
      </c>
      <c r="C29" s="121"/>
      <c r="D29" s="63">
        <f>SUMIFS(DMTK!$P$5:$P$191,DMTK!$O$5:$O$191,"*"&amp;B29&amp;"*")</f>
        <v>15750000</v>
      </c>
      <c r="E29" s="63">
        <f>SUMIFS(DMTK!$N$5:$N$191,DMTK!$M$5:$M$191,"*"&amp;B29&amp;"*")</f>
        <v>13000000</v>
      </c>
    </row>
    <row r="30" spans="1:5" x14ac:dyDescent="0.3">
      <c r="A30" s="69" t="s">
        <v>847</v>
      </c>
      <c r="B30" s="70">
        <v>152</v>
      </c>
      <c r="C30" s="121"/>
      <c r="D30" s="63">
        <f>SUMIFS(DMTK!$P$5:$P$191,DMTK!$O$5:$O$191,"*"&amp;B30&amp;"*")</f>
        <v>15960000</v>
      </c>
      <c r="E30" s="63">
        <f>SUMIFS(DMTK!$N$5:$N$191,DMTK!$M$5:$M$191,"*"&amp;B30&amp;"*")</f>
        <v>0</v>
      </c>
    </row>
    <row r="31" spans="1:5" x14ac:dyDescent="0.3">
      <c r="A31" s="69" t="s">
        <v>848</v>
      </c>
      <c r="B31" s="70">
        <v>153</v>
      </c>
      <c r="C31" s="121"/>
      <c r="D31" s="63">
        <f>SUMIFS(DMTK!$P$5:$P$191,DMTK!$O$5:$O$191,"*"&amp;B31&amp;"*")</f>
        <v>0</v>
      </c>
      <c r="E31" s="63">
        <f>SUMIFS(DMTK!$N$5:$N$191,DMTK!$M$5:$M$191,"*"&amp;B31&amp;"*")</f>
        <v>0</v>
      </c>
    </row>
    <row r="32" spans="1:5" x14ac:dyDescent="0.3">
      <c r="A32" s="69" t="s">
        <v>849</v>
      </c>
      <c r="B32" s="70">
        <v>154</v>
      </c>
      <c r="C32" s="121"/>
      <c r="D32" s="63">
        <f>SUMIFS(DMTK!$P$5:$P$191,DMTK!$O$5:$O$191,"*"&amp;B32&amp;"*")</f>
        <v>0</v>
      </c>
      <c r="E32" s="63">
        <f>SUMIFS(DMTK!$N$5:$N$191,DMTK!$M$5:$M$191,"*"&amp;B32&amp;"*")</f>
        <v>0</v>
      </c>
    </row>
    <row r="33" spans="1:5" x14ac:dyDescent="0.3">
      <c r="A33" s="69" t="s">
        <v>850</v>
      </c>
      <c r="B33" s="70">
        <v>155</v>
      </c>
      <c r="C33" s="121"/>
      <c r="D33" s="63">
        <f>SUMIFS(DMTK!$P$5:$P$191,DMTK!$O$5:$O$191,"*"&amp;B33&amp;"*")</f>
        <v>30000000</v>
      </c>
      <c r="E33" s="63">
        <f>SUMIFS(DMTK!$N$5:$N$191,DMTK!$M$5:$M$191,"*"&amp;B33&amp;"*")</f>
        <v>30000000</v>
      </c>
    </row>
    <row r="34" spans="1:5" x14ac:dyDescent="0.3">
      <c r="A34" s="64" t="s">
        <v>851</v>
      </c>
      <c r="B34" s="65">
        <v>200</v>
      </c>
      <c r="C34" s="120"/>
      <c r="D34" s="63">
        <f>SUMIFS(DMTK!$P$5:$P$191,DMTK!$O$5:$O$191,"*"&amp;B34&amp;"*")</f>
        <v>1854998867</v>
      </c>
      <c r="E34" s="63">
        <f>SUMIFS(DMTK!$N$5:$N$191,DMTK!$M$5:$M$191,"*"&amp;B34&amp;"*")</f>
        <v>1635539000</v>
      </c>
    </row>
    <row r="35" spans="1:5" x14ac:dyDescent="0.3">
      <c r="A35" s="64" t="s">
        <v>852</v>
      </c>
      <c r="B35" s="65">
        <v>210</v>
      </c>
      <c r="C35" s="120"/>
      <c r="D35" s="63">
        <f>SUMIFS(DMTK!$P$5:$P$191,DMTK!$O$5:$O$191,"*"&amp;B35&amp;"*")</f>
        <v>0</v>
      </c>
      <c r="E35" s="63">
        <f>SUMIFS(DMTK!$N$5:$N$191,DMTK!$M$5:$M$191,"*"&amp;B35&amp;"*")</f>
        <v>0</v>
      </c>
    </row>
    <row r="36" spans="1:5" x14ac:dyDescent="0.3">
      <c r="A36" s="69" t="s">
        <v>853</v>
      </c>
      <c r="B36" s="70">
        <v>211</v>
      </c>
      <c r="C36" s="121"/>
      <c r="D36" s="63">
        <f>SUMIFS(DMTK!$P$5:$P$191,DMTK!$O$5:$O$191,"*"&amp;B36&amp;"*")</f>
        <v>0</v>
      </c>
      <c r="E36" s="63">
        <f>SUMIFS(DMTK!$N$5:$N$191,DMTK!$M$5:$M$191,"*"&amp;B36&amp;"*")</f>
        <v>0</v>
      </c>
    </row>
    <row r="37" spans="1:5" x14ac:dyDescent="0.3">
      <c r="A37" s="69" t="s">
        <v>854</v>
      </c>
      <c r="B37" s="70">
        <v>212</v>
      </c>
      <c r="C37" s="121"/>
      <c r="D37" s="63">
        <f>SUMIFS(DMTK!$P$5:$P$191,DMTK!$O$5:$O$191,"*"&amp;B37&amp;"*")</f>
        <v>0</v>
      </c>
      <c r="E37" s="63">
        <f>SUMIFS(DMTK!$N$5:$N$191,DMTK!$M$5:$M$191,"*"&amp;B37&amp;"*")</f>
        <v>0</v>
      </c>
    </row>
    <row r="38" spans="1:5" x14ac:dyDescent="0.3">
      <c r="A38" s="69" t="s">
        <v>855</v>
      </c>
      <c r="B38" s="70">
        <v>213</v>
      </c>
      <c r="C38" s="121"/>
      <c r="D38" s="63">
        <f>SUMIFS(DMTK!$P$5:$P$191,DMTK!$O$5:$O$191,"*"&amp;B38&amp;"*")</f>
        <v>0</v>
      </c>
      <c r="E38" s="63">
        <f>SUMIFS(DMTK!$N$5:$N$191,DMTK!$M$5:$M$191,"*"&amp;B38&amp;"*")</f>
        <v>0</v>
      </c>
    </row>
    <row r="39" spans="1:5" x14ac:dyDescent="0.3">
      <c r="A39" s="69" t="s">
        <v>856</v>
      </c>
      <c r="B39" s="70">
        <v>214</v>
      </c>
      <c r="C39" s="121"/>
      <c r="D39" s="63">
        <f>SUMIFS(DMTK!$P$5:$P$191,DMTK!$O$5:$O$191,"*"&amp;B39&amp;"*")</f>
        <v>0</v>
      </c>
      <c r="E39" s="63">
        <f>SUMIFS(DMTK!$N$5:$N$191,DMTK!$M$5:$M$191,"*"&amp;B39&amp;"*")</f>
        <v>0</v>
      </c>
    </row>
    <row r="40" spans="1:5" x14ac:dyDescent="0.3">
      <c r="A40" s="69" t="s">
        <v>857</v>
      </c>
      <c r="B40" s="70">
        <v>215</v>
      </c>
      <c r="C40" s="121"/>
      <c r="D40" s="63">
        <f>SUMIFS(DMTK!$P$5:$P$191,DMTK!$O$5:$O$191,"*"&amp;B40&amp;"*")</f>
        <v>0</v>
      </c>
      <c r="E40" s="63">
        <f>SUMIFS(DMTK!$N$5:$N$191,DMTK!$M$5:$M$191,"*"&amp;B40&amp;"*")</f>
        <v>0</v>
      </c>
    </row>
    <row r="41" spans="1:5" x14ac:dyDescent="0.3">
      <c r="A41" s="69" t="s">
        <v>858</v>
      </c>
      <c r="B41" s="70">
        <v>216</v>
      </c>
      <c r="C41" s="121"/>
      <c r="D41" s="63">
        <f>SUMIFS(DMTK!$P$5:$P$191,DMTK!$O$5:$O$191,"*"&amp;B41&amp;"*")</f>
        <v>0</v>
      </c>
      <c r="E41" s="63">
        <f>SUMIFS(DMTK!$N$5:$N$191,DMTK!$M$5:$M$191,"*"&amp;B41&amp;"*")</f>
        <v>0</v>
      </c>
    </row>
    <row r="42" spans="1:5" x14ac:dyDescent="0.3">
      <c r="A42" s="69" t="s">
        <v>859</v>
      </c>
      <c r="B42" s="70">
        <v>219</v>
      </c>
      <c r="C42" s="121"/>
      <c r="D42" s="63">
        <f>SUMIFS(DMTK!$P$5:$P$191,DMTK!$O$5:$O$191,"*"&amp;B42&amp;"*")</f>
        <v>0</v>
      </c>
      <c r="E42" s="63">
        <f>SUMIFS(DMTK!$N$5:$N$191,DMTK!$M$5:$M$191,"*"&amp;B42&amp;"*")</f>
        <v>0</v>
      </c>
    </row>
    <row r="43" spans="1:5" x14ac:dyDescent="0.3">
      <c r="A43" s="64" t="s">
        <v>860</v>
      </c>
      <c r="B43" s="65" t="s">
        <v>861</v>
      </c>
      <c r="C43" s="120"/>
      <c r="D43" s="63">
        <f>SUMIFS(DMTK!$P$5:$P$191,DMTK!$O$5:$O$191,"*"&amp;B43&amp;"*")</f>
        <v>981654001</v>
      </c>
      <c r="E43" s="63">
        <f>SUMIFS(DMTK!$N$5:$N$191,DMTK!$M$5:$M$191,"*"&amp;B43&amp;"*")</f>
        <v>843779000</v>
      </c>
    </row>
    <row r="44" spans="1:5" x14ac:dyDescent="0.3">
      <c r="A44" s="69" t="s">
        <v>862</v>
      </c>
      <c r="B44" s="70">
        <v>221</v>
      </c>
      <c r="C44" s="121"/>
      <c r="D44" s="63">
        <f>SUMIFS(DMTK!$P$5:$P$191,DMTK!$O$5:$O$191,"*"&amp;B44&amp;"*")</f>
        <v>981654001</v>
      </c>
      <c r="E44" s="63">
        <f>SUMIFS(DMTK!$N$5:$N$191,DMTK!$M$5:$M$191,"*"&amp;B44&amp;"*")</f>
        <v>843779000</v>
      </c>
    </row>
    <row r="45" spans="1:5" x14ac:dyDescent="0.3">
      <c r="A45" s="69" t="s">
        <v>863</v>
      </c>
      <c r="B45" s="70">
        <v>222</v>
      </c>
      <c r="C45" s="122"/>
      <c r="D45" s="63">
        <f>SUMIFS(DMTK!$P$5:$P$191,DMTK!$O$5:$O$191,"*"&amp;B45&amp;"*")</f>
        <v>1073779000</v>
      </c>
      <c r="E45" s="63">
        <f>SUMIFS(DMTK!$N$5:$N$191,DMTK!$M$5:$M$191,"*"&amp;B45&amp;"*")</f>
        <v>933779000</v>
      </c>
    </row>
    <row r="46" spans="1:5" x14ac:dyDescent="0.3">
      <c r="A46" s="69" t="s">
        <v>864</v>
      </c>
      <c r="B46" s="70">
        <v>223</v>
      </c>
      <c r="C46" s="122"/>
      <c r="D46" s="63">
        <f>SUMIFS(DMTK!$P$5:$P$191,DMTK!$O$5:$O$191,"*"&amp;B46&amp;"*")</f>
        <v>-92124999</v>
      </c>
      <c r="E46" s="63">
        <f>SUMIFS(DMTK!$N$5:$N$191,DMTK!$M$5:$M$191,"*"&amp;B46&amp;"*")</f>
        <v>-90000000</v>
      </c>
    </row>
    <row r="47" spans="1:5" x14ac:dyDescent="0.3">
      <c r="A47" s="69" t="s">
        <v>865</v>
      </c>
      <c r="B47" s="70">
        <v>224</v>
      </c>
      <c r="C47" s="121"/>
      <c r="D47" s="63">
        <f>SUMIFS(DMTK!$P$5:$P$191,DMTK!$O$5:$O$191,"*"&amp;B47&amp;"*")</f>
        <v>0</v>
      </c>
      <c r="E47" s="63">
        <f>SUMIFS(DMTK!$N$5:$N$191,DMTK!$M$5:$M$191,"*"&amp;B47&amp;"*")</f>
        <v>0</v>
      </c>
    </row>
    <row r="48" spans="1:5" x14ac:dyDescent="0.3">
      <c r="A48" s="69" t="s">
        <v>863</v>
      </c>
      <c r="B48" s="70">
        <v>225</v>
      </c>
      <c r="C48" s="122"/>
      <c r="D48" s="63">
        <f>SUMIFS(DMTK!$P$5:$P$191,DMTK!$O$5:$O$191,"*"&amp;B48&amp;"*")</f>
        <v>0</v>
      </c>
      <c r="E48" s="63">
        <f>SUMIFS(DMTK!$N$5:$N$191,DMTK!$M$5:$M$191,"*"&amp;B48&amp;"*")</f>
        <v>0</v>
      </c>
    </row>
    <row r="49" spans="1:5" x14ac:dyDescent="0.3">
      <c r="A49" s="69" t="s">
        <v>864</v>
      </c>
      <c r="B49" s="70">
        <v>226</v>
      </c>
      <c r="C49" s="122"/>
      <c r="D49" s="63">
        <f>SUMIFS(DMTK!$P$5:$P$191,DMTK!$O$5:$O$191,"*"&amp;B49&amp;"*")</f>
        <v>0</v>
      </c>
      <c r="E49" s="63">
        <f>SUMIFS(DMTK!$N$5:$N$191,DMTK!$M$5:$M$191,"*"&amp;B49&amp;"*")</f>
        <v>0</v>
      </c>
    </row>
    <row r="50" spans="1:5" x14ac:dyDescent="0.3">
      <c r="A50" s="69" t="s">
        <v>866</v>
      </c>
      <c r="B50" s="70">
        <v>227</v>
      </c>
      <c r="C50" s="121"/>
      <c r="D50" s="63">
        <f>SUMIFS(DMTK!$P$5:$P$191,DMTK!$O$5:$O$191,"*"&amp;B50&amp;"*")</f>
        <v>0</v>
      </c>
      <c r="E50" s="63">
        <f>SUMIFS(DMTK!$N$5:$N$191,DMTK!$M$5:$M$191,"*"&amp;B50&amp;"*")</f>
        <v>0</v>
      </c>
    </row>
    <row r="51" spans="1:5" x14ac:dyDescent="0.3">
      <c r="A51" s="69" t="s">
        <v>863</v>
      </c>
      <c r="B51" s="70">
        <v>228</v>
      </c>
      <c r="C51" s="122"/>
      <c r="D51" s="63">
        <f>SUMIFS(DMTK!$P$5:$P$191,DMTK!$O$5:$O$191,"*"&amp;B51&amp;"*")</f>
        <v>0</v>
      </c>
      <c r="E51" s="63">
        <f>SUMIFS(DMTK!$N$5:$N$191,DMTK!$M$5:$M$191,"*"&amp;B51&amp;"*")</f>
        <v>0</v>
      </c>
    </row>
    <row r="52" spans="1:5" x14ac:dyDescent="0.3">
      <c r="A52" s="69" t="s">
        <v>864</v>
      </c>
      <c r="B52" s="70">
        <v>229</v>
      </c>
      <c r="C52" s="122"/>
      <c r="D52" s="63">
        <f>SUMIFS(DMTK!$P$5:$P$191,DMTK!$O$5:$O$191,"*"&amp;B52&amp;"*")</f>
        <v>0</v>
      </c>
      <c r="E52" s="63">
        <f>SUMIFS(DMTK!$N$5:$N$191,DMTK!$M$5:$M$191,"*"&amp;B52&amp;"*")</f>
        <v>0</v>
      </c>
    </row>
    <row r="53" spans="1:5" x14ac:dyDescent="0.3">
      <c r="A53" s="64" t="s">
        <v>867</v>
      </c>
      <c r="B53" s="65" t="s">
        <v>868</v>
      </c>
      <c r="C53" s="120"/>
      <c r="D53" s="63">
        <f>SUMIFS(DMTK!$P$5:$P$191,DMTK!$O$5:$O$191,"*"&amp;B53&amp;"*")</f>
        <v>0</v>
      </c>
      <c r="E53" s="63">
        <f>SUMIFS(DMTK!$N$5:$N$191,DMTK!$M$5:$M$191,"*"&amp;B53&amp;"*")</f>
        <v>0</v>
      </c>
    </row>
    <row r="54" spans="1:5" x14ac:dyDescent="0.3">
      <c r="A54" s="66" t="s">
        <v>863</v>
      </c>
      <c r="B54" s="70">
        <v>231</v>
      </c>
      <c r="C54" s="121"/>
      <c r="D54" s="63">
        <f>SUMIFS(DMTK!$P$5:$P$191,DMTK!$O$5:$O$191,"*"&amp;B54&amp;"*")</f>
        <v>0</v>
      </c>
      <c r="E54" s="63">
        <f>SUMIFS(DMTK!$N$5:$N$191,DMTK!$M$5:$M$191,"*"&amp;B54&amp;"*")</f>
        <v>0</v>
      </c>
    </row>
    <row r="55" spans="1:5" x14ac:dyDescent="0.3">
      <c r="A55" s="66" t="s">
        <v>869</v>
      </c>
      <c r="B55" s="70">
        <v>232</v>
      </c>
      <c r="C55" s="121"/>
      <c r="D55" s="63">
        <f>SUMIFS(DMTK!$P$5:$P$191,DMTK!$O$5:$O$191,"*"&amp;B55&amp;"*")</f>
        <v>0</v>
      </c>
      <c r="E55" s="63">
        <f>SUMIFS(DMTK!$N$5:$N$191,DMTK!$M$5:$M$191,"*"&amp;B55&amp;"*")</f>
        <v>0</v>
      </c>
    </row>
    <row r="56" spans="1:5" x14ac:dyDescent="0.3">
      <c r="A56" s="64" t="s">
        <v>870</v>
      </c>
      <c r="B56" s="65">
        <v>240</v>
      </c>
      <c r="C56" s="120"/>
      <c r="D56" s="63">
        <f>SUMIFS(DMTK!$P$5:$P$191,DMTK!$O$5:$O$191,"*"&amp;B56&amp;"*")</f>
        <v>767344866</v>
      </c>
      <c r="E56" s="63">
        <f>SUMIFS(DMTK!$N$5:$N$191,DMTK!$M$5:$M$191,"*"&amp;B56&amp;"*")</f>
        <v>685760000</v>
      </c>
    </row>
    <row r="57" spans="1:5" x14ac:dyDescent="0.3">
      <c r="A57" s="68" t="s">
        <v>871</v>
      </c>
      <c r="B57" s="71">
        <v>241</v>
      </c>
      <c r="C57" s="121"/>
      <c r="D57" s="63">
        <f>SUMIFS(DMTK!$P$5:$P$191,DMTK!$O$5:$O$191,"*"&amp;B57&amp;"*")</f>
        <v>303584866</v>
      </c>
      <c r="E57" s="63">
        <f>SUMIFS(DMTK!$N$5:$N$191,DMTK!$M$5:$M$191,"*"&amp;B57&amp;"*")</f>
        <v>222000000</v>
      </c>
    </row>
    <row r="58" spans="1:5" x14ac:dyDescent="0.3">
      <c r="A58" s="72" t="s">
        <v>872</v>
      </c>
      <c r="B58" s="73">
        <v>242</v>
      </c>
      <c r="C58" s="121"/>
      <c r="D58" s="63">
        <f>SUMIFS(DMTK!$P$5:$P$191,DMTK!$O$5:$O$191,"*"&amp;B58&amp;"*")</f>
        <v>463760000</v>
      </c>
      <c r="E58" s="63">
        <f>SUMIFS(DMTK!$N$5:$N$191,DMTK!$M$5:$M$191,"*"&amp;B58&amp;"*")</f>
        <v>463760000</v>
      </c>
    </row>
    <row r="59" spans="1:5" x14ac:dyDescent="0.3">
      <c r="A59" s="64" t="s">
        <v>873</v>
      </c>
      <c r="B59" s="65">
        <v>250</v>
      </c>
      <c r="C59" s="120"/>
      <c r="D59" s="63">
        <f>SUMIFS(DMTK!$P$5:$P$191,DMTK!$O$5:$O$191,"*"&amp;B59&amp;"*")</f>
        <v>106000000</v>
      </c>
      <c r="E59" s="63">
        <f>SUMIFS(DMTK!$N$5:$N$191,DMTK!$M$5:$M$191,"*"&amp;B59&amp;"*")</f>
        <v>106000000</v>
      </c>
    </row>
    <row r="60" spans="1:5" x14ac:dyDescent="0.3">
      <c r="A60" s="69" t="s">
        <v>874</v>
      </c>
      <c r="B60" s="70">
        <v>251</v>
      </c>
      <c r="C60" s="121"/>
      <c r="D60" s="63">
        <f>SUMIFS(DMTK!$P$5:$P$191,DMTK!$O$5:$O$191,"*"&amp;B60&amp;"*")</f>
        <v>0</v>
      </c>
      <c r="E60" s="63">
        <f>SUMIFS(DMTK!$N$5:$N$191,DMTK!$M$5:$M$191,"*"&amp;B60&amp;"*")</f>
        <v>0</v>
      </c>
    </row>
    <row r="61" spans="1:5" x14ac:dyDescent="0.3">
      <c r="A61" s="69" t="s">
        <v>875</v>
      </c>
      <c r="B61" s="70">
        <v>252</v>
      </c>
      <c r="C61" s="121"/>
      <c r="D61" s="63">
        <f>SUMIFS(DMTK!$P$5:$P$191,DMTK!$O$5:$O$191,"*"&amp;B61&amp;"*")</f>
        <v>26000000</v>
      </c>
      <c r="E61" s="63">
        <f>SUMIFS(DMTK!$N$5:$N$191,DMTK!$M$5:$M$191,"*"&amp;B61&amp;"*")</f>
        <v>26000000</v>
      </c>
    </row>
    <row r="62" spans="1:5" x14ac:dyDescent="0.3">
      <c r="A62" s="69" t="s">
        <v>876</v>
      </c>
      <c r="B62" s="70">
        <v>253</v>
      </c>
      <c r="C62" s="121"/>
      <c r="D62" s="63">
        <f>SUMIFS(DMTK!$P$5:$P$191,DMTK!$O$5:$O$191,"*"&amp;B62&amp;"*")</f>
        <v>80000000</v>
      </c>
      <c r="E62" s="63">
        <f>SUMIFS(DMTK!$N$5:$N$191,DMTK!$M$5:$M$191,"*"&amp;B62&amp;"*")</f>
        <v>80000000</v>
      </c>
    </row>
    <row r="63" spans="1:5" x14ac:dyDescent="0.3">
      <c r="A63" s="69" t="s">
        <v>877</v>
      </c>
      <c r="B63" s="70">
        <v>254</v>
      </c>
      <c r="C63" s="121"/>
      <c r="D63" s="63">
        <f>SUMIFS(DMTK!$P$5:$P$191,DMTK!$O$5:$O$191,"*"&amp;B63&amp;"*")</f>
        <v>0</v>
      </c>
      <c r="E63" s="63">
        <f>SUMIFS(DMTK!$N$5:$N$191,DMTK!$M$5:$M$191,"*"&amp;B63&amp;"*")</f>
        <v>0</v>
      </c>
    </row>
    <row r="64" spans="1:5" x14ac:dyDescent="0.3">
      <c r="A64" s="69" t="s">
        <v>878</v>
      </c>
      <c r="B64" s="70">
        <v>255</v>
      </c>
      <c r="C64" s="121"/>
      <c r="D64" s="63">
        <f>SUMIFS(DMTK!$P$5:$P$191,DMTK!$O$5:$O$191,"*"&amp;B64&amp;"*")</f>
        <v>0</v>
      </c>
      <c r="E64" s="63">
        <f>SUMIFS(DMTK!$N$5:$N$191,DMTK!$M$5:$M$191,"*"&amp;B64&amp;"*")</f>
        <v>0</v>
      </c>
    </row>
    <row r="65" spans="1:11" x14ac:dyDescent="0.3">
      <c r="A65" s="64" t="s">
        <v>879</v>
      </c>
      <c r="B65" s="65">
        <v>260</v>
      </c>
      <c r="C65" s="120"/>
      <c r="D65" s="63">
        <f>SUMIFS(DMTK!$P$5:$P$191,DMTK!$O$5:$O$191,"*"&amp;B65&amp;"*")</f>
        <v>0</v>
      </c>
      <c r="E65" s="63">
        <f>SUMIFS(DMTK!$N$5:$N$191,DMTK!$M$5:$M$191,"*"&amp;B65&amp;"*")</f>
        <v>0</v>
      </c>
    </row>
    <row r="66" spans="1:11" x14ac:dyDescent="0.3">
      <c r="A66" s="69" t="s">
        <v>880</v>
      </c>
      <c r="B66" s="70">
        <v>261</v>
      </c>
      <c r="C66" s="121"/>
      <c r="D66" s="63">
        <f>SUMIFS(DMTK!$P$5:$P$191,DMTK!$O$5:$O$191,"*"&amp;B66&amp;"*")</f>
        <v>0</v>
      </c>
      <c r="E66" s="63">
        <f>SUMIFS(DMTK!$N$5:$N$191,DMTK!$M$5:$M$191,"*"&amp;B66&amp;"*")</f>
        <v>0</v>
      </c>
    </row>
    <row r="67" spans="1:11" x14ac:dyDescent="0.3">
      <c r="A67" s="75" t="s">
        <v>881</v>
      </c>
      <c r="B67" s="70">
        <v>262</v>
      </c>
      <c r="C67" s="121"/>
      <c r="D67" s="63">
        <f>SUMIFS(DMTK!$P$5:$P$191,DMTK!$O$5:$O$191,"*"&amp;B67&amp;"*")</f>
        <v>0</v>
      </c>
      <c r="E67" s="63">
        <f>SUMIFS(DMTK!$N$5:$N$191,DMTK!$M$5:$M$191,"*"&amp;B67&amp;"*")</f>
        <v>0</v>
      </c>
    </row>
    <row r="68" spans="1:11" x14ac:dyDescent="0.3">
      <c r="A68" s="75" t="s">
        <v>882</v>
      </c>
      <c r="B68" s="70">
        <v>263</v>
      </c>
      <c r="C68" s="121"/>
      <c r="D68" s="63">
        <f>SUMIFS(DMTK!$P$5:$P$191,DMTK!$O$5:$O$191,"*"&amp;B68&amp;"*")</f>
        <v>0</v>
      </c>
      <c r="E68" s="63">
        <f>SUMIFS(DMTK!$N$5:$N$191,DMTK!$M$5:$M$191,"*"&amp;B68&amp;"*")</f>
        <v>0</v>
      </c>
    </row>
    <row r="69" spans="1:11" x14ac:dyDescent="0.3">
      <c r="A69" s="75" t="s">
        <v>883</v>
      </c>
      <c r="B69" s="70">
        <v>268</v>
      </c>
      <c r="C69" s="121"/>
      <c r="D69" s="63">
        <f>SUMIFS(DMTK!$P$5:$P$191,DMTK!$O$5:$O$191,"*"&amp;B69&amp;"*")</f>
        <v>0</v>
      </c>
      <c r="E69" s="63">
        <f>SUMIFS(DMTK!$N$5:$N$191,DMTK!$M$5:$M$191,"*"&amp;B69&amp;"*")</f>
        <v>0</v>
      </c>
    </row>
    <row r="70" spans="1:11" x14ac:dyDescent="0.3">
      <c r="A70" s="64" t="s">
        <v>884</v>
      </c>
      <c r="B70" s="65">
        <v>270</v>
      </c>
      <c r="C70" s="120"/>
      <c r="D70" s="63">
        <f>D8+D34</f>
        <v>3264681767</v>
      </c>
      <c r="E70" s="63">
        <f>SUMIFS(DMTK!$N$5:$N$191,DMTK!$M$5:$M$191,"*"&amp;B70&amp;"*")</f>
        <v>0</v>
      </c>
    </row>
    <row r="71" spans="1:11" x14ac:dyDescent="0.3">
      <c r="A71" s="64" t="s">
        <v>885</v>
      </c>
      <c r="B71" s="65">
        <v>440</v>
      </c>
      <c r="C71" s="120"/>
      <c r="D71" s="63">
        <f>D72+D102</f>
        <v>3264681767</v>
      </c>
      <c r="E71" s="63">
        <f>SUMIFS(DMTK!$N$5:$N$191,DMTK!$M$5:$M$191,"*"&amp;B71&amp;"*")</f>
        <v>0</v>
      </c>
      <c r="F71" s="76">
        <f>D70-D71</f>
        <v>0</v>
      </c>
      <c r="G71" s="76"/>
    </row>
    <row r="72" spans="1:11" s="74" customFormat="1" x14ac:dyDescent="0.3">
      <c r="A72" s="64" t="s">
        <v>886</v>
      </c>
      <c r="B72" s="65">
        <v>300</v>
      </c>
      <c r="C72" s="120"/>
      <c r="D72" s="63">
        <f>SUMIFS(DMTK!$P$5:$P$191,DMTK!$O$5:$O$191,"*"&amp;B72&amp;"*")</f>
        <v>1028300000</v>
      </c>
      <c r="E72" s="63">
        <f>SUMIFS(DMTK!$N$5:$N$191,DMTK!$M$5:$M$191,"*"&amp;B72&amp;"*")</f>
        <v>1012500000</v>
      </c>
      <c r="F72" s="51"/>
      <c r="G72" s="51"/>
      <c r="I72" s="51"/>
      <c r="J72" s="51"/>
      <c r="K72" s="51"/>
    </row>
    <row r="73" spans="1:11" s="74" customFormat="1" x14ac:dyDescent="0.3">
      <c r="A73" s="64" t="s">
        <v>887</v>
      </c>
      <c r="B73" s="65">
        <v>310</v>
      </c>
      <c r="C73" s="120"/>
      <c r="D73" s="63">
        <f>SUMIFS(DMTK!$P$5:$P$191,DMTK!$O$5:$O$191,"*"&amp;B73&amp;"*")</f>
        <v>1028300000</v>
      </c>
      <c r="E73" s="63">
        <f>SUMIFS(DMTK!$N$5:$N$191,DMTK!$M$5:$M$191,"*"&amp;B73&amp;"*")</f>
        <v>1012500000</v>
      </c>
      <c r="F73" s="51"/>
      <c r="G73" s="51"/>
      <c r="I73" s="51"/>
      <c r="J73" s="51"/>
      <c r="K73" s="51"/>
    </row>
    <row r="74" spans="1:11" s="74" customFormat="1" x14ac:dyDescent="0.3">
      <c r="A74" s="69" t="s">
        <v>888</v>
      </c>
      <c r="B74" s="70">
        <v>311</v>
      </c>
      <c r="C74" s="121"/>
      <c r="D74" s="63">
        <f>SUMIFS(DMTK!$P$5:$P$191,DMTK!$O$5:$O$191,"*"&amp;B74&amp;"*")</f>
        <v>200560000</v>
      </c>
      <c r="E74" s="63">
        <f>SUMIFS(DMTK!$N$5:$N$191,DMTK!$M$5:$M$191,"*"&amp;B74&amp;"*")</f>
        <v>212000000</v>
      </c>
      <c r="F74" s="51"/>
      <c r="G74" s="51"/>
      <c r="I74" s="51"/>
      <c r="J74" s="51"/>
      <c r="K74" s="51"/>
    </row>
    <row r="75" spans="1:11" s="74" customFormat="1" x14ac:dyDescent="0.3">
      <c r="A75" s="69" t="s">
        <v>889</v>
      </c>
      <c r="B75" s="70">
        <v>312</v>
      </c>
      <c r="C75" s="121"/>
      <c r="D75" s="63">
        <f>SUMIFS(DMTK!$P$5:$P$191,DMTK!$O$5:$O$191,"*"&amp;B75&amp;"*")</f>
        <v>20500000</v>
      </c>
      <c r="E75" s="63">
        <f>SUMIFS(DMTK!$N$5:$N$191,DMTK!$M$5:$M$191,"*"&amp;B75&amp;"*")</f>
        <v>52000000</v>
      </c>
      <c r="F75" s="51"/>
      <c r="G75" s="51"/>
      <c r="I75" s="51"/>
      <c r="J75" s="51"/>
      <c r="K75" s="51"/>
    </row>
    <row r="76" spans="1:11" s="74" customFormat="1" x14ac:dyDescent="0.3">
      <c r="A76" s="69" t="s">
        <v>890</v>
      </c>
      <c r="B76" s="70">
        <v>313</v>
      </c>
      <c r="C76" s="121"/>
      <c r="D76" s="63">
        <f>SUMIFS(DMTK!$P$5:$P$191,DMTK!$O$5:$O$191,"*"&amp;B76&amp;"*")</f>
        <v>38600000</v>
      </c>
      <c r="E76" s="63">
        <f>SUMIFS(DMTK!$N$5:$N$191,DMTK!$M$5:$M$191,"*"&amp;B76&amp;"*")</f>
        <v>34200000</v>
      </c>
      <c r="F76" s="51"/>
      <c r="G76" s="51"/>
      <c r="I76" s="51"/>
      <c r="J76" s="51"/>
      <c r="K76" s="51"/>
    </row>
    <row r="77" spans="1:11" s="74" customFormat="1" x14ac:dyDescent="0.3">
      <c r="A77" s="69" t="s">
        <v>891</v>
      </c>
      <c r="B77" s="70">
        <v>314</v>
      </c>
      <c r="C77" s="121"/>
      <c r="D77" s="63">
        <f>SUMIFS(DMTK!$P$5:$P$191,DMTK!$O$5:$O$191,"*"&amp;B77&amp;"*")</f>
        <v>109500000</v>
      </c>
      <c r="E77" s="63">
        <f>SUMIFS(DMTK!$N$5:$N$191,DMTK!$M$5:$M$191,"*"&amp;B77&amp;"*")</f>
        <v>109500000</v>
      </c>
      <c r="F77" s="51"/>
      <c r="G77" s="51"/>
      <c r="I77" s="51"/>
      <c r="J77" s="51"/>
      <c r="K77" s="51"/>
    </row>
    <row r="78" spans="1:11" s="74" customFormat="1" x14ac:dyDescent="0.3">
      <c r="A78" s="69" t="s">
        <v>892</v>
      </c>
      <c r="B78" s="70">
        <v>315</v>
      </c>
      <c r="C78" s="121"/>
      <c r="D78" s="63">
        <f>SUMIFS(DMTK!$P$5:$P$191,DMTK!$O$5:$O$191,"*"&amp;B78&amp;"*")</f>
        <v>56000000</v>
      </c>
      <c r="E78" s="63">
        <f>SUMIFS(DMTK!$N$5:$N$191,DMTK!$M$5:$M$191,"*"&amp;B78&amp;"*")</f>
        <v>56000000</v>
      </c>
      <c r="F78" s="51"/>
      <c r="G78" s="51"/>
      <c r="I78" s="51"/>
      <c r="J78" s="51"/>
      <c r="K78" s="51"/>
    </row>
    <row r="79" spans="1:11" s="74" customFormat="1" x14ac:dyDescent="0.3">
      <c r="A79" s="69" t="s">
        <v>893</v>
      </c>
      <c r="B79" s="70">
        <v>316</v>
      </c>
      <c r="C79" s="121"/>
      <c r="D79" s="63">
        <f>SUMIFS(DMTK!$P$5:$P$191,DMTK!$O$5:$O$191,"*"&amp;B79&amp;"*")</f>
        <v>0</v>
      </c>
      <c r="E79" s="63">
        <f>SUMIFS(DMTK!$N$5:$N$191,DMTK!$M$5:$M$191,"*"&amp;B79&amp;"*")</f>
        <v>0</v>
      </c>
      <c r="F79" s="51"/>
      <c r="G79" s="51"/>
      <c r="I79" s="51"/>
      <c r="J79" s="51"/>
      <c r="K79" s="51"/>
    </row>
    <row r="80" spans="1:11" x14ac:dyDescent="0.3">
      <c r="A80" s="69" t="s">
        <v>894</v>
      </c>
      <c r="B80" s="70">
        <v>317</v>
      </c>
      <c r="C80" s="121"/>
      <c r="D80" s="63">
        <f>SUMIFS(DMTK!$P$5:$P$191,DMTK!$O$5:$O$191,"*"&amp;B80&amp;"*")</f>
        <v>0</v>
      </c>
      <c r="E80" s="63">
        <f>SUMIFS(DMTK!$N$5:$N$191,DMTK!$M$5:$M$191,"*"&amp;B80&amp;"*")</f>
        <v>0</v>
      </c>
    </row>
    <row r="81" spans="1:5" x14ac:dyDescent="0.3">
      <c r="A81" s="69" t="s">
        <v>895</v>
      </c>
      <c r="B81" s="70">
        <v>318</v>
      </c>
      <c r="C81" s="121"/>
      <c r="D81" s="63">
        <f>SUMIFS(DMTK!$P$5:$P$191,DMTK!$O$5:$O$191,"*"&amp;B81&amp;"*")</f>
        <v>0</v>
      </c>
      <c r="E81" s="63">
        <f>SUMIFS(DMTK!$N$5:$N$191,DMTK!$M$5:$M$191,"*"&amp;B81&amp;"*")</f>
        <v>0</v>
      </c>
    </row>
    <row r="82" spans="1:5" x14ac:dyDescent="0.3">
      <c r="A82" s="69" t="s">
        <v>896</v>
      </c>
      <c r="B82" s="70">
        <v>319</v>
      </c>
      <c r="C82" s="121"/>
      <c r="D82" s="63">
        <f>SUMIFS(DMTK!$P$5:$P$191,DMTK!$O$5:$O$191,"*"&amp;B82&amp;"*")</f>
        <v>113140000</v>
      </c>
      <c r="E82" s="63">
        <f>SUMIFS(DMTK!$N$5:$N$191,DMTK!$M$5:$M$191,"*"&amp;B82&amp;"*")</f>
        <v>58800000</v>
      </c>
    </row>
    <row r="83" spans="1:5" x14ac:dyDescent="0.3">
      <c r="A83" s="69" t="s">
        <v>897</v>
      </c>
      <c r="B83" s="70">
        <v>320</v>
      </c>
      <c r="C83" s="121"/>
      <c r="D83" s="63">
        <f>SUMIFS(DMTK!$P$5:$P$191,DMTK!$O$5:$O$191,"*"&amp;B83&amp;"*")</f>
        <v>385000000</v>
      </c>
      <c r="E83" s="63">
        <f>SUMIFS(DMTK!$N$5:$N$191,DMTK!$M$5:$M$191,"*"&amp;B83&amp;"*")</f>
        <v>385000000</v>
      </c>
    </row>
    <row r="84" spans="1:5" x14ac:dyDescent="0.3">
      <c r="A84" s="69" t="s">
        <v>898</v>
      </c>
      <c r="B84" s="70">
        <v>321</v>
      </c>
      <c r="C84" s="121"/>
      <c r="D84" s="63">
        <f>SUMIFS(DMTK!$P$5:$P$191,DMTK!$O$5:$O$191,"*"&amp;B84&amp;"*")</f>
        <v>22000000</v>
      </c>
      <c r="E84" s="63">
        <f>SUMIFS(DMTK!$N$5:$N$191,DMTK!$M$5:$M$191,"*"&amp;B84&amp;"*")</f>
        <v>22000000</v>
      </c>
    </row>
    <row r="85" spans="1:5" x14ac:dyDescent="0.3">
      <c r="A85" s="69" t="s">
        <v>899</v>
      </c>
      <c r="B85" s="70">
        <v>322</v>
      </c>
      <c r="C85" s="121"/>
      <c r="D85" s="63">
        <f>SUMIFS(DMTK!$P$5:$P$191,DMTK!$O$5:$O$191,"*"&amp;B85&amp;"*")</f>
        <v>83000000</v>
      </c>
      <c r="E85" s="63">
        <f>SUMIFS(DMTK!$N$5:$N$191,DMTK!$M$5:$M$191,"*"&amp;B85&amp;"*")</f>
        <v>83000000</v>
      </c>
    </row>
    <row r="86" spans="1:5" x14ac:dyDescent="0.3">
      <c r="A86" s="69" t="s">
        <v>900</v>
      </c>
      <c r="B86" s="70">
        <v>323</v>
      </c>
      <c r="C86" s="121"/>
      <c r="D86" s="63">
        <f>SUMIFS(DMTK!$P$5:$P$191,DMTK!$O$5:$O$191,"*"&amp;B86&amp;"*")</f>
        <v>0</v>
      </c>
      <c r="E86" s="63">
        <f>SUMIFS(DMTK!$N$5:$N$191,DMTK!$M$5:$M$191,"*"&amp;B86&amp;"*")</f>
        <v>0</v>
      </c>
    </row>
    <row r="87" spans="1:5" x14ac:dyDescent="0.3">
      <c r="A87" s="69" t="s">
        <v>901</v>
      </c>
      <c r="B87" s="70">
        <v>324</v>
      </c>
      <c r="C87" s="121"/>
      <c r="D87" s="63">
        <f>SUMIFS(DMTK!$P$5:$P$191,DMTK!$O$5:$O$191,"*"&amp;B87&amp;"*")</f>
        <v>0</v>
      </c>
      <c r="E87" s="63">
        <f>SUMIFS(DMTK!$N$5:$N$191,DMTK!$M$5:$M$191,"*"&amp;B87&amp;"*")</f>
        <v>0</v>
      </c>
    </row>
    <row r="88" spans="1:5" x14ac:dyDescent="0.3">
      <c r="A88" s="64" t="s">
        <v>902</v>
      </c>
      <c r="B88" s="65" t="s">
        <v>903</v>
      </c>
      <c r="C88" s="120"/>
      <c r="D88" s="63">
        <f>SUMIFS(DMTK!$P$5:$P$191,DMTK!$O$5:$O$191,"*"&amp;B88&amp;"*")</f>
        <v>0</v>
      </c>
      <c r="E88" s="63">
        <f>SUMIFS(DMTK!$N$5:$N$191,DMTK!$M$5:$M$191,"*"&amp;B88&amp;"*")</f>
        <v>0</v>
      </c>
    </row>
    <row r="89" spans="1:5" x14ac:dyDescent="0.3">
      <c r="A89" s="69" t="s">
        <v>904</v>
      </c>
      <c r="B89" s="70">
        <v>331</v>
      </c>
      <c r="C89" s="121"/>
      <c r="D89" s="63">
        <f>SUMIFS(DMTK!$P$5:$P$191,DMTK!$O$5:$O$191,"*"&amp;B89&amp;"*")</f>
        <v>0</v>
      </c>
      <c r="E89" s="63">
        <f>SUMIFS(DMTK!$N$5:$N$191,DMTK!$M$5:$M$191,"*"&amp;B89&amp;"*")</f>
        <v>0</v>
      </c>
    </row>
    <row r="90" spans="1:5" x14ac:dyDescent="0.3">
      <c r="A90" s="69" t="s">
        <v>905</v>
      </c>
      <c r="B90" s="70">
        <v>332</v>
      </c>
      <c r="C90" s="121"/>
      <c r="D90" s="63">
        <f>SUMIFS(DMTK!$P$5:$P$191,DMTK!$O$5:$O$191,"*"&amp;B90&amp;"*")</f>
        <v>0</v>
      </c>
      <c r="E90" s="63">
        <f>SUMIFS(DMTK!$N$5:$N$191,DMTK!$M$5:$M$191,"*"&amp;B90&amp;"*")</f>
        <v>0</v>
      </c>
    </row>
    <row r="91" spans="1:5" x14ac:dyDescent="0.3">
      <c r="A91" s="69" t="s">
        <v>906</v>
      </c>
      <c r="B91" s="70">
        <v>333</v>
      </c>
      <c r="C91" s="121"/>
      <c r="D91" s="63">
        <f>SUMIFS(DMTK!$P$5:$P$191,DMTK!$O$5:$O$191,"*"&amp;B91&amp;"*")</f>
        <v>0</v>
      </c>
      <c r="E91" s="63">
        <f>SUMIFS(DMTK!$N$5:$N$191,DMTK!$M$5:$M$191,"*"&amp;B91&amp;"*")</f>
        <v>0</v>
      </c>
    </row>
    <row r="92" spans="1:5" x14ac:dyDescent="0.3">
      <c r="A92" s="69" t="s">
        <v>907</v>
      </c>
      <c r="B92" s="70">
        <v>334</v>
      </c>
      <c r="C92" s="121"/>
      <c r="D92" s="63">
        <f>SUMIFS(DMTK!$P$5:$P$191,DMTK!$O$5:$O$191,"*"&amp;B92&amp;"*")</f>
        <v>0</v>
      </c>
      <c r="E92" s="63">
        <f>SUMIFS(DMTK!$N$5:$N$191,DMTK!$M$5:$M$191,"*"&amp;B92&amp;"*")</f>
        <v>0</v>
      </c>
    </row>
    <row r="93" spans="1:5" x14ac:dyDescent="0.3">
      <c r="A93" s="69" t="s">
        <v>908</v>
      </c>
      <c r="B93" s="70">
        <v>335</v>
      </c>
      <c r="C93" s="121"/>
      <c r="D93" s="63">
        <f>SUMIFS(DMTK!$P$5:$P$191,DMTK!$O$5:$O$191,"*"&amp;B93&amp;"*")</f>
        <v>0</v>
      </c>
      <c r="E93" s="63">
        <f>SUMIFS(DMTK!$N$5:$N$191,DMTK!$M$5:$M$191,"*"&amp;B93&amp;"*")</f>
        <v>0</v>
      </c>
    </row>
    <row r="94" spans="1:5" x14ac:dyDescent="0.3">
      <c r="A94" s="69" t="s">
        <v>909</v>
      </c>
      <c r="B94" s="70">
        <v>336</v>
      </c>
      <c r="C94" s="121"/>
      <c r="D94" s="63">
        <f>SUMIFS(DMTK!$P$5:$P$191,DMTK!$O$5:$O$191,"*"&amp;B94&amp;"*")</f>
        <v>0</v>
      </c>
      <c r="E94" s="63">
        <f>SUMIFS(DMTK!$N$5:$N$191,DMTK!$M$5:$M$191,"*"&amp;B94&amp;"*")</f>
        <v>0</v>
      </c>
    </row>
    <row r="95" spans="1:5" x14ac:dyDescent="0.3">
      <c r="A95" s="69" t="s">
        <v>910</v>
      </c>
      <c r="B95" s="70">
        <v>337</v>
      </c>
      <c r="C95" s="121"/>
      <c r="D95" s="63">
        <f>SUMIFS(DMTK!$P$5:$P$191,DMTK!$O$5:$O$191,"*"&amp;B95&amp;"*")</f>
        <v>0</v>
      </c>
      <c r="E95" s="63">
        <f>SUMIFS(DMTK!$N$5:$N$191,DMTK!$M$5:$M$191,"*"&amp;B95&amp;"*")</f>
        <v>0</v>
      </c>
    </row>
    <row r="96" spans="1:5" x14ac:dyDescent="0.3">
      <c r="A96" s="69" t="s">
        <v>911</v>
      </c>
      <c r="B96" s="70">
        <v>338</v>
      </c>
      <c r="C96" s="121"/>
      <c r="D96" s="63">
        <f>SUMIFS(DMTK!$P$5:$P$191,DMTK!$O$5:$O$191,"*"&amp;B96&amp;"*")</f>
        <v>0</v>
      </c>
      <c r="E96" s="63">
        <f>SUMIFS(DMTK!$N$5:$N$191,DMTK!$M$5:$M$191,"*"&amp;B96&amp;"*")</f>
        <v>0</v>
      </c>
    </row>
    <row r="97" spans="1:11" x14ac:dyDescent="0.3">
      <c r="A97" s="69" t="s">
        <v>912</v>
      </c>
      <c r="B97" s="70">
        <v>339</v>
      </c>
      <c r="C97" s="121"/>
      <c r="D97" s="63">
        <f>SUMIFS(DMTK!$P$5:$P$191,DMTK!$O$5:$O$191,"*"&amp;B97&amp;"*")</f>
        <v>0</v>
      </c>
      <c r="E97" s="63">
        <f>SUMIFS(DMTK!$N$5:$N$191,DMTK!$M$5:$M$191,"*"&amp;B97&amp;"*")</f>
        <v>0</v>
      </c>
    </row>
    <row r="98" spans="1:11" x14ac:dyDescent="0.3">
      <c r="A98" s="69" t="s">
        <v>913</v>
      </c>
      <c r="B98" s="70">
        <v>340</v>
      </c>
      <c r="C98" s="121"/>
      <c r="D98" s="63">
        <f>SUMIFS(DMTK!$P$5:$P$191,DMTK!$O$5:$O$191,"*"&amp;B98&amp;"*")</f>
        <v>0</v>
      </c>
      <c r="E98" s="63">
        <f>SUMIFS(DMTK!$N$5:$N$191,DMTK!$M$5:$M$191,"*"&amp;B98&amp;"*")</f>
        <v>0</v>
      </c>
    </row>
    <row r="99" spans="1:11" x14ac:dyDescent="0.3">
      <c r="A99" s="69" t="s">
        <v>914</v>
      </c>
      <c r="B99" s="70">
        <v>341</v>
      </c>
      <c r="C99" s="121"/>
      <c r="D99" s="63">
        <f>SUMIFS(DMTK!$P$5:$P$191,DMTK!$O$5:$O$191,"*"&amp;B99&amp;"*")</f>
        <v>0</v>
      </c>
      <c r="E99" s="63">
        <f>SUMIFS(DMTK!$N$5:$N$191,DMTK!$M$5:$M$191,"*"&amp;B99&amp;"*")</f>
        <v>0</v>
      </c>
    </row>
    <row r="100" spans="1:11" x14ac:dyDescent="0.3">
      <c r="A100" s="69" t="s">
        <v>915</v>
      </c>
      <c r="B100" s="70">
        <v>342</v>
      </c>
      <c r="C100" s="121"/>
      <c r="D100" s="63">
        <f>SUMIFS(DMTK!$P$5:$P$191,DMTK!$O$5:$O$191,"*"&amp;B100&amp;"*")</f>
        <v>0</v>
      </c>
      <c r="E100" s="63">
        <f>SUMIFS(DMTK!$N$5:$N$191,DMTK!$M$5:$M$191,"*"&amp;B100&amp;"*")</f>
        <v>0</v>
      </c>
    </row>
    <row r="101" spans="1:11" x14ac:dyDescent="0.3">
      <c r="A101" s="69" t="s">
        <v>916</v>
      </c>
      <c r="B101" s="70">
        <v>343</v>
      </c>
      <c r="C101" s="121"/>
      <c r="D101" s="63">
        <f>SUMIFS(DMTK!$P$5:$P$191,DMTK!$O$5:$O$191,"*"&amp;B101&amp;"*")</f>
        <v>0</v>
      </c>
      <c r="E101" s="63">
        <f>SUMIFS(DMTK!$N$5:$N$191,DMTK!$M$5:$M$191,"*"&amp;B101&amp;"*")</f>
        <v>0</v>
      </c>
    </row>
    <row r="102" spans="1:11" x14ac:dyDescent="0.3">
      <c r="A102" s="64" t="s">
        <v>917</v>
      </c>
      <c r="B102" s="65">
        <v>400</v>
      </c>
      <c r="C102" s="120"/>
      <c r="D102" s="63">
        <f>SUMIFS(DMTK!$P$5:$P$191,DMTK!$O$5:$O$191,"*"&amp;B102&amp;"*")</f>
        <v>2236381767</v>
      </c>
      <c r="E102" s="63">
        <f>SUMIFS(DMTK!$N$5:$N$191,DMTK!$M$5:$M$191,"*"&amp;B102&amp;"*")</f>
        <v>2237500000</v>
      </c>
    </row>
    <row r="103" spans="1:11" x14ac:dyDescent="0.3">
      <c r="A103" s="64" t="s">
        <v>918</v>
      </c>
      <c r="B103" s="65">
        <v>410</v>
      </c>
      <c r="C103" s="120"/>
      <c r="D103" s="63">
        <f>SUMIFS(DMTK!$P$5:$P$191,DMTK!$O$5:$O$191,"*"&amp;B103&amp;"*")</f>
        <v>2236381767</v>
      </c>
      <c r="E103" s="63">
        <f>SUMIFS(DMTK!$N$5:$N$191,DMTK!$M$5:$M$191,"*"&amp;B103&amp;"*")</f>
        <v>2237500000</v>
      </c>
    </row>
    <row r="104" spans="1:11" x14ac:dyDescent="0.3">
      <c r="A104" s="68" t="s">
        <v>919</v>
      </c>
      <c r="B104" s="71">
        <v>411</v>
      </c>
      <c r="C104" s="121"/>
      <c r="D104" s="63">
        <f>SUMIFS(DMTK!$P$5:$P$191,DMTK!$O$5:$O$191,"*"&amp;B104&amp;"*")</f>
        <v>1473641000</v>
      </c>
      <c r="E104" s="63">
        <f>SUMIFS(DMTK!$N$5:$N$191,DMTK!$M$5:$M$191,"*"&amp;B104&amp;"*")</f>
        <v>1473641000</v>
      </c>
    </row>
    <row r="105" spans="1:11" x14ac:dyDescent="0.3">
      <c r="A105" s="68" t="s">
        <v>920</v>
      </c>
      <c r="B105" s="71" t="s">
        <v>921</v>
      </c>
      <c r="C105" s="121"/>
      <c r="D105" s="63">
        <f>SUMIFS(DMTK!$P$5:$P$191,DMTK!$O$5:$O$191,"*"&amp;B105&amp;"*")</f>
        <v>1430000000</v>
      </c>
      <c r="E105" s="63">
        <f>SUMIFS(DMTK!$N$5:$N$191,DMTK!$M$5:$M$191,"*"&amp;B105&amp;"*")</f>
        <v>1430000000</v>
      </c>
    </row>
    <row r="106" spans="1:11" x14ac:dyDescent="0.3">
      <c r="A106" s="72" t="s">
        <v>922</v>
      </c>
      <c r="B106" s="73" t="s">
        <v>923</v>
      </c>
      <c r="C106" s="121"/>
      <c r="D106" s="63">
        <f>SUMIFS(DMTK!$P$5:$P$191,DMTK!$O$5:$O$191,"*"&amp;B106&amp;"*")</f>
        <v>43641000</v>
      </c>
      <c r="E106" s="63">
        <f>SUMIFS(DMTK!$N$5:$N$191,DMTK!$M$5:$M$191,"*"&amp;B106&amp;"*")</f>
        <v>43641000</v>
      </c>
    </row>
    <row r="107" spans="1:11" x14ac:dyDescent="0.3">
      <c r="A107" s="69" t="s">
        <v>924</v>
      </c>
      <c r="B107" s="70">
        <v>412</v>
      </c>
      <c r="C107" s="121"/>
      <c r="D107" s="63">
        <f>SUMIFS(DMTK!$P$5:$P$191,DMTK!$O$5:$O$191,"*"&amp;B107&amp;"*")</f>
        <v>0</v>
      </c>
      <c r="E107" s="63">
        <f>SUMIFS(DMTK!$N$5:$N$191,DMTK!$M$5:$M$191,"*"&amp;B107&amp;"*")</f>
        <v>0</v>
      </c>
    </row>
    <row r="108" spans="1:11" x14ac:dyDescent="0.3">
      <c r="A108" s="75" t="s">
        <v>925</v>
      </c>
      <c r="B108" s="70">
        <v>413</v>
      </c>
      <c r="C108" s="121"/>
      <c r="D108" s="63">
        <f>SUMIFS(DMTK!$P$5:$P$191,DMTK!$O$5:$O$191,"*"&amp;B108&amp;"*")</f>
        <v>0</v>
      </c>
      <c r="E108" s="63">
        <f>SUMIFS(DMTK!$N$5:$N$191,DMTK!$M$5:$M$191,"*"&amp;B108&amp;"*")</f>
        <v>0</v>
      </c>
    </row>
    <row r="109" spans="1:11" x14ac:dyDescent="0.3">
      <c r="A109" s="75" t="s">
        <v>926</v>
      </c>
      <c r="B109" s="70">
        <v>414</v>
      </c>
      <c r="C109" s="121"/>
      <c r="D109" s="63">
        <f>SUMIFS(DMTK!$P$5:$P$191,DMTK!$O$5:$O$191,"*"&amp;B109&amp;"*")</f>
        <v>18898000</v>
      </c>
      <c r="E109" s="63">
        <f>SUMIFS(DMTK!$N$5:$N$191,DMTK!$M$5:$M$191,"*"&amp;B109&amp;"*")</f>
        <v>18898000</v>
      </c>
    </row>
    <row r="110" spans="1:11" x14ac:dyDescent="0.3">
      <c r="A110" s="69" t="s">
        <v>927</v>
      </c>
      <c r="B110" s="70">
        <v>415</v>
      </c>
      <c r="C110" s="121"/>
      <c r="D110" s="63">
        <f>SUMIFS(DMTK!$P$5:$P$191,DMTK!$O$5:$O$191,"*"&amp;B110&amp;"*")</f>
        <v>-9449000</v>
      </c>
      <c r="E110" s="63">
        <f>SUMIFS(DMTK!$N$5:$N$191,DMTK!$M$5:$M$191,"*"&amp;B110&amp;"*")</f>
        <v>-9449000</v>
      </c>
    </row>
    <row r="111" spans="1:11" x14ac:dyDescent="0.3">
      <c r="A111" s="69" t="s">
        <v>928</v>
      </c>
      <c r="B111" s="70">
        <v>416</v>
      </c>
      <c r="C111" s="121"/>
      <c r="D111" s="63">
        <f>SUMIFS(DMTK!$P$5:$P$191,DMTK!$O$5:$O$191,"*"&amp;B111&amp;"*")</f>
        <v>0</v>
      </c>
      <c r="E111" s="63">
        <f>SUMIFS(DMTK!$N$5:$N$191,DMTK!$M$5:$M$191,"*"&amp;B111&amp;"*")</f>
        <v>0</v>
      </c>
    </row>
    <row r="112" spans="1:11" s="74" customFormat="1" x14ac:dyDescent="0.3">
      <c r="A112" s="69" t="s">
        <v>929</v>
      </c>
      <c r="B112" s="70">
        <v>417</v>
      </c>
      <c r="C112" s="121"/>
      <c r="D112" s="63">
        <f>SUMIFS(DMTK!$P$5:$P$191,DMTK!$O$5:$O$191,"*"&amp;B112&amp;"*")</f>
        <v>0</v>
      </c>
      <c r="E112" s="63">
        <f>SUMIFS(DMTK!$N$5:$N$191,DMTK!$M$5:$M$191,"*"&amp;B112&amp;"*")</f>
        <v>0</v>
      </c>
      <c r="F112" s="51"/>
      <c r="G112" s="51"/>
      <c r="I112" s="51"/>
      <c r="J112" s="51"/>
      <c r="K112" s="51"/>
    </row>
    <row r="113" spans="1:11" s="74" customFormat="1" x14ac:dyDescent="0.3">
      <c r="A113" s="69" t="s">
        <v>930</v>
      </c>
      <c r="B113" s="70">
        <v>418</v>
      </c>
      <c r="C113" s="121"/>
      <c r="D113" s="63">
        <f>SUMIFS(DMTK!$P$5:$P$191,DMTK!$O$5:$O$191,"*"&amp;B113&amp;"*")</f>
        <v>120000000</v>
      </c>
      <c r="E113" s="63">
        <f>SUMIFS(DMTK!$N$5:$N$191,DMTK!$M$5:$M$191,"*"&amp;B113&amp;"*")</f>
        <v>120000000</v>
      </c>
      <c r="F113" s="51"/>
      <c r="G113" s="51"/>
      <c r="I113" s="51"/>
      <c r="J113" s="51"/>
      <c r="K113" s="51"/>
    </row>
    <row r="114" spans="1:11" s="74" customFormat="1" x14ac:dyDescent="0.3">
      <c r="A114" s="69" t="s">
        <v>931</v>
      </c>
      <c r="B114" s="70">
        <v>419</v>
      </c>
      <c r="C114" s="121"/>
      <c r="D114" s="63">
        <f>SUMIFS(DMTK!$P$5:$P$191,DMTK!$O$5:$O$191,"*"&amp;B114&amp;"*")</f>
        <v>0</v>
      </c>
      <c r="E114" s="63">
        <f>SUMIFS(DMTK!$N$5:$N$191,DMTK!$M$5:$M$191,"*"&amp;B114&amp;"*")</f>
        <v>0</v>
      </c>
      <c r="F114" s="51"/>
      <c r="G114" s="51"/>
      <c r="I114" s="51"/>
      <c r="J114" s="51"/>
      <c r="K114" s="51"/>
    </row>
    <row r="115" spans="1:11" s="74" customFormat="1" x14ac:dyDescent="0.3">
      <c r="A115" s="69" t="s">
        <v>932</v>
      </c>
      <c r="B115" s="70">
        <v>420</v>
      </c>
      <c r="C115" s="121"/>
      <c r="D115" s="63">
        <f>SUMIFS(DMTK!$P$5:$P$191,DMTK!$O$5:$O$191,"*"&amp;B115&amp;"*")</f>
        <v>130000000</v>
      </c>
      <c r="E115" s="63">
        <f>SUMIFS(DMTK!$N$5:$N$191,DMTK!$M$5:$M$191,"*"&amp;B115&amp;"*")</f>
        <v>130000000</v>
      </c>
      <c r="F115" s="51"/>
      <c r="G115" s="51"/>
      <c r="I115" s="51"/>
      <c r="J115" s="51"/>
      <c r="K115" s="51"/>
    </row>
    <row r="116" spans="1:11" s="74" customFormat="1" x14ac:dyDescent="0.3">
      <c r="A116" s="69" t="s">
        <v>933</v>
      </c>
      <c r="B116" s="70">
        <v>421</v>
      </c>
      <c r="C116" s="120"/>
      <c r="D116" s="63">
        <f>SUMIFS(DMTK!$P$5:$P$191,DMTK!$O$5:$O$191,"*"&amp;B116&amp;"*")</f>
        <v>203291767</v>
      </c>
      <c r="E116" s="63">
        <f>SUMIFS(DMTK!$N$5:$N$191,DMTK!$M$5:$M$191,"*"&amp;B116&amp;"*")</f>
        <v>204410000</v>
      </c>
      <c r="F116" s="51"/>
      <c r="G116" s="51"/>
      <c r="I116" s="51"/>
      <c r="J116" s="51"/>
      <c r="K116" s="51"/>
    </row>
    <row r="117" spans="1:11" s="74" customFormat="1" x14ac:dyDescent="0.3">
      <c r="A117" s="69" t="s">
        <v>934</v>
      </c>
      <c r="B117" s="70" t="s">
        <v>935</v>
      </c>
      <c r="C117" s="121"/>
      <c r="D117" s="63">
        <f>SUMIFS(DMTK!$P$5:$P$191,DMTK!$O$5:$O$191,"*"&amp;B117&amp;"*")</f>
        <v>204410000</v>
      </c>
      <c r="E117" s="63">
        <f>SUMIFS(DMTK!$N$5:$N$191,DMTK!$M$5:$M$191,"*"&amp;B117&amp;"*")</f>
        <v>204410000</v>
      </c>
      <c r="F117" s="51"/>
      <c r="G117" s="51"/>
      <c r="I117" s="51"/>
      <c r="J117" s="51"/>
      <c r="K117" s="51"/>
    </row>
    <row r="118" spans="1:11" s="74" customFormat="1" x14ac:dyDescent="0.3">
      <c r="A118" s="69" t="s">
        <v>936</v>
      </c>
      <c r="B118" s="70" t="s">
        <v>937</v>
      </c>
      <c r="C118" s="121"/>
      <c r="D118" s="63">
        <f>SUMIFS(DMTK!$P$5:$P$191,DMTK!$O$5:$O$191,"*"&amp;B118&amp;"*")</f>
        <v>-1118233</v>
      </c>
      <c r="E118" s="63">
        <f>SUMIFS(DMTK!$N$5:$N$191,DMTK!$M$5:$M$191,"*"&amp;B118&amp;"*")</f>
        <v>0</v>
      </c>
      <c r="F118" s="51"/>
      <c r="G118" s="51"/>
      <c r="I118" s="51"/>
      <c r="J118" s="51"/>
      <c r="K118" s="51"/>
    </row>
    <row r="119" spans="1:11" s="74" customFormat="1" x14ac:dyDescent="0.3">
      <c r="A119" s="69" t="s">
        <v>938</v>
      </c>
      <c r="B119" s="70">
        <v>422</v>
      </c>
      <c r="C119" s="120"/>
      <c r="D119" s="63">
        <f>SUMIFS(DMTK!$P$5:$P$191,DMTK!$O$5:$O$191,"*"&amp;B119&amp;"*")</f>
        <v>300000000</v>
      </c>
      <c r="E119" s="63">
        <f>SUMIFS(DMTK!$N$5:$N$191,DMTK!$M$5:$M$191,"*"&amp;B119&amp;"*")</f>
        <v>300000000</v>
      </c>
      <c r="F119" s="51"/>
      <c r="G119" s="76"/>
      <c r="I119" s="51"/>
      <c r="J119" s="51"/>
      <c r="K119" s="51"/>
    </row>
    <row r="120" spans="1:11" s="74" customFormat="1" x14ac:dyDescent="0.3">
      <c r="A120" s="64" t="s">
        <v>939</v>
      </c>
      <c r="B120" s="65">
        <v>430</v>
      </c>
      <c r="C120" s="120"/>
      <c r="D120" s="63">
        <f>SUMIFS(DMTK!$P$5:$P$191,DMTK!$O$5:$O$191,"*"&amp;B120&amp;"*")</f>
        <v>0</v>
      </c>
      <c r="E120" s="63">
        <f>SUMIFS(DMTK!$N$5:$N$191,DMTK!$M$5:$M$191,"*"&amp;B120&amp;"*")</f>
        <v>0</v>
      </c>
      <c r="F120" s="51"/>
      <c r="G120" s="51"/>
      <c r="I120" s="51"/>
      <c r="J120" s="51"/>
      <c r="K120" s="51"/>
    </row>
    <row r="121" spans="1:11" s="74" customFormat="1" x14ac:dyDescent="0.3">
      <c r="A121" s="69" t="s">
        <v>940</v>
      </c>
      <c r="B121" s="70">
        <v>431</v>
      </c>
      <c r="C121" s="120"/>
      <c r="D121" s="63">
        <f>SUMIFS(DMTK!$P$5:$P$191,DMTK!$O$5:$O$191,"*"&amp;B121&amp;"*")</f>
        <v>0</v>
      </c>
      <c r="E121" s="63">
        <f>SUMIFS(DMTK!$N$5:$N$191,DMTK!$M$5:$M$191,"*"&amp;B121&amp;"*")</f>
        <v>0</v>
      </c>
      <c r="F121" s="51"/>
      <c r="G121" s="51"/>
      <c r="I121" s="51"/>
      <c r="J121" s="51"/>
      <c r="K121" s="51"/>
    </row>
    <row r="122" spans="1:11" s="74" customFormat="1" x14ac:dyDescent="0.3">
      <c r="A122" s="77" t="s">
        <v>941</v>
      </c>
      <c r="B122" s="78">
        <v>432</v>
      </c>
      <c r="C122" s="121"/>
      <c r="D122" s="125">
        <f>SUMIFS(DMTK!$P$5:$P$191,DMTK!$O$5:$O$191,"*"&amp;B122&amp;"*")</f>
        <v>0</v>
      </c>
      <c r="E122" s="125">
        <f>SUMIFS(DMTK!$N$5:$N$191,DMTK!$M$5:$M$191,"*"&amp;B122&amp;"*")</f>
        <v>0</v>
      </c>
      <c r="F122" s="51"/>
      <c r="G122" s="51"/>
      <c r="I122" s="51"/>
      <c r="J122" s="51"/>
      <c r="K122" s="51"/>
    </row>
    <row r="123" spans="1:11" s="74" customFormat="1" x14ac:dyDescent="0.3">
      <c r="A123" s="51"/>
      <c r="B123" s="51"/>
      <c r="C123" s="51"/>
      <c r="D123" s="79" t="s">
        <v>942</v>
      </c>
      <c r="E123" s="51"/>
      <c r="F123" s="51"/>
      <c r="G123" s="51"/>
      <c r="I123" s="51"/>
      <c r="J123" s="51"/>
      <c r="K123" s="51"/>
    </row>
    <row r="125" spans="1:11" s="74" customFormat="1" x14ac:dyDescent="0.3">
      <c r="A125" s="52" t="s">
        <v>943</v>
      </c>
      <c r="B125" s="146" t="s">
        <v>944</v>
      </c>
      <c r="C125" s="146"/>
      <c r="D125" s="51"/>
      <c r="E125" s="52" t="s">
        <v>945</v>
      </c>
      <c r="F125" s="51"/>
      <c r="G125" s="51"/>
      <c r="I125" s="51"/>
      <c r="J125" s="51"/>
      <c r="K125" s="51"/>
    </row>
    <row r="126" spans="1:11" s="74" customFormat="1" x14ac:dyDescent="0.3">
      <c r="A126" s="80" t="s">
        <v>946</v>
      </c>
      <c r="B126" s="147" t="s">
        <v>946</v>
      </c>
      <c r="C126" s="147"/>
      <c r="D126" s="51"/>
      <c r="E126" s="80" t="s">
        <v>947</v>
      </c>
      <c r="F126" s="51"/>
      <c r="G126" s="51"/>
      <c r="I126" s="51"/>
      <c r="J126" s="51"/>
      <c r="K126" s="51"/>
    </row>
  </sheetData>
  <mergeCells count="2">
    <mergeCell ref="B125:C125"/>
    <mergeCell ref="B126:C126"/>
  </mergeCell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EF14-5CFC-4382-A532-0607653D533A}">
  <sheetPr codeName="Sheet25"/>
  <dimension ref="A1:L35"/>
  <sheetViews>
    <sheetView topLeftCell="A26" zoomScale="89" workbookViewId="0">
      <selection activeCell="G13" sqref="G13"/>
    </sheetView>
  </sheetViews>
  <sheetFormatPr defaultColWidth="12.109375" defaultRowHeight="18.75" customHeight="1" x14ac:dyDescent="0.25"/>
  <cols>
    <col min="1" max="1" width="59.109375" style="81" customWidth="1"/>
    <col min="2" max="2" width="9.44140625" style="81" customWidth="1"/>
    <col min="3" max="3" width="11.6640625" style="81" customWidth="1"/>
    <col min="4" max="4" width="20.6640625" style="81" customWidth="1"/>
    <col min="5" max="5" width="20.109375" style="81" bestFit="1" customWidth="1"/>
    <col min="6" max="6" width="9.33203125" style="74" customWidth="1"/>
    <col min="7" max="7" width="12.109375" style="81" customWidth="1"/>
    <col min="8" max="16384" width="12.109375" style="81"/>
  </cols>
  <sheetData>
    <row r="1" spans="1:12" ht="18.75" customHeight="1" x14ac:dyDescent="0.3">
      <c r="A1" s="51" t="s">
        <v>812</v>
      </c>
      <c r="D1" s="52" t="s">
        <v>948</v>
      </c>
    </row>
    <row r="2" spans="1:12" ht="18.75" customHeight="1" x14ac:dyDescent="0.3">
      <c r="A2" s="51" t="s">
        <v>814</v>
      </c>
      <c r="D2" s="53" t="s">
        <v>815</v>
      </c>
    </row>
    <row r="3" spans="1:12" ht="18.75" customHeight="1" x14ac:dyDescent="0.25">
      <c r="D3" s="53" t="s">
        <v>816</v>
      </c>
    </row>
    <row r="4" spans="1:12" ht="18.75" customHeight="1" x14ac:dyDescent="0.3">
      <c r="A4" s="149" t="s">
        <v>949</v>
      </c>
      <c r="B4" s="149"/>
      <c r="C4" s="149"/>
      <c r="D4" s="149"/>
    </row>
    <row r="5" spans="1:12" ht="18.75" customHeight="1" x14ac:dyDescent="0.25">
      <c r="A5" s="150" t="s">
        <v>950</v>
      </c>
      <c r="B5" s="150"/>
      <c r="C5" s="150"/>
      <c r="D5" s="150"/>
    </row>
    <row r="6" spans="1:12" ht="18.75" customHeight="1" x14ac:dyDescent="0.25">
      <c r="D6" s="82" t="s">
        <v>951</v>
      </c>
    </row>
    <row r="7" spans="1:12" s="84" customFormat="1" ht="31.5" customHeight="1" x14ac:dyDescent="0.25">
      <c r="A7" s="83" t="s">
        <v>952</v>
      </c>
      <c r="B7" s="83" t="s">
        <v>953</v>
      </c>
      <c r="C7" s="83" t="s">
        <v>820</v>
      </c>
      <c r="D7" s="83" t="s">
        <v>954</v>
      </c>
      <c r="E7" s="83" t="s">
        <v>955</v>
      </c>
      <c r="F7" s="74"/>
    </row>
    <row r="8" spans="1:12" s="86" customFormat="1" ht="15.75" customHeight="1" x14ac:dyDescent="0.25">
      <c r="A8" s="85">
        <v>1</v>
      </c>
      <c r="B8" s="85">
        <v>2</v>
      </c>
      <c r="C8" s="85">
        <v>3</v>
      </c>
      <c r="D8" s="85">
        <v>4</v>
      </c>
      <c r="E8" s="85">
        <v>5</v>
      </c>
      <c r="F8" s="74"/>
      <c r="J8" s="86" t="s">
        <v>956</v>
      </c>
      <c r="K8" s="34" t="s">
        <v>697</v>
      </c>
      <c r="L8" s="34" t="s">
        <v>698</v>
      </c>
    </row>
    <row r="9" spans="1:12" s="92" customFormat="1" ht="15.75" customHeight="1" x14ac:dyDescent="0.25">
      <c r="A9" s="87" t="s">
        <v>957</v>
      </c>
      <c r="B9" s="88" t="s">
        <v>958</v>
      </c>
      <c r="C9" s="89"/>
      <c r="D9" s="90">
        <f>DSUM(CT!A3:I143,CT!H3,K8:L9)</f>
        <v>88000000</v>
      </c>
      <c r="E9" s="91"/>
      <c r="F9" s="74"/>
      <c r="K9" s="92" t="s">
        <v>959</v>
      </c>
      <c r="L9" s="92" t="s">
        <v>960</v>
      </c>
    </row>
    <row r="10" spans="1:12" s="92" customFormat="1" ht="15.75" customHeight="1" x14ac:dyDescent="0.25">
      <c r="A10" s="87" t="s">
        <v>961</v>
      </c>
      <c r="B10" s="88" t="s">
        <v>962</v>
      </c>
      <c r="C10" s="89"/>
      <c r="D10" s="90">
        <f>DSUM(CT!A3:I143,CT!H3,KQKD!K10:L11)</f>
        <v>0</v>
      </c>
      <c r="E10" s="91"/>
      <c r="F10" s="74"/>
      <c r="J10" s="86" t="s">
        <v>963</v>
      </c>
      <c r="K10" s="34" t="s">
        <v>697</v>
      </c>
      <c r="L10" s="34" t="s">
        <v>698</v>
      </c>
    </row>
    <row r="11" spans="1:12" s="92" customFormat="1" ht="15.75" customHeight="1" x14ac:dyDescent="0.25">
      <c r="A11" s="87" t="s">
        <v>964</v>
      </c>
      <c r="B11" s="89">
        <v>10</v>
      </c>
      <c r="C11" s="89"/>
      <c r="D11" s="90">
        <f>D9-D10</f>
        <v>88000000</v>
      </c>
      <c r="E11" s="91"/>
      <c r="F11" s="74"/>
      <c r="K11" s="92" t="s">
        <v>960</v>
      </c>
      <c r="L11" s="92" t="s">
        <v>965</v>
      </c>
    </row>
    <row r="12" spans="1:12" s="92" customFormat="1" ht="15.75" customHeight="1" x14ac:dyDescent="0.25">
      <c r="A12" s="87" t="s">
        <v>966</v>
      </c>
      <c r="B12" s="89">
        <v>11</v>
      </c>
      <c r="C12" s="89"/>
      <c r="D12" s="90">
        <f>DSUM(CT!A3:I143,CT!H3,KQKD!K12:L13)</f>
        <v>70469900</v>
      </c>
      <c r="E12" s="91"/>
      <c r="F12" s="74"/>
      <c r="J12" s="86" t="s">
        <v>967</v>
      </c>
      <c r="K12" s="34" t="s">
        <v>697</v>
      </c>
      <c r="L12" s="34" t="s">
        <v>698</v>
      </c>
    </row>
    <row r="13" spans="1:12" s="92" customFormat="1" ht="15.75" customHeight="1" x14ac:dyDescent="0.25">
      <c r="A13" s="87" t="s">
        <v>968</v>
      </c>
      <c r="B13" s="89">
        <v>20</v>
      </c>
      <c r="C13" s="89"/>
      <c r="D13" s="90">
        <f>D11-D12</f>
        <v>17530100</v>
      </c>
      <c r="E13" s="91"/>
      <c r="F13" s="74"/>
      <c r="K13" s="92" t="s">
        <v>969</v>
      </c>
      <c r="L13" s="92" t="s">
        <v>970</v>
      </c>
    </row>
    <row r="14" spans="1:12" s="92" customFormat="1" ht="15.75" customHeight="1" x14ac:dyDescent="0.25">
      <c r="A14" s="87" t="s">
        <v>971</v>
      </c>
      <c r="B14" s="89">
        <v>21</v>
      </c>
      <c r="C14" s="89"/>
      <c r="D14" s="90">
        <f>DSUM(CT!A3:I143,CT!H3,KQKD!K14:L15)</f>
        <v>0</v>
      </c>
      <c r="E14" s="91"/>
      <c r="F14" s="74"/>
      <c r="J14" s="86" t="s">
        <v>972</v>
      </c>
      <c r="K14" s="34" t="s">
        <v>697</v>
      </c>
      <c r="L14" s="34" t="s">
        <v>698</v>
      </c>
    </row>
    <row r="15" spans="1:12" s="92" customFormat="1" ht="15.75" customHeight="1" x14ac:dyDescent="0.25">
      <c r="A15" s="87" t="s">
        <v>973</v>
      </c>
      <c r="B15" s="89">
        <v>22</v>
      </c>
      <c r="C15" s="89"/>
      <c r="D15" s="90">
        <f>DSUM(CT!A3:I143,CT!H3,KQKD!K16:L17)</f>
        <v>0</v>
      </c>
      <c r="E15" s="91"/>
      <c r="F15" s="74"/>
      <c r="K15" s="92" t="s">
        <v>974</v>
      </c>
      <c r="L15" s="92" t="s">
        <v>969</v>
      </c>
    </row>
    <row r="16" spans="1:12" s="92" customFormat="1" ht="15.75" customHeight="1" x14ac:dyDescent="0.25">
      <c r="A16" s="93" t="s">
        <v>975</v>
      </c>
      <c r="B16" s="89">
        <v>23</v>
      </c>
      <c r="C16" s="89"/>
      <c r="D16" s="90"/>
      <c r="E16" s="91"/>
      <c r="F16" s="74"/>
      <c r="J16" s="86" t="s">
        <v>976</v>
      </c>
      <c r="K16" s="34" t="s">
        <v>697</v>
      </c>
      <c r="L16" s="34" t="s">
        <v>698</v>
      </c>
    </row>
    <row r="17" spans="1:12" s="92" customFormat="1" ht="15.75" customHeight="1" x14ac:dyDescent="0.25">
      <c r="A17" s="87" t="s">
        <v>977</v>
      </c>
      <c r="B17" s="89">
        <v>25</v>
      </c>
      <c r="C17" s="89"/>
      <c r="D17" s="90">
        <f>DSUM(CT!A3:I143,CT!H3,KQKD!K18:L19)</f>
        <v>6350000</v>
      </c>
      <c r="E17" s="91"/>
      <c r="F17" s="74"/>
      <c r="K17" s="92" t="s">
        <v>969</v>
      </c>
      <c r="L17" s="92" t="s">
        <v>978</v>
      </c>
    </row>
    <row r="18" spans="1:12" s="92" customFormat="1" ht="15.75" customHeight="1" x14ac:dyDescent="0.25">
      <c r="A18" s="87" t="s">
        <v>979</v>
      </c>
      <c r="B18" s="89">
        <v>26</v>
      </c>
      <c r="C18" s="89"/>
      <c r="D18" s="90">
        <f>DSUM(CT!A3:I143,CT!H3,KQKD!K20:L21)</f>
        <v>12298333</v>
      </c>
      <c r="E18" s="91"/>
      <c r="F18" s="74"/>
      <c r="J18" s="86" t="s">
        <v>980</v>
      </c>
      <c r="K18" s="34" t="s">
        <v>697</v>
      </c>
      <c r="L18" s="34" t="s">
        <v>698</v>
      </c>
    </row>
    <row r="19" spans="1:12" s="92" customFormat="1" ht="15.75" customHeight="1" x14ac:dyDescent="0.25">
      <c r="A19" s="87" t="s">
        <v>981</v>
      </c>
      <c r="B19" s="89">
        <v>30</v>
      </c>
      <c r="C19" s="89"/>
      <c r="D19" s="90">
        <f>D13+(D14-D15)-D17-D18</f>
        <v>-1118233</v>
      </c>
      <c r="E19" s="91"/>
      <c r="F19" s="74"/>
      <c r="K19" s="92" t="s">
        <v>969</v>
      </c>
      <c r="L19" s="92" t="s">
        <v>982</v>
      </c>
    </row>
    <row r="20" spans="1:12" s="92" customFormat="1" ht="15.75" customHeight="1" x14ac:dyDescent="0.25">
      <c r="A20" s="87" t="s">
        <v>983</v>
      </c>
      <c r="B20" s="89">
        <v>31</v>
      </c>
      <c r="C20" s="89"/>
      <c r="D20" s="90">
        <f>DSUM(CT!A3:I143,CT!H3,KQKD!K22:L23)</f>
        <v>0</v>
      </c>
      <c r="E20" s="91"/>
      <c r="F20" s="74"/>
      <c r="J20" s="86" t="s">
        <v>984</v>
      </c>
      <c r="K20" s="34" t="s">
        <v>697</v>
      </c>
      <c r="L20" s="34" t="s">
        <v>698</v>
      </c>
    </row>
    <row r="21" spans="1:12" s="92" customFormat="1" ht="15.75" customHeight="1" x14ac:dyDescent="0.25">
      <c r="A21" s="87" t="s">
        <v>985</v>
      </c>
      <c r="B21" s="89">
        <v>32</v>
      </c>
      <c r="C21" s="89"/>
      <c r="D21" s="90">
        <f>DSUM(CT!A3:I143,CT!H3,KQKD!K24:L25)</f>
        <v>0</v>
      </c>
      <c r="E21" s="91"/>
      <c r="F21" s="74"/>
      <c r="K21" s="92" t="s">
        <v>969</v>
      </c>
      <c r="L21" s="92" t="s">
        <v>986</v>
      </c>
    </row>
    <row r="22" spans="1:12" s="92" customFormat="1" ht="15.75" customHeight="1" x14ac:dyDescent="0.25">
      <c r="A22" s="87" t="s">
        <v>987</v>
      </c>
      <c r="B22" s="89">
        <v>40</v>
      </c>
      <c r="C22" s="89"/>
      <c r="D22" s="90">
        <f>D20-D21</f>
        <v>0</v>
      </c>
      <c r="E22" s="91"/>
      <c r="F22" s="74"/>
      <c r="J22" s="86" t="s">
        <v>988</v>
      </c>
      <c r="K22" s="34" t="s">
        <v>697</v>
      </c>
      <c r="L22" s="34" t="s">
        <v>698</v>
      </c>
    </row>
    <row r="23" spans="1:12" s="92" customFormat="1" ht="15.75" customHeight="1" x14ac:dyDescent="0.25">
      <c r="A23" s="87" t="s">
        <v>989</v>
      </c>
      <c r="B23" s="89">
        <v>50</v>
      </c>
      <c r="C23" s="89"/>
      <c r="D23" s="90">
        <f>D19+D22</f>
        <v>-1118233</v>
      </c>
      <c r="E23" s="91"/>
      <c r="F23" s="74"/>
      <c r="K23" s="92" t="s">
        <v>990</v>
      </c>
      <c r="L23" s="92" t="s">
        <v>969</v>
      </c>
    </row>
    <row r="24" spans="1:12" s="92" customFormat="1" ht="15.75" customHeight="1" x14ac:dyDescent="0.25">
      <c r="A24" s="87" t="s">
        <v>991</v>
      </c>
      <c r="B24" s="89">
        <v>51</v>
      </c>
      <c r="C24" s="89"/>
      <c r="D24" s="90">
        <f>DSUM(CT!A3:I143,CT!H3,KQKD!K26:L27)</f>
        <v>0</v>
      </c>
      <c r="E24" s="91"/>
      <c r="F24" s="74"/>
      <c r="J24" s="86" t="s">
        <v>992</v>
      </c>
      <c r="K24" s="34" t="s">
        <v>697</v>
      </c>
      <c r="L24" s="34" t="s">
        <v>698</v>
      </c>
    </row>
    <row r="25" spans="1:12" s="92" customFormat="1" ht="15.75" customHeight="1" x14ac:dyDescent="0.25">
      <c r="A25" s="87" t="s">
        <v>993</v>
      </c>
      <c r="B25" s="89">
        <v>52</v>
      </c>
      <c r="C25" s="89"/>
      <c r="D25" s="90">
        <f>DSUM(CT!A3:I143,CT!H3,KQKD!K28:L29)</f>
        <v>0</v>
      </c>
      <c r="E25" s="91"/>
      <c r="F25" s="74"/>
      <c r="G25" s="81"/>
      <c r="K25" s="92" t="s">
        <v>969</v>
      </c>
      <c r="L25" s="92" t="s">
        <v>994</v>
      </c>
    </row>
    <row r="26" spans="1:12" s="92" customFormat="1" ht="15.75" customHeight="1" x14ac:dyDescent="0.25">
      <c r="A26" s="87" t="s">
        <v>995</v>
      </c>
      <c r="B26" s="89">
        <v>60</v>
      </c>
      <c r="C26" s="89"/>
      <c r="D26" s="90">
        <f>D23-(D24+D25)</f>
        <v>-1118233</v>
      </c>
      <c r="E26" s="91"/>
      <c r="F26" s="74"/>
      <c r="G26" s="94"/>
      <c r="J26" s="86" t="s">
        <v>996</v>
      </c>
      <c r="K26" s="34" t="s">
        <v>697</v>
      </c>
      <c r="L26" s="34" t="s">
        <v>698</v>
      </c>
    </row>
    <row r="27" spans="1:12" s="92" customFormat="1" ht="15.75" customHeight="1" x14ac:dyDescent="0.25">
      <c r="A27" s="87" t="s">
        <v>997</v>
      </c>
      <c r="B27" s="89">
        <v>70</v>
      </c>
      <c r="C27" s="89"/>
      <c r="D27" s="90"/>
      <c r="E27" s="91"/>
      <c r="F27" s="74"/>
      <c r="G27" s="81"/>
      <c r="K27" s="92" t="s">
        <v>969</v>
      </c>
      <c r="L27" s="92" t="s">
        <v>998</v>
      </c>
    </row>
    <row r="28" spans="1:12" s="92" customFormat="1" ht="15.75" customHeight="1" x14ac:dyDescent="0.25">
      <c r="A28" s="87" t="s">
        <v>999</v>
      </c>
      <c r="B28" s="89">
        <v>71</v>
      </c>
      <c r="C28" s="89"/>
      <c r="D28" s="90"/>
      <c r="E28" s="91"/>
      <c r="F28" s="74"/>
      <c r="G28" s="81"/>
      <c r="J28" s="86" t="s">
        <v>996</v>
      </c>
      <c r="K28" s="34" t="s">
        <v>697</v>
      </c>
      <c r="L28" s="34" t="s">
        <v>698</v>
      </c>
    </row>
    <row r="29" spans="1:12" ht="18.75" customHeight="1" x14ac:dyDescent="0.3">
      <c r="A29" s="51"/>
      <c r="B29" s="51"/>
      <c r="C29" s="51"/>
      <c r="D29" s="79" t="s">
        <v>942</v>
      </c>
      <c r="E29" s="51"/>
      <c r="J29" s="92"/>
      <c r="K29" s="92" t="s">
        <v>1000</v>
      </c>
      <c r="L29" s="92" t="s">
        <v>969</v>
      </c>
    </row>
    <row r="30" spans="1:12" s="94" customFormat="1" ht="18.75" customHeight="1" x14ac:dyDescent="0.3">
      <c r="A30" s="51"/>
      <c r="B30" s="51"/>
      <c r="C30" s="51"/>
      <c r="D30" s="51"/>
      <c r="E30" s="51"/>
      <c r="F30" s="74"/>
      <c r="G30" s="95"/>
    </row>
    <row r="31" spans="1:12" ht="18.75" customHeight="1" x14ac:dyDescent="0.3">
      <c r="A31" s="52" t="s">
        <v>943</v>
      </c>
      <c r="B31" s="146" t="s">
        <v>944</v>
      </c>
      <c r="C31" s="146"/>
      <c r="D31" s="51"/>
      <c r="E31" s="52" t="s">
        <v>945</v>
      </c>
      <c r="G31" s="95"/>
    </row>
    <row r="32" spans="1:12" ht="18.75" customHeight="1" x14ac:dyDescent="0.3">
      <c r="A32" s="80" t="s">
        <v>946</v>
      </c>
      <c r="B32" s="147" t="s">
        <v>946</v>
      </c>
      <c r="C32" s="147"/>
      <c r="D32" s="51"/>
      <c r="E32" s="80" t="s">
        <v>947</v>
      </c>
    </row>
    <row r="33" spans="1:7" ht="18.75" customHeight="1" x14ac:dyDescent="0.3">
      <c r="A33" s="96" t="s">
        <v>1001</v>
      </c>
    </row>
    <row r="34" spans="1:7" s="95" customFormat="1" ht="36.75" customHeight="1" x14ac:dyDescent="0.3">
      <c r="A34" s="148" t="s">
        <v>1002</v>
      </c>
      <c r="B34" s="148"/>
      <c r="C34" s="148"/>
      <c r="D34" s="148"/>
      <c r="F34" s="74"/>
      <c r="G34" s="81"/>
    </row>
    <row r="35" spans="1:7" s="95" customFormat="1" ht="21.75" customHeight="1" x14ac:dyDescent="0.3">
      <c r="A35" s="148" t="s">
        <v>1003</v>
      </c>
      <c r="B35" s="148"/>
      <c r="C35" s="148"/>
      <c r="D35" s="148"/>
      <c r="F35" s="74"/>
      <c r="G35" s="81"/>
    </row>
  </sheetData>
  <mergeCells count="6">
    <mergeCell ref="A35:D35"/>
    <mergeCell ref="A4:D4"/>
    <mergeCell ref="A5:D5"/>
    <mergeCell ref="B31:C31"/>
    <mergeCell ref="B32:C32"/>
    <mergeCell ref="A34:D34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FBDB-C205-4785-8249-6E6724B5CC8F}">
  <sheetPr codeName="Sheet26"/>
  <dimension ref="A1:Q84"/>
  <sheetViews>
    <sheetView tabSelected="1" topLeftCell="A13" zoomScale="85" zoomScaleNormal="85" workbookViewId="0">
      <selection activeCell="G11" sqref="G11"/>
    </sheetView>
  </sheetViews>
  <sheetFormatPr defaultColWidth="9.33203125" defaultRowHeight="16.8" x14ac:dyDescent="0.3"/>
  <cols>
    <col min="1" max="1" width="97.44140625" style="51" customWidth="1"/>
    <col min="2" max="2" width="10.33203125" style="51" customWidth="1"/>
    <col min="3" max="3" width="9" style="51" customWidth="1"/>
    <col min="4" max="4" width="21.33203125" style="51" customWidth="1"/>
    <col min="5" max="5" width="17.6640625" style="51" customWidth="1"/>
    <col min="6" max="14" width="9.33203125" style="51"/>
    <col min="15" max="15" width="12.77734375" style="51" customWidth="1"/>
    <col min="16" max="16384" width="9.33203125" style="51"/>
  </cols>
  <sheetData>
    <row r="1" spans="1:15" s="81" customFormat="1" ht="18.75" customHeight="1" x14ac:dyDescent="0.3">
      <c r="A1" s="51" t="s">
        <v>812</v>
      </c>
      <c r="D1" s="52" t="s">
        <v>1004</v>
      </c>
    </row>
    <row r="2" spans="1:15" s="81" customFormat="1" ht="18.75" customHeight="1" x14ac:dyDescent="0.3">
      <c r="A2" s="51" t="s">
        <v>814</v>
      </c>
      <c r="D2" s="53" t="s">
        <v>815</v>
      </c>
    </row>
    <row r="3" spans="1:15" s="81" customFormat="1" ht="18.75" customHeight="1" x14ac:dyDescent="0.25">
      <c r="D3" s="53" t="s">
        <v>816</v>
      </c>
    </row>
    <row r="4" spans="1:15" ht="15.75" customHeight="1" x14ac:dyDescent="0.3">
      <c r="A4" s="97"/>
      <c r="B4" s="151" t="s">
        <v>1005</v>
      </c>
      <c r="C4" s="151"/>
      <c r="D4" s="151"/>
      <c r="E4" s="151"/>
    </row>
    <row r="5" spans="1:15" ht="15.75" customHeight="1" x14ac:dyDescent="0.3">
      <c r="A5" s="98"/>
      <c r="B5" s="152" t="s">
        <v>1006</v>
      </c>
      <c r="C5" s="152"/>
      <c r="D5" s="152"/>
      <c r="E5" s="152"/>
    </row>
    <row r="6" spans="1:15" x14ac:dyDescent="0.3">
      <c r="A6" s="100"/>
      <c r="B6" s="100"/>
      <c r="C6" s="100"/>
      <c r="D6" s="99" t="s">
        <v>1007</v>
      </c>
      <c r="E6" s="100"/>
    </row>
    <row r="7" spans="1:15" ht="17.399999999999999" thickBot="1" x14ac:dyDescent="0.35">
      <c r="A7" s="138"/>
      <c r="B7" s="138"/>
      <c r="C7" s="138"/>
      <c r="D7" s="153" t="s">
        <v>1008</v>
      </c>
      <c r="E7" s="153"/>
    </row>
    <row r="8" spans="1:15" ht="33" customHeight="1" thickBot="1" x14ac:dyDescent="0.35">
      <c r="A8" s="139" t="s">
        <v>1009</v>
      </c>
      <c r="B8" s="140" t="s">
        <v>953</v>
      </c>
      <c r="C8" s="140" t="s">
        <v>820</v>
      </c>
      <c r="D8" s="140" t="s">
        <v>1010</v>
      </c>
      <c r="E8" s="141" t="s">
        <v>1011</v>
      </c>
    </row>
    <row r="9" spans="1:15" ht="17.399999999999999" thickBot="1" x14ac:dyDescent="0.35">
      <c r="A9" s="142">
        <v>1</v>
      </c>
      <c r="B9" s="143">
        <v>2</v>
      </c>
      <c r="C9" s="143">
        <v>3</v>
      </c>
      <c r="D9" s="143">
        <v>4</v>
      </c>
      <c r="E9" s="144">
        <v>5</v>
      </c>
      <c r="G9" s="126" t="s">
        <v>956</v>
      </c>
      <c r="H9" s="34" t="s">
        <v>697</v>
      </c>
      <c r="I9" s="34" t="s">
        <v>698</v>
      </c>
      <c r="J9" s="126" t="s">
        <v>963</v>
      </c>
      <c r="K9" s="34" t="s">
        <v>697</v>
      </c>
      <c r="L9" s="34" t="s">
        <v>698</v>
      </c>
      <c r="M9" s="126" t="s">
        <v>1012</v>
      </c>
      <c r="N9" s="34" t="s">
        <v>697</v>
      </c>
      <c r="O9" s="34" t="s">
        <v>698</v>
      </c>
    </row>
    <row r="10" spans="1:15" x14ac:dyDescent="0.3">
      <c r="A10" s="101" t="s">
        <v>1013</v>
      </c>
      <c r="B10" s="102"/>
      <c r="C10" s="102"/>
      <c r="D10" s="103"/>
      <c r="E10" s="137"/>
      <c r="G10" s="126"/>
      <c r="H10" s="126" t="s">
        <v>1014</v>
      </c>
      <c r="I10" s="126" t="s">
        <v>1015</v>
      </c>
      <c r="J10" s="126"/>
      <c r="K10" s="126" t="s">
        <v>1016</v>
      </c>
      <c r="L10" s="126" t="s">
        <v>1014</v>
      </c>
      <c r="M10" s="126"/>
      <c r="N10" s="126" t="s">
        <v>1014</v>
      </c>
      <c r="O10" s="126" t="s">
        <v>1017</v>
      </c>
    </row>
    <row r="11" spans="1:15" x14ac:dyDescent="0.3">
      <c r="A11" s="104" t="s">
        <v>1018</v>
      </c>
      <c r="B11" s="105">
        <v>1</v>
      </c>
      <c r="C11" s="106"/>
      <c r="D11" s="107">
        <f>DSUM(CT!$A$3:$I$143,CT!H3,H9:I17)</f>
        <v>55000000</v>
      </c>
      <c r="E11" s="135"/>
      <c r="G11" s="126"/>
      <c r="H11" s="126" t="s">
        <v>1019</v>
      </c>
      <c r="I11" s="126" t="s">
        <v>1015</v>
      </c>
      <c r="J11" s="126"/>
      <c r="K11" s="126" t="s">
        <v>1016</v>
      </c>
      <c r="L11" s="126" t="s">
        <v>1019</v>
      </c>
      <c r="M11" s="126"/>
      <c r="N11" s="126" t="s">
        <v>1019</v>
      </c>
      <c r="O11" s="126" t="s">
        <v>1017</v>
      </c>
    </row>
    <row r="12" spans="1:15" x14ac:dyDescent="0.3">
      <c r="A12" s="104" t="s">
        <v>1020</v>
      </c>
      <c r="B12" s="105">
        <v>2</v>
      </c>
      <c r="C12" s="106"/>
      <c r="D12" s="107">
        <f>DSUM(CT!$A$3:$I$143,CT!H3,K9:L19)</f>
        <v>90000000</v>
      </c>
      <c r="E12" s="135"/>
      <c r="G12" s="126"/>
      <c r="H12" s="126" t="s">
        <v>1014</v>
      </c>
      <c r="I12" s="126" t="s">
        <v>960</v>
      </c>
      <c r="J12" s="126"/>
      <c r="K12" s="126" t="s">
        <v>1021</v>
      </c>
      <c r="L12" s="126" t="s">
        <v>1014</v>
      </c>
      <c r="M12" s="126"/>
      <c r="N12" s="126" t="s">
        <v>1022</v>
      </c>
      <c r="O12" s="126" t="s">
        <v>1017</v>
      </c>
    </row>
    <row r="13" spans="1:15" ht="16.5" customHeight="1" x14ac:dyDescent="0.3">
      <c r="A13" s="104" t="s">
        <v>1023</v>
      </c>
      <c r="B13" s="105">
        <v>3</v>
      </c>
      <c r="C13" s="106"/>
      <c r="D13" s="107">
        <f>DSUM(CT!$A$3:$I$143,CT!H3,H18:I20)</f>
        <v>247000000</v>
      </c>
      <c r="E13" s="135"/>
      <c r="G13" s="126"/>
      <c r="H13" s="126" t="s">
        <v>1019</v>
      </c>
      <c r="I13" s="126" t="s">
        <v>960</v>
      </c>
      <c r="J13" s="126"/>
      <c r="K13" s="126" t="s">
        <v>1021</v>
      </c>
      <c r="L13" s="126" t="s">
        <v>1019</v>
      </c>
      <c r="M13" s="126"/>
      <c r="N13" s="126" t="s">
        <v>1014</v>
      </c>
      <c r="O13" s="126" t="s">
        <v>1024</v>
      </c>
    </row>
    <row r="14" spans="1:15" x14ac:dyDescent="0.3">
      <c r="A14" s="104" t="s">
        <v>1025</v>
      </c>
      <c r="B14" s="105">
        <v>4</v>
      </c>
      <c r="C14" s="106"/>
      <c r="D14" s="107">
        <f>DSUM(CT!$A$3:$I$143,CT!H3,H21:I30)</f>
        <v>0</v>
      </c>
      <c r="E14" s="135"/>
      <c r="G14" s="126"/>
      <c r="H14" s="126" t="s">
        <v>1014</v>
      </c>
      <c r="I14" s="126" t="s">
        <v>1026</v>
      </c>
      <c r="J14" s="126"/>
      <c r="K14" s="126" t="s">
        <v>1027</v>
      </c>
      <c r="L14" s="126" t="s">
        <v>1014</v>
      </c>
      <c r="M14" s="126"/>
      <c r="N14" s="126" t="s">
        <v>1019</v>
      </c>
      <c r="O14" s="126" t="s">
        <v>1024</v>
      </c>
    </row>
    <row r="15" spans="1:15" x14ac:dyDescent="0.3">
      <c r="A15" s="104" t="s">
        <v>1028</v>
      </c>
      <c r="B15" s="105">
        <v>5</v>
      </c>
      <c r="C15" s="106"/>
      <c r="D15" s="107">
        <f>DSUM(CT!$A$3:$I$143,CT!H3,H31:I34)</f>
        <v>0</v>
      </c>
      <c r="E15" s="135"/>
      <c r="G15" s="126"/>
      <c r="H15" s="126" t="s">
        <v>1019</v>
      </c>
      <c r="I15" s="126" t="s">
        <v>1026</v>
      </c>
      <c r="J15" s="126"/>
      <c r="K15" s="126" t="s">
        <v>1027</v>
      </c>
      <c r="L15" s="126" t="s">
        <v>1019</v>
      </c>
      <c r="M15" s="126"/>
      <c r="N15" s="126" t="s">
        <v>1022</v>
      </c>
      <c r="O15" s="126" t="s">
        <v>1024</v>
      </c>
    </row>
    <row r="16" spans="1:15" x14ac:dyDescent="0.3">
      <c r="A16" s="104" t="s">
        <v>1029</v>
      </c>
      <c r="B16" s="105">
        <v>6</v>
      </c>
      <c r="C16" s="106"/>
      <c r="D16" s="107">
        <f>DSUM(CT!$A$3:$I$143,CT!H3,H35:I43)</f>
        <v>200000</v>
      </c>
      <c r="E16" s="135"/>
      <c r="G16" s="126"/>
      <c r="H16" s="126" t="s">
        <v>1014</v>
      </c>
      <c r="I16" s="126" t="s">
        <v>974</v>
      </c>
      <c r="J16" s="126"/>
      <c r="K16" s="126" t="s">
        <v>1030</v>
      </c>
      <c r="L16" s="126" t="s">
        <v>1014</v>
      </c>
      <c r="M16" s="126"/>
      <c r="N16" s="126" t="s">
        <v>1014</v>
      </c>
      <c r="O16" s="126" t="s">
        <v>1031</v>
      </c>
    </row>
    <row r="17" spans="1:15" x14ac:dyDescent="0.3">
      <c r="A17" s="104" t="s">
        <v>1032</v>
      </c>
      <c r="B17" s="105">
        <v>7</v>
      </c>
      <c r="C17" s="106"/>
      <c r="D17" s="107">
        <f>DSUM(CT!$A$3:$I$143,CT!H3,H44:I71)</f>
        <v>0</v>
      </c>
      <c r="E17" s="135"/>
      <c r="G17" s="126"/>
      <c r="H17" s="126" t="s">
        <v>1019</v>
      </c>
      <c r="I17" s="126" t="s">
        <v>974</v>
      </c>
      <c r="J17" s="126"/>
      <c r="K17" s="126" t="s">
        <v>1030</v>
      </c>
      <c r="L17" s="126" t="s">
        <v>1019</v>
      </c>
      <c r="M17" s="126"/>
      <c r="N17" s="126" t="s">
        <v>1019</v>
      </c>
      <c r="O17" s="126" t="s">
        <v>1031</v>
      </c>
    </row>
    <row r="18" spans="1:15" x14ac:dyDescent="0.3">
      <c r="A18" s="108" t="s">
        <v>1033</v>
      </c>
      <c r="B18" s="109">
        <v>20</v>
      </c>
      <c r="C18" s="110"/>
      <c r="D18" s="111">
        <f>SUM(D11:D17)</f>
        <v>392200000</v>
      </c>
      <c r="E18" s="134"/>
      <c r="G18" s="126" t="s">
        <v>1034</v>
      </c>
      <c r="H18" s="34" t="s">
        <v>697</v>
      </c>
      <c r="I18" s="34" t="s">
        <v>698</v>
      </c>
      <c r="J18" s="126"/>
      <c r="K18" s="126" t="s">
        <v>1035</v>
      </c>
      <c r="L18" s="126" t="s">
        <v>1014</v>
      </c>
      <c r="M18" s="126"/>
      <c r="N18" s="126" t="s">
        <v>1022</v>
      </c>
      <c r="O18" s="126" t="s">
        <v>1031</v>
      </c>
    </row>
    <row r="19" spans="1:15" ht="16.5" customHeight="1" x14ac:dyDescent="0.3">
      <c r="A19" s="112" t="s">
        <v>1036</v>
      </c>
      <c r="B19" s="106"/>
      <c r="C19" s="106"/>
      <c r="D19" s="107"/>
      <c r="E19" s="135"/>
      <c r="G19" s="126"/>
      <c r="H19" s="126" t="s">
        <v>1037</v>
      </c>
      <c r="I19" s="126" t="s">
        <v>1014</v>
      </c>
      <c r="J19" s="126"/>
      <c r="K19" s="126" t="s">
        <v>1035</v>
      </c>
      <c r="L19" s="126" t="s">
        <v>1019</v>
      </c>
      <c r="M19" s="126"/>
      <c r="N19" s="126" t="s">
        <v>1014</v>
      </c>
      <c r="O19" s="126" t="s">
        <v>1038</v>
      </c>
    </row>
    <row r="20" spans="1:15" x14ac:dyDescent="0.3">
      <c r="A20" s="104" t="s">
        <v>1039</v>
      </c>
      <c r="B20" s="106">
        <v>21</v>
      </c>
      <c r="C20" s="106"/>
      <c r="D20" s="107">
        <f>DSUM(CT!$A$3:$I$143,CT!H3,H72:I84)</f>
        <v>230000000</v>
      </c>
      <c r="E20" s="135"/>
      <c r="G20" s="126"/>
      <c r="H20" s="126" t="s">
        <v>1037</v>
      </c>
      <c r="I20" s="126" t="s">
        <v>1019</v>
      </c>
      <c r="J20" s="126"/>
      <c r="K20" s="126"/>
      <c r="L20" s="126"/>
      <c r="M20" s="126"/>
      <c r="N20" s="126" t="s">
        <v>1019</v>
      </c>
      <c r="O20" s="126" t="s">
        <v>1038</v>
      </c>
    </row>
    <row r="21" spans="1:15" x14ac:dyDescent="0.3">
      <c r="A21" s="104" t="s">
        <v>1040</v>
      </c>
      <c r="B21" s="106">
        <v>22</v>
      </c>
      <c r="C21" s="106"/>
      <c r="D21" s="107">
        <f>DSUM(CT!$A$3:$I$143,CT!H3,K21:L31)</f>
        <v>55000000</v>
      </c>
      <c r="E21" s="135"/>
      <c r="G21" s="126" t="s">
        <v>1041</v>
      </c>
      <c r="H21" s="34" t="s">
        <v>697</v>
      </c>
      <c r="I21" s="34" t="s">
        <v>698</v>
      </c>
      <c r="J21" s="126" t="s">
        <v>976</v>
      </c>
      <c r="K21" s="34" t="s">
        <v>697</v>
      </c>
      <c r="L21" s="34" t="s">
        <v>698</v>
      </c>
      <c r="M21" s="126"/>
      <c r="N21" s="126" t="s">
        <v>1022</v>
      </c>
      <c r="O21" s="126" t="s">
        <v>1038</v>
      </c>
    </row>
    <row r="22" spans="1:15" x14ac:dyDescent="0.3">
      <c r="A22" s="104" t="s">
        <v>1042</v>
      </c>
      <c r="B22" s="106">
        <v>23</v>
      </c>
      <c r="C22" s="106"/>
      <c r="D22" s="107">
        <f>DSUM(CT!$A$3:$I$143,CT!H3,K32:L36)</f>
        <v>0</v>
      </c>
      <c r="E22" s="135"/>
      <c r="G22" s="126"/>
      <c r="H22" s="126" t="s">
        <v>978</v>
      </c>
      <c r="I22" s="126" t="s">
        <v>1014</v>
      </c>
      <c r="J22" s="126"/>
      <c r="K22" s="126" t="s">
        <v>970</v>
      </c>
      <c r="L22" s="126" t="s">
        <v>1014</v>
      </c>
      <c r="M22" s="126"/>
      <c r="N22" s="126" t="s">
        <v>1014</v>
      </c>
      <c r="O22" s="126" t="s">
        <v>1043</v>
      </c>
    </row>
    <row r="23" spans="1:15" x14ac:dyDescent="0.3">
      <c r="A23" s="104" t="s">
        <v>1044</v>
      </c>
      <c r="B23" s="106">
        <v>24</v>
      </c>
      <c r="C23" s="106"/>
      <c r="D23" s="107">
        <f>DSUM(CT!$A$3:$I$143,CT!H3,K37:L41)</f>
        <v>0</v>
      </c>
      <c r="E23" s="135"/>
      <c r="G23" s="126"/>
      <c r="H23" s="126" t="s">
        <v>978</v>
      </c>
      <c r="I23" s="126" t="s">
        <v>1019</v>
      </c>
      <c r="J23" s="126"/>
      <c r="K23" s="126" t="s">
        <v>970</v>
      </c>
      <c r="L23" s="126" t="s">
        <v>1019</v>
      </c>
      <c r="M23" s="126"/>
      <c r="N23" s="126" t="s">
        <v>1019</v>
      </c>
      <c r="O23" s="126" t="s">
        <v>1043</v>
      </c>
    </row>
    <row r="24" spans="1:15" x14ac:dyDescent="0.3">
      <c r="A24" s="104" t="s">
        <v>1045</v>
      </c>
      <c r="B24" s="106">
        <v>25</v>
      </c>
      <c r="C24" s="106"/>
      <c r="D24" s="107">
        <f>DSUM(CT!$A$3:$I$143,CT!H3,K45:L57)</f>
        <v>90000000</v>
      </c>
      <c r="E24" s="135"/>
      <c r="G24" s="126"/>
      <c r="H24" s="126" t="s">
        <v>978</v>
      </c>
      <c r="I24" s="126" t="s">
        <v>1022</v>
      </c>
      <c r="J24" s="126"/>
      <c r="K24" s="126" t="s">
        <v>994</v>
      </c>
      <c r="L24" s="126" t="s">
        <v>1014</v>
      </c>
      <c r="M24" s="126"/>
      <c r="N24" s="126" t="s">
        <v>1022</v>
      </c>
      <c r="O24" s="126" t="s">
        <v>1043</v>
      </c>
    </row>
    <row r="25" spans="1:15" ht="15.75" customHeight="1" x14ac:dyDescent="0.3">
      <c r="A25" s="104" t="s">
        <v>1046</v>
      </c>
      <c r="B25" s="106">
        <v>26</v>
      </c>
      <c r="C25" s="106"/>
      <c r="D25" s="107">
        <f>DSUM(CT!$A$3:$I$143,CT!H3,K58:L70)</f>
        <v>55000000</v>
      </c>
      <c r="E25" s="135"/>
      <c r="G25" s="126"/>
      <c r="H25" s="126" t="s">
        <v>1047</v>
      </c>
      <c r="I25" s="126" t="s">
        <v>1014</v>
      </c>
      <c r="J25" s="126"/>
      <c r="K25" s="126" t="s">
        <v>994</v>
      </c>
      <c r="L25" s="126" t="s">
        <v>1019</v>
      </c>
      <c r="M25" s="126" t="s">
        <v>1048</v>
      </c>
      <c r="N25" s="34" t="s">
        <v>697</v>
      </c>
      <c r="O25" s="34" t="s">
        <v>698</v>
      </c>
    </row>
    <row r="26" spans="1:15" x14ac:dyDescent="0.3">
      <c r="A26" s="104" t="s">
        <v>1049</v>
      </c>
      <c r="B26" s="106">
        <v>27</v>
      </c>
      <c r="C26" s="106"/>
      <c r="D26" s="107">
        <f>DSUM(CT!$A$3:$I$143,CT!H3,K42:L44)</f>
        <v>0</v>
      </c>
      <c r="E26" s="135"/>
      <c r="G26" s="126"/>
      <c r="H26" s="126" t="s">
        <v>1047</v>
      </c>
      <c r="I26" s="126" t="s">
        <v>1019</v>
      </c>
      <c r="J26" s="126"/>
      <c r="K26" s="126" t="s">
        <v>1014</v>
      </c>
      <c r="L26" s="126" t="s">
        <v>990</v>
      </c>
      <c r="M26" s="126"/>
      <c r="N26" s="126" t="s">
        <v>1017</v>
      </c>
      <c r="O26" s="126" t="s">
        <v>1014</v>
      </c>
    </row>
    <row r="27" spans="1:15" ht="15.75" customHeight="1" x14ac:dyDescent="0.3">
      <c r="A27" s="108" t="s">
        <v>1050</v>
      </c>
      <c r="B27" s="109">
        <v>30</v>
      </c>
      <c r="C27" s="110"/>
      <c r="D27" s="111">
        <f>SUM(D20:D26)</f>
        <v>430000000</v>
      </c>
      <c r="E27" s="134"/>
      <c r="G27" s="126"/>
      <c r="H27" s="126" t="s">
        <v>1047</v>
      </c>
      <c r="I27" s="126" t="s">
        <v>1022</v>
      </c>
      <c r="J27" s="126"/>
      <c r="K27" s="126" t="s">
        <v>1019</v>
      </c>
      <c r="L27" s="126" t="s">
        <v>990</v>
      </c>
      <c r="M27" s="126"/>
      <c r="N27" s="126" t="s">
        <v>1017</v>
      </c>
      <c r="O27" s="126" t="s">
        <v>1019</v>
      </c>
    </row>
    <row r="28" spans="1:15" ht="15.75" customHeight="1" x14ac:dyDescent="0.3">
      <c r="A28" s="112" t="s">
        <v>1051</v>
      </c>
      <c r="B28" s="106"/>
      <c r="C28" s="106"/>
      <c r="D28" s="107"/>
      <c r="E28" s="135"/>
      <c r="G28" s="126"/>
      <c r="H28" s="126" t="s">
        <v>1052</v>
      </c>
      <c r="I28" s="126" t="s">
        <v>1014</v>
      </c>
      <c r="J28" s="126"/>
      <c r="K28" s="126" t="s">
        <v>1014</v>
      </c>
      <c r="L28" s="126" t="s">
        <v>1053</v>
      </c>
      <c r="M28" s="126"/>
      <c r="N28" s="126" t="s">
        <v>1017</v>
      </c>
      <c r="O28" s="126" t="s">
        <v>1022</v>
      </c>
    </row>
    <row r="29" spans="1:15" ht="16.5" customHeight="1" x14ac:dyDescent="0.3">
      <c r="A29" s="104" t="s">
        <v>1054</v>
      </c>
      <c r="B29" s="106">
        <v>31</v>
      </c>
      <c r="C29" s="106"/>
      <c r="D29" s="107">
        <f>DSUM(CT!$A$3:$I$143,CT!H3,K71:L74)</f>
        <v>0</v>
      </c>
      <c r="E29" s="135"/>
      <c r="G29" s="126"/>
      <c r="H29" s="126" t="s">
        <v>1052</v>
      </c>
      <c r="I29" s="126" t="s">
        <v>1019</v>
      </c>
      <c r="J29" s="126"/>
      <c r="K29" s="126" t="s">
        <v>1019</v>
      </c>
      <c r="L29" s="126" t="s">
        <v>1053</v>
      </c>
      <c r="M29" s="126"/>
      <c r="N29" s="126" t="s">
        <v>1024</v>
      </c>
      <c r="O29" s="126" t="s">
        <v>1014</v>
      </c>
    </row>
    <row r="30" spans="1:15" ht="15.75" customHeight="1" x14ac:dyDescent="0.3">
      <c r="A30" s="104" t="s">
        <v>1055</v>
      </c>
      <c r="B30" s="106">
        <v>32</v>
      </c>
      <c r="C30" s="106"/>
      <c r="D30" s="107">
        <f>DSUM(CT!$A$3:$I$143,CT!H3,K75:L81)</f>
        <v>0</v>
      </c>
      <c r="E30" s="135"/>
      <c r="G30" s="126"/>
      <c r="H30" s="126" t="s">
        <v>1052</v>
      </c>
      <c r="I30" s="126" t="s">
        <v>1022</v>
      </c>
      <c r="J30" s="126"/>
      <c r="K30" s="126" t="s">
        <v>1014</v>
      </c>
      <c r="L30" s="126" t="s">
        <v>1015</v>
      </c>
      <c r="M30" s="126"/>
      <c r="N30" s="126" t="s">
        <v>1024</v>
      </c>
      <c r="O30" s="126" t="s">
        <v>1019</v>
      </c>
    </row>
    <row r="31" spans="1:15" ht="15.75" customHeight="1" x14ac:dyDescent="0.3">
      <c r="A31" s="104" t="s">
        <v>1056</v>
      </c>
      <c r="B31" s="106">
        <v>33</v>
      </c>
      <c r="C31" s="106"/>
      <c r="D31" s="107">
        <f>DSUM(CT!$A$3:$I$143,CT!H3,N9:O24)</f>
        <v>0</v>
      </c>
      <c r="E31" s="135"/>
      <c r="G31" s="126" t="s">
        <v>1057</v>
      </c>
      <c r="H31" s="34" t="s">
        <v>697</v>
      </c>
      <c r="I31" s="34" t="s">
        <v>698</v>
      </c>
      <c r="J31" s="126"/>
      <c r="K31" s="126" t="s">
        <v>1019</v>
      </c>
      <c r="L31" s="126" t="s">
        <v>1015</v>
      </c>
      <c r="M31" s="126"/>
      <c r="N31" s="126" t="s">
        <v>1024</v>
      </c>
      <c r="O31" s="126" t="s">
        <v>1022</v>
      </c>
    </row>
    <row r="32" spans="1:15" ht="16.5" customHeight="1" x14ac:dyDescent="0.3">
      <c r="A32" s="104" t="s">
        <v>1058</v>
      </c>
      <c r="B32" s="106">
        <v>34</v>
      </c>
      <c r="C32" s="106"/>
      <c r="D32" s="107">
        <f>DSUM(CT!$A$3:$I$143,CT!H3,N25:O40)</f>
        <v>0</v>
      </c>
      <c r="E32" s="132"/>
      <c r="F32" s="133"/>
      <c r="G32" s="126"/>
      <c r="H32" s="126" t="s">
        <v>1059</v>
      </c>
      <c r="I32" s="126" t="s">
        <v>1014</v>
      </c>
      <c r="J32" s="126" t="s">
        <v>1060</v>
      </c>
      <c r="K32" s="34" t="s">
        <v>697</v>
      </c>
      <c r="L32" s="34" t="s">
        <v>698</v>
      </c>
      <c r="M32" s="126"/>
      <c r="N32" s="126" t="s">
        <v>1031</v>
      </c>
      <c r="O32" s="126" t="s">
        <v>1014</v>
      </c>
    </row>
    <row r="33" spans="1:17" x14ac:dyDescent="0.3">
      <c r="A33" s="104" t="s">
        <v>1061</v>
      </c>
      <c r="B33" s="106">
        <v>35</v>
      </c>
      <c r="C33" s="106"/>
      <c r="D33" s="107">
        <f>DSUM(CT!$A$3:$I$143,CT!H3,N41:O44)</f>
        <v>0</v>
      </c>
      <c r="E33" s="132"/>
      <c r="F33" s="133"/>
      <c r="G33" s="126"/>
      <c r="H33" s="126" t="s">
        <v>1059</v>
      </c>
      <c r="I33" s="126" t="s">
        <v>1019</v>
      </c>
      <c r="J33" s="126"/>
      <c r="K33" s="126" t="s">
        <v>1062</v>
      </c>
      <c r="L33" s="126" t="s">
        <v>1014</v>
      </c>
      <c r="M33" s="126"/>
      <c r="N33" s="126" t="s">
        <v>1031</v>
      </c>
      <c r="O33" s="126" t="s">
        <v>1019</v>
      </c>
    </row>
    <row r="34" spans="1:17" x14ac:dyDescent="0.3">
      <c r="A34" s="104" t="s">
        <v>1063</v>
      </c>
      <c r="B34" s="106">
        <v>36</v>
      </c>
      <c r="C34" s="106"/>
      <c r="D34" s="107">
        <f>DSUM(CT!$A$3:$I$143,CT!H3,N45:O51)</f>
        <v>0</v>
      </c>
      <c r="E34" s="132"/>
      <c r="F34" s="133"/>
      <c r="G34" s="126"/>
      <c r="H34" s="126" t="s">
        <v>1059</v>
      </c>
      <c r="I34" s="126" t="s">
        <v>1022</v>
      </c>
      <c r="J34" s="126"/>
      <c r="K34" s="126" t="s">
        <v>1062</v>
      </c>
      <c r="L34" s="126" t="s">
        <v>1019</v>
      </c>
      <c r="M34" s="126"/>
      <c r="N34" s="126" t="s">
        <v>1031</v>
      </c>
      <c r="O34" s="126" t="s">
        <v>1022</v>
      </c>
    </row>
    <row r="35" spans="1:17" ht="15.75" customHeight="1" x14ac:dyDescent="0.3">
      <c r="A35" s="108" t="s">
        <v>1064</v>
      </c>
      <c r="B35" s="109">
        <v>40</v>
      </c>
      <c r="C35" s="110"/>
      <c r="D35" s="107">
        <f>SUM(D29:D34)</f>
        <v>0</v>
      </c>
      <c r="E35" s="134"/>
      <c r="G35" s="126" t="s">
        <v>1065</v>
      </c>
      <c r="H35" s="34" t="s">
        <v>697</v>
      </c>
      <c r="I35" s="34" t="s">
        <v>698</v>
      </c>
      <c r="J35" s="126"/>
      <c r="K35" s="126" t="s">
        <v>1066</v>
      </c>
      <c r="L35" s="126" t="s">
        <v>1014</v>
      </c>
      <c r="M35" s="126"/>
      <c r="N35" s="126" t="s">
        <v>1038</v>
      </c>
      <c r="O35" s="126" t="s">
        <v>1014</v>
      </c>
    </row>
    <row r="36" spans="1:17" ht="15.75" customHeight="1" x14ac:dyDescent="0.3">
      <c r="A36" s="112" t="s">
        <v>1067</v>
      </c>
      <c r="B36" s="109">
        <v>50</v>
      </c>
      <c r="C36" s="109"/>
      <c r="D36" s="111">
        <f>D18+D27+D35</f>
        <v>822200000</v>
      </c>
      <c r="E36" s="135"/>
      <c r="G36" s="126"/>
      <c r="H36" s="126" t="s">
        <v>1014</v>
      </c>
      <c r="I36" s="126" t="s">
        <v>990</v>
      </c>
      <c r="J36" s="126"/>
      <c r="K36" s="126" t="s">
        <v>1066</v>
      </c>
      <c r="L36" s="126" t="s">
        <v>1019</v>
      </c>
      <c r="M36" s="126"/>
      <c r="N36" s="126" t="s">
        <v>1038</v>
      </c>
      <c r="O36" s="126" t="s">
        <v>1019</v>
      </c>
    </row>
    <row r="37" spans="1:17" ht="15.75" customHeight="1" x14ac:dyDescent="0.3">
      <c r="A37" s="112" t="s">
        <v>1068</v>
      </c>
      <c r="B37" s="109">
        <v>60</v>
      </c>
      <c r="C37" s="109"/>
      <c r="D37" s="111">
        <v>858221000</v>
      </c>
      <c r="E37" s="135"/>
      <c r="G37" s="126"/>
      <c r="H37" s="126" t="s">
        <v>1019</v>
      </c>
      <c r="I37" s="126" t="s">
        <v>990</v>
      </c>
      <c r="J37" s="126" t="s">
        <v>1069</v>
      </c>
      <c r="K37" s="34" t="s">
        <v>697</v>
      </c>
      <c r="L37" s="34" t="s">
        <v>698</v>
      </c>
      <c r="M37" s="126"/>
      <c r="N37" s="126" t="s">
        <v>1038</v>
      </c>
      <c r="O37" s="126" t="s">
        <v>1022</v>
      </c>
    </row>
    <row r="38" spans="1:17" ht="15.75" customHeight="1" x14ac:dyDescent="0.3">
      <c r="A38" s="113" t="s">
        <v>1070</v>
      </c>
      <c r="B38" s="106">
        <v>61</v>
      </c>
      <c r="C38" s="114"/>
      <c r="D38" s="107"/>
      <c r="E38" s="135"/>
      <c r="G38" s="126"/>
      <c r="H38" s="126" t="s">
        <v>1014</v>
      </c>
      <c r="I38" s="126" t="s">
        <v>1071</v>
      </c>
      <c r="J38" s="126"/>
      <c r="K38" s="126" t="s">
        <v>1014</v>
      </c>
      <c r="L38" s="126" t="s">
        <v>1062</v>
      </c>
      <c r="M38" s="126"/>
      <c r="N38" s="126" t="s">
        <v>1043</v>
      </c>
      <c r="O38" s="126" t="s">
        <v>1014</v>
      </c>
    </row>
    <row r="39" spans="1:17" ht="15.75" customHeight="1" thickBot="1" x14ac:dyDescent="0.35">
      <c r="A39" s="131" t="s">
        <v>1072</v>
      </c>
      <c r="B39" s="129">
        <v>70</v>
      </c>
      <c r="C39" s="127"/>
      <c r="D39" s="128">
        <f>D36+D37+D38</f>
        <v>1680421000</v>
      </c>
      <c r="E39" s="136"/>
      <c r="G39" s="126"/>
      <c r="H39" s="126" t="s">
        <v>1019</v>
      </c>
      <c r="I39" s="126" t="s">
        <v>1071</v>
      </c>
      <c r="J39" s="126"/>
      <c r="K39" s="126" t="s">
        <v>1019</v>
      </c>
      <c r="L39" s="126" t="s">
        <v>1062</v>
      </c>
      <c r="M39" s="126"/>
      <c r="N39" s="126" t="s">
        <v>1043</v>
      </c>
      <c r="O39" s="126" t="s">
        <v>1019</v>
      </c>
    </row>
    <row r="40" spans="1:17" ht="16.5" customHeight="1" x14ac:dyDescent="0.3">
      <c r="A40" s="130"/>
      <c r="B40" s="130"/>
      <c r="D40" s="79" t="s">
        <v>942</v>
      </c>
      <c r="G40" s="126"/>
      <c r="H40" s="126" t="s">
        <v>1014</v>
      </c>
      <c r="I40" s="126" t="s">
        <v>1073</v>
      </c>
      <c r="J40" s="126"/>
      <c r="K40" s="126" t="s">
        <v>1014</v>
      </c>
      <c r="L40" s="126" t="s">
        <v>1066</v>
      </c>
      <c r="M40" s="126"/>
      <c r="N40" s="126" t="s">
        <v>1043</v>
      </c>
      <c r="O40" s="126" t="s">
        <v>1022</v>
      </c>
    </row>
    <row r="41" spans="1:17" x14ac:dyDescent="0.3">
      <c r="G41" s="126"/>
      <c r="H41" s="126" t="s">
        <v>1019</v>
      </c>
      <c r="I41" s="126" t="s">
        <v>1073</v>
      </c>
      <c r="J41" s="126"/>
      <c r="K41" s="126" t="s">
        <v>1019</v>
      </c>
      <c r="L41" s="126" t="s">
        <v>1066</v>
      </c>
      <c r="M41" s="126" t="s">
        <v>1074</v>
      </c>
      <c r="N41" s="34" t="s">
        <v>697</v>
      </c>
      <c r="O41" s="34" t="s">
        <v>698</v>
      </c>
    </row>
    <row r="42" spans="1:17" x14ac:dyDescent="0.3">
      <c r="A42" s="52" t="s">
        <v>943</v>
      </c>
      <c r="B42" s="146" t="s">
        <v>944</v>
      </c>
      <c r="C42" s="146"/>
      <c r="E42" s="52" t="s">
        <v>945</v>
      </c>
      <c r="G42" s="126"/>
      <c r="H42" s="126" t="s">
        <v>1014</v>
      </c>
      <c r="I42" s="126" t="s">
        <v>1075</v>
      </c>
      <c r="J42" s="126" t="s">
        <v>1076</v>
      </c>
      <c r="K42" s="34" t="s">
        <v>697</v>
      </c>
      <c r="L42" s="34" t="s">
        <v>698</v>
      </c>
      <c r="M42" s="126"/>
      <c r="N42" s="126" t="s">
        <v>1077</v>
      </c>
      <c r="O42" s="126" t="s">
        <v>1014</v>
      </c>
    </row>
    <row r="43" spans="1:17" x14ac:dyDescent="0.3">
      <c r="A43" s="80" t="s">
        <v>946</v>
      </c>
      <c r="B43" s="147" t="s">
        <v>946</v>
      </c>
      <c r="C43" s="147"/>
      <c r="E43" s="80" t="s">
        <v>947</v>
      </c>
      <c r="G43" s="126"/>
      <c r="H43" s="126" t="s">
        <v>1019</v>
      </c>
      <c r="I43" s="126" t="s">
        <v>1075</v>
      </c>
      <c r="J43" s="126"/>
      <c r="K43" s="126" t="s">
        <v>1014</v>
      </c>
      <c r="L43" s="126" t="s">
        <v>974</v>
      </c>
      <c r="M43" s="126"/>
      <c r="N43" s="126" t="s">
        <v>1077</v>
      </c>
      <c r="O43" s="126" t="s">
        <v>1019</v>
      </c>
    </row>
    <row r="44" spans="1:17" x14ac:dyDescent="0.3">
      <c r="G44" s="126" t="s">
        <v>1078</v>
      </c>
      <c r="H44" s="34" t="s">
        <v>697</v>
      </c>
      <c r="I44" s="34" t="s">
        <v>698</v>
      </c>
      <c r="J44" s="126"/>
      <c r="K44" s="126" t="s">
        <v>1019</v>
      </c>
      <c r="L44" s="126" t="s">
        <v>974</v>
      </c>
      <c r="M44" s="126"/>
      <c r="N44" s="126" t="s">
        <v>1077</v>
      </c>
      <c r="O44" s="126" t="s">
        <v>1022</v>
      </c>
      <c r="Q44" s="126"/>
    </row>
    <row r="45" spans="1:17" x14ac:dyDescent="0.3">
      <c r="G45" s="126"/>
      <c r="H45" s="126" t="s">
        <v>994</v>
      </c>
      <c r="I45" s="126" t="s">
        <v>1014</v>
      </c>
      <c r="J45" s="126" t="s">
        <v>980</v>
      </c>
      <c r="K45" s="34" t="s">
        <v>697</v>
      </c>
      <c r="L45" s="34" t="s">
        <v>698</v>
      </c>
      <c r="M45" s="126" t="s">
        <v>1079</v>
      </c>
      <c r="N45" s="34" t="s">
        <v>697</v>
      </c>
      <c r="O45" s="34" t="s">
        <v>698</v>
      </c>
    </row>
    <row r="46" spans="1:17" x14ac:dyDescent="0.3">
      <c r="G46" s="126"/>
      <c r="H46" s="126" t="s">
        <v>994</v>
      </c>
      <c r="I46" s="126" t="s">
        <v>1019</v>
      </c>
      <c r="J46" s="126"/>
      <c r="K46" s="126" t="s">
        <v>1080</v>
      </c>
      <c r="L46" s="126" t="s">
        <v>1014</v>
      </c>
      <c r="M46" s="126"/>
      <c r="N46" s="126" t="s">
        <v>1081</v>
      </c>
      <c r="O46" s="126" t="s">
        <v>1014</v>
      </c>
    </row>
    <row r="47" spans="1:17" x14ac:dyDescent="0.3">
      <c r="A47" s="115"/>
      <c r="B47" s="116"/>
      <c r="C47" s="117"/>
      <c r="D47" s="117"/>
      <c r="E47" s="116"/>
      <c r="G47" s="126"/>
      <c r="H47" s="126" t="s">
        <v>994</v>
      </c>
      <c r="I47" s="126" t="s">
        <v>1022</v>
      </c>
      <c r="J47" s="126"/>
      <c r="K47" s="126" t="s">
        <v>1080</v>
      </c>
      <c r="L47" s="126" t="s">
        <v>1019</v>
      </c>
      <c r="M47" s="126"/>
      <c r="N47" s="126" t="s">
        <v>1081</v>
      </c>
      <c r="O47" s="126" t="s">
        <v>1019</v>
      </c>
    </row>
    <row r="48" spans="1:17" x14ac:dyDescent="0.3">
      <c r="B48" s="118"/>
      <c r="C48" s="118"/>
      <c r="G48" s="126"/>
      <c r="H48" s="126" t="s">
        <v>1082</v>
      </c>
      <c r="I48" s="126" t="s">
        <v>1014</v>
      </c>
      <c r="J48" s="126"/>
      <c r="K48" s="126" t="s">
        <v>1080</v>
      </c>
      <c r="L48" s="126" t="s">
        <v>1022</v>
      </c>
      <c r="M48" s="126"/>
      <c r="N48" s="126" t="s">
        <v>1081</v>
      </c>
      <c r="O48" s="126" t="s">
        <v>1022</v>
      </c>
    </row>
    <row r="49" spans="1:15" x14ac:dyDescent="0.3">
      <c r="A49" s="119"/>
      <c r="G49" s="126"/>
      <c r="H49" s="126" t="s">
        <v>1082</v>
      </c>
      <c r="I49" s="126" t="s">
        <v>1019</v>
      </c>
      <c r="J49" s="126"/>
      <c r="K49" s="126" t="s">
        <v>1083</v>
      </c>
      <c r="L49" s="126" t="s">
        <v>1014</v>
      </c>
      <c r="M49" s="126"/>
      <c r="N49" s="126" t="s">
        <v>1084</v>
      </c>
      <c r="O49" s="126" t="s">
        <v>1014</v>
      </c>
    </row>
    <row r="50" spans="1:15" x14ac:dyDescent="0.3">
      <c r="G50" s="126"/>
      <c r="H50" s="126" t="s">
        <v>1082</v>
      </c>
      <c r="I50" s="126" t="s">
        <v>1022</v>
      </c>
      <c r="J50" s="126"/>
      <c r="K50" s="126" t="s">
        <v>1083</v>
      </c>
      <c r="L50" s="126" t="s">
        <v>1019</v>
      </c>
      <c r="M50" s="126"/>
      <c r="N50" s="126" t="s">
        <v>1084</v>
      </c>
      <c r="O50" s="126" t="s">
        <v>1019</v>
      </c>
    </row>
    <row r="51" spans="1:15" x14ac:dyDescent="0.3">
      <c r="G51" s="126"/>
      <c r="H51" s="126" t="s">
        <v>1075</v>
      </c>
      <c r="I51" s="126" t="s">
        <v>1014</v>
      </c>
      <c r="J51" s="126"/>
      <c r="K51" s="126" t="s">
        <v>1083</v>
      </c>
      <c r="L51" s="126" t="s">
        <v>1022</v>
      </c>
      <c r="M51" s="126"/>
      <c r="N51" s="126" t="s">
        <v>1084</v>
      </c>
      <c r="O51" s="126" t="s">
        <v>1022</v>
      </c>
    </row>
    <row r="52" spans="1:15" x14ac:dyDescent="0.3">
      <c r="G52" s="126"/>
      <c r="H52" s="126" t="s">
        <v>1075</v>
      </c>
      <c r="I52" s="126" t="s">
        <v>1019</v>
      </c>
      <c r="J52" s="126"/>
      <c r="K52" s="126" t="s">
        <v>1085</v>
      </c>
      <c r="L52" s="126" t="s">
        <v>1014</v>
      </c>
      <c r="M52" s="126"/>
      <c r="N52" s="126"/>
      <c r="O52" s="126"/>
    </row>
    <row r="53" spans="1:15" x14ac:dyDescent="0.3">
      <c r="G53" s="126"/>
      <c r="H53" s="126" t="s">
        <v>1075</v>
      </c>
      <c r="I53" s="126" t="s">
        <v>1022</v>
      </c>
      <c r="J53" s="126"/>
      <c r="K53" s="126" t="s">
        <v>1085</v>
      </c>
      <c r="L53" s="126" t="s">
        <v>1019</v>
      </c>
      <c r="M53" s="126"/>
      <c r="N53" s="126"/>
      <c r="O53" s="126"/>
    </row>
    <row r="54" spans="1:15" x14ac:dyDescent="0.3">
      <c r="G54" s="126"/>
      <c r="H54" s="126" t="s">
        <v>1086</v>
      </c>
      <c r="I54" s="126" t="s">
        <v>1014</v>
      </c>
      <c r="J54" s="126"/>
      <c r="K54" s="126" t="s">
        <v>1085</v>
      </c>
      <c r="L54" s="126" t="s">
        <v>1022</v>
      </c>
      <c r="M54" s="126"/>
      <c r="N54" s="126"/>
      <c r="O54" s="126"/>
    </row>
    <row r="55" spans="1:15" x14ac:dyDescent="0.3">
      <c r="G55" s="126"/>
      <c r="H55" s="126" t="s">
        <v>1086</v>
      </c>
      <c r="I55" s="126" t="s">
        <v>1019</v>
      </c>
      <c r="J55" s="126"/>
      <c r="K55" s="126" t="s">
        <v>1016</v>
      </c>
      <c r="L55" s="126" t="s">
        <v>1014</v>
      </c>
      <c r="M55" s="126"/>
      <c r="N55" s="126"/>
      <c r="O55" s="126"/>
    </row>
    <row r="56" spans="1:15" x14ac:dyDescent="0.3">
      <c r="G56" s="126"/>
      <c r="H56" s="126" t="s">
        <v>1086</v>
      </c>
      <c r="I56" s="126" t="s">
        <v>1022</v>
      </c>
      <c r="J56" s="126"/>
      <c r="K56" s="126" t="s">
        <v>1016</v>
      </c>
      <c r="L56" s="126" t="s">
        <v>1019</v>
      </c>
      <c r="M56" s="126"/>
      <c r="N56" s="126"/>
      <c r="O56" s="126"/>
    </row>
    <row r="57" spans="1:15" x14ac:dyDescent="0.3">
      <c r="G57" s="126"/>
      <c r="H57" s="126" t="s">
        <v>1084</v>
      </c>
      <c r="I57" s="126" t="s">
        <v>1014</v>
      </c>
      <c r="J57" s="126"/>
      <c r="K57" s="126" t="s">
        <v>1016</v>
      </c>
      <c r="L57" s="126" t="s">
        <v>1022</v>
      </c>
      <c r="M57" s="126"/>
      <c r="N57" s="126"/>
      <c r="O57" s="126"/>
    </row>
    <row r="58" spans="1:15" x14ac:dyDescent="0.3">
      <c r="G58" s="126"/>
      <c r="H58" s="126" t="s">
        <v>1084</v>
      </c>
      <c r="I58" s="126" t="s">
        <v>1019</v>
      </c>
      <c r="J58" s="126" t="s">
        <v>984</v>
      </c>
      <c r="K58" s="34" t="s">
        <v>697</v>
      </c>
      <c r="L58" s="34" t="s">
        <v>698</v>
      </c>
      <c r="M58" s="126"/>
      <c r="N58" s="126"/>
      <c r="O58" s="126"/>
    </row>
    <row r="59" spans="1:15" x14ac:dyDescent="0.3">
      <c r="G59" s="126"/>
      <c r="H59" s="126" t="s">
        <v>1084</v>
      </c>
      <c r="I59" s="126" t="s">
        <v>1022</v>
      </c>
      <c r="J59" s="126"/>
      <c r="K59" s="126" t="s">
        <v>1014</v>
      </c>
      <c r="L59" s="126" t="s">
        <v>1080</v>
      </c>
      <c r="M59" s="126"/>
      <c r="N59" s="126"/>
      <c r="O59" s="126"/>
    </row>
    <row r="60" spans="1:15" x14ac:dyDescent="0.3">
      <c r="G60" s="126"/>
      <c r="H60" s="126" t="s">
        <v>1087</v>
      </c>
      <c r="I60" s="126" t="s">
        <v>1014</v>
      </c>
      <c r="J60" s="126"/>
      <c r="K60" s="126" t="s">
        <v>1019</v>
      </c>
      <c r="L60" s="126" t="s">
        <v>1080</v>
      </c>
      <c r="M60" s="126"/>
      <c r="N60" s="126"/>
      <c r="O60" s="126"/>
    </row>
    <row r="61" spans="1:15" x14ac:dyDescent="0.3">
      <c r="G61" s="126"/>
      <c r="H61" s="126" t="s">
        <v>1087</v>
      </c>
      <c r="I61" s="126" t="s">
        <v>1019</v>
      </c>
      <c r="J61" s="126"/>
      <c r="K61" s="126" t="s">
        <v>1022</v>
      </c>
      <c r="L61" s="126" t="s">
        <v>1080</v>
      </c>
      <c r="M61" s="126"/>
      <c r="N61" s="126"/>
      <c r="O61" s="126"/>
    </row>
    <row r="62" spans="1:15" x14ac:dyDescent="0.3">
      <c r="G62" s="126"/>
      <c r="H62" s="126" t="s">
        <v>1087</v>
      </c>
      <c r="I62" s="126" t="s">
        <v>1022</v>
      </c>
      <c r="J62" s="126"/>
      <c r="K62" s="126" t="s">
        <v>1014</v>
      </c>
      <c r="L62" s="126" t="s">
        <v>1083</v>
      </c>
      <c r="M62" s="126"/>
      <c r="N62" s="126"/>
      <c r="O62" s="126"/>
    </row>
    <row r="63" spans="1:15" x14ac:dyDescent="0.3">
      <c r="G63" s="126"/>
      <c r="H63" s="126" t="s">
        <v>1088</v>
      </c>
      <c r="I63" s="126" t="s">
        <v>1014</v>
      </c>
      <c r="J63" s="126"/>
      <c r="K63" s="126" t="s">
        <v>1019</v>
      </c>
      <c r="L63" s="126" t="s">
        <v>1083</v>
      </c>
      <c r="M63" s="126"/>
      <c r="N63" s="126"/>
      <c r="O63" s="126"/>
    </row>
    <row r="64" spans="1:15" x14ac:dyDescent="0.3">
      <c r="G64" s="126"/>
      <c r="H64" s="126" t="s">
        <v>1088</v>
      </c>
      <c r="I64" s="126" t="s">
        <v>1019</v>
      </c>
      <c r="J64" s="126"/>
      <c r="K64" s="126" t="s">
        <v>1022</v>
      </c>
      <c r="L64" s="126" t="s">
        <v>1083</v>
      </c>
      <c r="M64" s="126"/>
      <c r="N64" s="126"/>
      <c r="O64" s="126"/>
    </row>
    <row r="65" spans="7:15" x14ac:dyDescent="0.3">
      <c r="G65" s="126"/>
      <c r="H65" s="126" t="s">
        <v>1088</v>
      </c>
      <c r="I65" s="126" t="s">
        <v>1022</v>
      </c>
      <c r="J65" s="126"/>
      <c r="K65" s="126" t="s">
        <v>1014</v>
      </c>
      <c r="L65" s="126" t="s">
        <v>1085</v>
      </c>
      <c r="M65" s="126"/>
      <c r="N65" s="126"/>
      <c r="O65" s="126"/>
    </row>
    <row r="66" spans="7:15" x14ac:dyDescent="0.3">
      <c r="G66" s="126"/>
      <c r="H66" s="126" t="s">
        <v>1089</v>
      </c>
      <c r="I66" s="126" t="s">
        <v>1014</v>
      </c>
      <c r="J66" s="126"/>
      <c r="K66" s="126" t="s">
        <v>1019</v>
      </c>
      <c r="L66" s="126" t="s">
        <v>1085</v>
      </c>
      <c r="M66" s="126"/>
      <c r="N66" s="126"/>
      <c r="O66" s="126"/>
    </row>
    <row r="67" spans="7:15" x14ac:dyDescent="0.3">
      <c r="G67" s="126"/>
      <c r="H67" s="126" t="s">
        <v>1089</v>
      </c>
      <c r="I67" s="126" t="s">
        <v>1019</v>
      </c>
      <c r="J67" s="126"/>
      <c r="K67" s="126" t="s">
        <v>1022</v>
      </c>
      <c r="L67" s="126" t="s">
        <v>1085</v>
      </c>
      <c r="M67" s="126"/>
      <c r="N67" s="126"/>
      <c r="O67" s="126"/>
    </row>
    <row r="68" spans="7:15" x14ac:dyDescent="0.3">
      <c r="G68" s="126"/>
      <c r="H68" s="126" t="s">
        <v>1089</v>
      </c>
      <c r="I68" s="126" t="s">
        <v>1022</v>
      </c>
      <c r="J68" s="126"/>
      <c r="K68" s="126" t="s">
        <v>1014</v>
      </c>
      <c r="L68" s="126" t="s">
        <v>1015</v>
      </c>
      <c r="M68" s="126"/>
      <c r="N68" s="126"/>
      <c r="O68" s="126"/>
    </row>
    <row r="69" spans="7:15" x14ac:dyDescent="0.3">
      <c r="G69" s="126"/>
      <c r="H69" s="126" t="s">
        <v>1090</v>
      </c>
      <c r="I69" s="126" t="s">
        <v>1014</v>
      </c>
      <c r="J69" s="126"/>
      <c r="K69" s="126" t="s">
        <v>1019</v>
      </c>
      <c r="L69" s="126" t="s">
        <v>1015</v>
      </c>
      <c r="M69" s="126"/>
      <c r="N69" s="126"/>
      <c r="O69" s="126"/>
    </row>
    <row r="70" spans="7:15" x14ac:dyDescent="0.3">
      <c r="G70" s="126"/>
      <c r="H70" s="126" t="s">
        <v>1090</v>
      </c>
      <c r="I70" s="126" t="s">
        <v>1019</v>
      </c>
      <c r="J70" s="126"/>
      <c r="K70" s="126" t="s">
        <v>1022</v>
      </c>
      <c r="L70" s="126" t="s">
        <v>1015</v>
      </c>
      <c r="M70" s="126"/>
      <c r="N70" s="126"/>
      <c r="O70" s="126"/>
    </row>
    <row r="71" spans="7:15" x14ac:dyDescent="0.3">
      <c r="G71" s="126"/>
      <c r="H71" s="126" t="s">
        <v>1090</v>
      </c>
      <c r="I71" s="126" t="s">
        <v>1022</v>
      </c>
      <c r="J71" s="126" t="s">
        <v>988</v>
      </c>
      <c r="K71" s="34" t="s">
        <v>697</v>
      </c>
      <c r="L71" s="34" t="s">
        <v>698</v>
      </c>
      <c r="M71" s="126"/>
      <c r="N71" s="126"/>
      <c r="O71" s="126"/>
    </row>
    <row r="72" spans="7:15" x14ac:dyDescent="0.3">
      <c r="G72" s="126" t="s">
        <v>972</v>
      </c>
      <c r="H72" s="34" t="s">
        <v>697</v>
      </c>
      <c r="I72" s="34" t="s">
        <v>698</v>
      </c>
      <c r="J72" s="126"/>
      <c r="K72" s="126" t="s">
        <v>1014</v>
      </c>
      <c r="L72" s="126" t="s">
        <v>1091</v>
      </c>
      <c r="M72" s="126"/>
      <c r="N72" s="126"/>
      <c r="O72" s="126"/>
    </row>
    <row r="73" spans="7:15" x14ac:dyDescent="0.3">
      <c r="G73" s="126"/>
      <c r="H73" s="126" t="s">
        <v>1092</v>
      </c>
      <c r="I73" s="126" t="s">
        <v>1014</v>
      </c>
      <c r="J73" s="126"/>
      <c r="K73" s="126" t="s">
        <v>1019</v>
      </c>
      <c r="L73" s="126" t="s">
        <v>1091</v>
      </c>
      <c r="M73" s="126"/>
      <c r="N73" s="126"/>
      <c r="O73" s="126"/>
    </row>
    <row r="74" spans="7:15" x14ac:dyDescent="0.3">
      <c r="G74" s="126"/>
      <c r="H74" s="126" t="s">
        <v>1092</v>
      </c>
      <c r="I74" s="126" t="s">
        <v>1019</v>
      </c>
      <c r="J74" s="126"/>
      <c r="K74" s="126" t="s">
        <v>1022</v>
      </c>
      <c r="L74" s="126" t="s">
        <v>1091</v>
      </c>
      <c r="M74" s="126"/>
      <c r="N74" s="126"/>
      <c r="O74" s="126"/>
    </row>
    <row r="75" spans="7:15" x14ac:dyDescent="0.3">
      <c r="G75" s="126"/>
      <c r="H75" s="126" t="s">
        <v>1093</v>
      </c>
      <c r="I75" s="126" t="s">
        <v>1014</v>
      </c>
      <c r="J75" s="126" t="s">
        <v>992</v>
      </c>
      <c r="K75" s="34" t="s">
        <v>697</v>
      </c>
      <c r="L75" s="34" t="s">
        <v>698</v>
      </c>
      <c r="M75" s="126"/>
      <c r="N75" s="126"/>
      <c r="O75" s="126"/>
    </row>
    <row r="76" spans="7:15" x14ac:dyDescent="0.3">
      <c r="G76" s="126"/>
      <c r="H76" s="126" t="s">
        <v>1093</v>
      </c>
      <c r="I76" s="126" t="s">
        <v>1019</v>
      </c>
      <c r="J76" s="126"/>
      <c r="K76" s="126" t="s">
        <v>1091</v>
      </c>
      <c r="L76" s="126" t="s">
        <v>1014</v>
      </c>
      <c r="M76" s="126"/>
      <c r="N76" s="126"/>
      <c r="O76" s="126"/>
    </row>
    <row r="77" spans="7:15" x14ac:dyDescent="0.3">
      <c r="G77" s="126"/>
      <c r="H77" s="126" t="s">
        <v>1094</v>
      </c>
      <c r="I77" s="126" t="s">
        <v>1014</v>
      </c>
      <c r="J77" s="126"/>
      <c r="K77" s="126" t="s">
        <v>1091</v>
      </c>
      <c r="L77" s="126" t="s">
        <v>1019</v>
      </c>
      <c r="M77" s="126"/>
      <c r="N77" s="126"/>
      <c r="O77" s="126"/>
    </row>
    <row r="78" spans="7:15" x14ac:dyDescent="0.3">
      <c r="G78" s="126"/>
      <c r="H78" s="126" t="s">
        <v>1094</v>
      </c>
      <c r="I78" s="126" t="s">
        <v>1019</v>
      </c>
      <c r="J78" s="126"/>
      <c r="K78" s="126" t="s">
        <v>1091</v>
      </c>
      <c r="L78" s="126" t="s">
        <v>1022</v>
      </c>
      <c r="M78" s="126"/>
      <c r="N78" s="126"/>
      <c r="O78" s="126"/>
    </row>
    <row r="79" spans="7:15" x14ac:dyDescent="0.3">
      <c r="G79" s="126"/>
      <c r="H79" s="126" t="s">
        <v>1066</v>
      </c>
      <c r="I79" s="126" t="s">
        <v>1014</v>
      </c>
      <c r="J79" s="126"/>
      <c r="K79" s="126" t="s">
        <v>1095</v>
      </c>
      <c r="L79" s="126" t="s">
        <v>1014</v>
      </c>
      <c r="M79" s="126"/>
      <c r="N79" s="126"/>
      <c r="O79" s="126"/>
    </row>
    <row r="80" spans="7:15" x14ac:dyDescent="0.3">
      <c r="G80" s="126"/>
      <c r="H80" s="126" t="s">
        <v>1066</v>
      </c>
      <c r="I80" s="126" t="s">
        <v>1019</v>
      </c>
      <c r="J80" s="126"/>
      <c r="K80" s="126" t="s">
        <v>1095</v>
      </c>
      <c r="L80" s="126" t="s">
        <v>1019</v>
      </c>
      <c r="M80" s="126"/>
      <c r="N80" s="126"/>
      <c r="O80" s="126"/>
    </row>
    <row r="81" spans="7:15" x14ac:dyDescent="0.3">
      <c r="G81" s="126"/>
      <c r="H81" s="126" t="s">
        <v>1015</v>
      </c>
      <c r="I81" s="126" t="s">
        <v>1014</v>
      </c>
      <c r="J81" s="126"/>
      <c r="K81" s="126" t="s">
        <v>1095</v>
      </c>
      <c r="L81" s="126" t="s">
        <v>1022</v>
      </c>
      <c r="M81" s="126"/>
      <c r="N81" s="126"/>
      <c r="O81" s="126"/>
    </row>
    <row r="82" spans="7:15" x14ac:dyDescent="0.3">
      <c r="G82" s="126"/>
      <c r="H82" s="126" t="s">
        <v>1015</v>
      </c>
      <c r="I82" s="126" t="s">
        <v>1019</v>
      </c>
      <c r="J82" s="126"/>
      <c r="K82" s="126"/>
      <c r="L82" s="126"/>
      <c r="M82" s="126"/>
      <c r="N82" s="126"/>
      <c r="O82" s="126"/>
    </row>
    <row r="83" spans="7:15" x14ac:dyDescent="0.3">
      <c r="G83" s="126"/>
      <c r="H83" s="126" t="s">
        <v>1016</v>
      </c>
      <c r="I83" s="126" t="s">
        <v>1014</v>
      </c>
      <c r="J83" s="126"/>
      <c r="K83" s="126"/>
      <c r="L83" s="126"/>
      <c r="M83" s="126"/>
      <c r="N83" s="126"/>
      <c r="O83" s="126"/>
    </row>
    <row r="84" spans="7:15" x14ac:dyDescent="0.3">
      <c r="G84" s="126"/>
      <c r="H84" s="126" t="s">
        <v>1016</v>
      </c>
      <c r="I84" s="126" t="s">
        <v>1019</v>
      </c>
      <c r="J84" s="126"/>
      <c r="K84" s="126"/>
      <c r="L84" s="126"/>
      <c r="M84" s="126"/>
      <c r="N84" s="126"/>
      <c r="O84" s="126"/>
    </row>
  </sheetData>
  <mergeCells count="5">
    <mergeCell ref="B4:E4"/>
    <mergeCell ref="B5:E5"/>
    <mergeCell ref="D7:E7"/>
    <mergeCell ref="B42:C42"/>
    <mergeCell ref="B43:C43"/>
  </mergeCells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A7D304C9BA2429C7B424B3D47A57D" ma:contentTypeVersion="4" ma:contentTypeDescription="Create a new document." ma:contentTypeScope="" ma:versionID="34ac08e1db1184e7cf0bff6a68e11c01">
  <xsd:schema xmlns:xsd="http://www.w3.org/2001/XMLSchema" xmlns:xs="http://www.w3.org/2001/XMLSchema" xmlns:p="http://schemas.microsoft.com/office/2006/metadata/properties" xmlns:ns2="169f7cc1-b0a2-4692-b6b1-350d9740846d" targetNamespace="http://schemas.microsoft.com/office/2006/metadata/properties" ma:root="true" ma:fieldsID="b57741027f974e3d744c7f2359a81c1c" ns2:_="">
    <xsd:import namespace="169f7cc1-b0a2-4692-b6b1-350d9740846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7cc1-b0a2-4692-b6b1-350d9740846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69f7cc1-b0a2-4692-b6b1-350d9740846d" xsi:nil="true"/>
  </documentManagement>
</p:properties>
</file>

<file path=customXml/itemProps1.xml><?xml version="1.0" encoding="utf-8"?>
<ds:datastoreItem xmlns:ds="http://schemas.openxmlformats.org/officeDocument/2006/customXml" ds:itemID="{8F8C95CA-0EE6-4D62-8293-809A0D34736B}"/>
</file>

<file path=customXml/itemProps2.xml><?xml version="1.0" encoding="utf-8"?>
<ds:datastoreItem xmlns:ds="http://schemas.openxmlformats.org/officeDocument/2006/customXml" ds:itemID="{D5045A64-BFE8-488C-AB3E-91388363CA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374B80-1BCB-4A3D-880D-5881004B985B}">
  <ds:schemaRefs>
    <ds:schemaRef ds:uri="http://schemas.microsoft.com/office/2006/metadata/properties"/>
    <ds:schemaRef ds:uri="http://schemas.microsoft.com/office/infopath/2007/PartnerControls"/>
    <ds:schemaRef ds:uri="12fd8104-3bf9-4fa8-963c-ed562691ce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HTTK1</vt:lpstr>
      <vt:lpstr>DMTK</vt:lpstr>
      <vt:lpstr>CT</vt:lpstr>
      <vt:lpstr>CDKT</vt:lpstr>
      <vt:lpstr>KQKD</vt:lpstr>
      <vt:lpstr>LCTT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nguyenanhthuqn76@gmail.com</cp:lastModifiedBy>
  <cp:revision/>
  <dcterms:created xsi:type="dcterms:W3CDTF">2024-07-04T01:10:53Z</dcterms:created>
  <dcterms:modified xsi:type="dcterms:W3CDTF">2025-07-13T11:06:32Z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0x010100DC1A7D304C9BA2429C7B424B3D47A57D</vt:lpwstr>
  </property>
</Properties>
</file>