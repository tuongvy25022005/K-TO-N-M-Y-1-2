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 NGUYEN\Downloads\"/>
    </mc:Choice>
  </mc:AlternateContent>
  <xr:revisionPtr revIDLastSave="0" documentId="13_ncr:1_{5975B7FB-3A6C-43A8-8640-54B3094BEAD9}" xr6:coauthVersionLast="47" xr6:coauthVersionMax="47" xr10:uidLastSave="{00000000-0000-0000-0000-000000000000}"/>
  <bookViews>
    <workbookView xWindow="-108" yWindow="-108" windowWidth="23256" windowHeight="12456" tabRatio="625" firstSheet="17" activeTab="22" xr2:uid="{5241DD54-9258-4BEC-9D1A-A1DBA4A227FD}"/>
  </bookViews>
  <sheets>
    <sheet name="DMTK" sheetId="2" r:id="rId1"/>
    <sheet name="CT" sheetId="3" r:id="rId2"/>
    <sheet name="HTTK1" sheetId="1" r:id="rId3"/>
    <sheet name="NKTT" sheetId="4" r:id="rId4"/>
    <sheet name="NKBH" sheetId="5" r:id="rId5"/>
    <sheet name="NKCT" sheetId="6" r:id="rId6"/>
    <sheet name="NKMH" sheetId="8" r:id="rId7"/>
    <sheet name="SNKC" sheetId="7" r:id="rId8"/>
    <sheet name="SNKC (DÒNG 7)" sheetId="9" r:id="rId9"/>
    <sheet name="SC" sheetId="10" r:id="rId10"/>
    <sheet name="SC NGÀY" sheetId="11" r:id="rId11"/>
    <sheet name="SCTTK" sheetId="16" r:id="rId12"/>
    <sheet name="SQTM " sheetId="17" r:id="rId13"/>
    <sheet name="SQTM &amp; TGNH NGÀY" sheetId="18" r:id="rId14"/>
    <sheet name="SCTVTHH" sheetId="20" r:id="rId15"/>
    <sheet name="SCTVTHH NGÀY" sheetId="21" r:id="rId16"/>
    <sheet name="BTHCTTK (TH131)" sheetId="14" r:id="rId17"/>
    <sheet name="BTHCTTK (TH131) NGÀY" sheetId="15" r:id="rId18"/>
    <sheet name="BTHCTVTHH" sheetId="19" r:id="rId19"/>
    <sheet name="BTHCTVTHH NGÀY" sheetId="26" r:id="rId20"/>
    <sheet name="CĐPS_CT" sheetId="23" r:id="rId21"/>
    <sheet name="CĐPS_TH" sheetId="24" r:id="rId22"/>
    <sheet name="CĐPS_TH&amp;CT" sheetId="25" r:id="rId23"/>
  </sheets>
  <externalReferences>
    <externalReference r:id="rId24"/>
    <externalReference r:id="rId25"/>
    <externalReference r:id="rId26"/>
  </externalReferences>
  <definedNames>
    <definedName name="__NSO2" hidden="1">{"'Sheet1'!$L$16"}</definedName>
    <definedName name="_Fill" hidden="1">#REF!</definedName>
    <definedName name="_xlnm._FilterDatabase" localSheetId="16" hidden="1">'BTHCTTK (TH131)'!$I$6:$I$267</definedName>
    <definedName name="_xlnm._FilterDatabase" localSheetId="17" hidden="1">'BTHCTTK (TH131) NGÀY'!$M$4:$M$266</definedName>
    <definedName name="_xlnm._FilterDatabase" localSheetId="18" hidden="1">BTHCTVTHH!$M$4:$M$266</definedName>
    <definedName name="_xlnm._FilterDatabase" localSheetId="19" hidden="1">'BTHCTVTHH NGÀY'!$S$7:$S$267</definedName>
    <definedName name="_xlnm._FilterDatabase" localSheetId="1" hidden="1">CT!$A$4:$Q$143</definedName>
    <definedName name="_xlnm._FilterDatabase" localSheetId="0" hidden="1">DMTK!$A$4:$R$264</definedName>
    <definedName name="_xlnm._FilterDatabase" localSheetId="4" hidden="1">NKBH!$C$6:$C$147</definedName>
    <definedName name="_xlnm._FilterDatabase" localSheetId="5" hidden="1">NKCT!$C$8:$C$148</definedName>
    <definedName name="_xlnm._FilterDatabase" localSheetId="6" hidden="1">NKMH!$C$7:$C$148</definedName>
    <definedName name="_xlnm._FilterDatabase" localSheetId="3" hidden="1">NKTT!$C$8:$C$148</definedName>
    <definedName name="_xlnm._FilterDatabase" localSheetId="9" hidden="1">SC!$D$7:$D$148</definedName>
    <definedName name="_xlnm._FilterDatabase" localSheetId="10" hidden="1">'SC NGÀY'!$G$9:$G$150</definedName>
    <definedName name="_xlnm._FilterDatabase" localSheetId="11" hidden="1">SCTTK!$C$7:$C$148</definedName>
    <definedName name="_xlnm._FilterDatabase" localSheetId="14" hidden="1">SCTVTHH!$C$7:$C$148</definedName>
    <definedName name="_xlnm._FilterDatabase" localSheetId="15" hidden="1">'SCTVTHH NGÀY'!$L$9:$L$150</definedName>
    <definedName name="_xlnm._FilterDatabase" localSheetId="7" hidden="1">SNKC!$G$5:$G$284</definedName>
    <definedName name="_xlnm._FilterDatabase" localSheetId="8" hidden="1">'SNKC (DÒNG 7)'!$G$6:$G$285</definedName>
    <definedName name="_xlnm._FilterDatabase" localSheetId="12" hidden="1">'SQTM '!$D$7:$D$148</definedName>
    <definedName name="_xlnm._FilterDatabase" localSheetId="13" hidden="1">'SQTM &amp; TGNH NGÀY'!$I$9:$I$150</definedName>
    <definedName name="_Key1" hidden="1">'[1]#REF'!#REF!</definedName>
    <definedName name="_Key2" hidden="1">'[1]#REF'!#REF!</definedName>
    <definedName name="_NSO2" hidden="1">{"'Sheet1'!$L$16"}</definedName>
    <definedName name="_Order1" hidden="1">0</definedName>
    <definedName name="_Order2" hidden="1">255</definedName>
    <definedName name="_Sort" hidden="1">[1]UNIT!#REF!</definedName>
    <definedName name="DMTK" hidden="1">[2]DMTK!$B$5:$Q$261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wrn.chi._.tiÆt." hidden="1">{#N/A,#N/A,FALSE,"Chi tiÆt"}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26" l="1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54" i="26"/>
  <c r="S55" i="26"/>
  <c r="S56" i="26"/>
  <c r="S57" i="26"/>
  <c r="S58" i="26"/>
  <c r="S59" i="26"/>
  <c r="S60" i="26"/>
  <c r="S61" i="26"/>
  <c r="S62" i="26"/>
  <c r="S63" i="26"/>
  <c r="S64" i="26"/>
  <c r="S65" i="26"/>
  <c r="S66" i="26"/>
  <c r="S67" i="26"/>
  <c r="S68" i="26"/>
  <c r="S69" i="26"/>
  <c r="S70" i="26"/>
  <c r="S71" i="26"/>
  <c r="S72" i="26"/>
  <c r="S73" i="26"/>
  <c r="S74" i="26"/>
  <c r="S75" i="26"/>
  <c r="S76" i="26"/>
  <c r="S77" i="26"/>
  <c r="S78" i="26"/>
  <c r="S79" i="26"/>
  <c r="S80" i="26"/>
  <c r="S81" i="26"/>
  <c r="S82" i="26"/>
  <c r="S83" i="26"/>
  <c r="S84" i="26"/>
  <c r="S85" i="26"/>
  <c r="S86" i="26"/>
  <c r="S87" i="26"/>
  <c r="S88" i="26"/>
  <c r="S89" i="26"/>
  <c r="S90" i="26"/>
  <c r="S91" i="26"/>
  <c r="S92" i="26"/>
  <c r="S93" i="26"/>
  <c r="S94" i="26"/>
  <c r="S95" i="26"/>
  <c r="S96" i="26"/>
  <c r="S97" i="26"/>
  <c r="S98" i="26"/>
  <c r="S99" i="26"/>
  <c r="S100" i="26"/>
  <c r="S101" i="26"/>
  <c r="S102" i="26"/>
  <c r="S103" i="26"/>
  <c r="S104" i="26"/>
  <c r="S105" i="26"/>
  <c r="S106" i="26"/>
  <c r="S107" i="26"/>
  <c r="S108" i="26"/>
  <c r="S109" i="26"/>
  <c r="S110" i="26"/>
  <c r="S111" i="26"/>
  <c r="S112" i="26"/>
  <c r="S113" i="26"/>
  <c r="S114" i="26"/>
  <c r="S115" i="26"/>
  <c r="S116" i="26"/>
  <c r="S117" i="26"/>
  <c r="S118" i="26"/>
  <c r="S119" i="26"/>
  <c r="S120" i="26"/>
  <c r="S121" i="26"/>
  <c r="S122" i="26"/>
  <c r="S123" i="26"/>
  <c r="S124" i="26"/>
  <c r="S125" i="26"/>
  <c r="S126" i="26"/>
  <c r="S127" i="26"/>
  <c r="S128" i="26"/>
  <c r="S129" i="26"/>
  <c r="S130" i="26"/>
  <c r="S131" i="26"/>
  <c r="S132" i="26"/>
  <c r="S133" i="26"/>
  <c r="S134" i="26"/>
  <c r="S135" i="26"/>
  <c r="S136" i="26"/>
  <c r="S137" i="26"/>
  <c r="S138" i="26"/>
  <c r="S139" i="26"/>
  <c r="S140" i="26"/>
  <c r="S141" i="26"/>
  <c r="S142" i="26"/>
  <c r="S143" i="26"/>
  <c r="S144" i="26"/>
  <c r="S145" i="26"/>
  <c r="S146" i="26"/>
  <c r="S147" i="26"/>
  <c r="S148" i="26"/>
  <c r="S149" i="26"/>
  <c r="S150" i="26"/>
  <c r="S151" i="26"/>
  <c r="S152" i="26"/>
  <c r="S153" i="26"/>
  <c r="S154" i="26"/>
  <c r="S155" i="26"/>
  <c r="S156" i="26"/>
  <c r="S157" i="26"/>
  <c r="S158" i="26"/>
  <c r="S159" i="26"/>
  <c r="S160" i="26"/>
  <c r="S161" i="26"/>
  <c r="S162" i="26"/>
  <c r="S163" i="26"/>
  <c r="S164" i="26"/>
  <c r="S165" i="26"/>
  <c r="S166" i="26"/>
  <c r="S167" i="26"/>
  <c r="S168" i="26"/>
  <c r="S169" i="26"/>
  <c r="S170" i="26"/>
  <c r="S171" i="26"/>
  <c r="S172" i="26"/>
  <c r="S173" i="26"/>
  <c r="S174" i="26"/>
  <c r="S175" i="26"/>
  <c r="S176" i="26"/>
  <c r="S177" i="26"/>
  <c r="S178" i="26"/>
  <c r="S179" i="26"/>
  <c r="S180" i="26"/>
  <c r="S181" i="26"/>
  <c r="S182" i="26"/>
  <c r="S183" i="26"/>
  <c r="S184" i="26"/>
  <c r="S185" i="26"/>
  <c r="S186" i="26"/>
  <c r="S187" i="26"/>
  <c r="S188" i="26"/>
  <c r="S189" i="26"/>
  <c r="S190" i="26"/>
  <c r="S191" i="26"/>
  <c r="S192" i="26"/>
  <c r="S193" i="26"/>
  <c r="S194" i="26"/>
  <c r="S195" i="26"/>
  <c r="S196" i="26"/>
  <c r="S197" i="26"/>
  <c r="S198" i="26"/>
  <c r="S199" i="26"/>
  <c r="S200" i="26"/>
  <c r="S201" i="26"/>
  <c r="S202" i="26"/>
  <c r="S203" i="26"/>
  <c r="S204" i="26"/>
  <c r="S205" i="26"/>
  <c r="S206" i="26"/>
  <c r="S207" i="26"/>
  <c r="S208" i="26"/>
  <c r="S209" i="26"/>
  <c r="S210" i="26"/>
  <c r="S211" i="26"/>
  <c r="S212" i="26"/>
  <c r="S213" i="26"/>
  <c r="S214" i="26"/>
  <c r="S215" i="26"/>
  <c r="S216" i="26"/>
  <c r="S217" i="26"/>
  <c r="S218" i="26"/>
  <c r="S219" i="26"/>
  <c r="S220" i="26"/>
  <c r="S221" i="26"/>
  <c r="S222" i="26"/>
  <c r="S223" i="26"/>
  <c r="S224" i="26"/>
  <c r="S225" i="26"/>
  <c r="S226" i="26"/>
  <c r="S227" i="26"/>
  <c r="S228" i="26"/>
  <c r="S229" i="26"/>
  <c r="S230" i="26"/>
  <c r="S231" i="26"/>
  <c r="S232" i="26"/>
  <c r="S233" i="26"/>
  <c r="S234" i="26"/>
  <c r="S235" i="26"/>
  <c r="S236" i="26"/>
  <c r="S237" i="26"/>
  <c r="S238" i="26"/>
  <c r="S239" i="26"/>
  <c r="S240" i="26"/>
  <c r="S241" i="26"/>
  <c r="S242" i="26"/>
  <c r="S243" i="26"/>
  <c r="S244" i="26"/>
  <c r="S245" i="26"/>
  <c r="S246" i="26"/>
  <c r="S247" i="26"/>
  <c r="S248" i="26"/>
  <c r="S249" i="26"/>
  <c r="S250" i="26"/>
  <c r="S251" i="26"/>
  <c r="S252" i="26"/>
  <c r="S253" i="26"/>
  <c r="S254" i="26"/>
  <c r="S255" i="26"/>
  <c r="S256" i="26"/>
  <c r="S257" i="26"/>
  <c r="S258" i="26"/>
  <c r="S259" i="26"/>
  <c r="S260" i="26"/>
  <c r="S261" i="26"/>
  <c r="S262" i="26"/>
  <c r="S263" i="26"/>
  <c r="S264" i="26"/>
  <c r="S265" i="26"/>
  <c r="S266" i="26"/>
  <c r="S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54" i="26"/>
  <c r="O155" i="26"/>
  <c r="O156" i="26"/>
  <c r="O157" i="26"/>
  <c r="O158" i="26"/>
  <c r="O159" i="26"/>
  <c r="O160" i="26"/>
  <c r="O161" i="26"/>
  <c r="O162" i="26"/>
  <c r="O163" i="26"/>
  <c r="O164" i="26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0" i="26"/>
  <c r="O241" i="26"/>
  <c r="O242" i="26"/>
  <c r="O243" i="26"/>
  <c r="O244" i="26"/>
  <c r="O245" i="26"/>
  <c r="O246" i="26"/>
  <c r="O247" i="26"/>
  <c r="O248" i="26"/>
  <c r="O249" i="26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N61" i="26"/>
  <c r="N62" i="26"/>
  <c r="N63" i="26"/>
  <c r="N64" i="26"/>
  <c r="N65" i="26"/>
  <c r="N66" i="26"/>
  <c r="N67" i="26"/>
  <c r="N68" i="26"/>
  <c r="N69" i="26"/>
  <c r="N70" i="26"/>
  <c r="N71" i="26"/>
  <c r="N72" i="26"/>
  <c r="N73" i="26"/>
  <c r="N74" i="26"/>
  <c r="N75" i="26"/>
  <c r="N76" i="26"/>
  <c r="N77" i="26"/>
  <c r="N78" i="26"/>
  <c r="N79" i="26"/>
  <c r="N80" i="26"/>
  <c r="N81" i="26"/>
  <c r="N82" i="26"/>
  <c r="N83" i="26"/>
  <c r="N84" i="26"/>
  <c r="N85" i="26"/>
  <c r="N86" i="26"/>
  <c r="N87" i="26"/>
  <c r="N88" i="26"/>
  <c r="N89" i="26"/>
  <c r="N90" i="26"/>
  <c r="N91" i="26"/>
  <c r="N92" i="26"/>
  <c r="N93" i="26"/>
  <c r="N94" i="26"/>
  <c r="N95" i="26"/>
  <c r="N96" i="26"/>
  <c r="N97" i="26"/>
  <c r="N98" i="26"/>
  <c r="N99" i="26"/>
  <c r="N100" i="26"/>
  <c r="N101" i="26"/>
  <c r="N102" i="26"/>
  <c r="N103" i="26"/>
  <c r="N104" i="26"/>
  <c r="N105" i="26"/>
  <c r="N106" i="26"/>
  <c r="N107" i="26"/>
  <c r="N108" i="26"/>
  <c r="N109" i="26"/>
  <c r="N110" i="26"/>
  <c r="N111" i="26"/>
  <c r="N112" i="26"/>
  <c r="N113" i="26"/>
  <c r="N114" i="26"/>
  <c r="N115" i="26"/>
  <c r="N116" i="26"/>
  <c r="N117" i="26"/>
  <c r="N118" i="26"/>
  <c r="N119" i="26"/>
  <c r="N120" i="26"/>
  <c r="N121" i="26"/>
  <c r="N122" i="26"/>
  <c r="N123" i="26"/>
  <c r="N124" i="26"/>
  <c r="N125" i="26"/>
  <c r="N126" i="26"/>
  <c r="N127" i="26"/>
  <c r="N128" i="26"/>
  <c r="N129" i="26"/>
  <c r="N130" i="26"/>
  <c r="N131" i="26"/>
  <c r="N132" i="26"/>
  <c r="N133" i="26"/>
  <c r="N134" i="26"/>
  <c r="N135" i="26"/>
  <c r="N136" i="26"/>
  <c r="N137" i="26"/>
  <c r="N138" i="26"/>
  <c r="N139" i="26"/>
  <c r="N140" i="26"/>
  <c r="N141" i="26"/>
  <c r="N142" i="26"/>
  <c r="N143" i="26"/>
  <c r="N144" i="26"/>
  <c r="N145" i="26"/>
  <c r="N146" i="26"/>
  <c r="N147" i="26"/>
  <c r="N148" i="26"/>
  <c r="N149" i="26"/>
  <c r="N150" i="26"/>
  <c r="N151" i="26"/>
  <c r="N152" i="26"/>
  <c r="N153" i="26"/>
  <c r="N154" i="26"/>
  <c r="N155" i="26"/>
  <c r="N156" i="26"/>
  <c r="N157" i="26"/>
  <c r="N158" i="26"/>
  <c r="N159" i="26"/>
  <c r="N160" i="26"/>
  <c r="N161" i="26"/>
  <c r="N162" i="26"/>
  <c r="N163" i="26"/>
  <c r="N164" i="26"/>
  <c r="N165" i="26"/>
  <c r="N166" i="26"/>
  <c r="N167" i="26"/>
  <c r="N168" i="26"/>
  <c r="N169" i="26"/>
  <c r="N170" i="26"/>
  <c r="N171" i="26"/>
  <c r="N172" i="26"/>
  <c r="N173" i="26"/>
  <c r="N174" i="26"/>
  <c r="N175" i="26"/>
  <c r="N176" i="26"/>
  <c r="N177" i="26"/>
  <c r="N178" i="26"/>
  <c r="N179" i="26"/>
  <c r="N180" i="26"/>
  <c r="N181" i="26"/>
  <c r="N182" i="26"/>
  <c r="N183" i="26"/>
  <c r="N184" i="26"/>
  <c r="N185" i="26"/>
  <c r="N186" i="26"/>
  <c r="N187" i="26"/>
  <c r="N188" i="26"/>
  <c r="N189" i="26"/>
  <c r="N190" i="26"/>
  <c r="N191" i="26"/>
  <c r="N192" i="26"/>
  <c r="N193" i="26"/>
  <c r="N194" i="26"/>
  <c r="N195" i="26"/>
  <c r="N196" i="26"/>
  <c r="N197" i="26"/>
  <c r="N198" i="26"/>
  <c r="N199" i="26"/>
  <c r="N200" i="26"/>
  <c r="N201" i="26"/>
  <c r="N202" i="26"/>
  <c r="N203" i="26"/>
  <c r="N204" i="26"/>
  <c r="N205" i="26"/>
  <c r="N206" i="26"/>
  <c r="N207" i="26"/>
  <c r="N208" i="26"/>
  <c r="N209" i="26"/>
  <c r="N210" i="26"/>
  <c r="N211" i="26"/>
  <c r="N212" i="26"/>
  <c r="N213" i="26"/>
  <c r="N214" i="26"/>
  <c r="N215" i="26"/>
  <c r="N216" i="26"/>
  <c r="N217" i="26"/>
  <c r="N218" i="26"/>
  <c r="N219" i="26"/>
  <c r="N220" i="26"/>
  <c r="N221" i="26"/>
  <c r="N222" i="26"/>
  <c r="N223" i="26"/>
  <c r="N224" i="26"/>
  <c r="N225" i="26"/>
  <c r="N226" i="26"/>
  <c r="N227" i="26"/>
  <c r="N228" i="26"/>
  <c r="N229" i="26"/>
  <c r="N230" i="26"/>
  <c r="N231" i="26"/>
  <c r="N232" i="26"/>
  <c r="N233" i="26"/>
  <c r="N234" i="26"/>
  <c r="N235" i="26"/>
  <c r="N236" i="26"/>
  <c r="N237" i="26"/>
  <c r="N238" i="26"/>
  <c r="N239" i="26"/>
  <c r="N240" i="26"/>
  <c r="N241" i="26"/>
  <c r="N242" i="26"/>
  <c r="N243" i="26"/>
  <c r="N244" i="26"/>
  <c r="N245" i="26"/>
  <c r="N246" i="26"/>
  <c r="N247" i="26"/>
  <c r="N248" i="26"/>
  <c r="N249" i="26"/>
  <c r="N250" i="26"/>
  <c r="N251" i="26"/>
  <c r="N252" i="26"/>
  <c r="N253" i="26"/>
  <c r="N254" i="26"/>
  <c r="N255" i="26"/>
  <c r="N256" i="26"/>
  <c r="N257" i="26"/>
  <c r="N258" i="26"/>
  <c r="N259" i="26"/>
  <c r="N260" i="26"/>
  <c r="N261" i="26"/>
  <c r="N262" i="26"/>
  <c r="N263" i="26"/>
  <c r="N264" i="26"/>
  <c r="N265" i="26"/>
  <c r="N266" i="26"/>
  <c r="N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M162" i="26"/>
  <c r="M163" i="26"/>
  <c r="M164" i="26"/>
  <c r="M165" i="26"/>
  <c r="M166" i="26"/>
  <c r="M167" i="26"/>
  <c r="M168" i="26"/>
  <c r="M169" i="26"/>
  <c r="M170" i="26"/>
  <c r="M171" i="26"/>
  <c r="M172" i="26"/>
  <c r="M173" i="26"/>
  <c r="M174" i="26"/>
  <c r="M175" i="26"/>
  <c r="M176" i="26"/>
  <c r="M177" i="26"/>
  <c r="M178" i="26"/>
  <c r="M179" i="26"/>
  <c r="M180" i="26"/>
  <c r="M181" i="26"/>
  <c r="M182" i="26"/>
  <c r="M183" i="26"/>
  <c r="M184" i="26"/>
  <c r="M185" i="26"/>
  <c r="M186" i="26"/>
  <c r="M187" i="26"/>
  <c r="M188" i="26"/>
  <c r="M189" i="26"/>
  <c r="M190" i="26"/>
  <c r="M191" i="26"/>
  <c r="M192" i="26"/>
  <c r="M193" i="26"/>
  <c r="M194" i="26"/>
  <c r="M195" i="26"/>
  <c r="M196" i="26"/>
  <c r="M197" i="26"/>
  <c r="M198" i="26"/>
  <c r="M199" i="26"/>
  <c r="M200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43" i="26"/>
  <c r="M244" i="26"/>
  <c r="M245" i="26"/>
  <c r="M246" i="26"/>
  <c r="M247" i="26"/>
  <c r="M248" i="26"/>
  <c r="M249" i="26"/>
  <c r="M250" i="26"/>
  <c r="M251" i="26"/>
  <c r="M252" i="26"/>
  <c r="M253" i="26"/>
  <c r="M254" i="26"/>
  <c r="M255" i="26"/>
  <c r="M256" i="26"/>
  <c r="M257" i="26"/>
  <c r="M258" i="26"/>
  <c r="M259" i="26"/>
  <c r="M260" i="26"/>
  <c r="M261" i="26"/>
  <c r="M262" i="26"/>
  <c r="M263" i="26"/>
  <c r="M264" i="26"/>
  <c r="M265" i="26"/>
  <c r="M266" i="26"/>
  <c r="M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115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0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5" i="26"/>
  <c r="L196" i="26"/>
  <c r="L197" i="26"/>
  <c r="L198" i="26"/>
  <c r="L199" i="26"/>
  <c r="L200" i="26"/>
  <c r="L201" i="26"/>
  <c r="L202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4" i="26"/>
  <c r="L265" i="26"/>
  <c r="L266" i="26"/>
  <c r="L8" i="26"/>
  <c r="K10" i="26"/>
  <c r="Q10" i="26" s="1"/>
  <c r="K11" i="26"/>
  <c r="Q11" i="26" s="1"/>
  <c r="K14" i="26"/>
  <c r="Q14" i="26" s="1"/>
  <c r="K22" i="26"/>
  <c r="Q22" i="26" s="1"/>
  <c r="K26" i="26"/>
  <c r="Q26" i="26" s="1"/>
  <c r="K27" i="26"/>
  <c r="Q27" i="26" s="1"/>
  <c r="K30" i="26"/>
  <c r="Q30" i="26" s="1"/>
  <c r="K38" i="26"/>
  <c r="Q38" i="26" s="1"/>
  <c r="K42" i="26"/>
  <c r="Q42" i="26" s="1"/>
  <c r="K43" i="26"/>
  <c r="Q43" i="26" s="1"/>
  <c r="K46" i="26"/>
  <c r="Q46" i="26" s="1"/>
  <c r="K54" i="26"/>
  <c r="Q54" i="26" s="1"/>
  <c r="K58" i="26"/>
  <c r="Q58" i="26" s="1"/>
  <c r="K59" i="26"/>
  <c r="Q59" i="26" s="1"/>
  <c r="K62" i="26"/>
  <c r="Q62" i="26" s="1"/>
  <c r="K70" i="26"/>
  <c r="Q70" i="26" s="1"/>
  <c r="K74" i="26"/>
  <c r="Q74" i="26" s="1"/>
  <c r="K75" i="26"/>
  <c r="Q75" i="26" s="1"/>
  <c r="K78" i="26"/>
  <c r="Q78" i="26" s="1"/>
  <c r="K86" i="26"/>
  <c r="Q86" i="26" s="1"/>
  <c r="K90" i="26"/>
  <c r="Q90" i="26" s="1"/>
  <c r="K91" i="26"/>
  <c r="Q91" i="26" s="1"/>
  <c r="K94" i="26"/>
  <c r="Q94" i="26" s="1"/>
  <c r="K102" i="26"/>
  <c r="Q102" i="26" s="1"/>
  <c r="K106" i="26"/>
  <c r="Q106" i="26" s="1"/>
  <c r="K107" i="26"/>
  <c r="Q107" i="26" s="1"/>
  <c r="K110" i="26"/>
  <c r="Q110" i="26" s="1"/>
  <c r="K118" i="26"/>
  <c r="Q118" i="26" s="1"/>
  <c r="K122" i="26"/>
  <c r="Q122" i="26" s="1"/>
  <c r="K123" i="26"/>
  <c r="Q123" i="26" s="1"/>
  <c r="K126" i="26"/>
  <c r="Q126" i="26" s="1"/>
  <c r="K134" i="26"/>
  <c r="Q134" i="26" s="1"/>
  <c r="K138" i="26"/>
  <c r="Q138" i="26" s="1"/>
  <c r="K139" i="26"/>
  <c r="Q139" i="26" s="1"/>
  <c r="K142" i="26"/>
  <c r="Q142" i="26" s="1"/>
  <c r="K150" i="26"/>
  <c r="Q150" i="26" s="1"/>
  <c r="K154" i="26"/>
  <c r="Q154" i="26" s="1"/>
  <c r="K155" i="26"/>
  <c r="Q155" i="26" s="1"/>
  <c r="K158" i="26"/>
  <c r="Q158" i="26" s="1"/>
  <c r="K166" i="26"/>
  <c r="Q166" i="26" s="1"/>
  <c r="K170" i="26"/>
  <c r="Q170" i="26" s="1"/>
  <c r="K171" i="26"/>
  <c r="Q171" i="26" s="1"/>
  <c r="K174" i="26"/>
  <c r="Q174" i="26" s="1"/>
  <c r="K182" i="26"/>
  <c r="Q182" i="26" s="1"/>
  <c r="K186" i="26"/>
  <c r="Q186" i="26" s="1"/>
  <c r="K187" i="26"/>
  <c r="Q187" i="26" s="1"/>
  <c r="K190" i="26"/>
  <c r="Q190" i="26" s="1"/>
  <c r="K198" i="26"/>
  <c r="Q198" i="26" s="1"/>
  <c r="K202" i="26"/>
  <c r="Q202" i="26" s="1"/>
  <c r="K203" i="26"/>
  <c r="Q203" i="26" s="1"/>
  <c r="K206" i="26"/>
  <c r="Q206" i="26" s="1"/>
  <c r="K214" i="26"/>
  <c r="Q214" i="26" s="1"/>
  <c r="K218" i="26"/>
  <c r="Q218" i="26" s="1"/>
  <c r="K219" i="26"/>
  <c r="Q219" i="26" s="1"/>
  <c r="K222" i="26"/>
  <c r="Q222" i="26" s="1"/>
  <c r="K230" i="26"/>
  <c r="Q230" i="26" s="1"/>
  <c r="K234" i="26"/>
  <c r="Q234" i="26" s="1"/>
  <c r="K235" i="26"/>
  <c r="Q235" i="26" s="1"/>
  <c r="K238" i="26"/>
  <c r="Q238" i="26" s="1"/>
  <c r="K246" i="26"/>
  <c r="Q246" i="26" s="1"/>
  <c r="K250" i="26"/>
  <c r="Q250" i="26" s="1"/>
  <c r="K251" i="26"/>
  <c r="Q251" i="26" s="1"/>
  <c r="K262" i="26"/>
  <c r="Q262" i="26" s="1"/>
  <c r="K266" i="26"/>
  <c r="Q266" i="26" s="1"/>
  <c r="K8" i="26"/>
  <c r="Q8" i="26" s="1"/>
  <c r="J10" i="26"/>
  <c r="P10" i="26" s="1"/>
  <c r="R10" i="26" s="1"/>
  <c r="J11" i="26"/>
  <c r="P11" i="26" s="1"/>
  <c r="R11" i="26" s="1"/>
  <c r="J22" i="26"/>
  <c r="P22" i="26" s="1"/>
  <c r="R22" i="26" s="1"/>
  <c r="J26" i="26"/>
  <c r="P26" i="26" s="1"/>
  <c r="R26" i="26" s="1"/>
  <c r="J27" i="26"/>
  <c r="P27" i="26" s="1"/>
  <c r="R27" i="26" s="1"/>
  <c r="J38" i="26"/>
  <c r="P38" i="26" s="1"/>
  <c r="R38" i="26" s="1"/>
  <c r="J42" i="26"/>
  <c r="P42" i="26" s="1"/>
  <c r="R42" i="26" s="1"/>
  <c r="J43" i="26"/>
  <c r="P43" i="26" s="1"/>
  <c r="R43" i="26" s="1"/>
  <c r="J54" i="26"/>
  <c r="P54" i="26" s="1"/>
  <c r="R54" i="26" s="1"/>
  <c r="J58" i="26"/>
  <c r="P58" i="26" s="1"/>
  <c r="R58" i="26" s="1"/>
  <c r="J59" i="26"/>
  <c r="P59" i="26" s="1"/>
  <c r="R59" i="26" s="1"/>
  <c r="J70" i="26"/>
  <c r="P70" i="26" s="1"/>
  <c r="R70" i="26" s="1"/>
  <c r="J74" i="26"/>
  <c r="P74" i="26" s="1"/>
  <c r="R74" i="26" s="1"/>
  <c r="J75" i="26"/>
  <c r="P75" i="26" s="1"/>
  <c r="R75" i="26" s="1"/>
  <c r="J86" i="26"/>
  <c r="P86" i="26" s="1"/>
  <c r="R86" i="26" s="1"/>
  <c r="J90" i="26"/>
  <c r="P90" i="26" s="1"/>
  <c r="R90" i="26" s="1"/>
  <c r="J91" i="26"/>
  <c r="P91" i="26" s="1"/>
  <c r="R91" i="26" s="1"/>
  <c r="J102" i="26"/>
  <c r="P102" i="26" s="1"/>
  <c r="R102" i="26" s="1"/>
  <c r="J106" i="26"/>
  <c r="P106" i="26" s="1"/>
  <c r="R106" i="26" s="1"/>
  <c r="J107" i="26"/>
  <c r="P107" i="26" s="1"/>
  <c r="R107" i="26" s="1"/>
  <c r="J118" i="26"/>
  <c r="P118" i="26" s="1"/>
  <c r="R118" i="26" s="1"/>
  <c r="J122" i="26"/>
  <c r="P122" i="26" s="1"/>
  <c r="R122" i="26" s="1"/>
  <c r="J123" i="26"/>
  <c r="P123" i="26" s="1"/>
  <c r="R123" i="26" s="1"/>
  <c r="J134" i="26"/>
  <c r="P134" i="26" s="1"/>
  <c r="R134" i="26" s="1"/>
  <c r="J138" i="26"/>
  <c r="P138" i="26" s="1"/>
  <c r="R138" i="26" s="1"/>
  <c r="J139" i="26"/>
  <c r="P139" i="26" s="1"/>
  <c r="R139" i="26" s="1"/>
  <c r="J150" i="26"/>
  <c r="P150" i="26" s="1"/>
  <c r="R150" i="26" s="1"/>
  <c r="J154" i="26"/>
  <c r="P154" i="26" s="1"/>
  <c r="R154" i="26" s="1"/>
  <c r="J155" i="26"/>
  <c r="P155" i="26" s="1"/>
  <c r="R155" i="26" s="1"/>
  <c r="J166" i="26"/>
  <c r="P166" i="26" s="1"/>
  <c r="R166" i="26" s="1"/>
  <c r="J170" i="26"/>
  <c r="P170" i="26" s="1"/>
  <c r="R170" i="26" s="1"/>
  <c r="J171" i="26"/>
  <c r="P171" i="26" s="1"/>
  <c r="R171" i="26" s="1"/>
  <c r="J182" i="26"/>
  <c r="P182" i="26" s="1"/>
  <c r="R182" i="26" s="1"/>
  <c r="J186" i="26"/>
  <c r="P186" i="26" s="1"/>
  <c r="R186" i="26" s="1"/>
  <c r="J187" i="26"/>
  <c r="P187" i="26" s="1"/>
  <c r="R187" i="26" s="1"/>
  <c r="J198" i="26"/>
  <c r="P198" i="26" s="1"/>
  <c r="R198" i="26" s="1"/>
  <c r="J202" i="26"/>
  <c r="P202" i="26" s="1"/>
  <c r="R202" i="26" s="1"/>
  <c r="J203" i="26"/>
  <c r="P203" i="26" s="1"/>
  <c r="R203" i="26" s="1"/>
  <c r="J214" i="26"/>
  <c r="P214" i="26" s="1"/>
  <c r="R214" i="26" s="1"/>
  <c r="J218" i="26"/>
  <c r="P218" i="26" s="1"/>
  <c r="R218" i="26" s="1"/>
  <c r="J219" i="26"/>
  <c r="P219" i="26" s="1"/>
  <c r="R219" i="26" s="1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8" i="26"/>
  <c r="E9" i="26"/>
  <c r="K9" i="26" s="1"/>
  <c r="Q9" i="26" s="1"/>
  <c r="E10" i="26"/>
  <c r="E11" i="26"/>
  <c r="E12" i="26"/>
  <c r="K12" i="26" s="1"/>
  <c r="Q12" i="26" s="1"/>
  <c r="E13" i="26"/>
  <c r="K13" i="26" s="1"/>
  <c r="Q13" i="26" s="1"/>
  <c r="E14" i="26"/>
  <c r="E15" i="26"/>
  <c r="K15" i="26" s="1"/>
  <c r="Q15" i="26" s="1"/>
  <c r="E16" i="26"/>
  <c r="K16" i="26" s="1"/>
  <c r="Q16" i="26" s="1"/>
  <c r="E17" i="26"/>
  <c r="K17" i="26" s="1"/>
  <c r="Q17" i="26" s="1"/>
  <c r="E18" i="26"/>
  <c r="K18" i="26" s="1"/>
  <c r="Q18" i="26" s="1"/>
  <c r="E19" i="26"/>
  <c r="K19" i="26" s="1"/>
  <c r="Q19" i="26" s="1"/>
  <c r="E20" i="26"/>
  <c r="K20" i="26" s="1"/>
  <c r="Q20" i="26" s="1"/>
  <c r="E21" i="26"/>
  <c r="K21" i="26" s="1"/>
  <c r="Q21" i="26" s="1"/>
  <c r="E22" i="26"/>
  <c r="E23" i="26"/>
  <c r="K23" i="26" s="1"/>
  <c r="Q23" i="26" s="1"/>
  <c r="E24" i="26"/>
  <c r="K24" i="26" s="1"/>
  <c r="Q24" i="26" s="1"/>
  <c r="E25" i="26"/>
  <c r="K25" i="26" s="1"/>
  <c r="Q25" i="26" s="1"/>
  <c r="E26" i="26"/>
  <c r="E27" i="26"/>
  <c r="E28" i="26"/>
  <c r="K28" i="26" s="1"/>
  <c r="Q28" i="26" s="1"/>
  <c r="E29" i="26"/>
  <c r="K29" i="26" s="1"/>
  <c r="Q29" i="26" s="1"/>
  <c r="E30" i="26"/>
  <c r="E31" i="26"/>
  <c r="K31" i="26" s="1"/>
  <c r="Q31" i="26" s="1"/>
  <c r="E32" i="26"/>
  <c r="K32" i="26" s="1"/>
  <c r="Q32" i="26" s="1"/>
  <c r="E33" i="26"/>
  <c r="K33" i="26" s="1"/>
  <c r="Q33" i="26" s="1"/>
  <c r="E34" i="26"/>
  <c r="K34" i="26" s="1"/>
  <c r="Q34" i="26" s="1"/>
  <c r="E35" i="26"/>
  <c r="K35" i="26" s="1"/>
  <c r="Q35" i="26" s="1"/>
  <c r="E36" i="26"/>
  <c r="K36" i="26" s="1"/>
  <c r="Q36" i="26" s="1"/>
  <c r="E37" i="26"/>
  <c r="K37" i="26" s="1"/>
  <c r="Q37" i="26" s="1"/>
  <c r="E38" i="26"/>
  <c r="E39" i="26"/>
  <c r="K39" i="26" s="1"/>
  <c r="Q39" i="26" s="1"/>
  <c r="E40" i="26"/>
  <c r="K40" i="26" s="1"/>
  <c r="Q40" i="26" s="1"/>
  <c r="E41" i="26"/>
  <c r="K41" i="26" s="1"/>
  <c r="Q41" i="26" s="1"/>
  <c r="E42" i="26"/>
  <c r="E43" i="26"/>
  <c r="E44" i="26"/>
  <c r="K44" i="26" s="1"/>
  <c r="Q44" i="26" s="1"/>
  <c r="E45" i="26"/>
  <c r="K45" i="26" s="1"/>
  <c r="Q45" i="26" s="1"/>
  <c r="E46" i="26"/>
  <c r="E47" i="26"/>
  <c r="K47" i="26" s="1"/>
  <c r="Q47" i="26" s="1"/>
  <c r="E48" i="26"/>
  <c r="K48" i="26" s="1"/>
  <c r="Q48" i="26" s="1"/>
  <c r="E49" i="26"/>
  <c r="K49" i="26" s="1"/>
  <c r="Q49" i="26" s="1"/>
  <c r="E50" i="26"/>
  <c r="K50" i="26" s="1"/>
  <c r="Q50" i="26" s="1"/>
  <c r="E51" i="26"/>
  <c r="K51" i="26" s="1"/>
  <c r="Q51" i="26" s="1"/>
  <c r="E52" i="26"/>
  <c r="E53" i="26"/>
  <c r="K53" i="26" s="1"/>
  <c r="Q53" i="26" s="1"/>
  <c r="E54" i="26"/>
  <c r="E55" i="26"/>
  <c r="K55" i="26" s="1"/>
  <c r="Q55" i="26" s="1"/>
  <c r="E56" i="26"/>
  <c r="K56" i="26" s="1"/>
  <c r="Q56" i="26" s="1"/>
  <c r="E57" i="26"/>
  <c r="K57" i="26" s="1"/>
  <c r="Q57" i="26" s="1"/>
  <c r="E58" i="26"/>
  <c r="E59" i="26"/>
  <c r="E60" i="26"/>
  <c r="K60" i="26" s="1"/>
  <c r="Q60" i="26" s="1"/>
  <c r="E61" i="26"/>
  <c r="K61" i="26" s="1"/>
  <c r="Q61" i="26" s="1"/>
  <c r="E62" i="26"/>
  <c r="E63" i="26"/>
  <c r="K63" i="26" s="1"/>
  <c r="Q63" i="26" s="1"/>
  <c r="E64" i="26"/>
  <c r="K64" i="26" s="1"/>
  <c r="Q64" i="26" s="1"/>
  <c r="E65" i="26"/>
  <c r="K65" i="26" s="1"/>
  <c r="Q65" i="26" s="1"/>
  <c r="E66" i="26"/>
  <c r="K66" i="26" s="1"/>
  <c r="Q66" i="26" s="1"/>
  <c r="E67" i="26"/>
  <c r="K67" i="26" s="1"/>
  <c r="Q67" i="26" s="1"/>
  <c r="E68" i="26"/>
  <c r="K68" i="26" s="1"/>
  <c r="Q68" i="26" s="1"/>
  <c r="E69" i="26"/>
  <c r="K69" i="26" s="1"/>
  <c r="Q69" i="26" s="1"/>
  <c r="E70" i="26"/>
  <c r="E71" i="26"/>
  <c r="K71" i="26" s="1"/>
  <c r="Q71" i="26" s="1"/>
  <c r="E72" i="26"/>
  <c r="K72" i="26" s="1"/>
  <c r="Q72" i="26" s="1"/>
  <c r="E73" i="26"/>
  <c r="K73" i="26" s="1"/>
  <c r="Q73" i="26" s="1"/>
  <c r="E74" i="26"/>
  <c r="E75" i="26"/>
  <c r="E76" i="26"/>
  <c r="K76" i="26" s="1"/>
  <c r="Q76" i="26" s="1"/>
  <c r="E77" i="26"/>
  <c r="K77" i="26" s="1"/>
  <c r="Q77" i="26" s="1"/>
  <c r="E78" i="26"/>
  <c r="E79" i="26"/>
  <c r="K79" i="26" s="1"/>
  <c r="Q79" i="26" s="1"/>
  <c r="E80" i="26"/>
  <c r="K80" i="26" s="1"/>
  <c r="Q80" i="26" s="1"/>
  <c r="E81" i="26"/>
  <c r="K81" i="26" s="1"/>
  <c r="Q81" i="26" s="1"/>
  <c r="E82" i="26"/>
  <c r="K82" i="26" s="1"/>
  <c r="Q82" i="26" s="1"/>
  <c r="E83" i="26"/>
  <c r="K83" i="26" s="1"/>
  <c r="Q83" i="26" s="1"/>
  <c r="E84" i="26"/>
  <c r="K84" i="26" s="1"/>
  <c r="Q84" i="26" s="1"/>
  <c r="E85" i="26"/>
  <c r="K85" i="26" s="1"/>
  <c r="Q85" i="26" s="1"/>
  <c r="E86" i="26"/>
  <c r="E87" i="26"/>
  <c r="K87" i="26" s="1"/>
  <c r="Q87" i="26" s="1"/>
  <c r="E88" i="26"/>
  <c r="K88" i="26" s="1"/>
  <c r="Q88" i="26" s="1"/>
  <c r="E89" i="26"/>
  <c r="K89" i="26" s="1"/>
  <c r="Q89" i="26" s="1"/>
  <c r="E90" i="26"/>
  <c r="E91" i="26"/>
  <c r="E92" i="26"/>
  <c r="K92" i="26" s="1"/>
  <c r="Q92" i="26" s="1"/>
  <c r="E93" i="26"/>
  <c r="K93" i="26" s="1"/>
  <c r="Q93" i="26" s="1"/>
  <c r="E94" i="26"/>
  <c r="E95" i="26"/>
  <c r="K95" i="26" s="1"/>
  <c r="Q95" i="26" s="1"/>
  <c r="E96" i="26"/>
  <c r="K96" i="26" s="1"/>
  <c r="Q96" i="26" s="1"/>
  <c r="E97" i="26"/>
  <c r="K97" i="26" s="1"/>
  <c r="Q97" i="26" s="1"/>
  <c r="E98" i="26"/>
  <c r="K98" i="26" s="1"/>
  <c r="Q98" i="26" s="1"/>
  <c r="E99" i="26"/>
  <c r="K99" i="26" s="1"/>
  <c r="Q99" i="26" s="1"/>
  <c r="E100" i="26"/>
  <c r="K100" i="26" s="1"/>
  <c r="Q100" i="26" s="1"/>
  <c r="E101" i="26"/>
  <c r="K101" i="26" s="1"/>
  <c r="Q101" i="26" s="1"/>
  <c r="E102" i="26"/>
  <c r="E103" i="26"/>
  <c r="K103" i="26" s="1"/>
  <c r="Q103" i="26" s="1"/>
  <c r="E104" i="26"/>
  <c r="K104" i="26" s="1"/>
  <c r="Q104" i="26" s="1"/>
  <c r="E105" i="26"/>
  <c r="K105" i="26" s="1"/>
  <c r="Q105" i="26" s="1"/>
  <c r="E106" i="26"/>
  <c r="E107" i="26"/>
  <c r="E108" i="26"/>
  <c r="K108" i="26" s="1"/>
  <c r="Q108" i="26" s="1"/>
  <c r="E109" i="26"/>
  <c r="K109" i="26" s="1"/>
  <c r="Q109" i="26" s="1"/>
  <c r="E110" i="26"/>
  <c r="E111" i="26"/>
  <c r="K111" i="26" s="1"/>
  <c r="Q111" i="26" s="1"/>
  <c r="E112" i="26"/>
  <c r="K112" i="26" s="1"/>
  <c r="Q112" i="26" s="1"/>
  <c r="E113" i="26"/>
  <c r="K113" i="26" s="1"/>
  <c r="Q113" i="26" s="1"/>
  <c r="E114" i="26"/>
  <c r="K114" i="26" s="1"/>
  <c r="Q114" i="26" s="1"/>
  <c r="E115" i="26"/>
  <c r="K115" i="26" s="1"/>
  <c r="Q115" i="26" s="1"/>
  <c r="E116" i="26"/>
  <c r="K116" i="26" s="1"/>
  <c r="Q116" i="26" s="1"/>
  <c r="E117" i="26"/>
  <c r="K117" i="26" s="1"/>
  <c r="Q117" i="26" s="1"/>
  <c r="E118" i="26"/>
  <c r="E119" i="26"/>
  <c r="K119" i="26" s="1"/>
  <c r="Q119" i="26" s="1"/>
  <c r="E120" i="26"/>
  <c r="K120" i="26" s="1"/>
  <c r="Q120" i="26" s="1"/>
  <c r="E121" i="26"/>
  <c r="K121" i="26" s="1"/>
  <c r="Q121" i="26" s="1"/>
  <c r="E122" i="26"/>
  <c r="E123" i="26"/>
  <c r="E124" i="26"/>
  <c r="K124" i="26" s="1"/>
  <c r="Q124" i="26" s="1"/>
  <c r="E125" i="26"/>
  <c r="K125" i="26" s="1"/>
  <c r="Q125" i="26" s="1"/>
  <c r="E126" i="26"/>
  <c r="E127" i="26"/>
  <c r="K127" i="26" s="1"/>
  <c r="Q127" i="26" s="1"/>
  <c r="E128" i="26"/>
  <c r="K128" i="26" s="1"/>
  <c r="Q128" i="26" s="1"/>
  <c r="E129" i="26"/>
  <c r="K129" i="26" s="1"/>
  <c r="Q129" i="26" s="1"/>
  <c r="E130" i="26"/>
  <c r="K130" i="26" s="1"/>
  <c r="Q130" i="26" s="1"/>
  <c r="E131" i="26"/>
  <c r="K131" i="26" s="1"/>
  <c r="Q131" i="26" s="1"/>
  <c r="E132" i="26"/>
  <c r="K132" i="26" s="1"/>
  <c r="Q132" i="26" s="1"/>
  <c r="E133" i="26"/>
  <c r="K133" i="26" s="1"/>
  <c r="Q133" i="26" s="1"/>
  <c r="E134" i="26"/>
  <c r="E135" i="26"/>
  <c r="K135" i="26" s="1"/>
  <c r="Q135" i="26" s="1"/>
  <c r="E136" i="26"/>
  <c r="K136" i="26" s="1"/>
  <c r="Q136" i="26" s="1"/>
  <c r="E137" i="26"/>
  <c r="K137" i="26" s="1"/>
  <c r="Q137" i="26" s="1"/>
  <c r="E138" i="26"/>
  <c r="E139" i="26"/>
  <c r="E140" i="26"/>
  <c r="K140" i="26" s="1"/>
  <c r="Q140" i="26" s="1"/>
  <c r="E141" i="26"/>
  <c r="K141" i="26" s="1"/>
  <c r="Q141" i="26" s="1"/>
  <c r="E142" i="26"/>
  <c r="E143" i="26"/>
  <c r="K143" i="26" s="1"/>
  <c r="Q143" i="26" s="1"/>
  <c r="E144" i="26"/>
  <c r="K144" i="26" s="1"/>
  <c r="Q144" i="26" s="1"/>
  <c r="E145" i="26"/>
  <c r="K145" i="26" s="1"/>
  <c r="Q145" i="26" s="1"/>
  <c r="E146" i="26"/>
  <c r="K146" i="26" s="1"/>
  <c r="Q146" i="26" s="1"/>
  <c r="E147" i="26"/>
  <c r="K147" i="26" s="1"/>
  <c r="Q147" i="26" s="1"/>
  <c r="E148" i="26"/>
  <c r="K148" i="26" s="1"/>
  <c r="Q148" i="26" s="1"/>
  <c r="E149" i="26"/>
  <c r="K149" i="26" s="1"/>
  <c r="Q149" i="26" s="1"/>
  <c r="E150" i="26"/>
  <c r="E151" i="26"/>
  <c r="K151" i="26" s="1"/>
  <c r="Q151" i="26" s="1"/>
  <c r="E152" i="26"/>
  <c r="K152" i="26" s="1"/>
  <c r="Q152" i="26" s="1"/>
  <c r="E153" i="26"/>
  <c r="K153" i="26" s="1"/>
  <c r="Q153" i="26" s="1"/>
  <c r="E154" i="26"/>
  <c r="E155" i="26"/>
  <c r="E156" i="26"/>
  <c r="K156" i="26" s="1"/>
  <c r="Q156" i="26" s="1"/>
  <c r="E157" i="26"/>
  <c r="K157" i="26" s="1"/>
  <c r="Q157" i="26" s="1"/>
  <c r="E158" i="26"/>
  <c r="E159" i="26"/>
  <c r="K159" i="26" s="1"/>
  <c r="Q159" i="26" s="1"/>
  <c r="E160" i="26"/>
  <c r="K160" i="26" s="1"/>
  <c r="Q160" i="26" s="1"/>
  <c r="E161" i="26"/>
  <c r="K161" i="26" s="1"/>
  <c r="Q161" i="26" s="1"/>
  <c r="E162" i="26"/>
  <c r="K162" i="26" s="1"/>
  <c r="Q162" i="26" s="1"/>
  <c r="E163" i="26"/>
  <c r="K163" i="26" s="1"/>
  <c r="Q163" i="26" s="1"/>
  <c r="E164" i="26"/>
  <c r="K164" i="26" s="1"/>
  <c r="Q164" i="26" s="1"/>
  <c r="E165" i="26"/>
  <c r="K165" i="26" s="1"/>
  <c r="Q165" i="26" s="1"/>
  <c r="E166" i="26"/>
  <c r="E167" i="26"/>
  <c r="K167" i="26" s="1"/>
  <c r="Q167" i="26" s="1"/>
  <c r="E168" i="26"/>
  <c r="K168" i="26" s="1"/>
  <c r="Q168" i="26" s="1"/>
  <c r="E169" i="26"/>
  <c r="K169" i="26" s="1"/>
  <c r="Q169" i="26" s="1"/>
  <c r="E170" i="26"/>
  <c r="E171" i="26"/>
  <c r="E172" i="26"/>
  <c r="K172" i="26" s="1"/>
  <c r="Q172" i="26" s="1"/>
  <c r="E173" i="26"/>
  <c r="K173" i="26" s="1"/>
  <c r="Q173" i="26" s="1"/>
  <c r="E174" i="26"/>
  <c r="E175" i="26"/>
  <c r="K175" i="26" s="1"/>
  <c r="Q175" i="26" s="1"/>
  <c r="E176" i="26"/>
  <c r="K176" i="26" s="1"/>
  <c r="Q176" i="26" s="1"/>
  <c r="E177" i="26"/>
  <c r="K177" i="26" s="1"/>
  <c r="Q177" i="26" s="1"/>
  <c r="E178" i="26"/>
  <c r="K178" i="26" s="1"/>
  <c r="Q178" i="26" s="1"/>
  <c r="E179" i="26"/>
  <c r="K179" i="26" s="1"/>
  <c r="Q179" i="26" s="1"/>
  <c r="E180" i="26"/>
  <c r="K180" i="26" s="1"/>
  <c r="Q180" i="26" s="1"/>
  <c r="E181" i="26"/>
  <c r="K181" i="26" s="1"/>
  <c r="Q181" i="26" s="1"/>
  <c r="E182" i="26"/>
  <c r="E183" i="26"/>
  <c r="K183" i="26" s="1"/>
  <c r="Q183" i="26" s="1"/>
  <c r="E184" i="26"/>
  <c r="K184" i="26" s="1"/>
  <c r="Q184" i="26" s="1"/>
  <c r="E185" i="26"/>
  <c r="K185" i="26" s="1"/>
  <c r="Q185" i="26" s="1"/>
  <c r="E186" i="26"/>
  <c r="E187" i="26"/>
  <c r="E188" i="26"/>
  <c r="K188" i="26" s="1"/>
  <c r="Q188" i="26" s="1"/>
  <c r="E189" i="26"/>
  <c r="K189" i="26" s="1"/>
  <c r="Q189" i="26" s="1"/>
  <c r="E190" i="26"/>
  <c r="E191" i="26"/>
  <c r="K191" i="26" s="1"/>
  <c r="Q191" i="26" s="1"/>
  <c r="E192" i="26"/>
  <c r="K192" i="26" s="1"/>
  <c r="Q192" i="26" s="1"/>
  <c r="E193" i="26"/>
  <c r="K193" i="26" s="1"/>
  <c r="Q193" i="26" s="1"/>
  <c r="E194" i="26"/>
  <c r="K194" i="26" s="1"/>
  <c r="Q194" i="26" s="1"/>
  <c r="E195" i="26"/>
  <c r="K195" i="26" s="1"/>
  <c r="Q195" i="26" s="1"/>
  <c r="E196" i="26"/>
  <c r="K196" i="26" s="1"/>
  <c r="Q196" i="26" s="1"/>
  <c r="E197" i="26"/>
  <c r="K197" i="26" s="1"/>
  <c r="Q197" i="26" s="1"/>
  <c r="E198" i="26"/>
  <c r="E199" i="26"/>
  <c r="K199" i="26" s="1"/>
  <c r="Q199" i="26" s="1"/>
  <c r="E200" i="26"/>
  <c r="K200" i="26" s="1"/>
  <c r="Q200" i="26" s="1"/>
  <c r="E201" i="26"/>
  <c r="K201" i="26" s="1"/>
  <c r="Q201" i="26" s="1"/>
  <c r="E202" i="26"/>
  <c r="E203" i="26"/>
  <c r="E204" i="26"/>
  <c r="K204" i="26" s="1"/>
  <c r="Q204" i="26" s="1"/>
  <c r="E205" i="26"/>
  <c r="K205" i="26" s="1"/>
  <c r="Q205" i="26" s="1"/>
  <c r="E206" i="26"/>
  <c r="E207" i="26"/>
  <c r="K207" i="26" s="1"/>
  <c r="Q207" i="26" s="1"/>
  <c r="E208" i="26"/>
  <c r="K208" i="26" s="1"/>
  <c r="Q208" i="26" s="1"/>
  <c r="E209" i="26"/>
  <c r="K209" i="26" s="1"/>
  <c r="Q209" i="26" s="1"/>
  <c r="E210" i="26"/>
  <c r="K210" i="26" s="1"/>
  <c r="Q210" i="26" s="1"/>
  <c r="E211" i="26"/>
  <c r="K211" i="26" s="1"/>
  <c r="Q211" i="26" s="1"/>
  <c r="E212" i="26"/>
  <c r="K212" i="26" s="1"/>
  <c r="Q212" i="26" s="1"/>
  <c r="E213" i="26"/>
  <c r="K213" i="26" s="1"/>
  <c r="Q213" i="26" s="1"/>
  <c r="E214" i="26"/>
  <c r="E215" i="26"/>
  <c r="K215" i="26" s="1"/>
  <c r="Q215" i="26" s="1"/>
  <c r="E216" i="26"/>
  <c r="K216" i="26" s="1"/>
  <c r="Q216" i="26" s="1"/>
  <c r="E217" i="26"/>
  <c r="K217" i="26" s="1"/>
  <c r="Q217" i="26" s="1"/>
  <c r="E218" i="26"/>
  <c r="E219" i="26"/>
  <c r="E220" i="26"/>
  <c r="K220" i="26" s="1"/>
  <c r="Q220" i="26" s="1"/>
  <c r="E221" i="26"/>
  <c r="K221" i="26" s="1"/>
  <c r="Q221" i="26" s="1"/>
  <c r="E222" i="26"/>
  <c r="E223" i="26"/>
  <c r="K223" i="26" s="1"/>
  <c r="Q223" i="26" s="1"/>
  <c r="E224" i="26"/>
  <c r="K224" i="26" s="1"/>
  <c r="Q224" i="26" s="1"/>
  <c r="E225" i="26"/>
  <c r="K225" i="26" s="1"/>
  <c r="Q225" i="26" s="1"/>
  <c r="E226" i="26"/>
  <c r="K226" i="26" s="1"/>
  <c r="Q226" i="26" s="1"/>
  <c r="E227" i="26"/>
  <c r="K227" i="26" s="1"/>
  <c r="Q227" i="26" s="1"/>
  <c r="E228" i="26"/>
  <c r="K228" i="26" s="1"/>
  <c r="Q228" i="26" s="1"/>
  <c r="E229" i="26"/>
  <c r="K229" i="26" s="1"/>
  <c r="Q229" i="26" s="1"/>
  <c r="E230" i="26"/>
  <c r="E231" i="26"/>
  <c r="K231" i="26" s="1"/>
  <c r="Q231" i="26" s="1"/>
  <c r="E232" i="26"/>
  <c r="K232" i="26" s="1"/>
  <c r="Q232" i="26" s="1"/>
  <c r="E233" i="26"/>
  <c r="K233" i="26" s="1"/>
  <c r="Q233" i="26" s="1"/>
  <c r="E234" i="26"/>
  <c r="E235" i="26"/>
  <c r="E236" i="26"/>
  <c r="K236" i="26" s="1"/>
  <c r="Q236" i="26" s="1"/>
  <c r="E237" i="26"/>
  <c r="K237" i="26" s="1"/>
  <c r="Q237" i="26" s="1"/>
  <c r="E238" i="26"/>
  <c r="E239" i="26"/>
  <c r="K239" i="26" s="1"/>
  <c r="Q239" i="26" s="1"/>
  <c r="E240" i="26"/>
  <c r="K240" i="26" s="1"/>
  <c r="Q240" i="26" s="1"/>
  <c r="E241" i="26"/>
  <c r="K241" i="26" s="1"/>
  <c r="Q241" i="26" s="1"/>
  <c r="E242" i="26"/>
  <c r="K242" i="26" s="1"/>
  <c r="Q242" i="26" s="1"/>
  <c r="E243" i="26"/>
  <c r="K243" i="26" s="1"/>
  <c r="Q243" i="26" s="1"/>
  <c r="E244" i="26"/>
  <c r="K244" i="26" s="1"/>
  <c r="Q244" i="26" s="1"/>
  <c r="E245" i="26"/>
  <c r="K245" i="26" s="1"/>
  <c r="Q245" i="26" s="1"/>
  <c r="E246" i="26"/>
  <c r="E247" i="26"/>
  <c r="K247" i="26" s="1"/>
  <c r="Q247" i="26" s="1"/>
  <c r="E248" i="26"/>
  <c r="K248" i="26" s="1"/>
  <c r="Q248" i="26" s="1"/>
  <c r="E249" i="26"/>
  <c r="K249" i="26" s="1"/>
  <c r="Q249" i="26" s="1"/>
  <c r="E250" i="26"/>
  <c r="E251" i="26"/>
  <c r="E252" i="26"/>
  <c r="K252" i="26" s="1"/>
  <c r="Q252" i="26" s="1"/>
  <c r="E253" i="26"/>
  <c r="K253" i="26" s="1"/>
  <c r="Q253" i="26" s="1"/>
  <c r="E254" i="26"/>
  <c r="K254" i="26" s="1"/>
  <c r="Q254" i="26" s="1"/>
  <c r="E255" i="26"/>
  <c r="K255" i="26" s="1"/>
  <c r="Q255" i="26" s="1"/>
  <c r="E256" i="26"/>
  <c r="K256" i="26" s="1"/>
  <c r="Q256" i="26" s="1"/>
  <c r="E257" i="26"/>
  <c r="K257" i="26" s="1"/>
  <c r="Q257" i="26" s="1"/>
  <c r="E258" i="26"/>
  <c r="K258" i="26" s="1"/>
  <c r="Q258" i="26" s="1"/>
  <c r="E259" i="26"/>
  <c r="K259" i="26" s="1"/>
  <c r="Q259" i="26" s="1"/>
  <c r="E260" i="26"/>
  <c r="K260" i="26" s="1"/>
  <c r="Q260" i="26" s="1"/>
  <c r="E261" i="26"/>
  <c r="K261" i="26" s="1"/>
  <c r="Q261" i="26" s="1"/>
  <c r="E262" i="26"/>
  <c r="E263" i="26"/>
  <c r="K263" i="26" s="1"/>
  <c r="Q263" i="26" s="1"/>
  <c r="E264" i="26"/>
  <c r="K264" i="26" s="1"/>
  <c r="Q264" i="26" s="1"/>
  <c r="E265" i="26"/>
  <c r="K265" i="26" s="1"/>
  <c r="Q265" i="26" s="1"/>
  <c r="E266" i="26"/>
  <c r="E8" i="26"/>
  <c r="D9" i="26"/>
  <c r="J9" i="26" s="1"/>
  <c r="P9" i="26" s="1"/>
  <c r="R9" i="26" s="1"/>
  <c r="D10" i="26"/>
  <c r="D11" i="26"/>
  <c r="D12" i="26"/>
  <c r="J12" i="26" s="1"/>
  <c r="P12" i="26" s="1"/>
  <c r="R12" i="26" s="1"/>
  <c r="D13" i="26"/>
  <c r="J13" i="26" s="1"/>
  <c r="P13" i="26" s="1"/>
  <c r="R13" i="26" s="1"/>
  <c r="D14" i="26"/>
  <c r="J14" i="26" s="1"/>
  <c r="P14" i="26" s="1"/>
  <c r="R14" i="26" s="1"/>
  <c r="D15" i="26"/>
  <c r="J15" i="26" s="1"/>
  <c r="P15" i="26" s="1"/>
  <c r="R15" i="26" s="1"/>
  <c r="D16" i="26"/>
  <c r="J16" i="26" s="1"/>
  <c r="P16" i="26" s="1"/>
  <c r="R16" i="26" s="1"/>
  <c r="D17" i="26"/>
  <c r="J17" i="26" s="1"/>
  <c r="P17" i="26" s="1"/>
  <c r="R17" i="26" s="1"/>
  <c r="D18" i="26"/>
  <c r="J18" i="26" s="1"/>
  <c r="P18" i="26" s="1"/>
  <c r="R18" i="26" s="1"/>
  <c r="D19" i="26"/>
  <c r="J19" i="26" s="1"/>
  <c r="P19" i="26" s="1"/>
  <c r="R19" i="26" s="1"/>
  <c r="D20" i="26"/>
  <c r="J20" i="26" s="1"/>
  <c r="P20" i="26" s="1"/>
  <c r="R20" i="26" s="1"/>
  <c r="D21" i="26"/>
  <c r="J21" i="26" s="1"/>
  <c r="P21" i="26" s="1"/>
  <c r="R21" i="26" s="1"/>
  <c r="D22" i="26"/>
  <c r="D23" i="26"/>
  <c r="J23" i="26" s="1"/>
  <c r="P23" i="26" s="1"/>
  <c r="R23" i="26" s="1"/>
  <c r="D24" i="26"/>
  <c r="J24" i="26" s="1"/>
  <c r="P24" i="26" s="1"/>
  <c r="R24" i="26" s="1"/>
  <c r="D25" i="26"/>
  <c r="J25" i="26" s="1"/>
  <c r="P25" i="26" s="1"/>
  <c r="R25" i="26" s="1"/>
  <c r="D26" i="26"/>
  <c r="D27" i="26"/>
  <c r="D28" i="26"/>
  <c r="J28" i="26" s="1"/>
  <c r="P28" i="26" s="1"/>
  <c r="R28" i="26" s="1"/>
  <c r="D29" i="26"/>
  <c r="J29" i="26" s="1"/>
  <c r="P29" i="26" s="1"/>
  <c r="R29" i="26" s="1"/>
  <c r="D30" i="26"/>
  <c r="J30" i="26" s="1"/>
  <c r="P30" i="26" s="1"/>
  <c r="R30" i="26" s="1"/>
  <c r="D31" i="26"/>
  <c r="J31" i="26" s="1"/>
  <c r="P31" i="26" s="1"/>
  <c r="R31" i="26" s="1"/>
  <c r="D32" i="26"/>
  <c r="J32" i="26" s="1"/>
  <c r="P32" i="26" s="1"/>
  <c r="R32" i="26" s="1"/>
  <c r="D33" i="26"/>
  <c r="J33" i="26" s="1"/>
  <c r="P33" i="26" s="1"/>
  <c r="R33" i="26" s="1"/>
  <c r="D34" i="26"/>
  <c r="J34" i="26" s="1"/>
  <c r="P34" i="26" s="1"/>
  <c r="R34" i="26" s="1"/>
  <c r="D35" i="26"/>
  <c r="J35" i="26" s="1"/>
  <c r="P35" i="26" s="1"/>
  <c r="R35" i="26" s="1"/>
  <c r="D36" i="26"/>
  <c r="J36" i="26" s="1"/>
  <c r="P36" i="26" s="1"/>
  <c r="R36" i="26" s="1"/>
  <c r="D37" i="26"/>
  <c r="J37" i="26" s="1"/>
  <c r="P37" i="26" s="1"/>
  <c r="R37" i="26" s="1"/>
  <c r="D38" i="26"/>
  <c r="D39" i="26"/>
  <c r="J39" i="26" s="1"/>
  <c r="P39" i="26" s="1"/>
  <c r="R39" i="26" s="1"/>
  <c r="D40" i="26"/>
  <c r="J40" i="26" s="1"/>
  <c r="P40" i="26" s="1"/>
  <c r="R40" i="26" s="1"/>
  <c r="D41" i="26"/>
  <c r="J41" i="26" s="1"/>
  <c r="P41" i="26" s="1"/>
  <c r="R41" i="26" s="1"/>
  <c r="D42" i="26"/>
  <c r="D43" i="26"/>
  <c r="D44" i="26"/>
  <c r="J44" i="26" s="1"/>
  <c r="P44" i="26" s="1"/>
  <c r="R44" i="26" s="1"/>
  <c r="D45" i="26"/>
  <c r="J45" i="26" s="1"/>
  <c r="P45" i="26" s="1"/>
  <c r="R45" i="26" s="1"/>
  <c r="D46" i="26"/>
  <c r="J46" i="26" s="1"/>
  <c r="P46" i="26" s="1"/>
  <c r="R46" i="26" s="1"/>
  <c r="D47" i="26"/>
  <c r="J47" i="26" s="1"/>
  <c r="P47" i="26" s="1"/>
  <c r="R47" i="26" s="1"/>
  <c r="D48" i="26"/>
  <c r="J48" i="26" s="1"/>
  <c r="P48" i="26" s="1"/>
  <c r="R48" i="26" s="1"/>
  <c r="D49" i="26"/>
  <c r="J49" i="26" s="1"/>
  <c r="P49" i="26" s="1"/>
  <c r="R49" i="26" s="1"/>
  <c r="D50" i="26"/>
  <c r="J50" i="26" s="1"/>
  <c r="P50" i="26" s="1"/>
  <c r="R50" i="26" s="1"/>
  <c r="D51" i="26"/>
  <c r="J51" i="26" s="1"/>
  <c r="P51" i="26" s="1"/>
  <c r="R51" i="26" s="1"/>
  <c r="D52" i="26"/>
  <c r="D53" i="26"/>
  <c r="J53" i="26" s="1"/>
  <c r="P53" i="26" s="1"/>
  <c r="R53" i="26" s="1"/>
  <c r="D54" i="26"/>
  <c r="D55" i="26"/>
  <c r="J55" i="26" s="1"/>
  <c r="P55" i="26" s="1"/>
  <c r="R55" i="26" s="1"/>
  <c r="D56" i="26"/>
  <c r="J56" i="26" s="1"/>
  <c r="P56" i="26" s="1"/>
  <c r="R56" i="26" s="1"/>
  <c r="D57" i="26"/>
  <c r="J57" i="26" s="1"/>
  <c r="P57" i="26" s="1"/>
  <c r="R57" i="26" s="1"/>
  <c r="D58" i="26"/>
  <c r="D59" i="26"/>
  <c r="D60" i="26"/>
  <c r="J60" i="26" s="1"/>
  <c r="P60" i="26" s="1"/>
  <c r="R60" i="26" s="1"/>
  <c r="D61" i="26"/>
  <c r="J61" i="26" s="1"/>
  <c r="P61" i="26" s="1"/>
  <c r="R61" i="26" s="1"/>
  <c r="D62" i="26"/>
  <c r="J62" i="26" s="1"/>
  <c r="P62" i="26" s="1"/>
  <c r="R62" i="26" s="1"/>
  <c r="D63" i="26"/>
  <c r="J63" i="26" s="1"/>
  <c r="P63" i="26" s="1"/>
  <c r="R63" i="26" s="1"/>
  <c r="D64" i="26"/>
  <c r="J64" i="26" s="1"/>
  <c r="P64" i="26" s="1"/>
  <c r="R64" i="26" s="1"/>
  <c r="D65" i="26"/>
  <c r="J65" i="26" s="1"/>
  <c r="P65" i="26" s="1"/>
  <c r="R65" i="26" s="1"/>
  <c r="D66" i="26"/>
  <c r="J66" i="26" s="1"/>
  <c r="P66" i="26" s="1"/>
  <c r="R66" i="26" s="1"/>
  <c r="D67" i="26"/>
  <c r="J67" i="26" s="1"/>
  <c r="P67" i="26" s="1"/>
  <c r="R67" i="26" s="1"/>
  <c r="D68" i="26"/>
  <c r="J68" i="26" s="1"/>
  <c r="P68" i="26" s="1"/>
  <c r="R68" i="26" s="1"/>
  <c r="D69" i="26"/>
  <c r="J69" i="26" s="1"/>
  <c r="P69" i="26" s="1"/>
  <c r="R69" i="26" s="1"/>
  <c r="D70" i="26"/>
  <c r="D71" i="26"/>
  <c r="J71" i="26" s="1"/>
  <c r="P71" i="26" s="1"/>
  <c r="R71" i="26" s="1"/>
  <c r="D72" i="26"/>
  <c r="J72" i="26" s="1"/>
  <c r="P72" i="26" s="1"/>
  <c r="R72" i="26" s="1"/>
  <c r="D73" i="26"/>
  <c r="J73" i="26" s="1"/>
  <c r="P73" i="26" s="1"/>
  <c r="R73" i="26" s="1"/>
  <c r="D74" i="26"/>
  <c r="D75" i="26"/>
  <c r="D76" i="26"/>
  <c r="J76" i="26" s="1"/>
  <c r="P76" i="26" s="1"/>
  <c r="R76" i="26" s="1"/>
  <c r="D77" i="26"/>
  <c r="J77" i="26" s="1"/>
  <c r="P77" i="26" s="1"/>
  <c r="R77" i="26" s="1"/>
  <c r="D78" i="26"/>
  <c r="J78" i="26" s="1"/>
  <c r="P78" i="26" s="1"/>
  <c r="R78" i="26" s="1"/>
  <c r="D79" i="26"/>
  <c r="J79" i="26" s="1"/>
  <c r="P79" i="26" s="1"/>
  <c r="R79" i="26" s="1"/>
  <c r="D80" i="26"/>
  <c r="J80" i="26" s="1"/>
  <c r="P80" i="26" s="1"/>
  <c r="R80" i="26" s="1"/>
  <c r="D81" i="26"/>
  <c r="J81" i="26" s="1"/>
  <c r="P81" i="26" s="1"/>
  <c r="R81" i="26" s="1"/>
  <c r="D82" i="26"/>
  <c r="J82" i="26" s="1"/>
  <c r="P82" i="26" s="1"/>
  <c r="R82" i="26" s="1"/>
  <c r="D83" i="26"/>
  <c r="J83" i="26" s="1"/>
  <c r="P83" i="26" s="1"/>
  <c r="R83" i="26" s="1"/>
  <c r="D84" i="26"/>
  <c r="J84" i="26" s="1"/>
  <c r="P84" i="26" s="1"/>
  <c r="R84" i="26" s="1"/>
  <c r="D85" i="26"/>
  <c r="J85" i="26" s="1"/>
  <c r="P85" i="26" s="1"/>
  <c r="R85" i="26" s="1"/>
  <c r="D86" i="26"/>
  <c r="D87" i="26"/>
  <c r="J87" i="26" s="1"/>
  <c r="P87" i="26" s="1"/>
  <c r="R87" i="26" s="1"/>
  <c r="D88" i="26"/>
  <c r="J88" i="26" s="1"/>
  <c r="P88" i="26" s="1"/>
  <c r="R88" i="26" s="1"/>
  <c r="D89" i="26"/>
  <c r="J89" i="26" s="1"/>
  <c r="P89" i="26" s="1"/>
  <c r="R89" i="26" s="1"/>
  <c r="D90" i="26"/>
  <c r="D91" i="26"/>
  <c r="D92" i="26"/>
  <c r="J92" i="26" s="1"/>
  <c r="P92" i="26" s="1"/>
  <c r="R92" i="26" s="1"/>
  <c r="D93" i="26"/>
  <c r="J93" i="26" s="1"/>
  <c r="P93" i="26" s="1"/>
  <c r="R93" i="26" s="1"/>
  <c r="D94" i="26"/>
  <c r="J94" i="26" s="1"/>
  <c r="P94" i="26" s="1"/>
  <c r="R94" i="26" s="1"/>
  <c r="D95" i="26"/>
  <c r="J95" i="26" s="1"/>
  <c r="P95" i="26" s="1"/>
  <c r="R95" i="26" s="1"/>
  <c r="D96" i="26"/>
  <c r="J96" i="26" s="1"/>
  <c r="P96" i="26" s="1"/>
  <c r="R96" i="26" s="1"/>
  <c r="D97" i="26"/>
  <c r="J97" i="26" s="1"/>
  <c r="P97" i="26" s="1"/>
  <c r="R97" i="26" s="1"/>
  <c r="D98" i="26"/>
  <c r="J98" i="26" s="1"/>
  <c r="P98" i="26" s="1"/>
  <c r="R98" i="26" s="1"/>
  <c r="D99" i="26"/>
  <c r="J99" i="26" s="1"/>
  <c r="P99" i="26" s="1"/>
  <c r="R99" i="26" s="1"/>
  <c r="D100" i="26"/>
  <c r="J100" i="26" s="1"/>
  <c r="P100" i="26" s="1"/>
  <c r="R100" i="26" s="1"/>
  <c r="D101" i="26"/>
  <c r="J101" i="26" s="1"/>
  <c r="P101" i="26" s="1"/>
  <c r="R101" i="26" s="1"/>
  <c r="D102" i="26"/>
  <c r="D103" i="26"/>
  <c r="J103" i="26" s="1"/>
  <c r="P103" i="26" s="1"/>
  <c r="R103" i="26" s="1"/>
  <c r="D104" i="26"/>
  <c r="J104" i="26" s="1"/>
  <c r="P104" i="26" s="1"/>
  <c r="R104" i="26" s="1"/>
  <c r="D105" i="26"/>
  <c r="J105" i="26" s="1"/>
  <c r="P105" i="26" s="1"/>
  <c r="R105" i="26" s="1"/>
  <c r="D106" i="26"/>
  <c r="D107" i="26"/>
  <c r="D108" i="26"/>
  <c r="J108" i="26" s="1"/>
  <c r="P108" i="26" s="1"/>
  <c r="R108" i="26" s="1"/>
  <c r="D109" i="26"/>
  <c r="J109" i="26" s="1"/>
  <c r="P109" i="26" s="1"/>
  <c r="R109" i="26" s="1"/>
  <c r="D110" i="26"/>
  <c r="J110" i="26" s="1"/>
  <c r="P110" i="26" s="1"/>
  <c r="R110" i="26" s="1"/>
  <c r="D111" i="26"/>
  <c r="J111" i="26" s="1"/>
  <c r="P111" i="26" s="1"/>
  <c r="R111" i="26" s="1"/>
  <c r="D112" i="26"/>
  <c r="J112" i="26" s="1"/>
  <c r="P112" i="26" s="1"/>
  <c r="R112" i="26" s="1"/>
  <c r="D113" i="26"/>
  <c r="J113" i="26" s="1"/>
  <c r="P113" i="26" s="1"/>
  <c r="R113" i="26" s="1"/>
  <c r="D114" i="26"/>
  <c r="J114" i="26" s="1"/>
  <c r="P114" i="26" s="1"/>
  <c r="R114" i="26" s="1"/>
  <c r="D115" i="26"/>
  <c r="J115" i="26" s="1"/>
  <c r="P115" i="26" s="1"/>
  <c r="R115" i="26" s="1"/>
  <c r="D116" i="26"/>
  <c r="J116" i="26" s="1"/>
  <c r="P116" i="26" s="1"/>
  <c r="R116" i="26" s="1"/>
  <c r="D117" i="26"/>
  <c r="J117" i="26" s="1"/>
  <c r="P117" i="26" s="1"/>
  <c r="R117" i="26" s="1"/>
  <c r="D118" i="26"/>
  <c r="D119" i="26"/>
  <c r="J119" i="26" s="1"/>
  <c r="P119" i="26" s="1"/>
  <c r="R119" i="26" s="1"/>
  <c r="D120" i="26"/>
  <c r="J120" i="26" s="1"/>
  <c r="P120" i="26" s="1"/>
  <c r="R120" i="26" s="1"/>
  <c r="D121" i="26"/>
  <c r="J121" i="26" s="1"/>
  <c r="P121" i="26" s="1"/>
  <c r="R121" i="26" s="1"/>
  <c r="D122" i="26"/>
  <c r="D123" i="26"/>
  <c r="D124" i="26"/>
  <c r="J124" i="26" s="1"/>
  <c r="P124" i="26" s="1"/>
  <c r="R124" i="26" s="1"/>
  <c r="D125" i="26"/>
  <c r="J125" i="26" s="1"/>
  <c r="P125" i="26" s="1"/>
  <c r="R125" i="26" s="1"/>
  <c r="D126" i="26"/>
  <c r="J126" i="26" s="1"/>
  <c r="P126" i="26" s="1"/>
  <c r="R126" i="26" s="1"/>
  <c r="D127" i="26"/>
  <c r="J127" i="26" s="1"/>
  <c r="P127" i="26" s="1"/>
  <c r="R127" i="26" s="1"/>
  <c r="D128" i="26"/>
  <c r="J128" i="26" s="1"/>
  <c r="P128" i="26" s="1"/>
  <c r="R128" i="26" s="1"/>
  <c r="D129" i="26"/>
  <c r="J129" i="26" s="1"/>
  <c r="P129" i="26" s="1"/>
  <c r="R129" i="26" s="1"/>
  <c r="D130" i="26"/>
  <c r="J130" i="26" s="1"/>
  <c r="P130" i="26" s="1"/>
  <c r="R130" i="26" s="1"/>
  <c r="D131" i="26"/>
  <c r="J131" i="26" s="1"/>
  <c r="P131" i="26" s="1"/>
  <c r="R131" i="26" s="1"/>
  <c r="D132" i="26"/>
  <c r="J132" i="26" s="1"/>
  <c r="P132" i="26" s="1"/>
  <c r="R132" i="26" s="1"/>
  <c r="D133" i="26"/>
  <c r="J133" i="26" s="1"/>
  <c r="P133" i="26" s="1"/>
  <c r="R133" i="26" s="1"/>
  <c r="D134" i="26"/>
  <c r="D135" i="26"/>
  <c r="J135" i="26" s="1"/>
  <c r="P135" i="26" s="1"/>
  <c r="R135" i="26" s="1"/>
  <c r="D136" i="26"/>
  <c r="J136" i="26" s="1"/>
  <c r="P136" i="26" s="1"/>
  <c r="R136" i="26" s="1"/>
  <c r="D137" i="26"/>
  <c r="J137" i="26" s="1"/>
  <c r="P137" i="26" s="1"/>
  <c r="R137" i="26" s="1"/>
  <c r="D138" i="26"/>
  <c r="D139" i="26"/>
  <c r="D140" i="26"/>
  <c r="J140" i="26" s="1"/>
  <c r="P140" i="26" s="1"/>
  <c r="R140" i="26" s="1"/>
  <c r="D141" i="26"/>
  <c r="J141" i="26" s="1"/>
  <c r="P141" i="26" s="1"/>
  <c r="R141" i="26" s="1"/>
  <c r="D142" i="26"/>
  <c r="J142" i="26" s="1"/>
  <c r="P142" i="26" s="1"/>
  <c r="R142" i="26" s="1"/>
  <c r="D143" i="26"/>
  <c r="J143" i="26" s="1"/>
  <c r="P143" i="26" s="1"/>
  <c r="R143" i="26" s="1"/>
  <c r="D144" i="26"/>
  <c r="J144" i="26" s="1"/>
  <c r="P144" i="26" s="1"/>
  <c r="R144" i="26" s="1"/>
  <c r="D145" i="26"/>
  <c r="J145" i="26" s="1"/>
  <c r="P145" i="26" s="1"/>
  <c r="R145" i="26" s="1"/>
  <c r="D146" i="26"/>
  <c r="J146" i="26" s="1"/>
  <c r="P146" i="26" s="1"/>
  <c r="R146" i="26" s="1"/>
  <c r="D147" i="26"/>
  <c r="J147" i="26" s="1"/>
  <c r="P147" i="26" s="1"/>
  <c r="R147" i="26" s="1"/>
  <c r="D148" i="26"/>
  <c r="J148" i="26" s="1"/>
  <c r="P148" i="26" s="1"/>
  <c r="R148" i="26" s="1"/>
  <c r="D149" i="26"/>
  <c r="J149" i="26" s="1"/>
  <c r="P149" i="26" s="1"/>
  <c r="R149" i="26" s="1"/>
  <c r="D150" i="26"/>
  <c r="D151" i="26"/>
  <c r="J151" i="26" s="1"/>
  <c r="P151" i="26" s="1"/>
  <c r="R151" i="26" s="1"/>
  <c r="D152" i="26"/>
  <c r="J152" i="26" s="1"/>
  <c r="P152" i="26" s="1"/>
  <c r="R152" i="26" s="1"/>
  <c r="D153" i="26"/>
  <c r="J153" i="26" s="1"/>
  <c r="P153" i="26" s="1"/>
  <c r="R153" i="26" s="1"/>
  <c r="D154" i="26"/>
  <c r="D155" i="26"/>
  <c r="D156" i="26"/>
  <c r="J156" i="26" s="1"/>
  <c r="P156" i="26" s="1"/>
  <c r="R156" i="26" s="1"/>
  <c r="D157" i="26"/>
  <c r="J157" i="26" s="1"/>
  <c r="P157" i="26" s="1"/>
  <c r="R157" i="26" s="1"/>
  <c r="D158" i="26"/>
  <c r="J158" i="26" s="1"/>
  <c r="P158" i="26" s="1"/>
  <c r="R158" i="26" s="1"/>
  <c r="D159" i="26"/>
  <c r="J159" i="26" s="1"/>
  <c r="P159" i="26" s="1"/>
  <c r="R159" i="26" s="1"/>
  <c r="D160" i="26"/>
  <c r="J160" i="26" s="1"/>
  <c r="P160" i="26" s="1"/>
  <c r="R160" i="26" s="1"/>
  <c r="D161" i="26"/>
  <c r="J161" i="26" s="1"/>
  <c r="P161" i="26" s="1"/>
  <c r="R161" i="26" s="1"/>
  <c r="D162" i="26"/>
  <c r="J162" i="26" s="1"/>
  <c r="P162" i="26" s="1"/>
  <c r="R162" i="26" s="1"/>
  <c r="D163" i="26"/>
  <c r="J163" i="26" s="1"/>
  <c r="P163" i="26" s="1"/>
  <c r="R163" i="26" s="1"/>
  <c r="D164" i="26"/>
  <c r="J164" i="26" s="1"/>
  <c r="P164" i="26" s="1"/>
  <c r="R164" i="26" s="1"/>
  <c r="D165" i="26"/>
  <c r="J165" i="26" s="1"/>
  <c r="P165" i="26" s="1"/>
  <c r="R165" i="26" s="1"/>
  <c r="D166" i="26"/>
  <c r="D167" i="26"/>
  <c r="J167" i="26" s="1"/>
  <c r="P167" i="26" s="1"/>
  <c r="R167" i="26" s="1"/>
  <c r="D168" i="26"/>
  <c r="J168" i="26" s="1"/>
  <c r="P168" i="26" s="1"/>
  <c r="R168" i="26" s="1"/>
  <c r="D169" i="26"/>
  <c r="J169" i="26" s="1"/>
  <c r="P169" i="26" s="1"/>
  <c r="R169" i="26" s="1"/>
  <c r="D170" i="26"/>
  <c r="D171" i="26"/>
  <c r="D172" i="26"/>
  <c r="J172" i="26" s="1"/>
  <c r="P172" i="26" s="1"/>
  <c r="R172" i="26" s="1"/>
  <c r="D173" i="26"/>
  <c r="J173" i="26" s="1"/>
  <c r="P173" i="26" s="1"/>
  <c r="R173" i="26" s="1"/>
  <c r="D174" i="26"/>
  <c r="J174" i="26" s="1"/>
  <c r="P174" i="26" s="1"/>
  <c r="R174" i="26" s="1"/>
  <c r="D175" i="26"/>
  <c r="J175" i="26" s="1"/>
  <c r="P175" i="26" s="1"/>
  <c r="R175" i="26" s="1"/>
  <c r="D176" i="26"/>
  <c r="J176" i="26" s="1"/>
  <c r="P176" i="26" s="1"/>
  <c r="R176" i="26" s="1"/>
  <c r="D177" i="26"/>
  <c r="J177" i="26" s="1"/>
  <c r="P177" i="26" s="1"/>
  <c r="R177" i="26" s="1"/>
  <c r="D178" i="26"/>
  <c r="J178" i="26" s="1"/>
  <c r="P178" i="26" s="1"/>
  <c r="R178" i="26" s="1"/>
  <c r="D179" i="26"/>
  <c r="J179" i="26" s="1"/>
  <c r="P179" i="26" s="1"/>
  <c r="R179" i="26" s="1"/>
  <c r="D180" i="26"/>
  <c r="J180" i="26" s="1"/>
  <c r="P180" i="26" s="1"/>
  <c r="R180" i="26" s="1"/>
  <c r="D181" i="26"/>
  <c r="J181" i="26" s="1"/>
  <c r="P181" i="26" s="1"/>
  <c r="R181" i="26" s="1"/>
  <c r="D182" i="26"/>
  <c r="D183" i="26"/>
  <c r="J183" i="26" s="1"/>
  <c r="P183" i="26" s="1"/>
  <c r="R183" i="26" s="1"/>
  <c r="D184" i="26"/>
  <c r="J184" i="26" s="1"/>
  <c r="P184" i="26" s="1"/>
  <c r="R184" i="26" s="1"/>
  <c r="D185" i="26"/>
  <c r="J185" i="26" s="1"/>
  <c r="P185" i="26" s="1"/>
  <c r="R185" i="26" s="1"/>
  <c r="D186" i="26"/>
  <c r="D187" i="26"/>
  <c r="D188" i="26"/>
  <c r="J188" i="26" s="1"/>
  <c r="P188" i="26" s="1"/>
  <c r="R188" i="26" s="1"/>
  <c r="D189" i="26"/>
  <c r="J189" i="26" s="1"/>
  <c r="P189" i="26" s="1"/>
  <c r="R189" i="26" s="1"/>
  <c r="D190" i="26"/>
  <c r="J190" i="26" s="1"/>
  <c r="P190" i="26" s="1"/>
  <c r="R190" i="26" s="1"/>
  <c r="D191" i="26"/>
  <c r="J191" i="26" s="1"/>
  <c r="P191" i="26" s="1"/>
  <c r="R191" i="26" s="1"/>
  <c r="D192" i="26"/>
  <c r="J192" i="26" s="1"/>
  <c r="P192" i="26" s="1"/>
  <c r="R192" i="26" s="1"/>
  <c r="D193" i="26"/>
  <c r="J193" i="26" s="1"/>
  <c r="P193" i="26" s="1"/>
  <c r="R193" i="26" s="1"/>
  <c r="D194" i="26"/>
  <c r="J194" i="26" s="1"/>
  <c r="P194" i="26" s="1"/>
  <c r="R194" i="26" s="1"/>
  <c r="D195" i="26"/>
  <c r="J195" i="26" s="1"/>
  <c r="P195" i="26" s="1"/>
  <c r="R195" i="26" s="1"/>
  <c r="D196" i="26"/>
  <c r="J196" i="26" s="1"/>
  <c r="P196" i="26" s="1"/>
  <c r="R196" i="26" s="1"/>
  <c r="D197" i="26"/>
  <c r="J197" i="26" s="1"/>
  <c r="P197" i="26" s="1"/>
  <c r="R197" i="26" s="1"/>
  <c r="D198" i="26"/>
  <c r="D199" i="26"/>
  <c r="J199" i="26" s="1"/>
  <c r="P199" i="26" s="1"/>
  <c r="R199" i="26" s="1"/>
  <c r="D200" i="26"/>
  <c r="J200" i="26" s="1"/>
  <c r="P200" i="26" s="1"/>
  <c r="R200" i="26" s="1"/>
  <c r="D201" i="26"/>
  <c r="J201" i="26" s="1"/>
  <c r="P201" i="26" s="1"/>
  <c r="R201" i="26" s="1"/>
  <c r="D202" i="26"/>
  <c r="D203" i="26"/>
  <c r="D204" i="26"/>
  <c r="J204" i="26" s="1"/>
  <c r="P204" i="26" s="1"/>
  <c r="R204" i="26" s="1"/>
  <c r="D205" i="26"/>
  <c r="J205" i="26" s="1"/>
  <c r="P205" i="26" s="1"/>
  <c r="R205" i="26" s="1"/>
  <c r="D206" i="26"/>
  <c r="J206" i="26" s="1"/>
  <c r="P206" i="26" s="1"/>
  <c r="R206" i="26" s="1"/>
  <c r="D207" i="26"/>
  <c r="J207" i="26" s="1"/>
  <c r="P207" i="26" s="1"/>
  <c r="R207" i="26" s="1"/>
  <c r="D208" i="26"/>
  <c r="J208" i="26" s="1"/>
  <c r="P208" i="26" s="1"/>
  <c r="R208" i="26" s="1"/>
  <c r="D209" i="26"/>
  <c r="J209" i="26" s="1"/>
  <c r="P209" i="26" s="1"/>
  <c r="R209" i="26" s="1"/>
  <c r="D210" i="26"/>
  <c r="J210" i="26" s="1"/>
  <c r="P210" i="26" s="1"/>
  <c r="R210" i="26" s="1"/>
  <c r="D211" i="26"/>
  <c r="J211" i="26" s="1"/>
  <c r="P211" i="26" s="1"/>
  <c r="R211" i="26" s="1"/>
  <c r="D212" i="26"/>
  <c r="J212" i="26" s="1"/>
  <c r="P212" i="26" s="1"/>
  <c r="R212" i="26" s="1"/>
  <c r="D213" i="26"/>
  <c r="J213" i="26" s="1"/>
  <c r="P213" i="26" s="1"/>
  <c r="R213" i="26" s="1"/>
  <c r="D214" i="26"/>
  <c r="D215" i="26"/>
  <c r="J215" i="26" s="1"/>
  <c r="P215" i="26" s="1"/>
  <c r="R215" i="26" s="1"/>
  <c r="D216" i="26"/>
  <c r="J216" i="26" s="1"/>
  <c r="P216" i="26" s="1"/>
  <c r="R216" i="26" s="1"/>
  <c r="D217" i="26"/>
  <c r="J217" i="26" s="1"/>
  <c r="P217" i="26" s="1"/>
  <c r="R217" i="26" s="1"/>
  <c r="D218" i="26"/>
  <c r="D219" i="26"/>
  <c r="D220" i="26"/>
  <c r="J220" i="26" s="1"/>
  <c r="P220" i="26" s="1"/>
  <c r="R220" i="26" s="1"/>
  <c r="D221" i="26"/>
  <c r="J221" i="26" s="1"/>
  <c r="P221" i="26" s="1"/>
  <c r="R221" i="26" s="1"/>
  <c r="D222" i="26"/>
  <c r="J222" i="26" s="1"/>
  <c r="P222" i="26" s="1"/>
  <c r="R222" i="26" s="1"/>
  <c r="D223" i="26"/>
  <c r="J223" i="26" s="1"/>
  <c r="P223" i="26" s="1"/>
  <c r="R223" i="26" s="1"/>
  <c r="D224" i="26"/>
  <c r="J224" i="26" s="1"/>
  <c r="P224" i="26" s="1"/>
  <c r="R224" i="26" s="1"/>
  <c r="D225" i="26"/>
  <c r="J225" i="26" s="1"/>
  <c r="P225" i="26" s="1"/>
  <c r="R225" i="26" s="1"/>
  <c r="D226" i="26"/>
  <c r="J226" i="26" s="1"/>
  <c r="P226" i="26" s="1"/>
  <c r="R226" i="26" s="1"/>
  <c r="D227" i="26"/>
  <c r="J227" i="26" s="1"/>
  <c r="P227" i="26" s="1"/>
  <c r="R227" i="26" s="1"/>
  <c r="D228" i="26"/>
  <c r="J228" i="26" s="1"/>
  <c r="P228" i="26" s="1"/>
  <c r="R228" i="26" s="1"/>
  <c r="D229" i="26"/>
  <c r="J229" i="26" s="1"/>
  <c r="P229" i="26" s="1"/>
  <c r="R229" i="26" s="1"/>
  <c r="D230" i="26"/>
  <c r="J230" i="26" s="1"/>
  <c r="P230" i="26" s="1"/>
  <c r="R230" i="26" s="1"/>
  <c r="D231" i="26"/>
  <c r="J231" i="26" s="1"/>
  <c r="P231" i="26" s="1"/>
  <c r="R231" i="26" s="1"/>
  <c r="D232" i="26"/>
  <c r="J232" i="26" s="1"/>
  <c r="P232" i="26" s="1"/>
  <c r="R232" i="26" s="1"/>
  <c r="D233" i="26"/>
  <c r="J233" i="26" s="1"/>
  <c r="P233" i="26" s="1"/>
  <c r="R233" i="26" s="1"/>
  <c r="D234" i="26"/>
  <c r="J234" i="26" s="1"/>
  <c r="P234" i="26" s="1"/>
  <c r="R234" i="26" s="1"/>
  <c r="D235" i="26"/>
  <c r="J235" i="26" s="1"/>
  <c r="P235" i="26" s="1"/>
  <c r="R235" i="26" s="1"/>
  <c r="D236" i="26"/>
  <c r="J236" i="26" s="1"/>
  <c r="P236" i="26" s="1"/>
  <c r="R236" i="26" s="1"/>
  <c r="D237" i="26"/>
  <c r="J237" i="26" s="1"/>
  <c r="P237" i="26" s="1"/>
  <c r="R237" i="26" s="1"/>
  <c r="D238" i="26"/>
  <c r="J238" i="26" s="1"/>
  <c r="P238" i="26" s="1"/>
  <c r="R238" i="26" s="1"/>
  <c r="D239" i="26"/>
  <c r="J239" i="26" s="1"/>
  <c r="P239" i="26" s="1"/>
  <c r="R239" i="26" s="1"/>
  <c r="D240" i="26"/>
  <c r="J240" i="26" s="1"/>
  <c r="P240" i="26" s="1"/>
  <c r="R240" i="26" s="1"/>
  <c r="D241" i="26"/>
  <c r="J241" i="26" s="1"/>
  <c r="P241" i="26" s="1"/>
  <c r="R241" i="26" s="1"/>
  <c r="D242" i="26"/>
  <c r="J242" i="26" s="1"/>
  <c r="P242" i="26" s="1"/>
  <c r="R242" i="26" s="1"/>
  <c r="D243" i="26"/>
  <c r="J243" i="26" s="1"/>
  <c r="P243" i="26" s="1"/>
  <c r="R243" i="26" s="1"/>
  <c r="D244" i="26"/>
  <c r="J244" i="26" s="1"/>
  <c r="P244" i="26" s="1"/>
  <c r="R244" i="26" s="1"/>
  <c r="D245" i="26"/>
  <c r="J245" i="26" s="1"/>
  <c r="P245" i="26" s="1"/>
  <c r="R245" i="26" s="1"/>
  <c r="D246" i="26"/>
  <c r="J246" i="26" s="1"/>
  <c r="P246" i="26" s="1"/>
  <c r="R246" i="26" s="1"/>
  <c r="D247" i="26"/>
  <c r="J247" i="26" s="1"/>
  <c r="P247" i="26" s="1"/>
  <c r="R247" i="26" s="1"/>
  <c r="D248" i="26"/>
  <c r="J248" i="26" s="1"/>
  <c r="P248" i="26" s="1"/>
  <c r="R248" i="26" s="1"/>
  <c r="D249" i="26"/>
  <c r="J249" i="26" s="1"/>
  <c r="P249" i="26" s="1"/>
  <c r="R249" i="26" s="1"/>
  <c r="D250" i="26"/>
  <c r="J250" i="26" s="1"/>
  <c r="P250" i="26" s="1"/>
  <c r="R250" i="26" s="1"/>
  <c r="D251" i="26"/>
  <c r="J251" i="26" s="1"/>
  <c r="P251" i="26" s="1"/>
  <c r="R251" i="26" s="1"/>
  <c r="D252" i="26"/>
  <c r="J252" i="26" s="1"/>
  <c r="P252" i="26" s="1"/>
  <c r="R252" i="26" s="1"/>
  <c r="D253" i="26"/>
  <c r="J253" i="26" s="1"/>
  <c r="P253" i="26" s="1"/>
  <c r="R253" i="26" s="1"/>
  <c r="D254" i="26"/>
  <c r="J254" i="26" s="1"/>
  <c r="P254" i="26" s="1"/>
  <c r="R254" i="26" s="1"/>
  <c r="D255" i="26"/>
  <c r="J255" i="26" s="1"/>
  <c r="P255" i="26" s="1"/>
  <c r="R255" i="26" s="1"/>
  <c r="D256" i="26"/>
  <c r="J256" i="26" s="1"/>
  <c r="P256" i="26" s="1"/>
  <c r="R256" i="26" s="1"/>
  <c r="D257" i="26"/>
  <c r="J257" i="26" s="1"/>
  <c r="P257" i="26" s="1"/>
  <c r="R257" i="26" s="1"/>
  <c r="D258" i="26"/>
  <c r="J258" i="26" s="1"/>
  <c r="P258" i="26" s="1"/>
  <c r="R258" i="26" s="1"/>
  <c r="D259" i="26"/>
  <c r="J259" i="26" s="1"/>
  <c r="P259" i="26" s="1"/>
  <c r="R259" i="26" s="1"/>
  <c r="D260" i="26"/>
  <c r="J260" i="26" s="1"/>
  <c r="P260" i="26" s="1"/>
  <c r="R260" i="26" s="1"/>
  <c r="D261" i="26"/>
  <c r="J261" i="26" s="1"/>
  <c r="P261" i="26" s="1"/>
  <c r="R261" i="26" s="1"/>
  <c r="D262" i="26"/>
  <c r="J262" i="26" s="1"/>
  <c r="P262" i="26" s="1"/>
  <c r="R262" i="26" s="1"/>
  <c r="D263" i="26"/>
  <c r="J263" i="26" s="1"/>
  <c r="P263" i="26" s="1"/>
  <c r="R263" i="26" s="1"/>
  <c r="D264" i="26"/>
  <c r="J264" i="26" s="1"/>
  <c r="P264" i="26" s="1"/>
  <c r="R264" i="26" s="1"/>
  <c r="D265" i="26"/>
  <c r="J265" i="26" s="1"/>
  <c r="P265" i="26" s="1"/>
  <c r="R265" i="26" s="1"/>
  <c r="D266" i="26"/>
  <c r="J266" i="26" s="1"/>
  <c r="P266" i="26" s="1"/>
  <c r="R266" i="26" s="1"/>
  <c r="D8" i="26"/>
  <c r="J8" i="26" s="1"/>
  <c r="P8" i="26" s="1"/>
  <c r="R8" i="26" s="1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8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K2" i="26"/>
  <c r="H267" i="26" l="1"/>
  <c r="I267" i="26"/>
  <c r="D267" i="26"/>
  <c r="J52" i="26"/>
  <c r="E267" i="26"/>
  <c r="K52" i="26"/>
  <c r="F267" i="26"/>
  <c r="G267" i="26"/>
  <c r="L267" i="26"/>
  <c r="M267" i="26"/>
  <c r="N267" i="26"/>
  <c r="O267" i="26"/>
  <c r="J267" i="26" l="1"/>
  <c r="P52" i="26"/>
  <c r="Q52" i="26"/>
  <c r="Q267" i="26" s="1"/>
  <c r="K267" i="26"/>
  <c r="P267" i="26" l="1"/>
  <c r="R52" i="26"/>
  <c r="F284" i="9" l="1"/>
  <c r="E284" i="9"/>
  <c r="D284" i="9"/>
  <c r="C284" i="9"/>
  <c r="B284" i="9"/>
  <c r="A284" i="9"/>
  <c r="F283" i="9"/>
  <c r="E283" i="9"/>
  <c r="D283" i="9"/>
  <c r="C283" i="9"/>
  <c r="B283" i="9"/>
  <c r="A283" i="9"/>
  <c r="F282" i="9"/>
  <c r="E282" i="9"/>
  <c r="D282" i="9"/>
  <c r="C282" i="9"/>
  <c r="B282" i="9"/>
  <c r="A282" i="9"/>
  <c r="F281" i="9"/>
  <c r="E281" i="9"/>
  <c r="D281" i="9"/>
  <c r="C281" i="9"/>
  <c r="B281" i="9"/>
  <c r="A281" i="9"/>
  <c r="F280" i="9"/>
  <c r="E280" i="9"/>
  <c r="D280" i="9"/>
  <c r="C280" i="9"/>
  <c r="B280" i="9"/>
  <c r="A280" i="9"/>
  <c r="F279" i="9"/>
  <c r="E279" i="9"/>
  <c r="D279" i="9"/>
  <c r="C279" i="9"/>
  <c r="B279" i="9"/>
  <c r="A279" i="9"/>
  <c r="F278" i="9"/>
  <c r="E278" i="9"/>
  <c r="D278" i="9"/>
  <c r="C278" i="9"/>
  <c r="B278" i="9"/>
  <c r="A278" i="9"/>
  <c r="F277" i="9"/>
  <c r="E277" i="9"/>
  <c r="D277" i="9"/>
  <c r="C277" i="9"/>
  <c r="B277" i="9"/>
  <c r="A277" i="9"/>
  <c r="F276" i="9"/>
  <c r="E276" i="9"/>
  <c r="D276" i="9"/>
  <c r="C276" i="9"/>
  <c r="B276" i="9"/>
  <c r="A276" i="9"/>
  <c r="F275" i="9"/>
  <c r="E275" i="9"/>
  <c r="D275" i="9"/>
  <c r="C275" i="9"/>
  <c r="B275" i="9"/>
  <c r="A275" i="9"/>
  <c r="F274" i="9"/>
  <c r="E274" i="9"/>
  <c r="D274" i="9"/>
  <c r="C274" i="9"/>
  <c r="B274" i="9"/>
  <c r="A274" i="9"/>
  <c r="F273" i="9"/>
  <c r="E273" i="9"/>
  <c r="D273" i="9"/>
  <c r="C273" i="9"/>
  <c r="B273" i="9"/>
  <c r="A273" i="9"/>
  <c r="F272" i="9"/>
  <c r="E272" i="9"/>
  <c r="D272" i="9"/>
  <c r="C272" i="9"/>
  <c r="B272" i="9"/>
  <c r="A272" i="9"/>
  <c r="F271" i="9"/>
  <c r="E271" i="9"/>
  <c r="D271" i="9"/>
  <c r="C271" i="9"/>
  <c r="B271" i="9"/>
  <c r="A271" i="9"/>
  <c r="F270" i="9"/>
  <c r="E270" i="9"/>
  <c r="D270" i="9"/>
  <c r="C270" i="9"/>
  <c r="B270" i="9"/>
  <c r="A270" i="9"/>
  <c r="F269" i="9"/>
  <c r="E269" i="9"/>
  <c r="D269" i="9"/>
  <c r="C269" i="9"/>
  <c r="B269" i="9"/>
  <c r="A269" i="9"/>
  <c r="F268" i="9"/>
  <c r="E268" i="9"/>
  <c r="D268" i="9"/>
  <c r="C268" i="9"/>
  <c r="B268" i="9"/>
  <c r="A268" i="9"/>
  <c r="F267" i="9"/>
  <c r="E267" i="9"/>
  <c r="D267" i="9"/>
  <c r="C267" i="9"/>
  <c r="B267" i="9"/>
  <c r="A267" i="9"/>
  <c r="F266" i="9"/>
  <c r="E266" i="9"/>
  <c r="D266" i="9"/>
  <c r="C266" i="9"/>
  <c r="B266" i="9"/>
  <c r="A266" i="9"/>
  <c r="F265" i="9"/>
  <c r="E265" i="9"/>
  <c r="D265" i="9"/>
  <c r="C265" i="9"/>
  <c r="B265" i="9"/>
  <c r="A265" i="9"/>
  <c r="F264" i="9"/>
  <c r="E264" i="9"/>
  <c r="D264" i="9"/>
  <c r="C264" i="9"/>
  <c r="B264" i="9"/>
  <c r="A264" i="9"/>
  <c r="F263" i="9"/>
  <c r="E263" i="9"/>
  <c r="D263" i="9"/>
  <c r="C263" i="9"/>
  <c r="B263" i="9"/>
  <c r="A263" i="9"/>
  <c r="F262" i="9"/>
  <c r="E262" i="9"/>
  <c r="D262" i="9"/>
  <c r="C262" i="9"/>
  <c r="B262" i="9"/>
  <c r="A262" i="9"/>
  <c r="F261" i="9"/>
  <c r="E261" i="9"/>
  <c r="D261" i="9"/>
  <c r="C261" i="9"/>
  <c r="B261" i="9"/>
  <c r="A261" i="9"/>
  <c r="F260" i="9"/>
  <c r="E260" i="9"/>
  <c r="D260" i="9"/>
  <c r="C260" i="9"/>
  <c r="B260" i="9"/>
  <c r="A260" i="9"/>
  <c r="F259" i="9"/>
  <c r="E259" i="9"/>
  <c r="D259" i="9"/>
  <c r="C259" i="9"/>
  <c r="B259" i="9"/>
  <c r="A259" i="9"/>
  <c r="F258" i="9"/>
  <c r="E258" i="9"/>
  <c r="D258" i="9"/>
  <c r="C258" i="9"/>
  <c r="B258" i="9"/>
  <c r="A258" i="9"/>
  <c r="F257" i="9"/>
  <c r="E257" i="9"/>
  <c r="D257" i="9"/>
  <c r="C257" i="9"/>
  <c r="B257" i="9"/>
  <c r="A257" i="9"/>
  <c r="F256" i="9"/>
  <c r="E256" i="9"/>
  <c r="D256" i="9"/>
  <c r="C256" i="9"/>
  <c r="B256" i="9"/>
  <c r="A256" i="9"/>
  <c r="F255" i="9"/>
  <c r="E255" i="9"/>
  <c r="D255" i="9"/>
  <c r="C255" i="9"/>
  <c r="B255" i="9"/>
  <c r="A255" i="9"/>
  <c r="F254" i="9"/>
  <c r="E254" i="9"/>
  <c r="D254" i="9"/>
  <c r="C254" i="9"/>
  <c r="B254" i="9"/>
  <c r="A254" i="9"/>
  <c r="F253" i="9"/>
  <c r="E253" i="9"/>
  <c r="D253" i="9"/>
  <c r="C253" i="9"/>
  <c r="B253" i="9"/>
  <c r="A253" i="9"/>
  <c r="F252" i="9"/>
  <c r="E252" i="9"/>
  <c r="D252" i="9"/>
  <c r="C252" i="9"/>
  <c r="B252" i="9"/>
  <c r="A252" i="9"/>
  <c r="F251" i="9"/>
  <c r="E251" i="9"/>
  <c r="D251" i="9"/>
  <c r="C251" i="9"/>
  <c r="B251" i="9"/>
  <c r="A251" i="9"/>
  <c r="F250" i="9"/>
  <c r="E250" i="9"/>
  <c r="D250" i="9"/>
  <c r="C250" i="9"/>
  <c r="B250" i="9"/>
  <c r="A250" i="9"/>
  <c r="F249" i="9"/>
  <c r="E249" i="9"/>
  <c r="D249" i="9"/>
  <c r="C249" i="9"/>
  <c r="B249" i="9"/>
  <c r="A249" i="9"/>
  <c r="F248" i="9"/>
  <c r="E248" i="9"/>
  <c r="D248" i="9"/>
  <c r="C248" i="9"/>
  <c r="B248" i="9"/>
  <c r="A248" i="9"/>
  <c r="F247" i="9"/>
  <c r="E247" i="9"/>
  <c r="D247" i="9"/>
  <c r="C247" i="9"/>
  <c r="B247" i="9"/>
  <c r="A247" i="9"/>
  <c r="F246" i="9"/>
  <c r="E246" i="9"/>
  <c r="D246" i="9"/>
  <c r="C246" i="9"/>
  <c r="B246" i="9"/>
  <c r="A246" i="9"/>
  <c r="F245" i="9"/>
  <c r="E245" i="9"/>
  <c r="D245" i="9"/>
  <c r="C245" i="9"/>
  <c r="B245" i="9"/>
  <c r="A245" i="9"/>
  <c r="F244" i="9"/>
  <c r="E244" i="9"/>
  <c r="D244" i="9"/>
  <c r="C244" i="9"/>
  <c r="B244" i="9"/>
  <c r="A244" i="9"/>
  <c r="F243" i="9"/>
  <c r="E243" i="9"/>
  <c r="D243" i="9"/>
  <c r="C243" i="9"/>
  <c r="B243" i="9"/>
  <c r="A243" i="9"/>
  <c r="F242" i="9"/>
  <c r="E242" i="9"/>
  <c r="D242" i="9"/>
  <c r="C242" i="9"/>
  <c r="B242" i="9"/>
  <c r="A242" i="9"/>
  <c r="F241" i="9"/>
  <c r="E241" i="9"/>
  <c r="D241" i="9"/>
  <c r="C241" i="9"/>
  <c r="B241" i="9"/>
  <c r="A241" i="9"/>
  <c r="F240" i="9"/>
  <c r="E240" i="9"/>
  <c r="D240" i="9"/>
  <c r="C240" i="9"/>
  <c r="B240" i="9"/>
  <c r="A240" i="9"/>
  <c r="F239" i="9"/>
  <c r="E239" i="9"/>
  <c r="D239" i="9"/>
  <c r="C239" i="9"/>
  <c r="B239" i="9"/>
  <c r="A239" i="9"/>
  <c r="F238" i="9"/>
  <c r="E238" i="9"/>
  <c r="D238" i="9"/>
  <c r="C238" i="9"/>
  <c r="B238" i="9"/>
  <c r="A238" i="9"/>
  <c r="F237" i="9"/>
  <c r="E237" i="9"/>
  <c r="D237" i="9"/>
  <c r="C237" i="9"/>
  <c r="B237" i="9"/>
  <c r="A237" i="9"/>
  <c r="F236" i="9"/>
  <c r="E236" i="9"/>
  <c r="D236" i="9"/>
  <c r="C236" i="9"/>
  <c r="B236" i="9"/>
  <c r="A236" i="9"/>
  <c r="F235" i="9"/>
  <c r="E235" i="9"/>
  <c r="D235" i="9"/>
  <c r="C235" i="9"/>
  <c r="B235" i="9"/>
  <c r="A235" i="9"/>
  <c r="F234" i="9"/>
  <c r="E234" i="9"/>
  <c r="D234" i="9"/>
  <c r="C234" i="9"/>
  <c r="B234" i="9"/>
  <c r="A234" i="9"/>
  <c r="F233" i="9"/>
  <c r="E233" i="9"/>
  <c r="D233" i="9"/>
  <c r="C233" i="9"/>
  <c r="B233" i="9"/>
  <c r="A233" i="9"/>
  <c r="F232" i="9"/>
  <c r="E232" i="9"/>
  <c r="D232" i="9"/>
  <c r="C232" i="9"/>
  <c r="B232" i="9"/>
  <c r="A232" i="9"/>
  <c r="F231" i="9"/>
  <c r="E231" i="9"/>
  <c r="D231" i="9"/>
  <c r="C231" i="9"/>
  <c r="B231" i="9"/>
  <c r="A231" i="9"/>
  <c r="F230" i="9"/>
  <c r="E230" i="9"/>
  <c r="D230" i="9"/>
  <c r="C230" i="9"/>
  <c r="B230" i="9"/>
  <c r="A230" i="9"/>
  <c r="F229" i="9"/>
  <c r="E229" i="9"/>
  <c r="D229" i="9"/>
  <c r="C229" i="9"/>
  <c r="B229" i="9"/>
  <c r="A229" i="9"/>
  <c r="F228" i="9"/>
  <c r="E228" i="9"/>
  <c r="D228" i="9"/>
  <c r="C228" i="9"/>
  <c r="B228" i="9"/>
  <c r="A228" i="9"/>
  <c r="F227" i="9"/>
  <c r="E227" i="9"/>
  <c r="D227" i="9"/>
  <c r="C227" i="9"/>
  <c r="B227" i="9"/>
  <c r="A227" i="9"/>
  <c r="F226" i="9"/>
  <c r="E226" i="9"/>
  <c r="D226" i="9"/>
  <c r="C226" i="9"/>
  <c r="B226" i="9"/>
  <c r="A226" i="9"/>
  <c r="F225" i="9"/>
  <c r="E225" i="9"/>
  <c r="D225" i="9"/>
  <c r="C225" i="9"/>
  <c r="B225" i="9"/>
  <c r="A225" i="9"/>
  <c r="F224" i="9"/>
  <c r="E224" i="9"/>
  <c r="D224" i="9"/>
  <c r="C224" i="9"/>
  <c r="B224" i="9"/>
  <c r="A224" i="9"/>
  <c r="F223" i="9"/>
  <c r="E223" i="9"/>
  <c r="D223" i="9"/>
  <c r="C223" i="9"/>
  <c r="B223" i="9"/>
  <c r="A223" i="9"/>
  <c r="F222" i="9"/>
  <c r="E222" i="9"/>
  <c r="D222" i="9"/>
  <c r="C222" i="9"/>
  <c r="B222" i="9"/>
  <c r="A222" i="9"/>
  <c r="F221" i="9"/>
  <c r="E221" i="9"/>
  <c r="D221" i="9"/>
  <c r="C221" i="9"/>
  <c r="B221" i="9"/>
  <c r="A221" i="9"/>
  <c r="F220" i="9"/>
  <c r="E220" i="9"/>
  <c r="D220" i="9"/>
  <c r="C220" i="9"/>
  <c r="B220" i="9"/>
  <c r="A220" i="9"/>
  <c r="F219" i="9"/>
  <c r="E219" i="9"/>
  <c r="D219" i="9"/>
  <c r="C219" i="9"/>
  <c r="B219" i="9"/>
  <c r="A219" i="9"/>
  <c r="F218" i="9"/>
  <c r="E218" i="9"/>
  <c r="D218" i="9"/>
  <c r="C218" i="9"/>
  <c r="B218" i="9"/>
  <c r="A218" i="9"/>
  <c r="F217" i="9"/>
  <c r="E217" i="9"/>
  <c r="D217" i="9"/>
  <c r="C217" i="9"/>
  <c r="B217" i="9"/>
  <c r="A217" i="9"/>
  <c r="F216" i="9"/>
  <c r="E216" i="9"/>
  <c r="D216" i="9"/>
  <c r="C216" i="9"/>
  <c r="B216" i="9"/>
  <c r="A216" i="9"/>
  <c r="F215" i="9"/>
  <c r="E215" i="9"/>
  <c r="D215" i="9"/>
  <c r="C215" i="9"/>
  <c r="B215" i="9"/>
  <c r="A215" i="9"/>
  <c r="F214" i="9"/>
  <c r="E214" i="9"/>
  <c r="D214" i="9"/>
  <c r="C214" i="9"/>
  <c r="B214" i="9"/>
  <c r="A214" i="9"/>
  <c r="F213" i="9"/>
  <c r="E213" i="9"/>
  <c r="D213" i="9"/>
  <c r="C213" i="9"/>
  <c r="B213" i="9"/>
  <c r="A213" i="9"/>
  <c r="F212" i="9"/>
  <c r="E212" i="9"/>
  <c r="D212" i="9"/>
  <c r="C212" i="9"/>
  <c r="B212" i="9"/>
  <c r="A212" i="9"/>
  <c r="F211" i="9"/>
  <c r="E211" i="9"/>
  <c r="D211" i="9"/>
  <c r="C211" i="9"/>
  <c r="B211" i="9"/>
  <c r="A211" i="9"/>
  <c r="F210" i="9"/>
  <c r="E210" i="9"/>
  <c r="D210" i="9"/>
  <c r="C210" i="9"/>
  <c r="B210" i="9"/>
  <c r="A210" i="9"/>
  <c r="F209" i="9"/>
  <c r="E209" i="9"/>
  <c r="D209" i="9"/>
  <c r="C209" i="9"/>
  <c r="B209" i="9"/>
  <c r="A209" i="9"/>
  <c r="F208" i="9"/>
  <c r="E208" i="9"/>
  <c r="D208" i="9"/>
  <c r="C208" i="9"/>
  <c r="B208" i="9"/>
  <c r="A208" i="9"/>
  <c r="F207" i="9"/>
  <c r="E207" i="9"/>
  <c r="D207" i="9"/>
  <c r="C207" i="9"/>
  <c r="B207" i="9"/>
  <c r="A207" i="9"/>
  <c r="F206" i="9"/>
  <c r="E206" i="9"/>
  <c r="D206" i="9"/>
  <c r="C206" i="9"/>
  <c r="B206" i="9"/>
  <c r="A206" i="9"/>
  <c r="F205" i="9"/>
  <c r="E205" i="9"/>
  <c r="D205" i="9"/>
  <c r="C205" i="9"/>
  <c r="B205" i="9"/>
  <c r="A205" i="9"/>
  <c r="F204" i="9"/>
  <c r="E204" i="9"/>
  <c r="D204" i="9"/>
  <c r="C204" i="9"/>
  <c r="B204" i="9"/>
  <c r="A204" i="9"/>
  <c r="F203" i="9"/>
  <c r="E203" i="9"/>
  <c r="D203" i="9"/>
  <c r="C203" i="9"/>
  <c r="B203" i="9"/>
  <c r="A203" i="9"/>
  <c r="F202" i="9"/>
  <c r="E202" i="9"/>
  <c r="D202" i="9"/>
  <c r="C202" i="9"/>
  <c r="B202" i="9"/>
  <c r="A202" i="9"/>
  <c r="F201" i="9"/>
  <c r="E201" i="9"/>
  <c r="D201" i="9"/>
  <c r="C201" i="9"/>
  <c r="B201" i="9"/>
  <c r="A201" i="9"/>
  <c r="F200" i="9"/>
  <c r="E200" i="9"/>
  <c r="D200" i="9"/>
  <c r="C200" i="9"/>
  <c r="B200" i="9"/>
  <c r="A200" i="9"/>
  <c r="F199" i="9"/>
  <c r="E199" i="9"/>
  <c r="D199" i="9"/>
  <c r="C199" i="9"/>
  <c r="B199" i="9"/>
  <c r="A199" i="9"/>
  <c r="F198" i="9"/>
  <c r="E198" i="9"/>
  <c r="D198" i="9"/>
  <c r="C198" i="9"/>
  <c r="B198" i="9"/>
  <c r="A198" i="9"/>
  <c r="F197" i="9"/>
  <c r="E197" i="9"/>
  <c r="D197" i="9"/>
  <c r="C197" i="9"/>
  <c r="B197" i="9"/>
  <c r="A197" i="9"/>
  <c r="F196" i="9"/>
  <c r="E196" i="9"/>
  <c r="D196" i="9"/>
  <c r="C196" i="9"/>
  <c r="B196" i="9"/>
  <c r="A196" i="9"/>
  <c r="F195" i="9"/>
  <c r="E195" i="9"/>
  <c r="D195" i="9"/>
  <c r="C195" i="9"/>
  <c r="B195" i="9"/>
  <c r="A195" i="9"/>
  <c r="F194" i="9"/>
  <c r="E194" i="9"/>
  <c r="D194" i="9"/>
  <c r="C194" i="9"/>
  <c r="B194" i="9"/>
  <c r="A194" i="9"/>
  <c r="F193" i="9"/>
  <c r="E193" i="9"/>
  <c r="D193" i="9"/>
  <c r="C193" i="9"/>
  <c r="B193" i="9"/>
  <c r="A193" i="9"/>
  <c r="F192" i="9"/>
  <c r="E192" i="9"/>
  <c r="D192" i="9"/>
  <c r="C192" i="9"/>
  <c r="B192" i="9"/>
  <c r="A192" i="9"/>
  <c r="F191" i="9"/>
  <c r="E191" i="9"/>
  <c r="D191" i="9"/>
  <c r="C191" i="9"/>
  <c r="B191" i="9"/>
  <c r="A191" i="9"/>
  <c r="F190" i="9"/>
  <c r="E190" i="9"/>
  <c r="D190" i="9"/>
  <c r="C190" i="9"/>
  <c r="B190" i="9"/>
  <c r="A190" i="9"/>
  <c r="F189" i="9"/>
  <c r="E189" i="9"/>
  <c r="D189" i="9"/>
  <c r="C189" i="9"/>
  <c r="B189" i="9"/>
  <c r="A189" i="9"/>
  <c r="F188" i="9"/>
  <c r="E188" i="9"/>
  <c r="D188" i="9"/>
  <c r="C188" i="9"/>
  <c r="B188" i="9"/>
  <c r="A188" i="9"/>
  <c r="F187" i="9"/>
  <c r="E187" i="9"/>
  <c r="D187" i="9"/>
  <c r="C187" i="9"/>
  <c r="B187" i="9"/>
  <c r="A187" i="9"/>
  <c r="F186" i="9"/>
  <c r="E186" i="9"/>
  <c r="D186" i="9"/>
  <c r="C186" i="9"/>
  <c r="B186" i="9"/>
  <c r="A186" i="9"/>
  <c r="F185" i="9"/>
  <c r="E185" i="9"/>
  <c r="D185" i="9"/>
  <c r="C185" i="9"/>
  <c r="B185" i="9"/>
  <c r="A185" i="9"/>
  <c r="F184" i="9"/>
  <c r="E184" i="9"/>
  <c r="D184" i="9"/>
  <c r="C184" i="9"/>
  <c r="B184" i="9"/>
  <c r="A184" i="9"/>
  <c r="F183" i="9"/>
  <c r="E183" i="9"/>
  <c r="D183" i="9"/>
  <c r="C183" i="9"/>
  <c r="B183" i="9"/>
  <c r="A183" i="9"/>
  <c r="F182" i="9"/>
  <c r="E182" i="9"/>
  <c r="D182" i="9"/>
  <c r="C182" i="9"/>
  <c r="B182" i="9"/>
  <c r="A182" i="9"/>
  <c r="F181" i="9"/>
  <c r="E181" i="9"/>
  <c r="D181" i="9"/>
  <c r="C181" i="9"/>
  <c r="B181" i="9"/>
  <c r="A181" i="9"/>
  <c r="F180" i="9"/>
  <c r="E180" i="9"/>
  <c r="D180" i="9"/>
  <c r="C180" i="9"/>
  <c r="B180" i="9"/>
  <c r="A180" i="9"/>
  <c r="F179" i="9"/>
  <c r="E179" i="9"/>
  <c r="D179" i="9"/>
  <c r="C179" i="9"/>
  <c r="B179" i="9"/>
  <c r="A179" i="9"/>
  <c r="F178" i="9"/>
  <c r="E178" i="9"/>
  <c r="D178" i="9"/>
  <c r="C178" i="9"/>
  <c r="B178" i="9"/>
  <c r="A178" i="9"/>
  <c r="F177" i="9"/>
  <c r="E177" i="9"/>
  <c r="D177" i="9"/>
  <c r="C177" i="9"/>
  <c r="B177" i="9"/>
  <c r="A177" i="9"/>
  <c r="F176" i="9"/>
  <c r="E176" i="9"/>
  <c r="D176" i="9"/>
  <c r="C176" i="9"/>
  <c r="B176" i="9"/>
  <c r="A176" i="9"/>
  <c r="F175" i="9"/>
  <c r="E175" i="9"/>
  <c r="D175" i="9"/>
  <c r="C175" i="9"/>
  <c r="B175" i="9"/>
  <c r="A175" i="9"/>
  <c r="F174" i="9"/>
  <c r="E174" i="9"/>
  <c r="D174" i="9"/>
  <c r="C174" i="9"/>
  <c r="B174" i="9"/>
  <c r="A174" i="9"/>
  <c r="F173" i="9"/>
  <c r="E173" i="9"/>
  <c r="D173" i="9"/>
  <c r="C173" i="9"/>
  <c r="B173" i="9"/>
  <c r="A173" i="9"/>
  <c r="F172" i="9"/>
  <c r="E172" i="9"/>
  <c r="D172" i="9"/>
  <c r="C172" i="9"/>
  <c r="B172" i="9"/>
  <c r="A172" i="9"/>
  <c r="F171" i="9"/>
  <c r="E171" i="9"/>
  <c r="D171" i="9"/>
  <c r="C171" i="9"/>
  <c r="B171" i="9"/>
  <c r="A171" i="9"/>
  <c r="F170" i="9"/>
  <c r="E170" i="9"/>
  <c r="D170" i="9"/>
  <c r="C170" i="9"/>
  <c r="B170" i="9"/>
  <c r="A170" i="9"/>
  <c r="F169" i="9"/>
  <c r="E169" i="9"/>
  <c r="D169" i="9"/>
  <c r="C169" i="9"/>
  <c r="B169" i="9"/>
  <c r="A169" i="9"/>
  <c r="F168" i="9"/>
  <c r="E168" i="9"/>
  <c r="D168" i="9"/>
  <c r="C168" i="9"/>
  <c r="B168" i="9"/>
  <c r="A168" i="9"/>
  <c r="F167" i="9"/>
  <c r="E167" i="9"/>
  <c r="D167" i="9"/>
  <c r="C167" i="9"/>
  <c r="B167" i="9"/>
  <c r="A167" i="9"/>
  <c r="F166" i="9"/>
  <c r="E166" i="9"/>
  <c r="D166" i="9"/>
  <c r="C166" i="9"/>
  <c r="B166" i="9"/>
  <c r="A166" i="9"/>
  <c r="F165" i="9"/>
  <c r="E165" i="9"/>
  <c r="D165" i="9"/>
  <c r="C165" i="9"/>
  <c r="B165" i="9"/>
  <c r="A165" i="9"/>
  <c r="F164" i="9"/>
  <c r="E164" i="9"/>
  <c r="D164" i="9"/>
  <c r="C164" i="9"/>
  <c r="B164" i="9"/>
  <c r="A164" i="9"/>
  <c r="F163" i="9"/>
  <c r="E163" i="9"/>
  <c r="D163" i="9"/>
  <c r="C163" i="9"/>
  <c r="B163" i="9"/>
  <c r="A163" i="9"/>
  <c r="F162" i="9"/>
  <c r="E162" i="9"/>
  <c r="D162" i="9"/>
  <c r="C162" i="9"/>
  <c r="B162" i="9"/>
  <c r="A162" i="9"/>
  <c r="F161" i="9"/>
  <c r="E161" i="9"/>
  <c r="D161" i="9"/>
  <c r="C161" i="9"/>
  <c r="B161" i="9"/>
  <c r="A161" i="9"/>
  <c r="F160" i="9"/>
  <c r="E160" i="9"/>
  <c r="D160" i="9"/>
  <c r="C160" i="9"/>
  <c r="B160" i="9"/>
  <c r="A160" i="9"/>
  <c r="F159" i="9"/>
  <c r="E159" i="9"/>
  <c r="D159" i="9"/>
  <c r="C159" i="9"/>
  <c r="B159" i="9"/>
  <c r="A159" i="9"/>
  <c r="F158" i="9"/>
  <c r="E158" i="9"/>
  <c r="D158" i="9"/>
  <c r="C158" i="9"/>
  <c r="B158" i="9"/>
  <c r="A158" i="9"/>
  <c r="F157" i="9"/>
  <c r="E157" i="9"/>
  <c r="D157" i="9"/>
  <c r="C157" i="9"/>
  <c r="B157" i="9"/>
  <c r="A157" i="9"/>
  <c r="F156" i="9"/>
  <c r="E156" i="9"/>
  <c r="D156" i="9"/>
  <c r="C156" i="9"/>
  <c r="B156" i="9"/>
  <c r="A156" i="9"/>
  <c r="F155" i="9"/>
  <c r="E155" i="9"/>
  <c r="D155" i="9"/>
  <c r="C155" i="9"/>
  <c r="B155" i="9"/>
  <c r="A155" i="9"/>
  <c r="F154" i="9"/>
  <c r="E154" i="9"/>
  <c r="D154" i="9"/>
  <c r="C154" i="9"/>
  <c r="B154" i="9"/>
  <c r="A154" i="9"/>
  <c r="F153" i="9"/>
  <c r="E153" i="9"/>
  <c r="D153" i="9"/>
  <c r="C153" i="9"/>
  <c r="B153" i="9"/>
  <c r="A153" i="9"/>
  <c r="F152" i="9"/>
  <c r="E152" i="9"/>
  <c r="D152" i="9"/>
  <c r="C152" i="9"/>
  <c r="B152" i="9"/>
  <c r="A152" i="9"/>
  <c r="F151" i="9"/>
  <c r="E151" i="9"/>
  <c r="D151" i="9"/>
  <c r="C151" i="9"/>
  <c r="B151" i="9"/>
  <c r="A151" i="9"/>
  <c r="F150" i="9"/>
  <c r="E150" i="9"/>
  <c r="D150" i="9"/>
  <c r="C150" i="9"/>
  <c r="B150" i="9"/>
  <c r="A150" i="9"/>
  <c r="F149" i="9"/>
  <c r="E149" i="9"/>
  <c r="D149" i="9"/>
  <c r="C149" i="9"/>
  <c r="B149" i="9"/>
  <c r="A149" i="9"/>
  <c r="F148" i="9"/>
  <c r="E148" i="9"/>
  <c r="D148" i="9"/>
  <c r="C148" i="9"/>
  <c r="B148" i="9"/>
  <c r="A148" i="9"/>
  <c r="F147" i="9"/>
  <c r="E147" i="9"/>
  <c r="D147" i="9"/>
  <c r="C147" i="9"/>
  <c r="B147" i="9"/>
  <c r="A147" i="9"/>
  <c r="F146" i="9"/>
  <c r="E146" i="9"/>
  <c r="D146" i="9"/>
  <c r="C146" i="9"/>
  <c r="B146" i="9"/>
  <c r="A146" i="9"/>
  <c r="F145" i="9"/>
  <c r="E145" i="9"/>
  <c r="D145" i="9"/>
  <c r="C145" i="9"/>
  <c r="B145" i="9"/>
  <c r="A145" i="9"/>
  <c r="F144" i="9"/>
  <c r="E144" i="9"/>
  <c r="D144" i="9"/>
  <c r="C144" i="9"/>
  <c r="B144" i="9"/>
  <c r="A144" i="9"/>
  <c r="F143" i="9"/>
  <c r="E143" i="9"/>
  <c r="D143" i="9"/>
  <c r="C143" i="9"/>
  <c r="B143" i="9"/>
  <c r="A143" i="9"/>
  <c r="F142" i="9"/>
  <c r="E142" i="9"/>
  <c r="D142" i="9"/>
  <c r="C142" i="9"/>
  <c r="B142" i="9"/>
  <c r="A142" i="9"/>
  <c r="F141" i="9"/>
  <c r="E141" i="9"/>
  <c r="D141" i="9"/>
  <c r="C141" i="9"/>
  <c r="B141" i="9"/>
  <c r="A141" i="9"/>
  <c r="F140" i="9"/>
  <c r="E140" i="9"/>
  <c r="D140" i="9"/>
  <c r="C140" i="9"/>
  <c r="B140" i="9"/>
  <c r="A140" i="9"/>
  <c r="F139" i="9"/>
  <c r="E139" i="9"/>
  <c r="D139" i="9"/>
  <c r="C139" i="9"/>
  <c r="B139" i="9"/>
  <c r="A139" i="9"/>
  <c r="F138" i="9"/>
  <c r="E138" i="9"/>
  <c r="D138" i="9"/>
  <c r="C138" i="9"/>
  <c r="B138" i="9"/>
  <c r="A138" i="9"/>
  <c r="F137" i="9"/>
  <c r="E137" i="9"/>
  <c r="D137" i="9"/>
  <c r="C137" i="9"/>
  <c r="B137" i="9"/>
  <c r="A137" i="9"/>
  <c r="F136" i="9"/>
  <c r="E136" i="9"/>
  <c r="D136" i="9"/>
  <c r="C136" i="9"/>
  <c r="B136" i="9"/>
  <c r="A136" i="9"/>
  <c r="F135" i="9"/>
  <c r="E135" i="9"/>
  <c r="D135" i="9"/>
  <c r="C135" i="9"/>
  <c r="B135" i="9"/>
  <c r="A135" i="9"/>
  <c r="F134" i="9"/>
  <c r="E134" i="9"/>
  <c r="D134" i="9"/>
  <c r="C134" i="9"/>
  <c r="B134" i="9"/>
  <c r="A134" i="9"/>
  <c r="F133" i="9"/>
  <c r="E133" i="9"/>
  <c r="D133" i="9"/>
  <c r="C133" i="9"/>
  <c r="B133" i="9"/>
  <c r="A133" i="9"/>
  <c r="F132" i="9"/>
  <c r="E132" i="9"/>
  <c r="D132" i="9"/>
  <c r="C132" i="9"/>
  <c r="B132" i="9"/>
  <c r="A132" i="9"/>
  <c r="F131" i="9"/>
  <c r="E131" i="9"/>
  <c r="D131" i="9"/>
  <c r="C131" i="9"/>
  <c r="B131" i="9"/>
  <c r="A131" i="9"/>
  <c r="F130" i="9"/>
  <c r="E130" i="9"/>
  <c r="D130" i="9"/>
  <c r="C130" i="9"/>
  <c r="B130" i="9"/>
  <c r="A130" i="9"/>
  <c r="F129" i="9"/>
  <c r="E129" i="9"/>
  <c r="D129" i="9"/>
  <c r="C129" i="9"/>
  <c r="B129" i="9"/>
  <c r="A129" i="9"/>
  <c r="F128" i="9"/>
  <c r="E128" i="9"/>
  <c r="D128" i="9"/>
  <c r="C128" i="9"/>
  <c r="B128" i="9"/>
  <c r="A128" i="9"/>
  <c r="F127" i="9"/>
  <c r="E127" i="9"/>
  <c r="D127" i="9"/>
  <c r="C127" i="9"/>
  <c r="B127" i="9"/>
  <c r="A127" i="9"/>
  <c r="F126" i="9"/>
  <c r="E126" i="9"/>
  <c r="D126" i="9"/>
  <c r="C126" i="9"/>
  <c r="B126" i="9"/>
  <c r="A126" i="9"/>
  <c r="F125" i="9"/>
  <c r="E125" i="9"/>
  <c r="D125" i="9"/>
  <c r="C125" i="9"/>
  <c r="B125" i="9"/>
  <c r="A125" i="9"/>
  <c r="F124" i="9"/>
  <c r="E124" i="9"/>
  <c r="D124" i="9"/>
  <c r="C124" i="9"/>
  <c r="B124" i="9"/>
  <c r="A124" i="9"/>
  <c r="F123" i="9"/>
  <c r="E123" i="9"/>
  <c r="D123" i="9"/>
  <c r="C123" i="9"/>
  <c r="B123" i="9"/>
  <c r="A123" i="9"/>
  <c r="F122" i="9"/>
  <c r="E122" i="9"/>
  <c r="D122" i="9"/>
  <c r="C122" i="9"/>
  <c r="B122" i="9"/>
  <c r="A122" i="9"/>
  <c r="F121" i="9"/>
  <c r="E121" i="9"/>
  <c r="D121" i="9"/>
  <c r="C121" i="9"/>
  <c r="B121" i="9"/>
  <c r="A121" i="9"/>
  <c r="F120" i="9"/>
  <c r="E120" i="9"/>
  <c r="D120" i="9"/>
  <c r="C120" i="9"/>
  <c r="B120" i="9"/>
  <c r="A120" i="9"/>
  <c r="F119" i="9"/>
  <c r="E119" i="9"/>
  <c r="D119" i="9"/>
  <c r="C119" i="9"/>
  <c r="B119" i="9"/>
  <c r="A119" i="9"/>
  <c r="F118" i="9"/>
  <c r="E118" i="9"/>
  <c r="D118" i="9"/>
  <c r="C118" i="9"/>
  <c r="B118" i="9"/>
  <c r="A118" i="9"/>
  <c r="F117" i="9"/>
  <c r="E117" i="9"/>
  <c r="D117" i="9"/>
  <c r="C117" i="9"/>
  <c r="B117" i="9"/>
  <c r="A117" i="9"/>
  <c r="F116" i="9"/>
  <c r="E116" i="9"/>
  <c r="D116" i="9"/>
  <c r="C116" i="9"/>
  <c r="B116" i="9"/>
  <c r="A116" i="9"/>
  <c r="F115" i="9"/>
  <c r="E115" i="9"/>
  <c r="D115" i="9"/>
  <c r="C115" i="9"/>
  <c r="B115" i="9"/>
  <c r="A115" i="9"/>
  <c r="F114" i="9"/>
  <c r="E114" i="9"/>
  <c r="D114" i="9"/>
  <c r="C114" i="9"/>
  <c r="B114" i="9"/>
  <c r="A114" i="9"/>
  <c r="F113" i="9"/>
  <c r="E113" i="9"/>
  <c r="D113" i="9"/>
  <c r="C113" i="9"/>
  <c r="B113" i="9"/>
  <c r="A113" i="9"/>
  <c r="F112" i="9"/>
  <c r="E112" i="9"/>
  <c r="D112" i="9"/>
  <c r="C112" i="9"/>
  <c r="B112" i="9"/>
  <c r="A112" i="9"/>
  <c r="F111" i="9"/>
  <c r="E111" i="9"/>
  <c r="D111" i="9"/>
  <c r="C111" i="9"/>
  <c r="B111" i="9"/>
  <c r="A111" i="9"/>
  <c r="F110" i="9"/>
  <c r="E110" i="9"/>
  <c r="D110" i="9"/>
  <c r="C110" i="9"/>
  <c r="B110" i="9"/>
  <c r="A110" i="9"/>
  <c r="F109" i="9"/>
  <c r="E109" i="9"/>
  <c r="D109" i="9"/>
  <c r="C109" i="9"/>
  <c r="B109" i="9"/>
  <c r="A109" i="9"/>
  <c r="F108" i="9"/>
  <c r="E108" i="9"/>
  <c r="D108" i="9"/>
  <c r="C108" i="9"/>
  <c r="B108" i="9"/>
  <c r="A108" i="9"/>
  <c r="F107" i="9"/>
  <c r="E107" i="9"/>
  <c r="D107" i="9"/>
  <c r="C107" i="9"/>
  <c r="B107" i="9"/>
  <c r="A107" i="9"/>
  <c r="F106" i="9"/>
  <c r="E106" i="9"/>
  <c r="D106" i="9"/>
  <c r="C106" i="9"/>
  <c r="B106" i="9"/>
  <c r="A106" i="9"/>
  <c r="F105" i="9"/>
  <c r="E105" i="9"/>
  <c r="D105" i="9"/>
  <c r="C105" i="9"/>
  <c r="B105" i="9"/>
  <c r="A105" i="9"/>
  <c r="F104" i="9"/>
  <c r="E104" i="9"/>
  <c r="D104" i="9"/>
  <c r="C104" i="9"/>
  <c r="B104" i="9"/>
  <c r="A104" i="9"/>
  <c r="F103" i="9"/>
  <c r="E103" i="9"/>
  <c r="D103" i="9"/>
  <c r="C103" i="9"/>
  <c r="B103" i="9"/>
  <c r="A103" i="9"/>
  <c r="F102" i="9"/>
  <c r="E102" i="9"/>
  <c r="D102" i="9"/>
  <c r="C102" i="9"/>
  <c r="B102" i="9"/>
  <c r="A102" i="9"/>
  <c r="F101" i="9"/>
  <c r="E101" i="9"/>
  <c r="D101" i="9"/>
  <c r="C101" i="9"/>
  <c r="B101" i="9"/>
  <c r="A101" i="9"/>
  <c r="F100" i="9"/>
  <c r="E100" i="9"/>
  <c r="D100" i="9"/>
  <c r="C100" i="9"/>
  <c r="B100" i="9"/>
  <c r="A100" i="9"/>
  <c r="F99" i="9"/>
  <c r="E99" i="9"/>
  <c r="D99" i="9"/>
  <c r="C99" i="9"/>
  <c r="B99" i="9"/>
  <c r="A99" i="9"/>
  <c r="E98" i="9"/>
  <c r="D98" i="9"/>
  <c r="C98" i="9"/>
  <c r="B98" i="9"/>
  <c r="A98" i="9"/>
  <c r="F97" i="9"/>
  <c r="D97" i="9"/>
  <c r="C97" i="9"/>
  <c r="B97" i="9"/>
  <c r="A97" i="9"/>
  <c r="E96" i="9"/>
  <c r="D96" i="9"/>
  <c r="C96" i="9"/>
  <c r="B96" i="9"/>
  <c r="A96" i="9"/>
  <c r="F95" i="9"/>
  <c r="D95" i="9"/>
  <c r="C95" i="9"/>
  <c r="B95" i="9"/>
  <c r="A95" i="9"/>
  <c r="E94" i="9"/>
  <c r="D94" i="9"/>
  <c r="C94" i="9"/>
  <c r="B94" i="9"/>
  <c r="A94" i="9"/>
  <c r="F93" i="9"/>
  <c r="D93" i="9"/>
  <c r="C93" i="9"/>
  <c r="B93" i="9"/>
  <c r="A93" i="9"/>
  <c r="E92" i="9"/>
  <c r="D92" i="9"/>
  <c r="C92" i="9"/>
  <c r="B92" i="9"/>
  <c r="A92" i="9"/>
  <c r="F91" i="9"/>
  <c r="D91" i="9"/>
  <c r="C91" i="9"/>
  <c r="B91" i="9"/>
  <c r="A91" i="9"/>
  <c r="E90" i="9"/>
  <c r="D90" i="9"/>
  <c r="C90" i="9"/>
  <c r="B90" i="9"/>
  <c r="A90" i="9"/>
  <c r="F89" i="9"/>
  <c r="D89" i="9"/>
  <c r="C89" i="9"/>
  <c r="B89" i="9"/>
  <c r="A89" i="9"/>
  <c r="E88" i="9"/>
  <c r="D88" i="9"/>
  <c r="C88" i="9"/>
  <c r="B88" i="9"/>
  <c r="A88" i="9"/>
  <c r="F87" i="9"/>
  <c r="D87" i="9"/>
  <c r="C87" i="9"/>
  <c r="B87" i="9"/>
  <c r="A87" i="9"/>
  <c r="E86" i="9"/>
  <c r="D86" i="9"/>
  <c r="C86" i="9"/>
  <c r="B86" i="9"/>
  <c r="A86" i="9"/>
  <c r="F85" i="9"/>
  <c r="D85" i="9"/>
  <c r="C85" i="9"/>
  <c r="B85" i="9"/>
  <c r="A85" i="9"/>
  <c r="E84" i="9"/>
  <c r="D84" i="9"/>
  <c r="C84" i="9"/>
  <c r="B84" i="9"/>
  <c r="A84" i="9"/>
  <c r="F83" i="9"/>
  <c r="D83" i="9"/>
  <c r="C83" i="9"/>
  <c r="B83" i="9"/>
  <c r="A83" i="9"/>
  <c r="E82" i="9"/>
  <c r="D82" i="9"/>
  <c r="C82" i="9"/>
  <c r="B82" i="9"/>
  <c r="A82" i="9"/>
  <c r="F81" i="9"/>
  <c r="D81" i="9"/>
  <c r="C81" i="9"/>
  <c r="B81" i="9"/>
  <c r="A81" i="9"/>
  <c r="F80" i="9"/>
  <c r="E80" i="9"/>
  <c r="D80" i="9"/>
  <c r="C80" i="9"/>
  <c r="B80" i="9"/>
  <c r="A80" i="9"/>
  <c r="F79" i="9"/>
  <c r="E79" i="9"/>
  <c r="D79" i="9"/>
  <c r="C79" i="9"/>
  <c r="B79" i="9"/>
  <c r="A79" i="9"/>
  <c r="F78" i="9"/>
  <c r="E78" i="9"/>
  <c r="D78" i="9"/>
  <c r="C78" i="9"/>
  <c r="B78" i="9"/>
  <c r="A78" i="9"/>
  <c r="F77" i="9"/>
  <c r="E77" i="9"/>
  <c r="D77" i="9"/>
  <c r="C77" i="9"/>
  <c r="B77" i="9"/>
  <c r="A77" i="9"/>
  <c r="F76" i="9"/>
  <c r="E76" i="9"/>
  <c r="D76" i="9"/>
  <c r="C76" i="9"/>
  <c r="B76" i="9"/>
  <c r="A76" i="9"/>
  <c r="F75" i="9"/>
  <c r="E75" i="9"/>
  <c r="D75" i="9"/>
  <c r="C75" i="9"/>
  <c r="B75" i="9"/>
  <c r="A75" i="9"/>
  <c r="E74" i="9"/>
  <c r="D74" i="9"/>
  <c r="C74" i="9"/>
  <c r="B74" i="9"/>
  <c r="A74" i="9"/>
  <c r="F73" i="9"/>
  <c r="D73" i="9"/>
  <c r="C73" i="9"/>
  <c r="B73" i="9"/>
  <c r="A73" i="9"/>
  <c r="E72" i="9"/>
  <c r="D72" i="9"/>
  <c r="C72" i="9"/>
  <c r="B72" i="9"/>
  <c r="A72" i="9"/>
  <c r="F71" i="9"/>
  <c r="D71" i="9"/>
  <c r="C71" i="9"/>
  <c r="B71" i="9"/>
  <c r="A71" i="9"/>
  <c r="E70" i="9"/>
  <c r="D70" i="9"/>
  <c r="C70" i="9"/>
  <c r="B70" i="9"/>
  <c r="A70" i="9"/>
  <c r="F69" i="9"/>
  <c r="D69" i="9"/>
  <c r="C69" i="9"/>
  <c r="B69" i="9"/>
  <c r="A69" i="9"/>
  <c r="E68" i="9"/>
  <c r="D68" i="9"/>
  <c r="C68" i="9"/>
  <c r="B68" i="9"/>
  <c r="A68" i="9"/>
  <c r="F67" i="9"/>
  <c r="D67" i="9"/>
  <c r="C67" i="9"/>
  <c r="B67" i="9"/>
  <c r="A67" i="9"/>
  <c r="E66" i="9"/>
  <c r="D66" i="9"/>
  <c r="C66" i="9"/>
  <c r="B66" i="9"/>
  <c r="A66" i="9"/>
  <c r="F65" i="9"/>
  <c r="D65" i="9"/>
  <c r="C65" i="9"/>
  <c r="B65" i="9"/>
  <c r="A65" i="9"/>
  <c r="E64" i="9"/>
  <c r="D64" i="9"/>
  <c r="C64" i="9"/>
  <c r="B64" i="9"/>
  <c r="A64" i="9"/>
  <c r="F63" i="9"/>
  <c r="D63" i="9"/>
  <c r="C63" i="9"/>
  <c r="B63" i="9"/>
  <c r="A63" i="9"/>
  <c r="E62" i="9"/>
  <c r="D62" i="9"/>
  <c r="C62" i="9"/>
  <c r="B62" i="9"/>
  <c r="A62" i="9"/>
  <c r="F61" i="9"/>
  <c r="D61" i="9"/>
  <c r="C61" i="9"/>
  <c r="B61" i="9"/>
  <c r="A61" i="9"/>
  <c r="E60" i="9"/>
  <c r="D60" i="9"/>
  <c r="C60" i="9"/>
  <c r="B60" i="9"/>
  <c r="A60" i="9"/>
  <c r="F59" i="9"/>
  <c r="D59" i="9"/>
  <c r="C59" i="9"/>
  <c r="B59" i="9"/>
  <c r="A59" i="9"/>
  <c r="E58" i="9"/>
  <c r="D58" i="9"/>
  <c r="C58" i="9"/>
  <c r="B58" i="9"/>
  <c r="A58" i="9"/>
  <c r="F57" i="9"/>
  <c r="D57" i="9"/>
  <c r="C57" i="9"/>
  <c r="B57" i="9"/>
  <c r="A57" i="9"/>
  <c r="F56" i="9"/>
  <c r="E56" i="9"/>
  <c r="D56" i="9"/>
  <c r="C56" i="9"/>
  <c r="B56" i="9"/>
  <c r="A56" i="9"/>
  <c r="F55" i="9"/>
  <c r="E55" i="9"/>
  <c r="D55" i="9"/>
  <c r="C55" i="9"/>
  <c r="B55" i="9"/>
  <c r="A55" i="9"/>
  <c r="F54" i="9"/>
  <c r="E54" i="9"/>
  <c r="D54" i="9"/>
  <c r="C54" i="9"/>
  <c r="B54" i="9"/>
  <c r="A54" i="9"/>
  <c r="F53" i="9"/>
  <c r="E53" i="9"/>
  <c r="D53" i="9"/>
  <c r="C53" i="9"/>
  <c r="B53" i="9"/>
  <c r="A53" i="9"/>
  <c r="F52" i="9"/>
  <c r="E52" i="9"/>
  <c r="D52" i="9"/>
  <c r="C52" i="9"/>
  <c r="B52" i="9"/>
  <c r="A52" i="9"/>
  <c r="F51" i="9"/>
  <c r="E51" i="9"/>
  <c r="D51" i="9"/>
  <c r="C51" i="9"/>
  <c r="B51" i="9"/>
  <c r="A51" i="9"/>
  <c r="F50" i="9"/>
  <c r="E50" i="9"/>
  <c r="D50" i="9"/>
  <c r="C50" i="9"/>
  <c r="B50" i="9"/>
  <c r="A50" i="9"/>
  <c r="F49" i="9"/>
  <c r="E49" i="9"/>
  <c r="D49" i="9"/>
  <c r="C49" i="9"/>
  <c r="B49" i="9"/>
  <c r="A49" i="9"/>
  <c r="F48" i="9"/>
  <c r="E48" i="9"/>
  <c r="D48" i="9"/>
  <c r="C48" i="9"/>
  <c r="B48" i="9"/>
  <c r="A48" i="9"/>
  <c r="F47" i="9"/>
  <c r="E47" i="9"/>
  <c r="D47" i="9"/>
  <c r="C47" i="9"/>
  <c r="B47" i="9"/>
  <c r="A47" i="9"/>
  <c r="F46" i="9"/>
  <c r="E46" i="9"/>
  <c r="D46" i="9"/>
  <c r="C46" i="9"/>
  <c r="B46" i="9"/>
  <c r="A46" i="9"/>
  <c r="F45" i="9"/>
  <c r="E45" i="9"/>
  <c r="D45" i="9"/>
  <c r="C45" i="9"/>
  <c r="B45" i="9"/>
  <c r="A45" i="9"/>
  <c r="F44" i="9"/>
  <c r="E44" i="9"/>
  <c r="D44" i="9"/>
  <c r="C44" i="9"/>
  <c r="B44" i="9"/>
  <c r="A44" i="9"/>
  <c r="F43" i="9"/>
  <c r="E43" i="9"/>
  <c r="D43" i="9"/>
  <c r="C43" i="9"/>
  <c r="B43" i="9"/>
  <c r="A43" i="9"/>
  <c r="F42" i="9"/>
  <c r="E42" i="9"/>
  <c r="D42" i="9"/>
  <c r="C42" i="9"/>
  <c r="B42" i="9"/>
  <c r="A42" i="9"/>
  <c r="F41" i="9"/>
  <c r="E41" i="9"/>
  <c r="D41" i="9"/>
  <c r="C41" i="9"/>
  <c r="B41" i="9"/>
  <c r="A41" i="9"/>
  <c r="F40" i="9"/>
  <c r="E40" i="9"/>
  <c r="D40" i="9"/>
  <c r="C40" i="9"/>
  <c r="B40" i="9"/>
  <c r="A40" i="9"/>
  <c r="F39" i="9"/>
  <c r="E39" i="9"/>
  <c r="D39" i="9"/>
  <c r="C39" i="9"/>
  <c r="B39" i="9"/>
  <c r="A39" i="9"/>
  <c r="E38" i="9"/>
  <c r="D38" i="9"/>
  <c r="C38" i="9"/>
  <c r="B38" i="9"/>
  <c r="A38" i="9"/>
  <c r="F37" i="9"/>
  <c r="D37" i="9"/>
  <c r="C37" i="9"/>
  <c r="B37" i="9"/>
  <c r="A37" i="9"/>
  <c r="F36" i="9"/>
  <c r="E36" i="9"/>
  <c r="D36" i="9"/>
  <c r="C36" i="9"/>
  <c r="B36" i="9"/>
  <c r="A36" i="9"/>
  <c r="F35" i="9"/>
  <c r="E35" i="9"/>
  <c r="D35" i="9"/>
  <c r="C35" i="9"/>
  <c r="B35" i="9"/>
  <c r="A35" i="9"/>
  <c r="F34" i="9"/>
  <c r="E34" i="9"/>
  <c r="D34" i="9"/>
  <c r="C34" i="9"/>
  <c r="B34" i="9"/>
  <c r="A34" i="9"/>
  <c r="F33" i="9"/>
  <c r="E33" i="9"/>
  <c r="D33" i="9"/>
  <c r="C33" i="9"/>
  <c r="B33" i="9"/>
  <c r="A33" i="9"/>
  <c r="E32" i="9"/>
  <c r="D32" i="9"/>
  <c r="C32" i="9"/>
  <c r="B32" i="9"/>
  <c r="A32" i="9"/>
  <c r="F31" i="9"/>
  <c r="D31" i="9"/>
  <c r="C31" i="9"/>
  <c r="B31" i="9"/>
  <c r="A31" i="9"/>
  <c r="F30" i="9"/>
  <c r="E30" i="9"/>
  <c r="D30" i="9"/>
  <c r="C30" i="9"/>
  <c r="B30" i="9"/>
  <c r="A30" i="9"/>
  <c r="F29" i="9"/>
  <c r="E29" i="9"/>
  <c r="D29" i="9"/>
  <c r="C29" i="9"/>
  <c r="B29" i="9"/>
  <c r="A29" i="9"/>
  <c r="F28" i="9"/>
  <c r="E28" i="9"/>
  <c r="D28" i="9"/>
  <c r="C28" i="9"/>
  <c r="B28" i="9"/>
  <c r="A28" i="9"/>
  <c r="F27" i="9"/>
  <c r="E27" i="9"/>
  <c r="D27" i="9"/>
  <c r="C27" i="9"/>
  <c r="B27" i="9"/>
  <c r="A27" i="9"/>
  <c r="E26" i="9"/>
  <c r="D26" i="9"/>
  <c r="C26" i="9"/>
  <c r="B26" i="9"/>
  <c r="A26" i="9"/>
  <c r="F25" i="9"/>
  <c r="D25" i="9"/>
  <c r="C25" i="9"/>
  <c r="B25" i="9"/>
  <c r="A25" i="9"/>
  <c r="E24" i="9"/>
  <c r="D24" i="9"/>
  <c r="C24" i="9"/>
  <c r="B24" i="9"/>
  <c r="A24" i="9"/>
  <c r="F23" i="9"/>
  <c r="D23" i="9"/>
  <c r="C23" i="9"/>
  <c r="B23" i="9"/>
  <c r="A23" i="9"/>
  <c r="E22" i="9"/>
  <c r="D22" i="9"/>
  <c r="C22" i="9"/>
  <c r="B22" i="9"/>
  <c r="A22" i="9"/>
  <c r="F21" i="9"/>
  <c r="D21" i="9"/>
  <c r="C21" i="9"/>
  <c r="B21" i="9"/>
  <c r="A21" i="9"/>
  <c r="F20" i="9"/>
  <c r="E20" i="9"/>
  <c r="D20" i="9"/>
  <c r="C20" i="9"/>
  <c r="B20" i="9"/>
  <c r="A20" i="9"/>
  <c r="F19" i="9"/>
  <c r="E19" i="9"/>
  <c r="D19" i="9"/>
  <c r="C19" i="9"/>
  <c r="B19" i="9"/>
  <c r="A19" i="9"/>
  <c r="F18" i="9"/>
  <c r="E18" i="9"/>
  <c r="D18" i="9"/>
  <c r="C18" i="9"/>
  <c r="B18" i="9"/>
  <c r="A18" i="9"/>
  <c r="F17" i="9"/>
  <c r="E17" i="9"/>
  <c r="D17" i="9"/>
  <c r="C17" i="9"/>
  <c r="B17" i="9"/>
  <c r="A17" i="9"/>
  <c r="E16" i="9"/>
  <c r="D16" i="9"/>
  <c r="C16" i="9"/>
  <c r="B16" i="9"/>
  <c r="A16" i="9"/>
  <c r="F15" i="9"/>
  <c r="D15" i="9"/>
  <c r="C15" i="9"/>
  <c r="B15" i="9"/>
  <c r="A15" i="9"/>
  <c r="E14" i="9"/>
  <c r="D14" i="9"/>
  <c r="C14" i="9"/>
  <c r="B14" i="9"/>
  <c r="A14" i="9"/>
  <c r="F13" i="9"/>
  <c r="D13" i="9"/>
  <c r="C13" i="9"/>
  <c r="B13" i="9"/>
  <c r="A13" i="9"/>
  <c r="F12" i="9"/>
  <c r="E12" i="9"/>
  <c r="D12" i="9"/>
  <c r="C12" i="9"/>
  <c r="B12" i="9"/>
  <c r="A12" i="9"/>
  <c r="F11" i="9"/>
  <c r="E11" i="9"/>
  <c r="D11" i="9"/>
  <c r="C11" i="9"/>
  <c r="B11" i="9"/>
  <c r="A11" i="9"/>
  <c r="F10" i="9"/>
  <c r="E10" i="9"/>
  <c r="D10" i="9"/>
  <c r="C10" i="9"/>
  <c r="B10" i="9"/>
  <c r="A10" i="9"/>
  <c r="F9" i="9"/>
  <c r="E9" i="9"/>
  <c r="D9" i="9"/>
  <c r="C9" i="9"/>
  <c r="B9" i="9"/>
  <c r="A9" i="9"/>
  <c r="F8" i="9"/>
  <c r="E8" i="9"/>
  <c r="D8" i="9"/>
  <c r="C8" i="9"/>
  <c r="B8" i="9"/>
  <c r="A8" i="9"/>
  <c r="F7" i="9"/>
  <c r="E7" i="9"/>
  <c r="D7" i="9"/>
  <c r="C7" i="9"/>
  <c r="B7" i="9"/>
  <c r="A7" i="9"/>
  <c r="A6" i="25" l="1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A204" i="25"/>
  <c r="A205" i="25"/>
  <c r="A206" i="25"/>
  <c r="A207" i="25"/>
  <c r="A208" i="25"/>
  <c r="A209" i="25"/>
  <c r="A210" i="25"/>
  <c r="A211" i="25"/>
  <c r="A212" i="25"/>
  <c r="A213" i="25"/>
  <c r="A214" i="25"/>
  <c r="A215" i="25"/>
  <c r="A216" i="25"/>
  <c r="A217" i="25"/>
  <c r="A218" i="25"/>
  <c r="A219" i="25"/>
  <c r="A220" i="25"/>
  <c r="A221" i="25"/>
  <c r="A222" i="25"/>
  <c r="A223" i="25"/>
  <c r="A224" i="25"/>
  <c r="A225" i="25"/>
  <c r="A226" i="25"/>
  <c r="A227" i="25"/>
  <c r="A228" i="25"/>
  <c r="A229" i="25"/>
  <c r="A230" i="25"/>
  <c r="A231" i="25"/>
  <c r="A232" i="25"/>
  <c r="A233" i="25"/>
  <c r="A234" i="25"/>
  <c r="A235" i="25"/>
  <c r="A236" i="25"/>
  <c r="A237" i="25"/>
  <c r="A238" i="25"/>
  <c r="A239" i="25"/>
  <c r="A240" i="25"/>
  <c r="A241" i="25"/>
  <c r="A242" i="25"/>
  <c r="A243" i="25"/>
  <c r="A244" i="25"/>
  <c r="A245" i="25"/>
  <c r="A246" i="25"/>
  <c r="A247" i="25"/>
  <c r="A248" i="25"/>
  <c r="A249" i="25"/>
  <c r="A250" i="25"/>
  <c r="A251" i="25"/>
  <c r="A252" i="25"/>
  <c r="A253" i="25"/>
  <c r="A254" i="25"/>
  <c r="A255" i="25"/>
  <c r="A256" i="25"/>
  <c r="A257" i="25"/>
  <c r="A258" i="25"/>
  <c r="A259" i="25"/>
  <c r="A260" i="25"/>
  <c r="A261" i="25"/>
  <c r="A262" i="25"/>
  <c r="A263" i="25"/>
  <c r="A264" i="25"/>
  <c r="A265" i="25"/>
  <c r="A266" i="25"/>
  <c r="A267" i="25"/>
  <c r="A268" i="25"/>
  <c r="A269" i="25"/>
  <c r="A270" i="25"/>
  <c r="A271" i="25"/>
  <c r="A272" i="25"/>
  <c r="A273" i="25"/>
  <c r="A274" i="25"/>
  <c r="A275" i="25"/>
  <c r="A276" i="25"/>
  <c r="A277" i="25"/>
  <c r="A278" i="25"/>
  <c r="A279" i="25"/>
  <c r="A280" i="25"/>
  <c r="A281" i="25"/>
  <c r="A282" i="25"/>
  <c r="A283" i="25"/>
  <c r="A284" i="25"/>
  <c r="A285" i="25"/>
  <c r="A286" i="25"/>
  <c r="A287" i="25"/>
  <c r="A288" i="25"/>
  <c r="A289" i="25"/>
  <c r="A290" i="25"/>
  <c r="A291" i="25"/>
  <c r="A292" i="25"/>
  <c r="A293" i="25"/>
  <c r="A294" i="25"/>
  <c r="A295" i="25"/>
  <c r="A296" i="25"/>
  <c r="A297" i="25"/>
  <c r="A298" i="25"/>
  <c r="A299" i="25"/>
  <c r="A300" i="25"/>
  <c r="A301" i="25"/>
  <c r="A302" i="25"/>
  <c r="A303" i="25"/>
  <c r="A304" i="25"/>
  <c r="A305" i="25"/>
  <c r="A306" i="25"/>
  <c r="A307" i="25"/>
  <c r="A308" i="25"/>
  <c r="A309" i="25"/>
  <c r="A310" i="25"/>
  <c r="A311" i="25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30" i="23"/>
  <c r="A131" i="23"/>
  <c r="A132" i="23"/>
  <c r="A133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57" i="23"/>
  <c r="A158" i="23"/>
  <c r="A159" i="23"/>
  <c r="A160" i="23"/>
  <c r="A161" i="23"/>
  <c r="A162" i="23"/>
  <c r="A163" i="23"/>
  <c r="A164" i="23"/>
  <c r="A165" i="23"/>
  <c r="A166" i="23"/>
  <c r="A167" i="23"/>
  <c r="A168" i="23"/>
  <c r="A169" i="23"/>
  <c r="A170" i="23"/>
  <c r="A171" i="23"/>
  <c r="A172" i="23"/>
  <c r="A173" i="23"/>
  <c r="A174" i="23"/>
  <c r="A175" i="23"/>
  <c r="A176" i="23"/>
  <c r="A177" i="23"/>
  <c r="A178" i="23"/>
  <c r="A179" i="23"/>
  <c r="A180" i="23"/>
  <c r="A181" i="23"/>
  <c r="A182" i="23"/>
  <c r="A183" i="23"/>
  <c r="A184" i="23"/>
  <c r="A185" i="23"/>
  <c r="A186" i="23"/>
  <c r="A187" i="23"/>
  <c r="A188" i="23"/>
  <c r="A189" i="23"/>
  <c r="A190" i="23"/>
  <c r="A191" i="23"/>
  <c r="A192" i="23"/>
  <c r="A193" i="23"/>
  <c r="A194" i="23"/>
  <c r="A195" i="23"/>
  <c r="A196" i="23"/>
  <c r="A197" i="23"/>
  <c r="A198" i="23"/>
  <c r="A199" i="23"/>
  <c r="A200" i="23"/>
  <c r="A201" i="23"/>
  <c r="A202" i="23"/>
  <c r="A203" i="23"/>
  <c r="A204" i="23"/>
  <c r="A205" i="23"/>
  <c r="A206" i="23"/>
  <c r="A207" i="23"/>
  <c r="A208" i="23"/>
  <c r="A209" i="23"/>
  <c r="A210" i="23"/>
  <c r="A211" i="23"/>
  <c r="A212" i="23"/>
  <c r="A213" i="23"/>
  <c r="A214" i="23"/>
  <c r="A215" i="23"/>
  <c r="A216" i="23"/>
  <c r="A217" i="23"/>
  <c r="A218" i="23"/>
  <c r="A219" i="23"/>
  <c r="A220" i="23"/>
  <c r="A221" i="23"/>
  <c r="A222" i="23"/>
  <c r="A223" i="23"/>
  <c r="A224" i="23"/>
  <c r="A225" i="23"/>
  <c r="A226" i="23"/>
  <c r="A227" i="23"/>
  <c r="A228" i="23"/>
  <c r="A229" i="23"/>
  <c r="A230" i="23"/>
  <c r="A231" i="23"/>
  <c r="A232" i="23"/>
  <c r="A233" i="23"/>
  <c r="A234" i="23"/>
  <c r="A235" i="23"/>
  <c r="A236" i="23"/>
  <c r="A237" i="23"/>
  <c r="A238" i="23"/>
  <c r="A239" i="23"/>
  <c r="A240" i="23"/>
  <c r="A241" i="23"/>
  <c r="A242" i="23"/>
  <c r="A243" i="23"/>
  <c r="A244" i="23"/>
  <c r="A245" i="23"/>
  <c r="A246" i="23"/>
  <c r="A247" i="23"/>
  <c r="A248" i="23"/>
  <c r="A249" i="23"/>
  <c r="A250" i="23"/>
  <c r="A251" i="23"/>
  <c r="A252" i="23"/>
  <c r="A253" i="23"/>
  <c r="A254" i="23"/>
  <c r="A255" i="23"/>
  <c r="A256" i="23"/>
  <c r="A257" i="23"/>
  <c r="A258" i="23"/>
  <c r="A259" i="23"/>
  <c r="A260" i="23"/>
  <c r="A261" i="23"/>
  <c r="A262" i="23"/>
  <c r="A263" i="23"/>
  <c r="A264" i="23"/>
  <c r="A11" i="21"/>
  <c r="L11" i="21" s="1"/>
  <c r="A12" i="21"/>
  <c r="L12" i="21" s="1"/>
  <c r="A13" i="21"/>
  <c r="L13" i="21" s="1"/>
  <c r="A14" i="21"/>
  <c r="L14" i="21" s="1"/>
  <c r="A15" i="21"/>
  <c r="L15" i="21" s="1"/>
  <c r="A16" i="21"/>
  <c r="L16" i="21" s="1"/>
  <c r="A17" i="21"/>
  <c r="L17" i="21" s="1"/>
  <c r="A18" i="21"/>
  <c r="L18" i="21" s="1"/>
  <c r="A19" i="21"/>
  <c r="L19" i="21" s="1"/>
  <c r="A20" i="21"/>
  <c r="L20" i="21" s="1"/>
  <c r="A21" i="21"/>
  <c r="L21" i="21" s="1"/>
  <c r="A22" i="21"/>
  <c r="L22" i="21" s="1"/>
  <c r="A23" i="21"/>
  <c r="L23" i="21" s="1"/>
  <c r="A24" i="21"/>
  <c r="L24" i="21" s="1"/>
  <c r="A25" i="21"/>
  <c r="L25" i="21" s="1"/>
  <c r="A26" i="21"/>
  <c r="L26" i="21" s="1"/>
  <c r="A27" i="21"/>
  <c r="L27" i="21" s="1"/>
  <c r="A28" i="21"/>
  <c r="L28" i="21" s="1"/>
  <c r="A29" i="21"/>
  <c r="L29" i="21" s="1"/>
  <c r="A30" i="21"/>
  <c r="L30" i="21" s="1"/>
  <c r="A31" i="21"/>
  <c r="L31" i="21" s="1"/>
  <c r="A32" i="21"/>
  <c r="L32" i="21" s="1"/>
  <c r="A33" i="21"/>
  <c r="L33" i="21" s="1"/>
  <c r="A34" i="21"/>
  <c r="L34" i="21" s="1"/>
  <c r="A35" i="21"/>
  <c r="L35" i="21" s="1"/>
  <c r="A36" i="21"/>
  <c r="L36" i="21" s="1"/>
  <c r="A37" i="21"/>
  <c r="L37" i="21" s="1"/>
  <c r="A38" i="21"/>
  <c r="L38" i="21" s="1"/>
  <c r="A39" i="21"/>
  <c r="L39" i="21" s="1"/>
  <c r="A40" i="21"/>
  <c r="L40" i="21" s="1"/>
  <c r="A41" i="21"/>
  <c r="L41" i="21" s="1"/>
  <c r="A42" i="21"/>
  <c r="L42" i="21" s="1"/>
  <c r="A43" i="21"/>
  <c r="L43" i="21" s="1"/>
  <c r="A44" i="21"/>
  <c r="L44" i="21" s="1"/>
  <c r="A45" i="21"/>
  <c r="L45" i="21" s="1"/>
  <c r="A46" i="21"/>
  <c r="L46" i="21" s="1"/>
  <c r="A47" i="21"/>
  <c r="L47" i="21" s="1"/>
  <c r="A48" i="21"/>
  <c r="L48" i="21" s="1"/>
  <c r="A49" i="21"/>
  <c r="L49" i="21" s="1"/>
  <c r="A50" i="21"/>
  <c r="L50" i="21" s="1"/>
  <c r="A51" i="21"/>
  <c r="L51" i="21" s="1"/>
  <c r="A52" i="21"/>
  <c r="L52" i="21" s="1"/>
  <c r="A53" i="21"/>
  <c r="L53" i="21" s="1"/>
  <c r="A54" i="21"/>
  <c r="L54" i="21" s="1"/>
  <c r="A55" i="21"/>
  <c r="L55" i="21" s="1"/>
  <c r="A56" i="21"/>
  <c r="L56" i="21" s="1"/>
  <c r="A57" i="21"/>
  <c r="L57" i="21" s="1"/>
  <c r="A58" i="21"/>
  <c r="L58" i="21" s="1"/>
  <c r="A59" i="21"/>
  <c r="L59" i="21" s="1"/>
  <c r="A60" i="21"/>
  <c r="L60" i="21" s="1"/>
  <c r="A61" i="21"/>
  <c r="L61" i="21" s="1"/>
  <c r="A62" i="21"/>
  <c r="L62" i="21" s="1"/>
  <c r="A63" i="21"/>
  <c r="L63" i="21" s="1"/>
  <c r="A64" i="21"/>
  <c r="L64" i="21" s="1"/>
  <c r="A65" i="21"/>
  <c r="L65" i="21" s="1"/>
  <c r="A66" i="21"/>
  <c r="L66" i="21" s="1"/>
  <c r="A67" i="21"/>
  <c r="L67" i="21" s="1"/>
  <c r="A68" i="21"/>
  <c r="L68" i="21" s="1"/>
  <c r="A69" i="21"/>
  <c r="L69" i="21" s="1"/>
  <c r="A70" i="21"/>
  <c r="L70" i="21" s="1"/>
  <c r="A71" i="21"/>
  <c r="L71" i="21" s="1"/>
  <c r="A72" i="21"/>
  <c r="L72" i="21" s="1"/>
  <c r="A73" i="21"/>
  <c r="L73" i="21" s="1"/>
  <c r="A74" i="21"/>
  <c r="L74" i="21" s="1"/>
  <c r="A75" i="21"/>
  <c r="L75" i="21" s="1"/>
  <c r="A76" i="21"/>
  <c r="L76" i="21" s="1"/>
  <c r="A77" i="21"/>
  <c r="L77" i="21" s="1"/>
  <c r="A78" i="21"/>
  <c r="L78" i="21" s="1"/>
  <c r="A79" i="21"/>
  <c r="L79" i="21" s="1"/>
  <c r="A80" i="21"/>
  <c r="L80" i="21" s="1"/>
  <c r="A81" i="21"/>
  <c r="L81" i="21" s="1"/>
  <c r="A82" i="21"/>
  <c r="L82" i="21" s="1"/>
  <c r="A83" i="21"/>
  <c r="L83" i="21" s="1"/>
  <c r="A84" i="21"/>
  <c r="L84" i="21" s="1"/>
  <c r="A85" i="21"/>
  <c r="L85" i="21" s="1"/>
  <c r="A86" i="21"/>
  <c r="L86" i="21" s="1"/>
  <c r="A87" i="21"/>
  <c r="L87" i="21" s="1"/>
  <c r="A88" i="21"/>
  <c r="L88" i="21" s="1"/>
  <c r="A89" i="21"/>
  <c r="L89" i="21" s="1"/>
  <c r="A90" i="21"/>
  <c r="L90" i="21" s="1"/>
  <c r="A91" i="21"/>
  <c r="L91" i="21" s="1"/>
  <c r="A92" i="21"/>
  <c r="L92" i="21" s="1"/>
  <c r="A93" i="21"/>
  <c r="L93" i="21" s="1"/>
  <c r="A94" i="21"/>
  <c r="L94" i="21" s="1"/>
  <c r="A95" i="21"/>
  <c r="L95" i="21" s="1"/>
  <c r="A96" i="21"/>
  <c r="L96" i="21" s="1"/>
  <c r="A97" i="21"/>
  <c r="L97" i="21" s="1"/>
  <c r="A98" i="21"/>
  <c r="L98" i="21" s="1"/>
  <c r="A99" i="21"/>
  <c r="L99" i="21" s="1"/>
  <c r="A100" i="21"/>
  <c r="L100" i="21" s="1"/>
  <c r="A101" i="21"/>
  <c r="L101" i="21" s="1"/>
  <c r="A102" i="21"/>
  <c r="L102" i="21" s="1"/>
  <c r="A103" i="21"/>
  <c r="L103" i="21" s="1"/>
  <c r="A104" i="21"/>
  <c r="L104" i="21" s="1"/>
  <c r="A105" i="21"/>
  <c r="L105" i="21" s="1"/>
  <c r="A106" i="21"/>
  <c r="L106" i="21" s="1"/>
  <c r="A107" i="21"/>
  <c r="L107" i="21" s="1"/>
  <c r="A108" i="21"/>
  <c r="L108" i="21" s="1"/>
  <c r="A109" i="21"/>
  <c r="L109" i="21" s="1"/>
  <c r="A110" i="21"/>
  <c r="L110" i="21" s="1"/>
  <c r="A111" i="21"/>
  <c r="L111" i="21" s="1"/>
  <c r="A112" i="21"/>
  <c r="L112" i="21" s="1"/>
  <c r="A113" i="21"/>
  <c r="L113" i="21" s="1"/>
  <c r="A114" i="21"/>
  <c r="L114" i="21" s="1"/>
  <c r="A115" i="21"/>
  <c r="L115" i="21" s="1"/>
  <c r="A116" i="21"/>
  <c r="L116" i="21" s="1"/>
  <c r="A117" i="21"/>
  <c r="L117" i="21" s="1"/>
  <c r="A118" i="21"/>
  <c r="L118" i="21" s="1"/>
  <c r="A119" i="21"/>
  <c r="L119" i="21" s="1"/>
  <c r="A120" i="21"/>
  <c r="L120" i="21" s="1"/>
  <c r="A121" i="21"/>
  <c r="L121" i="21" s="1"/>
  <c r="A122" i="21"/>
  <c r="L122" i="21" s="1"/>
  <c r="A123" i="21"/>
  <c r="L123" i="21" s="1"/>
  <c r="A124" i="21"/>
  <c r="L124" i="21" s="1"/>
  <c r="A125" i="21"/>
  <c r="L125" i="21" s="1"/>
  <c r="A126" i="21"/>
  <c r="L126" i="21" s="1"/>
  <c r="A127" i="21"/>
  <c r="L127" i="21" s="1"/>
  <c r="A128" i="21"/>
  <c r="L128" i="21" s="1"/>
  <c r="A129" i="21"/>
  <c r="L129" i="21" s="1"/>
  <c r="A130" i="21"/>
  <c r="L130" i="21" s="1"/>
  <c r="A131" i="21"/>
  <c r="L131" i="21" s="1"/>
  <c r="A132" i="21"/>
  <c r="L132" i="21" s="1"/>
  <c r="A133" i="21"/>
  <c r="L133" i="21" s="1"/>
  <c r="A134" i="21"/>
  <c r="L134" i="21" s="1"/>
  <c r="A135" i="21"/>
  <c r="L135" i="21" s="1"/>
  <c r="A136" i="21"/>
  <c r="L136" i="21" s="1"/>
  <c r="A137" i="21"/>
  <c r="L137" i="21" s="1"/>
  <c r="A138" i="21"/>
  <c r="L138" i="21" s="1"/>
  <c r="A139" i="21"/>
  <c r="L139" i="21" s="1"/>
  <c r="A140" i="21"/>
  <c r="L140" i="21" s="1"/>
  <c r="A141" i="21"/>
  <c r="L141" i="21" s="1"/>
  <c r="A142" i="21"/>
  <c r="L142" i="21" s="1"/>
  <c r="A143" i="21"/>
  <c r="L143" i="21" s="1"/>
  <c r="A144" i="21"/>
  <c r="L144" i="21" s="1"/>
  <c r="A145" i="21"/>
  <c r="L145" i="21" s="1"/>
  <c r="A146" i="21"/>
  <c r="L146" i="21" s="1"/>
  <c r="A147" i="21"/>
  <c r="L147" i="21" s="1"/>
  <c r="A148" i="21"/>
  <c r="L148" i="21" s="1"/>
  <c r="I148" i="21"/>
  <c r="H148" i="21"/>
  <c r="G148" i="21"/>
  <c r="F148" i="21"/>
  <c r="J148" i="21" s="1"/>
  <c r="E148" i="21"/>
  <c r="D148" i="21"/>
  <c r="C148" i="21"/>
  <c r="B148" i="21"/>
  <c r="I147" i="21"/>
  <c r="H147" i="21"/>
  <c r="G147" i="21"/>
  <c r="F147" i="21"/>
  <c r="J147" i="21" s="1"/>
  <c r="E147" i="21"/>
  <c r="D147" i="21"/>
  <c r="C147" i="21"/>
  <c r="B147" i="21"/>
  <c r="I146" i="21"/>
  <c r="H146" i="21"/>
  <c r="G146" i="21"/>
  <c r="F146" i="21"/>
  <c r="J146" i="21" s="1"/>
  <c r="E146" i="21"/>
  <c r="D146" i="21"/>
  <c r="C146" i="21"/>
  <c r="B146" i="21"/>
  <c r="I145" i="21"/>
  <c r="H145" i="21"/>
  <c r="G145" i="21"/>
  <c r="F145" i="21"/>
  <c r="E145" i="21"/>
  <c r="D145" i="21"/>
  <c r="C145" i="21"/>
  <c r="B145" i="21"/>
  <c r="I144" i="21"/>
  <c r="H144" i="21"/>
  <c r="G144" i="21"/>
  <c r="F144" i="21"/>
  <c r="E144" i="21"/>
  <c r="D144" i="21"/>
  <c r="C144" i="21"/>
  <c r="B144" i="21"/>
  <c r="I143" i="21"/>
  <c r="H143" i="21"/>
  <c r="G143" i="21"/>
  <c r="F143" i="21"/>
  <c r="E143" i="21"/>
  <c r="D143" i="21"/>
  <c r="C143" i="21"/>
  <c r="B143" i="21"/>
  <c r="I142" i="21"/>
  <c r="H142" i="21"/>
  <c r="G142" i="21"/>
  <c r="F142" i="21"/>
  <c r="J142" i="21" s="1"/>
  <c r="E142" i="21"/>
  <c r="D142" i="21"/>
  <c r="C142" i="21"/>
  <c r="B142" i="21"/>
  <c r="I141" i="21"/>
  <c r="H141" i="21"/>
  <c r="G141" i="21"/>
  <c r="F141" i="21"/>
  <c r="E141" i="21"/>
  <c r="D141" i="21"/>
  <c r="C141" i="21"/>
  <c r="B141" i="21"/>
  <c r="I140" i="21"/>
  <c r="H140" i="21"/>
  <c r="G140" i="21"/>
  <c r="F140" i="21"/>
  <c r="J140" i="21" s="1"/>
  <c r="E140" i="21"/>
  <c r="D140" i="21"/>
  <c r="C140" i="21"/>
  <c r="B140" i="21"/>
  <c r="I139" i="21"/>
  <c r="H139" i="21"/>
  <c r="G139" i="21"/>
  <c r="F139" i="21"/>
  <c r="J139" i="21" s="1"/>
  <c r="E139" i="21"/>
  <c r="D139" i="21"/>
  <c r="C139" i="21"/>
  <c r="B139" i="21"/>
  <c r="I138" i="21"/>
  <c r="H138" i="21"/>
  <c r="G138" i="21"/>
  <c r="F138" i="21"/>
  <c r="J138" i="21" s="1"/>
  <c r="E138" i="21"/>
  <c r="D138" i="21"/>
  <c r="C138" i="21"/>
  <c r="B138" i="21"/>
  <c r="I137" i="21"/>
  <c r="H137" i="21"/>
  <c r="G137" i="21"/>
  <c r="F137" i="21"/>
  <c r="J137" i="21" s="1"/>
  <c r="E137" i="21"/>
  <c r="D137" i="21"/>
  <c r="C137" i="21"/>
  <c r="B137" i="21"/>
  <c r="I136" i="21"/>
  <c r="H136" i="21"/>
  <c r="G136" i="21"/>
  <c r="F136" i="21"/>
  <c r="E136" i="21"/>
  <c r="D136" i="21"/>
  <c r="C136" i="21"/>
  <c r="B136" i="21"/>
  <c r="I135" i="21"/>
  <c r="H135" i="21"/>
  <c r="G135" i="21"/>
  <c r="F135" i="21"/>
  <c r="E135" i="21"/>
  <c r="D135" i="21"/>
  <c r="C135" i="21"/>
  <c r="B135" i="21"/>
  <c r="I134" i="21"/>
  <c r="H134" i="21"/>
  <c r="G134" i="21"/>
  <c r="F134" i="21"/>
  <c r="J134" i="21" s="1"/>
  <c r="E134" i="21"/>
  <c r="D134" i="21"/>
  <c r="C134" i="21"/>
  <c r="B134" i="21"/>
  <c r="I133" i="21"/>
  <c r="H133" i="21"/>
  <c r="G133" i="21"/>
  <c r="F133" i="21"/>
  <c r="J133" i="21" s="1"/>
  <c r="E133" i="21"/>
  <c r="D133" i="21"/>
  <c r="C133" i="21"/>
  <c r="B133" i="21"/>
  <c r="I132" i="21"/>
  <c r="H132" i="21"/>
  <c r="G132" i="21"/>
  <c r="F132" i="21"/>
  <c r="E132" i="21"/>
  <c r="D132" i="21"/>
  <c r="C132" i="21"/>
  <c r="B132" i="21"/>
  <c r="I131" i="21"/>
  <c r="H131" i="21"/>
  <c r="G131" i="21"/>
  <c r="F131" i="21"/>
  <c r="J131" i="21" s="1"/>
  <c r="E131" i="21"/>
  <c r="D131" i="21"/>
  <c r="C131" i="21"/>
  <c r="B131" i="21"/>
  <c r="I130" i="21"/>
  <c r="H130" i="21"/>
  <c r="G130" i="21"/>
  <c r="F130" i="21"/>
  <c r="E130" i="21"/>
  <c r="D130" i="21"/>
  <c r="C130" i="21"/>
  <c r="B130" i="21"/>
  <c r="I129" i="21"/>
  <c r="H129" i="21"/>
  <c r="G129" i="21"/>
  <c r="F129" i="21"/>
  <c r="J129" i="21" s="1"/>
  <c r="E129" i="21"/>
  <c r="D129" i="21"/>
  <c r="C129" i="21"/>
  <c r="B129" i="21"/>
  <c r="I128" i="21"/>
  <c r="H128" i="21"/>
  <c r="G128" i="21"/>
  <c r="F128" i="21"/>
  <c r="J128" i="21" s="1"/>
  <c r="E128" i="21"/>
  <c r="D128" i="21"/>
  <c r="C128" i="21"/>
  <c r="B128" i="21"/>
  <c r="I127" i="21"/>
  <c r="H127" i="21"/>
  <c r="G127" i="21"/>
  <c r="F127" i="21"/>
  <c r="J127" i="21" s="1"/>
  <c r="E127" i="21"/>
  <c r="D127" i="21"/>
  <c r="C127" i="21"/>
  <c r="B127" i="21"/>
  <c r="I126" i="21"/>
  <c r="H126" i="21"/>
  <c r="G126" i="21"/>
  <c r="F126" i="21"/>
  <c r="E126" i="21"/>
  <c r="D126" i="21"/>
  <c r="C126" i="21"/>
  <c r="B126" i="21"/>
  <c r="I125" i="21"/>
  <c r="H125" i="21"/>
  <c r="G125" i="21"/>
  <c r="F125" i="21"/>
  <c r="J125" i="21" s="1"/>
  <c r="E125" i="21"/>
  <c r="D125" i="21"/>
  <c r="C125" i="21"/>
  <c r="B125" i="21"/>
  <c r="I124" i="21"/>
  <c r="H124" i="21"/>
  <c r="G124" i="21"/>
  <c r="F124" i="21"/>
  <c r="J124" i="21" s="1"/>
  <c r="E124" i="21"/>
  <c r="D124" i="21"/>
  <c r="C124" i="21"/>
  <c r="B124" i="21"/>
  <c r="I123" i="21"/>
  <c r="H123" i="21"/>
  <c r="G123" i="21"/>
  <c r="F123" i="21"/>
  <c r="J123" i="21" s="1"/>
  <c r="E123" i="21"/>
  <c r="D123" i="21"/>
  <c r="C123" i="21"/>
  <c r="B123" i="21"/>
  <c r="I122" i="21"/>
  <c r="H122" i="21"/>
  <c r="G122" i="21"/>
  <c r="F122" i="21"/>
  <c r="J122" i="21" s="1"/>
  <c r="E122" i="21"/>
  <c r="D122" i="21"/>
  <c r="C122" i="21"/>
  <c r="B122" i="21"/>
  <c r="I121" i="21"/>
  <c r="H121" i="21"/>
  <c r="G121" i="21"/>
  <c r="F121" i="21"/>
  <c r="J121" i="21" s="1"/>
  <c r="E121" i="21"/>
  <c r="D121" i="21"/>
  <c r="C121" i="21"/>
  <c r="B121" i="21"/>
  <c r="I120" i="21"/>
  <c r="H120" i="21"/>
  <c r="G120" i="21"/>
  <c r="F120" i="21"/>
  <c r="E120" i="21"/>
  <c r="D120" i="21"/>
  <c r="C120" i="21"/>
  <c r="B120" i="21"/>
  <c r="I119" i="21"/>
  <c r="H119" i="21"/>
  <c r="G119" i="21"/>
  <c r="F119" i="21"/>
  <c r="J119" i="21" s="1"/>
  <c r="E119" i="21"/>
  <c r="D119" i="21"/>
  <c r="C119" i="21"/>
  <c r="B119" i="21"/>
  <c r="I118" i="21"/>
  <c r="H118" i="21"/>
  <c r="G118" i="21"/>
  <c r="F118" i="21"/>
  <c r="E118" i="21"/>
  <c r="D118" i="21"/>
  <c r="C118" i="21"/>
  <c r="B118" i="21"/>
  <c r="I117" i="21"/>
  <c r="H117" i="21"/>
  <c r="G117" i="21"/>
  <c r="F117" i="21"/>
  <c r="J117" i="21" s="1"/>
  <c r="E117" i="21"/>
  <c r="D117" i="21"/>
  <c r="C117" i="21"/>
  <c r="B117" i="21"/>
  <c r="I116" i="21"/>
  <c r="H116" i="21"/>
  <c r="G116" i="21"/>
  <c r="F116" i="21"/>
  <c r="J116" i="21" s="1"/>
  <c r="E116" i="21"/>
  <c r="D116" i="21"/>
  <c r="C116" i="21"/>
  <c r="B116" i="21"/>
  <c r="I115" i="21"/>
  <c r="H115" i="21"/>
  <c r="G115" i="21"/>
  <c r="F115" i="21"/>
  <c r="J115" i="21" s="1"/>
  <c r="E115" i="21"/>
  <c r="D115" i="21"/>
  <c r="C115" i="21"/>
  <c r="B115" i="21"/>
  <c r="I114" i="21"/>
  <c r="H114" i="21"/>
  <c r="G114" i="21"/>
  <c r="F114" i="21"/>
  <c r="E114" i="21"/>
  <c r="D114" i="21"/>
  <c r="C114" i="21"/>
  <c r="B114" i="21"/>
  <c r="I113" i="21"/>
  <c r="H113" i="21"/>
  <c r="G113" i="21"/>
  <c r="F113" i="21"/>
  <c r="J113" i="21" s="1"/>
  <c r="E113" i="21"/>
  <c r="D113" i="21"/>
  <c r="C113" i="21"/>
  <c r="B113" i="21"/>
  <c r="I112" i="21"/>
  <c r="H112" i="21"/>
  <c r="G112" i="21"/>
  <c r="F112" i="21"/>
  <c r="J112" i="21" s="1"/>
  <c r="E112" i="21"/>
  <c r="D112" i="21"/>
  <c r="C112" i="21"/>
  <c r="B112" i="21"/>
  <c r="I111" i="21"/>
  <c r="H111" i="21"/>
  <c r="G111" i="21"/>
  <c r="F111" i="21"/>
  <c r="J111" i="21" s="1"/>
  <c r="E111" i="21"/>
  <c r="D111" i="21"/>
  <c r="C111" i="21"/>
  <c r="B111" i="21"/>
  <c r="I110" i="21"/>
  <c r="H110" i="21"/>
  <c r="G110" i="21"/>
  <c r="F110" i="21"/>
  <c r="J110" i="21" s="1"/>
  <c r="E110" i="21"/>
  <c r="D110" i="21"/>
  <c r="C110" i="21"/>
  <c r="B110" i="21"/>
  <c r="I109" i="21"/>
  <c r="H109" i="21"/>
  <c r="G109" i="21"/>
  <c r="F109" i="21"/>
  <c r="E109" i="21"/>
  <c r="D109" i="21"/>
  <c r="C109" i="21"/>
  <c r="B109" i="21"/>
  <c r="I108" i="21"/>
  <c r="H108" i="21"/>
  <c r="G108" i="21"/>
  <c r="F108" i="21"/>
  <c r="E108" i="21"/>
  <c r="D108" i="21"/>
  <c r="C108" i="21"/>
  <c r="B108" i="21"/>
  <c r="I107" i="21"/>
  <c r="H107" i="21"/>
  <c r="G107" i="21"/>
  <c r="F107" i="21"/>
  <c r="J107" i="21" s="1"/>
  <c r="E107" i="21"/>
  <c r="D107" i="21"/>
  <c r="C107" i="21"/>
  <c r="B107" i="21"/>
  <c r="I106" i="21"/>
  <c r="H106" i="21"/>
  <c r="G106" i="21"/>
  <c r="F106" i="21"/>
  <c r="J106" i="21" s="1"/>
  <c r="E106" i="21"/>
  <c r="D106" i="21"/>
  <c r="C106" i="21"/>
  <c r="B106" i="21"/>
  <c r="I105" i="21"/>
  <c r="H105" i="21"/>
  <c r="G105" i="21"/>
  <c r="F105" i="21"/>
  <c r="E105" i="21"/>
  <c r="D105" i="21"/>
  <c r="C105" i="21"/>
  <c r="B105" i="21"/>
  <c r="I104" i="21"/>
  <c r="H104" i="21"/>
  <c r="G104" i="21"/>
  <c r="F104" i="21"/>
  <c r="J104" i="21" s="1"/>
  <c r="E104" i="21"/>
  <c r="D104" i="21"/>
  <c r="C104" i="21"/>
  <c r="B104" i="21"/>
  <c r="I103" i="21"/>
  <c r="H103" i="21"/>
  <c r="G103" i="21"/>
  <c r="F103" i="21"/>
  <c r="J103" i="21" s="1"/>
  <c r="E103" i="21"/>
  <c r="D103" i="21"/>
  <c r="C103" i="21"/>
  <c r="B103" i="21"/>
  <c r="I102" i="21"/>
  <c r="H102" i="21"/>
  <c r="G102" i="21"/>
  <c r="F102" i="21"/>
  <c r="J102" i="21" s="1"/>
  <c r="E102" i="21"/>
  <c r="D102" i="21"/>
  <c r="C102" i="21"/>
  <c r="B102" i="21"/>
  <c r="I101" i="21"/>
  <c r="H101" i="21"/>
  <c r="G101" i="21"/>
  <c r="F101" i="21"/>
  <c r="J101" i="21" s="1"/>
  <c r="E101" i="21"/>
  <c r="D101" i="21"/>
  <c r="C101" i="21"/>
  <c r="B101" i="21"/>
  <c r="I100" i="21"/>
  <c r="H100" i="21"/>
  <c r="G100" i="21"/>
  <c r="F100" i="21"/>
  <c r="E100" i="21"/>
  <c r="D100" i="21"/>
  <c r="C100" i="21"/>
  <c r="B100" i="21"/>
  <c r="I99" i="21"/>
  <c r="H99" i="21"/>
  <c r="G99" i="21"/>
  <c r="F99" i="21"/>
  <c r="E99" i="21"/>
  <c r="D99" i="21"/>
  <c r="C99" i="21"/>
  <c r="B99" i="21"/>
  <c r="I98" i="21"/>
  <c r="H98" i="21"/>
  <c r="G98" i="21"/>
  <c r="F98" i="21"/>
  <c r="J98" i="21" s="1"/>
  <c r="E98" i="21"/>
  <c r="D98" i="21"/>
  <c r="C98" i="21"/>
  <c r="B98" i="21"/>
  <c r="I97" i="21"/>
  <c r="H97" i="21"/>
  <c r="G97" i="21"/>
  <c r="F97" i="21"/>
  <c r="J97" i="21" s="1"/>
  <c r="E97" i="21"/>
  <c r="D97" i="21"/>
  <c r="C97" i="21"/>
  <c r="B97" i="21"/>
  <c r="I96" i="21"/>
  <c r="H96" i="21"/>
  <c r="G96" i="21"/>
  <c r="F96" i="21"/>
  <c r="E96" i="21"/>
  <c r="D96" i="21"/>
  <c r="C96" i="21"/>
  <c r="B96" i="21"/>
  <c r="I95" i="21"/>
  <c r="H95" i="21"/>
  <c r="G95" i="21"/>
  <c r="F95" i="21"/>
  <c r="J95" i="21" s="1"/>
  <c r="E95" i="21"/>
  <c r="D95" i="21"/>
  <c r="C95" i="21"/>
  <c r="B95" i="21"/>
  <c r="I94" i="21"/>
  <c r="H94" i="21"/>
  <c r="G94" i="21"/>
  <c r="F94" i="21"/>
  <c r="E94" i="21"/>
  <c r="D94" i="21"/>
  <c r="C94" i="21"/>
  <c r="B94" i="21"/>
  <c r="I93" i="21"/>
  <c r="H93" i="21"/>
  <c r="G93" i="21"/>
  <c r="F93" i="21"/>
  <c r="J93" i="21" s="1"/>
  <c r="E93" i="21"/>
  <c r="D93" i="21"/>
  <c r="C93" i="21"/>
  <c r="B93" i="21"/>
  <c r="I92" i="21"/>
  <c r="H92" i="21"/>
  <c r="G92" i="21"/>
  <c r="F92" i="21"/>
  <c r="J92" i="21" s="1"/>
  <c r="E92" i="21"/>
  <c r="D92" i="21"/>
  <c r="C92" i="21"/>
  <c r="B92" i="21"/>
  <c r="I91" i="21"/>
  <c r="H91" i="21"/>
  <c r="G91" i="21"/>
  <c r="F91" i="21"/>
  <c r="J91" i="21" s="1"/>
  <c r="E91" i="21"/>
  <c r="D91" i="21"/>
  <c r="C91" i="21"/>
  <c r="B91" i="21"/>
  <c r="I90" i="21"/>
  <c r="H90" i="21"/>
  <c r="G90" i="21"/>
  <c r="F90" i="21"/>
  <c r="E90" i="21"/>
  <c r="D90" i="21"/>
  <c r="C90" i="21"/>
  <c r="B90" i="21"/>
  <c r="I89" i="21"/>
  <c r="H89" i="21"/>
  <c r="G89" i="21"/>
  <c r="F89" i="21"/>
  <c r="J89" i="21" s="1"/>
  <c r="E89" i="21"/>
  <c r="D89" i="21"/>
  <c r="C89" i="21"/>
  <c r="B89" i="21"/>
  <c r="I88" i="21"/>
  <c r="H88" i="21"/>
  <c r="G88" i="21"/>
  <c r="F88" i="21"/>
  <c r="J88" i="21" s="1"/>
  <c r="E88" i="21"/>
  <c r="D88" i="21"/>
  <c r="C88" i="21"/>
  <c r="B88" i="21"/>
  <c r="I87" i="21"/>
  <c r="H87" i="21"/>
  <c r="G87" i="21"/>
  <c r="F87" i="21"/>
  <c r="J87" i="21" s="1"/>
  <c r="E87" i="21"/>
  <c r="D87" i="21"/>
  <c r="C87" i="21"/>
  <c r="B87" i="21"/>
  <c r="I86" i="21"/>
  <c r="H86" i="21"/>
  <c r="G86" i="21"/>
  <c r="F86" i="21"/>
  <c r="J86" i="21" s="1"/>
  <c r="E86" i="21"/>
  <c r="D86" i="21"/>
  <c r="C86" i="21"/>
  <c r="B86" i="21"/>
  <c r="I85" i="21"/>
  <c r="H85" i="21"/>
  <c r="G85" i="21"/>
  <c r="F85" i="21"/>
  <c r="J85" i="21" s="1"/>
  <c r="E85" i="21"/>
  <c r="D85" i="21"/>
  <c r="C85" i="21"/>
  <c r="B85" i="21"/>
  <c r="I84" i="21"/>
  <c r="H84" i="21"/>
  <c r="G84" i="21"/>
  <c r="F84" i="21"/>
  <c r="E84" i="21"/>
  <c r="D84" i="21"/>
  <c r="C84" i="21"/>
  <c r="B84" i="21"/>
  <c r="I83" i="21"/>
  <c r="H83" i="21"/>
  <c r="G83" i="21"/>
  <c r="F83" i="21"/>
  <c r="J83" i="21" s="1"/>
  <c r="E83" i="21"/>
  <c r="D83" i="21"/>
  <c r="C83" i="21"/>
  <c r="B83" i="21"/>
  <c r="I82" i="21"/>
  <c r="H82" i="21"/>
  <c r="G82" i="21"/>
  <c r="F82" i="21"/>
  <c r="J82" i="21" s="1"/>
  <c r="E82" i="21"/>
  <c r="D82" i="21"/>
  <c r="C82" i="21"/>
  <c r="B82" i="21"/>
  <c r="I81" i="21"/>
  <c r="H81" i="21"/>
  <c r="G81" i="21"/>
  <c r="F81" i="21"/>
  <c r="J81" i="21" s="1"/>
  <c r="E81" i="21"/>
  <c r="D81" i="21"/>
  <c r="C81" i="21"/>
  <c r="B81" i="21"/>
  <c r="I80" i="21"/>
  <c r="H80" i="21"/>
  <c r="G80" i="21"/>
  <c r="F80" i="21"/>
  <c r="J80" i="21" s="1"/>
  <c r="E80" i="21"/>
  <c r="D80" i="21"/>
  <c r="C80" i="21"/>
  <c r="B80" i="21"/>
  <c r="I79" i="21"/>
  <c r="H79" i="21"/>
  <c r="G79" i="21"/>
  <c r="F79" i="21"/>
  <c r="J79" i="21" s="1"/>
  <c r="E79" i="21"/>
  <c r="D79" i="21"/>
  <c r="C79" i="21"/>
  <c r="B79" i="21"/>
  <c r="I78" i="21"/>
  <c r="H78" i="21"/>
  <c r="G78" i="21"/>
  <c r="F78" i="21"/>
  <c r="J78" i="21" s="1"/>
  <c r="E78" i="21"/>
  <c r="D78" i="21"/>
  <c r="C78" i="21"/>
  <c r="B78" i="21"/>
  <c r="I77" i="21"/>
  <c r="H77" i="21"/>
  <c r="G77" i="21"/>
  <c r="F77" i="21"/>
  <c r="J77" i="21" s="1"/>
  <c r="E77" i="21"/>
  <c r="D77" i="21"/>
  <c r="C77" i="21"/>
  <c r="B77" i="21"/>
  <c r="I76" i="21"/>
  <c r="H76" i="21"/>
  <c r="G76" i="21"/>
  <c r="F76" i="21"/>
  <c r="J76" i="21" s="1"/>
  <c r="E76" i="21"/>
  <c r="D76" i="21"/>
  <c r="C76" i="21"/>
  <c r="B76" i="21"/>
  <c r="I75" i="21"/>
  <c r="H75" i="21"/>
  <c r="G75" i="21"/>
  <c r="F75" i="21"/>
  <c r="J75" i="21" s="1"/>
  <c r="E75" i="21"/>
  <c r="D75" i="21"/>
  <c r="C75" i="21"/>
  <c r="B75" i="21"/>
  <c r="I74" i="21"/>
  <c r="H74" i="21"/>
  <c r="G74" i="21"/>
  <c r="F74" i="21"/>
  <c r="J74" i="21" s="1"/>
  <c r="E74" i="21"/>
  <c r="D74" i="21"/>
  <c r="C74" i="21"/>
  <c r="B74" i="21"/>
  <c r="I73" i="21"/>
  <c r="H73" i="21"/>
  <c r="G73" i="21"/>
  <c r="F73" i="21"/>
  <c r="E73" i="21"/>
  <c r="D73" i="21"/>
  <c r="C73" i="21"/>
  <c r="B73" i="21"/>
  <c r="I72" i="21"/>
  <c r="H72" i="21"/>
  <c r="G72" i="21"/>
  <c r="F72" i="21"/>
  <c r="E72" i="21"/>
  <c r="D72" i="21"/>
  <c r="C72" i="21"/>
  <c r="B72" i="21"/>
  <c r="I71" i="21"/>
  <c r="H71" i="21"/>
  <c r="G71" i="21"/>
  <c r="F71" i="21"/>
  <c r="J71" i="21" s="1"/>
  <c r="E71" i="21"/>
  <c r="D71" i="21"/>
  <c r="C71" i="21"/>
  <c r="B71" i="21"/>
  <c r="I70" i="21"/>
  <c r="H70" i="21"/>
  <c r="G70" i="21"/>
  <c r="F70" i="21"/>
  <c r="E70" i="21"/>
  <c r="D70" i="21"/>
  <c r="C70" i="21"/>
  <c r="B70" i="21"/>
  <c r="I69" i="21"/>
  <c r="H69" i="21"/>
  <c r="G69" i="21"/>
  <c r="F69" i="21"/>
  <c r="E69" i="21"/>
  <c r="D69" i="21"/>
  <c r="C69" i="21"/>
  <c r="B69" i="21"/>
  <c r="I68" i="21"/>
  <c r="H68" i="21"/>
  <c r="G68" i="21"/>
  <c r="F68" i="21"/>
  <c r="J68" i="21" s="1"/>
  <c r="E68" i="21"/>
  <c r="D68" i="21"/>
  <c r="C68" i="21"/>
  <c r="B68" i="21"/>
  <c r="I67" i="21"/>
  <c r="H67" i="21"/>
  <c r="G67" i="21"/>
  <c r="F67" i="21"/>
  <c r="J67" i="21" s="1"/>
  <c r="E67" i="21"/>
  <c r="D67" i="21"/>
  <c r="C67" i="21"/>
  <c r="B67" i="21"/>
  <c r="I66" i="21"/>
  <c r="H66" i="21"/>
  <c r="G66" i="21"/>
  <c r="F66" i="21"/>
  <c r="J66" i="21" s="1"/>
  <c r="E66" i="21"/>
  <c r="D66" i="21"/>
  <c r="C66" i="21"/>
  <c r="B66" i="21"/>
  <c r="I65" i="21"/>
  <c r="H65" i="21"/>
  <c r="G65" i="21"/>
  <c r="F65" i="21"/>
  <c r="J65" i="21" s="1"/>
  <c r="E65" i="21"/>
  <c r="D65" i="21"/>
  <c r="C65" i="21"/>
  <c r="B65" i="21"/>
  <c r="I64" i="21"/>
  <c r="H64" i="21"/>
  <c r="G64" i="21"/>
  <c r="F64" i="21"/>
  <c r="E64" i="21"/>
  <c r="D64" i="21"/>
  <c r="C64" i="21"/>
  <c r="B64" i="21"/>
  <c r="I63" i="21"/>
  <c r="H63" i="21"/>
  <c r="G63" i="21"/>
  <c r="F63" i="21"/>
  <c r="E63" i="21"/>
  <c r="D63" i="21"/>
  <c r="C63" i="21"/>
  <c r="B63" i="21"/>
  <c r="I62" i="21"/>
  <c r="H62" i="21"/>
  <c r="G62" i="21"/>
  <c r="F62" i="21"/>
  <c r="J62" i="21" s="1"/>
  <c r="E62" i="21"/>
  <c r="D62" i="21"/>
  <c r="C62" i="21"/>
  <c r="B62" i="21"/>
  <c r="I61" i="21"/>
  <c r="H61" i="21"/>
  <c r="G61" i="21"/>
  <c r="F61" i="21"/>
  <c r="J61" i="21" s="1"/>
  <c r="E61" i="21"/>
  <c r="D61" i="21"/>
  <c r="C61" i="21"/>
  <c r="B61" i="21"/>
  <c r="I60" i="21"/>
  <c r="H60" i="21"/>
  <c r="G60" i="21"/>
  <c r="F60" i="21"/>
  <c r="E60" i="21"/>
  <c r="D60" i="21"/>
  <c r="C60" i="21"/>
  <c r="B60" i="21"/>
  <c r="I59" i="21"/>
  <c r="H59" i="21"/>
  <c r="G59" i="21"/>
  <c r="F59" i="21"/>
  <c r="J59" i="21" s="1"/>
  <c r="E59" i="21"/>
  <c r="D59" i="21"/>
  <c r="C59" i="21"/>
  <c r="B59" i="21"/>
  <c r="I58" i="21"/>
  <c r="H58" i="21"/>
  <c r="G58" i="21"/>
  <c r="F58" i="21"/>
  <c r="E58" i="21"/>
  <c r="D58" i="21"/>
  <c r="C58" i="21"/>
  <c r="B58" i="21"/>
  <c r="I57" i="21"/>
  <c r="H57" i="21"/>
  <c r="G57" i="21"/>
  <c r="F57" i="21"/>
  <c r="J57" i="21" s="1"/>
  <c r="E57" i="21"/>
  <c r="D57" i="21"/>
  <c r="C57" i="21"/>
  <c r="B57" i="21"/>
  <c r="I56" i="21"/>
  <c r="H56" i="21"/>
  <c r="G56" i="21"/>
  <c r="F56" i="21"/>
  <c r="J56" i="21" s="1"/>
  <c r="E56" i="21"/>
  <c r="D56" i="21"/>
  <c r="C56" i="21"/>
  <c r="B56" i="21"/>
  <c r="I55" i="21"/>
  <c r="H55" i="21"/>
  <c r="G55" i="21"/>
  <c r="F55" i="21"/>
  <c r="J55" i="21" s="1"/>
  <c r="E55" i="21"/>
  <c r="D55" i="21"/>
  <c r="C55" i="21"/>
  <c r="B55" i="21"/>
  <c r="I54" i="21"/>
  <c r="H54" i="21"/>
  <c r="G54" i="21"/>
  <c r="F54" i="21"/>
  <c r="E54" i="21"/>
  <c r="D54" i="21"/>
  <c r="C54" i="21"/>
  <c r="B54" i="21"/>
  <c r="I53" i="21"/>
  <c r="H53" i="21"/>
  <c r="G53" i="21"/>
  <c r="F53" i="21"/>
  <c r="J53" i="21" s="1"/>
  <c r="E53" i="21"/>
  <c r="D53" i="21"/>
  <c r="C53" i="21"/>
  <c r="B53" i="21"/>
  <c r="I52" i="21"/>
  <c r="H52" i="21"/>
  <c r="G52" i="21"/>
  <c r="F52" i="21"/>
  <c r="J52" i="21" s="1"/>
  <c r="E52" i="21"/>
  <c r="D52" i="21"/>
  <c r="C52" i="21"/>
  <c r="B52" i="21"/>
  <c r="I51" i="21"/>
  <c r="H51" i="21"/>
  <c r="G51" i="21"/>
  <c r="F51" i="21"/>
  <c r="J51" i="21" s="1"/>
  <c r="E51" i="21"/>
  <c r="D51" i="21"/>
  <c r="C51" i="21"/>
  <c r="B51" i="21"/>
  <c r="I50" i="21"/>
  <c r="H50" i="21"/>
  <c r="G50" i="21"/>
  <c r="F50" i="21"/>
  <c r="J50" i="21" s="1"/>
  <c r="E50" i="21"/>
  <c r="D50" i="21"/>
  <c r="C50" i="21"/>
  <c r="B50" i="21"/>
  <c r="I49" i="21"/>
  <c r="H49" i="21"/>
  <c r="G49" i="21"/>
  <c r="F49" i="21"/>
  <c r="J49" i="21" s="1"/>
  <c r="E49" i="21"/>
  <c r="D49" i="21"/>
  <c r="C49" i="21"/>
  <c r="B49" i="21"/>
  <c r="I48" i="21"/>
  <c r="H48" i="21"/>
  <c r="G48" i="21"/>
  <c r="F48" i="21"/>
  <c r="E48" i="21"/>
  <c r="D48" i="21"/>
  <c r="C48" i="21"/>
  <c r="B48" i="21"/>
  <c r="I47" i="21"/>
  <c r="H47" i="21"/>
  <c r="G47" i="21"/>
  <c r="F47" i="21"/>
  <c r="J47" i="21" s="1"/>
  <c r="E47" i="21"/>
  <c r="D47" i="21"/>
  <c r="C47" i="21"/>
  <c r="B47" i="21"/>
  <c r="I46" i="21"/>
  <c r="H46" i="21"/>
  <c r="G46" i="21"/>
  <c r="F46" i="21"/>
  <c r="J46" i="21" s="1"/>
  <c r="E46" i="21"/>
  <c r="D46" i="21"/>
  <c r="C46" i="21"/>
  <c r="B46" i="21"/>
  <c r="I45" i="21"/>
  <c r="H45" i="21"/>
  <c r="G45" i="21"/>
  <c r="F45" i="21"/>
  <c r="J45" i="21" s="1"/>
  <c r="E45" i="21"/>
  <c r="D45" i="21"/>
  <c r="C45" i="21"/>
  <c r="B45" i="21"/>
  <c r="I44" i="21"/>
  <c r="H44" i="21"/>
  <c r="G44" i="21"/>
  <c r="F44" i="21"/>
  <c r="J44" i="21" s="1"/>
  <c r="E44" i="21"/>
  <c r="D44" i="21"/>
  <c r="C44" i="21"/>
  <c r="B44" i="21"/>
  <c r="I43" i="21"/>
  <c r="H43" i="21"/>
  <c r="G43" i="21"/>
  <c r="F43" i="21"/>
  <c r="J43" i="21" s="1"/>
  <c r="E43" i="21"/>
  <c r="D43" i="21"/>
  <c r="C43" i="21"/>
  <c r="B43" i="21"/>
  <c r="I42" i="21"/>
  <c r="H42" i="21"/>
  <c r="G42" i="21"/>
  <c r="F42" i="21"/>
  <c r="J42" i="21" s="1"/>
  <c r="E42" i="21"/>
  <c r="D42" i="21"/>
  <c r="C42" i="21"/>
  <c r="B42" i="21"/>
  <c r="I41" i="21"/>
  <c r="H41" i="21"/>
  <c r="G41" i="21"/>
  <c r="F41" i="21"/>
  <c r="J41" i="21" s="1"/>
  <c r="E41" i="21"/>
  <c r="D41" i="21"/>
  <c r="C41" i="21"/>
  <c r="B41" i="21"/>
  <c r="I40" i="21"/>
  <c r="H40" i="21"/>
  <c r="G40" i="21"/>
  <c r="F40" i="21"/>
  <c r="J40" i="21" s="1"/>
  <c r="E40" i="21"/>
  <c r="D40" i="21"/>
  <c r="C40" i="21"/>
  <c r="B40" i="21"/>
  <c r="I39" i="21"/>
  <c r="H39" i="21"/>
  <c r="G39" i="21"/>
  <c r="F39" i="21"/>
  <c r="J39" i="21" s="1"/>
  <c r="E39" i="21"/>
  <c r="D39" i="21"/>
  <c r="C39" i="21"/>
  <c r="B39" i="21"/>
  <c r="I38" i="21"/>
  <c r="H38" i="21"/>
  <c r="G38" i="21"/>
  <c r="F38" i="21"/>
  <c r="J38" i="21" s="1"/>
  <c r="E38" i="21"/>
  <c r="D38" i="21"/>
  <c r="C38" i="21"/>
  <c r="B38" i="21"/>
  <c r="I37" i="21"/>
  <c r="H37" i="21"/>
  <c r="G37" i="21"/>
  <c r="F37" i="21"/>
  <c r="E37" i="21"/>
  <c r="D37" i="21"/>
  <c r="C37" i="21"/>
  <c r="B37" i="21"/>
  <c r="I36" i="21"/>
  <c r="H36" i="21"/>
  <c r="G36" i="21"/>
  <c r="F36" i="21"/>
  <c r="E36" i="21"/>
  <c r="D36" i="21"/>
  <c r="C36" i="21"/>
  <c r="B36" i="21"/>
  <c r="I35" i="21"/>
  <c r="H35" i="21"/>
  <c r="G35" i="21"/>
  <c r="F35" i="21"/>
  <c r="J35" i="21" s="1"/>
  <c r="E35" i="21"/>
  <c r="D35" i="21"/>
  <c r="C35" i="21"/>
  <c r="B35" i="21"/>
  <c r="I34" i="21"/>
  <c r="H34" i="21"/>
  <c r="G34" i="21"/>
  <c r="F34" i="21"/>
  <c r="J34" i="21" s="1"/>
  <c r="E34" i="21"/>
  <c r="D34" i="21"/>
  <c r="C34" i="21"/>
  <c r="B34" i="21"/>
  <c r="I33" i="21"/>
  <c r="H33" i="21"/>
  <c r="G33" i="21"/>
  <c r="F33" i="21"/>
  <c r="E33" i="21"/>
  <c r="D33" i="21"/>
  <c r="C33" i="21"/>
  <c r="B33" i="21"/>
  <c r="I32" i="21"/>
  <c r="H32" i="21"/>
  <c r="G32" i="21"/>
  <c r="F32" i="21"/>
  <c r="J32" i="21" s="1"/>
  <c r="E32" i="21"/>
  <c r="D32" i="21"/>
  <c r="C32" i="21"/>
  <c r="B32" i="21"/>
  <c r="I31" i="21"/>
  <c r="H31" i="21"/>
  <c r="G31" i="21"/>
  <c r="F31" i="21"/>
  <c r="J31" i="21" s="1"/>
  <c r="E31" i="21"/>
  <c r="D31" i="21"/>
  <c r="C31" i="21"/>
  <c r="B31" i="21"/>
  <c r="I30" i="21"/>
  <c r="H30" i="21"/>
  <c r="G30" i="21"/>
  <c r="F30" i="21"/>
  <c r="J30" i="21" s="1"/>
  <c r="E30" i="21"/>
  <c r="D30" i="21"/>
  <c r="C30" i="21"/>
  <c r="B30" i="21"/>
  <c r="I29" i="21"/>
  <c r="H29" i="21"/>
  <c r="G29" i="21"/>
  <c r="F29" i="21"/>
  <c r="J29" i="21" s="1"/>
  <c r="E29" i="21"/>
  <c r="D29" i="21"/>
  <c r="C29" i="21"/>
  <c r="B29" i="21"/>
  <c r="I28" i="21"/>
  <c r="H28" i="21"/>
  <c r="G28" i="21"/>
  <c r="F28" i="21"/>
  <c r="E28" i="21"/>
  <c r="D28" i="21"/>
  <c r="C28" i="21"/>
  <c r="B28" i="21"/>
  <c r="I27" i="21"/>
  <c r="H27" i="21"/>
  <c r="G27" i="21"/>
  <c r="F27" i="21"/>
  <c r="E27" i="21"/>
  <c r="D27" i="21"/>
  <c r="C27" i="21"/>
  <c r="B27" i="21"/>
  <c r="I26" i="21"/>
  <c r="H26" i="21"/>
  <c r="G26" i="21"/>
  <c r="F26" i="21"/>
  <c r="J26" i="21" s="1"/>
  <c r="E26" i="21"/>
  <c r="D26" i="21"/>
  <c r="C26" i="21"/>
  <c r="B26" i="21"/>
  <c r="H25" i="21"/>
  <c r="H149" i="21" s="1"/>
  <c r="G25" i="21"/>
  <c r="G149" i="21" s="1"/>
  <c r="F25" i="21"/>
  <c r="F149" i="21" s="1"/>
  <c r="E25" i="21"/>
  <c r="D25" i="21"/>
  <c r="C25" i="21"/>
  <c r="B25" i="21"/>
  <c r="I24" i="21"/>
  <c r="H24" i="21"/>
  <c r="G24" i="21"/>
  <c r="F24" i="21"/>
  <c r="E24" i="21"/>
  <c r="D24" i="21"/>
  <c r="C24" i="21"/>
  <c r="B24" i="21"/>
  <c r="I23" i="21"/>
  <c r="H23" i="21"/>
  <c r="G23" i="21"/>
  <c r="F23" i="21"/>
  <c r="E23" i="21"/>
  <c r="D23" i="21"/>
  <c r="C23" i="21"/>
  <c r="B23" i="21"/>
  <c r="I22" i="21"/>
  <c r="H22" i="21"/>
  <c r="G22" i="21"/>
  <c r="F22" i="21"/>
  <c r="E22" i="21"/>
  <c r="D22" i="21"/>
  <c r="C22" i="21"/>
  <c r="B22" i="21"/>
  <c r="I21" i="21"/>
  <c r="H21" i="21"/>
  <c r="G21" i="21"/>
  <c r="F21" i="21"/>
  <c r="E21" i="21"/>
  <c r="D21" i="21"/>
  <c r="C21" i="21"/>
  <c r="B21" i="21"/>
  <c r="I20" i="21"/>
  <c r="H20" i="21"/>
  <c r="G20" i="21"/>
  <c r="F20" i="21"/>
  <c r="E20" i="21"/>
  <c r="D20" i="21"/>
  <c r="C20" i="21"/>
  <c r="B20" i="21"/>
  <c r="I19" i="21"/>
  <c r="H19" i="21"/>
  <c r="G19" i="21"/>
  <c r="F19" i="21"/>
  <c r="E19" i="21"/>
  <c r="D19" i="21"/>
  <c r="C19" i="21"/>
  <c r="B19" i="21"/>
  <c r="I18" i="21"/>
  <c r="H18" i="21"/>
  <c r="G18" i="21"/>
  <c r="F18" i="21"/>
  <c r="E18" i="21"/>
  <c r="D18" i="21"/>
  <c r="C18" i="21"/>
  <c r="B18" i="21"/>
  <c r="I17" i="21"/>
  <c r="H17" i="21"/>
  <c r="G17" i="21"/>
  <c r="F17" i="21"/>
  <c r="E17" i="21"/>
  <c r="D17" i="21"/>
  <c r="C17" i="21"/>
  <c r="B17" i="21"/>
  <c r="I16" i="21"/>
  <c r="H16" i="21"/>
  <c r="G16" i="21"/>
  <c r="F16" i="21"/>
  <c r="E16" i="21"/>
  <c r="D16" i="21"/>
  <c r="C16" i="21"/>
  <c r="B16" i="21"/>
  <c r="I15" i="21"/>
  <c r="H15" i="21"/>
  <c r="G15" i="21"/>
  <c r="F15" i="21"/>
  <c r="E15" i="21"/>
  <c r="D15" i="21"/>
  <c r="C15" i="21"/>
  <c r="B15" i="21"/>
  <c r="I14" i="21"/>
  <c r="H14" i="21"/>
  <c r="G14" i="21"/>
  <c r="F14" i="21"/>
  <c r="E14" i="21"/>
  <c r="D14" i="21"/>
  <c r="C14" i="21"/>
  <c r="B14" i="21"/>
  <c r="I13" i="21"/>
  <c r="H13" i="21"/>
  <c r="G13" i="21"/>
  <c r="F13" i="21"/>
  <c r="E13" i="21"/>
  <c r="D13" i="21"/>
  <c r="C13" i="21"/>
  <c r="B13" i="21"/>
  <c r="I12" i="21"/>
  <c r="H12" i="21"/>
  <c r="G12" i="21"/>
  <c r="F12" i="21"/>
  <c r="E12" i="21"/>
  <c r="D12" i="21"/>
  <c r="C12" i="21"/>
  <c r="B12" i="21"/>
  <c r="I11" i="21"/>
  <c r="H11" i="21"/>
  <c r="G11" i="21"/>
  <c r="F11" i="21"/>
  <c r="E11" i="21"/>
  <c r="D11" i="21"/>
  <c r="C11" i="21"/>
  <c r="B11" i="21"/>
  <c r="I10" i="21"/>
  <c r="H10" i="21"/>
  <c r="G10" i="21"/>
  <c r="F10" i="21"/>
  <c r="E10" i="21"/>
  <c r="D10" i="21"/>
  <c r="C10" i="21"/>
  <c r="B10" i="21"/>
  <c r="A10" i="21"/>
  <c r="L10" i="21" s="1"/>
  <c r="H7" i="21"/>
  <c r="G7" i="21"/>
  <c r="F7" i="21"/>
  <c r="K6" i="21"/>
  <c r="K8" i="21" s="1"/>
  <c r="J6" i="21"/>
  <c r="J8" i="21" s="1"/>
  <c r="I2" i="21"/>
  <c r="I146" i="20"/>
  <c r="H146" i="20"/>
  <c r="G146" i="20"/>
  <c r="K146" i="20" s="1"/>
  <c r="F146" i="20"/>
  <c r="J146" i="20" s="1"/>
  <c r="E146" i="20"/>
  <c r="D146" i="20"/>
  <c r="C146" i="20"/>
  <c r="B146" i="20"/>
  <c r="A146" i="20"/>
  <c r="I145" i="20"/>
  <c r="H145" i="20"/>
  <c r="G145" i="20"/>
  <c r="K145" i="20" s="1"/>
  <c r="F145" i="20"/>
  <c r="E145" i="20"/>
  <c r="D145" i="20"/>
  <c r="C145" i="20"/>
  <c r="B145" i="20"/>
  <c r="A145" i="20"/>
  <c r="I144" i="20"/>
  <c r="H144" i="20"/>
  <c r="G144" i="20"/>
  <c r="F144" i="20"/>
  <c r="E144" i="20"/>
  <c r="D144" i="20"/>
  <c r="C144" i="20"/>
  <c r="B144" i="20"/>
  <c r="A144" i="20"/>
  <c r="I143" i="20"/>
  <c r="H143" i="20"/>
  <c r="G143" i="20"/>
  <c r="F143" i="20"/>
  <c r="J143" i="20" s="1"/>
  <c r="E143" i="20"/>
  <c r="D143" i="20"/>
  <c r="C143" i="20"/>
  <c r="B143" i="20"/>
  <c r="A143" i="20"/>
  <c r="I142" i="20"/>
  <c r="H142" i="20"/>
  <c r="G142" i="20"/>
  <c r="F142" i="20"/>
  <c r="E142" i="20"/>
  <c r="D142" i="20"/>
  <c r="C142" i="20"/>
  <c r="B142" i="20"/>
  <c r="A142" i="20"/>
  <c r="I141" i="20"/>
  <c r="H141" i="20"/>
  <c r="G141" i="20"/>
  <c r="K141" i="20" s="1"/>
  <c r="F141" i="20"/>
  <c r="E141" i="20"/>
  <c r="D141" i="20"/>
  <c r="C141" i="20"/>
  <c r="B141" i="20"/>
  <c r="A141" i="20"/>
  <c r="I140" i="20"/>
  <c r="H140" i="20"/>
  <c r="G140" i="20"/>
  <c r="F140" i="20"/>
  <c r="E140" i="20"/>
  <c r="D140" i="20"/>
  <c r="C140" i="20"/>
  <c r="B140" i="20"/>
  <c r="A140" i="20"/>
  <c r="I139" i="20"/>
  <c r="H139" i="20"/>
  <c r="G139" i="20"/>
  <c r="F139" i="20"/>
  <c r="J139" i="20" s="1"/>
  <c r="E139" i="20"/>
  <c r="D139" i="20"/>
  <c r="C139" i="20"/>
  <c r="B139" i="20"/>
  <c r="A139" i="20"/>
  <c r="I138" i="20"/>
  <c r="H138" i="20"/>
  <c r="G138" i="20"/>
  <c r="F138" i="20"/>
  <c r="E138" i="20"/>
  <c r="D138" i="20"/>
  <c r="C138" i="20"/>
  <c r="B138" i="20"/>
  <c r="A138" i="20"/>
  <c r="I137" i="20"/>
  <c r="H137" i="20"/>
  <c r="G137" i="20"/>
  <c r="K137" i="20" s="1"/>
  <c r="F137" i="20"/>
  <c r="E137" i="20"/>
  <c r="D137" i="20"/>
  <c r="C137" i="20"/>
  <c r="B137" i="20"/>
  <c r="A137" i="20"/>
  <c r="I136" i="20"/>
  <c r="H136" i="20"/>
  <c r="G136" i="20"/>
  <c r="F136" i="20"/>
  <c r="E136" i="20"/>
  <c r="D136" i="20"/>
  <c r="C136" i="20"/>
  <c r="B136" i="20"/>
  <c r="A136" i="20"/>
  <c r="I135" i="20"/>
  <c r="H135" i="20"/>
  <c r="G135" i="20"/>
  <c r="F135" i="20"/>
  <c r="J135" i="20" s="1"/>
  <c r="E135" i="20"/>
  <c r="D135" i="20"/>
  <c r="C135" i="20"/>
  <c r="B135" i="20"/>
  <c r="A135" i="20"/>
  <c r="I134" i="20"/>
  <c r="H134" i="20"/>
  <c r="G134" i="20"/>
  <c r="K134" i="20" s="1"/>
  <c r="F134" i="20"/>
  <c r="J134" i="20" s="1"/>
  <c r="E134" i="20"/>
  <c r="D134" i="20"/>
  <c r="C134" i="20"/>
  <c r="B134" i="20"/>
  <c r="A134" i="20"/>
  <c r="I133" i="20"/>
  <c r="H133" i="20"/>
  <c r="G133" i="20"/>
  <c r="K133" i="20" s="1"/>
  <c r="F133" i="20"/>
  <c r="E133" i="20"/>
  <c r="D133" i="20"/>
  <c r="C133" i="20"/>
  <c r="B133" i="20"/>
  <c r="A133" i="20"/>
  <c r="I132" i="20"/>
  <c r="H132" i="20"/>
  <c r="G132" i="20"/>
  <c r="F132" i="20"/>
  <c r="E132" i="20"/>
  <c r="D132" i="20"/>
  <c r="C132" i="20"/>
  <c r="B132" i="20"/>
  <c r="A132" i="20"/>
  <c r="I131" i="20"/>
  <c r="H131" i="20"/>
  <c r="G131" i="20"/>
  <c r="F131" i="20"/>
  <c r="J131" i="20" s="1"/>
  <c r="E131" i="20"/>
  <c r="D131" i="20"/>
  <c r="C131" i="20"/>
  <c r="B131" i="20"/>
  <c r="A131" i="20"/>
  <c r="I130" i="20"/>
  <c r="H130" i="20"/>
  <c r="G130" i="20"/>
  <c r="F130" i="20"/>
  <c r="E130" i="20"/>
  <c r="D130" i="20"/>
  <c r="C130" i="20"/>
  <c r="B130" i="20"/>
  <c r="A130" i="20"/>
  <c r="I129" i="20"/>
  <c r="H129" i="20"/>
  <c r="G129" i="20"/>
  <c r="K129" i="20" s="1"/>
  <c r="F129" i="20"/>
  <c r="E129" i="20"/>
  <c r="D129" i="20"/>
  <c r="C129" i="20"/>
  <c r="B129" i="20"/>
  <c r="A129" i="20"/>
  <c r="I128" i="20"/>
  <c r="H128" i="20"/>
  <c r="G128" i="20"/>
  <c r="F128" i="20"/>
  <c r="E128" i="20"/>
  <c r="D128" i="20"/>
  <c r="C128" i="20"/>
  <c r="B128" i="20"/>
  <c r="A128" i="20"/>
  <c r="I127" i="20"/>
  <c r="H127" i="20"/>
  <c r="G127" i="20"/>
  <c r="F127" i="20"/>
  <c r="J127" i="20" s="1"/>
  <c r="E127" i="20"/>
  <c r="D127" i="20"/>
  <c r="C127" i="20"/>
  <c r="B127" i="20"/>
  <c r="A127" i="20"/>
  <c r="I126" i="20"/>
  <c r="H126" i="20"/>
  <c r="G126" i="20"/>
  <c r="F126" i="20"/>
  <c r="E126" i="20"/>
  <c r="D126" i="20"/>
  <c r="C126" i="20"/>
  <c r="B126" i="20"/>
  <c r="A126" i="20"/>
  <c r="I125" i="20"/>
  <c r="H125" i="20"/>
  <c r="G125" i="20"/>
  <c r="K125" i="20" s="1"/>
  <c r="F125" i="20"/>
  <c r="E125" i="20"/>
  <c r="D125" i="20"/>
  <c r="C125" i="20"/>
  <c r="B125" i="20"/>
  <c r="A125" i="20"/>
  <c r="I124" i="20"/>
  <c r="H124" i="20"/>
  <c r="G124" i="20"/>
  <c r="F124" i="20"/>
  <c r="E124" i="20"/>
  <c r="D124" i="20"/>
  <c r="C124" i="20"/>
  <c r="B124" i="20"/>
  <c r="A124" i="20"/>
  <c r="I123" i="20"/>
  <c r="H123" i="20"/>
  <c r="G123" i="20"/>
  <c r="F123" i="20"/>
  <c r="J123" i="20" s="1"/>
  <c r="E123" i="20"/>
  <c r="D123" i="20"/>
  <c r="C123" i="20"/>
  <c r="B123" i="20"/>
  <c r="A123" i="20"/>
  <c r="I122" i="20"/>
  <c r="H122" i="20"/>
  <c r="G122" i="20"/>
  <c r="K122" i="20" s="1"/>
  <c r="F122" i="20"/>
  <c r="J122" i="20" s="1"/>
  <c r="E122" i="20"/>
  <c r="D122" i="20"/>
  <c r="C122" i="20"/>
  <c r="B122" i="20"/>
  <c r="A122" i="20"/>
  <c r="I121" i="20"/>
  <c r="H121" i="20"/>
  <c r="G121" i="20"/>
  <c r="K121" i="20" s="1"/>
  <c r="F121" i="20"/>
  <c r="E121" i="20"/>
  <c r="D121" i="20"/>
  <c r="C121" i="20"/>
  <c r="B121" i="20"/>
  <c r="A121" i="20"/>
  <c r="I120" i="20"/>
  <c r="H120" i="20"/>
  <c r="G120" i="20"/>
  <c r="F120" i="20"/>
  <c r="E120" i="20"/>
  <c r="D120" i="20"/>
  <c r="C120" i="20"/>
  <c r="B120" i="20"/>
  <c r="A120" i="20"/>
  <c r="I119" i="20"/>
  <c r="H119" i="20"/>
  <c r="G119" i="20"/>
  <c r="F119" i="20"/>
  <c r="J119" i="20" s="1"/>
  <c r="E119" i="20"/>
  <c r="D119" i="20"/>
  <c r="C119" i="20"/>
  <c r="B119" i="20"/>
  <c r="A119" i="20"/>
  <c r="I118" i="20"/>
  <c r="H118" i="20"/>
  <c r="G118" i="20"/>
  <c r="F118" i="20"/>
  <c r="E118" i="20"/>
  <c r="D118" i="20"/>
  <c r="C118" i="20"/>
  <c r="B118" i="20"/>
  <c r="A118" i="20"/>
  <c r="I117" i="20"/>
  <c r="H117" i="20"/>
  <c r="G117" i="20"/>
  <c r="K117" i="20" s="1"/>
  <c r="F117" i="20"/>
  <c r="E117" i="20"/>
  <c r="D117" i="20"/>
  <c r="C117" i="20"/>
  <c r="B117" i="20"/>
  <c r="A117" i="20"/>
  <c r="I116" i="20"/>
  <c r="H116" i="20"/>
  <c r="G116" i="20"/>
  <c r="F116" i="20"/>
  <c r="E116" i="20"/>
  <c r="D116" i="20"/>
  <c r="C116" i="20"/>
  <c r="B116" i="20"/>
  <c r="A116" i="20"/>
  <c r="I115" i="20"/>
  <c r="H115" i="20"/>
  <c r="G115" i="20"/>
  <c r="F115" i="20"/>
  <c r="J115" i="20" s="1"/>
  <c r="E115" i="20"/>
  <c r="D115" i="20"/>
  <c r="C115" i="20"/>
  <c r="B115" i="20"/>
  <c r="A115" i="20"/>
  <c r="I114" i="20"/>
  <c r="H114" i="20"/>
  <c r="G114" i="20"/>
  <c r="F114" i="20"/>
  <c r="E114" i="20"/>
  <c r="D114" i="20"/>
  <c r="C114" i="20"/>
  <c r="B114" i="20"/>
  <c r="A114" i="20"/>
  <c r="I113" i="20"/>
  <c r="H113" i="20"/>
  <c r="G113" i="20"/>
  <c r="K113" i="20" s="1"/>
  <c r="F113" i="20"/>
  <c r="E113" i="20"/>
  <c r="D113" i="20"/>
  <c r="C113" i="20"/>
  <c r="B113" i="20"/>
  <c r="A113" i="20"/>
  <c r="I112" i="20"/>
  <c r="H112" i="20"/>
  <c r="G112" i="20"/>
  <c r="F112" i="20"/>
  <c r="E112" i="20"/>
  <c r="D112" i="20"/>
  <c r="C112" i="20"/>
  <c r="B112" i="20"/>
  <c r="A112" i="20"/>
  <c r="I111" i="20"/>
  <c r="H111" i="20"/>
  <c r="G111" i="20"/>
  <c r="F111" i="20"/>
  <c r="J111" i="20" s="1"/>
  <c r="E111" i="20"/>
  <c r="D111" i="20"/>
  <c r="C111" i="20"/>
  <c r="B111" i="20"/>
  <c r="A111" i="20"/>
  <c r="I110" i="20"/>
  <c r="H110" i="20"/>
  <c r="G110" i="20"/>
  <c r="K110" i="20" s="1"/>
  <c r="F110" i="20"/>
  <c r="J110" i="20" s="1"/>
  <c r="E110" i="20"/>
  <c r="D110" i="20"/>
  <c r="C110" i="20"/>
  <c r="B110" i="20"/>
  <c r="A110" i="20"/>
  <c r="I109" i="20"/>
  <c r="H109" i="20"/>
  <c r="G109" i="20"/>
  <c r="K109" i="20" s="1"/>
  <c r="F109" i="20"/>
  <c r="E109" i="20"/>
  <c r="D109" i="20"/>
  <c r="C109" i="20"/>
  <c r="B109" i="20"/>
  <c r="A109" i="20"/>
  <c r="I108" i="20"/>
  <c r="H108" i="20"/>
  <c r="G108" i="20"/>
  <c r="F108" i="20"/>
  <c r="E108" i="20"/>
  <c r="D108" i="20"/>
  <c r="C108" i="20"/>
  <c r="B108" i="20"/>
  <c r="A108" i="20"/>
  <c r="I107" i="20"/>
  <c r="H107" i="20"/>
  <c r="G107" i="20"/>
  <c r="F107" i="20"/>
  <c r="J107" i="20" s="1"/>
  <c r="E107" i="20"/>
  <c r="D107" i="20"/>
  <c r="C107" i="20"/>
  <c r="B107" i="20"/>
  <c r="A107" i="20"/>
  <c r="I106" i="20"/>
  <c r="H106" i="20"/>
  <c r="G106" i="20"/>
  <c r="F106" i="20"/>
  <c r="E106" i="20"/>
  <c r="D106" i="20"/>
  <c r="C106" i="20"/>
  <c r="B106" i="20"/>
  <c r="A106" i="20"/>
  <c r="I105" i="20"/>
  <c r="H105" i="20"/>
  <c r="G105" i="20"/>
  <c r="K105" i="20" s="1"/>
  <c r="F105" i="20"/>
  <c r="E105" i="20"/>
  <c r="D105" i="20"/>
  <c r="C105" i="20"/>
  <c r="B105" i="20"/>
  <c r="A105" i="20"/>
  <c r="I104" i="20"/>
  <c r="H104" i="20"/>
  <c r="G104" i="20"/>
  <c r="F104" i="20"/>
  <c r="E104" i="20"/>
  <c r="D104" i="20"/>
  <c r="C104" i="20"/>
  <c r="B104" i="20"/>
  <c r="A104" i="20"/>
  <c r="I103" i="20"/>
  <c r="H103" i="20"/>
  <c r="G103" i="20"/>
  <c r="F103" i="20"/>
  <c r="J103" i="20" s="1"/>
  <c r="E103" i="20"/>
  <c r="D103" i="20"/>
  <c r="C103" i="20"/>
  <c r="B103" i="20"/>
  <c r="A103" i="20"/>
  <c r="I102" i="20"/>
  <c r="H102" i="20"/>
  <c r="G102" i="20"/>
  <c r="F102" i="20"/>
  <c r="E102" i="20"/>
  <c r="D102" i="20"/>
  <c r="C102" i="20"/>
  <c r="B102" i="20"/>
  <c r="A102" i="20"/>
  <c r="I101" i="20"/>
  <c r="H101" i="20"/>
  <c r="G101" i="20"/>
  <c r="K101" i="20" s="1"/>
  <c r="F101" i="20"/>
  <c r="E101" i="20"/>
  <c r="D101" i="20"/>
  <c r="C101" i="20"/>
  <c r="B101" i="20"/>
  <c r="A101" i="20"/>
  <c r="I100" i="20"/>
  <c r="H100" i="20"/>
  <c r="G100" i="20"/>
  <c r="F100" i="20"/>
  <c r="E100" i="20"/>
  <c r="D100" i="20"/>
  <c r="C100" i="20"/>
  <c r="B100" i="20"/>
  <c r="A100" i="20"/>
  <c r="I99" i="20"/>
  <c r="H99" i="20"/>
  <c r="G99" i="20"/>
  <c r="F99" i="20"/>
  <c r="J99" i="20" s="1"/>
  <c r="E99" i="20"/>
  <c r="D99" i="20"/>
  <c r="C99" i="20"/>
  <c r="B99" i="20"/>
  <c r="A99" i="20"/>
  <c r="I98" i="20"/>
  <c r="H98" i="20"/>
  <c r="G98" i="20"/>
  <c r="K98" i="20" s="1"/>
  <c r="F98" i="20"/>
  <c r="J98" i="20" s="1"/>
  <c r="E98" i="20"/>
  <c r="D98" i="20"/>
  <c r="C98" i="20"/>
  <c r="B98" i="20"/>
  <c r="A98" i="20"/>
  <c r="I97" i="20"/>
  <c r="H97" i="20"/>
  <c r="G97" i="20"/>
  <c r="K97" i="20" s="1"/>
  <c r="F97" i="20"/>
  <c r="E97" i="20"/>
  <c r="D97" i="20"/>
  <c r="C97" i="20"/>
  <c r="B97" i="20"/>
  <c r="A97" i="20"/>
  <c r="I96" i="20"/>
  <c r="H96" i="20"/>
  <c r="G96" i="20"/>
  <c r="F96" i="20"/>
  <c r="E96" i="20"/>
  <c r="D96" i="20"/>
  <c r="C96" i="20"/>
  <c r="B96" i="20"/>
  <c r="A96" i="20"/>
  <c r="I95" i="20"/>
  <c r="H95" i="20"/>
  <c r="G95" i="20"/>
  <c r="F95" i="20"/>
  <c r="J95" i="20" s="1"/>
  <c r="E95" i="20"/>
  <c r="D95" i="20"/>
  <c r="C95" i="20"/>
  <c r="B95" i="20"/>
  <c r="A95" i="20"/>
  <c r="I94" i="20"/>
  <c r="H94" i="20"/>
  <c r="G94" i="20"/>
  <c r="F94" i="20"/>
  <c r="E94" i="20"/>
  <c r="D94" i="20"/>
  <c r="C94" i="20"/>
  <c r="B94" i="20"/>
  <c r="A94" i="20"/>
  <c r="I93" i="20"/>
  <c r="H93" i="20"/>
  <c r="G93" i="20"/>
  <c r="K93" i="20" s="1"/>
  <c r="F93" i="20"/>
  <c r="E93" i="20"/>
  <c r="D93" i="20"/>
  <c r="C93" i="20"/>
  <c r="B93" i="20"/>
  <c r="A93" i="20"/>
  <c r="I92" i="20"/>
  <c r="H92" i="20"/>
  <c r="G92" i="20"/>
  <c r="F92" i="20"/>
  <c r="E92" i="20"/>
  <c r="D92" i="20"/>
  <c r="C92" i="20"/>
  <c r="B92" i="20"/>
  <c r="A92" i="20"/>
  <c r="I91" i="20"/>
  <c r="H91" i="20"/>
  <c r="G91" i="20"/>
  <c r="F91" i="20"/>
  <c r="J91" i="20" s="1"/>
  <c r="E91" i="20"/>
  <c r="D91" i="20"/>
  <c r="C91" i="20"/>
  <c r="B91" i="20"/>
  <c r="A91" i="20"/>
  <c r="I90" i="20"/>
  <c r="H90" i="20"/>
  <c r="G90" i="20"/>
  <c r="F90" i="20"/>
  <c r="E90" i="20"/>
  <c r="D90" i="20"/>
  <c r="C90" i="20"/>
  <c r="B90" i="20"/>
  <c r="A90" i="20"/>
  <c r="I89" i="20"/>
  <c r="H89" i="20"/>
  <c r="G89" i="20"/>
  <c r="K89" i="20" s="1"/>
  <c r="F89" i="20"/>
  <c r="E89" i="20"/>
  <c r="D89" i="20"/>
  <c r="C89" i="20"/>
  <c r="B89" i="20"/>
  <c r="A89" i="20"/>
  <c r="I88" i="20"/>
  <c r="H88" i="20"/>
  <c r="G88" i="20"/>
  <c r="F88" i="20"/>
  <c r="E88" i="20"/>
  <c r="D88" i="20"/>
  <c r="C88" i="20"/>
  <c r="B88" i="20"/>
  <c r="A88" i="20"/>
  <c r="I87" i="20"/>
  <c r="H87" i="20"/>
  <c r="G87" i="20"/>
  <c r="F87" i="20"/>
  <c r="J87" i="20" s="1"/>
  <c r="E87" i="20"/>
  <c r="D87" i="20"/>
  <c r="C87" i="20"/>
  <c r="B87" i="20"/>
  <c r="A87" i="20"/>
  <c r="I86" i="20"/>
  <c r="H86" i="20"/>
  <c r="G86" i="20"/>
  <c r="K86" i="20" s="1"/>
  <c r="F86" i="20"/>
  <c r="J86" i="20" s="1"/>
  <c r="E86" i="20"/>
  <c r="D86" i="20"/>
  <c r="C86" i="20"/>
  <c r="B86" i="20"/>
  <c r="A86" i="20"/>
  <c r="I85" i="20"/>
  <c r="H85" i="20"/>
  <c r="G85" i="20"/>
  <c r="K85" i="20" s="1"/>
  <c r="F85" i="20"/>
  <c r="E85" i="20"/>
  <c r="D85" i="20"/>
  <c r="C85" i="20"/>
  <c r="B85" i="20"/>
  <c r="A85" i="20"/>
  <c r="I84" i="20"/>
  <c r="H84" i="20"/>
  <c r="G84" i="20"/>
  <c r="F84" i="20"/>
  <c r="E84" i="20"/>
  <c r="D84" i="20"/>
  <c r="C84" i="20"/>
  <c r="B84" i="20"/>
  <c r="A84" i="20"/>
  <c r="I83" i="20"/>
  <c r="H83" i="20"/>
  <c r="G83" i="20"/>
  <c r="F83" i="20"/>
  <c r="J83" i="20" s="1"/>
  <c r="E83" i="20"/>
  <c r="D83" i="20"/>
  <c r="C83" i="20"/>
  <c r="B83" i="20"/>
  <c r="A83" i="20"/>
  <c r="I82" i="20"/>
  <c r="H82" i="20"/>
  <c r="G82" i="20"/>
  <c r="F82" i="20"/>
  <c r="E82" i="20"/>
  <c r="D82" i="20"/>
  <c r="C82" i="20"/>
  <c r="B82" i="20"/>
  <c r="A82" i="20"/>
  <c r="I81" i="20"/>
  <c r="H81" i="20"/>
  <c r="G81" i="20"/>
  <c r="K81" i="20" s="1"/>
  <c r="F81" i="20"/>
  <c r="E81" i="20"/>
  <c r="D81" i="20"/>
  <c r="C81" i="20"/>
  <c r="B81" i="20"/>
  <c r="A81" i="20"/>
  <c r="I80" i="20"/>
  <c r="H80" i="20"/>
  <c r="G80" i="20"/>
  <c r="F80" i="20"/>
  <c r="E80" i="20"/>
  <c r="D80" i="20"/>
  <c r="C80" i="20"/>
  <c r="B80" i="20"/>
  <c r="A80" i="20"/>
  <c r="I79" i="20"/>
  <c r="H79" i="20"/>
  <c r="G79" i="20"/>
  <c r="F79" i="20"/>
  <c r="J79" i="20" s="1"/>
  <c r="E79" i="20"/>
  <c r="D79" i="20"/>
  <c r="C79" i="20"/>
  <c r="B79" i="20"/>
  <c r="A79" i="20"/>
  <c r="I78" i="20"/>
  <c r="H78" i="20"/>
  <c r="G78" i="20"/>
  <c r="F78" i="20"/>
  <c r="E78" i="20"/>
  <c r="D78" i="20"/>
  <c r="C78" i="20"/>
  <c r="B78" i="20"/>
  <c r="A78" i="20"/>
  <c r="I77" i="20"/>
  <c r="H77" i="20"/>
  <c r="G77" i="20"/>
  <c r="K77" i="20" s="1"/>
  <c r="F77" i="20"/>
  <c r="E77" i="20"/>
  <c r="D77" i="20"/>
  <c r="C77" i="20"/>
  <c r="B77" i="20"/>
  <c r="A77" i="20"/>
  <c r="I76" i="20"/>
  <c r="H76" i="20"/>
  <c r="G76" i="20"/>
  <c r="F76" i="20"/>
  <c r="E76" i="20"/>
  <c r="D76" i="20"/>
  <c r="C76" i="20"/>
  <c r="B76" i="20"/>
  <c r="A76" i="20"/>
  <c r="I75" i="20"/>
  <c r="H75" i="20"/>
  <c r="G75" i="20"/>
  <c r="F75" i="20"/>
  <c r="J75" i="20" s="1"/>
  <c r="E75" i="20"/>
  <c r="D75" i="20"/>
  <c r="C75" i="20"/>
  <c r="B75" i="20"/>
  <c r="A75" i="20"/>
  <c r="I74" i="20"/>
  <c r="H74" i="20"/>
  <c r="G74" i="20"/>
  <c r="K74" i="20" s="1"/>
  <c r="F74" i="20"/>
  <c r="J74" i="20" s="1"/>
  <c r="E74" i="20"/>
  <c r="D74" i="20"/>
  <c r="C74" i="20"/>
  <c r="B74" i="20"/>
  <c r="A74" i="20"/>
  <c r="I73" i="20"/>
  <c r="H73" i="20"/>
  <c r="G73" i="20"/>
  <c r="K73" i="20" s="1"/>
  <c r="F73" i="20"/>
  <c r="E73" i="20"/>
  <c r="D73" i="20"/>
  <c r="C73" i="20"/>
  <c r="B73" i="20"/>
  <c r="A73" i="20"/>
  <c r="I72" i="20"/>
  <c r="H72" i="20"/>
  <c r="G72" i="20"/>
  <c r="F72" i="20"/>
  <c r="E72" i="20"/>
  <c r="D72" i="20"/>
  <c r="C72" i="20"/>
  <c r="B72" i="20"/>
  <c r="A72" i="20"/>
  <c r="I71" i="20"/>
  <c r="H71" i="20"/>
  <c r="G71" i="20"/>
  <c r="F71" i="20"/>
  <c r="J71" i="20" s="1"/>
  <c r="E71" i="20"/>
  <c r="D71" i="20"/>
  <c r="C71" i="20"/>
  <c r="B71" i="20"/>
  <c r="A71" i="20"/>
  <c r="I70" i="20"/>
  <c r="H70" i="20"/>
  <c r="G70" i="20"/>
  <c r="F70" i="20"/>
  <c r="E70" i="20"/>
  <c r="D70" i="20"/>
  <c r="C70" i="20"/>
  <c r="B70" i="20"/>
  <c r="A70" i="20"/>
  <c r="I69" i="20"/>
  <c r="H69" i="20"/>
  <c r="G69" i="20"/>
  <c r="K69" i="20" s="1"/>
  <c r="F69" i="20"/>
  <c r="E69" i="20"/>
  <c r="D69" i="20"/>
  <c r="C69" i="20"/>
  <c r="B69" i="20"/>
  <c r="A69" i="20"/>
  <c r="I68" i="20"/>
  <c r="H68" i="20"/>
  <c r="G68" i="20"/>
  <c r="F68" i="20"/>
  <c r="E68" i="20"/>
  <c r="D68" i="20"/>
  <c r="C68" i="20"/>
  <c r="B68" i="20"/>
  <c r="A68" i="20"/>
  <c r="I67" i="20"/>
  <c r="H67" i="20"/>
  <c r="G67" i="20"/>
  <c r="F67" i="20"/>
  <c r="J67" i="20" s="1"/>
  <c r="E67" i="20"/>
  <c r="D67" i="20"/>
  <c r="C67" i="20"/>
  <c r="B67" i="20"/>
  <c r="A67" i="20"/>
  <c r="I66" i="20"/>
  <c r="H66" i="20"/>
  <c r="G66" i="20"/>
  <c r="F66" i="20"/>
  <c r="E66" i="20"/>
  <c r="D66" i="20"/>
  <c r="C66" i="20"/>
  <c r="B66" i="20"/>
  <c r="A66" i="20"/>
  <c r="I65" i="20"/>
  <c r="H65" i="20"/>
  <c r="G65" i="20"/>
  <c r="K65" i="20" s="1"/>
  <c r="F65" i="20"/>
  <c r="E65" i="20"/>
  <c r="D65" i="20"/>
  <c r="C65" i="20"/>
  <c r="B65" i="20"/>
  <c r="A65" i="20"/>
  <c r="I64" i="20"/>
  <c r="H64" i="20"/>
  <c r="G64" i="20"/>
  <c r="F64" i="20"/>
  <c r="E64" i="20"/>
  <c r="D64" i="20"/>
  <c r="C64" i="20"/>
  <c r="B64" i="20"/>
  <c r="A64" i="20"/>
  <c r="I63" i="20"/>
  <c r="H63" i="20"/>
  <c r="G63" i="20"/>
  <c r="F63" i="20"/>
  <c r="J63" i="20" s="1"/>
  <c r="E63" i="20"/>
  <c r="D63" i="20"/>
  <c r="C63" i="20"/>
  <c r="B63" i="20"/>
  <c r="A63" i="20"/>
  <c r="I62" i="20"/>
  <c r="H62" i="20"/>
  <c r="G62" i="20"/>
  <c r="K62" i="20" s="1"/>
  <c r="F62" i="20"/>
  <c r="J62" i="20" s="1"/>
  <c r="E62" i="20"/>
  <c r="D62" i="20"/>
  <c r="C62" i="20"/>
  <c r="B62" i="20"/>
  <c r="A62" i="20"/>
  <c r="I61" i="20"/>
  <c r="H61" i="20"/>
  <c r="G61" i="20"/>
  <c r="K61" i="20" s="1"/>
  <c r="F61" i="20"/>
  <c r="E61" i="20"/>
  <c r="D61" i="20"/>
  <c r="C61" i="20"/>
  <c r="B61" i="20"/>
  <c r="A61" i="20"/>
  <c r="I60" i="20"/>
  <c r="H60" i="20"/>
  <c r="G60" i="20"/>
  <c r="F60" i="20"/>
  <c r="E60" i="20"/>
  <c r="D60" i="20"/>
  <c r="C60" i="20"/>
  <c r="B60" i="20"/>
  <c r="A60" i="20"/>
  <c r="I59" i="20"/>
  <c r="H59" i="20"/>
  <c r="G59" i="20"/>
  <c r="F59" i="20"/>
  <c r="J59" i="20" s="1"/>
  <c r="E59" i="20"/>
  <c r="D59" i="20"/>
  <c r="C59" i="20"/>
  <c r="B59" i="20"/>
  <c r="A59" i="20"/>
  <c r="I58" i="20"/>
  <c r="H58" i="20"/>
  <c r="G58" i="20"/>
  <c r="K58" i="20" s="1"/>
  <c r="F58" i="20"/>
  <c r="E58" i="20"/>
  <c r="D58" i="20"/>
  <c r="C58" i="20"/>
  <c r="B58" i="20"/>
  <c r="A58" i="20"/>
  <c r="I57" i="20"/>
  <c r="H57" i="20"/>
  <c r="G57" i="20"/>
  <c r="K57" i="20" s="1"/>
  <c r="F57" i="20"/>
  <c r="E57" i="20"/>
  <c r="D57" i="20"/>
  <c r="C57" i="20"/>
  <c r="B57" i="20"/>
  <c r="A57" i="20"/>
  <c r="I56" i="20"/>
  <c r="H56" i="20"/>
  <c r="G56" i="20"/>
  <c r="F56" i="20"/>
  <c r="E56" i="20"/>
  <c r="D56" i="20"/>
  <c r="C56" i="20"/>
  <c r="B56" i="20"/>
  <c r="A56" i="20"/>
  <c r="I55" i="20"/>
  <c r="H55" i="20"/>
  <c r="G55" i="20"/>
  <c r="F55" i="20"/>
  <c r="J55" i="20" s="1"/>
  <c r="E55" i="20"/>
  <c r="D55" i="20"/>
  <c r="C55" i="20"/>
  <c r="B55" i="20"/>
  <c r="A55" i="20"/>
  <c r="I54" i="20"/>
  <c r="H54" i="20"/>
  <c r="G54" i="20"/>
  <c r="F54" i="20"/>
  <c r="E54" i="20"/>
  <c r="D54" i="20"/>
  <c r="C54" i="20"/>
  <c r="B54" i="20"/>
  <c r="A54" i="20"/>
  <c r="I53" i="20"/>
  <c r="H53" i="20"/>
  <c r="G53" i="20"/>
  <c r="K53" i="20" s="1"/>
  <c r="F53" i="20"/>
  <c r="E53" i="20"/>
  <c r="D53" i="20"/>
  <c r="C53" i="20"/>
  <c r="B53" i="20"/>
  <c r="A53" i="20"/>
  <c r="I52" i="20"/>
  <c r="H52" i="20"/>
  <c r="G52" i="20"/>
  <c r="F52" i="20"/>
  <c r="E52" i="20"/>
  <c r="D52" i="20"/>
  <c r="C52" i="20"/>
  <c r="B52" i="20"/>
  <c r="A52" i="20"/>
  <c r="I51" i="20"/>
  <c r="H51" i="20"/>
  <c r="G51" i="20"/>
  <c r="F51" i="20"/>
  <c r="J51" i="20" s="1"/>
  <c r="E51" i="20"/>
  <c r="D51" i="20"/>
  <c r="C51" i="20"/>
  <c r="B51" i="20"/>
  <c r="A51" i="20"/>
  <c r="I50" i="20"/>
  <c r="H50" i="20"/>
  <c r="G50" i="20"/>
  <c r="K50" i="20" s="1"/>
  <c r="F50" i="20"/>
  <c r="J50" i="20" s="1"/>
  <c r="E50" i="20"/>
  <c r="D50" i="20"/>
  <c r="C50" i="20"/>
  <c r="B50" i="20"/>
  <c r="A50" i="20"/>
  <c r="I49" i="20"/>
  <c r="H49" i="20"/>
  <c r="G49" i="20"/>
  <c r="K49" i="20" s="1"/>
  <c r="F49" i="20"/>
  <c r="E49" i="20"/>
  <c r="D49" i="20"/>
  <c r="C49" i="20"/>
  <c r="B49" i="20"/>
  <c r="A49" i="20"/>
  <c r="I48" i="20"/>
  <c r="H48" i="20"/>
  <c r="G48" i="20"/>
  <c r="F48" i="20"/>
  <c r="E48" i="20"/>
  <c r="D48" i="20"/>
  <c r="C48" i="20"/>
  <c r="B48" i="20"/>
  <c r="A48" i="20"/>
  <c r="I47" i="20"/>
  <c r="H47" i="20"/>
  <c r="G47" i="20"/>
  <c r="F47" i="20"/>
  <c r="J47" i="20" s="1"/>
  <c r="E47" i="20"/>
  <c r="D47" i="20"/>
  <c r="C47" i="20"/>
  <c r="B47" i="20"/>
  <c r="A47" i="20"/>
  <c r="I46" i="20"/>
  <c r="H46" i="20"/>
  <c r="G46" i="20"/>
  <c r="F46" i="20"/>
  <c r="E46" i="20"/>
  <c r="D46" i="20"/>
  <c r="C46" i="20"/>
  <c r="B46" i="20"/>
  <c r="A46" i="20"/>
  <c r="I45" i="20"/>
  <c r="H45" i="20"/>
  <c r="G45" i="20"/>
  <c r="K45" i="20" s="1"/>
  <c r="F45" i="20"/>
  <c r="E45" i="20"/>
  <c r="D45" i="20"/>
  <c r="C45" i="20"/>
  <c r="B45" i="20"/>
  <c r="A45" i="20"/>
  <c r="I44" i="20"/>
  <c r="H44" i="20"/>
  <c r="G44" i="20"/>
  <c r="F44" i="20"/>
  <c r="E44" i="20"/>
  <c r="D44" i="20"/>
  <c r="C44" i="20"/>
  <c r="B44" i="20"/>
  <c r="A44" i="20"/>
  <c r="I43" i="20"/>
  <c r="H43" i="20"/>
  <c r="G43" i="20"/>
  <c r="F43" i="20"/>
  <c r="J43" i="20" s="1"/>
  <c r="E43" i="20"/>
  <c r="D43" i="20"/>
  <c r="C43" i="20"/>
  <c r="B43" i="20"/>
  <c r="A43" i="20"/>
  <c r="I42" i="20"/>
  <c r="H42" i="20"/>
  <c r="G42" i="20"/>
  <c r="F42" i="20"/>
  <c r="E42" i="20"/>
  <c r="D42" i="20"/>
  <c r="C42" i="20"/>
  <c r="B42" i="20"/>
  <c r="A42" i="20"/>
  <c r="I41" i="20"/>
  <c r="H41" i="20"/>
  <c r="G41" i="20"/>
  <c r="K41" i="20" s="1"/>
  <c r="F41" i="20"/>
  <c r="E41" i="20"/>
  <c r="D41" i="20"/>
  <c r="C41" i="20"/>
  <c r="B41" i="20"/>
  <c r="A41" i="20"/>
  <c r="I40" i="20"/>
  <c r="H40" i="20"/>
  <c r="G40" i="20"/>
  <c r="F40" i="20"/>
  <c r="E40" i="20"/>
  <c r="D40" i="20"/>
  <c r="C40" i="20"/>
  <c r="B40" i="20"/>
  <c r="A40" i="20"/>
  <c r="I39" i="20"/>
  <c r="H39" i="20"/>
  <c r="G39" i="20"/>
  <c r="F39" i="20"/>
  <c r="J39" i="20" s="1"/>
  <c r="E39" i="20"/>
  <c r="D39" i="20"/>
  <c r="C39" i="20"/>
  <c r="B39" i="20"/>
  <c r="A39" i="20"/>
  <c r="I38" i="20"/>
  <c r="H38" i="20"/>
  <c r="G38" i="20"/>
  <c r="K38" i="20" s="1"/>
  <c r="F38" i="20"/>
  <c r="J38" i="20" s="1"/>
  <c r="E38" i="20"/>
  <c r="D38" i="20"/>
  <c r="C38" i="20"/>
  <c r="B38" i="20"/>
  <c r="A38" i="20"/>
  <c r="I37" i="20"/>
  <c r="H37" i="20"/>
  <c r="G37" i="20"/>
  <c r="K37" i="20" s="1"/>
  <c r="F37" i="20"/>
  <c r="E37" i="20"/>
  <c r="D37" i="20"/>
  <c r="C37" i="20"/>
  <c r="B37" i="20"/>
  <c r="A37" i="20"/>
  <c r="I36" i="20"/>
  <c r="H36" i="20"/>
  <c r="G36" i="20"/>
  <c r="F36" i="20"/>
  <c r="E36" i="20"/>
  <c r="D36" i="20"/>
  <c r="C36" i="20"/>
  <c r="B36" i="20"/>
  <c r="A36" i="20"/>
  <c r="I35" i="20"/>
  <c r="H35" i="20"/>
  <c r="G35" i="20"/>
  <c r="F35" i="20"/>
  <c r="J35" i="20" s="1"/>
  <c r="E35" i="20"/>
  <c r="D35" i="20"/>
  <c r="C35" i="20"/>
  <c r="B35" i="20"/>
  <c r="A35" i="20"/>
  <c r="I34" i="20"/>
  <c r="H34" i="20"/>
  <c r="G34" i="20"/>
  <c r="K34" i="20" s="1"/>
  <c r="F34" i="20"/>
  <c r="E34" i="20"/>
  <c r="D34" i="20"/>
  <c r="C34" i="20"/>
  <c r="B34" i="20"/>
  <c r="A34" i="20"/>
  <c r="I33" i="20"/>
  <c r="H33" i="20"/>
  <c r="G33" i="20"/>
  <c r="K33" i="20" s="1"/>
  <c r="F33" i="20"/>
  <c r="E33" i="20"/>
  <c r="D33" i="20"/>
  <c r="C33" i="20"/>
  <c r="B33" i="20"/>
  <c r="A33" i="20"/>
  <c r="I32" i="20"/>
  <c r="H32" i="20"/>
  <c r="G32" i="20"/>
  <c r="F32" i="20"/>
  <c r="E32" i="20"/>
  <c r="D32" i="20"/>
  <c r="C32" i="20"/>
  <c r="B32" i="20"/>
  <c r="A32" i="20"/>
  <c r="I31" i="20"/>
  <c r="H31" i="20"/>
  <c r="G31" i="20"/>
  <c r="F31" i="20"/>
  <c r="J31" i="20" s="1"/>
  <c r="E31" i="20"/>
  <c r="D31" i="20"/>
  <c r="C31" i="20"/>
  <c r="B31" i="20"/>
  <c r="A31" i="20"/>
  <c r="I30" i="20"/>
  <c r="H30" i="20"/>
  <c r="G30" i="20"/>
  <c r="F30" i="20"/>
  <c r="E30" i="20"/>
  <c r="D30" i="20"/>
  <c r="C30" i="20"/>
  <c r="B30" i="20"/>
  <c r="A30" i="20"/>
  <c r="I29" i="20"/>
  <c r="H29" i="20"/>
  <c r="G29" i="20"/>
  <c r="K29" i="20" s="1"/>
  <c r="F29" i="20"/>
  <c r="E29" i="20"/>
  <c r="D29" i="20"/>
  <c r="C29" i="20"/>
  <c r="B29" i="20"/>
  <c r="A29" i="20"/>
  <c r="I28" i="20"/>
  <c r="H28" i="20"/>
  <c r="G28" i="20"/>
  <c r="F28" i="20"/>
  <c r="E28" i="20"/>
  <c r="D28" i="20"/>
  <c r="C28" i="20"/>
  <c r="B28" i="20"/>
  <c r="A28" i="20"/>
  <c r="I27" i="20"/>
  <c r="H27" i="20"/>
  <c r="G27" i="20"/>
  <c r="F27" i="20"/>
  <c r="J27" i="20" s="1"/>
  <c r="E27" i="20"/>
  <c r="D27" i="20"/>
  <c r="C27" i="20"/>
  <c r="B27" i="20"/>
  <c r="A27" i="20"/>
  <c r="I26" i="20"/>
  <c r="H26" i="20"/>
  <c r="G26" i="20"/>
  <c r="K26" i="20" s="1"/>
  <c r="F26" i="20"/>
  <c r="J26" i="20" s="1"/>
  <c r="E26" i="20"/>
  <c r="D26" i="20"/>
  <c r="C26" i="20"/>
  <c r="B26" i="20"/>
  <c r="A26" i="20"/>
  <c r="I25" i="20"/>
  <c r="H25" i="20"/>
  <c r="G25" i="20"/>
  <c r="K25" i="20" s="1"/>
  <c r="F25" i="20"/>
  <c r="E25" i="20"/>
  <c r="D25" i="20"/>
  <c r="C25" i="20"/>
  <c r="B25" i="20"/>
  <c r="A25" i="20"/>
  <c r="I24" i="20"/>
  <c r="H24" i="20"/>
  <c r="G24" i="20"/>
  <c r="F24" i="20"/>
  <c r="E24" i="20"/>
  <c r="D24" i="20"/>
  <c r="C24" i="20"/>
  <c r="B24" i="20"/>
  <c r="A24" i="20"/>
  <c r="H23" i="20"/>
  <c r="H147" i="20" s="1"/>
  <c r="G23" i="20"/>
  <c r="G147" i="20" s="1"/>
  <c r="F23" i="20"/>
  <c r="F147" i="20" s="1"/>
  <c r="E23" i="20"/>
  <c r="D23" i="20"/>
  <c r="C23" i="20"/>
  <c r="B23" i="20"/>
  <c r="A23" i="20"/>
  <c r="I22" i="20"/>
  <c r="H22" i="20"/>
  <c r="G22" i="20"/>
  <c r="F22" i="20"/>
  <c r="E22" i="20"/>
  <c r="D22" i="20"/>
  <c r="C22" i="20"/>
  <c r="B22" i="20"/>
  <c r="A22" i="20"/>
  <c r="I21" i="20"/>
  <c r="H21" i="20"/>
  <c r="G21" i="20"/>
  <c r="K21" i="20" s="1"/>
  <c r="F21" i="20"/>
  <c r="E21" i="20"/>
  <c r="D21" i="20"/>
  <c r="C21" i="20"/>
  <c r="B21" i="20"/>
  <c r="A21" i="20"/>
  <c r="I20" i="20"/>
  <c r="H20" i="20"/>
  <c r="G20" i="20"/>
  <c r="K20" i="20" s="1"/>
  <c r="F20" i="20"/>
  <c r="E20" i="20"/>
  <c r="D20" i="20"/>
  <c r="C20" i="20"/>
  <c r="B20" i="20"/>
  <c r="A20" i="20"/>
  <c r="I19" i="20"/>
  <c r="H19" i="20"/>
  <c r="G19" i="20"/>
  <c r="F19" i="20"/>
  <c r="E19" i="20"/>
  <c r="D19" i="20"/>
  <c r="C19" i="20"/>
  <c r="B19" i="20"/>
  <c r="A19" i="20"/>
  <c r="I18" i="20"/>
  <c r="H18" i="20"/>
  <c r="G18" i="20"/>
  <c r="F18" i="20"/>
  <c r="J18" i="20" s="1"/>
  <c r="E18" i="20"/>
  <c r="D18" i="20"/>
  <c r="C18" i="20"/>
  <c r="B18" i="20"/>
  <c r="A18" i="20"/>
  <c r="I17" i="20"/>
  <c r="H17" i="20"/>
  <c r="G17" i="20"/>
  <c r="K17" i="20" s="1"/>
  <c r="F17" i="20"/>
  <c r="E17" i="20"/>
  <c r="D17" i="20"/>
  <c r="C17" i="20"/>
  <c r="B17" i="20"/>
  <c r="A17" i="20"/>
  <c r="I16" i="20"/>
  <c r="H16" i="20"/>
  <c r="G16" i="20"/>
  <c r="K16" i="20" s="1"/>
  <c r="F16" i="20"/>
  <c r="E16" i="20"/>
  <c r="D16" i="20"/>
  <c r="C16" i="20"/>
  <c r="B16" i="20"/>
  <c r="A16" i="20"/>
  <c r="I15" i="20"/>
  <c r="H15" i="20"/>
  <c r="G15" i="20"/>
  <c r="F15" i="20"/>
  <c r="E15" i="20"/>
  <c r="D15" i="20"/>
  <c r="C15" i="20"/>
  <c r="B15" i="20"/>
  <c r="A15" i="20"/>
  <c r="I14" i="20"/>
  <c r="H14" i="20"/>
  <c r="G14" i="20"/>
  <c r="F14" i="20"/>
  <c r="J14" i="20" s="1"/>
  <c r="E14" i="20"/>
  <c r="D14" i="20"/>
  <c r="C14" i="20"/>
  <c r="B14" i="20"/>
  <c r="A14" i="20"/>
  <c r="I13" i="20"/>
  <c r="H13" i="20"/>
  <c r="G13" i="20"/>
  <c r="K13" i="20" s="1"/>
  <c r="F13" i="20"/>
  <c r="J13" i="20" s="1"/>
  <c r="E13" i="20"/>
  <c r="D13" i="20"/>
  <c r="C13" i="20"/>
  <c r="B13" i="20"/>
  <c r="A13" i="20"/>
  <c r="I12" i="20"/>
  <c r="H12" i="20"/>
  <c r="G12" i="20"/>
  <c r="K12" i="20" s="1"/>
  <c r="F12" i="20"/>
  <c r="E12" i="20"/>
  <c r="D12" i="20"/>
  <c r="C12" i="20"/>
  <c r="B12" i="20"/>
  <c r="A12" i="20"/>
  <c r="I11" i="20"/>
  <c r="H11" i="20"/>
  <c r="G11" i="20"/>
  <c r="F11" i="20"/>
  <c r="E11" i="20"/>
  <c r="D11" i="20"/>
  <c r="C11" i="20"/>
  <c r="B11" i="20"/>
  <c r="A11" i="20"/>
  <c r="I10" i="20"/>
  <c r="H10" i="20"/>
  <c r="G10" i="20"/>
  <c r="F10" i="20"/>
  <c r="E10" i="20"/>
  <c r="D10" i="20"/>
  <c r="C10" i="20"/>
  <c r="B10" i="20"/>
  <c r="A10" i="20"/>
  <c r="I9" i="20"/>
  <c r="H9" i="20"/>
  <c r="G9" i="20"/>
  <c r="K9" i="20" s="1"/>
  <c r="F9" i="20"/>
  <c r="E9" i="20"/>
  <c r="D9" i="20"/>
  <c r="C9" i="20"/>
  <c r="B9" i="20"/>
  <c r="A9" i="20"/>
  <c r="I8" i="20"/>
  <c r="H8" i="20"/>
  <c r="G8" i="20"/>
  <c r="K8" i="20" s="1"/>
  <c r="F8" i="20"/>
  <c r="E8" i="20"/>
  <c r="D8" i="20"/>
  <c r="C8" i="20"/>
  <c r="B8" i="20"/>
  <c r="A8" i="20"/>
  <c r="K6" i="20"/>
  <c r="J6" i="20"/>
  <c r="I2" i="20"/>
  <c r="J11" i="20" l="1"/>
  <c r="K14" i="20"/>
  <c r="J24" i="20"/>
  <c r="K27" i="20"/>
  <c r="J28" i="20"/>
  <c r="J36" i="20"/>
  <c r="J44" i="20"/>
  <c r="J48" i="20"/>
  <c r="K51" i="20"/>
  <c r="J52" i="20"/>
  <c r="J56" i="20"/>
  <c r="J60" i="20"/>
  <c r="K63" i="20"/>
  <c r="J64" i="20"/>
  <c r="J72" i="20"/>
  <c r="K75" i="20"/>
  <c r="J76" i="20"/>
  <c r="J80" i="20"/>
  <c r="K87" i="20"/>
  <c r="J88" i="20"/>
  <c r="J92" i="20"/>
  <c r="J96" i="20"/>
  <c r="J108" i="20"/>
  <c r="J116" i="20"/>
  <c r="J128" i="20"/>
  <c r="J132" i="20"/>
  <c r="J136" i="20"/>
  <c r="J140" i="20"/>
  <c r="J144" i="20"/>
  <c r="J15" i="20"/>
  <c r="J19" i="20"/>
  <c r="J32" i="20"/>
  <c r="K39" i="20"/>
  <c r="J40" i="20"/>
  <c r="J68" i="20"/>
  <c r="J84" i="20"/>
  <c r="K99" i="20"/>
  <c r="J100" i="20"/>
  <c r="J104" i="20"/>
  <c r="K111" i="20"/>
  <c r="J112" i="20"/>
  <c r="J120" i="20"/>
  <c r="K123" i="20"/>
  <c r="J124" i="20"/>
  <c r="K135" i="20"/>
  <c r="J8" i="20"/>
  <c r="J12" i="20"/>
  <c r="K15" i="20"/>
  <c r="J16" i="20"/>
  <c r="K19" i="20"/>
  <c r="J20" i="20"/>
  <c r="K24" i="20"/>
  <c r="J25" i="20"/>
  <c r="K28" i="20"/>
  <c r="K32" i="20"/>
  <c r="J33" i="20"/>
  <c r="K36" i="20"/>
  <c r="J37" i="20"/>
  <c r="K40" i="20"/>
  <c r="K44" i="20"/>
  <c r="K48" i="20"/>
  <c r="J49" i="20"/>
  <c r="K52" i="20"/>
  <c r="K56" i="20"/>
  <c r="K60" i="20"/>
  <c r="J61" i="20"/>
  <c r="K64" i="20"/>
  <c r="K68" i="20"/>
  <c r="K72" i="20"/>
  <c r="J73" i="20"/>
  <c r="K76" i="20"/>
  <c r="K80" i="20"/>
  <c r="J81" i="20"/>
  <c r="K84" i="20"/>
  <c r="J85" i="20"/>
  <c r="K88" i="20"/>
  <c r="K92" i="20"/>
  <c r="K96" i="20"/>
  <c r="J97" i="20"/>
  <c r="K100" i="20"/>
  <c r="K104" i="20"/>
  <c r="K108" i="20"/>
  <c r="J109" i="20"/>
  <c r="K112" i="20"/>
  <c r="K116" i="20"/>
  <c r="K120" i="20"/>
  <c r="J121" i="20"/>
  <c r="K124" i="20"/>
  <c r="K128" i="20"/>
  <c r="K132" i="20"/>
  <c r="J133" i="20"/>
  <c r="K136" i="20"/>
  <c r="K140" i="20"/>
  <c r="K144" i="20"/>
  <c r="J145" i="20"/>
  <c r="J11" i="21"/>
  <c r="J13" i="21"/>
  <c r="J14" i="21"/>
  <c r="J15" i="21"/>
  <c r="J16" i="21"/>
  <c r="J17" i="21"/>
  <c r="J19" i="21"/>
  <c r="J20" i="21"/>
  <c r="J21" i="21"/>
  <c r="J23" i="21"/>
  <c r="K26" i="21"/>
  <c r="K27" i="21"/>
  <c r="K30" i="21"/>
  <c r="K31" i="21"/>
  <c r="K32" i="21"/>
  <c r="K34" i="21"/>
  <c r="K35" i="21"/>
  <c r="K36" i="21"/>
  <c r="K38" i="21"/>
  <c r="K39" i="21"/>
  <c r="K40" i="21"/>
  <c r="K41" i="21"/>
  <c r="K42" i="21"/>
  <c r="K43" i="21"/>
  <c r="K45" i="21"/>
  <c r="K46" i="21"/>
  <c r="K47" i="21"/>
  <c r="K50" i="21"/>
  <c r="K51" i="21"/>
  <c r="K52" i="21"/>
  <c r="K53" i="21"/>
  <c r="K54" i="21"/>
  <c r="K55" i="21"/>
  <c r="K56" i="21"/>
  <c r="K57" i="21"/>
  <c r="K58" i="21"/>
  <c r="K59" i="21"/>
  <c r="K60" i="21"/>
  <c r="K62" i="21"/>
  <c r="K63" i="21"/>
  <c r="K66" i="21"/>
  <c r="K67" i="21"/>
  <c r="K68" i="21"/>
  <c r="K70" i="21"/>
  <c r="K71" i="21"/>
  <c r="K72" i="21"/>
  <c r="K74" i="21"/>
  <c r="K75" i="21"/>
  <c r="K76" i="21"/>
  <c r="K77" i="21"/>
  <c r="K78" i="21"/>
  <c r="K79" i="21"/>
  <c r="K81" i="21"/>
  <c r="K82" i="21"/>
  <c r="K83" i="21"/>
  <c r="K86" i="21"/>
  <c r="K87" i="21"/>
  <c r="K88" i="21"/>
  <c r="K89" i="21"/>
  <c r="K90" i="21"/>
  <c r="K91" i="21"/>
  <c r="K92" i="21"/>
  <c r="K93" i="21"/>
  <c r="K94" i="21"/>
  <c r="K95" i="21"/>
  <c r="K96" i="21"/>
  <c r="K98" i="21"/>
  <c r="K99" i="21"/>
  <c r="K102" i="21"/>
  <c r="K103" i="21"/>
  <c r="K104" i="21"/>
  <c r="K106" i="21"/>
  <c r="K107" i="21"/>
  <c r="K108" i="21"/>
  <c r="K110" i="21"/>
  <c r="K111" i="21"/>
  <c r="K112" i="21"/>
  <c r="K113" i="21"/>
  <c r="K114" i="21"/>
  <c r="K115" i="21"/>
  <c r="K117" i="21"/>
  <c r="K118" i="21"/>
  <c r="K119" i="21"/>
  <c r="K122" i="21"/>
  <c r="K123" i="21"/>
  <c r="K124" i="21"/>
  <c r="K125" i="21"/>
  <c r="K126" i="21"/>
  <c r="K127" i="21"/>
  <c r="K128" i="21"/>
  <c r="K130" i="21"/>
  <c r="K131" i="21"/>
  <c r="K132" i="21"/>
  <c r="K134" i="21"/>
  <c r="K135" i="21"/>
  <c r="K138" i="21"/>
  <c r="K139" i="21"/>
  <c r="K140" i="21"/>
  <c r="K142" i="21"/>
  <c r="K143" i="21"/>
  <c r="K144" i="21"/>
  <c r="K146" i="21"/>
  <c r="K147" i="21"/>
  <c r="K148" i="21"/>
  <c r="K11" i="21"/>
  <c r="K14" i="21"/>
  <c r="K15" i="21"/>
  <c r="K16" i="21"/>
  <c r="K17" i="21"/>
  <c r="K18" i="21"/>
  <c r="K19" i="21"/>
  <c r="K20" i="21"/>
  <c r="K21" i="21"/>
  <c r="K22" i="21"/>
  <c r="K23" i="21"/>
  <c r="K24" i="21"/>
  <c r="J9" i="20"/>
  <c r="J10" i="20"/>
  <c r="K10" i="20"/>
  <c r="K11" i="20"/>
  <c r="J17" i="20"/>
  <c r="K18" i="20"/>
  <c r="J21" i="20"/>
  <c r="J22" i="20"/>
  <c r="K22" i="20"/>
  <c r="J148" i="20"/>
  <c r="J29" i="20"/>
  <c r="J30" i="20"/>
  <c r="K30" i="20"/>
  <c r="K31" i="20"/>
  <c r="J34" i="20"/>
  <c r="K35" i="20"/>
  <c r="J41" i="20"/>
  <c r="J42" i="20"/>
  <c r="K42" i="20"/>
  <c r="K43" i="20"/>
  <c r="J45" i="20"/>
  <c r="J46" i="20"/>
  <c r="K46" i="20"/>
  <c r="K47" i="20"/>
  <c r="J53" i="20"/>
  <c r="J54" i="20"/>
  <c r="K54" i="20"/>
  <c r="K55" i="20"/>
  <c r="J57" i="20"/>
  <c r="J58" i="20"/>
  <c r="K59" i="20"/>
  <c r="J65" i="20"/>
  <c r="J66" i="20"/>
  <c r="K66" i="20"/>
  <c r="K67" i="20"/>
  <c r="J69" i="20"/>
  <c r="J70" i="20"/>
  <c r="K70" i="20"/>
  <c r="K71" i="20"/>
  <c r="J77" i="20"/>
  <c r="J78" i="20"/>
  <c r="K78" i="20"/>
  <c r="K79" i="20"/>
  <c r="J82" i="20"/>
  <c r="K82" i="20"/>
  <c r="K83" i="20"/>
  <c r="J89" i="20"/>
  <c r="J90" i="20"/>
  <c r="K90" i="20"/>
  <c r="K91" i="20"/>
  <c r="J93" i="20"/>
  <c r="J94" i="20"/>
  <c r="K94" i="20"/>
  <c r="K95" i="20"/>
  <c r="J101" i="20"/>
  <c r="J102" i="20"/>
  <c r="K102" i="20"/>
  <c r="K103" i="20"/>
  <c r="J105" i="20"/>
  <c r="J106" i="20"/>
  <c r="K106" i="20"/>
  <c r="K107" i="20"/>
  <c r="J113" i="20"/>
  <c r="J114" i="20"/>
  <c r="K114" i="20"/>
  <c r="K115" i="20"/>
  <c r="J117" i="20"/>
  <c r="J118" i="20"/>
  <c r="K118" i="20"/>
  <c r="K119" i="20"/>
  <c r="J125" i="20"/>
  <c r="J126" i="20"/>
  <c r="K126" i="20"/>
  <c r="K127" i="20"/>
  <c r="J129" i="20"/>
  <c r="J130" i="20"/>
  <c r="K130" i="20"/>
  <c r="K131" i="20"/>
  <c r="J137" i="20"/>
  <c r="J138" i="20"/>
  <c r="K138" i="20"/>
  <c r="K139" i="20"/>
  <c r="J141" i="20"/>
  <c r="J142" i="20"/>
  <c r="K142" i="20"/>
  <c r="K143" i="20"/>
  <c r="J10" i="21"/>
  <c r="K10" i="21"/>
  <c r="K13" i="21"/>
  <c r="J27" i="21"/>
  <c r="J28" i="21"/>
  <c r="K28" i="21"/>
  <c r="K29" i="21"/>
  <c r="J37" i="21"/>
  <c r="K37" i="21"/>
  <c r="K49" i="21"/>
  <c r="J63" i="21"/>
  <c r="J64" i="21"/>
  <c r="K64" i="21"/>
  <c r="K65" i="21"/>
  <c r="J73" i="21"/>
  <c r="K73" i="21"/>
  <c r="K85" i="21"/>
  <c r="J99" i="21"/>
  <c r="J100" i="21"/>
  <c r="K100" i="21"/>
  <c r="K101" i="21"/>
  <c r="J109" i="21"/>
  <c r="K109" i="21"/>
  <c r="K133" i="21"/>
  <c r="J135" i="21"/>
  <c r="J136" i="21"/>
  <c r="K136" i="21"/>
  <c r="K137" i="21"/>
  <c r="J145" i="21"/>
  <c r="K145" i="21"/>
  <c r="F264" i="23"/>
  <c r="E264" i="23"/>
  <c r="B264" i="23"/>
  <c r="F263" i="23"/>
  <c r="E263" i="23"/>
  <c r="B263" i="23"/>
  <c r="F262" i="23"/>
  <c r="E262" i="23"/>
  <c r="B262" i="23"/>
  <c r="F261" i="23"/>
  <c r="E261" i="23"/>
  <c r="B261" i="23"/>
  <c r="F260" i="23"/>
  <c r="E260" i="23"/>
  <c r="B260" i="23"/>
  <c r="F259" i="23"/>
  <c r="E259" i="23"/>
  <c r="B259" i="23"/>
  <c r="F258" i="23"/>
  <c r="E258" i="23"/>
  <c r="B258" i="23"/>
  <c r="F257" i="23"/>
  <c r="E257" i="23"/>
  <c r="B257" i="23"/>
  <c r="F256" i="23"/>
  <c r="E256" i="23"/>
  <c r="B256" i="23"/>
  <c r="F255" i="23"/>
  <c r="E255" i="23"/>
  <c r="B255" i="23"/>
  <c r="F254" i="23"/>
  <c r="E254" i="23"/>
  <c r="B254" i="23"/>
  <c r="F253" i="23"/>
  <c r="E253" i="23"/>
  <c r="B253" i="23"/>
  <c r="F252" i="23"/>
  <c r="E252" i="23"/>
  <c r="B252" i="23"/>
  <c r="F251" i="23"/>
  <c r="E251" i="23"/>
  <c r="B251" i="23"/>
  <c r="F250" i="23"/>
  <c r="E250" i="23"/>
  <c r="B250" i="23"/>
  <c r="F249" i="23"/>
  <c r="E249" i="23"/>
  <c r="B249" i="23"/>
  <c r="F248" i="23"/>
  <c r="E248" i="23"/>
  <c r="B248" i="23"/>
  <c r="F247" i="23"/>
  <c r="E247" i="23"/>
  <c r="B247" i="23"/>
  <c r="F246" i="23"/>
  <c r="E246" i="23"/>
  <c r="B246" i="23"/>
  <c r="F245" i="23"/>
  <c r="E245" i="23"/>
  <c r="B245" i="23"/>
  <c r="F244" i="23"/>
  <c r="E244" i="23"/>
  <c r="B244" i="23"/>
  <c r="F243" i="23"/>
  <c r="E243" i="23"/>
  <c r="B243" i="23"/>
  <c r="F242" i="23"/>
  <c r="E242" i="23"/>
  <c r="B242" i="23"/>
  <c r="F241" i="23"/>
  <c r="E241" i="23"/>
  <c r="B241" i="23"/>
  <c r="F240" i="23"/>
  <c r="E240" i="23"/>
  <c r="B240" i="23"/>
  <c r="F239" i="23"/>
  <c r="E239" i="23"/>
  <c r="B239" i="23"/>
  <c r="F238" i="23"/>
  <c r="E238" i="23"/>
  <c r="B238" i="23"/>
  <c r="F237" i="23"/>
  <c r="E237" i="23"/>
  <c r="B237" i="23"/>
  <c r="F236" i="23"/>
  <c r="B236" i="23"/>
  <c r="F235" i="23"/>
  <c r="E235" i="23"/>
  <c r="B235" i="23"/>
  <c r="F234" i="23"/>
  <c r="B234" i="23"/>
  <c r="F233" i="23"/>
  <c r="B233" i="23"/>
  <c r="F232" i="23"/>
  <c r="E232" i="23"/>
  <c r="B232" i="23"/>
  <c r="F231" i="23"/>
  <c r="E231" i="23"/>
  <c r="B231" i="23"/>
  <c r="F230" i="23"/>
  <c r="E230" i="23"/>
  <c r="B230" i="23"/>
  <c r="F229" i="23"/>
  <c r="E229" i="23"/>
  <c r="B229" i="23"/>
  <c r="F228" i="23"/>
  <c r="B228" i="23"/>
  <c r="F227" i="23"/>
  <c r="E227" i="23"/>
  <c r="B227" i="23"/>
  <c r="F226" i="23"/>
  <c r="E226" i="23"/>
  <c r="B226" i="23"/>
  <c r="F225" i="23"/>
  <c r="E225" i="23"/>
  <c r="B225" i="23"/>
  <c r="F224" i="23"/>
  <c r="E224" i="23"/>
  <c r="B224" i="23"/>
  <c r="F223" i="23"/>
  <c r="E223" i="23"/>
  <c r="B223" i="23"/>
  <c r="F222" i="23"/>
  <c r="E222" i="23"/>
  <c r="B222" i="23"/>
  <c r="F221" i="23"/>
  <c r="E221" i="23"/>
  <c r="B221" i="23"/>
  <c r="F220" i="23"/>
  <c r="E220" i="23"/>
  <c r="B220" i="23"/>
  <c r="F219" i="23"/>
  <c r="E219" i="23"/>
  <c r="B219" i="23"/>
  <c r="F218" i="23"/>
  <c r="E218" i="23"/>
  <c r="B218" i="23"/>
  <c r="F217" i="23"/>
  <c r="E217" i="23"/>
  <c r="B217" i="23"/>
  <c r="F216" i="23"/>
  <c r="E216" i="23"/>
  <c r="B216" i="23"/>
  <c r="F215" i="23"/>
  <c r="E215" i="23"/>
  <c r="B215" i="23"/>
  <c r="F214" i="23"/>
  <c r="E214" i="23"/>
  <c r="B214" i="23"/>
  <c r="F213" i="23"/>
  <c r="E213" i="23"/>
  <c r="B213" i="23"/>
  <c r="F212" i="23"/>
  <c r="B212" i="23"/>
  <c r="F211" i="23"/>
  <c r="E211" i="23"/>
  <c r="B211" i="23"/>
  <c r="F210" i="23"/>
  <c r="B210" i="23"/>
  <c r="F209" i="23"/>
  <c r="E209" i="23"/>
  <c r="B209" i="23"/>
  <c r="F208" i="23"/>
  <c r="E208" i="23"/>
  <c r="B208" i="23"/>
  <c r="F207" i="23"/>
  <c r="E207" i="23"/>
  <c r="B207" i="23"/>
  <c r="F206" i="23"/>
  <c r="E206" i="23"/>
  <c r="B206" i="23"/>
  <c r="F205" i="23"/>
  <c r="E205" i="23"/>
  <c r="B205" i="23"/>
  <c r="F204" i="23"/>
  <c r="E204" i="23"/>
  <c r="B204" i="23"/>
  <c r="F203" i="23"/>
  <c r="E203" i="23"/>
  <c r="B203" i="23"/>
  <c r="F202" i="23"/>
  <c r="E202" i="23"/>
  <c r="B202" i="23"/>
  <c r="F201" i="23"/>
  <c r="E201" i="23"/>
  <c r="B201" i="23"/>
  <c r="F200" i="23"/>
  <c r="E200" i="23"/>
  <c r="B200" i="23"/>
  <c r="E199" i="23"/>
  <c r="B199" i="23"/>
  <c r="F198" i="23"/>
  <c r="E198" i="23"/>
  <c r="B198" i="23"/>
  <c r="E197" i="23"/>
  <c r="B197" i="23"/>
  <c r="E196" i="23"/>
  <c r="B196" i="23"/>
  <c r="F195" i="23"/>
  <c r="E195" i="23"/>
  <c r="B195" i="23"/>
  <c r="F194" i="23"/>
  <c r="E194" i="23"/>
  <c r="B194" i="23"/>
  <c r="F193" i="23"/>
  <c r="E193" i="23"/>
  <c r="B193" i="23"/>
  <c r="F192" i="23"/>
  <c r="E192" i="23"/>
  <c r="B192" i="23"/>
  <c r="F191" i="23"/>
  <c r="E191" i="23"/>
  <c r="B191" i="23"/>
  <c r="F190" i="23"/>
  <c r="E190" i="23"/>
  <c r="B190" i="23"/>
  <c r="F189" i="23"/>
  <c r="E189" i="23"/>
  <c r="B189" i="23"/>
  <c r="F188" i="23"/>
  <c r="E188" i="23"/>
  <c r="B188" i="23"/>
  <c r="F187" i="23"/>
  <c r="E187" i="23"/>
  <c r="B187" i="23"/>
  <c r="F186" i="23"/>
  <c r="E186" i="23"/>
  <c r="B186" i="23"/>
  <c r="F185" i="23"/>
  <c r="E185" i="23"/>
  <c r="B185" i="23"/>
  <c r="F184" i="23"/>
  <c r="E184" i="23"/>
  <c r="B184" i="23"/>
  <c r="F183" i="23"/>
  <c r="E183" i="23"/>
  <c r="B183" i="23"/>
  <c r="F182" i="23"/>
  <c r="E182" i="23"/>
  <c r="B182" i="23"/>
  <c r="F181" i="23"/>
  <c r="E181" i="23"/>
  <c r="B181" i="23"/>
  <c r="F180" i="23"/>
  <c r="E180" i="23"/>
  <c r="B180" i="23"/>
  <c r="F179" i="23"/>
  <c r="E179" i="23"/>
  <c r="B179" i="23"/>
  <c r="F178" i="23"/>
  <c r="E178" i="23"/>
  <c r="B178" i="23"/>
  <c r="F177" i="23"/>
  <c r="E177" i="23"/>
  <c r="B177" i="23"/>
  <c r="F176" i="23"/>
  <c r="E176" i="23"/>
  <c r="B176" i="23"/>
  <c r="F175" i="23"/>
  <c r="E175" i="23"/>
  <c r="B175" i="23"/>
  <c r="F174" i="23"/>
  <c r="E174" i="23"/>
  <c r="B174" i="23"/>
  <c r="F173" i="23"/>
  <c r="E173" i="23"/>
  <c r="B173" i="23"/>
  <c r="F172" i="23"/>
  <c r="E172" i="23"/>
  <c r="B172" i="23"/>
  <c r="F171" i="23"/>
  <c r="E171" i="23"/>
  <c r="B171" i="23"/>
  <c r="F170" i="23"/>
  <c r="E170" i="23"/>
  <c r="B170" i="23"/>
  <c r="F169" i="23"/>
  <c r="E169" i="23"/>
  <c r="B169" i="23"/>
  <c r="F168" i="23"/>
  <c r="E168" i="23"/>
  <c r="B168" i="23"/>
  <c r="F167" i="23"/>
  <c r="E167" i="23"/>
  <c r="B167" i="23"/>
  <c r="F166" i="23"/>
  <c r="E166" i="23"/>
  <c r="B166" i="23"/>
  <c r="F165" i="23"/>
  <c r="E165" i="23"/>
  <c r="B165" i="23"/>
  <c r="F164" i="23"/>
  <c r="E164" i="23"/>
  <c r="B164" i="23"/>
  <c r="F163" i="23"/>
  <c r="E163" i="23"/>
  <c r="B163" i="23"/>
  <c r="F162" i="23"/>
  <c r="E162" i="23"/>
  <c r="B162" i="23"/>
  <c r="F161" i="23"/>
  <c r="E161" i="23"/>
  <c r="B161" i="23"/>
  <c r="F160" i="23"/>
  <c r="E160" i="23"/>
  <c r="B160" i="23"/>
  <c r="F159" i="23"/>
  <c r="E159" i="23"/>
  <c r="B159" i="23"/>
  <c r="F158" i="23"/>
  <c r="E158" i="23"/>
  <c r="B158" i="23"/>
  <c r="F157" i="23"/>
  <c r="E157" i="23"/>
  <c r="B157" i="23"/>
  <c r="F156" i="23"/>
  <c r="E156" i="23"/>
  <c r="B156" i="23"/>
  <c r="F155" i="23"/>
  <c r="E155" i="23"/>
  <c r="B155" i="23"/>
  <c r="F154" i="23"/>
  <c r="E154" i="23"/>
  <c r="B154" i="23"/>
  <c r="F153" i="23"/>
  <c r="E153" i="23"/>
  <c r="B153" i="23"/>
  <c r="F152" i="23"/>
  <c r="E152" i="23"/>
  <c r="B152" i="23"/>
  <c r="F151" i="23"/>
  <c r="E151" i="23"/>
  <c r="B151" i="23"/>
  <c r="F150" i="23"/>
  <c r="E150" i="23"/>
  <c r="B150" i="23"/>
  <c r="F149" i="23"/>
  <c r="E149" i="23"/>
  <c r="B149" i="23"/>
  <c r="F148" i="23"/>
  <c r="E148" i="23"/>
  <c r="B148" i="23"/>
  <c r="F147" i="23"/>
  <c r="E147" i="23"/>
  <c r="B147" i="23"/>
  <c r="F146" i="23"/>
  <c r="E146" i="23"/>
  <c r="B146" i="23"/>
  <c r="F145" i="23"/>
  <c r="E145" i="23"/>
  <c r="B145" i="23"/>
  <c r="F144" i="23"/>
  <c r="E144" i="23"/>
  <c r="B144" i="23"/>
  <c r="F143" i="23"/>
  <c r="E143" i="23"/>
  <c r="B143" i="23"/>
  <c r="F142" i="23"/>
  <c r="E142" i="23"/>
  <c r="B142" i="23"/>
  <c r="F141" i="23"/>
  <c r="E141" i="23"/>
  <c r="B141" i="23"/>
  <c r="F140" i="23"/>
  <c r="E140" i="23"/>
  <c r="B140" i="23"/>
  <c r="F139" i="23"/>
  <c r="E139" i="23"/>
  <c r="B139" i="23"/>
  <c r="F138" i="23"/>
  <c r="E138" i="23"/>
  <c r="B138" i="23"/>
  <c r="F137" i="23"/>
  <c r="E137" i="23"/>
  <c r="B137" i="23"/>
  <c r="F136" i="23"/>
  <c r="E136" i="23"/>
  <c r="B136" i="23"/>
  <c r="F135" i="23"/>
  <c r="E135" i="23"/>
  <c r="B135" i="23"/>
  <c r="F134" i="23"/>
  <c r="E134" i="23"/>
  <c r="B134" i="23"/>
  <c r="F133" i="23"/>
  <c r="E133" i="23"/>
  <c r="B133" i="23"/>
  <c r="F132" i="23"/>
  <c r="E132" i="23"/>
  <c r="B132" i="23"/>
  <c r="F131" i="23"/>
  <c r="E131" i="23"/>
  <c r="B131" i="23"/>
  <c r="F130" i="23"/>
  <c r="E130" i="23"/>
  <c r="B130" i="23"/>
  <c r="F129" i="23"/>
  <c r="E129" i="23"/>
  <c r="B129" i="23"/>
  <c r="F128" i="23"/>
  <c r="E128" i="23"/>
  <c r="B128" i="23"/>
  <c r="F127" i="23"/>
  <c r="E127" i="23"/>
  <c r="B127" i="23"/>
  <c r="F126" i="23"/>
  <c r="E126" i="23"/>
  <c r="B126" i="23"/>
  <c r="F125" i="23"/>
  <c r="E125" i="23"/>
  <c r="B125" i="23"/>
  <c r="F124" i="23"/>
  <c r="E124" i="23"/>
  <c r="B124" i="23"/>
  <c r="F123" i="23"/>
  <c r="E123" i="23"/>
  <c r="B123" i="23"/>
  <c r="E122" i="23"/>
  <c r="B122" i="23"/>
  <c r="F121" i="23"/>
  <c r="E121" i="23"/>
  <c r="B121" i="23"/>
  <c r="E120" i="23"/>
  <c r="B120" i="23"/>
  <c r="E119" i="23"/>
  <c r="B119" i="23"/>
  <c r="F118" i="23"/>
  <c r="E118" i="23"/>
  <c r="B118" i="23"/>
  <c r="F117" i="23"/>
  <c r="E117" i="23"/>
  <c r="B117" i="23"/>
  <c r="F116" i="23"/>
  <c r="E116" i="23"/>
  <c r="B116" i="23"/>
  <c r="F115" i="23"/>
  <c r="E115" i="23"/>
  <c r="B115" i="23"/>
  <c r="F114" i="23"/>
  <c r="E114" i="23"/>
  <c r="B114" i="23"/>
  <c r="F113" i="23"/>
  <c r="E113" i="23"/>
  <c r="B113" i="23"/>
  <c r="F112" i="23"/>
  <c r="B112" i="23"/>
  <c r="F111" i="23"/>
  <c r="B111" i="23"/>
  <c r="F110" i="23"/>
  <c r="E110" i="23"/>
  <c r="B110" i="23"/>
  <c r="F109" i="23"/>
  <c r="E109" i="23"/>
  <c r="B109" i="23"/>
  <c r="F108" i="23"/>
  <c r="E108" i="23"/>
  <c r="B108" i="23"/>
  <c r="F107" i="23"/>
  <c r="E107" i="23"/>
  <c r="B107" i="23"/>
  <c r="F106" i="23"/>
  <c r="E106" i="23"/>
  <c r="B106" i="23"/>
  <c r="F105" i="23"/>
  <c r="E105" i="23"/>
  <c r="B105" i="23"/>
  <c r="F104" i="23"/>
  <c r="E104" i="23"/>
  <c r="B104" i="23"/>
  <c r="F103" i="23"/>
  <c r="E103" i="23"/>
  <c r="B103" i="23"/>
  <c r="F102" i="23"/>
  <c r="E102" i="23"/>
  <c r="B102" i="23"/>
  <c r="F101" i="23"/>
  <c r="E101" i="23"/>
  <c r="B101" i="23"/>
  <c r="F100" i="23"/>
  <c r="E100" i="23"/>
  <c r="B100" i="23"/>
  <c r="F99" i="23"/>
  <c r="E99" i="23"/>
  <c r="B99" i="23"/>
  <c r="F98" i="23"/>
  <c r="E98" i="23"/>
  <c r="B98" i="23"/>
  <c r="F97" i="23"/>
  <c r="E97" i="23"/>
  <c r="B97" i="23"/>
  <c r="F96" i="23"/>
  <c r="E96" i="23"/>
  <c r="B96" i="23"/>
  <c r="F95" i="23"/>
  <c r="E95" i="23"/>
  <c r="B95" i="23"/>
  <c r="F94" i="23"/>
  <c r="E94" i="23"/>
  <c r="B94" i="23"/>
  <c r="F93" i="23"/>
  <c r="E93" i="23"/>
  <c r="B93" i="23"/>
  <c r="F92" i="23"/>
  <c r="E92" i="23"/>
  <c r="B92" i="23"/>
  <c r="F91" i="23"/>
  <c r="E91" i="23"/>
  <c r="B91" i="23"/>
  <c r="F90" i="23"/>
  <c r="E90" i="23"/>
  <c r="B90" i="23"/>
  <c r="F89" i="23"/>
  <c r="E89" i="23"/>
  <c r="B89" i="23"/>
  <c r="F88" i="23"/>
  <c r="E88" i="23"/>
  <c r="B88" i="23"/>
  <c r="F87" i="23"/>
  <c r="E87" i="23"/>
  <c r="B87" i="23"/>
  <c r="F86" i="23"/>
  <c r="E86" i="23"/>
  <c r="B86" i="23"/>
  <c r="F85" i="23"/>
  <c r="E85" i="23"/>
  <c r="B85" i="23"/>
  <c r="F84" i="23"/>
  <c r="E84" i="23"/>
  <c r="B84" i="23"/>
  <c r="F83" i="23"/>
  <c r="E83" i="23"/>
  <c r="B83" i="23"/>
  <c r="F82" i="23"/>
  <c r="E82" i="23"/>
  <c r="B82" i="23"/>
  <c r="F81" i="23"/>
  <c r="E81" i="23"/>
  <c r="B81" i="23"/>
  <c r="F80" i="23"/>
  <c r="E80" i="23"/>
  <c r="B80" i="23"/>
  <c r="F79" i="23"/>
  <c r="E79" i="23"/>
  <c r="B79" i="23"/>
  <c r="F78" i="23"/>
  <c r="E78" i="23"/>
  <c r="B78" i="23"/>
  <c r="F77" i="23"/>
  <c r="E77" i="23"/>
  <c r="B77" i="23"/>
  <c r="E76" i="23"/>
  <c r="B76" i="23"/>
  <c r="F75" i="23"/>
  <c r="E75" i="23"/>
  <c r="B75" i="23"/>
  <c r="E74" i="23"/>
  <c r="B74" i="23"/>
  <c r="E73" i="23"/>
  <c r="B73" i="23"/>
  <c r="F72" i="23"/>
  <c r="E72" i="23"/>
  <c r="B72" i="23"/>
  <c r="F71" i="23"/>
  <c r="E71" i="23"/>
  <c r="B71" i="23"/>
  <c r="F70" i="23"/>
  <c r="E70" i="23"/>
  <c r="B70" i="23"/>
  <c r="F69" i="23"/>
  <c r="E69" i="23"/>
  <c r="B69" i="23"/>
  <c r="F68" i="23"/>
  <c r="E68" i="23"/>
  <c r="B68" i="23"/>
  <c r="E67" i="23"/>
  <c r="B67" i="23"/>
  <c r="E66" i="23"/>
  <c r="B66" i="23"/>
  <c r="E65" i="23"/>
  <c r="B65" i="23"/>
  <c r="E64" i="23"/>
  <c r="B64" i="23"/>
  <c r="E63" i="23"/>
  <c r="B63" i="23"/>
  <c r="F62" i="23"/>
  <c r="E62" i="23"/>
  <c r="B62" i="23"/>
  <c r="B61" i="23"/>
  <c r="F60" i="23"/>
  <c r="E60" i="23"/>
  <c r="B60" i="23"/>
  <c r="B59" i="23"/>
  <c r="E58" i="23"/>
  <c r="B58" i="23"/>
  <c r="E57" i="23"/>
  <c r="B57" i="23"/>
  <c r="F56" i="23"/>
  <c r="E56" i="23"/>
  <c r="B56" i="23"/>
  <c r="F55" i="23"/>
  <c r="E55" i="23"/>
  <c r="B55" i="23"/>
  <c r="F54" i="23"/>
  <c r="E54" i="23"/>
  <c r="B54" i="23"/>
  <c r="E53" i="23"/>
  <c r="B53" i="23"/>
  <c r="F52" i="23"/>
  <c r="E52" i="23"/>
  <c r="B52" i="23"/>
  <c r="F51" i="23"/>
  <c r="B51" i="23"/>
  <c r="E50" i="23"/>
  <c r="B50" i="23"/>
  <c r="F49" i="23"/>
  <c r="E49" i="23"/>
  <c r="B49" i="23"/>
  <c r="F48" i="23"/>
  <c r="E48" i="23"/>
  <c r="B48" i="23"/>
  <c r="F47" i="23"/>
  <c r="E47" i="23"/>
  <c r="B47" i="23"/>
  <c r="F46" i="23"/>
  <c r="E46" i="23"/>
  <c r="B46" i="23"/>
  <c r="F45" i="23"/>
  <c r="E45" i="23"/>
  <c r="B45" i="23"/>
  <c r="F44" i="23"/>
  <c r="E44" i="23"/>
  <c r="B44" i="23"/>
  <c r="F43" i="23"/>
  <c r="E43" i="23"/>
  <c r="B43" i="23"/>
  <c r="F42" i="23"/>
  <c r="E42" i="23"/>
  <c r="B42" i="23"/>
  <c r="F41" i="23"/>
  <c r="E41" i="23"/>
  <c r="B41" i="23"/>
  <c r="F40" i="23"/>
  <c r="E40" i="23"/>
  <c r="B40" i="23"/>
  <c r="F39" i="23"/>
  <c r="E39" i="23"/>
  <c r="B39" i="23"/>
  <c r="F38" i="23"/>
  <c r="E38" i="23"/>
  <c r="B38" i="23"/>
  <c r="F37" i="23"/>
  <c r="E37" i="23"/>
  <c r="B37" i="23"/>
  <c r="F36" i="23"/>
  <c r="E36" i="23"/>
  <c r="B36" i="23"/>
  <c r="F35" i="23"/>
  <c r="E35" i="23"/>
  <c r="B35" i="23"/>
  <c r="F34" i="23"/>
  <c r="E34" i="23"/>
  <c r="B34" i="23"/>
  <c r="F33" i="23"/>
  <c r="E33" i="23"/>
  <c r="B33" i="23"/>
  <c r="F32" i="23"/>
  <c r="E32" i="23"/>
  <c r="B32" i="23"/>
  <c r="F31" i="23"/>
  <c r="E31" i="23"/>
  <c r="B31" i="23"/>
  <c r="F30" i="23"/>
  <c r="B30" i="23"/>
  <c r="F29" i="23"/>
  <c r="B29" i="23"/>
  <c r="F28" i="23"/>
  <c r="B28" i="23"/>
  <c r="F27" i="23"/>
  <c r="E27" i="23"/>
  <c r="B27" i="23"/>
  <c r="F26" i="23"/>
  <c r="E26" i="23"/>
  <c r="B26" i="23"/>
  <c r="F25" i="23"/>
  <c r="E25" i="23"/>
  <c r="B25" i="23"/>
  <c r="F24" i="23"/>
  <c r="E24" i="23"/>
  <c r="B24" i="23"/>
  <c r="F23" i="23"/>
  <c r="E23" i="23"/>
  <c r="B23" i="23"/>
  <c r="F22" i="23"/>
  <c r="E22" i="23"/>
  <c r="B22" i="23"/>
  <c r="F21" i="23"/>
  <c r="E21" i="23"/>
  <c r="B21" i="23"/>
  <c r="F20" i="23"/>
  <c r="E20" i="23"/>
  <c r="B20" i="23"/>
  <c r="F19" i="23"/>
  <c r="E19" i="23"/>
  <c r="B19" i="23"/>
  <c r="F18" i="23"/>
  <c r="E18" i="23"/>
  <c r="B18" i="23"/>
  <c r="F17" i="23"/>
  <c r="E17" i="23"/>
  <c r="B17" i="23"/>
  <c r="F16" i="23"/>
  <c r="E16" i="23"/>
  <c r="B16" i="23"/>
  <c r="F15" i="23"/>
  <c r="E15" i="23"/>
  <c r="B15" i="23"/>
  <c r="F14" i="23"/>
  <c r="E14" i="23"/>
  <c r="B14" i="23"/>
  <c r="F13" i="23"/>
  <c r="E13" i="23"/>
  <c r="B13" i="23"/>
  <c r="F12" i="23"/>
  <c r="E12" i="23"/>
  <c r="B12" i="23"/>
  <c r="F11" i="23"/>
  <c r="E11" i="23"/>
  <c r="B11" i="23"/>
  <c r="F10" i="23"/>
  <c r="E10" i="23"/>
  <c r="B10" i="23"/>
  <c r="F9" i="23"/>
  <c r="E9" i="23"/>
  <c r="B9" i="23"/>
  <c r="F8" i="23"/>
  <c r="E8" i="23"/>
  <c r="B8" i="23"/>
  <c r="F7" i="23"/>
  <c r="E7" i="23"/>
  <c r="B7" i="23"/>
  <c r="F6" i="23"/>
  <c r="E6" i="23"/>
  <c r="B6" i="23"/>
  <c r="F81" i="24"/>
  <c r="E81" i="24"/>
  <c r="B81" i="24"/>
  <c r="F80" i="24"/>
  <c r="E80" i="24"/>
  <c r="B80" i="24"/>
  <c r="F79" i="24"/>
  <c r="E79" i="24"/>
  <c r="B79" i="24"/>
  <c r="F78" i="24"/>
  <c r="E78" i="24"/>
  <c r="B78" i="24"/>
  <c r="F77" i="24"/>
  <c r="E77" i="24"/>
  <c r="B77" i="24"/>
  <c r="F76" i="24"/>
  <c r="E76" i="24"/>
  <c r="B76" i="24"/>
  <c r="F75" i="24"/>
  <c r="E75" i="24"/>
  <c r="B75" i="24"/>
  <c r="F74" i="24"/>
  <c r="B74" i="24"/>
  <c r="F73" i="24"/>
  <c r="E73" i="24"/>
  <c r="B73" i="24"/>
  <c r="F72" i="24"/>
  <c r="B72" i="24"/>
  <c r="F71" i="24"/>
  <c r="E71" i="24"/>
  <c r="B71" i="24"/>
  <c r="F70" i="24"/>
  <c r="E70" i="24"/>
  <c r="B70" i="24"/>
  <c r="F69" i="24"/>
  <c r="B69" i="24"/>
  <c r="F68" i="24"/>
  <c r="E68" i="24"/>
  <c r="B68" i="24"/>
  <c r="F67" i="24"/>
  <c r="E67" i="24"/>
  <c r="B67" i="24"/>
  <c r="F66" i="24"/>
  <c r="E66" i="24"/>
  <c r="B66" i="24"/>
  <c r="E65" i="24"/>
  <c r="B65" i="24"/>
  <c r="F64" i="24"/>
  <c r="E64" i="24"/>
  <c r="B64" i="24"/>
  <c r="F63" i="24"/>
  <c r="E63" i="24"/>
  <c r="B63" i="24"/>
  <c r="F62" i="24"/>
  <c r="E62" i="24"/>
  <c r="B62" i="24"/>
  <c r="F61" i="24"/>
  <c r="E61" i="24"/>
  <c r="B61" i="24"/>
  <c r="F60" i="24"/>
  <c r="E60" i="24"/>
  <c r="B60" i="24"/>
  <c r="F59" i="24"/>
  <c r="E59" i="24"/>
  <c r="B59" i="24"/>
  <c r="F58" i="24"/>
  <c r="E58" i="24"/>
  <c r="B58" i="24"/>
  <c r="F57" i="24"/>
  <c r="E57" i="24"/>
  <c r="B57" i="24"/>
  <c r="F56" i="24"/>
  <c r="E56" i="24"/>
  <c r="B56" i="24"/>
  <c r="F55" i="24"/>
  <c r="E55" i="24"/>
  <c r="B55" i="24"/>
  <c r="F54" i="24"/>
  <c r="E54" i="24"/>
  <c r="B54" i="24"/>
  <c r="F53" i="24"/>
  <c r="E53" i="24"/>
  <c r="B53" i="24"/>
  <c r="F52" i="24"/>
  <c r="E52" i="24"/>
  <c r="B52" i="24"/>
  <c r="F51" i="24"/>
  <c r="E51" i="24"/>
  <c r="B51" i="24"/>
  <c r="F50" i="24"/>
  <c r="E50" i="24"/>
  <c r="B50" i="24"/>
  <c r="F49" i="24"/>
  <c r="E49" i="24"/>
  <c r="B49" i="24"/>
  <c r="F48" i="24"/>
  <c r="E48" i="24"/>
  <c r="B48" i="24"/>
  <c r="F47" i="24"/>
  <c r="E47" i="24"/>
  <c r="B47" i="24"/>
  <c r="F46" i="24"/>
  <c r="E46" i="24"/>
  <c r="B46" i="24"/>
  <c r="F45" i="24"/>
  <c r="E45" i="24"/>
  <c r="B45" i="24"/>
  <c r="F44" i="24"/>
  <c r="E44" i="24"/>
  <c r="B44" i="24"/>
  <c r="F43" i="24"/>
  <c r="E43" i="24"/>
  <c r="B43" i="24"/>
  <c r="F42" i="24"/>
  <c r="E42" i="24"/>
  <c r="B42" i="24"/>
  <c r="F41" i="24"/>
  <c r="E41" i="24"/>
  <c r="B41" i="24"/>
  <c r="E40" i="24"/>
  <c r="B40" i="24"/>
  <c r="E39" i="24"/>
  <c r="B39" i="24"/>
  <c r="F38" i="24"/>
  <c r="E38" i="24"/>
  <c r="B38" i="24"/>
  <c r="F37" i="24"/>
  <c r="E37" i="24"/>
  <c r="B37" i="24"/>
  <c r="F36" i="24"/>
  <c r="B36" i="24"/>
  <c r="F35" i="24"/>
  <c r="E35" i="24"/>
  <c r="B35" i="24"/>
  <c r="F34" i="24"/>
  <c r="E34" i="24"/>
  <c r="B34" i="24"/>
  <c r="F33" i="24"/>
  <c r="E33" i="24"/>
  <c r="B33" i="24"/>
  <c r="F32" i="24"/>
  <c r="E32" i="24"/>
  <c r="B32" i="24"/>
  <c r="F31" i="24"/>
  <c r="E31" i="24"/>
  <c r="B31" i="24"/>
  <c r="F30" i="24"/>
  <c r="E30" i="24"/>
  <c r="B30" i="24"/>
  <c r="F29" i="24"/>
  <c r="E29" i="24"/>
  <c r="B29" i="24"/>
  <c r="F28" i="24"/>
  <c r="E28" i="24"/>
  <c r="B28" i="24"/>
  <c r="F27" i="24"/>
  <c r="E27" i="24"/>
  <c r="B27" i="24"/>
  <c r="F26" i="24"/>
  <c r="E26" i="24"/>
  <c r="B26" i="24"/>
  <c r="F25" i="24"/>
  <c r="E25" i="24"/>
  <c r="B25" i="24"/>
  <c r="F24" i="24"/>
  <c r="E24" i="24"/>
  <c r="B24" i="24"/>
  <c r="F23" i="24"/>
  <c r="E23" i="24"/>
  <c r="B23" i="24"/>
  <c r="F22" i="24"/>
  <c r="E22" i="24"/>
  <c r="B22" i="24"/>
  <c r="F21" i="24"/>
  <c r="E21" i="24"/>
  <c r="B21" i="24"/>
  <c r="E20" i="24"/>
  <c r="B20" i="24"/>
  <c r="F19" i="24"/>
  <c r="E19" i="24"/>
  <c r="B19" i="24"/>
  <c r="E18" i="24"/>
  <c r="B18" i="24"/>
  <c r="B17" i="24"/>
  <c r="F16" i="24"/>
  <c r="E16" i="24"/>
  <c r="B16" i="24"/>
  <c r="F15" i="24"/>
  <c r="E15" i="24"/>
  <c r="B15" i="24"/>
  <c r="F14" i="24"/>
  <c r="E14" i="24"/>
  <c r="B14" i="24"/>
  <c r="F13" i="24"/>
  <c r="E13" i="24"/>
  <c r="B13" i="24"/>
  <c r="F12" i="24"/>
  <c r="B12" i="24"/>
  <c r="F11" i="24"/>
  <c r="B11" i="24"/>
  <c r="F10" i="24"/>
  <c r="E10" i="24"/>
  <c r="B10" i="24"/>
  <c r="F9" i="24"/>
  <c r="E9" i="24"/>
  <c r="B9" i="24"/>
  <c r="F8" i="24"/>
  <c r="E8" i="24"/>
  <c r="B8" i="24"/>
  <c r="F7" i="24"/>
  <c r="E7" i="24"/>
  <c r="B7" i="24"/>
  <c r="F6" i="24"/>
  <c r="E6" i="24"/>
  <c r="B6" i="24"/>
  <c r="F311" i="25"/>
  <c r="E311" i="25"/>
  <c r="B311" i="25"/>
  <c r="F310" i="25"/>
  <c r="E310" i="25"/>
  <c r="B310" i="25"/>
  <c r="F309" i="25"/>
  <c r="E309" i="25"/>
  <c r="B309" i="25"/>
  <c r="F308" i="25"/>
  <c r="E308" i="25"/>
  <c r="B308" i="25"/>
  <c r="F307" i="25"/>
  <c r="E307" i="25"/>
  <c r="B307" i="25"/>
  <c r="F306" i="25"/>
  <c r="E306" i="25"/>
  <c r="B306" i="25"/>
  <c r="F305" i="25"/>
  <c r="E305" i="25"/>
  <c r="B305" i="25"/>
  <c r="F304" i="25"/>
  <c r="E304" i="25"/>
  <c r="B304" i="25"/>
  <c r="F303" i="25"/>
  <c r="E303" i="25"/>
  <c r="B303" i="25"/>
  <c r="F302" i="25"/>
  <c r="E302" i="25"/>
  <c r="B302" i="25"/>
  <c r="F301" i="25"/>
  <c r="E301" i="25"/>
  <c r="B301" i="25"/>
  <c r="F300" i="25"/>
  <c r="E300" i="25"/>
  <c r="B300" i="25"/>
  <c r="F299" i="25"/>
  <c r="E299" i="25"/>
  <c r="B299" i="25"/>
  <c r="F298" i="25"/>
  <c r="E298" i="25"/>
  <c r="B298" i="25"/>
  <c r="F297" i="25"/>
  <c r="E297" i="25"/>
  <c r="B297" i="25"/>
  <c r="F296" i="25"/>
  <c r="E296" i="25"/>
  <c r="B296" i="25"/>
  <c r="F295" i="25"/>
  <c r="E295" i="25"/>
  <c r="B295" i="25"/>
  <c r="F294" i="25"/>
  <c r="E294" i="25"/>
  <c r="B294" i="25"/>
  <c r="F293" i="25"/>
  <c r="E293" i="25"/>
  <c r="B293" i="25"/>
  <c r="F292" i="25"/>
  <c r="E292" i="25"/>
  <c r="B292" i="25"/>
  <c r="F291" i="25"/>
  <c r="E291" i="25"/>
  <c r="B291" i="25"/>
  <c r="F290" i="25"/>
  <c r="E290" i="25"/>
  <c r="B290" i="25"/>
  <c r="F289" i="25"/>
  <c r="E289" i="25"/>
  <c r="B289" i="25"/>
  <c r="F288" i="25"/>
  <c r="E288" i="25"/>
  <c r="B288" i="25"/>
  <c r="F287" i="25"/>
  <c r="E287" i="25"/>
  <c r="B287" i="25"/>
  <c r="F286" i="25"/>
  <c r="E286" i="25"/>
  <c r="B286" i="25"/>
  <c r="F285" i="25"/>
  <c r="E285" i="25"/>
  <c r="B285" i="25"/>
  <c r="F284" i="25"/>
  <c r="E284" i="25"/>
  <c r="B284" i="25"/>
  <c r="F283" i="25"/>
  <c r="E283" i="25"/>
  <c r="B283" i="25"/>
  <c r="F282" i="25"/>
  <c r="E282" i="25"/>
  <c r="B282" i="25"/>
  <c r="F281" i="25"/>
  <c r="E281" i="25"/>
  <c r="B281" i="25"/>
  <c r="F280" i="25"/>
  <c r="E280" i="25"/>
  <c r="B280" i="25"/>
  <c r="F279" i="25"/>
  <c r="B279" i="25"/>
  <c r="F278" i="25"/>
  <c r="E278" i="25"/>
  <c r="B278" i="25"/>
  <c r="F277" i="25"/>
  <c r="B277" i="25"/>
  <c r="F276" i="25"/>
  <c r="B276" i="25"/>
  <c r="F275" i="25"/>
  <c r="B275" i="25"/>
  <c r="F274" i="25"/>
  <c r="E274" i="25"/>
  <c r="B274" i="25"/>
  <c r="F273" i="25"/>
  <c r="E273" i="25"/>
  <c r="B273" i="25"/>
  <c r="F272" i="25"/>
  <c r="E272" i="25"/>
  <c r="B272" i="25"/>
  <c r="F271" i="25"/>
  <c r="E271" i="25"/>
  <c r="B271" i="25"/>
  <c r="F270" i="25"/>
  <c r="B270" i="25"/>
  <c r="F269" i="25"/>
  <c r="E269" i="25"/>
  <c r="B269" i="25"/>
  <c r="F268" i="25"/>
  <c r="E268" i="25"/>
  <c r="B268" i="25"/>
  <c r="F267" i="25"/>
  <c r="B267" i="25"/>
  <c r="F266" i="25"/>
  <c r="E266" i="25"/>
  <c r="B266" i="25"/>
  <c r="F265" i="25"/>
  <c r="E265" i="25"/>
  <c r="B265" i="25"/>
  <c r="F264" i="25"/>
  <c r="E264" i="25"/>
  <c r="B264" i="25"/>
  <c r="F263" i="25"/>
  <c r="E263" i="25"/>
  <c r="B263" i="25"/>
  <c r="F262" i="25"/>
  <c r="E262" i="25"/>
  <c r="B262" i="25"/>
  <c r="F261" i="25"/>
  <c r="E261" i="25"/>
  <c r="B261" i="25"/>
  <c r="F260" i="25"/>
  <c r="E260" i="25"/>
  <c r="B260" i="25"/>
  <c r="F259" i="25"/>
  <c r="E259" i="25"/>
  <c r="B259" i="25"/>
  <c r="F258" i="25"/>
  <c r="E258" i="25"/>
  <c r="B258" i="25"/>
  <c r="F257" i="25"/>
  <c r="E257" i="25"/>
  <c r="B257" i="25"/>
  <c r="F256" i="25"/>
  <c r="E256" i="25"/>
  <c r="B256" i="25"/>
  <c r="F255" i="25"/>
  <c r="E255" i="25"/>
  <c r="B255" i="25"/>
  <c r="F254" i="25"/>
  <c r="E254" i="25"/>
  <c r="B254" i="25"/>
  <c r="F253" i="25"/>
  <c r="E253" i="25"/>
  <c r="B253" i="25"/>
  <c r="F252" i="25"/>
  <c r="E252" i="25"/>
  <c r="B252" i="25"/>
  <c r="F251" i="25"/>
  <c r="B251" i="25"/>
  <c r="F250" i="25"/>
  <c r="E250" i="25"/>
  <c r="B250" i="25"/>
  <c r="F249" i="25"/>
  <c r="B249" i="25"/>
  <c r="F248" i="25"/>
  <c r="B248" i="25"/>
  <c r="F247" i="25"/>
  <c r="E247" i="25"/>
  <c r="B247" i="25"/>
  <c r="F246" i="25"/>
  <c r="E246" i="25"/>
  <c r="B246" i="25"/>
  <c r="F245" i="25"/>
  <c r="E245" i="25"/>
  <c r="B245" i="25"/>
  <c r="F244" i="25"/>
  <c r="E244" i="25"/>
  <c r="B244" i="25"/>
  <c r="F243" i="25"/>
  <c r="E243" i="25"/>
  <c r="B243" i="25"/>
  <c r="F242" i="25"/>
  <c r="E242" i="25"/>
  <c r="B242" i="25"/>
  <c r="F241" i="25"/>
  <c r="E241" i="25"/>
  <c r="B241" i="25"/>
  <c r="F240" i="25"/>
  <c r="E240" i="25"/>
  <c r="B240" i="25"/>
  <c r="F239" i="25"/>
  <c r="E239" i="25"/>
  <c r="B239" i="25"/>
  <c r="F238" i="25"/>
  <c r="E238" i="25"/>
  <c r="B238" i="25"/>
  <c r="F237" i="25"/>
  <c r="E237" i="25"/>
  <c r="B237" i="25"/>
  <c r="F236" i="25"/>
  <c r="E236" i="25"/>
  <c r="B236" i="25"/>
  <c r="E235" i="25"/>
  <c r="B235" i="25"/>
  <c r="F234" i="25"/>
  <c r="E234" i="25"/>
  <c r="B234" i="25"/>
  <c r="E233" i="25"/>
  <c r="B233" i="25"/>
  <c r="E232" i="25"/>
  <c r="B232" i="25"/>
  <c r="F231" i="25"/>
  <c r="E231" i="25"/>
  <c r="B231" i="25"/>
  <c r="E230" i="25"/>
  <c r="B230" i="25"/>
  <c r="F229" i="25"/>
  <c r="E229" i="25"/>
  <c r="B229" i="25"/>
  <c r="F228" i="25"/>
  <c r="E228" i="25"/>
  <c r="B228" i="25"/>
  <c r="F227" i="25"/>
  <c r="E227" i="25"/>
  <c r="B227" i="25"/>
  <c r="F226" i="25"/>
  <c r="E226" i="25"/>
  <c r="B226" i="25"/>
  <c r="F225" i="25"/>
  <c r="E225" i="25"/>
  <c r="B225" i="25"/>
  <c r="F224" i="25"/>
  <c r="E224" i="25"/>
  <c r="B224" i="25"/>
  <c r="F223" i="25"/>
  <c r="E223" i="25"/>
  <c r="B223" i="25"/>
  <c r="F222" i="25"/>
  <c r="E222" i="25"/>
  <c r="B222" i="25"/>
  <c r="F221" i="25"/>
  <c r="E221" i="25"/>
  <c r="B221" i="25"/>
  <c r="F220" i="25"/>
  <c r="E220" i="25"/>
  <c r="B220" i="25"/>
  <c r="F219" i="25"/>
  <c r="E219" i="25"/>
  <c r="B219" i="25"/>
  <c r="F218" i="25"/>
  <c r="E218" i="25"/>
  <c r="B218" i="25"/>
  <c r="F217" i="25"/>
  <c r="E217" i="25"/>
  <c r="B217" i="25"/>
  <c r="F216" i="25"/>
  <c r="E216" i="25"/>
  <c r="B216" i="25"/>
  <c r="F215" i="25"/>
  <c r="E215" i="25"/>
  <c r="B215" i="25"/>
  <c r="F214" i="25"/>
  <c r="E214" i="25"/>
  <c r="B214" i="25"/>
  <c r="F213" i="25"/>
  <c r="E213" i="25"/>
  <c r="B213" i="25"/>
  <c r="F212" i="25"/>
  <c r="E212" i="25"/>
  <c r="B212" i="25"/>
  <c r="F211" i="25"/>
  <c r="E211" i="25"/>
  <c r="B211" i="25"/>
  <c r="F210" i="25"/>
  <c r="E210" i="25"/>
  <c r="B210" i="25"/>
  <c r="F209" i="25"/>
  <c r="E209" i="25"/>
  <c r="B209" i="25"/>
  <c r="F208" i="25"/>
  <c r="E208" i="25"/>
  <c r="B208" i="25"/>
  <c r="F207" i="25"/>
  <c r="E207" i="25"/>
  <c r="B207" i="25"/>
  <c r="F206" i="25"/>
  <c r="E206" i="25"/>
  <c r="B206" i="25"/>
  <c r="F205" i="25"/>
  <c r="E205" i="25"/>
  <c r="B205" i="25"/>
  <c r="F204" i="25"/>
  <c r="E204" i="25"/>
  <c r="B204" i="25"/>
  <c r="F203" i="25"/>
  <c r="E203" i="25"/>
  <c r="B203" i="25"/>
  <c r="F202" i="25"/>
  <c r="E202" i="25"/>
  <c r="B202" i="25"/>
  <c r="F201" i="25"/>
  <c r="E201" i="25"/>
  <c r="B201" i="25"/>
  <c r="F200" i="25"/>
  <c r="E200" i="25"/>
  <c r="B200" i="25"/>
  <c r="F199" i="25"/>
  <c r="E199" i="25"/>
  <c r="B199" i="25"/>
  <c r="F198" i="25"/>
  <c r="E198" i="25"/>
  <c r="B198" i="25"/>
  <c r="F197" i="25"/>
  <c r="E197" i="25"/>
  <c r="B197" i="25"/>
  <c r="F196" i="25"/>
  <c r="E196" i="25"/>
  <c r="B196" i="25"/>
  <c r="F195" i="25"/>
  <c r="E195" i="25"/>
  <c r="B195" i="25"/>
  <c r="F194" i="25"/>
  <c r="E194" i="25"/>
  <c r="B194" i="25"/>
  <c r="F193" i="25"/>
  <c r="E193" i="25"/>
  <c r="B193" i="25"/>
  <c r="F192" i="25"/>
  <c r="E192" i="25"/>
  <c r="B192" i="25"/>
  <c r="F191" i="25"/>
  <c r="E191" i="25"/>
  <c r="B191" i="25"/>
  <c r="F190" i="25"/>
  <c r="E190" i="25"/>
  <c r="B190" i="25"/>
  <c r="F189" i="25"/>
  <c r="E189" i="25"/>
  <c r="B189" i="25"/>
  <c r="F188" i="25"/>
  <c r="E188" i="25"/>
  <c r="B188" i="25"/>
  <c r="F187" i="25"/>
  <c r="E187" i="25"/>
  <c r="B187" i="25"/>
  <c r="F186" i="25"/>
  <c r="E186" i="25"/>
  <c r="B186" i="25"/>
  <c r="F185" i="25"/>
  <c r="E185" i="25"/>
  <c r="B185" i="25"/>
  <c r="F184" i="25"/>
  <c r="E184" i="25"/>
  <c r="B184" i="25"/>
  <c r="F183" i="25"/>
  <c r="E183" i="25"/>
  <c r="B183" i="25"/>
  <c r="F182" i="25"/>
  <c r="E182" i="25"/>
  <c r="B182" i="25"/>
  <c r="F181" i="25"/>
  <c r="E181" i="25"/>
  <c r="B181" i="25"/>
  <c r="F180" i="25"/>
  <c r="E180" i="25"/>
  <c r="B180" i="25"/>
  <c r="F179" i="25"/>
  <c r="E179" i="25"/>
  <c r="B179" i="25"/>
  <c r="F178" i="25"/>
  <c r="E178" i="25"/>
  <c r="B178" i="25"/>
  <c r="F177" i="25"/>
  <c r="E177" i="25"/>
  <c r="B177" i="25"/>
  <c r="F176" i="25"/>
  <c r="E176" i="25"/>
  <c r="B176" i="25"/>
  <c r="F175" i="25"/>
  <c r="E175" i="25"/>
  <c r="B175" i="25"/>
  <c r="F174" i="25"/>
  <c r="E174" i="25"/>
  <c r="B174" i="25"/>
  <c r="F173" i="25"/>
  <c r="E173" i="25"/>
  <c r="B173" i="25"/>
  <c r="F172" i="25"/>
  <c r="E172" i="25"/>
  <c r="B172" i="25"/>
  <c r="F171" i="25"/>
  <c r="E171" i="25"/>
  <c r="B171" i="25"/>
  <c r="F170" i="25"/>
  <c r="E170" i="25"/>
  <c r="B170" i="25"/>
  <c r="F169" i="25"/>
  <c r="E169" i="25"/>
  <c r="B169" i="25"/>
  <c r="F168" i="25"/>
  <c r="E168" i="25"/>
  <c r="B168" i="25"/>
  <c r="F167" i="25"/>
  <c r="E167" i="25"/>
  <c r="B167" i="25"/>
  <c r="F166" i="25"/>
  <c r="E166" i="25"/>
  <c r="B166" i="25"/>
  <c r="F165" i="25"/>
  <c r="E165" i="25"/>
  <c r="B165" i="25"/>
  <c r="F164" i="25"/>
  <c r="E164" i="25"/>
  <c r="B164" i="25"/>
  <c r="F163" i="25"/>
  <c r="E163" i="25"/>
  <c r="B163" i="25"/>
  <c r="F162" i="25"/>
  <c r="E162" i="25"/>
  <c r="B162" i="25"/>
  <c r="F161" i="25"/>
  <c r="E161" i="25"/>
  <c r="B161" i="25"/>
  <c r="F160" i="25"/>
  <c r="E160" i="25"/>
  <c r="B160" i="25"/>
  <c r="F159" i="25"/>
  <c r="E159" i="25"/>
  <c r="B159" i="25"/>
  <c r="F158" i="25"/>
  <c r="E158" i="25"/>
  <c r="B158" i="25"/>
  <c r="F157" i="25"/>
  <c r="E157" i="25"/>
  <c r="B157" i="25"/>
  <c r="F156" i="25"/>
  <c r="E156" i="25"/>
  <c r="B156" i="25"/>
  <c r="F155" i="25"/>
  <c r="E155" i="25"/>
  <c r="B155" i="25"/>
  <c r="F154" i="25"/>
  <c r="E154" i="25"/>
  <c r="B154" i="25"/>
  <c r="F153" i="25"/>
  <c r="E153" i="25"/>
  <c r="B153" i="25"/>
  <c r="F152" i="25"/>
  <c r="E152" i="25"/>
  <c r="B152" i="25"/>
  <c r="F151" i="25"/>
  <c r="E151" i="25"/>
  <c r="B151" i="25"/>
  <c r="F150" i="25"/>
  <c r="E150" i="25"/>
  <c r="B150" i="25"/>
  <c r="F149" i="25"/>
  <c r="E149" i="25"/>
  <c r="B149" i="25"/>
  <c r="F148" i="25"/>
  <c r="E148" i="25"/>
  <c r="B148" i="25"/>
  <c r="F147" i="25"/>
  <c r="E147" i="25"/>
  <c r="B147" i="25"/>
  <c r="F146" i="25"/>
  <c r="E146" i="25"/>
  <c r="B146" i="25"/>
  <c r="E145" i="25"/>
  <c r="B145" i="25"/>
  <c r="E144" i="25"/>
  <c r="B144" i="25"/>
  <c r="F143" i="25"/>
  <c r="E143" i="25"/>
  <c r="B143" i="25"/>
  <c r="E142" i="25"/>
  <c r="B142" i="25"/>
  <c r="E141" i="25"/>
  <c r="B141" i="25"/>
  <c r="E140" i="25"/>
  <c r="B140" i="25"/>
  <c r="F139" i="25"/>
  <c r="E139" i="25"/>
  <c r="B139" i="25"/>
  <c r="F138" i="25"/>
  <c r="E138" i="25"/>
  <c r="B138" i="25"/>
  <c r="F137" i="25"/>
  <c r="E137" i="25"/>
  <c r="B137" i="25"/>
  <c r="F136" i="25"/>
  <c r="E136" i="25"/>
  <c r="B136" i="25"/>
  <c r="F135" i="25"/>
  <c r="E135" i="25"/>
  <c r="B135" i="25"/>
  <c r="F134" i="25"/>
  <c r="E134" i="25"/>
  <c r="B134" i="25"/>
  <c r="F133" i="25"/>
  <c r="E133" i="25"/>
  <c r="B133" i="25"/>
  <c r="F132" i="25"/>
  <c r="B132" i="25"/>
  <c r="F131" i="25"/>
  <c r="B131" i="25"/>
  <c r="F130" i="25"/>
  <c r="B130" i="25"/>
  <c r="F129" i="25"/>
  <c r="E129" i="25"/>
  <c r="B129" i="25"/>
  <c r="F128" i="25"/>
  <c r="E128" i="25"/>
  <c r="B128" i="25"/>
  <c r="F127" i="25"/>
  <c r="E127" i="25"/>
  <c r="B127" i="25"/>
  <c r="F126" i="25"/>
  <c r="E126" i="25"/>
  <c r="B126" i="25"/>
  <c r="F125" i="25"/>
  <c r="E125" i="25"/>
  <c r="B125" i="25"/>
  <c r="F124" i="25"/>
  <c r="E124" i="25"/>
  <c r="B124" i="25"/>
  <c r="F123" i="25"/>
  <c r="E123" i="25"/>
  <c r="B123" i="25"/>
  <c r="F122" i="25"/>
  <c r="E122" i="25"/>
  <c r="B122" i="25"/>
  <c r="F121" i="25"/>
  <c r="E121" i="25"/>
  <c r="B121" i="25"/>
  <c r="F120" i="25"/>
  <c r="E120" i="25"/>
  <c r="B120" i="25"/>
  <c r="F119" i="25"/>
  <c r="E119" i="25"/>
  <c r="B119" i="25"/>
  <c r="F118" i="25"/>
  <c r="E118" i="25"/>
  <c r="B118" i="25"/>
  <c r="F117" i="25"/>
  <c r="E117" i="25"/>
  <c r="B117" i="25"/>
  <c r="F116" i="25"/>
  <c r="E116" i="25"/>
  <c r="B116" i="25"/>
  <c r="F115" i="25"/>
  <c r="E115" i="25"/>
  <c r="B115" i="25"/>
  <c r="F114" i="25"/>
  <c r="E114" i="25"/>
  <c r="B114" i="25"/>
  <c r="F113" i="25"/>
  <c r="E113" i="25"/>
  <c r="B113" i="25"/>
  <c r="F112" i="25"/>
  <c r="E112" i="25"/>
  <c r="B112" i="25"/>
  <c r="F111" i="25"/>
  <c r="E111" i="25"/>
  <c r="B111" i="25"/>
  <c r="F110" i="25"/>
  <c r="E110" i="25"/>
  <c r="B110" i="25"/>
  <c r="F109" i="25"/>
  <c r="E109" i="25"/>
  <c r="B109" i="25"/>
  <c r="F108" i="25"/>
  <c r="E108" i="25"/>
  <c r="B108" i="25"/>
  <c r="F107" i="25"/>
  <c r="E107" i="25"/>
  <c r="B107" i="25"/>
  <c r="F106" i="25"/>
  <c r="E106" i="25"/>
  <c r="B106" i="25"/>
  <c r="F105" i="25"/>
  <c r="E105" i="25"/>
  <c r="B105" i="25"/>
  <c r="F104" i="25"/>
  <c r="E104" i="25"/>
  <c r="B104" i="25"/>
  <c r="F103" i="25"/>
  <c r="E103" i="25"/>
  <c r="B103" i="25"/>
  <c r="F102" i="25"/>
  <c r="E102" i="25"/>
  <c r="B102" i="25"/>
  <c r="F101" i="25"/>
  <c r="E101" i="25"/>
  <c r="B101" i="25"/>
  <c r="F100" i="25"/>
  <c r="E100" i="25"/>
  <c r="B100" i="25"/>
  <c r="F99" i="25"/>
  <c r="E99" i="25"/>
  <c r="B99" i="25"/>
  <c r="F98" i="25"/>
  <c r="E98" i="25"/>
  <c r="B98" i="25"/>
  <c r="F97" i="25"/>
  <c r="E97" i="25"/>
  <c r="B97" i="25"/>
  <c r="F96" i="25"/>
  <c r="E96" i="25"/>
  <c r="B96" i="25"/>
  <c r="F95" i="25"/>
  <c r="E95" i="25"/>
  <c r="B95" i="25"/>
  <c r="F94" i="25"/>
  <c r="E94" i="25"/>
  <c r="B94" i="25"/>
  <c r="F93" i="25"/>
  <c r="E93" i="25"/>
  <c r="B93" i="25"/>
  <c r="F92" i="25"/>
  <c r="E92" i="25"/>
  <c r="B92" i="25"/>
  <c r="F91" i="25"/>
  <c r="E91" i="25"/>
  <c r="B91" i="25"/>
  <c r="E90" i="25"/>
  <c r="B90" i="25"/>
  <c r="F89" i="25"/>
  <c r="E89" i="25"/>
  <c r="B89" i="25"/>
  <c r="E88" i="25"/>
  <c r="B88" i="25"/>
  <c r="E87" i="25"/>
  <c r="B87" i="25"/>
  <c r="E86" i="25"/>
  <c r="B86" i="25"/>
  <c r="F85" i="25"/>
  <c r="E85" i="25"/>
  <c r="B85" i="25"/>
  <c r="F84" i="25"/>
  <c r="E84" i="25"/>
  <c r="B84" i="25"/>
  <c r="F83" i="25"/>
  <c r="E83" i="25"/>
  <c r="B83" i="25"/>
  <c r="F82" i="25"/>
  <c r="E82" i="25"/>
  <c r="B82" i="25"/>
  <c r="F81" i="25"/>
  <c r="E81" i="25"/>
  <c r="B81" i="25"/>
  <c r="F80" i="25"/>
  <c r="E80" i="25"/>
  <c r="B80" i="25"/>
  <c r="E79" i="25"/>
  <c r="B79" i="25"/>
  <c r="E78" i="25"/>
  <c r="B78" i="25"/>
  <c r="E77" i="25"/>
  <c r="B77" i="25"/>
  <c r="E76" i="25"/>
  <c r="B76" i="25"/>
  <c r="E75" i="25"/>
  <c r="B75" i="25"/>
  <c r="E74" i="25"/>
  <c r="B74" i="25"/>
  <c r="F73" i="25"/>
  <c r="E73" i="25"/>
  <c r="B73" i="25"/>
  <c r="B72" i="25"/>
  <c r="F71" i="25"/>
  <c r="E71" i="25"/>
  <c r="B71" i="25"/>
  <c r="B70" i="25"/>
  <c r="E69" i="25"/>
  <c r="B69" i="25"/>
  <c r="E68" i="25"/>
  <c r="B68" i="25"/>
  <c r="F67" i="25"/>
  <c r="E67" i="25"/>
  <c r="B67" i="25"/>
  <c r="F66" i="25"/>
  <c r="E66" i="25"/>
  <c r="B66" i="25"/>
  <c r="F65" i="25"/>
  <c r="E65" i="25"/>
  <c r="B65" i="25"/>
  <c r="E64" i="25"/>
  <c r="B64" i="25"/>
  <c r="F63" i="25"/>
  <c r="E63" i="25"/>
  <c r="B63" i="25"/>
  <c r="F62" i="25"/>
  <c r="B62" i="25"/>
  <c r="E61" i="25"/>
  <c r="B61" i="25"/>
  <c r="B60" i="25"/>
  <c r="F59" i="25"/>
  <c r="E59" i="25"/>
  <c r="B59" i="25"/>
  <c r="F58" i="25"/>
  <c r="E58" i="25"/>
  <c r="B58" i="25"/>
  <c r="F57" i="25"/>
  <c r="E57" i="25"/>
  <c r="B57" i="25"/>
  <c r="F56" i="25"/>
  <c r="E56" i="25"/>
  <c r="B56" i="25"/>
  <c r="F55" i="25"/>
  <c r="E55" i="25"/>
  <c r="B55" i="25"/>
  <c r="F54" i="25"/>
  <c r="E54" i="25"/>
  <c r="B54" i="25"/>
  <c r="F53" i="25"/>
  <c r="E53" i="25"/>
  <c r="B53" i="25"/>
  <c r="F52" i="25"/>
  <c r="E52" i="25"/>
  <c r="B52" i="25"/>
  <c r="F51" i="25"/>
  <c r="E51" i="25"/>
  <c r="B51" i="25"/>
  <c r="F50" i="25"/>
  <c r="E50" i="25"/>
  <c r="B50" i="25"/>
  <c r="F49" i="25"/>
  <c r="E49" i="25"/>
  <c r="B49" i="25"/>
  <c r="F48" i="25"/>
  <c r="E48" i="25"/>
  <c r="B48" i="25"/>
  <c r="F47" i="25"/>
  <c r="E47" i="25"/>
  <c r="B47" i="25"/>
  <c r="F46" i="25"/>
  <c r="E46" i="25"/>
  <c r="B46" i="25"/>
  <c r="F45" i="25"/>
  <c r="E45" i="25"/>
  <c r="B45" i="25"/>
  <c r="F44" i="25"/>
  <c r="E44" i="25"/>
  <c r="B44" i="25"/>
  <c r="F43" i="25"/>
  <c r="E43" i="25"/>
  <c r="B43" i="25"/>
  <c r="F42" i="25"/>
  <c r="E42" i="25"/>
  <c r="B42" i="25"/>
  <c r="F41" i="25"/>
  <c r="E41" i="25"/>
  <c r="B41" i="25"/>
  <c r="F40" i="25"/>
  <c r="E40" i="25"/>
  <c r="B40" i="25"/>
  <c r="F39" i="25"/>
  <c r="E39" i="25"/>
  <c r="B39" i="25"/>
  <c r="F38" i="25"/>
  <c r="E38" i="25"/>
  <c r="B38" i="25"/>
  <c r="F37" i="25"/>
  <c r="B37" i="25"/>
  <c r="F36" i="25"/>
  <c r="B36" i="25"/>
  <c r="F35" i="25"/>
  <c r="B35" i="25"/>
  <c r="F34" i="25"/>
  <c r="B34" i="25"/>
  <c r="F33" i="25"/>
  <c r="E33" i="25"/>
  <c r="B33" i="25"/>
  <c r="F32" i="25"/>
  <c r="E32" i="25"/>
  <c r="B32" i="25"/>
  <c r="F31" i="25"/>
  <c r="E31" i="25"/>
  <c r="B31" i="25"/>
  <c r="F30" i="25"/>
  <c r="E30" i="25"/>
  <c r="B30" i="25"/>
  <c r="F29" i="25"/>
  <c r="B29" i="25"/>
  <c r="F28" i="25"/>
  <c r="E28" i="25"/>
  <c r="B28" i="25"/>
  <c r="F27" i="25"/>
  <c r="E27" i="25"/>
  <c r="B27" i="25"/>
  <c r="F26" i="25"/>
  <c r="E26" i="25"/>
  <c r="B26" i="25"/>
  <c r="F25" i="25"/>
  <c r="E25" i="25"/>
  <c r="B25" i="25"/>
  <c r="F24" i="25"/>
  <c r="E24" i="25"/>
  <c r="B24" i="25"/>
  <c r="F23" i="25"/>
  <c r="E23" i="25"/>
  <c r="B23" i="25"/>
  <c r="F22" i="25"/>
  <c r="E22" i="25"/>
  <c r="B22" i="25"/>
  <c r="F21" i="25"/>
  <c r="E21" i="25"/>
  <c r="B21" i="25"/>
  <c r="F20" i="25"/>
  <c r="E20" i="25"/>
  <c r="B20" i="25"/>
  <c r="F19" i="25"/>
  <c r="E19" i="25"/>
  <c r="B19" i="25"/>
  <c r="F18" i="25"/>
  <c r="E18" i="25"/>
  <c r="B18" i="25"/>
  <c r="F17" i="25"/>
  <c r="E17" i="25"/>
  <c r="B17" i="25"/>
  <c r="F16" i="25"/>
  <c r="E16" i="25"/>
  <c r="B16" i="25"/>
  <c r="F15" i="25"/>
  <c r="E15" i="25"/>
  <c r="B15" i="25"/>
  <c r="F14" i="25"/>
  <c r="E14" i="25"/>
  <c r="B14" i="25"/>
  <c r="F13" i="25"/>
  <c r="E13" i="25"/>
  <c r="B13" i="25"/>
  <c r="F12" i="25"/>
  <c r="E12" i="25"/>
  <c r="B12" i="25"/>
  <c r="F11" i="25"/>
  <c r="E11" i="25"/>
  <c r="B11" i="25"/>
  <c r="F10" i="25"/>
  <c r="E10" i="25"/>
  <c r="B10" i="25"/>
  <c r="F9" i="25"/>
  <c r="E9" i="25"/>
  <c r="B9" i="25"/>
  <c r="F8" i="25"/>
  <c r="E8" i="25"/>
  <c r="B8" i="25"/>
  <c r="F7" i="25"/>
  <c r="E7" i="25"/>
  <c r="B7" i="25"/>
  <c r="F6" i="25"/>
  <c r="E6" i="25"/>
  <c r="B6" i="25"/>
  <c r="J25" i="21"/>
  <c r="J150" i="21"/>
  <c r="J36" i="21"/>
  <c r="J72" i="21"/>
  <c r="J108" i="21"/>
  <c r="J114" i="21"/>
  <c r="J118" i="21"/>
  <c r="K129" i="21"/>
  <c r="J144" i="21"/>
  <c r="J24" i="21"/>
  <c r="J60" i="21"/>
  <c r="J70" i="21"/>
  <c r="J96" i="21"/>
  <c r="J132" i="21"/>
  <c r="J143" i="21"/>
  <c r="K121" i="21"/>
  <c r="K12" i="21"/>
  <c r="J33" i="21"/>
  <c r="K44" i="21"/>
  <c r="K48" i="21"/>
  <c r="J69" i="21"/>
  <c r="K80" i="21"/>
  <c r="K84" i="21"/>
  <c r="J105" i="21"/>
  <c r="K116" i="21"/>
  <c r="K120" i="21"/>
  <c r="J141" i="21"/>
  <c r="K61" i="21"/>
  <c r="K97" i="21"/>
  <c r="J12" i="21"/>
  <c r="J18" i="21"/>
  <c r="J22" i="21"/>
  <c r="K33" i="21"/>
  <c r="J48" i="21"/>
  <c r="J54" i="21"/>
  <c r="J58" i="21"/>
  <c r="K69" i="21"/>
  <c r="J84" i="21"/>
  <c r="J90" i="21"/>
  <c r="J94" i="21"/>
  <c r="K105" i="21"/>
  <c r="J120" i="21"/>
  <c r="J126" i="21"/>
  <c r="J130" i="21"/>
  <c r="K141" i="21"/>
  <c r="J23" i="20"/>
  <c r="E6" i="20"/>
  <c r="A7" i="19" l="1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69" i="19"/>
  <c r="A170" i="19"/>
  <c r="A171" i="19"/>
  <c r="A172" i="19"/>
  <c r="A173" i="19"/>
  <c r="A174" i="19"/>
  <c r="A175" i="19"/>
  <c r="A176" i="19"/>
  <c r="A177" i="19"/>
  <c r="A178" i="19"/>
  <c r="A179" i="19"/>
  <c r="A180" i="19"/>
  <c r="A181" i="19"/>
  <c r="A182" i="19"/>
  <c r="A183" i="19"/>
  <c r="A184" i="19"/>
  <c r="A185" i="19"/>
  <c r="A186" i="19"/>
  <c r="A187" i="19"/>
  <c r="A188" i="19"/>
  <c r="A189" i="19"/>
  <c r="A190" i="19"/>
  <c r="A191" i="19"/>
  <c r="A192" i="19"/>
  <c r="A193" i="19"/>
  <c r="A194" i="19"/>
  <c r="A195" i="19"/>
  <c r="A196" i="19"/>
  <c r="A197" i="19"/>
  <c r="A198" i="19"/>
  <c r="A199" i="19"/>
  <c r="A200" i="19"/>
  <c r="A201" i="19"/>
  <c r="A202" i="19"/>
  <c r="A203" i="19"/>
  <c r="A204" i="19"/>
  <c r="A205" i="19"/>
  <c r="A206" i="19"/>
  <c r="A207" i="19"/>
  <c r="A208" i="19"/>
  <c r="A209" i="19"/>
  <c r="A210" i="19"/>
  <c r="A211" i="19"/>
  <c r="A212" i="19"/>
  <c r="A213" i="19"/>
  <c r="A214" i="19"/>
  <c r="A215" i="19"/>
  <c r="A216" i="19"/>
  <c r="A217" i="19"/>
  <c r="A218" i="19"/>
  <c r="A219" i="19"/>
  <c r="A220" i="19"/>
  <c r="A221" i="19"/>
  <c r="A222" i="19"/>
  <c r="A223" i="19"/>
  <c r="A224" i="19"/>
  <c r="A225" i="19"/>
  <c r="A226" i="19"/>
  <c r="A227" i="19"/>
  <c r="A228" i="19"/>
  <c r="A229" i="19"/>
  <c r="A230" i="19"/>
  <c r="A231" i="19"/>
  <c r="A232" i="19"/>
  <c r="A233" i="19"/>
  <c r="A234" i="19"/>
  <c r="A235" i="19"/>
  <c r="A236" i="19"/>
  <c r="A237" i="19"/>
  <c r="A238" i="19"/>
  <c r="A239" i="19"/>
  <c r="A240" i="19"/>
  <c r="A241" i="19"/>
  <c r="A242" i="19"/>
  <c r="A243" i="19"/>
  <c r="A244" i="19"/>
  <c r="A245" i="19"/>
  <c r="A246" i="19"/>
  <c r="A247" i="19"/>
  <c r="A248" i="19"/>
  <c r="A249" i="19"/>
  <c r="A250" i="19"/>
  <c r="A251" i="19"/>
  <c r="A252" i="19"/>
  <c r="A253" i="19"/>
  <c r="A254" i="19"/>
  <c r="A255" i="19"/>
  <c r="A256" i="19"/>
  <c r="A257" i="19"/>
  <c r="A258" i="19"/>
  <c r="A259" i="19"/>
  <c r="A260" i="19"/>
  <c r="A261" i="19"/>
  <c r="A262" i="19"/>
  <c r="A263" i="19"/>
  <c r="A264" i="19"/>
  <c r="A265" i="19"/>
  <c r="M265" i="19" l="1"/>
  <c r="I265" i="19"/>
  <c r="H265" i="19"/>
  <c r="G265" i="19"/>
  <c r="F265" i="19"/>
  <c r="E265" i="19"/>
  <c r="D265" i="19"/>
  <c r="C265" i="19"/>
  <c r="B265" i="19"/>
  <c r="M264" i="19"/>
  <c r="I264" i="19"/>
  <c r="H264" i="19"/>
  <c r="G264" i="19"/>
  <c r="F264" i="19"/>
  <c r="E264" i="19"/>
  <c r="D264" i="19"/>
  <c r="C264" i="19"/>
  <c r="B264" i="19"/>
  <c r="M263" i="19"/>
  <c r="I263" i="19"/>
  <c r="H263" i="19"/>
  <c r="G263" i="19"/>
  <c r="F263" i="19"/>
  <c r="E263" i="19"/>
  <c r="D263" i="19"/>
  <c r="C263" i="19"/>
  <c r="B263" i="19"/>
  <c r="M262" i="19"/>
  <c r="I262" i="19"/>
  <c r="H262" i="19"/>
  <c r="G262" i="19"/>
  <c r="F262" i="19"/>
  <c r="E262" i="19"/>
  <c r="D262" i="19"/>
  <c r="C262" i="19"/>
  <c r="B262" i="19"/>
  <c r="M261" i="19"/>
  <c r="I261" i="19"/>
  <c r="H261" i="19"/>
  <c r="G261" i="19"/>
  <c r="F261" i="19"/>
  <c r="E261" i="19"/>
  <c r="D261" i="19"/>
  <c r="C261" i="19"/>
  <c r="B261" i="19"/>
  <c r="M260" i="19"/>
  <c r="I260" i="19"/>
  <c r="H260" i="19"/>
  <c r="G260" i="19"/>
  <c r="F260" i="19"/>
  <c r="E260" i="19"/>
  <c r="D260" i="19"/>
  <c r="C260" i="19"/>
  <c r="B260" i="19"/>
  <c r="M259" i="19"/>
  <c r="I259" i="19"/>
  <c r="H259" i="19"/>
  <c r="G259" i="19"/>
  <c r="F259" i="19"/>
  <c r="E259" i="19"/>
  <c r="K259" i="19" s="1"/>
  <c r="D259" i="19"/>
  <c r="C259" i="19"/>
  <c r="B259" i="19"/>
  <c r="M258" i="19"/>
  <c r="I258" i="19"/>
  <c r="H258" i="19"/>
  <c r="G258" i="19"/>
  <c r="F258" i="19"/>
  <c r="E258" i="19"/>
  <c r="D258" i="19"/>
  <c r="C258" i="19"/>
  <c r="B258" i="19"/>
  <c r="M257" i="19"/>
  <c r="I257" i="19"/>
  <c r="H257" i="19"/>
  <c r="G257" i="19"/>
  <c r="F257" i="19"/>
  <c r="E257" i="19"/>
  <c r="D257" i="19"/>
  <c r="C257" i="19"/>
  <c r="B257" i="19"/>
  <c r="M256" i="19"/>
  <c r="I256" i="19"/>
  <c r="H256" i="19"/>
  <c r="G256" i="19"/>
  <c r="F256" i="19"/>
  <c r="E256" i="19"/>
  <c r="D256" i="19"/>
  <c r="C256" i="19"/>
  <c r="B256" i="19"/>
  <c r="M255" i="19"/>
  <c r="I255" i="19"/>
  <c r="H255" i="19"/>
  <c r="G255" i="19"/>
  <c r="F255" i="19"/>
  <c r="E255" i="19"/>
  <c r="D255" i="19"/>
  <c r="C255" i="19"/>
  <c r="B255" i="19"/>
  <c r="M254" i="19"/>
  <c r="I254" i="19"/>
  <c r="H254" i="19"/>
  <c r="G254" i="19"/>
  <c r="F254" i="19"/>
  <c r="E254" i="19"/>
  <c r="D254" i="19"/>
  <c r="C254" i="19"/>
  <c r="B254" i="19"/>
  <c r="M253" i="19"/>
  <c r="I253" i="19"/>
  <c r="H253" i="19"/>
  <c r="G253" i="19"/>
  <c r="F253" i="19"/>
  <c r="E253" i="19"/>
  <c r="D253" i="19"/>
  <c r="C253" i="19"/>
  <c r="B253" i="19"/>
  <c r="M252" i="19"/>
  <c r="I252" i="19"/>
  <c r="H252" i="19"/>
  <c r="G252" i="19"/>
  <c r="F252" i="19"/>
  <c r="E252" i="19"/>
  <c r="D252" i="19"/>
  <c r="C252" i="19"/>
  <c r="B252" i="19"/>
  <c r="M251" i="19"/>
  <c r="I251" i="19"/>
  <c r="H251" i="19"/>
  <c r="G251" i="19"/>
  <c r="F251" i="19"/>
  <c r="E251" i="19"/>
  <c r="D251" i="19"/>
  <c r="C251" i="19"/>
  <c r="B251" i="19"/>
  <c r="M250" i="19"/>
  <c r="I250" i="19"/>
  <c r="H250" i="19"/>
  <c r="G250" i="19"/>
  <c r="F250" i="19"/>
  <c r="E250" i="19"/>
  <c r="D250" i="19"/>
  <c r="C250" i="19"/>
  <c r="B250" i="19"/>
  <c r="M249" i="19"/>
  <c r="I249" i="19"/>
  <c r="H249" i="19"/>
  <c r="G249" i="19"/>
  <c r="F249" i="19"/>
  <c r="E249" i="19"/>
  <c r="D249" i="19"/>
  <c r="C249" i="19"/>
  <c r="B249" i="19"/>
  <c r="M248" i="19"/>
  <c r="I248" i="19"/>
  <c r="H248" i="19"/>
  <c r="G248" i="19"/>
  <c r="F248" i="19"/>
  <c r="E248" i="19"/>
  <c r="D248" i="19"/>
  <c r="C248" i="19"/>
  <c r="B248" i="19"/>
  <c r="M247" i="19"/>
  <c r="I247" i="19"/>
  <c r="H247" i="19"/>
  <c r="G247" i="19"/>
  <c r="F247" i="19"/>
  <c r="E247" i="19"/>
  <c r="D247" i="19"/>
  <c r="C247" i="19"/>
  <c r="B247" i="19"/>
  <c r="M246" i="19"/>
  <c r="I246" i="19"/>
  <c r="H246" i="19"/>
  <c r="G246" i="19"/>
  <c r="F246" i="19"/>
  <c r="E246" i="19"/>
  <c r="D246" i="19"/>
  <c r="C246" i="19"/>
  <c r="B246" i="19"/>
  <c r="M245" i="19"/>
  <c r="I245" i="19"/>
  <c r="H245" i="19"/>
  <c r="G245" i="19"/>
  <c r="F245" i="19"/>
  <c r="E245" i="19"/>
  <c r="D245" i="19"/>
  <c r="C245" i="19"/>
  <c r="B245" i="19"/>
  <c r="M244" i="19"/>
  <c r="I244" i="19"/>
  <c r="H244" i="19"/>
  <c r="G244" i="19"/>
  <c r="F244" i="19"/>
  <c r="E244" i="19"/>
  <c r="D244" i="19"/>
  <c r="C244" i="19"/>
  <c r="B244" i="19"/>
  <c r="M243" i="19"/>
  <c r="I243" i="19"/>
  <c r="H243" i="19"/>
  <c r="G243" i="19"/>
  <c r="F243" i="19"/>
  <c r="E243" i="19"/>
  <c r="D243" i="19"/>
  <c r="C243" i="19"/>
  <c r="B243" i="19"/>
  <c r="M242" i="19"/>
  <c r="I242" i="19"/>
  <c r="H242" i="19"/>
  <c r="G242" i="19"/>
  <c r="F242" i="19"/>
  <c r="E242" i="19"/>
  <c r="D242" i="19"/>
  <c r="C242" i="19"/>
  <c r="B242" i="19"/>
  <c r="M241" i="19"/>
  <c r="I241" i="19"/>
  <c r="H241" i="19"/>
  <c r="G241" i="19"/>
  <c r="F241" i="19"/>
  <c r="E241" i="19"/>
  <c r="D241" i="19"/>
  <c r="C241" i="19"/>
  <c r="B241" i="19"/>
  <c r="M240" i="19"/>
  <c r="I240" i="19"/>
  <c r="H240" i="19"/>
  <c r="G240" i="19"/>
  <c r="F240" i="19"/>
  <c r="E240" i="19"/>
  <c r="D240" i="19"/>
  <c r="C240" i="19"/>
  <c r="B240" i="19"/>
  <c r="M239" i="19"/>
  <c r="I239" i="19"/>
  <c r="H239" i="19"/>
  <c r="G239" i="19"/>
  <c r="F239" i="19"/>
  <c r="E239" i="19"/>
  <c r="D239" i="19"/>
  <c r="C239" i="19"/>
  <c r="B239" i="19"/>
  <c r="M238" i="19"/>
  <c r="I238" i="19"/>
  <c r="H238" i="19"/>
  <c r="G238" i="19"/>
  <c r="F238" i="19"/>
  <c r="E238" i="19"/>
  <c r="D238" i="19"/>
  <c r="C238" i="19"/>
  <c r="B238" i="19"/>
  <c r="M237" i="19"/>
  <c r="I237" i="19"/>
  <c r="H237" i="19"/>
  <c r="F237" i="19"/>
  <c r="E237" i="19"/>
  <c r="D237" i="19"/>
  <c r="C237" i="19"/>
  <c r="B237" i="19"/>
  <c r="M236" i="19"/>
  <c r="I236" i="19"/>
  <c r="H236" i="19"/>
  <c r="G236" i="19"/>
  <c r="F236" i="19"/>
  <c r="E236" i="19"/>
  <c r="D236" i="19"/>
  <c r="C236" i="19"/>
  <c r="B236" i="19"/>
  <c r="M235" i="19"/>
  <c r="I235" i="19"/>
  <c r="H235" i="19"/>
  <c r="F235" i="19"/>
  <c r="E235" i="19"/>
  <c r="D235" i="19"/>
  <c r="C235" i="19"/>
  <c r="B235" i="19"/>
  <c r="M234" i="19"/>
  <c r="I234" i="19"/>
  <c r="H234" i="19"/>
  <c r="F234" i="19"/>
  <c r="E234" i="19"/>
  <c r="D234" i="19"/>
  <c r="C234" i="19"/>
  <c r="B234" i="19"/>
  <c r="M233" i="19"/>
  <c r="I233" i="19"/>
  <c r="H233" i="19"/>
  <c r="G233" i="19"/>
  <c r="F233" i="19"/>
  <c r="E233" i="19"/>
  <c r="D233" i="19"/>
  <c r="C233" i="19"/>
  <c r="B233" i="19"/>
  <c r="M232" i="19"/>
  <c r="I232" i="19"/>
  <c r="H232" i="19"/>
  <c r="G232" i="19"/>
  <c r="F232" i="19"/>
  <c r="E232" i="19"/>
  <c r="D232" i="19"/>
  <c r="C232" i="19"/>
  <c r="B232" i="19"/>
  <c r="M231" i="19"/>
  <c r="I231" i="19"/>
  <c r="H231" i="19"/>
  <c r="G231" i="19"/>
  <c r="F231" i="19"/>
  <c r="E231" i="19"/>
  <c r="D231" i="19"/>
  <c r="C231" i="19"/>
  <c r="B231" i="19"/>
  <c r="M230" i="19"/>
  <c r="I230" i="19"/>
  <c r="H230" i="19"/>
  <c r="G230" i="19"/>
  <c r="F230" i="19"/>
  <c r="E230" i="19"/>
  <c r="D230" i="19"/>
  <c r="C230" i="19"/>
  <c r="B230" i="19"/>
  <c r="M229" i="19"/>
  <c r="I229" i="19"/>
  <c r="H229" i="19"/>
  <c r="F229" i="19"/>
  <c r="E229" i="19"/>
  <c r="D229" i="19"/>
  <c r="C229" i="19"/>
  <c r="B229" i="19"/>
  <c r="M228" i="19"/>
  <c r="I228" i="19"/>
  <c r="H228" i="19"/>
  <c r="G228" i="19"/>
  <c r="F228" i="19"/>
  <c r="E228" i="19"/>
  <c r="K228" i="19" s="1"/>
  <c r="D228" i="19"/>
  <c r="C228" i="19"/>
  <c r="B228" i="19"/>
  <c r="M227" i="19"/>
  <c r="I227" i="19"/>
  <c r="H227" i="19"/>
  <c r="G227" i="19"/>
  <c r="F227" i="19"/>
  <c r="E227" i="19"/>
  <c r="D227" i="19"/>
  <c r="C227" i="19"/>
  <c r="B227" i="19"/>
  <c r="M226" i="19"/>
  <c r="I226" i="19"/>
  <c r="H226" i="19"/>
  <c r="G226" i="19"/>
  <c r="F226" i="19"/>
  <c r="E226" i="19"/>
  <c r="D226" i="19"/>
  <c r="C226" i="19"/>
  <c r="B226" i="19"/>
  <c r="M225" i="19"/>
  <c r="I225" i="19"/>
  <c r="H225" i="19"/>
  <c r="G225" i="19"/>
  <c r="F225" i="19"/>
  <c r="E225" i="19"/>
  <c r="D225" i="19"/>
  <c r="C225" i="19"/>
  <c r="B225" i="19"/>
  <c r="M224" i="19"/>
  <c r="I224" i="19"/>
  <c r="H224" i="19"/>
  <c r="G224" i="19"/>
  <c r="F224" i="19"/>
  <c r="E224" i="19"/>
  <c r="K224" i="19" s="1"/>
  <c r="D224" i="19"/>
  <c r="C224" i="19"/>
  <c r="B224" i="19"/>
  <c r="M223" i="19"/>
  <c r="I223" i="19"/>
  <c r="H223" i="19"/>
  <c r="G223" i="19"/>
  <c r="F223" i="19"/>
  <c r="E223" i="19"/>
  <c r="D223" i="19"/>
  <c r="C223" i="19"/>
  <c r="B223" i="19"/>
  <c r="M222" i="19"/>
  <c r="I222" i="19"/>
  <c r="H222" i="19"/>
  <c r="G222" i="19"/>
  <c r="F222" i="19"/>
  <c r="E222" i="19"/>
  <c r="D222" i="19"/>
  <c r="C222" i="19"/>
  <c r="B222" i="19"/>
  <c r="M221" i="19"/>
  <c r="I221" i="19"/>
  <c r="H221" i="19"/>
  <c r="G221" i="19"/>
  <c r="F221" i="19"/>
  <c r="E221" i="19"/>
  <c r="D221" i="19"/>
  <c r="C221" i="19"/>
  <c r="B221" i="19"/>
  <c r="M220" i="19"/>
  <c r="I220" i="19"/>
  <c r="H220" i="19"/>
  <c r="G220" i="19"/>
  <c r="F220" i="19"/>
  <c r="E220" i="19"/>
  <c r="K220" i="19" s="1"/>
  <c r="D220" i="19"/>
  <c r="C220" i="19"/>
  <c r="B220" i="19"/>
  <c r="M219" i="19"/>
  <c r="I219" i="19"/>
  <c r="H219" i="19"/>
  <c r="G219" i="19"/>
  <c r="F219" i="19"/>
  <c r="E219" i="19"/>
  <c r="D219" i="19"/>
  <c r="C219" i="19"/>
  <c r="B219" i="19"/>
  <c r="M218" i="19"/>
  <c r="I218" i="19"/>
  <c r="H218" i="19"/>
  <c r="G218" i="19"/>
  <c r="F218" i="19"/>
  <c r="E218" i="19"/>
  <c r="D218" i="19"/>
  <c r="C218" i="19"/>
  <c r="B218" i="19"/>
  <c r="M217" i="19"/>
  <c r="I217" i="19"/>
  <c r="H217" i="19"/>
  <c r="G217" i="19"/>
  <c r="F217" i="19"/>
  <c r="E217" i="19"/>
  <c r="D217" i="19"/>
  <c r="C217" i="19"/>
  <c r="B217" i="19"/>
  <c r="M216" i="19"/>
  <c r="I216" i="19"/>
  <c r="H216" i="19"/>
  <c r="G216" i="19"/>
  <c r="F216" i="19"/>
  <c r="E216" i="19"/>
  <c r="K216" i="19" s="1"/>
  <c r="D216" i="19"/>
  <c r="C216" i="19"/>
  <c r="B216" i="19"/>
  <c r="M215" i="19"/>
  <c r="I215" i="19"/>
  <c r="H215" i="19"/>
  <c r="G215" i="19"/>
  <c r="F215" i="19"/>
  <c r="E215" i="19"/>
  <c r="D215" i="19"/>
  <c r="C215" i="19"/>
  <c r="B215" i="19"/>
  <c r="M214" i="19"/>
  <c r="I214" i="19"/>
  <c r="H214" i="19"/>
  <c r="G214" i="19"/>
  <c r="F214" i="19"/>
  <c r="E214" i="19"/>
  <c r="D214" i="19"/>
  <c r="C214" i="19"/>
  <c r="B214" i="19"/>
  <c r="M213" i="19"/>
  <c r="I213" i="19"/>
  <c r="H213" i="19"/>
  <c r="F213" i="19"/>
  <c r="E213" i="19"/>
  <c r="D213" i="19"/>
  <c r="C213" i="19"/>
  <c r="B213" i="19"/>
  <c r="M212" i="19"/>
  <c r="I212" i="19"/>
  <c r="H212" i="19"/>
  <c r="G212" i="19"/>
  <c r="F212" i="19"/>
  <c r="E212" i="19"/>
  <c r="D212" i="19"/>
  <c r="J212" i="19" s="1"/>
  <c r="L212" i="19" s="1"/>
  <c r="C212" i="19"/>
  <c r="B212" i="19"/>
  <c r="M211" i="19"/>
  <c r="I211" i="19"/>
  <c r="H211" i="19"/>
  <c r="F211" i="19"/>
  <c r="E211" i="19"/>
  <c r="D211" i="19"/>
  <c r="C211" i="19"/>
  <c r="B211" i="19"/>
  <c r="M210" i="19"/>
  <c r="I210" i="19"/>
  <c r="H210" i="19"/>
  <c r="G210" i="19"/>
  <c r="F210" i="19"/>
  <c r="E210" i="19"/>
  <c r="D210" i="19"/>
  <c r="C210" i="19"/>
  <c r="B210" i="19"/>
  <c r="M209" i="19"/>
  <c r="I209" i="19"/>
  <c r="H209" i="19"/>
  <c r="G209" i="19"/>
  <c r="F209" i="19"/>
  <c r="E209" i="19"/>
  <c r="D209" i="19"/>
  <c r="C209" i="19"/>
  <c r="B209" i="19"/>
  <c r="M208" i="19"/>
  <c r="I208" i="19"/>
  <c r="H208" i="19"/>
  <c r="G208" i="19"/>
  <c r="F208" i="19"/>
  <c r="E208" i="19"/>
  <c r="D208" i="19"/>
  <c r="C208" i="19"/>
  <c r="B208" i="19"/>
  <c r="M207" i="19"/>
  <c r="I207" i="19"/>
  <c r="H207" i="19"/>
  <c r="G207" i="19"/>
  <c r="F207" i="19"/>
  <c r="E207" i="19"/>
  <c r="D207" i="19"/>
  <c r="C207" i="19"/>
  <c r="B207" i="19"/>
  <c r="M206" i="19"/>
  <c r="I206" i="19"/>
  <c r="H206" i="19"/>
  <c r="G206" i="19"/>
  <c r="F206" i="19"/>
  <c r="E206" i="19"/>
  <c r="D206" i="19"/>
  <c r="C206" i="19"/>
  <c r="B206" i="19"/>
  <c r="M205" i="19"/>
  <c r="I205" i="19"/>
  <c r="H205" i="19"/>
  <c r="G205" i="19"/>
  <c r="F205" i="19"/>
  <c r="E205" i="19"/>
  <c r="D205" i="19"/>
  <c r="C205" i="19"/>
  <c r="B205" i="19"/>
  <c r="M204" i="19"/>
  <c r="I204" i="19"/>
  <c r="H204" i="19"/>
  <c r="G204" i="19"/>
  <c r="F204" i="19"/>
  <c r="E204" i="19"/>
  <c r="D204" i="19"/>
  <c r="C204" i="19"/>
  <c r="B204" i="19"/>
  <c r="M203" i="19"/>
  <c r="I203" i="19"/>
  <c r="H203" i="19"/>
  <c r="G203" i="19"/>
  <c r="F203" i="19"/>
  <c r="E203" i="19"/>
  <c r="D203" i="19"/>
  <c r="C203" i="19"/>
  <c r="B203" i="19"/>
  <c r="M202" i="19"/>
  <c r="I202" i="19"/>
  <c r="H202" i="19"/>
  <c r="G202" i="19"/>
  <c r="F202" i="19"/>
  <c r="E202" i="19"/>
  <c r="D202" i="19"/>
  <c r="C202" i="19"/>
  <c r="B202" i="19"/>
  <c r="M201" i="19"/>
  <c r="I201" i="19"/>
  <c r="H201" i="19"/>
  <c r="G201" i="19"/>
  <c r="F201" i="19"/>
  <c r="E201" i="19"/>
  <c r="D201" i="19"/>
  <c r="C201" i="19"/>
  <c r="B201" i="19"/>
  <c r="M200" i="19"/>
  <c r="H200" i="19"/>
  <c r="G200" i="19"/>
  <c r="F200" i="19"/>
  <c r="E200" i="19"/>
  <c r="D200" i="19"/>
  <c r="C200" i="19"/>
  <c r="B200" i="19"/>
  <c r="M199" i="19"/>
  <c r="I199" i="19"/>
  <c r="H199" i="19"/>
  <c r="G199" i="19"/>
  <c r="F199" i="19"/>
  <c r="E199" i="19"/>
  <c r="D199" i="19"/>
  <c r="C199" i="19"/>
  <c r="B199" i="19"/>
  <c r="M198" i="19"/>
  <c r="H198" i="19"/>
  <c r="G198" i="19"/>
  <c r="F198" i="19"/>
  <c r="E198" i="19"/>
  <c r="D198" i="19"/>
  <c r="C198" i="19"/>
  <c r="B198" i="19"/>
  <c r="M197" i="19"/>
  <c r="H197" i="19"/>
  <c r="G197" i="19"/>
  <c r="F197" i="19"/>
  <c r="E197" i="19"/>
  <c r="D197" i="19"/>
  <c r="C197" i="19"/>
  <c r="B197" i="19"/>
  <c r="M196" i="19"/>
  <c r="I196" i="19"/>
  <c r="H196" i="19"/>
  <c r="G196" i="19"/>
  <c r="F196" i="19"/>
  <c r="E196" i="19"/>
  <c r="D196" i="19"/>
  <c r="C196" i="19"/>
  <c r="B196" i="19"/>
  <c r="M195" i="19"/>
  <c r="I195" i="19"/>
  <c r="H195" i="19"/>
  <c r="G195" i="19"/>
  <c r="F195" i="19"/>
  <c r="E195" i="19"/>
  <c r="D195" i="19"/>
  <c r="C195" i="19"/>
  <c r="B195" i="19"/>
  <c r="M194" i="19"/>
  <c r="I194" i="19"/>
  <c r="H194" i="19"/>
  <c r="G194" i="19"/>
  <c r="F194" i="19"/>
  <c r="E194" i="19"/>
  <c r="D194" i="19"/>
  <c r="C194" i="19"/>
  <c r="B194" i="19"/>
  <c r="M193" i="19"/>
  <c r="I193" i="19"/>
  <c r="H193" i="19"/>
  <c r="G193" i="19"/>
  <c r="F193" i="19"/>
  <c r="E193" i="19"/>
  <c r="D193" i="19"/>
  <c r="C193" i="19"/>
  <c r="B193" i="19"/>
  <c r="M192" i="19"/>
  <c r="I192" i="19"/>
  <c r="H192" i="19"/>
  <c r="G192" i="19"/>
  <c r="F192" i="19"/>
  <c r="E192" i="19"/>
  <c r="D192" i="19"/>
  <c r="C192" i="19"/>
  <c r="B192" i="19"/>
  <c r="M191" i="19"/>
  <c r="I191" i="19"/>
  <c r="H191" i="19"/>
  <c r="G191" i="19"/>
  <c r="F191" i="19"/>
  <c r="E191" i="19"/>
  <c r="D191" i="19"/>
  <c r="C191" i="19"/>
  <c r="B191" i="19"/>
  <c r="M190" i="19"/>
  <c r="I190" i="19"/>
  <c r="H190" i="19"/>
  <c r="G190" i="19"/>
  <c r="F190" i="19"/>
  <c r="E190" i="19"/>
  <c r="D190" i="19"/>
  <c r="C190" i="19"/>
  <c r="B190" i="19"/>
  <c r="M189" i="19"/>
  <c r="I189" i="19"/>
  <c r="H189" i="19"/>
  <c r="G189" i="19"/>
  <c r="F189" i="19"/>
  <c r="E189" i="19"/>
  <c r="D189" i="19"/>
  <c r="C189" i="19"/>
  <c r="B189" i="19"/>
  <c r="M188" i="19"/>
  <c r="I188" i="19"/>
  <c r="H188" i="19"/>
  <c r="G188" i="19"/>
  <c r="F188" i="19"/>
  <c r="E188" i="19"/>
  <c r="D188" i="19"/>
  <c r="C188" i="19"/>
  <c r="B188" i="19"/>
  <c r="M187" i="19"/>
  <c r="I187" i="19"/>
  <c r="H187" i="19"/>
  <c r="G187" i="19"/>
  <c r="F187" i="19"/>
  <c r="E187" i="19"/>
  <c r="D187" i="19"/>
  <c r="C187" i="19"/>
  <c r="B187" i="19"/>
  <c r="M186" i="19"/>
  <c r="I186" i="19"/>
  <c r="H186" i="19"/>
  <c r="G186" i="19"/>
  <c r="F186" i="19"/>
  <c r="E186" i="19"/>
  <c r="D186" i="19"/>
  <c r="C186" i="19"/>
  <c r="B186" i="19"/>
  <c r="M185" i="19"/>
  <c r="I185" i="19"/>
  <c r="H185" i="19"/>
  <c r="G185" i="19"/>
  <c r="F185" i="19"/>
  <c r="E185" i="19"/>
  <c r="D185" i="19"/>
  <c r="C185" i="19"/>
  <c r="B185" i="19"/>
  <c r="M184" i="19"/>
  <c r="I184" i="19"/>
  <c r="H184" i="19"/>
  <c r="G184" i="19"/>
  <c r="F184" i="19"/>
  <c r="E184" i="19"/>
  <c r="D184" i="19"/>
  <c r="C184" i="19"/>
  <c r="B184" i="19"/>
  <c r="M183" i="19"/>
  <c r="I183" i="19"/>
  <c r="H183" i="19"/>
  <c r="G183" i="19"/>
  <c r="F183" i="19"/>
  <c r="E183" i="19"/>
  <c r="D183" i="19"/>
  <c r="C183" i="19"/>
  <c r="B183" i="19"/>
  <c r="M182" i="19"/>
  <c r="I182" i="19"/>
  <c r="H182" i="19"/>
  <c r="G182" i="19"/>
  <c r="F182" i="19"/>
  <c r="E182" i="19"/>
  <c r="D182" i="19"/>
  <c r="C182" i="19"/>
  <c r="B182" i="19"/>
  <c r="M181" i="19"/>
  <c r="I181" i="19"/>
  <c r="H181" i="19"/>
  <c r="G181" i="19"/>
  <c r="F181" i="19"/>
  <c r="E181" i="19"/>
  <c r="D181" i="19"/>
  <c r="C181" i="19"/>
  <c r="B181" i="19"/>
  <c r="M180" i="19"/>
  <c r="I180" i="19"/>
  <c r="H180" i="19"/>
  <c r="G180" i="19"/>
  <c r="F180" i="19"/>
  <c r="E180" i="19"/>
  <c r="D180" i="19"/>
  <c r="C180" i="19"/>
  <c r="B180" i="19"/>
  <c r="M179" i="19"/>
  <c r="I179" i="19"/>
  <c r="H179" i="19"/>
  <c r="G179" i="19"/>
  <c r="F179" i="19"/>
  <c r="E179" i="19"/>
  <c r="D179" i="19"/>
  <c r="C179" i="19"/>
  <c r="B179" i="19"/>
  <c r="M178" i="19"/>
  <c r="I178" i="19"/>
  <c r="H178" i="19"/>
  <c r="G178" i="19"/>
  <c r="F178" i="19"/>
  <c r="E178" i="19"/>
  <c r="D178" i="19"/>
  <c r="C178" i="19"/>
  <c r="B178" i="19"/>
  <c r="M177" i="19"/>
  <c r="I177" i="19"/>
  <c r="H177" i="19"/>
  <c r="G177" i="19"/>
  <c r="F177" i="19"/>
  <c r="E177" i="19"/>
  <c r="D177" i="19"/>
  <c r="C177" i="19"/>
  <c r="B177" i="19"/>
  <c r="M176" i="19"/>
  <c r="I176" i="19"/>
  <c r="H176" i="19"/>
  <c r="G176" i="19"/>
  <c r="F176" i="19"/>
  <c r="E176" i="19"/>
  <c r="D176" i="19"/>
  <c r="C176" i="19"/>
  <c r="B176" i="19"/>
  <c r="M175" i="19"/>
  <c r="I175" i="19"/>
  <c r="H175" i="19"/>
  <c r="G175" i="19"/>
  <c r="F175" i="19"/>
  <c r="E175" i="19"/>
  <c r="D175" i="19"/>
  <c r="C175" i="19"/>
  <c r="B175" i="19"/>
  <c r="M174" i="19"/>
  <c r="I174" i="19"/>
  <c r="H174" i="19"/>
  <c r="G174" i="19"/>
  <c r="F174" i="19"/>
  <c r="E174" i="19"/>
  <c r="D174" i="19"/>
  <c r="C174" i="19"/>
  <c r="B174" i="19"/>
  <c r="M173" i="19"/>
  <c r="I173" i="19"/>
  <c r="H173" i="19"/>
  <c r="G173" i="19"/>
  <c r="F173" i="19"/>
  <c r="E173" i="19"/>
  <c r="D173" i="19"/>
  <c r="C173" i="19"/>
  <c r="B173" i="19"/>
  <c r="M172" i="19"/>
  <c r="I172" i="19"/>
  <c r="H172" i="19"/>
  <c r="G172" i="19"/>
  <c r="F172" i="19"/>
  <c r="E172" i="19"/>
  <c r="D172" i="19"/>
  <c r="C172" i="19"/>
  <c r="B172" i="19"/>
  <c r="M171" i="19"/>
  <c r="I171" i="19"/>
  <c r="H171" i="19"/>
  <c r="G171" i="19"/>
  <c r="F171" i="19"/>
  <c r="E171" i="19"/>
  <c r="D171" i="19"/>
  <c r="C171" i="19"/>
  <c r="B171" i="19"/>
  <c r="M170" i="19"/>
  <c r="I170" i="19"/>
  <c r="H170" i="19"/>
  <c r="G170" i="19"/>
  <c r="F170" i="19"/>
  <c r="E170" i="19"/>
  <c r="D170" i="19"/>
  <c r="C170" i="19"/>
  <c r="B170" i="19"/>
  <c r="M169" i="19"/>
  <c r="I169" i="19"/>
  <c r="H169" i="19"/>
  <c r="G169" i="19"/>
  <c r="F169" i="19"/>
  <c r="E169" i="19"/>
  <c r="D169" i="19"/>
  <c r="C169" i="19"/>
  <c r="B169" i="19"/>
  <c r="M168" i="19"/>
  <c r="I168" i="19"/>
  <c r="H168" i="19"/>
  <c r="G168" i="19"/>
  <c r="F168" i="19"/>
  <c r="E168" i="19"/>
  <c r="D168" i="19"/>
  <c r="C168" i="19"/>
  <c r="B168" i="19"/>
  <c r="M167" i="19"/>
  <c r="I167" i="19"/>
  <c r="H167" i="19"/>
  <c r="G167" i="19"/>
  <c r="F167" i="19"/>
  <c r="E167" i="19"/>
  <c r="D167" i="19"/>
  <c r="C167" i="19"/>
  <c r="B167" i="19"/>
  <c r="M166" i="19"/>
  <c r="I166" i="19"/>
  <c r="H166" i="19"/>
  <c r="G166" i="19"/>
  <c r="F166" i="19"/>
  <c r="E166" i="19"/>
  <c r="D166" i="19"/>
  <c r="C166" i="19"/>
  <c r="B166" i="19"/>
  <c r="M165" i="19"/>
  <c r="I165" i="19"/>
  <c r="H165" i="19"/>
  <c r="G165" i="19"/>
  <c r="F165" i="19"/>
  <c r="E165" i="19"/>
  <c r="D165" i="19"/>
  <c r="C165" i="19"/>
  <c r="B165" i="19"/>
  <c r="M164" i="19"/>
  <c r="I164" i="19"/>
  <c r="H164" i="19"/>
  <c r="G164" i="19"/>
  <c r="F164" i="19"/>
  <c r="E164" i="19"/>
  <c r="D164" i="19"/>
  <c r="C164" i="19"/>
  <c r="B164" i="19"/>
  <c r="M163" i="19"/>
  <c r="I163" i="19"/>
  <c r="H163" i="19"/>
  <c r="G163" i="19"/>
  <c r="F163" i="19"/>
  <c r="E163" i="19"/>
  <c r="D163" i="19"/>
  <c r="C163" i="19"/>
  <c r="B163" i="19"/>
  <c r="M162" i="19"/>
  <c r="I162" i="19"/>
  <c r="H162" i="19"/>
  <c r="G162" i="19"/>
  <c r="F162" i="19"/>
  <c r="E162" i="19"/>
  <c r="D162" i="19"/>
  <c r="C162" i="19"/>
  <c r="B162" i="19"/>
  <c r="M161" i="19"/>
  <c r="I161" i="19"/>
  <c r="H161" i="19"/>
  <c r="G161" i="19"/>
  <c r="F161" i="19"/>
  <c r="E161" i="19"/>
  <c r="D161" i="19"/>
  <c r="C161" i="19"/>
  <c r="B161" i="19"/>
  <c r="M160" i="19"/>
  <c r="I160" i="19"/>
  <c r="H160" i="19"/>
  <c r="G160" i="19"/>
  <c r="F160" i="19"/>
  <c r="E160" i="19"/>
  <c r="D160" i="19"/>
  <c r="C160" i="19"/>
  <c r="B160" i="19"/>
  <c r="M159" i="19"/>
  <c r="I159" i="19"/>
  <c r="H159" i="19"/>
  <c r="G159" i="19"/>
  <c r="F159" i="19"/>
  <c r="E159" i="19"/>
  <c r="D159" i="19"/>
  <c r="C159" i="19"/>
  <c r="B159" i="19"/>
  <c r="M158" i="19"/>
  <c r="I158" i="19"/>
  <c r="H158" i="19"/>
  <c r="G158" i="19"/>
  <c r="F158" i="19"/>
  <c r="E158" i="19"/>
  <c r="D158" i="19"/>
  <c r="C158" i="19"/>
  <c r="B158" i="19"/>
  <c r="M157" i="19"/>
  <c r="I157" i="19"/>
  <c r="H157" i="19"/>
  <c r="G157" i="19"/>
  <c r="F157" i="19"/>
  <c r="E157" i="19"/>
  <c r="D157" i="19"/>
  <c r="C157" i="19"/>
  <c r="B157" i="19"/>
  <c r="M156" i="19"/>
  <c r="I156" i="19"/>
  <c r="H156" i="19"/>
  <c r="G156" i="19"/>
  <c r="F156" i="19"/>
  <c r="E156" i="19"/>
  <c r="D156" i="19"/>
  <c r="C156" i="19"/>
  <c r="B156" i="19"/>
  <c r="M155" i="19"/>
  <c r="I155" i="19"/>
  <c r="H155" i="19"/>
  <c r="G155" i="19"/>
  <c r="F155" i="19"/>
  <c r="E155" i="19"/>
  <c r="D155" i="19"/>
  <c r="C155" i="19"/>
  <c r="B155" i="19"/>
  <c r="M154" i="19"/>
  <c r="I154" i="19"/>
  <c r="H154" i="19"/>
  <c r="G154" i="19"/>
  <c r="F154" i="19"/>
  <c r="E154" i="19"/>
  <c r="D154" i="19"/>
  <c r="C154" i="19"/>
  <c r="B154" i="19"/>
  <c r="M153" i="19"/>
  <c r="I153" i="19"/>
  <c r="H153" i="19"/>
  <c r="G153" i="19"/>
  <c r="F153" i="19"/>
  <c r="E153" i="19"/>
  <c r="D153" i="19"/>
  <c r="C153" i="19"/>
  <c r="B153" i="19"/>
  <c r="M152" i="19"/>
  <c r="I152" i="19"/>
  <c r="H152" i="19"/>
  <c r="G152" i="19"/>
  <c r="F152" i="19"/>
  <c r="E152" i="19"/>
  <c r="D152" i="19"/>
  <c r="C152" i="19"/>
  <c r="B152" i="19"/>
  <c r="M151" i="19"/>
  <c r="I151" i="19"/>
  <c r="H151" i="19"/>
  <c r="G151" i="19"/>
  <c r="F151" i="19"/>
  <c r="E151" i="19"/>
  <c r="D151" i="19"/>
  <c r="C151" i="19"/>
  <c r="B151" i="19"/>
  <c r="M150" i="19"/>
  <c r="I150" i="19"/>
  <c r="H150" i="19"/>
  <c r="G150" i="19"/>
  <c r="F150" i="19"/>
  <c r="E150" i="19"/>
  <c r="D150" i="19"/>
  <c r="C150" i="19"/>
  <c r="B150" i="19"/>
  <c r="M149" i="19"/>
  <c r="I149" i="19"/>
  <c r="H149" i="19"/>
  <c r="G149" i="19"/>
  <c r="F149" i="19"/>
  <c r="E149" i="19"/>
  <c r="D149" i="19"/>
  <c r="C149" i="19"/>
  <c r="B149" i="19"/>
  <c r="M148" i="19"/>
  <c r="I148" i="19"/>
  <c r="H148" i="19"/>
  <c r="G148" i="19"/>
  <c r="F148" i="19"/>
  <c r="E148" i="19"/>
  <c r="D148" i="19"/>
  <c r="C148" i="19"/>
  <c r="B148" i="19"/>
  <c r="M147" i="19"/>
  <c r="I147" i="19"/>
  <c r="H147" i="19"/>
  <c r="G147" i="19"/>
  <c r="F147" i="19"/>
  <c r="E147" i="19"/>
  <c r="D147" i="19"/>
  <c r="C147" i="19"/>
  <c r="B147" i="19"/>
  <c r="M146" i="19"/>
  <c r="I146" i="19"/>
  <c r="H146" i="19"/>
  <c r="G146" i="19"/>
  <c r="F146" i="19"/>
  <c r="E146" i="19"/>
  <c r="D146" i="19"/>
  <c r="C146" i="19"/>
  <c r="B146" i="19"/>
  <c r="M145" i="19"/>
  <c r="I145" i="19"/>
  <c r="H145" i="19"/>
  <c r="G145" i="19"/>
  <c r="F145" i="19"/>
  <c r="E145" i="19"/>
  <c r="D145" i="19"/>
  <c r="C145" i="19"/>
  <c r="B145" i="19"/>
  <c r="M144" i="19"/>
  <c r="I144" i="19"/>
  <c r="H144" i="19"/>
  <c r="G144" i="19"/>
  <c r="F144" i="19"/>
  <c r="E144" i="19"/>
  <c r="D144" i="19"/>
  <c r="C144" i="19"/>
  <c r="B144" i="19"/>
  <c r="M143" i="19"/>
  <c r="I143" i="19"/>
  <c r="H143" i="19"/>
  <c r="G143" i="19"/>
  <c r="F143" i="19"/>
  <c r="E143" i="19"/>
  <c r="D143" i="19"/>
  <c r="C143" i="19"/>
  <c r="B143" i="19"/>
  <c r="M142" i="19"/>
  <c r="I142" i="19"/>
  <c r="H142" i="19"/>
  <c r="G142" i="19"/>
  <c r="F142" i="19"/>
  <c r="E142" i="19"/>
  <c r="D142" i="19"/>
  <c r="C142" i="19"/>
  <c r="B142" i="19"/>
  <c r="M141" i="19"/>
  <c r="I141" i="19"/>
  <c r="H141" i="19"/>
  <c r="G141" i="19"/>
  <c r="F141" i="19"/>
  <c r="E141" i="19"/>
  <c r="D141" i="19"/>
  <c r="C141" i="19"/>
  <c r="B141" i="19"/>
  <c r="M140" i="19"/>
  <c r="I140" i="19"/>
  <c r="H140" i="19"/>
  <c r="G140" i="19"/>
  <c r="F140" i="19"/>
  <c r="E140" i="19"/>
  <c r="D140" i="19"/>
  <c r="C140" i="19"/>
  <c r="B140" i="19"/>
  <c r="M139" i="19"/>
  <c r="I139" i="19"/>
  <c r="H139" i="19"/>
  <c r="G139" i="19"/>
  <c r="F139" i="19"/>
  <c r="E139" i="19"/>
  <c r="D139" i="19"/>
  <c r="C139" i="19"/>
  <c r="B139" i="19"/>
  <c r="M138" i="19"/>
  <c r="I138" i="19"/>
  <c r="H138" i="19"/>
  <c r="G138" i="19"/>
  <c r="F138" i="19"/>
  <c r="E138" i="19"/>
  <c r="D138" i="19"/>
  <c r="C138" i="19"/>
  <c r="B138" i="19"/>
  <c r="M137" i="19"/>
  <c r="I137" i="19"/>
  <c r="H137" i="19"/>
  <c r="G137" i="19"/>
  <c r="F137" i="19"/>
  <c r="E137" i="19"/>
  <c r="D137" i="19"/>
  <c r="C137" i="19"/>
  <c r="B137" i="19"/>
  <c r="M136" i="19"/>
  <c r="I136" i="19"/>
  <c r="H136" i="19"/>
  <c r="G136" i="19"/>
  <c r="F136" i="19"/>
  <c r="E136" i="19"/>
  <c r="D136" i="19"/>
  <c r="C136" i="19"/>
  <c r="B136" i="19"/>
  <c r="M135" i="19"/>
  <c r="I135" i="19"/>
  <c r="H135" i="19"/>
  <c r="G135" i="19"/>
  <c r="F135" i="19"/>
  <c r="E135" i="19"/>
  <c r="D135" i="19"/>
  <c r="C135" i="19"/>
  <c r="B135" i="19"/>
  <c r="M134" i="19"/>
  <c r="I134" i="19"/>
  <c r="H134" i="19"/>
  <c r="G134" i="19"/>
  <c r="F134" i="19"/>
  <c r="E134" i="19"/>
  <c r="D134" i="19"/>
  <c r="C134" i="19"/>
  <c r="B134" i="19"/>
  <c r="M133" i="19"/>
  <c r="I133" i="19"/>
  <c r="H133" i="19"/>
  <c r="G133" i="19"/>
  <c r="F133" i="19"/>
  <c r="E133" i="19"/>
  <c r="D133" i="19"/>
  <c r="C133" i="19"/>
  <c r="B133" i="19"/>
  <c r="M132" i="19"/>
  <c r="I132" i="19"/>
  <c r="H132" i="19"/>
  <c r="G132" i="19"/>
  <c r="F132" i="19"/>
  <c r="E132" i="19"/>
  <c r="D132" i="19"/>
  <c r="C132" i="19"/>
  <c r="B132" i="19"/>
  <c r="M131" i="19"/>
  <c r="I131" i="19"/>
  <c r="H131" i="19"/>
  <c r="G131" i="19"/>
  <c r="F131" i="19"/>
  <c r="E131" i="19"/>
  <c r="D131" i="19"/>
  <c r="C131" i="19"/>
  <c r="B131" i="19"/>
  <c r="M130" i="19"/>
  <c r="I130" i="19"/>
  <c r="H130" i="19"/>
  <c r="G130" i="19"/>
  <c r="F130" i="19"/>
  <c r="E130" i="19"/>
  <c r="D130" i="19"/>
  <c r="C130" i="19"/>
  <c r="B130" i="19"/>
  <c r="M129" i="19"/>
  <c r="I129" i="19"/>
  <c r="H129" i="19"/>
  <c r="G129" i="19"/>
  <c r="F129" i="19"/>
  <c r="E129" i="19"/>
  <c r="D129" i="19"/>
  <c r="C129" i="19"/>
  <c r="B129" i="19"/>
  <c r="M128" i="19"/>
  <c r="I128" i="19"/>
  <c r="H128" i="19"/>
  <c r="G128" i="19"/>
  <c r="F128" i="19"/>
  <c r="E128" i="19"/>
  <c r="D128" i="19"/>
  <c r="C128" i="19"/>
  <c r="B128" i="19"/>
  <c r="M127" i="19"/>
  <c r="I127" i="19"/>
  <c r="H127" i="19"/>
  <c r="G127" i="19"/>
  <c r="F127" i="19"/>
  <c r="E127" i="19"/>
  <c r="D127" i="19"/>
  <c r="C127" i="19"/>
  <c r="B127" i="19"/>
  <c r="M126" i="19"/>
  <c r="I126" i="19"/>
  <c r="H126" i="19"/>
  <c r="G126" i="19"/>
  <c r="F126" i="19"/>
  <c r="E126" i="19"/>
  <c r="D126" i="19"/>
  <c r="C126" i="19"/>
  <c r="B126" i="19"/>
  <c r="M125" i="19"/>
  <c r="I125" i="19"/>
  <c r="H125" i="19"/>
  <c r="G125" i="19"/>
  <c r="F125" i="19"/>
  <c r="E125" i="19"/>
  <c r="D125" i="19"/>
  <c r="C125" i="19"/>
  <c r="B125" i="19"/>
  <c r="M124" i="19"/>
  <c r="I124" i="19"/>
  <c r="H124" i="19"/>
  <c r="G124" i="19"/>
  <c r="F124" i="19"/>
  <c r="E124" i="19"/>
  <c r="D124" i="19"/>
  <c r="C124" i="19"/>
  <c r="B124" i="19"/>
  <c r="M123" i="19"/>
  <c r="H123" i="19"/>
  <c r="G123" i="19"/>
  <c r="F123" i="19"/>
  <c r="E123" i="19"/>
  <c r="D123" i="19"/>
  <c r="C123" i="19"/>
  <c r="B123" i="19"/>
  <c r="M122" i="19"/>
  <c r="I122" i="19"/>
  <c r="H122" i="19"/>
  <c r="G122" i="19"/>
  <c r="F122" i="19"/>
  <c r="E122" i="19"/>
  <c r="K122" i="19" s="1"/>
  <c r="D122" i="19"/>
  <c r="C122" i="19"/>
  <c r="B122" i="19"/>
  <c r="M121" i="19"/>
  <c r="H121" i="19"/>
  <c r="G121" i="19"/>
  <c r="F121" i="19"/>
  <c r="E121" i="19"/>
  <c r="D121" i="19"/>
  <c r="C121" i="19"/>
  <c r="B121" i="19"/>
  <c r="M120" i="19"/>
  <c r="H120" i="19"/>
  <c r="G120" i="19"/>
  <c r="F120" i="19"/>
  <c r="E120" i="19"/>
  <c r="D120" i="19"/>
  <c r="C120" i="19"/>
  <c r="B120" i="19"/>
  <c r="M119" i="19"/>
  <c r="I119" i="19"/>
  <c r="H119" i="19"/>
  <c r="G119" i="19"/>
  <c r="F119" i="19"/>
  <c r="E119" i="19"/>
  <c r="D119" i="19"/>
  <c r="C119" i="19"/>
  <c r="B119" i="19"/>
  <c r="M118" i="19"/>
  <c r="I118" i="19"/>
  <c r="H118" i="19"/>
  <c r="G118" i="19"/>
  <c r="F118" i="19"/>
  <c r="E118" i="19"/>
  <c r="D118" i="19"/>
  <c r="C118" i="19"/>
  <c r="B118" i="19"/>
  <c r="M117" i="19"/>
  <c r="I117" i="19"/>
  <c r="H117" i="19"/>
  <c r="G117" i="19"/>
  <c r="F117" i="19"/>
  <c r="E117" i="19"/>
  <c r="D117" i="19"/>
  <c r="C117" i="19"/>
  <c r="B117" i="19"/>
  <c r="M116" i="19"/>
  <c r="I116" i="19"/>
  <c r="H116" i="19"/>
  <c r="G116" i="19"/>
  <c r="F116" i="19"/>
  <c r="E116" i="19"/>
  <c r="D116" i="19"/>
  <c r="C116" i="19"/>
  <c r="B116" i="19"/>
  <c r="M115" i="19"/>
  <c r="I115" i="19"/>
  <c r="H115" i="19"/>
  <c r="G115" i="19"/>
  <c r="F115" i="19"/>
  <c r="E115" i="19"/>
  <c r="D115" i="19"/>
  <c r="C115" i="19"/>
  <c r="B115" i="19"/>
  <c r="M114" i="19"/>
  <c r="I114" i="19"/>
  <c r="H114" i="19"/>
  <c r="G114" i="19"/>
  <c r="F114" i="19"/>
  <c r="E114" i="19"/>
  <c r="D114" i="19"/>
  <c r="C114" i="19"/>
  <c r="B114" i="19"/>
  <c r="M113" i="19"/>
  <c r="I113" i="19"/>
  <c r="H113" i="19"/>
  <c r="F113" i="19"/>
  <c r="E113" i="19"/>
  <c r="D113" i="19"/>
  <c r="C113" i="19"/>
  <c r="B113" i="19"/>
  <c r="M112" i="19"/>
  <c r="I112" i="19"/>
  <c r="H112" i="19"/>
  <c r="F112" i="19"/>
  <c r="E112" i="19"/>
  <c r="D112" i="19"/>
  <c r="C112" i="19"/>
  <c r="B112" i="19"/>
  <c r="M111" i="19"/>
  <c r="I111" i="19"/>
  <c r="H111" i="19"/>
  <c r="G111" i="19"/>
  <c r="F111" i="19"/>
  <c r="E111" i="19"/>
  <c r="D111" i="19"/>
  <c r="J111" i="19" s="1"/>
  <c r="L111" i="19" s="1"/>
  <c r="C111" i="19"/>
  <c r="B111" i="19"/>
  <c r="M110" i="19"/>
  <c r="I110" i="19"/>
  <c r="H110" i="19"/>
  <c r="G110" i="19"/>
  <c r="F110" i="19"/>
  <c r="E110" i="19"/>
  <c r="D110" i="19"/>
  <c r="C110" i="19"/>
  <c r="B110" i="19"/>
  <c r="M109" i="19"/>
  <c r="I109" i="19"/>
  <c r="H109" i="19"/>
  <c r="G109" i="19"/>
  <c r="F109" i="19"/>
  <c r="E109" i="19"/>
  <c r="D109" i="19"/>
  <c r="C109" i="19"/>
  <c r="B109" i="19"/>
  <c r="M108" i="19"/>
  <c r="I108" i="19"/>
  <c r="H108" i="19"/>
  <c r="G108" i="19"/>
  <c r="F108" i="19"/>
  <c r="E108" i="19"/>
  <c r="D108" i="19"/>
  <c r="C108" i="19"/>
  <c r="B108" i="19"/>
  <c r="M107" i="19"/>
  <c r="I107" i="19"/>
  <c r="H107" i="19"/>
  <c r="G107" i="19"/>
  <c r="F107" i="19"/>
  <c r="E107" i="19"/>
  <c r="D107" i="19"/>
  <c r="J107" i="19" s="1"/>
  <c r="L107" i="19" s="1"/>
  <c r="C107" i="19"/>
  <c r="B107" i="19"/>
  <c r="M106" i="19"/>
  <c r="I106" i="19"/>
  <c r="H106" i="19"/>
  <c r="G106" i="19"/>
  <c r="F106" i="19"/>
  <c r="E106" i="19"/>
  <c r="D106" i="19"/>
  <c r="C106" i="19"/>
  <c r="B106" i="19"/>
  <c r="M105" i="19"/>
  <c r="I105" i="19"/>
  <c r="H105" i="19"/>
  <c r="G105" i="19"/>
  <c r="F105" i="19"/>
  <c r="E105" i="19"/>
  <c r="D105" i="19"/>
  <c r="C105" i="19"/>
  <c r="B105" i="19"/>
  <c r="M104" i="19"/>
  <c r="I104" i="19"/>
  <c r="H104" i="19"/>
  <c r="G104" i="19"/>
  <c r="F104" i="19"/>
  <c r="E104" i="19"/>
  <c r="D104" i="19"/>
  <c r="C104" i="19"/>
  <c r="B104" i="19"/>
  <c r="M103" i="19"/>
  <c r="I103" i="19"/>
  <c r="H103" i="19"/>
  <c r="G103" i="19"/>
  <c r="F103" i="19"/>
  <c r="E103" i="19"/>
  <c r="D103" i="19"/>
  <c r="J103" i="19" s="1"/>
  <c r="L103" i="19" s="1"/>
  <c r="C103" i="19"/>
  <c r="B103" i="19"/>
  <c r="M102" i="19"/>
  <c r="I102" i="19"/>
  <c r="H102" i="19"/>
  <c r="G102" i="19"/>
  <c r="F102" i="19"/>
  <c r="E102" i="19"/>
  <c r="D102" i="19"/>
  <c r="C102" i="19"/>
  <c r="B102" i="19"/>
  <c r="M101" i="19"/>
  <c r="I101" i="19"/>
  <c r="H101" i="19"/>
  <c r="G101" i="19"/>
  <c r="F101" i="19"/>
  <c r="E101" i="19"/>
  <c r="D101" i="19"/>
  <c r="C101" i="19"/>
  <c r="B101" i="19"/>
  <c r="M100" i="19"/>
  <c r="I100" i="19"/>
  <c r="H100" i="19"/>
  <c r="G100" i="19"/>
  <c r="F100" i="19"/>
  <c r="E100" i="19"/>
  <c r="D100" i="19"/>
  <c r="C100" i="19"/>
  <c r="B100" i="19"/>
  <c r="M99" i="19"/>
  <c r="I99" i="19"/>
  <c r="H99" i="19"/>
  <c r="G99" i="19"/>
  <c r="F99" i="19"/>
  <c r="E99" i="19"/>
  <c r="D99" i="19"/>
  <c r="J99" i="19" s="1"/>
  <c r="L99" i="19" s="1"/>
  <c r="C99" i="19"/>
  <c r="B99" i="19"/>
  <c r="M98" i="19"/>
  <c r="I98" i="19"/>
  <c r="H98" i="19"/>
  <c r="G98" i="19"/>
  <c r="F98" i="19"/>
  <c r="E98" i="19"/>
  <c r="D98" i="19"/>
  <c r="C98" i="19"/>
  <c r="B98" i="19"/>
  <c r="M97" i="19"/>
  <c r="I97" i="19"/>
  <c r="H97" i="19"/>
  <c r="G97" i="19"/>
  <c r="F97" i="19"/>
  <c r="E97" i="19"/>
  <c r="D97" i="19"/>
  <c r="C97" i="19"/>
  <c r="B97" i="19"/>
  <c r="M96" i="19"/>
  <c r="I96" i="19"/>
  <c r="H96" i="19"/>
  <c r="G96" i="19"/>
  <c r="F96" i="19"/>
  <c r="E96" i="19"/>
  <c r="D96" i="19"/>
  <c r="C96" i="19"/>
  <c r="B96" i="19"/>
  <c r="M95" i="19"/>
  <c r="I95" i="19"/>
  <c r="H95" i="19"/>
  <c r="G95" i="19"/>
  <c r="F95" i="19"/>
  <c r="E95" i="19"/>
  <c r="D95" i="19"/>
  <c r="J95" i="19" s="1"/>
  <c r="L95" i="19" s="1"/>
  <c r="C95" i="19"/>
  <c r="B95" i="19"/>
  <c r="M94" i="19"/>
  <c r="I94" i="19"/>
  <c r="H94" i="19"/>
  <c r="G94" i="19"/>
  <c r="F94" i="19"/>
  <c r="E94" i="19"/>
  <c r="D94" i="19"/>
  <c r="C94" i="19"/>
  <c r="B94" i="19"/>
  <c r="M93" i="19"/>
  <c r="I93" i="19"/>
  <c r="H93" i="19"/>
  <c r="G93" i="19"/>
  <c r="F93" i="19"/>
  <c r="E93" i="19"/>
  <c r="D93" i="19"/>
  <c r="C93" i="19"/>
  <c r="B93" i="19"/>
  <c r="M92" i="19"/>
  <c r="I92" i="19"/>
  <c r="H92" i="19"/>
  <c r="G92" i="19"/>
  <c r="F92" i="19"/>
  <c r="E92" i="19"/>
  <c r="D92" i="19"/>
  <c r="C92" i="19"/>
  <c r="B92" i="19"/>
  <c r="M91" i="19"/>
  <c r="I91" i="19"/>
  <c r="H91" i="19"/>
  <c r="G91" i="19"/>
  <c r="F91" i="19"/>
  <c r="E91" i="19"/>
  <c r="D91" i="19"/>
  <c r="J91" i="19" s="1"/>
  <c r="L91" i="19" s="1"/>
  <c r="C91" i="19"/>
  <c r="B91" i="19"/>
  <c r="M90" i="19"/>
  <c r="I90" i="19"/>
  <c r="H90" i="19"/>
  <c r="G90" i="19"/>
  <c r="F90" i="19"/>
  <c r="E90" i="19"/>
  <c r="D90" i="19"/>
  <c r="C90" i="19"/>
  <c r="B90" i="19"/>
  <c r="M89" i="19"/>
  <c r="I89" i="19"/>
  <c r="H89" i="19"/>
  <c r="G89" i="19"/>
  <c r="F89" i="19"/>
  <c r="E89" i="19"/>
  <c r="D89" i="19"/>
  <c r="C89" i="19"/>
  <c r="B89" i="19"/>
  <c r="M88" i="19"/>
  <c r="I88" i="19"/>
  <c r="H88" i="19"/>
  <c r="G88" i="19"/>
  <c r="F88" i="19"/>
  <c r="E88" i="19"/>
  <c r="D88" i="19"/>
  <c r="C88" i="19"/>
  <c r="B88" i="19"/>
  <c r="M87" i="19"/>
  <c r="I87" i="19"/>
  <c r="H87" i="19"/>
  <c r="G87" i="19"/>
  <c r="F87" i="19"/>
  <c r="E87" i="19"/>
  <c r="D87" i="19"/>
  <c r="J87" i="19" s="1"/>
  <c r="L87" i="19" s="1"/>
  <c r="C87" i="19"/>
  <c r="B87" i="19"/>
  <c r="M86" i="19"/>
  <c r="I86" i="19"/>
  <c r="H86" i="19"/>
  <c r="G86" i="19"/>
  <c r="F86" i="19"/>
  <c r="E86" i="19"/>
  <c r="D86" i="19"/>
  <c r="C86" i="19"/>
  <c r="B86" i="19"/>
  <c r="M85" i="19"/>
  <c r="I85" i="19"/>
  <c r="H85" i="19"/>
  <c r="G85" i="19"/>
  <c r="F85" i="19"/>
  <c r="E85" i="19"/>
  <c r="D85" i="19"/>
  <c r="C85" i="19"/>
  <c r="B85" i="19"/>
  <c r="M84" i="19"/>
  <c r="I84" i="19"/>
  <c r="H84" i="19"/>
  <c r="G84" i="19"/>
  <c r="F84" i="19"/>
  <c r="E84" i="19"/>
  <c r="D84" i="19"/>
  <c r="C84" i="19"/>
  <c r="B84" i="19"/>
  <c r="M83" i="19"/>
  <c r="I83" i="19"/>
  <c r="H83" i="19"/>
  <c r="G83" i="19"/>
  <c r="F83" i="19"/>
  <c r="E83" i="19"/>
  <c r="D83" i="19"/>
  <c r="J83" i="19" s="1"/>
  <c r="L83" i="19" s="1"/>
  <c r="C83" i="19"/>
  <c r="B83" i="19"/>
  <c r="M82" i="19"/>
  <c r="I82" i="19"/>
  <c r="H82" i="19"/>
  <c r="G82" i="19"/>
  <c r="F82" i="19"/>
  <c r="E82" i="19"/>
  <c r="D82" i="19"/>
  <c r="C82" i="19"/>
  <c r="B82" i="19"/>
  <c r="M81" i="19"/>
  <c r="I81" i="19"/>
  <c r="H81" i="19"/>
  <c r="G81" i="19"/>
  <c r="F81" i="19"/>
  <c r="E81" i="19"/>
  <c r="D81" i="19"/>
  <c r="C81" i="19"/>
  <c r="B81" i="19"/>
  <c r="M80" i="19"/>
  <c r="I80" i="19"/>
  <c r="H80" i="19"/>
  <c r="G80" i="19"/>
  <c r="F80" i="19"/>
  <c r="E80" i="19"/>
  <c r="D80" i="19"/>
  <c r="C80" i="19"/>
  <c r="B80" i="19"/>
  <c r="M79" i="19"/>
  <c r="I79" i="19"/>
  <c r="H79" i="19"/>
  <c r="G79" i="19"/>
  <c r="F79" i="19"/>
  <c r="E79" i="19"/>
  <c r="D79" i="19"/>
  <c r="J79" i="19" s="1"/>
  <c r="L79" i="19" s="1"/>
  <c r="C79" i="19"/>
  <c r="B79" i="19"/>
  <c r="M78" i="19"/>
  <c r="I78" i="19"/>
  <c r="H78" i="19"/>
  <c r="G78" i="19"/>
  <c r="F78" i="19"/>
  <c r="E78" i="19"/>
  <c r="D78" i="19"/>
  <c r="C78" i="19"/>
  <c r="B78" i="19"/>
  <c r="M77" i="19"/>
  <c r="H77" i="19"/>
  <c r="G77" i="19"/>
  <c r="F77" i="19"/>
  <c r="E77" i="19"/>
  <c r="D77" i="19"/>
  <c r="C77" i="19"/>
  <c r="B77" i="19"/>
  <c r="M76" i="19"/>
  <c r="I76" i="19"/>
  <c r="H76" i="19"/>
  <c r="G76" i="19"/>
  <c r="F76" i="19"/>
  <c r="E76" i="19"/>
  <c r="D76" i="19"/>
  <c r="C76" i="19"/>
  <c r="B76" i="19"/>
  <c r="M75" i="19"/>
  <c r="H75" i="19"/>
  <c r="G75" i="19"/>
  <c r="F75" i="19"/>
  <c r="E75" i="19"/>
  <c r="D75" i="19"/>
  <c r="C75" i="19"/>
  <c r="B75" i="19"/>
  <c r="M74" i="19"/>
  <c r="H74" i="19"/>
  <c r="G74" i="19"/>
  <c r="F74" i="19"/>
  <c r="E74" i="19"/>
  <c r="D74" i="19"/>
  <c r="C74" i="19"/>
  <c r="B74" i="19"/>
  <c r="M73" i="19"/>
  <c r="I73" i="19"/>
  <c r="H73" i="19"/>
  <c r="G73" i="19"/>
  <c r="F73" i="19"/>
  <c r="E73" i="19"/>
  <c r="D73" i="19"/>
  <c r="C73" i="19"/>
  <c r="B73" i="19"/>
  <c r="M72" i="19"/>
  <c r="I72" i="19"/>
  <c r="H72" i="19"/>
  <c r="G72" i="19"/>
  <c r="F72" i="19"/>
  <c r="E72" i="19"/>
  <c r="D72" i="19"/>
  <c r="J72" i="19" s="1"/>
  <c r="L72" i="19" s="1"/>
  <c r="C72" i="19"/>
  <c r="B72" i="19"/>
  <c r="M71" i="19"/>
  <c r="I71" i="19"/>
  <c r="H71" i="19"/>
  <c r="G71" i="19"/>
  <c r="F71" i="19"/>
  <c r="E71" i="19"/>
  <c r="D71" i="19"/>
  <c r="C71" i="19"/>
  <c r="B71" i="19"/>
  <c r="M70" i="19"/>
  <c r="I70" i="19"/>
  <c r="H70" i="19"/>
  <c r="G70" i="19"/>
  <c r="F70" i="19"/>
  <c r="E70" i="19"/>
  <c r="D70" i="19"/>
  <c r="C70" i="19"/>
  <c r="B70" i="19"/>
  <c r="M69" i="19"/>
  <c r="I69" i="19"/>
  <c r="H69" i="19"/>
  <c r="G69" i="19"/>
  <c r="F69" i="19"/>
  <c r="E69" i="19"/>
  <c r="D69" i="19"/>
  <c r="C69" i="19"/>
  <c r="B69" i="19"/>
  <c r="M68" i="19"/>
  <c r="H68" i="19"/>
  <c r="G68" i="19"/>
  <c r="F68" i="19"/>
  <c r="E68" i="19"/>
  <c r="D68" i="19"/>
  <c r="C68" i="19"/>
  <c r="B68" i="19"/>
  <c r="M67" i="19"/>
  <c r="H67" i="19"/>
  <c r="G67" i="19"/>
  <c r="F67" i="19"/>
  <c r="E67" i="19"/>
  <c r="D67" i="19"/>
  <c r="C67" i="19"/>
  <c r="B67" i="19"/>
  <c r="M66" i="19"/>
  <c r="H66" i="19"/>
  <c r="G66" i="19"/>
  <c r="F66" i="19"/>
  <c r="E66" i="19"/>
  <c r="D66" i="19"/>
  <c r="C66" i="19"/>
  <c r="B66" i="19"/>
  <c r="M65" i="19"/>
  <c r="H65" i="19"/>
  <c r="G65" i="19"/>
  <c r="F65" i="19"/>
  <c r="E65" i="19"/>
  <c r="D65" i="19"/>
  <c r="C65" i="19"/>
  <c r="B65" i="19"/>
  <c r="M64" i="19"/>
  <c r="H64" i="19"/>
  <c r="G64" i="19"/>
  <c r="F64" i="19"/>
  <c r="E64" i="19"/>
  <c r="D64" i="19"/>
  <c r="C64" i="19"/>
  <c r="B64" i="19"/>
  <c r="M63" i="19"/>
  <c r="I63" i="19"/>
  <c r="H63" i="19"/>
  <c r="G63" i="19"/>
  <c r="F63" i="19"/>
  <c r="E63" i="19"/>
  <c r="D63" i="19"/>
  <c r="C63" i="19"/>
  <c r="B63" i="19"/>
  <c r="M62" i="19"/>
  <c r="H62" i="19"/>
  <c r="F62" i="19"/>
  <c r="E62" i="19"/>
  <c r="D62" i="19"/>
  <c r="C62" i="19"/>
  <c r="B62" i="19"/>
  <c r="M61" i="19"/>
  <c r="I61" i="19"/>
  <c r="H61" i="19"/>
  <c r="G61" i="19"/>
  <c r="F61" i="19"/>
  <c r="E61" i="19"/>
  <c r="D61" i="19"/>
  <c r="C61" i="19"/>
  <c r="B61" i="19"/>
  <c r="M60" i="19"/>
  <c r="H60" i="19"/>
  <c r="F60" i="19"/>
  <c r="E60" i="19"/>
  <c r="D60" i="19"/>
  <c r="C60" i="19"/>
  <c r="B60" i="19"/>
  <c r="M59" i="19"/>
  <c r="H59" i="19"/>
  <c r="G59" i="19"/>
  <c r="F59" i="19"/>
  <c r="E59" i="19"/>
  <c r="D59" i="19"/>
  <c r="C59" i="19"/>
  <c r="B59" i="19"/>
  <c r="M58" i="19"/>
  <c r="H58" i="19"/>
  <c r="G58" i="19"/>
  <c r="F58" i="19"/>
  <c r="E58" i="19"/>
  <c r="D58" i="19"/>
  <c r="C58" i="19"/>
  <c r="B58" i="19"/>
  <c r="M57" i="19"/>
  <c r="I57" i="19"/>
  <c r="H57" i="19"/>
  <c r="G57" i="19"/>
  <c r="F57" i="19"/>
  <c r="E57" i="19"/>
  <c r="D57" i="19"/>
  <c r="C57" i="19"/>
  <c r="B57" i="19"/>
  <c r="M56" i="19"/>
  <c r="I56" i="19"/>
  <c r="H56" i="19"/>
  <c r="G56" i="19"/>
  <c r="F56" i="19"/>
  <c r="E56" i="19"/>
  <c r="K56" i="19" s="1"/>
  <c r="D56" i="19"/>
  <c r="C56" i="19"/>
  <c r="B56" i="19"/>
  <c r="M55" i="19"/>
  <c r="I55" i="19"/>
  <c r="H55" i="19"/>
  <c r="G55" i="19"/>
  <c r="F55" i="19"/>
  <c r="E55" i="19"/>
  <c r="D55" i="19"/>
  <c r="C55" i="19"/>
  <c r="B55" i="19"/>
  <c r="M54" i="19"/>
  <c r="H54" i="19"/>
  <c r="G54" i="19"/>
  <c r="F54" i="19"/>
  <c r="E54" i="19"/>
  <c r="D54" i="19"/>
  <c r="C54" i="19"/>
  <c r="B54" i="19"/>
  <c r="M53" i="19"/>
  <c r="I53" i="19"/>
  <c r="H53" i="19"/>
  <c r="G53" i="19"/>
  <c r="F53" i="19"/>
  <c r="E53" i="19"/>
  <c r="D53" i="19"/>
  <c r="C53" i="19"/>
  <c r="B53" i="19"/>
  <c r="M52" i="19"/>
  <c r="I52" i="19"/>
  <c r="H52" i="19"/>
  <c r="F52" i="19"/>
  <c r="E52" i="19"/>
  <c r="D52" i="19"/>
  <c r="C52" i="19"/>
  <c r="B52" i="19"/>
  <c r="M51" i="19"/>
  <c r="H51" i="19"/>
  <c r="G51" i="19"/>
  <c r="F51" i="19"/>
  <c r="E51" i="19"/>
  <c r="D51" i="19"/>
  <c r="C51" i="19"/>
  <c r="B51" i="19"/>
  <c r="M50" i="19"/>
  <c r="I50" i="19"/>
  <c r="H50" i="19"/>
  <c r="G50" i="19"/>
  <c r="F50" i="19"/>
  <c r="E50" i="19"/>
  <c r="D50" i="19"/>
  <c r="C50" i="19"/>
  <c r="B50" i="19"/>
  <c r="M49" i="19"/>
  <c r="I49" i="19"/>
  <c r="H49" i="19"/>
  <c r="G49" i="19"/>
  <c r="F49" i="19"/>
  <c r="E49" i="19"/>
  <c r="K49" i="19" s="1"/>
  <c r="D49" i="19"/>
  <c r="C49" i="19"/>
  <c r="B49" i="19"/>
  <c r="M48" i="19"/>
  <c r="I48" i="19"/>
  <c r="H48" i="19"/>
  <c r="G48" i="19"/>
  <c r="F48" i="19"/>
  <c r="E48" i="19"/>
  <c r="D48" i="19"/>
  <c r="C48" i="19"/>
  <c r="B48" i="19"/>
  <c r="M47" i="19"/>
  <c r="I47" i="19"/>
  <c r="H47" i="19"/>
  <c r="G47" i="19"/>
  <c r="F47" i="19"/>
  <c r="E47" i="19"/>
  <c r="D47" i="19"/>
  <c r="C47" i="19"/>
  <c r="B47" i="19"/>
  <c r="M46" i="19"/>
  <c r="I46" i="19"/>
  <c r="H46" i="19"/>
  <c r="G46" i="19"/>
  <c r="F46" i="19"/>
  <c r="E46" i="19"/>
  <c r="D46" i="19"/>
  <c r="C46" i="19"/>
  <c r="B46" i="19"/>
  <c r="M45" i="19"/>
  <c r="I45" i="19"/>
  <c r="H45" i="19"/>
  <c r="G45" i="19"/>
  <c r="F45" i="19"/>
  <c r="E45" i="19"/>
  <c r="K45" i="19" s="1"/>
  <c r="D45" i="19"/>
  <c r="C45" i="19"/>
  <c r="B45" i="19"/>
  <c r="M44" i="19"/>
  <c r="I44" i="19"/>
  <c r="H44" i="19"/>
  <c r="G44" i="19"/>
  <c r="F44" i="19"/>
  <c r="E44" i="19"/>
  <c r="D44" i="19"/>
  <c r="C44" i="19"/>
  <c r="B44" i="19"/>
  <c r="M43" i="19"/>
  <c r="I43" i="19"/>
  <c r="H43" i="19"/>
  <c r="G43" i="19"/>
  <c r="F43" i="19"/>
  <c r="E43" i="19"/>
  <c r="D43" i="19"/>
  <c r="C43" i="19"/>
  <c r="B43" i="19"/>
  <c r="M42" i="19"/>
  <c r="I42" i="19"/>
  <c r="H42" i="19"/>
  <c r="G42" i="19"/>
  <c r="F42" i="19"/>
  <c r="E42" i="19"/>
  <c r="D42" i="19"/>
  <c r="C42" i="19"/>
  <c r="B42" i="19"/>
  <c r="M41" i="19"/>
  <c r="I41" i="19"/>
  <c r="H41" i="19"/>
  <c r="G41" i="19"/>
  <c r="F41" i="19"/>
  <c r="E41" i="19"/>
  <c r="K41" i="19" s="1"/>
  <c r="D41" i="19"/>
  <c r="C41" i="19"/>
  <c r="B41" i="19"/>
  <c r="M40" i="19"/>
  <c r="I40" i="19"/>
  <c r="H40" i="19"/>
  <c r="G40" i="19"/>
  <c r="F40" i="19"/>
  <c r="E40" i="19"/>
  <c r="D40" i="19"/>
  <c r="C40" i="19"/>
  <c r="B40" i="19"/>
  <c r="M39" i="19"/>
  <c r="I39" i="19"/>
  <c r="H39" i="19"/>
  <c r="G39" i="19"/>
  <c r="F39" i="19"/>
  <c r="E39" i="19"/>
  <c r="D39" i="19"/>
  <c r="C39" i="19"/>
  <c r="B39" i="19"/>
  <c r="M38" i="19"/>
  <c r="I38" i="19"/>
  <c r="H38" i="19"/>
  <c r="G38" i="19"/>
  <c r="F38" i="19"/>
  <c r="E38" i="19"/>
  <c r="D38" i="19"/>
  <c r="C38" i="19"/>
  <c r="B38" i="19"/>
  <c r="M37" i="19"/>
  <c r="I37" i="19"/>
  <c r="H37" i="19"/>
  <c r="G37" i="19"/>
  <c r="F37" i="19"/>
  <c r="E37" i="19"/>
  <c r="D37" i="19"/>
  <c r="C37" i="19"/>
  <c r="B37" i="19"/>
  <c r="M36" i="19"/>
  <c r="I36" i="19"/>
  <c r="H36" i="19"/>
  <c r="G36" i="19"/>
  <c r="F36" i="19"/>
  <c r="E36" i="19"/>
  <c r="D36" i="19"/>
  <c r="C36" i="19"/>
  <c r="B36" i="19"/>
  <c r="M35" i="19"/>
  <c r="I35" i="19"/>
  <c r="H35" i="19"/>
  <c r="G35" i="19"/>
  <c r="F35" i="19"/>
  <c r="E35" i="19"/>
  <c r="D35" i="19"/>
  <c r="C35" i="19"/>
  <c r="B35" i="19"/>
  <c r="M34" i="19"/>
  <c r="I34" i="19"/>
  <c r="H34" i="19"/>
  <c r="G34" i="19"/>
  <c r="F34" i="19"/>
  <c r="E34" i="19"/>
  <c r="D34" i="19"/>
  <c r="C34" i="19"/>
  <c r="B34" i="19"/>
  <c r="M33" i="19"/>
  <c r="I33" i="19"/>
  <c r="H33" i="19"/>
  <c r="G33" i="19"/>
  <c r="F33" i="19"/>
  <c r="E33" i="19"/>
  <c r="D33" i="19"/>
  <c r="C33" i="19"/>
  <c r="B33" i="19"/>
  <c r="M32" i="19"/>
  <c r="I32" i="19"/>
  <c r="H32" i="19"/>
  <c r="G32" i="19"/>
  <c r="F32" i="19"/>
  <c r="E32" i="19"/>
  <c r="D32" i="19"/>
  <c r="C32" i="19"/>
  <c r="B32" i="19"/>
  <c r="M31" i="19"/>
  <c r="I31" i="19"/>
  <c r="H31" i="19"/>
  <c r="F31" i="19"/>
  <c r="E31" i="19"/>
  <c r="D31" i="19"/>
  <c r="C31" i="19"/>
  <c r="B31" i="19"/>
  <c r="M30" i="19"/>
  <c r="I30" i="19"/>
  <c r="H30" i="19"/>
  <c r="F30" i="19"/>
  <c r="E30" i="19"/>
  <c r="D30" i="19"/>
  <c r="C30" i="19"/>
  <c r="B30" i="19"/>
  <c r="M29" i="19"/>
  <c r="I29" i="19"/>
  <c r="H29" i="19"/>
  <c r="F29" i="19"/>
  <c r="E29" i="19"/>
  <c r="D29" i="19"/>
  <c r="C29" i="19"/>
  <c r="B29" i="19"/>
  <c r="M28" i="19"/>
  <c r="I28" i="19"/>
  <c r="H28" i="19"/>
  <c r="G28" i="19"/>
  <c r="F28" i="19"/>
  <c r="E28" i="19"/>
  <c r="D28" i="19"/>
  <c r="C28" i="19"/>
  <c r="B28" i="19"/>
  <c r="M27" i="19"/>
  <c r="I27" i="19"/>
  <c r="H27" i="19"/>
  <c r="G27" i="19"/>
  <c r="F27" i="19"/>
  <c r="E27" i="19"/>
  <c r="D27" i="19"/>
  <c r="C27" i="19"/>
  <c r="B27" i="19"/>
  <c r="M26" i="19"/>
  <c r="I26" i="19"/>
  <c r="H26" i="19"/>
  <c r="G26" i="19"/>
  <c r="F26" i="19"/>
  <c r="E26" i="19"/>
  <c r="D26" i="19"/>
  <c r="C26" i="19"/>
  <c r="B26" i="19"/>
  <c r="M25" i="19"/>
  <c r="I25" i="19"/>
  <c r="H25" i="19"/>
  <c r="G25" i="19"/>
  <c r="F25" i="19"/>
  <c r="E25" i="19"/>
  <c r="D25" i="19"/>
  <c r="C25" i="19"/>
  <c r="B25" i="19"/>
  <c r="M24" i="19"/>
  <c r="I24" i="19"/>
  <c r="H24" i="19"/>
  <c r="G24" i="19"/>
  <c r="F24" i="19"/>
  <c r="E24" i="19"/>
  <c r="D24" i="19"/>
  <c r="C24" i="19"/>
  <c r="B24" i="19"/>
  <c r="M23" i="19"/>
  <c r="I23" i="19"/>
  <c r="H23" i="19"/>
  <c r="G23" i="19"/>
  <c r="F23" i="19"/>
  <c r="E23" i="19"/>
  <c r="D23" i="19"/>
  <c r="C23" i="19"/>
  <c r="B23" i="19"/>
  <c r="M22" i="19"/>
  <c r="I22" i="19"/>
  <c r="H22" i="19"/>
  <c r="G22" i="19"/>
  <c r="F22" i="19"/>
  <c r="E22" i="19"/>
  <c r="K22" i="19" s="1"/>
  <c r="D22" i="19"/>
  <c r="C22" i="19"/>
  <c r="B22" i="19"/>
  <c r="M21" i="19"/>
  <c r="I21" i="19"/>
  <c r="H21" i="19"/>
  <c r="G21" i="19"/>
  <c r="F21" i="19"/>
  <c r="E21" i="19"/>
  <c r="D21" i="19"/>
  <c r="C21" i="19"/>
  <c r="B21" i="19"/>
  <c r="M20" i="19"/>
  <c r="I20" i="19"/>
  <c r="H20" i="19"/>
  <c r="G20" i="19"/>
  <c r="F20" i="19"/>
  <c r="E20" i="19"/>
  <c r="D20" i="19"/>
  <c r="C20" i="19"/>
  <c r="B20" i="19"/>
  <c r="M19" i="19"/>
  <c r="I19" i="19"/>
  <c r="H19" i="19"/>
  <c r="G19" i="19"/>
  <c r="F19" i="19"/>
  <c r="E19" i="19"/>
  <c r="D19" i="19"/>
  <c r="C19" i="19"/>
  <c r="B19" i="19"/>
  <c r="M18" i="19"/>
  <c r="I18" i="19"/>
  <c r="H18" i="19"/>
  <c r="G18" i="19"/>
  <c r="F18" i="19"/>
  <c r="E18" i="19"/>
  <c r="D18" i="19"/>
  <c r="C18" i="19"/>
  <c r="B18" i="19"/>
  <c r="M17" i="19"/>
  <c r="I17" i="19"/>
  <c r="H17" i="19"/>
  <c r="G17" i="19"/>
  <c r="F17" i="19"/>
  <c r="E17" i="19"/>
  <c r="D17" i="19"/>
  <c r="C17" i="19"/>
  <c r="B17" i="19"/>
  <c r="M16" i="19"/>
  <c r="I16" i="19"/>
  <c r="H16" i="19"/>
  <c r="G16" i="19"/>
  <c r="F16" i="19"/>
  <c r="E16" i="19"/>
  <c r="D16" i="19"/>
  <c r="C16" i="19"/>
  <c r="B16" i="19"/>
  <c r="M15" i="19"/>
  <c r="I15" i="19"/>
  <c r="H15" i="19"/>
  <c r="G15" i="19"/>
  <c r="F15" i="19"/>
  <c r="E15" i="19"/>
  <c r="D15" i="19"/>
  <c r="C15" i="19"/>
  <c r="B15" i="19"/>
  <c r="M14" i="19"/>
  <c r="I14" i="19"/>
  <c r="H14" i="19"/>
  <c r="G14" i="19"/>
  <c r="F14" i="19"/>
  <c r="E14" i="19"/>
  <c r="D14" i="19"/>
  <c r="C14" i="19"/>
  <c r="B14" i="19"/>
  <c r="M13" i="19"/>
  <c r="I13" i="19"/>
  <c r="H13" i="19"/>
  <c r="G13" i="19"/>
  <c r="F13" i="19"/>
  <c r="E13" i="19"/>
  <c r="D13" i="19"/>
  <c r="C13" i="19"/>
  <c r="B13" i="19"/>
  <c r="M12" i="19"/>
  <c r="I12" i="19"/>
  <c r="H12" i="19"/>
  <c r="G12" i="19"/>
  <c r="F12" i="19"/>
  <c r="E12" i="19"/>
  <c r="D12" i="19"/>
  <c r="C12" i="19"/>
  <c r="B12" i="19"/>
  <c r="M11" i="19"/>
  <c r="I11" i="19"/>
  <c r="H11" i="19"/>
  <c r="G11" i="19"/>
  <c r="F11" i="19"/>
  <c r="E11" i="19"/>
  <c r="D11" i="19"/>
  <c r="C11" i="19"/>
  <c r="B11" i="19"/>
  <c r="M10" i="19"/>
  <c r="I10" i="19"/>
  <c r="H10" i="19"/>
  <c r="G10" i="19"/>
  <c r="F10" i="19"/>
  <c r="E10" i="19"/>
  <c r="D10" i="19"/>
  <c r="C10" i="19"/>
  <c r="B10" i="19"/>
  <c r="M9" i="19"/>
  <c r="I9" i="19"/>
  <c r="H9" i="19"/>
  <c r="G9" i="19"/>
  <c r="F9" i="19"/>
  <c r="E9" i="19"/>
  <c r="D9" i="19"/>
  <c r="C9" i="19"/>
  <c r="B9" i="19"/>
  <c r="M8" i="19"/>
  <c r="I8" i="19"/>
  <c r="H8" i="19"/>
  <c r="G8" i="19"/>
  <c r="F8" i="19"/>
  <c r="E8" i="19"/>
  <c r="D8" i="19"/>
  <c r="C8" i="19"/>
  <c r="B8" i="19"/>
  <c r="M7" i="19"/>
  <c r="I7" i="19"/>
  <c r="H7" i="19"/>
  <c r="G7" i="19"/>
  <c r="F7" i="19"/>
  <c r="E7" i="19"/>
  <c r="D7" i="19"/>
  <c r="C7" i="19"/>
  <c r="B7" i="19"/>
  <c r="I2" i="19"/>
  <c r="K17" i="19" l="1"/>
  <c r="J121" i="19"/>
  <c r="K9" i="19"/>
  <c r="K13" i="19"/>
  <c r="J102" i="19"/>
  <c r="L102" i="19" s="1"/>
  <c r="K215" i="19"/>
  <c r="K239" i="19"/>
  <c r="J86" i="19"/>
  <c r="L86" i="19" s="1"/>
  <c r="J90" i="19"/>
  <c r="L90" i="19" s="1"/>
  <c r="J94" i="19"/>
  <c r="L94" i="19" s="1"/>
  <c r="J98" i="19"/>
  <c r="L98" i="19" s="1"/>
  <c r="K219" i="19"/>
  <c r="K223" i="19"/>
  <c r="K232" i="19"/>
  <c r="K247" i="19"/>
  <c r="K251" i="19"/>
  <c r="K255" i="19"/>
  <c r="K33" i="19"/>
  <c r="K37" i="19"/>
  <c r="D266" i="19"/>
  <c r="J113" i="19"/>
  <c r="J237" i="19"/>
  <c r="K21" i="19"/>
  <c r="K25" i="19"/>
  <c r="K32" i="19"/>
  <c r="K36" i="19"/>
  <c r="K40" i="19"/>
  <c r="K44" i="19"/>
  <c r="K48" i="19"/>
  <c r="K55" i="19"/>
  <c r="J71" i="19"/>
  <c r="J78" i="19"/>
  <c r="J82" i="19"/>
  <c r="L82" i="19" s="1"/>
  <c r="J106" i="19"/>
  <c r="L106" i="19" s="1"/>
  <c r="J110" i="19"/>
  <c r="L110" i="19" s="1"/>
  <c r="K227" i="19"/>
  <c r="K243" i="19"/>
  <c r="K263" i="19"/>
  <c r="K26" i="19"/>
  <c r="K8" i="19"/>
  <c r="K12" i="19"/>
  <c r="K16" i="19"/>
  <c r="K20" i="19"/>
  <c r="K24" i="19"/>
  <c r="K28" i="19"/>
  <c r="K35" i="19"/>
  <c r="K39" i="19"/>
  <c r="K43" i="19"/>
  <c r="K47" i="19"/>
  <c r="J54" i="19"/>
  <c r="J70" i="19"/>
  <c r="J74" i="19"/>
  <c r="J81" i="19"/>
  <c r="L81" i="19" s="1"/>
  <c r="J85" i="19"/>
  <c r="L85" i="19" s="1"/>
  <c r="J89" i="19"/>
  <c r="L89" i="19" s="1"/>
  <c r="J93" i="19"/>
  <c r="L93" i="19" s="1"/>
  <c r="J97" i="19"/>
  <c r="L97" i="19" s="1"/>
  <c r="J101" i="19"/>
  <c r="L101" i="19" s="1"/>
  <c r="J105" i="19"/>
  <c r="L105" i="19" s="1"/>
  <c r="J109" i="19"/>
  <c r="L109" i="19" s="1"/>
  <c r="K199" i="19"/>
  <c r="K214" i="19"/>
  <c r="K218" i="19"/>
  <c r="K222" i="19"/>
  <c r="K226" i="19"/>
  <c r="K174" i="19"/>
  <c r="K178" i="19"/>
  <c r="K182" i="19"/>
  <c r="K186" i="19"/>
  <c r="K190" i="19"/>
  <c r="K194" i="19"/>
  <c r="K201" i="19"/>
  <c r="K205" i="19"/>
  <c r="K209" i="19"/>
  <c r="J216" i="19"/>
  <c r="L216" i="19" s="1"/>
  <c r="J220" i="19"/>
  <c r="L220" i="19" s="1"/>
  <c r="J224" i="19"/>
  <c r="L224" i="19" s="1"/>
  <c r="J228" i="19"/>
  <c r="L228" i="19" s="1"/>
  <c r="J8" i="19"/>
  <c r="L8" i="19" s="1"/>
  <c r="J12" i="19"/>
  <c r="L12" i="19" s="1"/>
  <c r="J16" i="19"/>
  <c r="L16" i="19" s="1"/>
  <c r="J20" i="19"/>
  <c r="L20" i="19" s="1"/>
  <c r="J24" i="19"/>
  <c r="L24" i="19" s="1"/>
  <c r="J28" i="19"/>
  <c r="L28" i="19" s="1"/>
  <c r="J35" i="19"/>
  <c r="L35" i="19" s="1"/>
  <c r="J39" i="19"/>
  <c r="L39" i="19" s="1"/>
  <c r="J43" i="19"/>
  <c r="L43" i="19" s="1"/>
  <c r="J47" i="19"/>
  <c r="L47" i="19" s="1"/>
  <c r="J51" i="19"/>
  <c r="J58" i="19"/>
  <c r="K61" i="19"/>
  <c r="J64" i="19"/>
  <c r="J67" i="19"/>
  <c r="K117" i="19"/>
  <c r="K124" i="19"/>
  <c r="K128" i="19"/>
  <c r="K132" i="19"/>
  <c r="K136" i="19"/>
  <c r="K140" i="19"/>
  <c r="K144" i="19"/>
  <c r="K148" i="19"/>
  <c r="K152" i="19"/>
  <c r="K156" i="19"/>
  <c r="K160" i="19"/>
  <c r="K164" i="19"/>
  <c r="K168" i="19"/>
  <c r="K172" i="19"/>
  <c r="K176" i="19"/>
  <c r="K180" i="19"/>
  <c r="K184" i="19"/>
  <c r="K188" i="19"/>
  <c r="K192" i="19"/>
  <c r="K196" i="19"/>
  <c r="J199" i="19"/>
  <c r="L199" i="19" s="1"/>
  <c r="K203" i="19"/>
  <c r="K207" i="19"/>
  <c r="J214" i="19"/>
  <c r="L214" i="19" s="1"/>
  <c r="J218" i="19"/>
  <c r="L218" i="19" s="1"/>
  <c r="J222" i="19"/>
  <c r="L222" i="19" s="1"/>
  <c r="J226" i="19"/>
  <c r="L226" i="19" s="1"/>
  <c r="K230" i="19"/>
  <c r="K241" i="19"/>
  <c r="K245" i="19"/>
  <c r="K249" i="19"/>
  <c r="K253" i="19"/>
  <c r="K257" i="19"/>
  <c r="K261" i="19"/>
  <c r="K265" i="19"/>
  <c r="E266" i="19"/>
  <c r="J22" i="19"/>
  <c r="L22" i="19" s="1"/>
  <c r="J45" i="19"/>
  <c r="L45" i="19" s="1"/>
  <c r="K126" i="19"/>
  <c r="K150" i="19"/>
  <c r="K154" i="19"/>
  <c r="J26" i="19"/>
  <c r="L26" i="19" s="1"/>
  <c r="J33" i="19"/>
  <c r="L33" i="19" s="1"/>
  <c r="J49" i="19"/>
  <c r="L49" i="19" s="1"/>
  <c r="K76" i="19"/>
  <c r="K115" i="19"/>
  <c r="K119" i="19"/>
  <c r="J122" i="19"/>
  <c r="L122" i="19" s="1"/>
  <c r="K146" i="19"/>
  <c r="K162" i="19"/>
  <c r="K10" i="19"/>
  <c r="J235" i="19"/>
  <c r="J10" i="19"/>
  <c r="L10" i="19" s="1"/>
  <c r="J14" i="19"/>
  <c r="L14" i="19" s="1"/>
  <c r="J37" i="19"/>
  <c r="L37" i="19" s="1"/>
  <c r="K134" i="19"/>
  <c r="K138" i="19"/>
  <c r="K142" i="19"/>
  <c r="K158" i="19"/>
  <c r="K18" i="19"/>
  <c r="J52" i="19"/>
  <c r="J65" i="19"/>
  <c r="J68" i="19"/>
  <c r="K72" i="19"/>
  <c r="K83" i="19"/>
  <c r="K87" i="19"/>
  <c r="K91" i="19"/>
  <c r="K95" i="19"/>
  <c r="K103" i="19"/>
  <c r="K111" i="19"/>
  <c r="J114" i="19"/>
  <c r="L114" i="19" s="1"/>
  <c r="J118" i="19"/>
  <c r="L118" i="19" s="1"/>
  <c r="J129" i="19"/>
  <c r="L129" i="19" s="1"/>
  <c r="J149" i="19"/>
  <c r="L149" i="19" s="1"/>
  <c r="J153" i="19"/>
  <c r="L153" i="19" s="1"/>
  <c r="J157" i="19"/>
  <c r="L157" i="19" s="1"/>
  <c r="J161" i="19"/>
  <c r="L161" i="19" s="1"/>
  <c r="J165" i="19"/>
  <c r="L165" i="19" s="1"/>
  <c r="J169" i="19"/>
  <c r="L169" i="19" s="1"/>
  <c r="J173" i="19"/>
  <c r="L173" i="19" s="1"/>
  <c r="J177" i="19"/>
  <c r="L177" i="19" s="1"/>
  <c r="J181" i="19"/>
  <c r="L181" i="19" s="1"/>
  <c r="J185" i="19"/>
  <c r="L185" i="19" s="1"/>
  <c r="J189" i="19"/>
  <c r="L189" i="19" s="1"/>
  <c r="J193" i="19"/>
  <c r="L193" i="19" s="1"/>
  <c r="J197" i="19"/>
  <c r="J204" i="19"/>
  <c r="L204" i="19" s="1"/>
  <c r="J208" i="19"/>
  <c r="L208" i="19" s="1"/>
  <c r="K212" i="19"/>
  <c r="J231" i="19"/>
  <c r="L231" i="19" s="1"/>
  <c r="J238" i="19"/>
  <c r="L238" i="19" s="1"/>
  <c r="J242" i="19"/>
  <c r="L242" i="19" s="1"/>
  <c r="J246" i="19"/>
  <c r="L246" i="19" s="1"/>
  <c r="J250" i="19"/>
  <c r="L250" i="19" s="1"/>
  <c r="J254" i="19"/>
  <c r="L254" i="19" s="1"/>
  <c r="J258" i="19"/>
  <c r="L258" i="19" s="1"/>
  <c r="J262" i="19"/>
  <c r="L262" i="19" s="1"/>
  <c r="J18" i="19"/>
  <c r="L18" i="19" s="1"/>
  <c r="J41" i="19"/>
  <c r="L41" i="19" s="1"/>
  <c r="J56" i="19"/>
  <c r="L56" i="19" s="1"/>
  <c r="K130" i="19"/>
  <c r="K166" i="19"/>
  <c r="K170" i="19"/>
  <c r="K14" i="19"/>
  <c r="J59" i="19"/>
  <c r="J62" i="19"/>
  <c r="K79" i="19"/>
  <c r="K99" i="19"/>
  <c r="K107" i="19"/>
  <c r="J125" i="19"/>
  <c r="L125" i="19" s="1"/>
  <c r="J133" i="19"/>
  <c r="L133" i="19" s="1"/>
  <c r="J137" i="19"/>
  <c r="L137" i="19" s="1"/>
  <c r="J141" i="19"/>
  <c r="L141" i="19" s="1"/>
  <c r="J145" i="19"/>
  <c r="L145" i="19" s="1"/>
  <c r="J9" i="19"/>
  <c r="L9" i="19" s="1"/>
  <c r="J13" i="19"/>
  <c r="L13" i="19" s="1"/>
  <c r="J17" i="19"/>
  <c r="L17" i="19" s="1"/>
  <c r="J21" i="19"/>
  <c r="L21" i="19" s="1"/>
  <c r="J25" i="19"/>
  <c r="L25" i="19" s="1"/>
  <c r="J29" i="19"/>
  <c r="J32" i="19"/>
  <c r="L32" i="19" s="1"/>
  <c r="J36" i="19"/>
  <c r="L36" i="19" s="1"/>
  <c r="J40" i="19"/>
  <c r="L40" i="19" s="1"/>
  <c r="J44" i="19"/>
  <c r="L44" i="19" s="1"/>
  <c r="J48" i="19"/>
  <c r="L48" i="19" s="1"/>
  <c r="J55" i="19"/>
  <c r="L55" i="19" s="1"/>
  <c r="J75" i="19"/>
  <c r="K114" i="19"/>
  <c r="K118" i="19"/>
  <c r="K125" i="19"/>
  <c r="K129" i="19"/>
  <c r="K133" i="19"/>
  <c r="K137" i="19"/>
  <c r="K141" i="19"/>
  <c r="K145" i="19"/>
  <c r="K149" i="19"/>
  <c r="K153" i="19"/>
  <c r="K157" i="19"/>
  <c r="K161" i="19"/>
  <c r="K165" i="19"/>
  <c r="K169" i="19"/>
  <c r="K173" i="19"/>
  <c r="K177" i="19"/>
  <c r="K181" i="19"/>
  <c r="K185" i="19"/>
  <c r="K189" i="19"/>
  <c r="K193" i="19"/>
  <c r="J200" i="19"/>
  <c r="K204" i="19"/>
  <c r="K208" i="19"/>
  <c r="J215" i="19"/>
  <c r="L215" i="19" s="1"/>
  <c r="J219" i="19"/>
  <c r="L219" i="19" s="1"/>
  <c r="J223" i="19"/>
  <c r="L223" i="19" s="1"/>
  <c r="J227" i="19"/>
  <c r="L227" i="19" s="1"/>
  <c r="K231" i="19"/>
  <c r="K238" i="19"/>
  <c r="K242" i="19"/>
  <c r="K246" i="19"/>
  <c r="K250" i="19"/>
  <c r="K254" i="19"/>
  <c r="K258" i="19"/>
  <c r="K262" i="19"/>
  <c r="L71" i="19"/>
  <c r="J61" i="19"/>
  <c r="L61" i="19" s="1"/>
  <c r="K71" i="19"/>
  <c r="K78" i="19"/>
  <c r="K82" i="19"/>
  <c r="K86" i="19"/>
  <c r="K90" i="19"/>
  <c r="K94" i="19"/>
  <c r="K98" i="19"/>
  <c r="K102" i="19"/>
  <c r="K106" i="19"/>
  <c r="K110" i="19"/>
  <c r="J117" i="19"/>
  <c r="L117" i="19" s="1"/>
  <c r="J124" i="19"/>
  <c r="L124" i="19" s="1"/>
  <c r="J128" i="19"/>
  <c r="L128" i="19" s="1"/>
  <c r="J132" i="19"/>
  <c r="L132" i="19" s="1"/>
  <c r="J136" i="19"/>
  <c r="L136" i="19" s="1"/>
  <c r="J140" i="19"/>
  <c r="L140" i="19" s="1"/>
  <c r="J144" i="19"/>
  <c r="L144" i="19" s="1"/>
  <c r="J148" i="19"/>
  <c r="L148" i="19" s="1"/>
  <c r="J152" i="19"/>
  <c r="L152" i="19" s="1"/>
  <c r="J156" i="19"/>
  <c r="L156" i="19" s="1"/>
  <c r="J160" i="19"/>
  <c r="L160" i="19" s="1"/>
  <c r="J164" i="19"/>
  <c r="L164" i="19" s="1"/>
  <c r="J168" i="19"/>
  <c r="L168" i="19" s="1"/>
  <c r="J172" i="19"/>
  <c r="L172" i="19" s="1"/>
  <c r="J176" i="19"/>
  <c r="L176" i="19" s="1"/>
  <c r="J180" i="19"/>
  <c r="L180" i="19" s="1"/>
  <c r="J184" i="19"/>
  <c r="L184" i="19" s="1"/>
  <c r="J188" i="19"/>
  <c r="L188" i="19" s="1"/>
  <c r="J192" i="19"/>
  <c r="L192" i="19" s="1"/>
  <c r="J196" i="19"/>
  <c r="L196" i="19" s="1"/>
  <c r="J203" i="19"/>
  <c r="L203" i="19" s="1"/>
  <c r="J207" i="19"/>
  <c r="L207" i="19" s="1"/>
  <c r="J211" i="19"/>
  <c r="J230" i="19"/>
  <c r="L230" i="19" s="1"/>
  <c r="J234" i="19"/>
  <c r="J241" i="19"/>
  <c r="L241" i="19" s="1"/>
  <c r="J245" i="19"/>
  <c r="L245" i="19" s="1"/>
  <c r="J249" i="19"/>
  <c r="L249" i="19" s="1"/>
  <c r="J253" i="19"/>
  <c r="L253" i="19" s="1"/>
  <c r="J257" i="19"/>
  <c r="L257" i="19" s="1"/>
  <c r="J261" i="19"/>
  <c r="L261" i="19" s="1"/>
  <c r="J265" i="19"/>
  <c r="L265" i="19" s="1"/>
  <c r="J31" i="19"/>
  <c r="L31" i="19" s="1"/>
  <c r="F266" i="19"/>
  <c r="K70" i="19"/>
  <c r="J77" i="19"/>
  <c r="L77" i="19" s="1"/>
  <c r="K81" i="19"/>
  <c r="K85" i="19"/>
  <c r="K89" i="19"/>
  <c r="K93" i="19"/>
  <c r="K97" i="19"/>
  <c r="K101" i="19"/>
  <c r="K105" i="19"/>
  <c r="K109" i="19"/>
  <c r="J116" i="19"/>
  <c r="L116" i="19" s="1"/>
  <c r="J120" i="19"/>
  <c r="J127" i="19"/>
  <c r="L127" i="19" s="1"/>
  <c r="J131" i="19"/>
  <c r="L131" i="19" s="1"/>
  <c r="J135" i="19"/>
  <c r="L135" i="19" s="1"/>
  <c r="J139" i="19"/>
  <c r="L139" i="19" s="1"/>
  <c r="J143" i="19"/>
  <c r="L143" i="19" s="1"/>
  <c r="J147" i="19"/>
  <c r="L147" i="19" s="1"/>
  <c r="J151" i="19"/>
  <c r="L151" i="19" s="1"/>
  <c r="J155" i="19"/>
  <c r="L155" i="19" s="1"/>
  <c r="J159" i="19"/>
  <c r="L159" i="19" s="1"/>
  <c r="J163" i="19"/>
  <c r="L163" i="19" s="1"/>
  <c r="J167" i="19"/>
  <c r="L167" i="19" s="1"/>
  <c r="J171" i="19"/>
  <c r="L171" i="19" s="1"/>
  <c r="J175" i="19"/>
  <c r="L175" i="19" s="1"/>
  <c r="J179" i="19"/>
  <c r="L179" i="19" s="1"/>
  <c r="J183" i="19"/>
  <c r="L183" i="19" s="1"/>
  <c r="J187" i="19"/>
  <c r="L187" i="19" s="1"/>
  <c r="J191" i="19"/>
  <c r="L191" i="19" s="1"/>
  <c r="J195" i="19"/>
  <c r="L195" i="19" s="1"/>
  <c r="J202" i="19"/>
  <c r="L202" i="19" s="1"/>
  <c r="J206" i="19"/>
  <c r="L206" i="19" s="1"/>
  <c r="J210" i="19"/>
  <c r="L210" i="19" s="1"/>
  <c r="J233" i="19"/>
  <c r="L233" i="19" s="1"/>
  <c r="J240" i="19"/>
  <c r="L240" i="19" s="1"/>
  <c r="J244" i="19"/>
  <c r="L244" i="19" s="1"/>
  <c r="J248" i="19"/>
  <c r="L248" i="19" s="1"/>
  <c r="J252" i="19"/>
  <c r="L252" i="19" s="1"/>
  <c r="J256" i="19"/>
  <c r="L256" i="19" s="1"/>
  <c r="J260" i="19"/>
  <c r="L260" i="19" s="1"/>
  <c r="J264" i="19"/>
  <c r="L264" i="19" s="1"/>
  <c r="J7" i="19"/>
  <c r="L7" i="19" s="1"/>
  <c r="J11" i="19"/>
  <c r="L11" i="19" s="1"/>
  <c r="J15" i="19"/>
  <c r="L15" i="19" s="1"/>
  <c r="J19" i="19"/>
  <c r="L19" i="19" s="1"/>
  <c r="J23" i="19"/>
  <c r="L23" i="19" s="1"/>
  <c r="J27" i="19"/>
  <c r="L27" i="19" s="1"/>
  <c r="J34" i="19"/>
  <c r="L34" i="19" s="1"/>
  <c r="J38" i="19"/>
  <c r="L38" i="19" s="1"/>
  <c r="J42" i="19"/>
  <c r="L42" i="19" s="1"/>
  <c r="J46" i="19"/>
  <c r="L46" i="19" s="1"/>
  <c r="J50" i="19"/>
  <c r="L50" i="19" s="1"/>
  <c r="J57" i="19"/>
  <c r="J63" i="19"/>
  <c r="L63" i="19" s="1"/>
  <c r="K116" i="19"/>
  <c r="J123" i="19"/>
  <c r="L123" i="19" s="1"/>
  <c r="K127" i="19"/>
  <c r="K131" i="19"/>
  <c r="K135" i="19"/>
  <c r="K139" i="19"/>
  <c r="K143" i="19"/>
  <c r="K147" i="19"/>
  <c r="K151" i="19"/>
  <c r="K155" i="19"/>
  <c r="K159" i="19"/>
  <c r="K163" i="19"/>
  <c r="K167" i="19"/>
  <c r="K171" i="19"/>
  <c r="K175" i="19"/>
  <c r="K179" i="19"/>
  <c r="K183" i="19"/>
  <c r="K187" i="19"/>
  <c r="K191" i="19"/>
  <c r="K195" i="19"/>
  <c r="K202" i="19"/>
  <c r="K206" i="19"/>
  <c r="K210" i="19"/>
  <c r="J217" i="19"/>
  <c r="L217" i="19" s="1"/>
  <c r="J221" i="19"/>
  <c r="L221" i="19" s="1"/>
  <c r="J225" i="19"/>
  <c r="L225" i="19" s="1"/>
  <c r="J229" i="19"/>
  <c r="K233" i="19"/>
  <c r="J236" i="19"/>
  <c r="L236" i="19" s="1"/>
  <c r="K240" i="19"/>
  <c r="K244" i="19"/>
  <c r="K248" i="19"/>
  <c r="K252" i="19"/>
  <c r="K256" i="19"/>
  <c r="K260" i="19"/>
  <c r="K264" i="19"/>
  <c r="K7" i="19"/>
  <c r="K19" i="19"/>
  <c r="K27" i="19"/>
  <c r="K38" i="19"/>
  <c r="K46" i="19"/>
  <c r="H266" i="19"/>
  <c r="J53" i="19"/>
  <c r="K57" i="19"/>
  <c r="J60" i="19"/>
  <c r="K63" i="19"/>
  <c r="J66" i="19"/>
  <c r="J69" i="19"/>
  <c r="J73" i="19"/>
  <c r="L73" i="19" s="1"/>
  <c r="J80" i="19"/>
  <c r="L80" i="19" s="1"/>
  <c r="J84" i="19"/>
  <c r="L84" i="19" s="1"/>
  <c r="J88" i="19"/>
  <c r="L88" i="19" s="1"/>
  <c r="J92" i="19"/>
  <c r="L92" i="19" s="1"/>
  <c r="J96" i="19"/>
  <c r="L96" i="19" s="1"/>
  <c r="J100" i="19"/>
  <c r="L100" i="19" s="1"/>
  <c r="J104" i="19"/>
  <c r="L104" i="19" s="1"/>
  <c r="J108" i="19"/>
  <c r="L108" i="19" s="1"/>
  <c r="J112" i="19"/>
  <c r="J198" i="19"/>
  <c r="J213" i="19"/>
  <c r="K217" i="19"/>
  <c r="K221" i="19"/>
  <c r="K225" i="19"/>
  <c r="K236" i="19"/>
  <c r="K11" i="19"/>
  <c r="K15" i="19"/>
  <c r="K23" i="19"/>
  <c r="K34" i="19"/>
  <c r="K42" i="19"/>
  <c r="K50" i="19"/>
  <c r="J30" i="19"/>
  <c r="K53" i="19"/>
  <c r="K69" i="19"/>
  <c r="K73" i="19"/>
  <c r="J76" i="19"/>
  <c r="K80" i="19"/>
  <c r="K84" i="19"/>
  <c r="K88" i="19"/>
  <c r="K92" i="19"/>
  <c r="K96" i="19"/>
  <c r="K100" i="19"/>
  <c r="K104" i="19"/>
  <c r="K108" i="19"/>
  <c r="J115" i="19"/>
  <c r="L115" i="19" s="1"/>
  <c r="J119" i="19"/>
  <c r="L119" i="19" s="1"/>
  <c r="J126" i="19"/>
  <c r="L126" i="19" s="1"/>
  <c r="J130" i="19"/>
  <c r="L130" i="19" s="1"/>
  <c r="J134" i="19"/>
  <c r="L134" i="19" s="1"/>
  <c r="J138" i="19"/>
  <c r="L138" i="19" s="1"/>
  <c r="J142" i="19"/>
  <c r="L142" i="19" s="1"/>
  <c r="J146" i="19"/>
  <c r="L146" i="19" s="1"/>
  <c r="J150" i="19"/>
  <c r="L150" i="19" s="1"/>
  <c r="J154" i="19"/>
  <c r="L154" i="19" s="1"/>
  <c r="J158" i="19"/>
  <c r="L158" i="19" s="1"/>
  <c r="J162" i="19"/>
  <c r="L162" i="19" s="1"/>
  <c r="J166" i="19"/>
  <c r="L166" i="19" s="1"/>
  <c r="J170" i="19"/>
  <c r="L170" i="19" s="1"/>
  <c r="J174" i="19"/>
  <c r="L174" i="19" s="1"/>
  <c r="J178" i="19"/>
  <c r="L178" i="19" s="1"/>
  <c r="J182" i="19"/>
  <c r="L182" i="19" s="1"/>
  <c r="J186" i="19"/>
  <c r="L186" i="19" s="1"/>
  <c r="J190" i="19"/>
  <c r="L190" i="19" s="1"/>
  <c r="J194" i="19"/>
  <c r="L194" i="19" s="1"/>
  <c r="J201" i="19"/>
  <c r="L201" i="19" s="1"/>
  <c r="J205" i="19"/>
  <c r="L205" i="19" s="1"/>
  <c r="J209" i="19"/>
  <c r="L209" i="19" s="1"/>
  <c r="J232" i="19"/>
  <c r="L232" i="19" s="1"/>
  <c r="J239" i="19"/>
  <c r="L239" i="19" s="1"/>
  <c r="J243" i="19"/>
  <c r="L243" i="19" s="1"/>
  <c r="J247" i="19"/>
  <c r="L247" i="19" s="1"/>
  <c r="J251" i="19"/>
  <c r="L251" i="19" s="1"/>
  <c r="J255" i="19"/>
  <c r="L255" i="19" s="1"/>
  <c r="J259" i="19"/>
  <c r="L259" i="19" s="1"/>
  <c r="J263" i="19"/>
  <c r="L263" i="19" s="1"/>
  <c r="L78" i="19" l="1"/>
  <c r="L70" i="19"/>
  <c r="L57" i="19"/>
  <c r="L69" i="19"/>
  <c r="J266" i="19"/>
  <c r="L53" i="19"/>
  <c r="L76" i="19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0" i="18"/>
  <c r="G148" i="18"/>
  <c r="F148" i="18"/>
  <c r="E148" i="18"/>
  <c r="D148" i="18"/>
  <c r="B148" i="18"/>
  <c r="A148" i="18"/>
  <c r="I148" i="18" s="1"/>
  <c r="G147" i="18"/>
  <c r="F147" i="18"/>
  <c r="E147" i="18"/>
  <c r="D147" i="18"/>
  <c r="B147" i="18"/>
  <c r="A147" i="18"/>
  <c r="I147" i="18" s="1"/>
  <c r="G146" i="18"/>
  <c r="F146" i="18"/>
  <c r="E146" i="18"/>
  <c r="D146" i="18"/>
  <c r="B146" i="18"/>
  <c r="A146" i="18"/>
  <c r="I146" i="18" s="1"/>
  <c r="G145" i="18"/>
  <c r="F145" i="18"/>
  <c r="E145" i="18"/>
  <c r="D145" i="18"/>
  <c r="B145" i="18"/>
  <c r="A145" i="18"/>
  <c r="I145" i="18" s="1"/>
  <c r="G144" i="18"/>
  <c r="F144" i="18"/>
  <c r="E144" i="18"/>
  <c r="D144" i="18"/>
  <c r="B144" i="18"/>
  <c r="A144" i="18"/>
  <c r="I144" i="18" s="1"/>
  <c r="G143" i="18"/>
  <c r="F143" i="18"/>
  <c r="E143" i="18"/>
  <c r="D143" i="18"/>
  <c r="B143" i="18"/>
  <c r="A143" i="18"/>
  <c r="I143" i="18" s="1"/>
  <c r="G142" i="18"/>
  <c r="F142" i="18"/>
  <c r="E142" i="18"/>
  <c r="D142" i="18"/>
  <c r="B142" i="18"/>
  <c r="A142" i="18"/>
  <c r="I142" i="18" s="1"/>
  <c r="G141" i="18"/>
  <c r="F141" i="18"/>
  <c r="E141" i="18"/>
  <c r="D141" i="18"/>
  <c r="B141" i="18"/>
  <c r="A141" i="18"/>
  <c r="I141" i="18" s="1"/>
  <c r="G140" i="18"/>
  <c r="F140" i="18"/>
  <c r="E140" i="18"/>
  <c r="D140" i="18"/>
  <c r="B140" i="18"/>
  <c r="A140" i="18"/>
  <c r="I140" i="18" s="1"/>
  <c r="G139" i="18"/>
  <c r="F139" i="18"/>
  <c r="E139" i="18"/>
  <c r="D139" i="18"/>
  <c r="B139" i="18"/>
  <c r="A139" i="18"/>
  <c r="I139" i="18" s="1"/>
  <c r="G138" i="18"/>
  <c r="F138" i="18"/>
  <c r="E138" i="18"/>
  <c r="D138" i="18"/>
  <c r="B138" i="18"/>
  <c r="A138" i="18"/>
  <c r="I138" i="18" s="1"/>
  <c r="G137" i="18"/>
  <c r="F137" i="18"/>
  <c r="E137" i="18"/>
  <c r="D137" i="18"/>
  <c r="B137" i="18"/>
  <c r="A137" i="18"/>
  <c r="I137" i="18" s="1"/>
  <c r="G136" i="18"/>
  <c r="F136" i="18"/>
  <c r="E136" i="18"/>
  <c r="D136" i="18"/>
  <c r="B136" i="18"/>
  <c r="A136" i="18"/>
  <c r="I136" i="18" s="1"/>
  <c r="G135" i="18"/>
  <c r="F135" i="18"/>
  <c r="E135" i="18"/>
  <c r="D135" i="18"/>
  <c r="B135" i="18"/>
  <c r="A135" i="18"/>
  <c r="I135" i="18" s="1"/>
  <c r="G134" i="18"/>
  <c r="F134" i="18"/>
  <c r="E134" i="18"/>
  <c r="D134" i="18"/>
  <c r="B134" i="18"/>
  <c r="A134" i="18"/>
  <c r="I134" i="18" s="1"/>
  <c r="G133" i="18"/>
  <c r="F133" i="18"/>
  <c r="E133" i="18"/>
  <c r="D133" i="18"/>
  <c r="B133" i="18"/>
  <c r="A133" i="18"/>
  <c r="I133" i="18" s="1"/>
  <c r="G132" i="18"/>
  <c r="F132" i="18"/>
  <c r="E132" i="18"/>
  <c r="D132" i="18"/>
  <c r="B132" i="18"/>
  <c r="A132" i="18"/>
  <c r="I132" i="18" s="1"/>
  <c r="G131" i="18"/>
  <c r="F131" i="18"/>
  <c r="E131" i="18"/>
  <c r="D131" i="18"/>
  <c r="B131" i="18"/>
  <c r="A131" i="18"/>
  <c r="I131" i="18" s="1"/>
  <c r="G130" i="18"/>
  <c r="F130" i="18"/>
  <c r="E130" i="18"/>
  <c r="D130" i="18"/>
  <c r="B130" i="18"/>
  <c r="A130" i="18"/>
  <c r="I130" i="18" s="1"/>
  <c r="G129" i="18"/>
  <c r="F129" i="18"/>
  <c r="E129" i="18"/>
  <c r="D129" i="18"/>
  <c r="B129" i="18"/>
  <c r="A129" i="18"/>
  <c r="I129" i="18" s="1"/>
  <c r="G128" i="18"/>
  <c r="F128" i="18"/>
  <c r="E128" i="18"/>
  <c r="D128" i="18"/>
  <c r="B128" i="18"/>
  <c r="A128" i="18"/>
  <c r="I128" i="18" s="1"/>
  <c r="G127" i="18"/>
  <c r="F127" i="18"/>
  <c r="E127" i="18"/>
  <c r="D127" i="18"/>
  <c r="B127" i="18"/>
  <c r="A127" i="18"/>
  <c r="I127" i="18" s="1"/>
  <c r="G126" i="18"/>
  <c r="F126" i="18"/>
  <c r="E126" i="18"/>
  <c r="D126" i="18"/>
  <c r="B126" i="18"/>
  <c r="A126" i="18"/>
  <c r="I126" i="18" s="1"/>
  <c r="G125" i="18"/>
  <c r="F125" i="18"/>
  <c r="E125" i="18"/>
  <c r="D125" i="18"/>
  <c r="B125" i="18"/>
  <c r="A125" i="18"/>
  <c r="I125" i="18" s="1"/>
  <c r="G124" i="18"/>
  <c r="F124" i="18"/>
  <c r="E124" i="18"/>
  <c r="D124" i="18"/>
  <c r="B124" i="18"/>
  <c r="A124" i="18"/>
  <c r="I124" i="18" s="1"/>
  <c r="G123" i="18"/>
  <c r="F123" i="18"/>
  <c r="E123" i="18"/>
  <c r="D123" i="18"/>
  <c r="B123" i="18"/>
  <c r="A123" i="18"/>
  <c r="I123" i="18" s="1"/>
  <c r="G122" i="18"/>
  <c r="F122" i="18"/>
  <c r="E122" i="18"/>
  <c r="D122" i="18"/>
  <c r="B122" i="18"/>
  <c r="A122" i="18"/>
  <c r="I122" i="18" s="1"/>
  <c r="G121" i="18"/>
  <c r="F121" i="18"/>
  <c r="E121" i="18"/>
  <c r="D121" i="18"/>
  <c r="B121" i="18"/>
  <c r="A121" i="18"/>
  <c r="I121" i="18" s="1"/>
  <c r="G120" i="18"/>
  <c r="F120" i="18"/>
  <c r="E120" i="18"/>
  <c r="D120" i="18"/>
  <c r="B120" i="18"/>
  <c r="A120" i="18"/>
  <c r="I120" i="18" s="1"/>
  <c r="G119" i="18"/>
  <c r="F119" i="18"/>
  <c r="E119" i="18"/>
  <c r="D119" i="18"/>
  <c r="B119" i="18"/>
  <c r="A119" i="18"/>
  <c r="I119" i="18" s="1"/>
  <c r="G118" i="18"/>
  <c r="F118" i="18"/>
  <c r="E118" i="18"/>
  <c r="D118" i="18"/>
  <c r="B118" i="18"/>
  <c r="A118" i="18"/>
  <c r="I118" i="18" s="1"/>
  <c r="G117" i="18"/>
  <c r="F117" i="18"/>
  <c r="E117" i="18"/>
  <c r="D117" i="18"/>
  <c r="B117" i="18"/>
  <c r="A117" i="18"/>
  <c r="I117" i="18" s="1"/>
  <c r="G116" i="18"/>
  <c r="F116" i="18"/>
  <c r="E116" i="18"/>
  <c r="D116" i="18"/>
  <c r="B116" i="18"/>
  <c r="A116" i="18"/>
  <c r="I116" i="18" s="1"/>
  <c r="G115" i="18"/>
  <c r="F115" i="18"/>
  <c r="E115" i="18"/>
  <c r="D115" i="18"/>
  <c r="B115" i="18"/>
  <c r="A115" i="18"/>
  <c r="I115" i="18" s="1"/>
  <c r="G114" i="18"/>
  <c r="F114" i="18"/>
  <c r="E114" i="18"/>
  <c r="D114" i="18"/>
  <c r="B114" i="18"/>
  <c r="A114" i="18"/>
  <c r="I114" i="18" s="1"/>
  <c r="G113" i="18"/>
  <c r="F113" i="18"/>
  <c r="E113" i="18"/>
  <c r="D113" i="18"/>
  <c r="B113" i="18"/>
  <c r="A113" i="18"/>
  <c r="I113" i="18" s="1"/>
  <c r="G112" i="18"/>
  <c r="F112" i="18"/>
  <c r="E112" i="18"/>
  <c r="D112" i="18"/>
  <c r="B112" i="18"/>
  <c r="A112" i="18"/>
  <c r="I112" i="18" s="1"/>
  <c r="G111" i="18"/>
  <c r="F111" i="18"/>
  <c r="E111" i="18"/>
  <c r="D111" i="18"/>
  <c r="B111" i="18"/>
  <c r="A111" i="18"/>
  <c r="I111" i="18" s="1"/>
  <c r="G110" i="18"/>
  <c r="F110" i="18"/>
  <c r="E110" i="18"/>
  <c r="D110" i="18"/>
  <c r="B110" i="18"/>
  <c r="A110" i="18"/>
  <c r="I110" i="18" s="1"/>
  <c r="G109" i="18"/>
  <c r="F109" i="18"/>
  <c r="E109" i="18"/>
  <c r="D109" i="18"/>
  <c r="B109" i="18"/>
  <c r="A109" i="18"/>
  <c r="I109" i="18" s="1"/>
  <c r="G108" i="18"/>
  <c r="F108" i="18"/>
  <c r="E108" i="18"/>
  <c r="D108" i="18"/>
  <c r="B108" i="18"/>
  <c r="A108" i="18"/>
  <c r="I108" i="18" s="1"/>
  <c r="G107" i="18"/>
  <c r="F107" i="18"/>
  <c r="E107" i="18"/>
  <c r="D107" i="18"/>
  <c r="B107" i="18"/>
  <c r="A107" i="18"/>
  <c r="I107" i="18" s="1"/>
  <c r="G106" i="18"/>
  <c r="F106" i="18"/>
  <c r="E106" i="18"/>
  <c r="D106" i="18"/>
  <c r="B106" i="18"/>
  <c r="A106" i="18"/>
  <c r="I106" i="18" s="1"/>
  <c r="G105" i="18"/>
  <c r="F105" i="18"/>
  <c r="E105" i="18"/>
  <c r="D105" i="18"/>
  <c r="B105" i="18"/>
  <c r="A105" i="18"/>
  <c r="I105" i="18" s="1"/>
  <c r="G104" i="18"/>
  <c r="F104" i="18"/>
  <c r="E104" i="18"/>
  <c r="D104" i="18"/>
  <c r="B104" i="18"/>
  <c r="A104" i="18"/>
  <c r="I104" i="18" s="1"/>
  <c r="G103" i="18"/>
  <c r="F103" i="18"/>
  <c r="E103" i="18"/>
  <c r="D103" i="18"/>
  <c r="B103" i="18"/>
  <c r="A103" i="18"/>
  <c r="I103" i="18" s="1"/>
  <c r="G102" i="18"/>
  <c r="F102" i="18"/>
  <c r="E102" i="18"/>
  <c r="D102" i="18"/>
  <c r="B102" i="18"/>
  <c r="A102" i="18"/>
  <c r="I102" i="18" s="1"/>
  <c r="G101" i="18"/>
  <c r="F101" i="18"/>
  <c r="E101" i="18"/>
  <c r="D101" i="18"/>
  <c r="B101" i="18"/>
  <c r="A101" i="18"/>
  <c r="I101" i="18" s="1"/>
  <c r="G100" i="18"/>
  <c r="F100" i="18"/>
  <c r="E100" i="18"/>
  <c r="D100" i="18"/>
  <c r="B100" i="18"/>
  <c r="A100" i="18"/>
  <c r="I100" i="18" s="1"/>
  <c r="G99" i="18"/>
  <c r="F99" i="18"/>
  <c r="E99" i="18"/>
  <c r="D99" i="18"/>
  <c r="B99" i="18"/>
  <c r="A99" i="18"/>
  <c r="I99" i="18" s="1"/>
  <c r="G98" i="18"/>
  <c r="F98" i="18"/>
  <c r="E98" i="18"/>
  <c r="D98" i="18"/>
  <c r="B98" i="18"/>
  <c r="A98" i="18"/>
  <c r="I98" i="18" s="1"/>
  <c r="G97" i="18"/>
  <c r="F97" i="18"/>
  <c r="E97" i="18"/>
  <c r="D97" i="18"/>
  <c r="B97" i="18"/>
  <c r="A97" i="18"/>
  <c r="I97" i="18" s="1"/>
  <c r="G96" i="18"/>
  <c r="F96" i="18"/>
  <c r="E96" i="18"/>
  <c r="D96" i="18"/>
  <c r="B96" i="18"/>
  <c r="A96" i="18"/>
  <c r="I96" i="18" s="1"/>
  <c r="G95" i="18"/>
  <c r="F95" i="18"/>
  <c r="E95" i="18"/>
  <c r="D95" i="18"/>
  <c r="B95" i="18"/>
  <c r="A95" i="18"/>
  <c r="I95" i="18" s="1"/>
  <c r="G94" i="18"/>
  <c r="F94" i="18"/>
  <c r="E94" i="18"/>
  <c r="D94" i="18"/>
  <c r="B94" i="18"/>
  <c r="A94" i="18"/>
  <c r="I94" i="18" s="1"/>
  <c r="G93" i="18"/>
  <c r="F93" i="18"/>
  <c r="E93" i="18"/>
  <c r="D93" i="18"/>
  <c r="B93" i="18"/>
  <c r="A93" i="18"/>
  <c r="I93" i="18" s="1"/>
  <c r="G92" i="18"/>
  <c r="F92" i="18"/>
  <c r="E92" i="18"/>
  <c r="D92" i="18"/>
  <c r="B92" i="18"/>
  <c r="A92" i="18"/>
  <c r="I92" i="18" s="1"/>
  <c r="G91" i="18"/>
  <c r="F91" i="18"/>
  <c r="E91" i="18"/>
  <c r="D91" i="18"/>
  <c r="B91" i="18"/>
  <c r="A91" i="18"/>
  <c r="I91" i="18" s="1"/>
  <c r="G90" i="18"/>
  <c r="F90" i="18"/>
  <c r="E90" i="18"/>
  <c r="D90" i="18"/>
  <c r="B90" i="18"/>
  <c r="A90" i="18"/>
  <c r="I90" i="18" s="1"/>
  <c r="G89" i="18"/>
  <c r="F89" i="18"/>
  <c r="E89" i="18"/>
  <c r="D89" i="18"/>
  <c r="B89" i="18"/>
  <c r="A89" i="18"/>
  <c r="I89" i="18" s="1"/>
  <c r="G88" i="18"/>
  <c r="F88" i="18"/>
  <c r="E88" i="18"/>
  <c r="D88" i="18"/>
  <c r="B88" i="18"/>
  <c r="A88" i="18"/>
  <c r="I88" i="18" s="1"/>
  <c r="G87" i="18"/>
  <c r="F87" i="18"/>
  <c r="E87" i="18"/>
  <c r="D87" i="18"/>
  <c r="B87" i="18"/>
  <c r="A87" i="18"/>
  <c r="I87" i="18" s="1"/>
  <c r="G86" i="18"/>
  <c r="F86" i="18"/>
  <c r="E86" i="18"/>
  <c r="D86" i="18"/>
  <c r="B86" i="18"/>
  <c r="A86" i="18"/>
  <c r="I86" i="18" s="1"/>
  <c r="G85" i="18"/>
  <c r="F85" i="18"/>
  <c r="E85" i="18"/>
  <c r="D85" i="18"/>
  <c r="B85" i="18"/>
  <c r="A85" i="18"/>
  <c r="I85" i="18" s="1"/>
  <c r="G84" i="18"/>
  <c r="F84" i="18"/>
  <c r="E84" i="18"/>
  <c r="D84" i="18"/>
  <c r="B84" i="18"/>
  <c r="A84" i="18"/>
  <c r="I84" i="18" s="1"/>
  <c r="G83" i="18"/>
  <c r="F83" i="18"/>
  <c r="E83" i="18"/>
  <c r="D83" i="18"/>
  <c r="B83" i="18"/>
  <c r="A83" i="18"/>
  <c r="I83" i="18" s="1"/>
  <c r="G82" i="18"/>
  <c r="F82" i="18"/>
  <c r="E82" i="18"/>
  <c r="D82" i="18"/>
  <c r="B82" i="18"/>
  <c r="A82" i="18"/>
  <c r="I82" i="18" s="1"/>
  <c r="G81" i="18"/>
  <c r="F81" i="18"/>
  <c r="E81" i="18"/>
  <c r="D81" i="18"/>
  <c r="B81" i="18"/>
  <c r="A81" i="18"/>
  <c r="I81" i="18" s="1"/>
  <c r="G80" i="18"/>
  <c r="F80" i="18"/>
  <c r="E80" i="18"/>
  <c r="D80" i="18"/>
  <c r="B80" i="18"/>
  <c r="A80" i="18"/>
  <c r="I80" i="18" s="1"/>
  <c r="G79" i="18"/>
  <c r="F79" i="18"/>
  <c r="E79" i="18"/>
  <c r="D79" i="18"/>
  <c r="B79" i="18"/>
  <c r="A79" i="18"/>
  <c r="I79" i="18" s="1"/>
  <c r="G78" i="18"/>
  <c r="F78" i="18"/>
  <c r="E78" i="18"/>
  <c r="D78" i="18"/>
  <c r="B78" i="18"/>
  <c r="A78" i="18"/>
  <c r="I78" i="18" s="1"/>
  <c r="G77" i="18"/>
  <c r="F77" i="18"/>
  <c r="E77" i="18"/>
  <c r="D77" i="18"/>
  <c r="B77" i="18"/>
  <c r="A77" i="18"/>
  <c r="I77" i="18" s="1"/>
  <c r="G76" i="18"/>
  <c r="F76" i="18"/>
  <c r="E76" i="18"/>
  <c r="D76" i="18"/>
  <c r="B76" i="18"/>
  <c r="A76" i="18"/>
  <c r="I76" i="18" s="1"/>
  <c r="G75" i="18"/>
  <c r="F75" i="18"/>
  <c r="E75" i="18"/>
  <c r="D75" i="18"/>
  <c r="B75" i="18"/>
  <c r="A75" i="18"/>
  <c r="I75" i="18" s="1"/>
  <c r="G74" i="18"/>
  <c r="F74" i="18"/>
  <c r="E74" i="18"/>
  <c r="D74" i="18"/>
  <c r="B74" i="18"/>
  <c r="A74" i="18"/>
  <c r="I74" i="18" s="1"/>
  <c r="G73" i="18"/>
  <c r="F73" i="18"/>
  <c r="E73" i="18"/>
  <c r="D73" i="18"/>
  <c r="B73" i="18"/>
  <c r="A73" i="18"/>
  <c r="I73" i="18" s="1"/>
  <c r="G72" i="18"/>
  <c r="F72" i="18"/>
  <c r="E72" i="18"/>
  <c r="D72" i="18"/>
  <c r="B72" i="18"/>
  <c r="A72" i="18"/>
  <c r="I72" i="18" s="1"/>
  <c r="G71" i="18"/>
  <c r="F71" i="18"/>
  <c r="E71" i="18"/>
  <c r="D71" i="18"/>
  <c r="B71" i="18"/>
  <c r="A71" i="18"/>
  <c r="I71" i="18" s="1"/>
  <c r="G70" i="18"/>
  <c r="F70" i="18"/>
  <c r="E70" i="18"/>
  <c r="D70" i="18"/>
  <c r="B70" i="18"/>
  <c r="A70" i="18"/>
  <c r="I70" i="18" s="1"/>
  <c r="G69" i="18"/>
  <c r="F69" i="18"/>
  <c r="E69" i="18"/>
  <c r="D69" i="18"/>
  <c r="B69" i="18"/>
  <c r="A69" i="18"/>
  <c r="I69" i="18" s="1"/>
  <c r="G68" i="18"/>
  <c r="F68" i="18"/>
  <c r="E68" i="18"/>
  <c r="D68" i="18"/>
  <c r="B68" i="18"/>
  <c r="A68" i="18"/>
  <c r="I68" i="18" s="1"/>
  <c r="G67" i="18"/>
  <c r="F67" i="18"/>
  <c r="E67" i="18"/>
  <c r="D67" i="18"/>
  <c r="B67" i="18"/>
  <c r="A67" i="18"/>
  <c r="I67" i="18" s="1"/>
  <c r="G66" i="18"/>
  <c r="F66" i="18"/>
  <c r="E66" i="18"/>
  <c r="D66" i="18"/>
  <c r="B66" i="18"/>
  <c r="A66" i="18"/>
  <c r="I66" i="18" s="1"/>
  <c r="G65" i="18"/>
  <c r="F65" i="18"/>
  <c r="E65" i="18"/>
  <c r="D65" i="18"/>
  <c r="B65" i="18"/>
  <c r="A65" i="18"/>
  <c r="I65" i="18" s="1"/>
  <c r="G64" i="18"/>
  <c r="F64" i="18"/>
  <c r="E64" i="18"/>
  <c r="D64" i="18"/>
  <c r="B64" i="18"/>
  <c r="A64" i="18"/>
  <c r="I64" i="18" s="1"/>
  <c r="G63" i="18"/>
  <c r="F63" i="18"/>
  <c r="E63" i="18"/>
  <c r="D63" i="18"/>
  <c r="B63" i="18"/>
  <c r="A63" i="18"/>
  <c r="I63" i="18" s="1"/>
  <c r="G62" i="18"/>
  <c r="F62" i="18"/>
  <c r="E62" i="18"/>
  <c r="D62" i="18"/>
  <c r="B62" i="18"/>
  <c r="A62" i="18"/>
  <c r="I62" i="18" s="1"/>
  <c r="G61" i="18"/>
  <c r="F61" i="18"/>
  <c r="E61" i="18"/>
  <c r="D61" i="18"/>
  <c r="B61" i="18"/>
  <c r="A61" i="18"/>
  <c r="I61" i="18" s="1"/>
  <c r="G60" i="18"/>
  <c r="F60" i="18"/>
  <c r="E60" i="18"/>
  <c r="D60" i="18"/>
  <c r="B60" i="18"/>
  <c r="A60" i="18"/>
  <c r="I60" i="18" s="1"/>
  <c r="G59" i="18"/>
  <c r="F59" i="18"/>
  <c r="E59" i="18"/>
  <c r="D59" i="18"/>
  <c r="B59" i="18"/>
  <c r="A59" i="18"/>
  <c r="I59" i="18" s="1"/>
  <c r="G58" i="18"/>
  <c r="F58" i="18"/>
  <c r="E58" i="18"/>
  <c r="D58" i="18"/>
  <c r="B58" i="18"/>
  <c r="A58" i="18"/>
  <c r="I58" i="18" s="1"/>
  <c r="G57" i="18"/>
  <c r="F57" i="18"/>
  <c r="E57" i="18"/>
  <c r="D57" i="18"/>
  <c r="B57" i="18"/>
  <c r="A57" i="18"/>
  <c r="I57" i="18" s="1"/>
  <c r="G56" i="18"/>
  <c r="F56" i="18"/>
  <c r="E56" i="18"/>
  <c r="D56" i="18"/>
  <c r="B56" i="18"/>
  <c r="A56" i="18"/>
  <c r="I56" i="18" s="1"/>
  <c r="G55" i="18"/>
  <c r="F55" i="18"/>
  <c r="E55" i="18"/>
  <c r="D55" i="18"/>
  <c r="B55" i="18"/>
  <c r="A55" i="18"/>
  <c r="I55" i="18" s="1"/>
  <c r="G54" i="18"/>
  <c r="F54" i="18"/>
  <c r="E54" i="18"/>
  <c r="D54" i="18"/>
  <c r="B54" i="18"/>
  <c r="A54" i="18"/>
  <c r="I54" i="18" s="1"/>
  <c r="G53" i="18"/>
  <c r="F53" i="18"/>
  <c r="E53" i="18"/>
  <c r="D53" i="18"/>
  <c r="B53" i="18"/>
  <c r="A53" i="18"/>
  <c r="I53" i="18" s="1"/>
  <c r="G52" i="18"/>
  <c r="F52" i="18"/>
  <c r="E52" i="18"/>
  <c r="D52" i="18"/>
  <c r="B52" i="18"/>
  <c r="A52" i="18"/>
  <c r="I52" i="18" s="1"/>
  <c r="G51" i="18"/>
  <c r="F51" i="18"/>
  <c r="E51" i="18"/>
  <c r="D51" i="18"/>
  <c r="B51" i="18"/>
  <c r="A51" i="18"/>
  <c r="I51" i="18" s="1"/>
  <c r="G50" i="18"/>
  <c r="F50" i="18"/>
  <c r="E50" i="18"/>
  <c r="D50" i="18"/>
  <c r="B50" i="18"/>
  <c r="A50" i="18"/>
  <c r="I50" i="18" s="1"/>
  <c r="G49" i="18"/>
  <c r="F49" i="18"/>
  <c r="E49" i="18"/>
  <c r="D49" i="18"/>
  <c r="B49" i="18"/>
  <c r="A49" i="18"/>
  <c r="I49" i="18" s="1"/>
  <c r="G48" i="18"/>
  <c r="F48" i="18"/>
  <c r="E48" i="18"/>
  <c r="D48" i="18"/>
  <c r="B48" i="18"/>
  <c r="A48" i="18"/>
  <c r="I48" i="18" s="1"/>
  <c r="G47" i="18"/>
  <c r="F47" i="18"/>
  <c r="E47" i="18"/>
  <c r="D47" i="18"/>
  <c r="B47" i="18"/>
  <c r="A47" i="18"/>
  <c r="I47" i="18" s="1"/>
  <c r="G46" i="18"/>
  <c r="F46" i="18"/>
  <c r="E46" i="18"/>
  <c r="D46" i="18"/>
  <c r="B46" i="18"/>
  <c r="A46" i="18"/>
  <c r="I46" i="18" s="1"/>
  <c r="G45" i="18"/>
  <c r="F45" i="18"/>
  <c r="E45" i="18"/>
  <c r="D45" i="18"/>
  <c r="B45" i="18"/>
  <c r="A45" i="18"/>
  <c r="I45" i="18" s="1"/>
  <c r="G44" i="18"/>
  <c r="F44" i="18"/>
  <c r="E44" i="18"/>
  <c r="D44" i="18"/>
  <c r="B44" i="18"/>
  <c r="A44" i="18"/>
  <c r="I44" i="18" s="1"/>
  <c r="G43" i="18"/>
  <c r="F43" i="18"/>
  <c r="E43" i="18"/>
  <c r="D43" i="18"/>
  <c r="B43" i="18"/>
  <c r="A43" i="18"/>
  <c r="I43" i="18" s="1"/>
  <c r="G42" i="18"/>
  <c r="F42" i="18"/>
  <c r="E42" i="18"/>
  <c r="D42" i="18"/>
  <c r="B42" i="18"/>
  <c r="A42" i="18"/>
  <c r="I42" i="18" s="1"/>
  <c r="G41" i="18"/>
  <c r="F41" i="18"/>
  <c r="E41" i="18"/>
  <c r="D41" i="18"/>
  <c r="B41" i="18"/>
  <c r="A41" i="18"/>
  <c r="I41" i="18" s="1"/>
  <c r="G40" i="18"/>
  <c r="F40" i="18"/>
  <c r="E40" i="18"/>
  <c r="D40" i="18"/>
  <c r="B40" i="18"/>
  <c r="A40" i="18"/>
  <c r="I40" i="18" s="1"/>
  <c r="G39" i="18"/>
  <c r="F39" i="18"/>
  <c r="E39" i="18"/>
  <c r="D39" i="18"/>
  <c r="B39" i="18"/>
  <c r="A39" i="18"/>
  <c r="I39" i="18" s="1"/>
  <c r="G38" i="18"/>
  <c r="F38" i="18"/>
  <c r="E38" i="18"/>
  <c r="D38" i="18"/>
  <c r="B38" i="18"/>
  <c r="A38" i="18"/>
  <c r="I38" i="18" s="1"/>
  <c r="G37" i="18"/>
  <c r="F37" i="18"/>
  <c r="E37" i="18"/>
  <c r="D37" i="18"/>
  <c r="B37" i="18"/>
  <c r="A37" i="18"/>
  <c r="I37" i="18" s="1"/>
  <c r="G36" i="18"/>
  <c r="F36" i="18"/>
  <c r="E36" i="18"/>
  <c r="D36" i="18"/>
  <c r="B36" i="18"/>
  <c r="A36" i="18"/>
  <c r="I36" i="18" s="1"/>
  <c r="G35" i="18"/>
  <c r="F35" i="18"/>
  <c r="E35" i="18"/>
  <c r="D35" i="18"/>
  <c r="B35" i="18"/>
  <c r="A35" i="18"/>
  <c r="I35" i="18" s="1"/>
  <c r="G34" i="18"/>
  <c r="F34" i="18"/>
  <c r="E34" i="18"/>
  <c r="D34" i="18"/>
  <c r="B34" i="18"/>
  <c r="A34" i="18"/>
  <c r="I34" i="18" s="1"/>
  <c r="G33" i="18"/>
  <c r="F33" i="18"/>
  <c r="E33" i="18"/>
  <c r="D33" i="18"/>
  <c r="B33" i="18"/>
  <c r="A33" i="18"/>
  <c r="I33" i="18" s="1"/>
  <c r="G32" i="18"/>
  <c r="F32" i="18"/>
  <c r="E32" i="18"/>
  <c r="D32" i="18"/>
  <c r="B32" i="18"/>
  <c r="A32" i="18"/>
  <c r="I32" i="18" s="1"/>
  <c r="G31" i="18"/>
  <c r="F31" i="18"/>
  <c r="E31" i="18"/>
  <c r="D31" i="18"/>
  <c r="B31" i="18"/>
  <c r="A31" i="18"/>
  <c r="I31" i="18" s="1"/>
  <c r="G30" i="18"/>
  <c r="F30" i="18"/>
  <c r="E30" i="18"/>
  <c r="D30" i="18"/>
  <c r="B30" i="18"/>
  <c r="A30" i="18"/>
  <c r="I30" i="18" s="1"/>
  <c r="G29" i="18"/>
  <c r="F29" i="18"/>
  <c r="E29" i="18"/>
  <c r="D29" i="18"/>
  <c r="B29" i="18"/>
  <c r="A29" i="18"/>
  <c r="I29" i="18" s="1"/>
  <c r="G28" i="18"/>
  <c r="F28" i="18"/>
  <c r="E28" i="18"/>
  <c r="D28" i="18"/>
  <c r="B28" i="18"/>
  <c r="A28" i="18"/>
  <c r="I28" i="18" s="1"/>
  <c r="G27" i="18"/>
  <c r="F27" i="18"/>
  <c r="E27" i="18"/>
  <c r="D27" i="18"/>
  <c r="B27" i="18"/>
  <c r="A27" i="18"/>
  <c r="I27" i="18" s="1"/>
  <c r="G26" i="18"/>
  <c r="F26" i="18"/>
  <c r="E26" i="18"/>
  <c r="D26" i="18"/>
  <c r="B26" i="18"/>
  <c r="A26" i="18"/>
  <c r="I26" i="18" s="1"/>
  <c r="G25" i="18"/>
  <c r="F25" i="18"/>
  <c r="E25" i="18"/>
  <c r="D25" i="18"/>
  <c r="B25" i="18"/>
  <c r="A25" i="18"/>
  <c r="I25" i="18" s="1"/>
  <c r="G24" i="18"/>
  <c r="F24" i="18"/>
  <c r="E24" i="18"/>
  <c r="D24" i="18"/>
  <c r="B24" i="18"/>
  <c r="A24" i="18"/>
  <c r="I24" i="18" s="1"/>
  <c r="G23" i="18"/>
  <c r="F23" i="18"/>
  <c r="E23" i="18"/>
  <c r="D23" i="18"/>
  <c r="B23" i="18"/>
  <c r="A23" i="18"/>
  <c r="I23" i="18" s="1"/>
  <c r="G22" i="18"/>
  <c r="F22" i="18"/>
  <c r="E22" i="18"/>
  <c r="D22" i="18"/>
  <c r="B22" i="18"/>
  <c r="A22" i="18"/>
  <c r="I22" i="18" s="1"/>
  <c r="G21" i="18"/>
  <c r="F21" i="18"/>
  <c r="E21" i="18"/>
  <c r="D21" i="18"/>
  <c r="B21" i="18"/>
  <c r="A21" i="18"/>
  <c r="I21" i="18" s="1"/>
  <c r="G20" i="18"/>
  <c r="F20" i="18"/>
  <c r="E20" i="18"/>
  <c r="D20" i="18"/>
  <c r="B20" i="18"/>
  <c r="A20" i="18"/>
  <c r="I20" i="18" s="1"/>
  <c r="G19" i="18"/>
  <c r="F19" i="18"/>
  <c r="E19" i="18"/>
  <c r="D19" i="18"/>
  <c r="B19" i="18"/>
  <c r="A19" i="18"/>
  <c r="I19" i="18" s="1"/>
  <c r="G18" i="18"/>
  <c r="F18" i="18"/>
  <c r="E18" i="18"/>
  <c r="D18" i="18"/>
  <c r="B18" i="18"/>
  <c r="A18" i="18"/>
  <c r="I18" i="18" s="1"/>
  <c r="G17" i="18"/>
  <c r="F17" i="18"/>
  <c r="E17" i="18"/>
  <c r="D17" i="18"/>
  <c r="B17" i="18"/>
  <c r="A17" i="18"/>
  <c r="I17" i="18" s="1"/>
  <c r="G16" i="18"/>
  <c r="F16" i="18"/>
  <c r="E16" i="18"/>
  <c r="D16" i="18"/>
  <c r="B16" i="18"/>
  <c r="A16" i="18"/>
  <c r="I16" i="18" s="1"/>
  <c r="G15" i="18"/>
  <c r="F15" i="18"/>
  <c r="E15" i="18"/>
  <c r="D15" i="18"/>
  <c r="B15" i="18"/>
  <c r="A15" i="18"/>
  <c r="I15" i="18" s="1"/>
  <c r="G14" i="18"/>
  <c r="F14" i="18"/>
  <c r="E14" i="18"/>
  <c r="D14" i="18"/>
  <c r="B14" i="18"/>
  <c r="A14" i="18"/>
  <c r="I14" i="18" s="1"/>
  <c r="G13" i="18"/>
  <c r="F13" i="18"/>
  <c r="E13" i="18"/>
  <c r="D13" i="18"/>
  <c r="B13" i="18"/>
  <c r="A13" i="18"/>
  <c r="I13" i="18" s="1"/>
  <c r="G12" i="18"/>
  <c r="F12" i="18"/>
  <c r="E12" i="18"/>
  <c r="D12" i="18"/>
  <c r="B12" i="18"/>
  <c r="A12" i="18"/>
  <c r="I12" i="18" s="1"/>
  <c r="G11" i="18"/>
  <c r="F11" i="18"/>
  <c r="E11" i="18"/>
  <c r="D11" i="18"/>
  <c r="B11" i="18"/>
  <c r="A11" i="18"/>
  <c r="I11" i="18" s="1"/>
  <c r="A10" i="18"/>
  <c r="I10" i="18" s="1"/>
  <c r="G10" i="18"/>
  <c r="F10" i="18"/>
  <c r="E10" i="18"/>
  <c r="D10" i="18"/>
  <c r="B10" i="18"/>
  <c r="G7" i="18"/>
  <c r="F7" i="18"/>
  <c r="H6" i="17"/>
  <c r="H6" i="18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G146" i="17"/>
  <c r="F146" i="17"/>
  <c r="E146" i="17"/>
  <c r="D146" i="17"/>
  <c r="C146" i="17"/>
  <c r="B146" i="17"/>
  <c r="G145" i="17"/>
  <c r="F145" i="17"/>
  <c r="E145" i="17"/>
  <c r="D145" i="17"/>
  <c r="C145" i="17"/>
  <c r="B145" i="17"/>
  <c r="G144" i="17"/>
  <c r="F144" i="17"/>
  <c r="E144" i="17"/>
  <c r="D144" i="17"/>
  <c r="C144" i="17"/>
  <c r="B144" i="17"/>
  <c r="G143" i="17"/>
  <c r="F143" i="17"/>
  <c r="H143" i="17" s="1"/>
  <c r="E143" i="17"/>
  <c r="D143" i="17"/>
  <c r="C143" i="17"/>
  <c r="B143" i="17"/>
  <c r="G142" i="17"/>
  <c r="F142" i="17"/>
  <c r="E142" i="17"/>
  <c r="D142" i="17"/>
  <c r="C142" i="17"/>
  <c r="B142" i="17"/>
  <c r="G141" i="17"/>
  <c r="F141" i="17"/>
  <c r="H141" i="17" s="1"/>
  <c r="E141" i="17"/>
  <c r="D141" i="17"/>
  <c r="C141" i="17"/>
  <c r="B141" i="17"/>
  <c r="G140" i="17"/>
  <c r="F140" i="17"/>
  <c r="E140" i="17"/>
  <c r="D140" i="17"/>
  <c r="C140" i="17"/>
  <c r="B140" i="17"/>
  <c r="G139" i="17"/>
  <c r="F139" i="17"/>
  <c r="H139" i="17" s="1"/>
  <c r="E139" i="17"/>
  <c r="D139" i="17"/>
  <c r="C139" i="17"/>
  <c r="B139" i="17"/>
  <c r="G138" i="17"/>
  <c r="F138" i="17"/>
  <c r="E138" i="17"/>
  <c r="D138" i="17"/>
  <c r="C138" i="17"/>
  <c r="B138" i="17"/>
  <c r="G137" i="17"/>
  <c r="F137" i="17"/>
  <c r="H137" i="17" s="1"/>
  <c r="E137" i="17"/>
  <c r="D137" i="17"/>
  <c r="C137" i="17"/>
  <c r="B137" i="17"/>
  <c r="G136" i="17"/>
  <c r="F136" i="17"/>
  <c r="E136" i="17"/>
  <c r="D136" i="17"/>
  <c r="C136" i="17"/>
  <c r="B136" i="17"/>
  <c r="G135" i="17"/>
  <c r="F135" i="17"/>
  <c r="H135" i="17" s="1"/>
  <c r="E135" i="17"/>
  <c r="D135" i="17"/>
  <c r="C135" i="17"/>
  <c r="B135" i="17"/>
  <c r="G134" i="17"/>
  <c r="F134" i="17"/>
  <c r="E134" i="17"/>
  <c r="D134" i="17"/>
  <c r="C134" i="17"/>
  <c r="B134" i="17"/>
  <c r="G133" i="17"/>
  <c r="F133" i="17"/>
  <c r="H133" i="17" s="1"/>
  <c r="E133" i="17"/>
  <c r="D133" i="17"/>
  <c r="C133" i="17"/>
  <c r="B133" i="17"/>
  <c r="G132" i="17"/>
  <c r="F132" i="17"/>
  <c r="E132" i="17"/>
  <c r="D132" i="17"/>
  <c r="C132" i="17"/>
  <c r="B132" i="17"/>
  <c r="G131" i="17"/>
  <c r="F131" i="17"/>
  <c r="E131" i="17"/>
  <c r="D131" i="17"/>
  <c r="C131" i="17"/>
  <c r="B131" i="17"/>
  <c r="G130" i="17"/>
  <c r="F130" i="17"/>
  <c r="E130" i="17"/>
  <c r="D130" i="17"/>
  <c r="C130" i="17"/>
  <c r="B130" i="17"/>
  <c r="G129" i="17"/>
  <c r="F129" i="17"/>
  <c r="E129" i="17"/>
  <c r="D129" i="17"/>
  <c r="C129" i="17"/>
  <c r="B129" i="17"/>
  <c r="G128" i="17"/>
  <c r="F128" i="17"/>
  <c r="E128" i="17"/>
  <c r="D128" i="17"/>
  <c r="C128" i="17"/>
  <c r="B128" i="17"/>
  <c r="G127" i="17"/>
  <c r="F127" i="17"/>
  <c r="E127" i="17"/>
  <c r="D127" i="17"/>
  <c r="C127" i="17"/>
  <c r="B127" i="17"/>
  <c r="G126" i="17"/>
  <c r="F126" i="17"/>
  <c r="E126" i="17"/>
  <c r="D126" i="17"/>
  <c r="C126" i="17"/>
  <c r="B126" i="17"/>
  <c r="G125" i="17"/>
  <c r="F125" i="17"/>
  <c r="H125" i="17" s="1"/>
  <c r="E125" i="17"/>
  <c r="D125" i="17"/>
  <c r="C125" i="17"/>
  <c r="B125" i="17"/>
  <c r="G124" i="17"/>
  <c r="F124" i="17"/>
  <c r="E124" i="17"/>
  <c r="D124" i="17"/>
  <c r="C124" i="17"/>
  <c r="B124" i="17"/>
  <c r="G123" i="17"/>
  <c r="F123" i="17"/>
  <c r="H123" i="17" s="1"/>
  <c r="E123" i="17"/>
  <c r="D123" i="17"/>
  <c r="C123" i="17"/>
  <c r="B123" i="17"/>
  <c r="G122" i="17"/>
  <c r="F122" i="17"/>
  <c r="E122" i="17"/>
  <c r="D122" i="17"/>
  <c r="C122" i="17"/>
  <c r="B122" i="17"/>
  <c r="G121" i="17"/>
  <c r="F121" i="17"/>
  <c r="H121" i="17" s="1"/>
  <c r="E121" i="17"/>
  <c r="D121" i="17"/>
  <c r="C121" i="17"/>
  <c r="B121" i="17"/>
  <c r="G120" i="17"/>
  <c r="F120" i="17"/>
  <c r="E120" i="17"/>
  <c r="D120" i="17"/>
  <c r="C120" i="17"/>
  <c r="B120" i="17"/>
  <c r="G119" i="17"/>
  <c r="F119" i="17"/>
  <c r="E119" i="17"/>
  <c r="D119" i="17"/>
  <c r="C119" i="17"/>
  <c r="B119" i="17"/>
  <c r="G118" i="17"/>
  <c r="F118" i="17"/>
  <c r="E118" i="17"/>
  <c r="D118" i="17"/>
  <c r="C118" i="17"/>
  <c r="B118" i="17"/>
  <c r="G117" i="17"/>
  <c r="F117" i="17"/>
  <c r="E117" i="17"/>
  <c r="D117" i="17"/>
  <c r="C117" i="17"/>
  <c r="B117" i="17"/>
  <c r="G116" i="17"/>
  <c r="F116" i="17"/>
  <c r="E116" i="17"/>
  <c r="D116" i="17"/>
  <c r="C116" i="17"/>
  <c r="B116" i="17"/>
  <c r="G115" i="17"/>
  <c r="F115" i="17"/>
  <c r="H115" i="17" s="1"/>
  <c r="E115" i="17"/>
  <c r="D115" i="17"/>
  <c r="C115" i="17"/>
  <c r="B115" i="17"/>
  <c r="G114" i="17"/>
  <c r="F114" i="17"/>
  <c r="E114" i="17"/>
  <c r="D114" i="17"/>
  <c r="C114" i="17"/>
  <c r="B114" i="17"/>
  <c r="G113" i="17"/>
  <c r="F113" i="17"/>
  <c r="H113" i="17" s="1"/>
  <c r="E113" i="17"/>
  <c r="D113" i="17"/>
  <c r="C113" i="17"/>
  <c r="B113" i="17"/>
  <c r="G112" i="17"/>
  <c r="F112" i="17"/>
  <c r="E112" i="17"/>
  <c r="D112" i="17"/>
  <c r="C112" i="17"/>
  <c r="B112" i="17"/>
  <c r="G111" i="17"/>
  <c r="F111" i="17"/>
  <c r="E111" i="17"/>
  <c r="D111" i="17"/>
  <c r="C111" i="17"/>
  <c r="B111" i="17"/>
  <c r="G110" i="17"/>
  <c r="F110" i="17"/>
  <c r="E110" i="17"/>
  <c r="D110" i="17"/>
  <c r="C110" i="17"/>
  <c r="B110" i="17"/>
  <c r="G109" i="17"/>
  <c r="F109" i="17"/>
  <c r="E109" i="17"/>
  <c r="D109" i="17"/>
  <c r="C109" i="17"/>
  <c r="B109" i="17"/>
  <c r="G108" i="17"/>
  <c r="F108" i="17"/>
  <c r="E108" i="17"/>
  <c r="D108" i="17"/>
  <c r="C108" i="17"/>
  <c r="B108" i="17"/>
  <c r="G107" i="17"/>
  <c r="F107" i="17"/>
  <c r="H107" i="17" s="1"/>
  <c r="E107" i="17"/>
  <c r="D107" i="17"/>
  <c r="C107" i="17"/>
  <c r="B107" i="17"/>
  <c r="G106" i="17"/>
  <c r="F106" i="17"/>
  <c r="E106" i="17"/>
  <c r="D106" i="17"/>
  <c r="C106" i="17"/>
  <c r="B106" i="17"/>
  <c r="G105" i="17"/>
  <c r="F105" i="17"/>
  <c r="H105" i="17" s="1"/>
  <c r="E105" i="17"/>
  <c r="D105" i="17"/>
  <c r="C105" i="17"/>
  <c r="B105" i="17"/>
  <c r="G104" i="17"/>
  <c r="F104" i="17"/>
  <c r="E104" i="17"/>
  <c r="D104" i="17"/>
  <c r="C104" i="17"/>
  <c r="B104" i="17"/>
  <c r="G103" i="17"/>
  <c r="F103" i="17"/>
  <c r="H103" i="17" s="1"/>
  <c r="E103" i="17"/>
  <c r="D103" i="17"/>
  <c r="C103" i="17"/>
  <c r="B103" i="17"/>
  <c r="G102" i="17"/>
  <c r="F102" i="17"/>
  <c r="E102" i="17"/>
  <c r="D102" i="17"/>
  <c r="C102" i="17"/>
  <c r="B102" i="17"/>
  <c r="G101" i="17"/>
  <c r="F101" i="17"/>
  <c r="H101" i="17" s="1"/>
  <c r="E101" i="17"/>
  <c r="D101" i="17"/>
  <c r="C101" i="17"/>
  <c r="B101" i="17"/>
  <c r="G100" i="17"/>
  <c r="F100" i="17"/>
  <c r="E100" i="17"/>
  <c r="D100" i="17"/>
  <c r="C100" i="17"/>
  <c r="B100" i="17"/>
  <c r="G99" i="17"/>
  <c r="F99" i="17"/>
  <c r="H99" i="17" s="1"/>
  <c r="E99" i="17"/>
  <c r="D99" i="17"/>
  <c r="C99" i="17"/>
  <c r="B99" i="17"/>
  <c r="G98" i="17"/>
  <c r="F98" i="17"/>
  <c r="E98" i="17"/>
  <c r="D98" i="17"/>
  <c r="C98" i="17"/>
  <c r="B98" i="17"/>
  <c r="G97" i="17"/>
  <c r="F97" i="17"/>
  <c r="E97" i="17"/>
  <c r="D97" i="17"/>
  <c r="C97" i="17"/>
  <c r="B97" i="17"/>
  <c r="G96" i="17"/>
  <c r="F96" i="17"/>
  <c r="E96" i="17"/>
  <c r="D96" i="17"/>
  <c r="C96" i="17"/>
  <c r="B96" i="17"/>
  <c r="G95" i="17"/>
  <c r="F95" i="17"/>
  <c r="E95" i="17"/>
  <c r="D95" i="17"/>
  <c r="C95" i="17"/>
  <c r="B95" i="17"/>
  <c r="G94" i="17"/>
  <c r="F94" i="17"/>
  <c r="E94" i="17"/>
  <c r="D94" i="17"/>
  <c r="C94" i="17"/>
  <c r="B94" i="17"/>
  <c r="G93" i="17"/>
  <c r="F93" i="17"/>
  <c r="E93" i="17"/>
  <c r="D93" i="17"/>
  <c r="C93" i="17"/>
  <c r="B93" i="17"/>
  <c r="G92" i="17"/>
  <c r="F92" i="17"/>
  <c r="E92" i="17"/>
  <c r="D92" i="17"/>
  <c r="C92" i="17"/>
  <c r="B92" i="17"/>
  <c r="G91" i="17"/>
  <c r="F91" i="17"/>
  <c r="E91" i="17"/>
  <c r="D91" i="17"/>
  <c r="C91" i="17"/>
  <c r="B91" i="17"/>
  <c r="G90" i="17"/>
  <c r="F90" i="17"/>
  <c r="E90" i="17"/>
  <c r="D90" i="17"/>
  <c r="C90" i="17"/>
  <c r="B90" i="17"/>
  <c r="G89" i="17"/>
  <c r="F89" i="17"/>
  <c r="H89" i="17" s="1"/>
  <c r="E89" i="17"/>
  <c r="D89" i="17"/>
  <c r="C89" i="17"/>
  <c r="B89" i="17"/>
  <c r="G88" i="17"/>
  <c r="F88" i="17"/>
  <c r="E88" i="17"/>
  <c r="D88" i="17"/>
  <c r="C88" i="17"/>
  <c r="B88" i="17"/>
  <c r="G87" i="17"/>
  <c r="F87" i="17"/>
  <c r="H87" i="17" s="1"/>
  <c r="E87" i="17"/>
  <c r="D87" i="17"/>
  <c r="C87" i="17"/>
  <c r="B87" i="17"/>
  <c r="G86" i="17"/>
  <c r="F86" i="17"/>
  <c r="E86" i="17"/>
  <c r="D86" i="17"/>
  <c r="C86" i="17"/>
  <c r="B86" i="17"/>
  <c r="G85" i="17"/>
  <c r="F85" i="17"/>
  <c r="H85" i="17" s="1"/>
  <c r="E85" i="17"/>
  <c r="D85" i="17"/>
  <c r="C85" i="17"/>
  <c r="B85" i="17"/>
  <c r="G84" i="17"/>
  <c r="F84" i="17"/>
  <c r="E84" i="17"/>
  <c r="D84" i="17"/>
  <c r="C84" i="17"/>
  <c r="B84" i="17"/>
  <c r="G83" i="17"/>
  <c r="F83" i="17"/>
  <c r="E83" i="17"/>
  <c r="D83" i="17"/>
  <c r="C83" i="17"/>
  <c r="B83" i="17"/>
  <c r="G82" i="17"/>
  <c r="F82" i="17"/>
  <c r="E82" i="17"/>
  <c r="D82" i="17"/>
  <c r="C82" i="17"/>
  <c r="B82" i="17"/>
  <c r="G81" i="17"/>
  <c r="F81" i="17"/>
  <c r="E81" i="17"/>
  <c r="D81" i="17"/>
  <c r="C81" i="17"/>
  <c r="B81" i="17"/>
  <c r="G80" i="17"/>
  <c r="F80" i="17"/>
  <c r="E80" i="17"/>
  <c r="D80" i="17"/>
  <c r="C80" i="17"/>
  <c r="B80" i="17"/>
  <c r="G79" i="17"/>
  <c r="F79" i="17"/>
  <c r="H79" i="17" s="1"/>
  <c r="E79" i="17"/>
  <c r="D79" i="17"/>
  <c r="C79" i="17"/>
  <c r="B79" i="17"/>
  <c r="G78" i="17"/>
  <c r="F78" i="17"/>
  <c r="E78" i="17"/>
  <c r="D78" i="17"/>
  <c r="C78" i="17"/>
  <c r="B78" i="17"/>
  <c r="G77" i="17"/>
  <c r="F77" i="17"/>
  <c r="E77" i="17"/>
  <c r="D77" i="17"/>
  <c r="C77" i="17"/>
  <c r="B77" i="17"/>
  <c r="G76" i="17"/>
  <c r="F76" i="17"/>
  <c r="E76" i="17"/>
  <c r="D76" i="17"/>
  <c r="C76" i="17"/>
  <c r="B76" i="17"/>
  <c r="G75" i="17"/>
  <c r="F75" i="17"/>
  <c r="H75" i="17" s="1"/>
  <c r="E75" i="17"/>
  <c r="D75" i="17"/>
  <c r="C75" i="17"/>
  <c r="B75" i="17"/>
  <c r="G74" i="17"/>
  <c r="F74" i="17"/>
  <c r="E74" i="17"/>
  <c r="D74" i="17"/>
  <c r="C74" i="17"/>
  <c r="B74" i="17"/>
  <c r="G73" i="17"/>
  <c r="F73" i="17"/>
  <c r="E73" i="17"/>
  <c r="D73" i="17"/>
  <c r="C73" i="17"/>
  <c r="B73" i="17"/>
  <c r="G72" i="17"/>
  <c r="F72" i="17"/>
  <c r="E72" i="17"/>
  <c r="D72" i="17"/>
  <c r="C72" i="17"/>
  <c r="B72" i="17"/>
  <c r="G71" i="17"/>
  <c r="F71" i="17"/>
  <c r="H71" i="17" s="1"/>
  <c r="E71" i="17"/>
  <c r="D71" i="17"/>
  <c r="C71" i="17"/>
  <c r="B71" i="17"/>
  <c r="G70" i="17"/>
  <c r="F70" i="17"/>
  <c r="E70" i="17"/>
  <c r="D70" i="17"/>
  <c r="C70" i="17"/>
  <c r="B70" i="17"/>
  <c r="G69" i="17"/>
  <c r="F69" i="17"/>
  <c r="H69" i="17" s="1"/>
  <c r="E69" i="17"/>
  <c r="D69" i="17"/>
  <c r="C69" i="17"/>
  <c r="B69" i="17"/>
  <c r="G68" i="17"/>
  <c r="F68" i="17"/>
  <c r="E68" i="17"/>
  <c r="D68" i="17"/>
  <c r="C68" i="17"/>
  <c r="B68" i="17"/>
  <c r="G67" i="17"/>
  <c r="F67" i="17"/>
  <c r="H67" i="17" s="1"/>
  <c r="E67" i="17"/>
  <c r="D67" i="17"/>
  <c r="C67" i="17"/>
  <c r="B67" i="17"/>
  <c r="G66" i="17"/>
  <c r="F66" i="17"/>
  <c r="E66" i="17"/>
  <c r="D66" i="17"/>
  <c r="C66" i="17"/>
  <c r="B66" i="17"/>
  <c r="G65" i="17"/>
  <c r="F65" i="17"/>
  <c r="E65" i="17"/>
  <c r="D65" i="17"/>
  <c r="C65" i="17"/>
  <c r="B65" i="17"/>
  <c r="G64" i="17"/>
  <c r="F64" i="17"/>
  <c r="E64" i="17"/>
  <c r="D64" i="17"/>
  <c r="C64" i="17"/>
  <c r="B64" i="17"/>
  <c r="G63" i="17"/>
  <c r="F63" i="17"/>
  <c r="H63" i="17" s="1"/>
  <c r="E63" i="17"/>
  <c r="D63" i="17"/>
  <c r="C63" i="17"/>
  <c r="B63" i="17"/>
  <c r="G62" i="17"/>
  <c r="F62" i="17"/>
  <c r="E62" i="17"/>
  <c r="D62" i="17"/>
  <c r="C62" i="17"/>
  <c r="B62" i="17"/>
  <c r="G61" i="17"/>
  <c r="F61" i="17"/>
  <c r="H61" i="17" s="1"/>
  <c r="E61" i="17"/>
  <c r="D61" i="17"/>
  <c r="C61" i="17"/>
  <c r="B61" i="17"/>
  <c r="G60" i="17"/>
  <c r="F60" i="17"/>
  <c r="E60" i="17"/>
  <c r="D60" i="17"/>
  <c r="C60" i="17"/>
  <c r="B60" i="17"/>
  <c r="G59" i="17"/>
  <c r="F59" i="17"/>
  <c r="E59" i="17"/>
  <c r="D59" i="17"/>
  <c r="C59" i="17"/>
  <c r="B59" i="17"/>
  <c r="G58" i="17"/>
  <c r="F58" i="17"/>
  <c r="E58" i="17"/>
  <c r="D58" i="17"/>
  <c r="C58" i="17"/>
  <c r="B58" i="17"/>
  <c r="G57" i="17"/>
  <c r="F57" i="17"/>
  <c r="E57" i="17"/>
  <c r="D57" i="17"/>
  <c r="C57" i="17"/>
  <c r="B57" i="17"/>
  <c r="G56" i="17"/>
  <c r="F56" i="17"/>
  <c r="E56" i="17"/>
  <c r="D56" i="17"/>
  <c r="C56" i="17"/>
  <c r="B56" i="17"/>
  <c r="G55" i="17"/>
  <c r="F55" i="17"/>
  <c r="E55" i="17"/>
  <c r="D55" i="17"/>
  <c r="C55" i="17"/>
  <c r="B55" i="17"/>
  <c r="G54" i="17"/>
  <c r="F54" i="17"/>
  <c r="E54" i="17"/>
  <c r="D54" i="17"/>
  <c r="C54" i="17"/>
  <c r="B54" i="17"/>
  <c r="G53" i="17"/>
  <c r="F53" i="17"/>
  <c r="E53" i="17"/>
  <c r="D53" i="17"/>
  <c r="C53" i="17"/>
  <c r="B53" i="17"/>
  <c r="G52" i="17"/>
  <c r="F52" i="17"/>
  <c r="E52" i="17"/>
  <c r="D52" i="17"/>
  <c r="C52" i="17"/>
  <c r="B52" i="17"/>
  <c r="G51" i="17"/>
  <c r="F51" i="17"/>
  <c r="E51" i="17"/>
  <c r="D51" i="17"/>
  <c r="C51" i="17"/>
  <c r="B51" i="17"/>
  <c r="G50" i="17"/>
  <c r="F50" i="17"/>
  <c r="E50" i="17"/>
  <c r="D50" i="17"/>
  <c r="C50" i="17"/>
  <c r="B50" i="17"/>
  <c r="G49" i="17"/>
  <c r="F49" i="17"/>
  <c r="E49" i="17"/>
  <c r="D49" i="17"/>
  <c r="C49" i="17"/>
  <c r="B49" i="17"/>
  <c r="G48" i="17"/>
  <c r="F48" i="17"/>
  <c r="E48" i="17"/>
  <c r="D48" i="17"/>
  <c r="C48" i="17"/>
  <c r="B48" i="17"/>
  <c r="G47" i="17"/>
  <c r="F47" i="17"/>
  <c r="E47" i="17"/>
  <c r="D47" i="17"/>
  <c r="C47" i="17"/>
  <c r="B47" i="17"/>
  <c r="G46" i="17"/>
  <c r="F46" i="17"/>
  <c r="E46" i="17"/>
  <c r="D46" i="17"/>
  <c r="C46" i="17"/>
  <c r="B46" i="17"/>
  <c r="G45" i="17"/>
  <c r="F45" i="17"/>
  <c r="E45" i="17"/>
  <c r="D45" i="17"/>
  <c r="C45" i="17"/>
  <c r="B45" i="17"/>
  <c r="G44" i="17"/>
  <c r="F44" i="17"/>
  <c r="E44" i="17"/>
  <c r="D44" i="17"/>
  <c r="C44" i="17"/>
  <c r="B44" i="17"/>
  <c r="G43" i="17"/>
  <c r="F43" i="17"/>
  <c r="E43" i="17"/>
  <c r="D43" i="17"/>
  <c r="C43" i="17"/>
  <c r="B43" i="17"/>
  <c r="G42" i="17"/>
  <c r="F42" i="17"/>
  <c r="E42" i="17"/>
  <c r="D42" i="17"/>
  <c r="C42" i="17"/>
  <c r="B42" i="17"/>
  <c r="G41" i="17"/>
  <c r="F41" i="17"/>
  <c r="H41" i="17" s="1"/>
  <c r="E41" i="17"/>
  <c r="D41" i="17"/>
  <c r="C41" i="17"/>
  <c r="B41" i="17"/>
  <c r="G40" i="17"/>
  <c r="F40" i="17"/>
  <c r="E40" i="17"/>
  <c r="D40" i="17"/>
  <c r="C40" i="17"/>
  <c r="B40" i="17"/>
  <c r="G39" i="17"/>
  <c r="F39" i="17"/>
  <c r="H39" i="17" s="1"/>
  <c r="E39" i="17"/>
  <c r="D39" i="17"/>
  <c r="C39" i="17"/>
  <c r="B39" i="17"/>
  <c r="G38" i="17"/>
  <c r="F38" i="17"/>
  <c r="E38" i="17"/>
  <c r="D38" i="17"/>
  <c r="C38" i="17"/>
  <c r="B38" i="17"/>
  <c r="G37" i="17"/>
  <c r="F37" i="17"/>
  <c r="H37" i="17" s="1"/>
  <c r="E37" i="17"/>
  <c r="D37" i="17"/>
  <c r="C37" i="17"/>
  <c r="B37" i="17"/>
  <c r="G36" i="17"/>
  <c r="F36" i="17"/>
  <c r="E36" i="17"/>
  <c r="D36" i="17"/>
  <c r="C36" i="17"/>
  <c r="B36" i="17"/>
  <c r="G35" i="17"/>
  <c r="F35" i="17"/>
  <c r="H35" i="17" s="1"/>
  <c r="E35" i="17"/>
  <c r="D35" i="17"/>
  <c r="C35" i="17"/>
  <c r="B35" i="17"/>
  <c r="G34" i="17"/>
  <c r="F34" i="17"/>
  <c r="E34" i="17"/>
  <c r="D34" i="17"/>
  <c r="C34" i="17"/>
  <c r="B34" i="17"/>
  <c r="G33" i="17"/>
  <c r="F33" i="17"/>
  <c r="E33" i="17"/>
  <c r="D33" i="17"/>
  <c r="C33" i="17"/>
  <c r="B33" i="17"/>
  <c r="G32" i="17"/>
  <c r="F32" i="17"/>
  <c r="E32" i="17"/>
  <c r="D32" i="17"/>
  <c r="C32" i="17"/>
  <c r="B32" i="17"/>
  <c r="G31" i="17"/>
  <c r="F31" i="17"/>
  <c r="E31" i="17"/>
  <c r="D31" i="17"/>
  <c r="C31" i="17"/>
  <c r="B31" i="17"/>
  <c r="G30" i="17"/>
  <c r="F30" i="17"/>
  <c r="E30" i="17"/>
  <c r="D30" i="17"/>
  <c r="C30" i="17"/>
  <c r="B30" i="17"/>
  <c r="G29" i="17"/>
  <c r="F29" i="17"/>
  <c r="E29" i="17"/>
  <c r="D29" i="17"/>
  <c r="C29" i="17"/>
  <c r="B29" i="17"/>
  <c r="G28" i="17"/>
  <c r="F28" i="17"/>
  <c r="E28" i="17"/>
  <c r="D28" i="17"/>
  <c r="C28" i="17"/>
  <c r="B28" i="17"/>
  <c r="G27" i="17"/>
  <c r="F27" i="17"/>
  <c r="E27" i="17"/>
  <c r="D27" i="17"/>
  <c r="C27" i="17"/>
  <c r="B27" i="17"/>
  <c r="G26" i="17"/>
  <c r="F26" i="17"/>
  <c r="E26" i="17"/>
  <c r="D26" i="17"/>
  <c r="C26" i="17"/>
  <c r="B26" i="17"/>
  <c r="G25" i="17"/>
  <c r="F25" i="17"/>
  <c r="E25" i="17"/>
  <c r="D25" i="17"/>
  <c r="C25" i="17"/>
  <c r="B25" i="17"/>
  <c r="G24" i="17"/>
  <c r="F24" i="17"/>
  <c r="E24" i="17"/>
  <c r="D24" i="17"/>
  <c r="C24" i="17"/>
  <c r="B24" i="17"/>
  <c r="G23" i="17"/>
  <c r="F23" i="17"/>
  <c r="H23" i="17" s="1"/>
  <c r="E23" i="17"/>
  <c r="D23" i="17"/>
  <c r="C23" i="17"/>
  <c r="B23" i="17"/>
  <c r="G22" i="17"/>
  <c r="F22" i="17"/>
  <c r="E22" i="17"/>
  <c r="D22" i="17"/>
  <c r="C22" i="17"/>
  <c r="B22" i="17"/>
  <c r="G21" i="17"/>
  <c r="F21" i="17"/>
  <c r="E21" i="17"/>
  <c r="D21" i="17"/>
  <c r="C21" i="17"/>
  <c r="B21" i="17"/>
  <c r="G20" i="17"/>
  <c r="F20" i="17"/>
  <c r="E20" i="17"/>
  <c r="D20" i="17"/>
  <c r="C20" i="17"/>
  <c r="B20" i="17"/>
  <c r="G19" i="17"/>
  <c r="F19" i="17"/>
  <c r="H19" i="17" s="1"/>
  <c r="E19" i="17"/>
  <c r="D19" i="17"/>
  <c r="C19" i="17"/>
  <c r="B19" i="17"/>
  <c r="G18" i="17"/>
  <c r="F18" i="17"/>
  <c r="E18" i="17"/>
  <c r="D18" i="17"/>
  <c r="C18" i="17"/>
  <c r="B18" i="17"/>
  <c r="G17" i="17"/>
  <c r="F17" i="17"/>
  <c r="H17" i="17" s="1"/>
  <c r="E17" i="17"/>
  <c r="D17" i="17"/>
  <c r="C17" i="17"/>
  <c r="B17" i="17"/>
  <c r="G16" i="17"/>
  <c r="F16" i="17"/>
  <c r="E16" i="17"/>
  <c r="D16" i="17"/>
  <c r="C16" i="17"/>
  <c r="B16" i="17"/>
  <c r="G15" i="17"/>
  <c r="F15" i="17"/>
  <c r="H15" i="17" s="1"/>
  <c r="E15" i="17"/>
  <c r="D15" i="17"/>
  <c r="C15" i="17"/>
  <c r="B15" i="17"/>
  <c r="G14" i="17"/>
  <c r="F14" i="17"/>
  <c r="E14" i="17"/>
  <c r="D14" i="17"/>
  <c r="C14" i="17"/>
  <c r="B14" i="17"/>
  <c r="G13" i="17"/>
  <c r="F13" i="17"/>
  <c r="E13" i="17"/>
  <c r="D13" i="17"/>
  <c r="C13" i="17"/>
  <c r="B13" i="17"/>
  <c r="G12" i="17"/>
  <c r="F12" i="17"/>
  <c r="E12" i="17"/>
  <c r="D12" i="17"/>
  <c r="C12" i="17"/>
  <c r="B12" i="17"/>
  <c r="G11" i="17"/>
  <c r="F11" i="17"/>
  <c r="E11" i="17"/>
  <c r="D11" i="17"/>
  <c r="C11" i="17"/>
  <c r="B11" i="17"/>
  <c r="G10" i="17"/>
  <c r="F10" i="17"/>
  <c r="E10" i="17"/>
  <c r="D10" i="17"/>
  <c r="C10" i="17"/>
  <c r="B10" i="17"/>
  <c r="G9" i="17"/>
  <c r="F9" i="17"/>
  <c r="E9" i="17"/>
  <c r="D9" i="17"/>
  <c r="C9" i="17"/>
  <c r="B9" i="17"/>
  <c r="G8" i="17"/>
  <c r="F8" i="17"/>
  <c r="E8" i="17"/>
  <c r="D8" i="17"/>
  <c r="C8" i="17"/>
  <c r="B8" i="17"/>
  <c r="A8" i="17"/>
  <c r="F149" i="18" l="1"/>
  <c r="H13" i="18"/>
  <c r="H17" i="18"/>
  <c r="H19" i="18"/>
  <c r="H21" i="18"/>
  <c r="H25" i="18"/>
  <c r="H35" i="18"/>
  <c r="H37" i="18"/>
  <c r="H39" i="18"/>
  <c r="H41" i="18"/>
  <c r="H43" i="18"/>
  <c r="H49" i="18"/>
  <c r="H55" i="18"/>
  <c r="H57" i="18"/>
  <c r="H61" i="18"/>
  <c r="H63" i="18"/>
  <c r="H67" i="18"/>
  <c r="H69" i="18"/>
  <c r="H75" i="18"/>
  <c r="H79" i="18"/>
  <c r="H81" i="18"/>
  <c r="H85" i="18"/>
  <c r="H87" i="18"/>
  <c r="H93" i="18"/>
  <c r="H97" i="18"/>
  <c r="H99" i="18"/>
  <c r="H103" i="18"/>
  <c r="H105" i="18"/>
  <c r="H111" i="18"/>
  <c r="H115" i="18"/>
  <c r="H117" i="18"/>
  <c r="H121" i="18"/>
  <c r="H123" i="18"/>
  <c r="H129" i="18"/>
  <c r="H133" i="18"/>
  <c r="H135" i="18"/>
  <c r="H139" i="18"/>
  <c r="H141" i="18"/>
  <c r="H145" i="18"/>
  <c r="H147" i="18"/>
  <c r="G149" i="18"/>
  <c r="H14" i="18"/>
  <c r="H18" i="18"/>
  <c r="H22" i="18"/>
  <c r="H36" i="18"/>
  <c r="H38" i="18"/>
  <c r="H40" i="18"/>
  <c r="H42" i="18"/>
  <c r="H46" i="18"/>
  <c r="H48" i="18"/>
  <c r="H54" i="18"/>
  <c r="H60" i="18"/>
  <c r="H64" i="18"/>
  <c r="H70" i="18"/>
  <c r="H76" i="18"/>
  <c r="H78" i="18"/>
  <c r="H82" i="18"/>
  <c r="H84" i="18"/>
  <c r="H88" i="18"/>
  <c r="H94" i="18"/>
  <c r="H96" i="18"/>
  <c r="H100" i="18"/>
  <c r="H106" i="18"/>
  <c r="H112" i="18"/>
  <c r="H114" i="18"/>
  <c r="H118" i="18"/>
  <c r="H120" i="18"/>
  <c r="H124" i="18"/>
  <c r="H130" i="18"/>
  <c r="H132" i="18"/>
  <c r="H136" i="18"/>
  <c r="H142" i="18"/>
  <c r="H144" i="18"/>
  <c r="H148" i="18"/>
  <c r="H8" i="18"/>
  <c r="H16" i="18" s="1"/>
  <c r="H34" i="18"/>
  <c r="H50" i="18"/>
  <c r="H52" i="18"/>
  <c r="H71" i="18"/>
  <c r="H73" i="18"/>
  <c r="H83" i="18"/>
  <c r="H89" i="18"/>
  <c r="H91" i="18"/>
  <c r="H107" i="18"/>
  <c r="H109" i="18"/>
  <c r="H119" i="18"/>
  <c r="H125" i="18"/>
  <c r="H127" i="18"/>
  <c r="H40" i="17"/>
  <c r="H46" i="17"/>
  <c r="H58" i="17"/>
  <c r="H60" i="17"/>
  <c r="H62" i="17"/>
  <c r="H66" i="17"/>
  <c r="H68" i="17"/>
  <c r="H70" i="17"/>
  <c r="H74" i="17"/>
  <c r="H78" i="17"/>
  <c r="H80" i="17"/>
  <c r="H82" i="17"/>
  <c r="H84" i="17"/>
  <c r="H86" i="17"/>
  <c r="H88" i="17"/>
  <c r="H94" i="17"/>
  <c r="H96" i="17"/>
  <c r="H98" i="17"/>
  <c r="H102" i="17"/>
  <c r="H104" i="17"/>
  <c r="H110" i="17"/>
  <c r="H128" i="17"/>
  <c r="H134" i="17"/>
  <c r="H138" i="17"/>
  <c r="H142" i="17"/>
  <c r="H144" i="17"/>
  <c r="H146" i="17"/>
  <c r="H145" i="17"/>
  <c r="H80" i="18"/>
  <c r="H116" i="18"/>
  <c r="H44" i="18"/>
  <c r="H65" i="18"/>
  <c r="H101" i="18"/>
  <c r="H137" i="18"/>
  <c r="H27" i="18"/>
  <c r="H33" i="18"/>
  <c r="H86" i="18"/>
  <c r="H90" i="18"/>
  <c r="H122" i="18"/>
  <c r="H126" i="18"/>
  <c r="H143" i="18"/>
  <c r="H110" i="18"/>
  <c r="H10" i="18"/>
  <c r="H77" i="18"/>
  <c r="H20" i="18"/>
  <c r="H45" i="18"/>
  <c r="H62" i="18"/>
  <c r="H66" i="18"/>
  <c r="H98" i="18"/>
  <c r="H102" i="18"/>
  <c r="H134" i="18"/>
  <c r="H138" i="18"/>
  <c r="H74" i="18"/>
  <c r="H59" i="18"/>
  <c r="H92" i="18"/>
  <c r="H128" i="18"/>
  <c r="H113" i="18"/>
  <c r="H53" i="18"/>
  <c r="H95" i="18"/>
  <c r="H131" i="18"/>
  <c r="H26" i="18"/>
  <c r="H30" i="18"/>
  <c r="H47" i="18"/>
  <c r="H51" i="18"/>
  <c r="H68" i="18"/>
  <c r="H72" i="18"/>
  <c r="H104" i="18"/>
  <c r="H108" i="18"/>
  <c r="H140" i="18"/>
  <c r="H146" i="18"/>
  <c r="H31" i="18"/>
  <c r="H53" i="17"/>
  <c r="H59" i="17"/>
  <c r="H83" i="17"/>
  <c r="H97" i="17"/>
  <c r="H38" i="17"/>
  <c r="H131" i="17"/>
  <c r="H20" i="17"/>
  <c r="H119" i="17"/>
  <c r="H92" i="17"/>
  <c r="G147" i="17"/>
  <c r="H11" i="17"/>
  <c r="H45" i="17"/>
  <c r="H47" i="17"/>
  <c r="H114" i="17"/>
  <c r="H116" i="17"/>
  <c r="H118" i="17"/>
  <c r="H120" i="17"/>
  <c r="H122" i="17"/>
  <c r="H124" i="17"/>
  <c r="H140" i="17"/>
  <c r="H34" i="17"/>
  <c r="H51" i="17"/>
  <c r="H72" i="17"/>
  <c r="H91" i="17"/>
  <c r="H108" i="17"/>
  <c r="H127" i="17"/>
  <c r="H36" i="17"/>
  <c r="H55" i="17"/>
  <c r="H76" i="17"/>
  <c r="H93" i="17"/>
  <c r="H112" i="17"/>
  <c r="H129" i="17"/>
  <c r="F147" i="17"/>
  <c r="H33" i="17"/>
  <c r="H52" i="17"/>
  <c r="H73" i="17"/>
  <c r="H90" i="17"/>
  <c r="H109" i="17"/>
  <c r="H126" i="17"/>
  <c r="H130" i="17"/>
  <c r="H12" i="17"/>
  <c r="H16" i="17"/>
  <c r="H132" i="17"/>
  <c r="H18" i="17"/>
  <c r="H64" i="17"/>
  <c r="H81" i="17"/>
  <c r="H100" i="17"/>
  <c r="H117" i="17"/>
  <c r="H136" i="17"/>
  <c r="H32" i="17"/>
  <c r="F146" i="16"/>
  <c r="E146" i="16"/>
  <c r="H146" i="16" s="1"/>
  <c r="D146" i="16"/>
  <c r="C146" i="16"/>
  <c r="B146" i="16"/>
  <c r="A146" i="16"/>
  <c r="F145" i="16"/>
  <c r="E145" i="16"/>
  <c r="H145" i="16" s="1"/>
  <c r="D145" i="16"/>
  <c r="C145" i="16"/>
  <c r="B145" i="16"/>
  <c r="A145" i="16"/>
  <c r="F144" i="16"/>
  <c r="E144" i="16"/>
  <c r="G144" i="16" s="1"/>
  <c r="D144" i="16"/>
  <c r="C144" i="16"/>
  <c r="B144" i="16"/>
  <c r="A144" i="16"/>
  <c r="F143" i="16"/>
  <c r="E143" i="16"/>
  <c r="D143" i="16"/>
  <c r="C143" i="16"/>
  <c r="B143" i="16"/>
  <c r="A143" i="16"/>
  <c r="F142" i="16"/>
  <c r="E142" i="16"/>
  <c r="D142" i="16"/>
  <c r="C142" i="16"/>
  <c r="B142" i="16"/>
  <c r="A142" i="16"/>
  <c r="F141" i="16"/>
  <c r="E141" i="16"/>
  <c r="D141" i="16"/>
  <c r="C141" i="16"/>
  <c r="B141" i="16"/>
  <c r="A141" i="16"/>
  <c r="F140" i="16"/>
  <c r="E140" i="16"/>
  <c r="G140" i="16" s="1"/>
  <c r="D140" i="16"/>
  <c r="C140" i="16"/>
  <c r="B140" i="16"/>
  <c r="A140" i="16"/>
  <c r="F139" i="16"/>
  <c r="E139" i="16"/>
  <c r="H139" i="16" s="1"/>
  <c r="D139" i="16"/>
  <c r="C139" i="16"/>
  <c r="B139" i="16"/>
  <c r="A139" i="16"/>
  <c r="F138" i="16"/>
  <c r="E138" i="16"/>
  <c r="G138" i="16" s="1"/>
  <c r="D138" i="16"/>
  <c r="C138" i="16"/>
  <c r="B138" i="16"/>
  <c r="A138" i="16"/>
  <c r="F137" i="16"/>
  <c r="E137" i="16"/>
  <c r="D137" i="16"/>
  <c r="C137" i="16"/>
  <c r="B137" i="16"/>
  <c r="A137" i="16"/>
  <c r="F136" i="16"/>
  <c r="E136" i="16"/>
  <c r="G136" i="16" s="1"/>
  <c r="D136" i="16"/>
  <c r="C136" i="16"/>
  <c r="B136" i="16"/>
  <c r="A136" i="16"/>
  <c r="F135" i="16"/>
  <c r="E135" i="16"/>
  <c r="D135" i="16"/>
  <c r="C135" i="16"/>
  <c r="B135" i="16"/>
  <c r="A135" i="16"/>
  <c r="F134" i="16"/>
  <c r="E134" i="16"/>
  <c r="H134" i="16" s="1"/>
  <c r="D134" i="16"/>
  <c r="C134" i="16"/>
  <c r="B134" i="16"/>
  <c r="A134" i="16"/>
  <c r="F133" i="16"/>
  <c r="E133" i="16"/>
  <c r="G133" i="16" s="1"/>
  <c r="D133" i="16"/>
  <c r="C133" i="16"/>
  <c r="B133" i="16"/>
  <c r="A133" i="16"/>
  <c r="F132" i="16"/>
  <c r="E132" i="16"/>
  <c r="G132" i="16" s="1"/>
  <c r="D132" i="16"/>
  <c r="C132" i="16"/>
  <c r="B132" i="16"/>
  <c r="A132" i="16"/>
  <c r="F131" i="16"/>
  <c r="E131" i="16"/>
  <c r="H131" i="16" s="1"/>
  <c r="D131" i="16"/>
  <c r="C131" i="16"/>
  <c r="B131" i="16"/>
  <c r="A131" i="16"/>
  <c r="F130" i="16"/>
  <c r="E130" i="16"/>
  <c r="H130" i="16" s="1"/>
  <c r="D130" i="16"/>
  <c r="C130" i="16"/>
  <c r="B130" i="16"/>
  <c r="A130" i="16"/>
  <c r="F129" i="16"/>
  <c r="E129" i="16"/>
  <c r="H129" i="16" s="1"/>
  <c r="D129" i="16"/>
  <c r="C129" i="16"/>
  <c r="B129" i="16"/>
  <c r="A129" i="16"/>
  <c r="F128" i="16"/>
  <c r="E128" i="16"/>
  <c r="H128" i="16" s="1"/>
  <c r="D128" i="16"/>
  <c r="C128" i="16"/>
  <c r="B128" i="16"/>
  <c r="A128" i="16"/>
  <c r="F127" i="16"/>
  <c r="E127" i="16"/>
  <c r="H127" i="16" s="1"/>
  <c r="D127" i="16"/>
  <c r="C127" i="16"/>
  <c r="B127" i="16"/>
  <c r="A127" i="16"/>
  <c r="F126" i="16"/>
  <c r="E126" i="16"/>
  <c r="G126" i="16" s="1"/>
  <c r="D126" i="16"/>
  <c r="C126" i="16"/>
  <c r="B126" i="16"/>
  <c r="A126" i="16"/>
  <c r="F125" i="16"/>
  <c r="E125" i="16"/>
  <c r="D125" i="16"/>
  <c r="C125" i="16"/>
  <c r="B125" i="16"/>
  <c r="A125" i="16"/>
  <c r="F124" i="16"/>
  <c r="E124" i="16"/>
  <c r="D124" i="16"/>
  <c r="C124" i="16"/>
  <c r="B124" i="16"/>
  <c r="A124" i="16"/>
  <c r="F123" i="16"/>
  <c r="E123" i="16"/>
  <c r="D123" i="16"/>
  <c r="C123" i="16"/>
  <c r="B123" i="16"/>
  <c r="A123" i="16"/>
  <c r="F122" i="16"/>
  <c r="E122" i="16"/>
  <c r="D122" i="16"/>
  <c r="C122" i="16"/>
  <c r="B122" i="16"/>
  <c r="A122" i="16"/>
  <c r="F121" i="16"/>
  <c r="E121" i="16"/>
  <c r="D121" i="16"/>
  <c r="C121" i="16"/>
  <c r="B121" i="16"/>
  <c r="A121" i="16"/>
  <c r="F120" i="16"/>
  <c r="E120" i="16"/>
  <c r="D120" i="16"/>
  <c r="C120" i="16"/>
  <c r="B120" i="16"/>
  <c r="A120" i="16"/>
  <c r="F119" i="16"/>
  <c r="E119" i="16"/>
  <c r="D119" i="16"/>
  <c r="C119" i="16"/>
  <c r="B119" i="16"/>
  <c r="A119" i="16"/>
  <c r="F118" i="16"/>
  <c r="E118" i="16"/>
  <c r="D118" i="16"/>
  <c r="C118" i="16"/>
  <c r="B118" i="16"/>
  <c r="A118" i="16"/>
  <c r="F117" i="16"/>
  <c r="E117" i="16"/>
  <c r="D117" i="16"/>
  <c r="C117" i="16"/>
  <c r="B117" i="16"/>
  <c r="A117" i="16"/>
  <c r="F116" i="16"/>
  <c r="E116" i="16"/>
  <c r="D116" i="16"/>
  <c r="C116" i="16"/>
  <c r="B116" i="16"/>
  <c r="A116" i="16"/>
  <c r="F115" i="16"/>
  <c r="E115" i="16"/>
  <c r="D115" i="16"/>
  <c r="C115" i="16"/>
  <c r="B115" i="16"/>
  <c r="A115" i="16"/>
  <c r="F114" i="16"/>
  <c r="E114" i="16"/>
  <c r="D114" i="16"/>
  <c r="C114" i="16"/>
  <c r="B114" i="16"/>
  <c r="A114" i="16"/>
  <c r="F113" i="16"/>
  <c r="E113" i="16"/>
  <c r="D113" i="16"/>
  <c r="C113" i="16"/>
  <c r="B113" i="16"/>
  <c r="A113" i="16"/>
  <c r="F112" i="16"/>
  <c r="E112" i="16"/>
  <c r="D112" i="16"/>
  <c r="C112" i="16"/>
  <c r="B112" i="16"/>
  <c r="A112" i="16"/>
  <c r="F111" i="16"/>
  <c r="E111" i="16"/>
  <c r="D111" i="16"/>
  <c r="C111" i="16"/>
  <c r="B111" i="16"/>
  <c r="A111" i="16"/>
  <c r="F110" i="16"/>
  <c r="E110" i="16"/>
  <c r="D110" i="16"/>
  <c r="C110" i="16"/>
  <c r="B110" i="16"/>
  <c r="A110" i="16"/>
  <c r="F109" i="16"/>
  <c r="E109" i="16"/>
  <c r="D109" i="16"/>
  <c r="C109" i="16"/>
  <c r="B109" i="16"/>
  <c r="A109" i="16"/>
  <c r="F108" i="16"/>
  <c r="E108" i="16"/>
  <c r="D108" i="16"/>
  <c r="C108" i="16"/>
  <c r="B108" i="16"/>
  <c r="A108" i="16"/>
  <c r="F107" i="16"/>
  <c r="E107" i="16"/>
  <c r="D107" i="16"/>
  <c r="C107" i="16"/>
  <c r="B107" i="16"/>
  <c r="A107" i="16"/>
  <c r="F106" i="16"/>
  <c r="E106" i="16"/>
  <c r="D106" i="16"/>
  <c r="C106" i="16"/>
  <c r="B106" i="16"/>
  <c r="A106" i="16"/>
  <c r="F105" i="16"/>
  <c r="E105" i="16"/>
  <c r="D105" i="16"/>
  <c r="C105" i="16"/>
  <c r="B105" i="16"/>
  <c r="A105" i="16"/>
  <c r="F104" i="16"/>
  <c r="E104" i="16"/>
  <c r="D104" i="16"/>
  <c r="C104" i="16"/>
  <c r="B104" i="16"/>
  <c r="A104" i="16"/>
  <c r="F103" i="16"/>
  <c r="E103" i="16"/>
  <c r="D103" i="16"/>
  <c r="C103" i="16"/>
  <c r="B103" i="16"/>
  <c r="A103" i="16"/>
  <c r="F102" i="16"/>
  <c r="E102" i="16"/>
  <c r="D102" i="16"/>
  <c r="C102" i="16"/>
  <c r="B102" i="16"/>
  <c r="A102" i="16"/>
  <c r="F101" i="16"/>
  <c r="E101" i="16"/>
  <c r="D101" i="16"/>
  <c r="C101" i="16"/>
  <c r="B101" i="16"/>
  <c r="A101" i="16"/>
  <c r="F100" i="16"/>
  <c r="E100" i="16"/>
  <c r="D100" i="16"/>
  <c r="C100" i="16"/>
  <c r="B100" i="16"/>
  <c r="A100" i="16"/>
  <c r="F99" i="16"/>
  <c r="E99" i="16"/>
  <c r="D99" i="16"/>
  <c r="C99" i="16"/>
  <c r="B99" i="16"/>
  <c r="A99" i="16"/>
  <c r="F98" i="16"/>
  <c r="E98" i="16"/>
  <c r="D98" i="16"/>
  <c r="C98" i="16"/>
  <c r="B98" i="16"/>
  <c r="A98" i="16"/>
  <c r="F97" i="16"/>
  <c r="E97" i="16"/>
  <c r="D97" i="16"/>
  <c r="C97" i="16"/>
  <c r="B97" i="16"/>
  <c r="A97" i="16"/>
  <c r="F96" i="16"/>
  <c r="E96" i="16"/>
  <c r="D96" i="16"/>
  <c r="C96" i="16"/>
  <c r="B96" i="16"/>
  <c r="A96" i="16"/>
  <c r="F95" i="16"/>
  <c r="E95" i="16"/>
  <c r="D95" i="16"/>
  <c r="C95" i="16"/>
  <c r="B95" i="16"/>
  <c r="A95" i="16"/>
  <c r="F94" i="16"/>
  <c r="E94" i="16"/>
  <c r="D94" i="16"/>
  <c r="C94" i="16"/>
  <c r="B94" i="16"/>
  <c r="A94" i="16"/>
  <c r="F93" i="16"/>
  <c r="E93" i="16"/>
  <c r="D93" i="16"/>
  <c r="C93" i="16"/>
  <c r="B93" i="16"/>
  <c r="A93" i="16"/>
  <c r="F92" i="16"/>
  <c r="E92" i="16"/>
  <c r="D92" i="16"/>
  <c r="C92" i="16"/>
  <c r="B92" i="16"/>
  <c r="A92" i="16"/>
  <c r="F91" i="16"/>
  <c r="E91" i="16"/>
  <c r="D91" i="16"/>
  <c r="C91" i="16"/>
  <c r="B91" i="16"/>
  <c r="A91" i="16"/>
  <c r="F90" i="16"/>
  <c r="E90" i="16"/>
  <c r="D90" i="16"/>
  <c r="C90" i="16"/>
  <c r="B90" i="16"/>
  <c r="A90" i="16"/>
  <c r="F89" i="16"/>
  <c r="E89" i="16"/>
  <c r="D89" i="16"/>
  <c r="C89" i="16"/>
  <c r="B89" i="16"/>
  <c r="A89" i="16"/>
  <c r="F88" i="16"/>
  <c r="E88" i="16"/>
  <c r="D88" i="16"/>
  <c r="C88" i="16"/>
  <c r="B88" i="16"/>
  <c r="A88" i="16"/>
  <c r="F87" i="16"/>
  <c r="E87" i="16"/>
  <c r="D87" i="16"/>
  <c r="C87" i="16"/>
  <c r="B87" i="16"/>
  <c r="A87" i="16"/>
  <c r="F86" i="16"/>
  <c r="E86" i="16"/>
  <c r="D86" i="16"/>
  <c r="C86" i="16"/>
  <c r="B86" i="16"/>
  <c r="A86" i="16"/>
  <c r="F85" i="16"/>
  <c r="E85" i="16"/>
  <c r="D85" i="16"/>
  <c r="C85" i="16"/>
  <c r="B85" i="16"/>
  <c r="A85" i="16"/>
  <c r="F84" i="16"/>
  <c r="E84" i="16"/>
  <c r="D84" i="16"/>
  <c r="C84" i="16"/>
  <c r="B84" i="16"/>
  <c r="A84" i="16"/>
  <c r="F83" i="16"/>
  <c r="E83" i="16"/>
  <c r="D83" i="16"/>
  <c r="C83" i="16"/>
  <c r="B83" i="16"/>
  <c r="A83" i="16"/>
  <c r="F82" i="16"/>
  <c r="E82" i="16"/>
  <c r="D82" i="16"/>
  <c r="C82" i="16"/>
  <c r="B82" i="16"/>
  <c r="A82" i="16"/>
  <c r="F81" i="16"/>
  <c r="E81" i="16"/>
  <c r="D81" i="16"/>
  <c r="C81" i="16"/>
  <c r="B81" i="16"/>
  <c r="A81" i="16"/>
  <c r="F80" i="16"/>
  <c r="E80" i="16"/>
  <c r="D80" i="16"/>
  <c r="C80" i="16"/>
  <c r="B80" i="16"/>
  <c r="A80" i="16"/>
  <c r="F79" i="16"/>
  <c r="E79" i="16"/>
  <c r="D79" i="16"/>
  <c r="C79" i="16"/>
  <c r="B79" i="16"/>
  <c r="A79" i="16"/>
  <c r="F78" i="16"/>
  <c r="E78" i="16"/>
  <c r="D78" i="16"/>
  <c r="C78" i="16"/>
  <c r="B78" i="16"/>
  <c r="A78" i="16"/>
  <c r="F77" i="16"/>
  <c r="E77" i="16"/>
  <c r="D77" i="16"/>
  <c r="C77" i="16"/>
  <c r="B77" i="16"/>
  <c r="A77" i="16"/>
  <c r="F76" i="16"/>
  <c r="E76" i="16"/>
  <c r="D76" i="16"/>
  <c r="C76" i="16"/>
  <c r="B76" i="16"/>
  <c r="A76" i="16"/>
  <c r="F75" i="16"/>
  <c r="E75" i="16"/>
  <c r="D75" i="16"/>
  <c r="C75" i="16"/>
  <c r="B75" i="16"/>
  <c r="A75" i="16"/>
  <c r="F74" i="16"/>
  <c r="E74" i="16"/>
  <c r="D74" i="16"/>
  <c r="C74" i="16"/>
  <c r="B74" i="16"/>
  <c r="A74" i="16"/>
  <c r="F73" i="16"/>
  <c r="E73" i="16"/>
  <c r="D73" i="16"/>
  <c r="C73" i="16"/>
  <c r="B73" i="16"/>
  <c r="A73" i="16"/>
  <c r="F72" i="16"/>
  <c r="E72" i="16"/>
  <c r="D72" i="16"/>
  <c r="C72" i="16"/>
  <c r="B72" i="16"/>
  <c r="A72" i="16"/>
  <c r="F71" i="16"/>
  <c r="E71" i="16"/>
  <c r="D71" i="16"/>
  <c r="C71" i="16"/>
  <c r="B71" i="16"/>
  <c r="A71" i="16"/>
  <c r="F70" i="16"/>
  <c r="E70" i="16"/>
  <c r="D70" i="16"/>
  <c r="C70" i="16"/>
  <c r="B70" i="16"/>
  <c r="A70" i="16"/>
  <c r="F69" i="16"/>
  <c r="E69" i="16"/>
  <c r="D69" i="16"/>
  <c r="C69" i="16"/>
  <c r="B69" i="16"/>
  <c r="A69" i="16"/>
  <c r="F68" i="16"/>
  <c r="E68" i="16"/>
  <c r="D68" i="16"/>
  <c r="C68" i="16"/>
  <c r="B68" i="16"/>
  <c r="A68" i="16"/>
  <c r="F67" i="16"/>
  <c r="E67" i="16"/>
  <c r="D67" i="16"/>
  <c r="C67" i="16"/>
  <c r="B67" i="16"/>
  <c r="A67" i="16"/>
  <c r="F66" i="16"/>
  <c r="E66" i="16"/>
  <c r="D66" i="16"/>
  <c r="C66" i="16"/>
  <c r="B66" i="16"/>
  <c r="A66" i="16"/>
  <c r="F65" i="16"/>
  <c r="E65" i="16"/>
  <c r="D65" i="16"/>
  <c r="C65" i="16"/>
  <c r="B65" i="16"/>
  <c r="A65" i="16"/>
  <c r="F64" i="16"/>
  <c r="E64" i="16"/>
  <c r="D64" i="16"/>
  <c r="C64" i="16"/>
  <c r="B64" i="16"/>
  <c r="A64" i="16"/>
  <c r="F63" i="16"/>
  <c r="E63" i="16"/>
  <c r="D63" i="16"/>
  <c r="C63" i="16"/>
  <c r="B63" i="16"/>
  <c r="A63" i="16"/>
  <c r="F62" i="16"/>
  <c r="E62" i="16"/>
  <c r="D62" i="16"/>
  <c r="C62" i="16"/>
  <c r="B62" i="16"/>
  <c r="A62" i="16"/>
  <c r="F61" i="16"/>
  <c r="E61" i="16"/>
  <c r="D61" i="16"/>
  <c r="C61" i="16"/>
  <c r="B61" i="16"/>
  <c r="A61" i="16"/>
  <c r="F60" i="16"/>
  <c r="E60" i="16"/>
  <c r="D60" i="16"/>
  <c r="C60" i="16"/>
  <c r="B60" i="16"/>
  <c r="A60" i="16"/>
  <c r="F59" i="16"/>
  <c r="E59" i="16"/>
  <c r="D59" i="16"/>
  <c r="C59" i="16"/>
  <c r="B59" i="16"/>
  <c r="A59" i="16"/>
  <c r="F58" i="16"/>
  <c r="E58" i="16"/>
  <c r="D58" i="16"/>
  <c r="C58" i="16"/>
  <c r="B58" i="16"/>
  <c r="A58" i="16"/>
  <c r="F57" i="16"/>
  <c r="E57" i="16"/>
  <c r="D57" i="16"/>
  <c r="C57" i="16"/>
  <c r="B57" i="16"/>
  <c r="A57" i="16"/>
  <c r="F56" i="16"/>
  <c r="E56" i="16"/>
  <c r="D56" i="16"/>
  <c r="C56" i="16"/>
  <c r="B56" i="16"/>
  <c r="A56" i="16"/>
  <c r="F55" i="16"/>
  <c r="E55" i="16"/>
  <c r="D55" i="16"/>
  <c r="C55" i="16"/>
  <c r="B55" i="16"/>
  <c r="A55" i="16"/>
  <c r="F54" i="16"/>
  <c r="E54" i="16"/>
  <c r="D54" i="16"/>
  <c r="C54" i="16"/>
  <c r="B54" i="16"/>
  <c r="A54" i="16"/>
  <c r="F53" i="16"/>
  <c r="E53" i="16"/>
  <c r="D53" i="16"/>
  <c r="C53" i="16"/>
  <c r="B53" i="16"/>
  <c r="A53" i="16"/>
  <c r="F52" i="16"/>
  <c r="E52" i="16"/>
  <c r="D52" i="16"/>
  <c r="C52" i="16"/>
  <c r="B52" i="16"/>
  <c r="A52" i="16"/>
  <c r="F51" i="16"/>
  <c r="E51" i="16"/>
  <c r="D51" i="16"/>
  <c r="C51" i="16"/>
  <c r="B51" i="16"/>
  <c r="A51" i="16"/>
  <c r="F50" i="16"/>
  <c r="E50" i="16"/>
  <c r="D50" i="16"/>
  <c r="C50" i="16"/>
  <c r="B50" i="16"/>
  <c r="A50" i="16"/>
  <c r="F49" i="16"/>
  <c r="E49" i="16"/>
  <c r="D49" i="16"/>
  <c r="C49" i="16"/>
  <c r="B49" i="16"/>
  <c r="A49" i="16"/>
  <c r="F48" i="16"/>
  <c r="E48" i="16"/>
  <c r="D48" i="16"/>
  <c r="C48" i="16"/>
  <c r="B48" i="16"/>
  <c r="A48" i="16"/>
  <c r="F47" i="16"/>
  <c r="E47" i="16"/>
  <c r="D47" i="16"/>
  <c r="C47" i="16"/>
  <c r="B47" i="16"/>
  <c r="A47" i="16"/>
  <c r="F46" i="16"/>
  <c r="E46" i="16"/>
  <c r="D46" i="16"/>
  <c r="C46" i="16"/>
  <c r="B46" i="16"/>
  <c r="A46" i="16"/>
  <c r="F45" i="16"/>
  <c r="E45" i="16"/>
  <c r="D45" i="16"/>
  <c r="C45" i="16"/>
  <c r="B45" i="16"/>
  <c r="A45" i="16"/>
  <c r="F44" i="16"/>
  <c r="E44" i="16"/>
  <c r="D44" i="16"/>
  <c r="C44" i="16"/>
  <c r="B44" i="16"/>
  <c r="A44" i="16"/>
  <c r="F43" i="16"/>
  <c r="E43" i="16"/>
  <c r="D43" i="16"/>
  <c r="C43" i="16"/>
  <c r="B43" i="16"/>
  <c r="A43" i="16"/>
  <c r="F42" i="16"/>
  <c r="E42" i="16"/>
  <c r="D42" i="16"/>
  <c r="C42" i="16"/>
  <c r="B42" i="16"/>
  <c r="A42" i="16"/>
  <c r="F41" i="16"/>
  <c r="E41" i="16"/>
  <c r="D41" i="16"/>
  <c r="C41" i="16"/>
  <c r="B41" i="16"/>
  <c r="A41" i="16"/>
  <c r="F40" i="16"/>
  <c r="E40" i="16"/>
  <c r="D40" i="16"/>
  <c r="C40" i="16"/>
  <c r="B40" i="16"/>
  <c r="A40" i="16"/>
  <c r="F39" i="16"/>
  <c r="E39" i="16"/>
  <c r="D39" i="16"/>
  <c r="C39" i="16"/>
  <c r="B39" i="16"/>
  <c r="A39" i="16"/>
  <c r="F38" i="16"/>
  <c r="E38" i="16"/>
  <c r="D38" i="16"/>
  <c r="C38" i="16"/>
  <c r="B38" i="16"/>
  <c r="A38" i="16"/>
  <c r="F37" i="16"/>
  <c r="E37" i="16"/>
  <c r="D37" i="16"/>
  <c r="C37" i="16"/>
  <c r="B37" i="16"/>
  <c r="A37" i="16"/>
  <c r="F36" i="16"/>
  <c r="E36" i="16"/>
  <c r="D36" i="16"/>
  <c r="C36" i="16"/>
  <c r="B36" i="16"/>
  <c r="A36" i="16"/>
  <c r="F35" i="16"/>
  <c r="E35" i="16"/>
  <c r="D35" i="16"/>
  <c r="C35" i="16"/>
  <c r="B35" i="16"/>
  <c r="A35" i="16"/>
  <c r="F34" i="16"/>
  <c r="E34" i="16"/>
  <c r="D34" i="16"/>
  <c r="C34" i="16"/>
  <c r="B34" i="16"/>
  <c r="A34" i="16"/>
  <c r="F33" i="16"/>
  <c r="E33" i="16"/>
  <c r="D33" i="16"/>
  <c r="C33" i="16"/>
  <c r="B33" i="16"/>
  <c r="A33" i="16"/>
  <c r="F32" i="16"/>
  <c r="E32" i="16"/>
  <c r="D32" i="16"/>
  <c r="C32" i="16"/>
  <c r="B32" i="16"/>
  <c r="A32" i="16"/>
  <c r="F31" i="16"/>
  <c r="E31" i="16"/>
  <c r="D31" i="16"/>
  <c r="C31" i="16"/>
  <c r="B31" i="16"/>
  <c r="A31" i="16"/>
  <c r="F30" i="16"/>
  <c r="E30" i="16"/>
  <c r="D30" i="16"/>
  <c r="C30" i="16"/>
  <c r="B30" i="16"/>
  <c r="A30" i="16"/>
  <c r="F29" i="16"/>
  <c r="E29" i="16"/>
  <c r="D29" i="16"/>
  <c r="C29" i="16"/>
  <c r="B29" i="16"/>
  <c r="A29" i="16"/>
  <c r="F28" i="16"/>
  <c r="E28" i="16"/>
  <c r="D28" i="16"/>
  <c r="C28" i="16"/>
  <c r="B28" i="16"/>
  <c r="A28" i="16"/>
  <c r="F27" i="16"/>
  <c r="E27" i="16"/>
  <c r="D27" i="16"/>
  <c r="C27" i="16"/>
  <c r="B27" i="16"/>
  <c r="A27" i="16"/>
  <c r="F26" i="16"/>
  <c r="E26" i="16"/>
  <c r="D26" i="16"/>
  <c r="C26" i="16"/>
  <c r="B26" i="16"/>
  <c r="A26" i="16"/>
  <c r="F25" i="16"/>
  <c r="E25" i="16"/>
  <c r="D25" i="16"/>
  <c r="C25" i="16"/>
  <c r="B25" i="16"/>
  <c r="A25" i="16"/>
  <c r="F24" i="16"/>
  <c r="E24" i="16"/>
  <c r="D24" i="16"/>
  <c r="C24" i="16"/>
  <c r="B24" i="16"/>
  <c r="A24" i="16"/>
  <c r="F23" i="16"/>
  <c r="E23" i="16"/>
  <c r="D23" i="16"/>
  <c r="C23" i="16"/>
  <c r="B23" i="16"/>
  <c r="A23" i="16"/>
  <c r="F22" i="16"/>
  <c r="E22" i="16"/>
  <c r="D22" i="16"/>
  <c r="C22" i="16"/>
  <c r="B22" i="16"/>
  <c r="A22" i="16"/>
  <c r="F21" i="16"/>
  <c r="E21" i="16"/>
  <c r="D21" i="16"/>
  <c r="C21" i="16"/>
  <c r="B21" i="16"/>
  <c r="A21" i="16"/>
  <c r="F20" i="16"/>
  <c r="E20" i="16"/>
  <c r="D20" i="16"/>
  <c r="C20" i="16"/>
  <c r="B20" i="16"/>
  <c r="A20" i="16"/>
  <c r="F19" i="16"/>
  <c r="E19" i="16"/>
  <c r="D19" i="16"/>
  <c r="C19" i="16"/>
  <c r="B19" i="16"/>
  <c r="A19" i="16"/>
  <c r="F18" i="16"/>
  <c r="E18" i="16"/>
  <c r="D18" i="16"/>
  <c r="C18" i="16"/>
  <c r="B18" i="16"/>
  <c r="A18" i="16"/>
  <c r="F17" i="16"/>
  <c r="E17" i="16"/>
  <c r="D17" i="16"/>
  <c r="C17" i="16"/>
  <c r="B17" i="16"/>
  <c r="A17" i="16"/>
  <c r="F16" i="16"/>
  <c r="E16" i="16"/>
  <c r="D16" i="16"/>
  <c r="C16" i="16"/>
  <c r="B16" i="16"/>
  <c r="A16" i="16"/>
  <c r="F15" i="16"/>
  <c r="E15" i="16"/>
  <c r="D15" i="16"/>
  <c r="C15" i="16"/>
  <c r="B15" i="16"/>
  <c r="A15" i="16"/>
  <c r="F14" i="16"/>
  <c r="E14" i="16"/>
  <c r="D14" i="16"/>
  <c r="C14" i="16"/>
  <c r="B14" i="16"/>
  <c r="A14" i="16"/>
  <c r="F13" i="16"/>
  <c r="E13" i="16"/>
  <c r="D13" i="16"/>
  <c r="C13" i="16"/>
  <c r="B13" i="16"/>
  <c r="A13" i="16"/>
  <c r="F12" i="16"/>
  <c r="E12" i="16"/>
  <c r="D12" i="16"/>
  <c r="C12" i="16"/>
  <c r="B12" i="16"/>
  <c r="A12" i="16"/>
  <c r="F11" i="16"/>
  <c r="E11" i="16"/>
  <c r="D11" i="16"/>
  <c r="C11" i="16"/>
  <c r="B11" i="16"/>
  <c r="A11" i="16"/>
  <c r="F10" i="16"/>
  <c r="E10" i="16"/>
  <c r="D10" i="16"/>
  <c r="C10" i="16"/>
  <c r="B10" i="16"/>
  <c r="A10" i="16"/>
  <c r="F9" i="16"/>
  <c r="E9" i="16"/>
  <c r="D9" i="16"/>
  <c r="C9" i="16"/>
  <c r="B9" i="16"/>
  <c r="A9" i="16"/>
  <c r="F8" i="16"/>
  <c r="E8" i="16"/>
  <c r="D8" i="16"/>
  <c r="C8" i="16"/>
  <c r="B8" i="16"/>
  <c r="A8" i="16"/>
  <c r="G2" i="16"/>
  <c r="H32" i="18" l="1"/>
  <c r="H28" i="18"/>
  <c r="H15" i="18"/>
  <c r="H150" i="18"/>
  <c r="H11" i="18"/>
  <c r="H12" i="18"/>
  <c r="H58" i="18"/>
  <c r="H23" i="18"/>
  <c r="H24" i="18"/>
  <c r="H56" i="18"/>
  <c r="H29" i="18"/>
  <c r="H54" i="17"/>
  <c r="H56" i="17"/>
  <c r="H10" i="17"/>
  <c r="H29" i="17"/>
  <c r="H27" i="17"/>
  <c r="H26" i="17"/>
  <c r="H57" i="17"/>
  <c r="H21" i="17"/>
  <c r="H22" i="17"/>
  <c r="H14" i="17"/>
  <c r="H25" i="17"/>
  <c r="H8" i="17"/>
  <c r="H30" i="17"/>
  <c r="H9" i="17"/>
  <c r="H13" i="17"/>
  <c r="H28" i="17"/>
  <c r="H43" i="17"/>
  <c r="H95" i="17"/>
  <c r="H48" i="17"/>
  <c r="H42" i="17"/>
  <c r="H44" i="17"/>
  <c r="H111" i="17"/>
  <c r="H77" i="17"/>
  <c r="H106" i="17"/>
  <c r="H65" i="17"/>
  <c r="H49" i="17"/>
  <c r="H50" i="17"/>
  <c r="H148" i="17"/>
  <c r="H31" i="17"/>
  <c r="H24" i="17"/>
  <c r="G77" i="16"/>
  <c r="G89" i="16"/>
  <c r="G101" i="16"/>
  <c r="G125" i="16"/>
  <c r="G143" i="16"/>
  <c r="G95" i="16"/>
  <c r="G113" i="16"/>
  <c r="G137" i="16"/>
  <c r="G74" i="16"/>
  <c r="G80" i="16"/>
  <c r="G86" i="16"/>
  <c r="G92" i="16"/>
  <c r="G98" i="16"/>
  <c r="G104" i="16"/>
  <c r="G110" i="16"/>
  <c r="G116" i="16"/>
  <c r="G122" i="16"/>
  <c r="G107" i="16"/>
  <c r="G71" i="16"/>
  <c r="G119" i="16"/>
  <c r="F147" i="16"/>
  <c r="G83" i="16"/>
  <c r="G134" i="16"/>
  <c r="H11" i="16"/>
  <c r="G15" i="16"/>
  <c r="H17" i="16"/>
  <c r="H19" i="16"/>
  <c r="H23" i="16"/>
  <c r="G31" i="16"/>
  <c r="G33" i="16"/>
  <c r="H35" i="16"/>
  <c r="H37" i="16"/>
  <c r="H39" i="16"/>
  <c r="H41" i="16"/>
  <c r="H43" i="16"/>
  <c r="H45" i="16"/>
  <c r="H47" i="16"/>
  <c r="H49" i="16"/>
  <c r="G51" i="16"/>
  <c r="H53" i="16"/>
  <c r="H55" i="16"/>
  <c r="H59" i="16"/>
  <c r="H61" i="16"/>
  <c r="H63" i="16"/>
  <c r="H65" i="16"/>
  <c r="H67" i="16"/>
  <c r="G69" i="16"/>
  <c r="H71" i="16"/>
  <c r="G73" i="16"/>
  <c r="G75" i="16"/>
  <c r="H77" i="16"/>
  <c r="G79" i="16"/>
  <c r="G81" i="16"/>
  <c r="H83" i="16"/>
  <c r="G85" i="16"/>
  <c r="G87" i="16"/>
  <c r="H89" i="16"/>
  <c r="H91" i="16"/>
  <c r="G93" i="16"/>
  <c r="H95" i="16"/>
  <c r="H97" i="16"/>
  <c r="G99" i="16"/>
  <c r="H101" i="16"/>
  <c r="G103" i="16"/>
  <c r="G105" i="16"/>
  <c r="H107" i="16"/>
  <c r="H109" i="16"/>
  <c r="G111" i="16"/>
  <c r="H113" i="16"/>
  <c r="H115" i="16"/>
  <c r="H117" i="16"/>
  <c r="H119" i="16"/>
  <c r="H121" i="16"/>
  <c r="G123" i="16"/>
  <c r="H125" i="16"/>
  <c r="H140" i="16"/>
  <c r="G142" i="16"/>
  <c r="E147" i="16"/>
  <c r="G128" i="16"/>
  <c r="G131" i="16"/>
  <c r="G135" i="16"/>
  <c r="H137" i="16"/>
  <c r="G12" i="16"/>
  <c r="H16" i="16"/>
  <c r="H18" i="16"/>
  <c r="H20" i="16"/>
  <c r="H24" i="16"/>
  <c r="H32" i="16"/>
  <c r="H34" i="16"/>
  <c r="H36" i="16"/>
  <c r="H38" i="16"/>
  <c r="H40" i="16"/>
  <c r="G42" i="16"/>
  <c r="H44" i="16"/>
  <c r="H46" i="16"/>
  <c r="G48" i="16"/>
  <c r="H50" i="16"/>
  <c r="G52" i="16"/>
  <c r="G58" i="16"/>
  <c r="G60" i="16"/>
  <c r="H62" i="16"/>
  <c r="H64" i="16"/>
  <c r="G66" i="16"/>
  <c r="H68" i="16"/>
  <c r="G70" i="16"/>
  <c r="G72" i="16"/>
  <c r="H74" i="16"/>
  <c r="G76" i="16"/>
  <c r="G78" i="16"/>
  <c r="H80" i="16"/>
  <c r="G82" i="16"/>
  <c r="H84" i="16"/>
  <c r="H86" i="16"/>
  <c r="G88" i="16"/>
  <c r="G90" i="16"/>
  <c r="H92" i="16"/>
  <c r="H94" i="16"/>
  <c r="G96" i="16"/>
  <c r="H98" i="16"/>
  <c r="G100" i="16"/>
  <c r="G102" i="16"/>
  <c r="H104" i="16"/>
  <c r="H106" i="16"/>
  <c r="G108" i="16"/>
  <c r="H110" i="16"/>
  <c r="G112" i="16"/>
  <c r="G114" i="16"/>
  <c r="H116" i="16"/>
  <c r="G118" i="16"/>
  <c r="G120" i="16"/>
  <c r="H122" i="16"/>
  <c r="H124" i="16"/>
  <c r="G141" i="16"/>
  <c r="H143" i="16"/>
  <c r="G34" i="16"/>
  <c r="G37" i="16"/>
  <c r="G40" i="16"/>
  <c r="G46" i="16"/>
  <c r="G61" i="16"/>
  <c r="G67" i="16"/>
  <c r="G91" i="16"/>
  <c r="G97" i="16"/>
  <c r="G109" i="16"/>
  <c r="G115" i="16"/>
  <c r="G145" i="16"/>
  <c r="H70" i="16"/>
  <c r="H73" i="16"/>
  <c r="H79" i="16"/>
  <c r="H100" i="16"/>
  <c r="H103" i="16"/>
  <c r="H112" i="16"/>
  <c r="G18" i="16"/>
  <c r="G24" i="16"/>
  <c r="G36" i="16"/>
  <c r="G39" i="16"/>
  <c r="G45" i="16"/>
  <c r="G63" i="16"/>
  <c r="G84" i="16"/>
  <c r="G117" i="16"/>
  <c r="G129" i="16"/>
  <c r="H12" i="16"/>
  <c r="H15" i="16"/>
  <c r="H33" i="16"/>
  <c r="H42" i="16"/>
  <c r="H48" i="16"/>
  <c r="H51" i="16"/>
  <c r="H60" i="16"/>
  <c r="H66" i="16"/>
  <c r="H69" i="16"/>
  <c r="H72" i="16"/>
  <c r="H75" i="16"/>
  <c r="H78" i="16"/>
  <c r="H81" i="16"/>
  <c r="H87" i="16"/>
  <c r="H90" i="16"/>
  <c r="H93" i="16"/>
  <c r="H96" i="16"/>
  <c r="H99" i="16"/>
  <c r="H102" i="16"/>
  <c r="H105" i="16"/>
  <c r="H108" i="16"/>
  <c r="H111" i="16"/>
  <c r="H114" i="16"/>
  <c r="H120" i="16"/>
  <c r="H123" i="16"/>
  <c r="H126" i="16"/>
  <c r="H132" i="16"/>
  <c r="H135" i="16"/>
  <c r="H138" i="16"/>
  <c r="H141" i="16"/>
  <c r="H144" i="16"/>
  <c r="G49" i="16"/>
  <c r="G94" i="16"/>
  <c r="G106" i="16"/>
  <c r="G124" i="16"/>
  <c r="G130" i="16"/>
  <c r="G139" i="16"/>
  <c r="H76" i="16"/>
  <c r="H82" i="16"/>
  <c r="H88" i="16"/>
  <c r="H118" i="16"/>
  <c r="H142" i="16"/>
  <c r="G16" i="16"/>
  <c r="G19" i="16"/>
  <c r="G43" i="16"/>
  <c r="H31" i="16"/>
  <c r="H52" i="16"/>
  <c r="H58" i="16"/>
  <c r="H85" i="16"/>
  <c r="G55" i="16"/>
  <c r="G121" i="16"/>
  <c r="G127" i="16"/>
  <c r="H133" i="16"/>
  <c r="H136" i="16"/>
  <c r="G11" i="16"/>
  <c r="G17" i="16"/>
  <c r="G20" i="16"/>
  <c r="G23" i="16"/>
  <c r="G32" i="16"/>
  <c r="G35" i="16"/>
  <c r="G38" i="16"/>
  <c r="G41" i="16"/>
  <c r="G44" i="16"/>
  <c r="G47" i="16"/>
  <c r="G50" i="16"/>
  <c r="G53" i="16"/>
  <c r="G59" i="16"/>
  <c r="G62" i="16"/>
  <c r="G65" i="16"/>
  <c r="G68" i="16"/>
  <c r="G146" i="16"/>
  <c r="G64" i="16"/>
  <c r="A6" i="15" l="1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G2" i="15"/>
  <c r="K8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D49" i="23" s="1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D81" i="23" s="1"/>
  <c r="L81" i="2"/>
  <c r="D82" i="23" s="1"/>
  <c r="L82" i="2"/>
  <c r="L83" i="2"/>
  <c r="L84" i="2"/>
  <c r="D85" i="23" s="1"/>
  <c r="L85" i="2"/>
  <c r="L86" i="2"/>
  <c r="L87" i="2"/>
  <c r="L88" i="2"/>
  <c r="L89" i="2"/>
  <c r="L90" i="2"/>
  <c r="L91" i="2"/>
  <c r="L92" i="2"/>
  <c r="L93" i="2"/>
  <c r="D94" i="23" s="1"/>
  <c r="L94" i="2"/>
  <c r="D95" i="23" s="1"/>
  <c r="L95" i="2"/>
  <c r="L96" i="2"/>
  <c r="L97" i="2"/>
  <c r="D98" i="23" s="1"/>
  <c r="L98" i="2"/>
  <c r="D99" i="23" s="1"/>
  <c r="L99" i="2"/>
  <c r="D100" i="23" s="1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D116" i="23" s="1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D149" i="23" s="1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D165" i="23" s="1"/>
  <c r="L165" i="2"/>
  <c r="D166" i="23" s="1"/>
  <c r="L166" i="2"/>
  <c r="L167" i="2"/>
  <c r="L168" i="2"/>
  <c r="L169" i="2"/>
  <c r="L170" i="2"/>
  <c r="L171" i="2"/>
  <c r="L172" i="2"/>
  <c r="L173" i="2"/>
  <c r="L174" i="2"/>
  <c r="L175" i="2"/>
  <c r="L176" i="2"/>
  <c r="D177" i="23" s="1"/>
  <c r="L177" i="2"/>
  <c r="L178" i="2"/>
  <c r="L179" i="2"/>
  <c r="L180" i="2"/>
  <c r="L181" i="2"/>
  <c r="L182" i="2"/>
  <c r="D183" i="23" s="1"/>
  <c r="L183" i="2"/>
  <c r="L184" i="2"/>
  <c r="L185" i="2"/>
  <c r="D186" i="23" s="1"/>
  <c r="L186" i="2"/>
  <c r="D187" i="23" s="1"/>
  <c r="L187" i="2"/>
  <c r="D188" i="23" s="1"/>
  <c r="L188" i="2"/>
  <c r="D189" i="23" s="1"/>
  <c r="L189" i="2"/>
  <c r="L190" i="2"/>
  <c r="L191" i="2"/>
  <c r="D192" i="23" s="1"/>
  <c r="L192" i="2"/>
  <c r="D193" i="23" s="1"/>
  <c r="L193" i="2"/>
  <c r="D194" i="23" s="1"/>
  <c r="L194" i="2"/>
  <c r="L195" i="2"/>
  <c r="L196" i="2"/>
  <c r="L197" i="2"/>
  <c r="L198" i="2"/>
  <c r="L199" i="2"/>
  <c r="L200" i="2"/>
  <c r="L201" i="2"/>
  <c r="L202" i="2"/>
  <c r="L203" i="2"/>
  <c r="D204" i="23" s="1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D232" i="23" s="1"/>
  <c r="L232" i="2"/>
  <c r="L233" i="2"/>
  <c r="L234" i="2"/>
  <c r="L235" i="2"/>
  <c r="L236" i="2"/>
  <c r="L237" i="2"/>
  <c r="D238" i="23" s="1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D255" i="23" s="1"/>
  <c r="L255" i="2"/>
  <c r="D256" i="23" s="1"/>
  <c r="L256" i="2"/>
  <c r="L257" i="2"/>
  <c r="L258" i="2"/>
  <c r="L259" i="2"/>
  <c r="L260" i="2"/>
  <c r="L261" i="2"/>
  <c r="L262" i="2"/>
  <c r="L263" i="2"/>
  <c r="L264" i="2"/>
  <c r="L265" i="2"/>
  <c r="L5" i="2"/>
  <c r="K6" i="2"/>
  <c r="K7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C49" i="23" s="1"/>
  <c r="G49" i="23" s="1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C81" i="23" s="1"/>
  <c r="G81" i="23" s="1"/>
  <c r="K81" i="2"/>
  <c r="C82" i="23" s="1"/>
  <c r="G82" i="23" s="1"/>
  <c r="K82" i="2"/>
  <c r="K83" i="2"/>
  <c r="K84" i="2"/>
  <c r="C85" i="23" s="1"/>
  <c r="G85" i="23" s="1"/>
  <c r="K85" i="2"/>
  <c r="K86" i="2"/>
  <c r="K87" i="2"/>
  <c r="K88" i="2"/>
  <c r="K89" i="2"/>
  <c r="K90" i="2"/>
  <c r="K91" i="2"/>
  <c r="K92" i="2"/>
  <c r="K93" i="2"/>
  <c r="C94" i="23" s="1"/>
  <c r="G94" i="23" s="1"/>
  <c r="K94" i="2"/>
  <c r="C95" i="23" s="1"/>
  <c r="G95" i="23" s="1"/>
  <c r="K95" i="2"/>
  <c r="K96" i="2"/>
  <c r="K97" i="2"/>
  <c r="C98" i="23" s="1"/>
  <c r="G98" i="23" s="1"/>
  <c r="K98" i="2"/>
  <c r="C99" i="23" s="1"/>
  <c r="G99" i="23" s="1"/>
  <c r="K99" i="2"/>
  <c r="C100" i="23" s="1"/>
  <c r="G100" i="23" s="1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C116" i="23" s="1"/>
  <c r="G116" i="23" s="1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C149" i="23" s="1"/>
  <c r="G149" i="23" s="1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C165" i="23" s="1"/>
  <c r="G165" i="23" s="1"/>
  <c r="K165" i="2"/>
  <c r="C166" i="23" s="1"/>
  <c r="G166" i="23" s="1"/>
  <c r="K166" i="2"/>
  <c r="K167" i="2"/>
  <c r="K168" i="2"/>
  <c r="K169" i="2"/>
  <c r="K170" i="2"/>
  <c r="K171" i="2"/>
  <c r="K172" i="2"/>
  <c r="K173" i="2"/>
  <c r="K174" i="2"/>
  <c r="K175" i="2"/>
  <c r="K176" i="2"/>
  <c r="C177" i="23" s="1"/>
  <c r="G177" i="23" s="1"/>
  <c r="K177" i="2"/>
  <c r="K178" i="2"/>
  <c r="K179" i="2"/>
  <c r="K180" i="2"/>
  <c r="K181" i="2"/>
  <c r="K182" i="2"/>
  <c r="C183" i="23" s="1"/>
  <c r="G183" i="23" s="1"/>
  <c r="K183" i="2"/>
  <c r="K184" i="2"/>
  <c r="K185" i="2"/>
  <c r="C186" i="23" s="1"/>
  <c r="G186" i="23" s="1"/>
  <c r="K186" i="2"/>
  <c r="C187" i="23" s="1"/>
  <c r="G187" i="23" s="1"/>
  <c r="K187" i="2"/>
  <c r="C188" i="23" s="1"/>
  <c r="G188" i="23" s="1"/>
  <c r="K188" i="2"/>
  <c r="C189" i="23" s="1"/>
  <c r="G189" i="23" s="1"/>
  <c r="K189" i="2"/>
  <c r="K190" i="2"/>
  <c r="K191" i="2"/>
  <c r="C192" i="23" s="1"/>
  <c r="G192" i="23" s="1"/>
  <c r="K192" i="2"/>
  <c r="C193" i="23" s="1"/>
  <c r="G193" i="23" s="1"/>
  <c r="K193" i="2"/>
  <c r="C194" i="23" s="1"/>
  <c r="G194" i="23" s="1"/>
  <c r="K194" i="2"/>
  <c r="K195" i="2"/>
  <c r="K196" i="2"/>
  <c r="K197" i="2"/>
  <c r="K198" i="2"/>
  <c r="K199" i="2"/>
  <c r="K200" i="2"/>
  <c r="K201" i="2"/>
  <c r="K202" i="2"/>
  <c r="K203" i="2"/>
  <c r="C204" i="23" s="1"/>
  <c r="G204" i="23" s="1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C232" i="23" s="1"/>
  <c r="G232" i="23" s="1"/>
  <c r="K232" i="2"/>
  <c r="K233" i="2"/>
  <c r="K234" i="2"/>
  <c r="K235" i="2"/>
  <c r="K236" i="2"/>
  <c r="K237" i="2"/>
  <c r="C238" i="23" s="1"/>
  <c r="G238" i="23" s="1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C255" i="23" s="1"/>
  <c r="G255" i="23" s="1"/>
  <c r="K255" i="2"/>
  <c r="C256" i="23" s="1"/>
  <c r="G256" i="23" s="1"/>
  <c r="K256" i="2"/>
  <c r="K257" i="2"/>
  <c r="K258" i="2"/>
  <c r="K259" i="2"/>
  <c r="K260" i="2"/>
  <c r="K261" i="2"/>
  <c r="K262" i="2"/>
  <c r="K263" i="2"/>
  <c r="K264" i="2"/>
  <c r="K265" i="2"/>
  <c r="K5" i="2"/>
  <c r="A7" i="14"/>
  <c r="F7" i="14" s="1"/>
  <c r="A8" i="14"/>
  <c r="A9" i="14"/>
  <c r="A10" i="14"/>
  <c r="C10" i="14" s="1"/>
  <c r="A11" i="14"/>
  <c r="A12" i="14"/>
  <c r="A13" i="14"/>
  <c r="A14" i="14"/>
  <c r="A15" i="14"/>
  <c r="A16" i="14"/>
  <c r="A17" i="14"/>
  <c r="A18" i="14"/>
  <c r="C18" i="14" s="1"/>
  <c r="A19" i="14"/>
  <c r="E19" i="14" s="1"/>
  <c r="A20" i="14"/>
  <c r="A21" i="14"/>
  <c r="A22" i="14"/>
  <c r="C22" i="14" s="1"/>
  <c r="A23" i="14"/>
  <c r="A24" i="14"/>
  <c r="A25" i="14"/>
  <c r="A26" i="14"/>
  <c r="A27" i="14"/>
  <c r="A28" i="14"/>
  <c r="E28" i="14" s="1"/>
  <c r="A29" i="14"/>
  <c r="D29" i="14" s="1"/>
  <c r="A30" i="14"/>
  <c r="A31" i="14"/>
  <c r="A32" i="14"/>
  <c r="A33" i="14"/>
  <c r="A34" i="14"/>
  <c r="A35" i="14"/>
  <c r="B35" i="14" s="1"/>
  <c r="A36" i="14"/>
  <c r="A37" i="14"/>
  <c r="A38" i="14"/>
  <c r="A39" i="14"/>
  <c r="A40" i="14"/>
  <c r="A41" i="14"/>
  <c r="E41" i="14" s="1"/>
  <c r="A42" i="14"/>
  <c r="C42" i="14" s="1"/>
  <c r="A43" i="14"/>
  <c r="B43" i="14" s="1"/>
  <c r="A44" i="14"/>
  <c r="A45" i="14"/>
  <c r="A46" i="14"/>
  <c r="A47" i="14"/>
  <c r="E47" i="14" s="1"/>
  <c r="A48" i="14"/>
  <c r="A49" i="14"/>
  <c r="A50" i="14"/>
  <c r="A51" i="14"/>
  <c r="A52" i="14"/>
  <c r="A53" i="14"/>
  <c r="A54" i="14"/>
  <c r="A55" i="14"/>
  <c r="B55" i="14" s="1"/>
  <c r="A56" i="14"/>
  <c r="B56" i="14" s="1"/>
  <c r="A57" i="14"/>
  <c r="A58" i="14"/>
  <c r="D58" i="14" s="1"/>
  <c r="A59" i="14"/>
  <c r="B59" i="14" s="1"/>
  <c r="A60" i="14"/>
  <c r="B60" i="14" s="1"/>
  <c r="A61" i="14"/>
  <c r="A62" i="14"/>
  <c r="B62" i="14" s="1"/>
  <c r="A63" i="14"/>
  <c r="B63" i="14" s="1"/>
  <c r="A64" i="14"/>
  <c r="A65" i="14"/>
  <c r="A66" i="14"/>
  <c r="C66" i="14" s="1"/>
  <c r="A67" i="14"/>
  <c r="E67" i="14" s="1"/>
  <c r="A68" i="14"/>
  <c r="A69" i="14"/>
  <c r="A70" i="14"/>
  <c r="C70" i="14" s="1"/>
  <c r="A71" i="14"/>
  <c r="D71" i="14" s="1"/>
  <c r="A72" i="14"/>
  <c r="A73" i="14"/>
  <c r="A74" i="14"/>
  <c r="A75" i="14"/>
  <c r="A76" i="14"/>
  <c r="A77" i="14"/>
  <c r="D77" i="14" s="1"/>
  <c r="A78" i="14"/>
  <c r="B78" i="14" s="1"/>
  <c r="A79" i="14"/>
  <c r="B79" i="14" s="1"/>
  <c r="A80" i="14"/>
  <c r="B80" i="14" s="1"/>
  <c r="A81" i="14"/>
  <c r="A82" i="14"/>
  <c r="C82" i="14" s="1"/>
  <c r="A83" i="14"/>
  <c r="B83" i="14" s="1"/>
  <c r="A84" i="14"/>
  <c r="B84" i="14" s="1"/>
  <c r="A85" i="14"/>
  <c r="A86" i="14"/>
  <c r="A87" i="14"/>
  <c r="A88" i="14"/>
  <c r="A89" i="14"/>
  <c r="E89" i="14" s="1"/>
  <c r="A90" i="14"/>
  <c r="B90" i="14" s="1"/>
  <c r="A91" i="14"/>
  <c r="B91" i="14" s="1"/>
  <c r="A92" i="14"/>
  <c r="B92" i="14" s="1"/>
  <c r="A93" i="14"/>
  <c r="B93" i="14" s="1"/>
  <c r="A94" i="14"/>
  <c r="A95" i="14"/>
  <c r="B95" i="14" s="1"/>
  <c r="A96" i="14"/>
  <c r="B96" i="14" s="1"/>
  <c r="A97" i="14"/>
  <c r="A98" i="14"/>
  <c r="B98" i="14" s="1"/>
  <c r="A99" i="14"/>
  <c r="B99" i="14" s="1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D112" i="14" s="1"/>
  <c r="A113" i="14"/>
  <c r="A114" i="14"/>
  <c r="A115" i="14"/>
  <c r="F115" i="14" s="1"/>
  <c r="A116" i="14"/>
  <c r="A117" i="14"/>
  <c r="A118" i="14"/>
  <c r="A119" i="14"/>
  <c r="A120" i="14"/>
  <c r="A121" i="14"/>
  <c r="A122" i="14"/>
  <c r="A123" i="14"/>
  <c r="A124" i="14"/>
  <c r="E124" i="14" s="1"/>
  <c r="A125" i="14"/>
  <c r="A126" i="14"/>
  <c r="C126" i="14" s="1"/>
  <c r="A127" i="14"/>
  <c r="B127" i="14" s="1"/>
  <c r="A128" i="14"/>
  <c r="B128" i="14" s="1"/>
  <c r="A129" i="14"/>
  <c r="A130" i="14"/>
  <c r="A131" i="14"/>
  <c r="A132" i="14"/>
  <c r="A133" i="14"/>
  <c r="A134" i="14"/>
  <c r="A135" i="14"/>
  <c r="A136" i="14"/>
  <c r="B136" i="14" s="1"/>
  <c r="A137" i="14"/>
  <c r="A138" i="14"/>
  <c r="C138" i="14" s="1"/>
  <c r="A139" i="14"/>
  <c r="D139" i="14" s="1"/>
  <c r="A140" i="14"/>
  <c r="B140" i="14" s="1"/>
  <c r="A141" i="14"/>
  <c r="B141" i="14" s="1"/>
  <c r="A142" i="14"/>
  <c r="A143" i="14"/>
  <c r="A144" i="14"/>
  <c r="A145" i="14"/>
  <c r="A146" i="14"/>
  <c r="A147" i="14"/>
  <c r="A148" i="14"/>
  <c r="A149" i="14"/>
  <c r="A150" i="14"/>
  <c r="E150" i="14" s="1"/>
  <c r="A151" i="14"/>
  <c r="B151" i="14" s="1"/>
  <c r="A152" i="14"/>
  <c r="B152" i="14" s="1"/>
  <c r="A153" i="14"/>
  <c r="B153" i="14" s="1"/>
  <c r="A154" i="14"/>
  <c r="D154" i="14" s="1"/>
  <c r="A155" i="14"/>
  <c r="B155" i="14" s="1"/>
  <c r="A156" i="14"/>
  <c r="B156" i="14" s="1"/>
  <c r="A157" i="14"/>
  <c r="A158" i="14"/>
  <c r="A159" i="14"/>
  <c r="A160" i="14"/>
  <c r="B160" i="14" s="1"/>
  <c r="A161" i="14"/>
  <c r="A162" i="14"/>
  <c r="B162" i="14" s="1"/>
  <c r="A163" i="14"/>
  <c r="B163" i="14" s="1"/>
  <c r="A164" i="14"/>
  <c r="B164" i="14" s="1"/>
  <c r="A165" i="14"/>
  <c r="B165" i="14" s="1"/>
  <c r="A166" i="14"/>
  <c r="A167" i="14"/>
  <c r="B167" i="14" s="1"/>
  <c r="A168" i="14"/>
  <c r="B168" i="14" s="1"/>
  <c r="A169" i="14"/>
  <c r="A170" i="14"/>
  <c r="B170" i="14" s="1"/>
  <c r="A171" i="14"/>
  <c r="B171" i="14" s="1"/>
  <c r="A172" i="14"/>
  <c r="E172" i="14" s="1"/>
  <c r="A173" i="14"/>
  <c r="D173" i="14" s="1"/>
  <c r="A174" i="14"/>
  <c r="A175" i="14"/>
  <c r="A176" i="14"/>
  <c r="A177" i="14"/>
  <c r="F177" i="14" s="1"/>
  <c r="A178" i="14"/>
  <c r="A179" i="14"/>
  <c r="A180" i="14"/>
  <c r="D180" i="14" s="1"/>
  <c r="A181" i="14"/>
  <c r="A182" i="14"/>
  <c r="A183" i="14"/>
  <c r="A184" i="14"/>
  <c r="B184" i="14" s="1"/>
  <c r="A185" i="14"/>
  <c r="E185" i="14" s="1"/>
  <c r="A186" i="14"/>
  <c r="A187" i="14"/>
  <c r="A188" i="14"/>
  <c r="A189" i="14"/>
  <c r="A190" i="14"/>
  <c r="A191" i="14"/>
  <c r="E191" i="14" s="1"/>
  <c r="A192" i="14"/>
  <c r="A193" i="14"/>
  <c r="D193" i="14" s="1"/>
  <c r="A194" i="14"/>
  <c r="A195" i="14"/>
  <c r="A196" i="14"/>
  <c r="B196" i="14" s="1"/>
  <c r="A197" i="14"/>
  <c r="A198" i="14"/>
  <c r="C198" i="14" s="1"/>
  <c r="A199" i="14"/>
  <c r="B199" i="14" s="1"/>
  <c r="A200" i="14"/>
  <c r="B200" i="14" s="1"/>
  <c r="A201" i="14"/>
  <c r="A202" i="14"/>
  <c r="D202" i="14" s="1"/>
  <c r="A203" i="14"/>
  <c r="A204" i="14"/>
  <c r="A205" i="14"/>
  <c r="E205" i="14" s="1"/>
  <c r="A206" i="14"/>
  <c r="A207" i="14"/>
  <c r="A208" i="14"/>
  <c r="B208" i="14" s="1"/>
  <c r="A209" i="14"/>
  <c r="A210" i="14"/>
  <c r="C210" i="14" s="1"/>
  <c r="A211" i="14"/>
  <c r="A212" i="14"/>
  <c r="B212" i="14" s="1"/>
  <c r="A213" i="14"/>
  <c r="B213" i="14" s="1"/>
  <c r="A214" i="14"/>
  <c r="A215" i="14"/>
  <c r="A216" i="14"/>
  <c r="A217" i="14"/>
  <c r="A218" i="14"/>
  <c r="F218" i="14" s="1"/>
  <c r="A219" i="14"/>
  <c r="A220" i="14"/>
  <c r="A221" i="14"/>
  <c r="A222" i="14"/>
  <c r="B222" i="14" s="1"/>
  <c r="A223" i="14"/>
  <c r="B223" i="14" s="1"/>
  <c r="A224" i="14"/>
  <c r="B224" i="14" s="1"/>
  <c r="A225" i="14"/>
  <c r="B225" i="14" s="1"/>
  <c r="A226" i="14"/>
  <c r="C226" i="14" s="1"/>
  <c r="A227" i="14"/>
  <c r="B227" i="14" s="1"/>
  <c r="A228" i="14"/>
  <c r="B228" i="14" s="1"/>
  <c r="A229" i="14"/>
  <c r="A230" i="14"/>
  <c r="A231" i="14"/>
  <c r="A232" i="14"/>
  <c r="A233" i="14"/>
  <c r="E233" i="14" s="1"/>
  <c r="A234" i="14"/>
  <c r="B234" i="14" s="1"/>
  <c r="A235" i="14"/>
  <c r="B235" i="14" s="1"/>
  <c r="A236" i="14"/>
  <c r="B236" i="14" s="1"/>
  <c r="A237" i="14"/>
  <c r="B237" i="14" s="1"/>
  <c r="A238" i="14"/>
  <c r="A239" i="14"/>
  <c r="B239" i="14" s="1"/>
  <c r="A240" i="14"/>
  <c r="B240" i="14" s="1"/>
  <c r="A241" i="14"/>
  <c r="A242" i="14"/>
  <c r="B242" i="14" s="1"/>
  <c r="A243" i="14"/>
  <c r="B243" i="14" s="1"/>
  <c r="A244" i="14"/>
  <c r="A245" i="14"/>
  <c r="A246" i="14"/>
  <c r="I246" i="14" s="1"/>
  <c r="A247" i="14"/>
  <c r="A248" i="14"/>
  <c r="A249" i="14"/>
  <c r="A250" i="14"/>
  <c r="A251" i="14"/>
  <c r="A252" i="14"/>
  <c r="A253" i="14"/>
  <c r="A254" i="14"/>
  <c r="A255" i="14"/>
  <c r="A256" i="14"/>
  <c r="B256" i="14" s="1"/>
  <c r="A257" i="14"/>
  <c r="A258" i="14"/>
  <c r="A259" i="14"/>
  <c r="A260" i="14"/>
  <c r="A261" i="14"/>
  <c r="A262" i="14"/>
  <c r="A263" i="14"/>
  <c r="A264" i="14"/>
  <c r="A265" i="14"/>
  <c r="F2" i="14"/>
  <c r="C6" i="23" l="1"/>
  <c r="C7" i="25"/>
  <c r="G6" i="16"/>
  <c r="C264" i="23"/>
  <c r="C311" i="25"/>
  <c r="C263" i="23"/>
  <c r="C310" i="25"/>
  <c r="C262" i="23"/>
  <c r="C309" i="25"/>
  <c r="C261" i="23"/>
  <c r="C308" i="25"/>
  <c r="C260" i="23"/>
  <c r="C307" i="25"/>
  <c r="C259" i="23"/>
  <c r="C306" i="25"/>
  <c r="C258" i="23"/>
  <c r="C304" i="25"/>
  <c r="C257" i="23"/>
  <c r="C303" i="25"/>
  <c r="C254" i="23"/>
  <c r="C299" i="25"/>
  <c r="C253" i="23"/>
  <c r="C298" i="25"/>
  <c r="C252" i="23"/>
  <c r="C297" i="25"/>
  <c r="C251" i="23"/>
  <c r="C296" i="25"/>
  <c r="C250" i="23"/>
  <c r="C295" i="25"/>
  <c r="C249" i="23"/>
  <c r="C294" i="25"/>
  <c r="C248" i="23"/>
  <c r="C293" i="25"/>
  <c r="C247" i="23"/>
  <c r="C292" i="25"/>
  <c r="C246" i="23"/>
  <c r="C290" i="25"/>
  <c r="C245" i="23"/>
  <c r="C289" i="25"/>
  <c r="C244" i="23"/>
  <c r="C288" i="25"/>
  <c r="C243" i="23"/>
  <c r="C287" i="25"/>
  <c r="C242" i="23"/>
  <c r="C286" i="25"/>
  <c r="C241" i="23"/>
  <c r="C285" i="25"/>
  <c r="C240" i="23"/>
  <c r="C284" i="25"/>
  <c r="C239" i="23"/>
  <c r="C282" i="25"/>
  <c r="C237" i="23"/>
  <c r="C280" i="25"/>
  <c r="C236" i="23"/>
  <c r="C279" i="25"/>
  <c r="C235" i="23"/>
  <c r="C278" i="25"/>
  <c r="C234" i="23"/>
  <c r="C277" i="25"/>
  <c r="C233" i="23"/>
  <c r="C276" i="25"/>
  <c r="C231" i="23"/>
  <c r="C273" i="25"/>
  <c r="C230" i="23"/>
  <c r="C272" i="25"/>
  <c r="C229" i="23"/>
  <c r="C271" i="25"/>
  <c r="C228" i="23"/>
  <c r="C270" i="25"/>
  <c r="C227" i="23"/>
  <c r="C269" i="25"/>
  <c r="C226" i="23"/>
  <c r="C268" i="25"/>
  <c r="C225" i="23"/>
  <c r="C266" i="25"/>
  <c r="C224" i="23"/>
  <c r="C265" i="25"/>
  <c r="C223" i="23"/>
  <c r="C264" i="25"/>
  <c r="C222" i="23"/>
  <c r="C263" i="25"/>
  <c r="C221" i="23"/>
  <c r="C262" i="25"/>
  <c r="C220" i="23"/>
  <c r="C261" i="25"/>
  <c r="C219" i="23"/>
  <c r="C259" i="25"/>
  <c r="C218" i="23"/>
  <c r="C258" i="25"/>
  <c r="C217" i="23"/>
  <c r="C257" i="25"/>
  <c r="C216" i="23"/>
  <c r="C256" i="25"/>
  <c r="C215" i="23"/>
  <c r="C255" i="25"/>
  <c r="C214" i="23"/>
  <c r="C253" i="25"/>
  <c r="C213" i="23"/>
  <c r="C252" i="25"/>
  <c r="C212" i="23"/>
  <c r="C251" i="25"/>
  <c r="C211" i="23"/>
  <c r="C250" i="25"/>
  <c r="C210" i="23"/>
  <c r="C249" i="25"/>
  <c r="C209" i="23"/>
  <c r="C247" i="25"/>
  <c r="C208" i="23"/>
  <c r="C246" i="25"/>
  <c r="C207" i="23"/>
  <c r="C244" i="25"/>
  <c r="C206" i="23"/>
  <c r="C243" i="25"/>
  <c r="C205" i="23"/>
  <c r="C242" i="25"/>
  <c r="C203" i="23"/>
  <c r="C239" i="25"/>
  <c r="C202" i="23"/>
  <c r="C238" i="25"/>
  <c r="C201" i="23"/>
  <c r="C237" i="25"/>
  <c r="C200" i="23"/>
  <c r="C236" i="25"/>
  <c r="C199" i="23"/>
  <c r="C235" i="25"/>
  <c r="C198" i="23"/>
  <c r="C234" i="25"/>
  <c r="C197" i="23"/>
  <c r="C233" i="25"/>
  <c r="C196" i="23"/>
  <c r="C232" i="25"/>
  <c r="C195" i="23"/>
  <c r="C231" i="25"/>
  <c r="C191" i="23"/>
  <c r="C226" i="25"/>
  <c r="C190" i="23"/>
  <c r="C225" i="25"/>
  <c r="C185" i="23"/>
  <c r="C219" i="25"/>
  <c r="C184" i="23"/>
  <c r="C218" i="25"/>
  <c r="C182" i="23"/>
  <c r="C215" i="25"/>
  <c r="C181" i="23"/>
  <c r="C214" i="25"/>
  <c r="C180" i="23"/>
  <c r="C213" i="25"/>
  <c r="C179" i="23"/>
  <c r="C212" i="25"/>
  <c r="C178" i="23"/>
  <c r="C211" i="25"/>
  <c r="C176" i="23"/>
  <c r="C208" i="25"/>
  <c r="C175" i="23"/>
  <c r="C207" i="25"/>
  <c r="C174" i="23"/>
  <c r="C205" i="25"/>
  <c r="C173" i="23"/>
  <c r="C204" i="25"/>
  <c r="C172" i="23"/>
  <c r="C203" i="25"/>
  <c r="C171" i="23"/>
  <c r="C202" i="25"/>
  <c r="C170" i="23"/>
  <c r="C200" i="25"/>
  <c r="C169" i="23"/>
  <c r="C199" i="25"/>
  <c r="C168" i="23"/>
  <c r="C198" i="25"/>
  <c r="C167" i="23"/>
  <c r="C197" i="25"/>
  <c r="C164" i="23"/>
  <c r="C193" i="25"/>
  <c r="C163" i="23"/>
  <c r="C192" i="25"/>
  <c r="C162" i="23"/>
  <c r="C191" i="25"/>
  <c r="C161" i="23"/>
  <c r="C190" i="25"/>
  <c r="C160" i="23"/>
  <c r="C188" i="25"/>
  <c r="C159" i="23"/>
  <c r="C187" i="25"/>
  <c r="C158" i="23"/>
  <c r="C185" i="25"/>
  <c r="C157" i="23"/>
  <c r="C184" i="25"/>
  <c r="C156" i="23"/>
  <c r="C183" i="25"/>
  <c r="C155" i="23"/>
  <c r="C182" i="25"/>
  <c r="C154" i="23"/>
  <c r="C181" i="25"/>
  <c r="C153" i="23"/>
  <c r="C180" i="25"/>
  <c r="C152" i="23"/>
  <c r="C179" i="25"/>
  <c r="C151" i="23"/>
  <c r="C178" i="25"/>
  <c r="C150" i="23"/>
  <c r="C177" i="25"/>
  <c r="C148" i="23"/>
  <c r="C174" i="25"/>
  <c r="C147" i="23"/>
  <c r="C173" i="25"/>
  <c r="C146" i="23"/>
  <c r="C172" i="25"/>
  <c r="C145" i="23"/>
  <c r="C171" i="25"/>
  <c r="C144" i="23"/>
  <c r="C170" i="25"/>
  <c r="C143" i="23"/>
  <c r="C169" i="25"/>
  <c r="C142" i="23"/>
  <c r="C168" i="25"/>
  <c r="C141" i="23"/>
  <c r="C166" i="25"/>
  <c r="C140" i="23"/>
  <c r="C165" i="25"/>
  <c r="C139" i="23"/>
  <c r="C163" i="25"/>
  <c r="C138" i="23"/>
  <c r="C162" i="25"/>
  <c r="C137" i="23"/>
  <c r="C161" i="25"/>
  <c r="C136" i="23"/>
  <c r="C160" i="25"/>
  <c r="C135" i="23"/>
  <c r="C159" i="25"/>
  <c r="C134" i="23"/>
  <c r="C158" i="25"/>
  <c r="C133" i="23"/>
  <c r="C157" i="25"/>
  <c r="C132" i="23"/>
  <c r="C156" i="25"/>
  <c r="C131" i="23"/>
  <c r="C154" i="25"/>
  <c r="C130" i="23"/>
  <c r="C153" i="25"/>
  <c r="C129" i="23"/>
  <c r="C152" i="25"/>
  <c r="C128" i="23"/>
  <c r="C151" i="25"/>
  <c r="C127" i="23"/>
  <c r="C150" i="25"/>
  <c r="C126" i="23"/>
  <c r="C149" i="25"/>
  <c r="C125" i="23"/>
  <c r="C148" i="25"/>
  <c r="C124" i="23"/>
  <c r="C147" i="25"/>
  <c r="C123" i="23"/>
  <c r="C146" i="25"/>
  <c r="C122" i="23"/>
  <c r="C145" i="25"/>
  <c r="C121" i="23"/>
  <c r="C143" i="25"/>
  <c r="C120" i="23"/>
  <c r="C142" i="25"/>
  <c r="C119" i="23"/>
  <c r="C141" i="25"/>
  <c r="C118" i="23"/>
  <c r="C139" i="25"/>
  <c r="C117" i="23"/>
  <c r="C138" i="25"/>
  <c r="C115" i="23"/>
  <c r="C135" i="25"/>
  <c r="C114" i="23"/>
  <c r="C134" i="25"/>
  <c r="C113" i="23"/>
  <c r="C133" i="25"/>
  <c r="C112" i="23"/>
  <c r="C132" i="25"/>
  <c r="C111" i="23"/>
  <c r="C131" i="25"/>
  <c r="C110" i="23"/>
  <c r="C129" i="25"/>
  <c r="C109" i="23"/>
  <c r="C128" i="25"/>
  <c r="C108" i="23"/>
  <c r="C127" i="25"/>
  <c r="C107" i="23"/>
  <c r="C125" i="25"/>
  <c r="C106" i="23"/>
  <c r="C124" i="25"/>
  <c r="C105" i="23"/>
  <c r="C123" i="25"/>
  <c r="C104" i="23"/>
  <c r="C122" i="25"/>
  <c r="C103" i="23"/>
  <c r="C121" i="25"/>
  <c r="C102" i="23"/>
  <c r="C119" i="25"/>
  <c r="C101" i="23"/>
  <c r="C118" i="25"/>
  <c r="C97" i="23"/>
  <c r="C113" i="25"/>
  <c r="C96" i="23"/>
  <c r="C112" i="25"/>
  <c r="C93" i="23"/>
  <c r="C110" i="25"/>
  <c r="C92" i="23"/>
  <c r="C109" i="25"/>
  <c r="C91" i="23"/>
  <c r="C108" i="25"/>
  <c r="C90" i="23"/>
  <c r="C107" i="25"/>
  <c r="C89" i="23"/>
  <c r="C106" i="25"/>
  <c r="C88" i="23"/>
  <c r="C105" i="25"/>
  <c r="C87" i="23"/>
  <c r="C104" i="25"/>
  <c r="C86" i="23"/>
  <c r="C103" i="25"/>
  <c r="C84" i="23"/>
  <c r="C100" i="25"/>
  <c r="C83" i="23"/>
  <c r="C99" i="25"/>
  <c r="C80" i="23"/>
  <c r="C95" i="25"/>
  <c r="C79" i="23"/>
  <c r="C94" i="25"/>
  <c r="C78" i="23"/>
  <c r="C93" i="25"/>
  <c r="C77" i="23"/>
  <c r="C91" i="25"/>
  <c r="C76" i="23"/>
  <c r="C90" i="25"/>
  <c r="C75" i="23"/>
  <c r="C89" i="25"/>
  <c r="C74" i="23"/>
  <c r="C88" i="25"/>
  <c r="C73" i="23"/>
  <c r="C87" i="25"/>
  <c r="C72" i="23"/>
  <c r="C85" i="25"/>
  <c r="C71" i="23"/>
  <c r="C84" i="25"/>
  <c r="C70" i="23"/>
  <c r="C83" i="25"/>
  <c r="C69" i="23"/>
  <c r="C82" i="25"/>
  <c r="C68" i="23"/>
  <c r="C81" i="25"/>
  <c r="C67" i="23"/>
  <c r="C79" i="25"/>
  <c r="C66" i="23"/>
  <c r="C78" i="25"/>
  <c r="C65" i="23"/>
  <c r="C77" i="25"/>
  <c r="C64" i="23"/>
  <c r="C76" i="25"/>
  <c r="C63" i="23"/>
  <c r="C75" i="25"/>
  <c r="C62" i="23"/>
  <c r="C73" i="25"/>
  <c r="C61" i="23"/>
  <c r="C72" i="25"/>
  <c r="C60" i="23"/>
  <c r="C71" i="25"/>
  <c r="C59" i="23"/>
  <c r="C70" i="25"/>
  <c r="C58" i="23"/>
  <c r="C69" i="25"/>
  <c r="C57" i="23"/>
  <c r="C68" i="25"/>
  <c r="C56" i="23"/>
  <c r="C67" i="25"/>
  <c r="C55" i="23"/>
  <c r="C66" i="25"/>
  <c r="C54" i="23"/>
  <c r="C65" i="25"/>
  <c r="C53" i="23"/>
  <c r="C64" i="25"/>
  <c r="C52" i="23"/>
  <c r="C63" i="25"/>
  <c r="C51" i="23"/>
  <c r="C62" i="25"/>
  <c r="C50" i="23"/>
  <c r="C61" i="25"/>
  <c r="C48" i="23"/>
  <c r="C58" i="25"/>
  <c r="C47" i="23"/>
  <c r="C57" i="25"/>
  <c r="C46" i="23"/>
  <c r="C56" i="25"/>
  <c r="C45" i="23"/>
  <c r="C55" i="25"/>
  <c r="C44" i="23"/>
  <c r="C54" i="25"/>
  <c r="C43" i="23"/>
  <c r="C52" i="25"/>
  <c r="C42" i="23"/>
  <c r="C51" i="25"/>
  <c r="C41" i="23"/>
  <c r="C50" i="25"/>
  <c r="C40" i="23"/>
  <c r="C49" i="25"/>
  <c r="C39" i="23"/>
  <c r="C48" i="25"/>
  <c r="C38" i="23"/>
  <c r="C46" i="25"/>
  <c r="C37" i="23"/>
  <c r="C45" i="25"/>
  <c r="C36" i="23"/>
  <c r="C44" i="25"/>
  <c r="C35" i="23"/>
  <c r="C43" i="25"/>
  <c r="C34" i="23"/>
  <c r="C42" i="25"/>
  <c r="C33" i="23"/>
  <c r="C41" i="25"/>
  <c r="C32" i="23"/>
  <c r="C40" i="25"/>
  <c r="C31" i="23"/>
  <c r="C38" i="25"/>
  <c r="C30" i="23"/>
  <c r="C37" i="25"/>
  <c r="C29" i="23"/>
  <c r="C35" i="25"/>
  <c r="C28" i="23"/>
  <c r="C34" i="25"/>
  <c r="C27" i="23"/>
  <c r="C33" i="25"/>
  <c r="C26" i="23"/>
  <c r="C32" i="25"/>
  <c r="C25" i="23"/>
  <c r="C31" i="25"/>
  <c r="C24" i="23"/>
  <c r="C30" i="25"/>
  <c r="C23" i="23"/>
  <c r="C28" i="25"/>
  <c r="C22" i="23"/>
  <c r="C27" i="25"/>
  <c r="C21" i="23"/>
  <c r="C26" i="25"/>
  <c r="C20" i="23"/>
  <c r="C25" i="25"/>
  <c r="C19" i="23"/>
  <c r="C24" i="25"/>
  <c r="C18" i="23"/>
  <c r="C23" i="25"/>
  <c r="C17" i="23"/>
  <c r="C21" i="25"/>
  <c r="C16" i="23"/>
  <c r="C20" i="25"/>
  <c r="C15" i="23"/>
  <c r="C18" i="25"/>
  <c r="C14" i="23"/>
  <c r="C17" i="25"/>
  <c r="C13" i="23"/>
  <c r="C15" i="25"/>
  <c r="C12" i="23"/>
  <c r="C14" i="25"/>
  <c r="C11" i="23"/>
  <c r="C13" i="25"/>
  <c r="C10" i="23"/>
  <c r="C12" i="25"/>
  <c r="C8" i="23"/>
  <c r="C9" i="25"/>
  <c r="C7" i="23"/>
  <c r="C8" i="25"/>
  <c r="D6" i="23"/>
  <c r="D7" i="25"/>
  <c r="H7" i="25" s="1"/>
  <c r="H6" i="16"/>
  <c r="D264" i="23"/>
  <c r="H264" i="23" s="1"/>
  <c r="D311" i="25"/>
  <c r="H311" i="25" s="1"/>
  <c r="D263" i="23"/>
  <c r="H263" i="23" s="1"/>
  <c r="D310" i="25"/>
  <c r="H310" i="25" s="1"/>
  <c r="D262" i="23"/>
  <c r="H262" i="23" s="1"/>
  <c r="D309" i="25"/>
  <c r="H309" i="25" s="1"/>
  <c r="D261" i="23"/>
  <c r="H261" i="23" s="1"/>
  <c r="D308" i="25"/>
  <c r="H308" i="25" s="1"/>
  <c r="D260" i="23"/>
  <c r="H260" i="23" s="1"/>
  <c r="D307" i="25"/>
  <c r="H307" i="25" s="1"/>
  <c r="D259" i="23"/>
  <c r="H259" i="23" s="1"/>
  <c r="D306" i="25"/>
  <c r="H306" i="25" s="1"/>
  <c r="D258" i="23"/>
  <c r="H258" i="23" s="1"/>
  <c r="D304" i="25"/>
  <c r="H304" i="25" s="1"/>
  <c r="D257" i="23"/>
  <c r="H257" i="23" s="1"/>
  <c r="D303" i="25"/>
  <c r="H303" i="25" s="1"/>
  <c r="H256" i="23"/>
  <c r="H255" i="23"/>
  <c r="D254" i="23"/>
  <c r="H254" i="23" s="1"/>
  <c r="D299" i="25"/>
  <c r="H299" i="25" s="1"/>
  <c r="D253" i="23"/>
  <c r="H253" i="23" s="1"/>
  <c r="D298" i="25"/>
  <c r="H298" i="25" s="1"/>
  <c r="D252" i="23"/>
  <c r="H252" i="23" s="1"/>
  <c r="D297" i="25"/>
  <c r="H297" i="25" s="1"/>
  <c r="D251" i="23"/>
  <c r="H251" i="23" s="1"/>
  <c r="D296" i="25"/>
  <c r="H296" i="25" s="1"/>
  <c r="D250" i="23"/>
  <c r="H250" i="23" s="1"/>
  <c r="D295" i="25"/>
  <c r="H295" i="25" s="1"/>
  <c r="D249" i="23"/>
  <c r="H249" i="23" s="1"/>
  <c r="D294" i="25"/>
  <c r="H294" i="25" s="1"/>
  <c r="D248" i="23"/>
  <c r="H248" i="23" s="1"/>
  <c r="D293" i="25"/>
  <c r="H293" i="25" s="1"/>
  <c r="D247" i="23"/>
  <c r="H247" i="23" s="1"/>
  <c r="D292" i="25"/>
  <c r="H292" i="25" s="1"/>
  <c r="D246" i="23"/>
  <c r="H246" i="23" s="1"/>
  <c r="D290" i="25"/>
  <c r="H290" i="25" s="1"/>
  <c r="D245" i="23"/>
  <c r="H245" i="23" s="1"/>
  <c r="D289" i="25"/>
  <c r="H289" i="25" s="1"/>
  <c r="D244" i="23"/>
  <c r="H244" i="23" s="1"/>
  <c r="D288" i="25"/>
  <c r="H288" i="25" s="1"/>
  <c r="D243" i="23"/>
  <c r="H243" i="23" s="1"/>
  <c r="D287" i="25"/>
  <c r="H287" i="25" s="1"/>
  <c r="D242" i="23"/>
  <c r="H242" i="23" s="1"/>
  <c r="D286" i="25"/>
  <c r="H286" i="25" s="1"/>
  <c r="D241" i="23"/>
  <c r="H241" i="23" s="1"/>
  <c r="D285" i="25"/>
  <c r="H285" i="25" s="1"/>
  <c r="D240" i="23"/>
  <c r="H240" i="23" s="1"/>
  <c r="D284" i="25"/>
  <c r="H284" i="25" s="1"/>
  <c r="D239" i="23"/>
  <c r="H239" i="23" s="1"/>
  <c r="D282" i="25"/>
  <c r="H282" i="25" s="1"/>
  <c r="H238" i="23"/>
  <c r="D237" i="23"/>
  <c r="H237" i="23" s="1"/>
  <c r="D280" i="25"/>
  <c r="H280" i="25" s="1"/>
  <c r="D236" i="23"/>
  <c r="D279" i="25"/>
  <c r="D235" i="23"/>
  <c r="H235" i="23" s="1"/>
  <c r="D278" i="25"/>
  <c r="H278" i="25" s="1"/>
  <c r="D234" i="23"/>
  <c r="D277" i="25"/>
  <c r="D233" i="23"/>
  <c r="D276" i="25"/>
  <c r="H232" i="23"/>
  <c r="D231" i="23"/>
  <c r="H231" i="23" s="1"/>
  <c r="D273" i="25"/>
  <c r="H273" i="25" s="1"/>
  <c r="D230" i="23"/>
  <c r="H230" i="23" s="1"/>
  <c r="D272" i="25"/>
  <c r="H272" i="25" s="1"/>
  <c r="D229" i="23"/>
  <c r="H229" i="23" s="1"/>
  <c r="D271" i="25"/>
  <c r="H271" i="25" s="1"/>
  <c r="D228" i="23"/>
  <c r="D270" i="25"/>
  <c r="D227" i="23"/>
  <c r="H227" i="23" s="1"/>
  <c r="D269" i="25"/>
  <c r="H269" i="25" s="1"/>
  <c r="D226" i="23"/>
  <c r="H226" i="23" s="1"/>
  <c r="D268" i="25"/>
  <c r="H268" i="25" s="1"/>
  <c r="D225" i="23"/>
  <c r="H225" i="23" s="1"/>
  <c r="D266" i="25"/>
  <c r="H266" i="25" s="1"/>
  <c r="D224" i="23"/>
  <c r="H224" i="23" s="1"/>
  <c r="D265" i="25"/>
  <c r="H265" i="25" s="1"/>
  <c r="D223" i="23"/>
  <c r="H223" i="23" s="1"/>
  <c r="D264" i="25"/>
  <c r="H264" i="25" s="1"/>
  <c r="D222" i="23"/>
  <c r="H222" i="23" s="1"/>
  <c r="D263" i="25"/>
  <c r="H263" i="25" s="1"/>
  <c r="D221" i="23"/>
  <c r="H221" i="23" s="1"/>
  <c r="D262" i="25"/>
  <c r="H262" i="25" s="1"/>
  <c r="D220" i="23"/>
  <c r="H220" i="23" s="1"/>
  <c r="D261" i="25"/>
  <c r="H261" i="25" s="1"/>
  <c r="D219" i="23"/>
  <c r="H219" i="23" s="1"/>
  <c r="D259" i="25"/>
  <c r="H259" i="25" s="1"/>
  <c r="D218" i="23"/>
  <c r="H218" i="23" s="1"/>
  <c r="D258" i="25"/>
  <c r="H258" i="25" s="1"/>
  <c r="D217" i="23"/>
  <c r="H217" i="23" s="1"/>
  <c r="D257" i="25"/>
  <c r="H257" i="25" s="1"/>
  <c r="D216" i="23"/>
  <c r="H216" i="23" s="1"/>
  <c r="D256" i="25"/>
  <c r="H256" i="25" s="1"/>
  <c r="D215" i="23"/>
  <c r="H215" i="23" s="1"/>
  <c r="D255" i="25"/>
  <c r="H255" i="25" s="1"/>
  <c r="D214" i="23"/>
  <c r="H214" i="23" s="1"/>
  <c r="D253" i="25"/>
  <c r="H253" i="25" s="1"/>
  <c r="D213" i="23"/>
  <c r="H213" i="23" s="1"/>
  <c r="D252" i="25"/>
  <c r="H252" i="25" s="1"/>
  <c r="D212" i="23"/>
  <c r="D251" i="25"/>
  <c r="D211" i="23"/>
  <c r="H211" i="23" s="1"/>
  <c r="D250" i="25"/>
  <c r="H250" i="25" s="1"/>
  <c r="D210" i="23"/>
  <c r="D249" i="25"/>
  <c r="D209" i="23"/>
  <c r="H209" i="23" s="1"/>
  <c r="D247" i="25"/>
  <c r="H247" i="25" s="1"/>
  <c r="D208" i="23"/>
  <c r="H208" i="23" s="1"/>
  <c r="D246" i="25"/>
  <c r="H246" i="25" s="1"/>
  <c r="D207" i="23"/>
  <c r="H207" i="23" s="1"/>
  <c r="D244" i="25"/>
  <c r="H244" i="25" s="1"/>
  <c r="D206" i="23"/>
  <c r="H206" i="23" s="1"/>
  <c r="D243" i="25"/>
  <c r="H243" i="25" s="1"/>
  <c r="D205" i="23"/>
  <c r="H205" i="23" s="1"/>
  <c r="D242" i="25"/>
  <c r="H242" i="25" s="1"/>
  <c r="H204" i="23"/>
  <c r="D203" i="23"/>
  <c r="H203" i="23" s="1"/>
  <c r="D239" i="25"/>
  <c r="H239" i="25" s="1"/>
  <c r="D202" i="23"/>
  <c r="H202" i="23" s="1"/>
  <c r="D238" i="25"/>
  <c r="H238" i="25" s="1"/>
  <c r="D201" i="23"/>
  <c r="H201" i="23" s="1"/>
  <c r="D237" i="25"/>
  <c r="H237" i="25" s="1"/>
  <c r="D200" i="23"/>
  <c r="H200" i="23" s="1"/>
  <c r="D236" i="25"/>
  <c r="H236" i="25" s="1"/>
  <c r="D199" i="23"/>
  <c r="D235" i="25"/>
  <c r="D198" i="23"/>
  <c r="H198" i="23" s="1"/>
  <c r="D234" i="25"/>
  <c r="H234" i="25" s="1"/>
  <c r="D197" i="23"/>
  <c r="D233" i="25"/>
  <c r="D196" i="23"/>
  <c r="D232" i="25"/>
  <c r="D195" i="23"/>
  <c r="H195" i="23" s="1"/>
  <c r="D231" i="25"/>
  <c r="H231" i="25" s="1"/>
  <c r="H194" i="23"/>
  <c r="H193" i="23"/>
  <c r="H192" i="23"/>
  <c r="D191" i="23"/>
  <c r="H191" i="23" s="1"/>
  <c r="D226" i="25"/>
  <c r="H226" i="25" s="1"/>
  <c r="D190" i="23"/>
  <c r="H190" i="23" s="1"/>
  <c r="D225" i="25"/>
  <c r="H225" i="25" s="1"/>
  <c r="H189" i="23"/>
  <c r="H188" i="23"/>
  <c r="H187" i="23"/>
  <c r="H186" i="23"/>
  <c r="D185" i="23"/>
  <c r="H185" i="23" s="1"/>
  <c r="D219" i="25"/>
  <c r="H219" i="25" s="1"/>
  <c r="D184" i="23"/>
  <c r="H184" i="23" s="1"/>
  <c r="D218" i="25"/>
  <c r="H218" i="25" s="1"/>
  <c r="H183" i="23"/>
  <c r="D182" i="23"/>
  <c r="H182" i="23" s="1"/>
  <c r="D215" i="25"/>
  <c r="H215" i="25" s="1"/>
  <c r="D181" i="23"/>
  <c r="H181" i="23" s="1"/>
  <c r="D214" i="25"/>
  <c r="H214" i="25" s="1"/>
  <c r="D180" i="23"/>
  <c r="H180" i="23" s="1"/>
  <c r="D213" i="25"/>
  <c r="H213" i="25" s="1"/>
  <c r="D179" i="23"/>
  <c r="H179" i="23" s="1"/>
  <c r="D212" i="25"/>
  <c r="H212" i="25" s="1"/>
  <c r="D178" i="23"/>
  <c r="H178" i="23" s="1"/>
  <c r="D211" i="25"/>
  <c r="H211" i="25" s="1"/>
  <c r="H177" i="23"/>
  <c r="D176" i="23"/>
  <c r="H176" i="23" s="1"/>
  <c r="D208" i="25"/>
  <c r="H208" i="25" s="1"/>
  <c r="D175" i="23"/>
  <c r="H175" i="23" s="1"/>
  <c r="D207" i="25"/>
  <c r="H207" i="25" s="1"/>
  <c r="D174" i="23"/>
  <c r="H174" i="23" s="1"/>
  <c r="D205" i="25"/>
  <c r="H205" i="25" s="1"/>
  <c r="D173" i="23"/>
  <c r="H173" i="23" s="1"/>
  <c r="D204" i="25"/>
  <c r="H204" i="25" s="1"/>
  <c r="D172" i="23"/>
  <c r="H172" i="23" s="1"/>
  <c r="D203" i="25"/>
  <c r="H203" i="25" s="1"/>
  <c r="D171" i="23"/>
  <c r="H171" i="23" s="1"/>
  <c r="D202" i="25"/>
  <c r="H202" i="25" s="1"/>
  <c r="D170" i="23"/>
  <c r="H170" i="23" s="1"/>
  <c r="D200" i="25"/>
  <c r="H200" i="25" s="1"/>
  <c r="D169" i="23"/>
  <c r="H169" i="23" s="1"/>
  <c r="D199" i="25"/>
  <c r="H199" i="25" s="1"/>
  <c r="D168" i="23"/>
  <c r="H168" i="23" s="1"/>
  <c r="D198" i="25"/>
  <c r="H198" i="25" s="1"/>
  <c r="D167" i="23"/>
  <c r="H167" i="23" s="1"/>
  <c r="D197" i="25"/>
  <c r="H197" i="25" s="1"/>
  <c r="H166" i="23"/>
  <c r="H165" i="23"/>
  <c r="D164" i="23"/>
  <c r="H164" i="23" s="1"/>
  <c r="D193" i="25"/>
  <c r="H193" i="25" s="1"/>
  <c r="D163" i="23"/>
  <c r="H163" i="23" s="1"/>
  <c r="D192" i="25"/>
  <c r="H192" i="25" s="1"/>
  <c r="D162" i="23"/>
  <c r="H162" i="23" s="1"/>
  <c r="D191" i="25"/>
  <c r="H191" i="25" s="1"/>
  <c r="D161" i="23"/>
  <c r="H161" i="23" s="1"/>
  <c r="D190" i="25"/>
  <c r="H190" i="25" s="1"/>
  <c r="D160" i="23"/>
  <c r="H160" i="23" s="1"/>
  <c r="D188" i="25"/>
  <c r="H188" i="25" s="1"/>
  <c r="D159" i="23"/>
  <c r="H159" i="23" s="1"/>
  <c r="D187" i="25"/>
  <c r="H187" i="25" s="1"/>
  <c r="D158" i="23"/>
  <c r="H158" i="23" s="1"/>
  <c r="D185" i="25"/>
  <c r="H185" i="25" s="1"/>
  <c r="D157" i="23"/>
  <c r="H157" i="23" s="1"/>
  <c r="D184" i="25"/>
  <c r="H184" i="25" s="1"/>
  <c r="D156" i="23"/>
  <c r="H156" i="23" s="1"/>
  <c r="D183" i="25"/>
  <c r="H183" i="25" s="1"/>
  <c r="D155" i="23"/>
  <c r="H155" i="23" s="1"/>
  <c r="D182" i="25"/>
  <c r="H182" i="25" s="1"/>
  <c r="D154" i="23"/>
  <c r="H154" i="23" s="1"/>
  <c r="D181" i="25"/>
  <c r="H181" i="25" s="1"/>
  <c r="D153" i="23"/>
  <c r="H153" i="23" s="1"/>
  <c r="D180" i="25"/>
  <c r="H180" i="25" s="1"/>
  <c r="D152" i="23"/>
  <c r="H152" i="23" s="1"/>
  <c r="D179" i="25"/>
  <c r="H179" i="25" s="1"/>
  <c r="D151" i="23"/>
  <c r="H151" i="23" s="1"/>
  <c r="D178" i="25"/>
  <c r="H178" i="25" s="1"/>
  <c r="D150" i="23"/>
  <c r="H150" i="23" s="1"/>
  <c r="D177" i="25"/>
  <c r="H177" i="25" s="1"/>
  <c r="H149" i="23"/>
  <c r="D148" i="23"/>
  <c r="H148" i="23" s="1"/>
  <c r="D174" i="25"/>
  <c r="H174" i="25" s="1"/>
  <c r="D147" i="23"/>
  <c r="H147" i="23" s="1"/>
  <c r="D173" i="25"/>
  <c r="H173" i="25" s="1"/>
  <c r="D146" i="23"/>
  <c r="H146" i="23" s="1"/>
  <c r="D172" i="25"/>
  <c r="H172" i="25" s="1"/>
  <c r="D145" i="23"/>
  <c r="H145" i="23" s="1"/>
  <c r="D171" i="25"/>
  <c r="H171" i="25" s="1"/>
  <c r="D144" i="23"/>
  <c r="H144" i="23" s="1"/>
  <c r="D170" i="25"/>
  <c r="H170" i="25" s="1"/>
  <c r="D143" i="23"/>
  <c r="H143" i="23" s="1"/>
  <c r="D169" i="25"/>
  <c r="H169" i="25" s="1"/>
  <c r="D142" i="23"/>
  <c r="H142" i="23" s="1"/>
  <c r="D168" i="25"/>
  <c r="H168" i="25" s="1"/>
  <c r="D141" i="23"/>
  <c r="H141" i="23" s="1"/>
  <c r="D166" i="25"/>
  <c r="H166" i="25" s="1"/>
  <c r="D140" i="23"/>
  <c r="H140" i="23" s="1"/>
  <c r="D165" i="25"/>
  <c r="H165" i="25" s="1"/>
  <c r="D139" i="23"/>
  <c r="H139" i="23" s="1"/>
  <c r="D163" i="25"/>
  <c r="H163" i="25" s="1"/>
  <c r="D138" i="23"/>
  <c r="H138" i="23" s="1"/>
  <c r="D162" i="25"/>
  <c r="H162" i="25" s="1"/>
  <c r="D137" i="23"/>
  <c r="H137" i="23" s="1"/>
  <c r="D161" i="25"/>
  <c r="H161" i="25" s="1"/>
  <c r="D136" i="23"/>
  <c r="H136" i="23" s="1"/>
  <c r="D160" i="25"/>
  <c r="H160" i="25" s="1"/>
  <c r="D135" i="23"/>
  <c r="H135" i="23" s="1"/>
  <c r="D159" i="25"/>
  <c r="H159" i="25" s="1"/>
  <c r="D134" i="23"/>
  <c r="H134" i="23" s="1"/>
  <c r="D158" i="25"/>
  <c r="H158" i="25" s="1"/>
  <c r="D133" i="23"/>
  <c r="H133" i="23" s="1"/>
  <c r="D157" i="25"/>
  <c r="H157" i="25" s="1"/>
  <c r="D132" i="23"/>
  <c r="H132" i="23" s="1"/>
  <c r="D156" i="25"/>
  <c r="H156" i="25" s="1"/>
  <c r="D131" i="23"/>
  <c r="H131" i="23" s="1"/>
  <c r="D154" i="25"/>
  <c r="H154" i="25" s="1"/>
  <c r="D130" i="23"/>
  <c r="H130" i="23" s="1"/>
  <c r="D153" i="25"/>
  <c r="H153" i="25" s="1"/>
  <c r="D129" i="23"/>
  <c r="H129" i="23" s="1"/>
  <c r="D152" i="25"/>
  <c r="H152" i="25" s="1"/>
  <c r="D128" i="23"/>
  <c r="H128" i="23" s="1"/>
  <c r="D151" i="25"/>
  <c r="H151" i="25" s="1"/>
  <c r="D127" i="23"/>
  <c r="H127" i="23" s="1"/>
  <c r="D150" i="25"/>
  <c r="H150" i="25" s="1"/>
  <c r="D126" i="23"/>
  <c r="H126" i="23" s="1"/>
  <c r="D149" i="25"/>
  <c r="H149" i="25" s="1"/>
  <c r="D125" i="23"/>
  <c r="H125" i="23" s="1"/>
  <c r="D148" i="25"/>
  <c r="H148" i="25" s="1"/>
  <c r="D124" i="23"/>
  <c r="H124" i="23" s="1"/>
  <c r="D147" i="25"/>
  <c r="H147" i="25" s="1"/>
  <c r="D123" i="23"/>
  <c r="H123" i="23" s="1"/>
  <c r="D146" i="25"/>
  <c r="H146" i="25" s="1"/>
  <c r="D122" i="23"/>
  <c r="D145" i="25"/>
  <c r="D121" i="23"/>
  <c r="H121" i="23" s="1"/>
  <c r="D143" i="25"/>
  <c r="H143" i="25" s="1"/>
  <c r="D120" i="23"/>
  <c r="D142" i="25"/>
  <c r="D119" i="23"/>
  <c r="D141" i="25"/>
  <c r="D118" i="23"/>
  <c r="H118" i="23" s="1"/>
  <c r="D139" i="25"/>
  <c r="H139" i="25" s="1"/>
  <c r="D117" i="23"/>
  <c r="H117" i="23" s="1"/>
  <c r="D138" i="25"/>
  <c r="H138" i="25" s="1"/>
  <c r="H116" i="23"/>
  <c r="D115" i="23"/>
  <c r="H115" i="23" s="1"/>
  <c r="D135" i="25"/>
  <c r="H135" i="25" s="1"/>
  <c r="D114" i="23"/>
  <c r="H114" i="23" s="1"/>
  <c r="D134" i="25"/>
  <c r="H134" i="25" s="1"/>
  <c r="D113" i="23"/>
  <c r="H113" i="23" s="1"/>
  <c r="D133" i="25"/>
  <c r="H133" i="25" s="1"/>
  <c r="D112" i="23"/>
  <c r="D132" i="25"/>
  <c r="D111" i="23"/>
  <c r="D131" i="25"/>
  <c r="D110" i="23"/>
  <c r="H110" i="23" s="1"/>
  <c r="D129" i="25"/>
  <c r="H129" i="25" s="1"/>
  <c r="D109" i="23"/>
  <c r="H109" i="23" s="1"/>
  <c r="D128" i="25"/>
  <c r="H128" i="25" s="1"/>
  <c r="D108" i="23"/>
  <c r="H108" i="23" s="1"/>
  <c r="D127" i="25"/>
  <c r="H127" i="25" s="1"/>
  <c r="D107" i="23"/>
  <c r="H107" i="23" s="1"/>
  <c r="D125" i="25"/>
  <c r="H125" i="25" s="1"/>
  <c r="D106" i="23"/>
  <c r="H106" i="23" s="1"/>
  <c r="D124" i="25"/>
  <c r="H124" i="25" s="1"/>
  <c r="D105" i="23"/>
  <c r="H105" i="23" s="1"/>
  <c r="D123" i="25"/>
  <c r="H123" i="25" s="1"/>
  <c r="D104" i="23"/>
  <c r="H104" i="23" s="1"/>
  <c r="D122" i="25"/>
  <c r="H122" i="25" s="1"/>
  <c r="D103" i="23"/>
  <c r="H103" i="23" s="1"/>
  <c r="D121" i="25"/>
  <c r="H121" i="25" s="1"/>
  <c r="D102" i="23"/>
  <c r="H102" i="23" s="1"/>
  <c r="D119" i="25"/>
  <c r="H119" i="25" s="1"/>
  <c r="D101" i="23"/>
  <c r="H101" i="23" s="1"/>
  <c r="D118" i="25"/>
  <c r="H118" i="25" s="1"/>
  <c r="H100" i="23"/>
  <c r="H99" i="23"/>
  <c r="H98" i="23"/>
  <c r="D97" i="23"/>
  <c r="H97" i="23" s="1"/>
  <c r="D113" i="25"/>
  <c r="H113" i="25" s="1"/>
  <c r="D96" i="23"/>
  <c r="H96" i="23" s="1"/>
  <c r="D112" i="25"/>
  <c r="H112" i="25" s="1"/>
  <c r="H95" i="23"/>
  <c r="H94" i="23"/>
  <c r="D93" i="23"/>
  <c r="H93" i="23" s="1"/>
  <c r="D110" i="25"/>
  <c r="H110" i="25" s="1"/>
  <c r="D92" i="23"/>
  <c r="H92" i="23" s="1"/>
  <c r="D109" i="25"/>
  <c r="H109" i="25" s="1"/>
  <c r="D91" i="23"/>
  <c r="H91" i="23" s="1"/>
  <c r="D108" i="25"/>
  <c r="H108" i="25" s="1"/>
  <c r="D90" i="23"/>
  <c r="H90" i="23" s="1"/>
  <c r="D107" i="25"/>
  <c r="H107" i="25" s="1"/>
  <c r="D89" i="23"/>
  <c r="H89" i="23" s="1"/>
  <c r="D106" i="25"/>
  <c r="H106" i="25" s="1"/>
  <c r="D88" i="23"/>
  <c r="H88" i="23" s="1"/>
  <c r="D105" i="25"/>
  <c r="H105" i="25" s="1"/>
  <c r="D87" i="23"/>
  <c r="H87" i="23" s="1"/>
  <c r="D104" i="25"/>
  <c r="H104" i="25" s="1"/>
  <c r="D86" i="23"/>
  <c r="H86" i="23" s="1"/>
  <c r="D103" i="25"/>
  <c r="H103" i="25" s="1"/>
  <c r="H85" i="23"/>
  <c r="D84" i="23"/>
  <c r="H84" i="23" s="1"/>
  <c r="D100" i="25"/>
  <c r="H100" i="25" s="1"/>
  <c r="D83" i="23"/>
  <c r="H83" i="23" s="1"/>
  <c r="D99" i="25"/>
  <c r="H99" i="25" s="1"/>
  <c r="H82" i="23"/>
  <c r="H81" i="23"/>
  <c r="D80" i="23"/>
  <c r="H80" i="23" s="1"/>
  <c r="D95" i="25"/>
  <c r="H95" i="25" s="1"/>
  <c r="D79" i="23"/>
  <c r="H79" i="23" s="1"/>
  <c r="D94" i="25"/>
  <c r="H94" i="25" s="1"/>
  <c r="D78" i="23"/>
  <c r="H78" i="23" s="1"/>
  <c r="D93" i="25"/>
  <c r="H93" i="25" s="1"/>
  <c r="D77" i="23"/>
  <c r="H77" i="23" s="1"/>
  <c r="D91" i="25"/>
  <c r="H91" i="25" s="1"/>
  <c r="D76" i="23"/>
  <c r="D90" i="25"/>
  <c r="D75" i="23"/>
  <c r="H75" i="23" s="1"/>
  <c r="D89" i="25"/>
  <c r="H89" i="25" s="1"/>
  <c r="D74" i="23"/>
  <c r="D88" i="25"/>
  <c r="D73" i="23"/>
  <c r="D87" i="25"/>
  <c r="D72" i="23"/>
  <c r="H72" i="23" s="1"/>
  <c r="D85" i="25"/>
  <c r="H85" i="25" s="1"/>
  <c r="D71" i="23"/>
  <c r="H71" i="23" s="1"/>
  <c r="D84" i="25"/>
  <c r="H84" i="25" s="1"/>
  <c r="D70" i="23"/>
  <c r="H70" i="23" s="1"/>
  <c r="D83" i="25"/>
  <c r="H83" i="25" s="1"/>
  <c r="D69" i="23"/>
  <c r="H69" i="23" s="1"/>
  <c r="D82" i="25"/>
  <c r="H82" i="25" s="1"/>
  <c r="D68" i="23"/>
  <c r="H68" i="23" s="1"/>
  <c r="D81" i="25"/>
  <c r="H81" i="25" s="1"/>
  <c r="D67" i="23"/>
  <c r="D79" i="25"/>
  <c r="D66" i="23"/>
  <c r="D78" i="25"/>
  <c r="D65" i="23"/>
  <c r="D77" i="25"/>
  <c r="D64" i="23"/>
  <c r="D76" i="25"/>
  <c r="D63" i="23"/>
  <c r="D75" i="25"/>
  <c r="D62" i="23"/>
  <c r="H62" i="23" s="1"/>
  <c r="D73" i="25"/>
  <c r="H73" i="25" s="1"/>
  <c r="D61" i="23"/>
  <c r="D72" i="25"/>
  <c r="D60" i="23"/>
  <c r="H60" i="23" s="1"/>
  <c r="D71" i="25"/>
  <c r="H71" i="25" s="1"/>
  <c r="D59" i="23"/>
  <c r="D70" i="25"/>
  <c r="D58" i="23"/>
  <c r="D69" i="25"/>
  <c r="D57" i="23"/>
  <c r="D68" i="25"/>
  <c r="D56" i="23"/>
  <c r="H56" i="23" s="1"/>
  <c r="D67" i="25"/>
  <c r="H67" i="25" s="1"/>
  <c r="D55" i="23"/>
  <c r="H55" i="23" s="1"/>
  <c r="D66" i="25"/>
  <c r="H66" i="25" s="1"/>
  <c r="D54" i="23"/>
  <c r="H54" i="23" s="1"/>
  <c r="D65" i="25"/>
  <c r="H65" i="25" s="1"/>
  <c r="D53" i="23"/>
  <c r="D64" i="25"/>
  <c r="D52" i="23"/>
  <c r="H52" i="23" s="1"/>
  <c r="D63" i="25"/>
  <c r="H63" i="25" s="1"/>
  <c r="D51" i="23"/>
  <c r="D62" i="25"/>
  <c r="D50" i="23"/>
  <c r="D61" i="25"/>
  <c r="H49" i="23"/>
  <c r="D48" i="23"/>
  <c r="H48" i="23" s="1"/>
  <c r="D58" i="25"/>
  <c r="H58" i="25" s="1"/>
  <c r="D47" i="23"/>
  <c r="H47" i="23" s="1"/>
  <c r="D57" i="25"/>
  <c r="H57" i="25" s="1"/>
  <c r="D46" i="23"/>
  <c r="H46" i="23" s="1"/>
  <c r="D56" i="25"/>
  <c r="H56" i="25" s="1"/>
  <c r="D45" i="23"/>
  <c r="H45" i="23" s="1"/>
  <c r="D55" i="25"/>
  <c r="H55" i="25" s="1"/>
  <c r="D44" i="23"/>
  <c r="H44" i="23" s="1"/>
  <c r="D54" i="25"/>
  <c r="H54" i="25" s="1"/>
  <c r="D43" i="23"/>
  <c r="H43" i="23" s="1"/>
  <c r="D52" i="25"/>
  <c r="H52" i="25" s="1"/>
  <c r="D42" i="23"/>
  <c r="H42" i="23" s="1"/>
  <c r="D51" i="25"/>
  <c r="H51" i="25" s="1"/>
  <c r="D41" i="23"/>
  <c r="H41" i="23" s="1"/>
  <c r="D50" i="25"/>
  <c r="H50" i="25" s="1"/>
  <c r="D40" i="23"/>
  <c r="H40" i="23" s="1"/>
  <c r="D49" i="25"/>
  <c r="H49" i="25" s="1"/>
  <c r="D39" i="23"/>
  <c r="H39" i="23" s="1"/>
  <c r="D48" i="25"/>
  <c r="H48" i="25" s="1"/>
  <c r="D38" i="23"/>
  <c r="H38" i="23" s="1"/>
  <c r="D46" i="25"/>
  <c r="H46" i="25" s="1"/>
  <c r="D37" i="23"/>
  <c r="H37" i="23" s="1"/>
  <c r="D45" i="25"/>
  <c r="H45" i="25" s="1"/>
  <c r="D36" i="23"/>
  <c r="H36" i="23" s="1"/>
  <c r="D44" i="25"/>
  <c r="H44" i="25" s="1"/>
  <c r="D35" i="23"/>
  <c r="H35" i="23" s="1"/>
  <c r="D43" i="25"/>
  <c r="H43" i="25" s="1"/>
  <c r="D34" i="23"/>
  <c r="H34" i="23" s="1"/>
  <c r="D42" i="25"/>
  <c r="H42" i="25" s="1"/>
  <c r="D33" i="23"/>
  <c r="H33" i="23" s="1"/>
  <c r="D41" i="25"/>
  <c r="H41" i="25" s="1"/>
  <c r="D32" i="23"/>
  <c r="H32" i="23" s="1"/>
  <c r="D40" i="25"/>
  <c r="H40" i="25" s="1"/>
  <c r="D31" i="23"/>
  <c r="H31" i="23" s="1"/>
  <c r="D38" i="25"/>
  <c r="H38" i="25" s="1"/>
  <c r="D30" i="23"/>
  <c r="D37" i="25"/>
  <c r="D29" i="23"/>
  <c r="D35" i="25"/>
  <c r="D28" i="23"/>
  <c r="D34" i="25"/>
  <c r="D27" i="23"/>
  <c r="H27" i="23" s="1"/>
  <c r="D33" i="25"/>
  <c r="H33" i="25" s="1"/>
  <c r="D26" i="23"/>
  <c r="H26" i="23" s="1"/>
  <c r="D32" i="25"/>
  <c r="H32" i="25" s="1"/>
  <c r="D25" i="23"/>
  <c r="H25" i="23" s="1"/>
  <c r="D31" i="25"/>
  <c r="H31" i="25" s="1"/>
  <c r="D24" i="23"/>
  <c r="H24" i="23" s="1"/>
  <c r="D30" i="25"/>
  <c r="H30" i="25" s="1"/>
  <c r="D23" i="23"/>
  <c r="H23" i="23" s="1"/>
  <c r="D28" i="25"/>
  <c r="H28" i="25" s="1"/>
  <c r="D22" i="23"/>
  <c r="H22" i="23" s="1"/>
  <c r="D27" i="25"/>
  <c r="H27" i="25" s="1"/>
  <c r="D21" i="23"/>
  <c r="H21" i="23" s="1"/>
  <c r="D26" i="25"/>
  <c r="H26" i="25" s="1"/>
  <c r="D20" i="23"/>
  <c r="H20" i="23" s="1"/>
  <c r="D25" i="25"/>
  <c r="H25" i="25" s="1"/>
  <c r="D19" i="23"/>
  <c r="H19" i="23" s="1"/>
  <c r="D24" i="25"/>
  <c r="H24" i="25" s="1"/>
  <c r="D18" i="23"/>
  <c r="H18" i="23" s="1"/>
  <c r="D23" i="25"/>
  <c r="H23" i="25" s="1"/>
  <c r="D17" i="23"/>
  <c r="H17" i="23" s="1"/>
  <c r="D21" i="25"/>
  <c r="H21" i="25" s="1"/>
  <c r="D16" i="23"/>
  <c r="H16" i="23" s="1"/>
  <c r="D20" i="25"/>
  <c r="H20" i="25" s="1"/>
  <c r="D15" i="23"/>
  <c r="H15" i="23" s="1"/>
  <c r="D18" i="25"/>
  <c r="H18" i="25" s="1"/>
  <c r="D14" i="23"/>
  <c r="H14" i="23" s="1"/>
  <c r="D17" i="25"/>
  <c r="H17" i="25" s="1"/>
  <c r="D13" i="23"/>
  <c r="H13" i="23" s="1"/>
  <c r="D15" i="25"/>
  <c r="H15" i="25" s="1"/>
  <c r="D12" i="23"/>
  <c r="H12" i="23" s="1"/>
  <c r="D14" i="25"/>
  <c r="H14" i="25" s="1"/>
  <c r="D11" i="23"/>
  <c r="H11" i="23" s="1"/>
  <c r="D13" i="25"/>
  <c r="H13" i="25" s="1"/>
  <c r="D10" i="23"/>
  <c r="H10" i="23" s="1"/>
  <c r="D12" i="25"/>
  <c r="H12" i="25" s="1"/>
  <c r="D9" i="23"/>
  <c r="D11" i="25"/>
  <c r="D8" i="23"/>
  <c r="H8" i="23" s="1"/>
  <c r="D9" i="25"/>
  <c r="H9" i="25" s="1"/>
  <c r="D7" i="23"/>
  <c r="H7" i="23" s="1"/>
  <c r="D8" i="25"/>
  <c r="H8" i="25" s="1"/>
  <c r="C9" i="23"/>
  <c r="C11" i="25"/>
  <c r="G11" i="25" s="1"/>
  <c r="J264" i="15"/>
  <c r="I264" i="15"/>
  <c r="F264" i="15"/>
  <c r="E264" i="15"/>
  <c r="D264" i="15"/>
  <c r="C264" i="15"/>
  <c r="M264" i="15"/>
  <c r="J263" i="15"/>
  <c r="I263" i="15"/>
  <c r="F263" i="15"/>
  <c r="E263" i="15"/>
  <c r="D263" i="15"/>
  <c r="C263" i="15"/>
  <c r="M263" i="15"/>
  <c r="J262" i="15"/>
  <c r="I262" i="15"/>
  <c r="F262" i="15"/>
  <c r="E262" i="15"/>
  <c r="D262" i="15"/>
  <c r="C262" i="15"/>
  <c r="M262" i="15"/>
  <c r="J261" i="15"/>
  <c r="I261" i="15"/>
  <c r="F261" i="15"/>
  <c r="E261" i="15"/>
  <c r="D261" i="15"/>
  <c r="C261" i="15"/>
  <c r="M261" i="15"/>
  <c r="J260" i="15"/>
  <c r="I260" i="15"/>
  <c r="F260" i="15"/>
  <c r="E260" i="15"/>
  <c r="D260" i="15"/>
  <c r="C260" i="15"/>
  <c r="M260" i="15"/>
  <c r="J259" i="15"/>
  <c r="I259" i="15"/>
  <c r="F259" i="15"/>
  <c r="E259" i="15"/>
  <c r="D259" i="15"/>
  <c r="C259" i="15"/>
  <c r="M259" i="15"/>
  <c r="J258" i="15"/>
  <c r="I258" i="15"/>
  <c r="F258" i="15"/>
  <c r="E258" i="15"/>
  <c r="D258" i="15"/>
  <c r="C258" i="15"/>
  <c r="M258" i="15"/>
  <c r="J257" i="15"/>
  <c r="I257" i="15"/>
  <c r="F257" i="15"/>
  <c r="E257" i="15"/>
  <c r="D257" i="15"/>
  <c r="C257" i="15"/>
  <c r="M257" i="15"/>
  <c r="J256" i="15"/>
  <c r="I256" i="15"/>
  <c r="F256" i="15"/>
  <c r="E256" i="15"/>
  <c r="D256" i="15"/>
  <c r="C256" i="15"/>
  <c r="M256" i="15"/>
  <c r="J255" i="15"/>
  <c r="I255" i="15"/>
  <c r="F255" i="15"/>
  <c r="E255" i="15"/>
  <c r="D255" i="15"/>
  <c r="C255" i="15"/>
  <c r="M255" i="15"/>
  <c r="J254" i="15"/>
  <c r="I254" i="15"/>
  <c r="F254" i="15"/>
  <c r="E254" i="15"/>
  <c r="D254" i="15"/>
  <c r="C254" i="15"/>
  <c r="M254" i="15"/>
  <c r="J253" i="15"/>
  <c r="I253" i="15"/>
  <c r="F253" i="15"/>
  <c r="E253" i="15"/>
  <c r="D253" i="15"/>
  <c r="C253" i="15"/>
  <c r="M253" i="15"/>
  <c r="J252" i="15"/>
  <c r="I252" i="15"/>
  <c r="F252" i="15"/>
  <c r="E252" i="15"/>
  <c r="D252" i="15"/>
  <c r="C252" i="15"/>
  <c r="M252" i="15"/>
  <c r="J251" i="15"/>
  <c r="I251" i="15"/>
  <c r="F251" i="15"/>
  <c r="E251" i="15"/>
  <c r="D251" i="15"/>
  <c r="C251" i="15"/>
  <c r="M251" i="15"/>
  <c r="J250" i="15"/>
  <c r="I250" i="15"/>
  <c r="F250" i="15"/>
  <c r="E250" i="15"/>
  <c r="D250" i="15"/>
  <c r="C250" i="15"/>
  <c r="M250" i="15"/>
  <c r="J249" i="15"/>
  <c r="I249" i="15"/>
  <c r="F249" i="15"/>
  <c r="E249" i="15"/>
  <c r="D249" i="15"/>
  <c r="C249" i="15"/>
  <c r="M249" i="15"/>
  <c r="J248" i="15"/>
  <c r="I248" i="15"/>
  <c r="F248" i="15"/>
  <c r="E248" i="15"/>
  <c r="D248" i="15"/>
  <c r="C248" i="15"/>
  <c r="M248" i="15"/>
  <c r="J247" i="15"/>
  <c r="I247" i="15"/>
  <c r="F247" i="15"/>
  <c r="E247" i="15"/>
  <c r="D247" i="15"/>
  <c r="C247" i="15"/>
  <c r="M247" i="15"/>
  <c r="J246" i="15"/>
  <c r="I246" i="15"/>
  <c r="F246" i="15"/>
  <c r="E246" i="15"/>
  <c r="D246" i="15"/>
  <c r="C246" i="15"/>
  <c r="M246" i="15"/>
  <c r="J245" i="15"/>
  <c r="I245" i="15"/>
  <c r="F245" i="15"/>
  <c r="E245" i="15"/>
  <c r="D245" i="15"/>
  <c r="C245" i="15"/>
  <c r="M245" i="15"/>
  <c r="J244" i="15"/>
  <c r="I244" i="15"/>
  <c r="F244" i="15"/>
  <c r="E244" i="15"/>
  <c r="D244" i="15"/>
  <c r="C244" i="15"/>
  <c r="M244" i="15"/>
  <c r="J243" i="15"/>
  <c r="I243" i="15"/>
  <c r="F243" i="15"/>
  <c r="E243" i="15"/>
  <c r="D243" i="15"/>
  <c r="C243" i="15"/>
  <c r="M243" i="15"/>
  <c r="J242" i="15"/>
  <c r="I242" i="15"/>
  <c r="F242" i="15"/>
  <c r="E242" i="15"/>
  <c r="D242" i="15"/>
  <c r="C242" i="15"/>
  <c r="M242" i="15"/>
  <c r="J241" i="15"/>
  <c r="I241" i="15"/>
  <c r="F241" i="15"/>
  <c r="E241" i="15"/>
  <c r="D241" i="15"/>
  <c r="C241" i="15"/>
  <c r="M241" i="15"/>
  <c r="J240" i="15"/>
  <c r="I240" i="15"/>
  <c r="F240" i="15"/>
  <c r="E240" i="15"/>
  <c r="D240" i="15"/>
  <c r="C240" i="15"/>
  <c r="M240" i="15"/>
  <c r="J239" i="15"/>
  <c r="I239" i="15"/>
  <c r="F239" i="15"/>
  <c r="E239" i="15"/>
  <c r="D239" i="15"/>
  <c r="C239" i="15"/>
  <c r="M239" i="15"/>
  <c r="J238" i="15"/>
  <c r="I238" i="15"/>
  <c r="F238" i="15"/>
  <c r="E238" i="15"/>
  <c r="D238" i="15"/>
  <c r="C238" i="15"/>
  <c r="M238" i="15"/>
  <c r="J237" i="15"/>
  <c r="I237" i="15"/>
  <c r="F237" i="15"/>
  <c r="E237" i="15"/>
  <c r="D237" i="15"/>
  <c r="C237" i="15"/>
  <c r="M237" i="15"/>
  <c r="J236" i="15"/>
  <c r="F236" i="15"/>
  <c r="E236" i="15"/>
  <c r="D236" i="15"/>
  <c r="C236" i="15"/>
  <c r="M236" i="15"/>
  <c r="J235" i="15"/>
  <c r="I235" i="15"/>
  <c r="F235" i="15"/>
  <c r="E235" i="15"/>
  <c r="D235" i="15"/>
  <c r="C235" i="15"/>
  <c r="M235" i="15"/>
  <c r="J234" i="15"/>
  <c r="F234" i="15"/>
  <c r="E234" i="15"/>
  <c r="D234" i="15"/>
  <c r="C234" i="15"/>
  <c r="M234" i="15"/>
  <c r="J233" i="15"/>
  <c r="F233" i="15"/>
  <c r="E233" i="15"/>
  <c r="D233" i="15"/>
  <c r="C233" i="15"/>
  <c r="M233" i="15"/>
  <c r="J232" i="15"/>
  <c r="I232" i="15"/>
  <c r="F232" i="15"/>
  <c r="E232" i="15"/>
  <c r="D232" i="15"/>
  <c r="C232" i="15"/>
  <c r="M232" i="15"/>
  <c r="J231" i="15"/>
  <c r="I231" i="15"/>
  <c r="F231" i="15"/>
  <c r="E231" i="15"/>
  <c r="D231" i="15"/>
  <c r="C231" i="15"/>
  <c r="M231" i="15"/>
  <c r="J230" i="15"/>
  <c r="I230" i="15"/>
  <c r="F230" i="15"/>
  <c r="E230" i="15"/>
  <c r="D230" i="15"/>
  <c r="C230" i="15"/>
  <c r="M230" i="15"/>
  <c r="J229" i="15"/>
  <c r="I229" i="15"/>
  <c r="F229" i="15"/>
  <c r="E229" i="15"/>
  <c r="D229" i="15"/>
  <c r="C229" i="15"/>
  <c r="M229" i="15"/>
  <c r="J228" i="15"/>
  <c r="F228" i="15"/>
  <c r="E228" i="15"/>
  <c r="D228" i="15"/>
  <c r="C228" i="15"/>
  <c r="M228" i="15"/>
  <c r="J227" i="15"/>
  <c r="I227" i="15"/>
  <c r="F227" i="15"/>
  <c r="E227" i="15"/>
  <c r="D227" i="15"/>
  <c r="C227" i="15"/>
  <c r="M227" i="15"/>
  <c r="J226" i="15"/>
  <c r="I226" i="15"/>
  <c r="F226" i="15"/>
  <c r="E226" i="15"/>
  <c r="D226" i="15"/>
  <c r="C226" i="15"/>
  <c r="M226" i="15"/>
  <c r="J225" i="15"/>
  <c r="I225" i="15"/>
  <c r="F225" i="15"/>
  <c r="E225" i="15"/>
  <c r="D225" i="15"/>
  <c r="C225" i="15"/>
  <c r="M225" i="15"/>
  <c r="J224" i="15"/>
  <c r="I224" i="15"/>
  <c r="F224" i="15"/>
  <c r="E224" i="15"/>
  <c r="D224" i="15"/>
  <c r="C224" i="15"/>
  <c r="M224" i="15"/>
  <c r="J223" i="15"/>
  <c r="I223" i="15"/>
  <c r="F223" i="15"/>
  <c r="E223" i="15"/>
  <c r="D223" i="15"/>
  <c r="C223" i="15"/>
  <c r="M223" i="15"/>
  <c r="J222" i="15"/>
  <c r="I222" i="15"/>
  <c r="F222" i="15"/>
  <c r="E222" i="15"/>
  <c r="D222" i="15"/>
  <c r="C222" i="15"/>
  <c r="M222" i="15"/>
  <c r="J221" i="15"/>
  <c r="I221" i="15"/>
  <c r="F221" i="15"/>
  <c r="E221" i="15"/>
  <c r="D221" i="15"/>
  <c r="C221" i="15"/>
  <c r="M221" i="15"/>
  <c r="J220" i="15"/>
  <c r="I220" i="15"/>
  <c r="F220" i="15"/>
  <c r="E220" i="15"/>
  <c r="D220" i="15"/>
  <c r="C220" i="15"/>
  <c r="M220" i="15"/>
  <c r="J219" i="15"/>
  <c r="I219" i="15"/>
  <c r="F219" i="15"/>
  <c r="E219" i="15"/>
  <c r="D219" i="15"/>
  <c r="C219" i="15"/>
  <c r="M219" i="15"/>
  <c r="J218" i="15"/>
  <c r="I218" i="15"/>
  <c r="F218" i="15"/>
  <c r="E218" i="15"/>
  <c r="D218" i="15"/>
  <c r="C218" i="15"/>
  <c r="M218" i="15"/>
  <c r="J217" i="15"/>
  <c r="I217" i="15"/>
  <c r="F217" i="15"/>
  <c r="E217" i="15"/>
  <c r="D217" i="15"/>
  <c r="C217" i="15"/>
  <c r="M217" i="15"/>
  <c r="J216" i="15"/>
  <c r="I216" i="15"/>
  <c r="F216" i="15"/>
  <c r="E216" i="15"/>
  <c r="D216" i="15"/>
  <c r="C216" i="15"/>
  <c r="M216" i="15"/>
  <c r="J215" i="15"/>
  <c r="I215" i="15"/>
  <c r="F215" i="15"/>
  <c r="E215" i="15"/>
  <c r="D215" i="15"/>
  <c r="C215" i="15"/>
  <c r="M215" i="15"/>
  <c r="J214" i="15"/>
  <c r="I214" i="15"/>
  <c r="F214" i="15"/>
  <c r="E214" i="15"/>
  <c r="D214" i="15"/>
  <c r="C214" i="15"/>
  <c r="M214" i="15"/>
  <c r="J213" i="15"/>
  <c r="I213" i="15"/>
  <c r="F213" i="15"/>
  <c r="E213" i="15"/>
  <c r="D213" i="15"/>
  <c r="C213" i="15"/>
  <c r="M213" i="15"/>
  <c r="J212" i="15"/>
  <c r="F212" i="15"/>
  <c r="E212" i="15"/>
  <c r="D212" i="15"/>
  <c r="C212" i="15"/>
  <c r="M212" i="15"/>
  <c r="J211" i="15"/>
  <c r="I211" i="15"/>
  <c r="F211" i="15"/>
  <c r="E211" i="15"/>
  <c r="D211" i="15"/>
  <c r="C211" i="15"/>
  <c r="M211" i="15"/>
  <c r="J210" i="15"/>
  <c r="F210" i="15"/>
  <c r="E210" i="15"/>
  <c r="D210" i="15"/>
  <c r="C210" i="15"/>
  <c r="M210" i="15"/>
  <c r="J209" i="15"/>
  <c r="I209" i="15"/>
  <c r="F209" i="15"/>
  <c r="E209" i="15"/>
  <c r="D209" i="15"/>
  <c r="C209" i="15"/>
  <c r="M209" i="15"/>
  <c r="J208" i="15"/>
  <c r="I208" i="15"/>
  <c r="F208" i="15"/>
  <c r="E208" i="15"/>
  <c r="D208" i="15"/>
  <c r="C208" i="15"/>
  <c r="M208" i="15"/>
  <c r="J207" i="15"/>
  <c r="I207" i="15"/>
  <c r="F207" i="15"/>
  <c r="E207" i="15"/>
  <c r="D207" i="15"/>
  <c r="C207" i="15"/>
  <c r="M207" i="15"/>
  <c r="J206" i="15"/>
  <c r="I206" i="15"/>
  <c r="F206" i="15"/>
  <c r="E206" i="15"/>
  <c r="D206" i="15"/>
  <c r="C206" i="15"/>
  <c r="M206" i="15"/>
  <c r="J205" i="15"/>
  <c r="I205" i="15"/>
  <c r="F205" i="15"/>
  <c r="E205" i="15"/>
  <c r="D205" i="15"/>
  <c r="C205" i="15"/>
  <c r="M205" i="15"/>
  <c r="J204" i="15"/>
  <c r="I204" i="15"/>
  <c r="F204" i="15"/>
  <c r="E204" i="15"/>
  <c r="D204" i="15"/>
  <c r="C204" i="15"/>
  <c r="M204" i="15"/>
  <c r="J203" i="15"/>
  <c r="I203" i="15"/>
  <c r="F203" i="15"/>
  <c r="E203" i="15"/>
  <c r="D203" i="15"/>
  <c r="C203" i="15"/>
  <c r="M203" i="15"/>
  <c r="J202" i="15"/>
  <c r="I202" i="15"/>
  <c r="F202" i="15"/>
  <c r="E202" i="15"/>
  <c r="D202" i="15"/>
  <c r="C202" i="15"/>
  <c r="M202" i="15"/>
  <c r="J201" i="15"/>
  <c r="I201" i="15"/>
  <c r="F201" i="15"/>
  <c r="E201" i="15"/>
  <c r="D201" i="15"/>
  <c r="C201" i="15"/>
  <c r="M201" i="15"/>
  <c r="J200" i="15"/>
  <c r="I200" i="15"/>
  <c r="F200" i="15"/>
  <c r="E200" i="15"/>
  <c r="D200" i="15"/>
  <c r="C200" i="15"/>
  <c r="M200" i="15"/>
  <c r="I199" i="15"/>
  <c r="F199" i="15"/>
  <c r="E199" i="15"/>
  <c r="D199" i="15"/>
  <c r="C199" i="15"/>
  <c r="M199" i="15"/>
  <c r="J198" i="15"/>
  <c r="I198" i="15"/>
  <c r="F198" i="15"/>
  <c r="E198" i="15"/>
  <c r="D198" i="15"/>
  <c r="C198" i="15"/>
  <c r="M198" i="15"/>
  <c r="I197" i="15"/>
  <c r="F197" i="15"/>
  <c r="E197" i="15"/>
  <c r="D197" i="15"/>
  <c r="C197" i="15"/>
  <c r="M197" i="15"/>
  <c r="I196" i="15"/>
  <c r="F196" i="15"/>
  <c r="E196" i="15"/>
  <c r="D196" i="15"/>
  <c r="C196" i="15"/>
  <c r="M196" i="15"/>
  <c r="J195" i="15"/>
  <c r="I195" i="15"/>
  <c r="F195" i="15"/>
  <c r="E195" i="15"/>
  <c r="D195" i="15"/>
  <c r="C195" i="15"/>
  <c r="M195" i="15"/>
  <c r="J194" i="15"/>
  <c r="I194" i="15"/>
  <c r="F194" i="15"/>
  <c r="E194" i="15"/>
  <c r="D194" i="15"/>
  <c r="C194" i="15"/>
  <c r="M194" i="15"/>
  <c r="J193" i="15"/>
  <c r="I193" i="15"/>
  <c r="F193" i="15"/>
  <c r="E193" i="15"/>
  <c r="D193" i="15"/>
  <c r="C193" i="15"/>
  <c r="M193" i="15"/>
  <c r="J192" i="15"/>
  <c r="I192" i="15"/>
  <c r="F192" i="15"/>
  <c r="E192" i="15"/>
  <c r="D192" i="15"/>
  <c r="C192" i="15"/>
  <c r="M192" i="15"/>
  <c r="J191" i="15"/>
  <c r="I191" i="15"/>
  <c r="F191" i="15"/>
  <c r="E191" i="15"/>
  <c r="D191" i="15"/>
  <c r="C191" i="15"/>
  <c r="M191" i="15"/>
  <c r="J190" i="15"/>
  <c r="I190" i="15"/>
  <c r="F190" i="15"/>
  <c r="E190" i="15"/>
  <c r="D190" i="15"/>
  <c r="C190" i="15"/>
  <c r="M190" i="15"/>
  <c r="J189" i="15"/>
  <c r="I189" i="15"/>
  <c r="F189" i="15"/>
  <c r="E189" i="15"/>
  <c r="D189" i="15"/>
  <c r="C189" i="15"/>
  <c r="M189" i="15"/>
  <c r="J188" i="15"/>
  <c r="I188" i="15"/>
  <c r="F188" i="15"/>
  <c r="E188" i="15"/>
  <c r="D188" i="15"/>
  <c r="C188" i="15"/>
  <c r="M188" i="15"/>
  <c r="J187" i="15"/>
  <c r="I187" i="15"/>
  <c r="F187" i="15"/>
  <c r="E187" i="15"/>
  <c r="D187" i="15"/>
  <c r="C187" i="15"/>
  <c r="M187" i="15"/>
  <c r="J186" i="15"/>
  <c r="I186" i="15"/>
  <c r="F186" i="15"/>
  <c r="E186" i="15"/>
  <c r="D186" i="15"/>
  <c r="C186" i="15"/>
  <c r="M186" i="15"/>
  <c r="J185" i="15"/>
  <c r="I185" i="15"/>
  <c r="F185" i="15"/>
  <c r="E185" i="15"/>
  <c r="D185" i="15"/>
  <c r="C185" i="15"/>
  <c r="M185" i="15"/>
  <c r="J184" i="15"/>
  <c r="I184" i="15"/>
  <c r="F184" i="15"/>
  <c r="E184" i="15"/>
  <c r="D184" i="15"/>
  <c r="C184" i="15"/>
  <c r="M184" i="15"/>
  <c r="J183" i="15"/>
  <c r="I183" i="15"/>
  <c r="F183" i="15"/>
  <c r="E183" i="15"/>
  <c r="D183" i="15"/>
  <c r="C183" i="15"/>
  <c r="M183" i="15"/>
  <c r="J182" i="15"/>
  <c r="I182" i="15"/>
  <c r="F182" i="15"/>
  <c r="E182" i="15"/>
  <c r="D182" i="15"/>
  <c r="C182" i="15"/>
  <c r="M182" i="15"/>
  <c r="J181" i="15"/>
  <c r="I181" i="15"/>
  <c r="F181" i="15"/>
  <c r="E181" i="15"/>
  <c r="D181" i="15"/>
  <c r="C181" i="15"/>
  <c r="M181" i="15"/>
  <c r="J180" i="15"/>
  <c r="I180" i="15"/>
  <c r="F180" i="15"/>
  <c r="E180" i="15"/>
  <c r="D180" i="15"/>
  <c r="C180" i="15"/>
  <c r="M180" i="15"/>
  <c r="J179" i="15"/>
  <c r="I179" i="15"/>
  <c r="F179" i="15"/>
  <c r="E179" i="15"/>
  <c r="D179" i="15"/>
  <c r="C179" i="15"/>
  <c r="M179" i="15"/>
  <c r="J178" i="15"/>
  <c r="I178" i="15"/>
  <c r="F178" i="15"/>
  <c r="E178" i="15"/>
  <c r="D178" i="15"/>
  <c r="C178" i="15"/>
  <c r="M178" i="15"/>
  <c r="J177" i="15"/>
  <c r="I177" i="15"/>
  <c r="F177" i="15"/>
  <c r="E177" i="15"/>
  <c r="D177" i="15"/>
  <c r="C177" i="15"/>
  <c r="M177" i="15"/>
  <c r="J176" i="15"/>
  <c r="I176" i="15"/>
  <c r="F176" i="15"/>
  <c r="E176" i="15"/>
  <c r="D176" i="15"/>
  <c r="C176" i="15"/>
  <c r="M176" i="15"/>
  <c r="J175" i="15"/>
  <c r="I175" i="15"/>
  <c r="F175" i="15"/>
  <c r="E175" i="15"/>
  <c r="D175" i="15"/>
  <c r="C175" i="15"/>
  <c r="M175" i="15"/>
  <c r="J174" i="15"/>
  <c r="I174" i="15"/>
  <c r="F174" i="15"/>
  <c r="E174" i="15"/>
  <c r="D174" i="15"/>
  <c r="C174" i="15"/>
  <c r="M174" i="15"/>
  <c r="J173" i="15"/>
  <c r="I173" i="15"/>
  <c r="F173" i="15"/>
  <c r="E173" i="15"/>
  <c r="D173" i="15"/>
  <c r="C173" i="15"/>
  <c r="M173" i="15"/>
  <c r="J172" i="15"/>
  <c r="I172" i="15"/>
  <c r="F172" i="15"/>
  <c r="E172" i="15"/>
  <c r="D172" i="15"/>
  <c r="C172" i="15"/>
  <c r="M172" i="15"/>
  <c r="J171" i="15"/>
  <c r="I171" i="15"/>
  <c r="F171" i="15"/>
  <c r="E171" i="15"/>
  <c r="D171" i="15"/>
  <c r="C171" i="15"/>
  <c r="M171" i="15"/>
  <c r="J170" i="15"/>
  <c r="I170" i="15"/>
  <c r="F170" i="15"/>
  <c r="E170" i="15"/>
  <c r="D170" i="15"/>
  <c r="C170" i="15"/>
  <c r="M170" i="15"/>
  <c r="J169" i="15"/>
  <c r="I169" i="15"/>
  <c r="F169" i="15"/>
  <c r="E169" i="15"/>
  <c r="D169" i="15"/>
  <c r="C169" i="15"/>
  <c r="M169" i="15"/>
  <c r="J168" i="15"/>
  <c r="I168" i="15"/>
  <c r="F168" i="15"/>
  <c r="E168" i="15"/>
  <c r="D168" i="15"/>
  <c r="C168" i="15"/>
  <c r="M168" i="15"/>
  <c r="J167" i="15"/>
  <c r="I167" i="15"/>
  <c r="F167" i="15"/>
  <c r="E167" i="15"/>
  <c r="D167" i="15"/>
  <c r="C167" i="15"/>
  <c r="M167" i="15"/>
  <c r="J166" i="15"/>
  <c r="I166" i="15"/>
  <c r="F166" i="15"/>
  <c r="E166" i="15"/>
  <c r="D166" i="15"/>
  <c r="C166" i="15"/>
  <c r="M166" i="15"/>
  <c r="J165" i="15"/>
  <c r="I165" i="15"/>
  <c r="F165" i="15"/>
  <c r="E165" i="15"/>
  <c r="D165" i="15"/>
  <c r="C165" i="15"/>
  <c r="M165" i="15"/>
  <c r="J164" i="15"/>
  <c r="I164" i="15"/>
  <c r="F164" i="15"/>
  <c r="E164" i="15"/>
  <c r="D164" i="15"/>
  <c r="C164" i="15"/>
  <c r="M164" i="15"/>
  <c r="J163" i="15"/>
  <c r="I163" i="15"/>
  <c r="F163" i="15"/>
  <c r="E163" i="15"/>
  <c r="D163" i="15"/>
  <c r="C163" i="15"/>
  <c r="M163" i="15"/>
  <c r="J162" i="15"/>
  <c r="I162" i="15"/>
  <c r="F162" i="15"/>
  <c r="E162" i="15"/>
  <c r="D162" i="15"/>
  <c r="C162" i="15"/>
  <c r="M162" i="15"/>
  <c r="J161" i="15"/>
  <c r="I161" i="15"/>
  <c r="F161" i="15"/>
  <c r="E161" i="15"/>
  <c r="D161" i="15"/>
  <c r="C161" i="15"/>
  <c r="M161" i="15"/>
  <c r="J160" i="15"/>
  <c r="I160" i="15"/>
  <c r="F160" i="15"/>
  <c r="E160" i="15"/>
  <c r="D160" i="15"/>
  <c r="C160" i="15"/>
  <c r="M160" i="15"/>
  <c r="J159" i="15"/>
  <c r="I159" i="15"/>
  <c r="F159" i="15"/>
  <c r="E159" i="15"/>
  <c r="D159" i="15"/>
  <c r="C159" i="15"/>
  <c r="M159" i="15"/>
  <c r="J158" i="15"/>
  <c r="I158" i="15"/>
  <c r="F158" i="15"/>
  <c r="E158" i="15"/>
  <c r="D158" i="15"/>
  <c r="C158" i="15"/>
  <c r="M158" i="15"/>
  <c r="J157" i="15"/>
  <c r="I157" i="15"/>
  <c r="F157" i="15"/>
  <c r="E157" i="15"/>
  <c r="D157" i="15"/>
  <c r="C157" i="15"/>
  <c r="M157" i="15"/>
  <c r="J156" i="15"/>
  <c r="I156" i="15"/>
  <c r="F156" i="15"/>
  <c r="E156" i="15"/>
  <c r="D156" i="15"/>
  <c r="C156" i="15"/>
  <c r="M156" i="15"/>
  <c r="J155" i="15"/>
  <c r="I155" i="15"/>
  <c r="F155" i="15"/>
  <c r="E155" i="15"/>
  <c r="D155" i="15"/>
  <c r="C155" i="15"/>
  <c r="M155" i="15"/>
  <c r="J154" i="15"/>
  <c r="I154" i="15"/>
  <c r="F154" i="15"/>
  <c r="E154" i="15"/>
  <c r="D154" i="15"/>
  <c r="C154" i="15"/>
  <c r="M154" i="15"/>
  <c r="J153" i="15"/>
  <c r="I153" i="15"/>
  <c r="F153" i="15"/>
  <c r="E153" i="15"/>
  <c r="D153" i="15"/>
  <c r="C153" i="15"/>
  <c r="M153" i="15"/>
  <c r="J152" i="15"/>
  <c r="I152" i="15"/>
  <c r="F152" i="15"/>
  <c r="E152" i="15"/>
  <c r="D152" i="15"/>
  <c r="C152" i="15"/>
  <c r="M152" i="15"/>
  <c r="J151" i="15"/>
  <c r="I151" i="15"/>
  <c r="F151" i="15"/>
  <c r="E151" i="15"/>
  <c r="D151" i="15"/>
  <c r="C151" i="15"/>
  <c r="M151" i="15"/>
  <c r="J150" i="15"/>
  <c r="I150" i="15"/>
  <c r="F150" i="15"/>
  <c r="E150" i="15"/>
  <c r="D150" i="15"/>
  <c r="C150" i="15"/>
  <c r="M150" i="15"/>
  <c r="J149" i="15"/>
  <c r="I149" i="15"/>
  <c r="F149" i="15"/>
  <c r="E149" i="15"/>
  <c r="D149" i="15"/>
  <c r="C149" i="15"/>
  <c r="M149" i="15"/>
  <c r="J148" i="15"/>
  <c r="I148" i="15"/>
  <c r="F148" i="15"/>
  <c r="E148" i="15"/>
  <c r="D148" i="15"/>
  <c r="C148" i="15"/>
  <c r="M148" i="15"/>
  <c r="J147" i="15"/>
  <c r="I147" i="15"/>
  <c r="F147" i="15"/>
  <c r="E147" i="15"/>
  <c r="D147" i="15"/>
  <c r="C147" i="15"/>
  <c r="M147" i="15"/>
  <c r="J146" i="15"/>
  <c r="I146" i="15"/>
  <c r="F146" i="15"/>
  <c r="E146" i="15"/>
  <c r="D146" i="15"/>
  <c r="C146" i="15"/>
  <c r="M146" i="15"/>
  <c r="J145" i="15"/>
  <c r="I145" i="15"/>
  <c r="F145" i="15"/>
  <c r="E145" i="15"/>
  <c r="D145" i="15"/>
  <c r="C145" i="15"/>
  <c r="M145" i="15"/>
  <c r="J144" i="15"/>
  <c r="I144" i="15"/>
  <c r="F144" i="15"/>
  <c r="E144" i="15"/>
  <c r="D144" i="15"/>
  <c r="C144" i="15"/>
  <c r="M144" i="15"/>
  <c r="J143" i="15"/>
  <c r="I143" i="15"/>
  <c r="F143" i="15"/>
  <c r="E143" i="15"/>
  <c r="D143" i="15"/>
  <c r="C143" i="15"/>
  <c r="M143" i="15"/>
  <c r="J142" i="15"/>
  <c r="I142" i="15"/>
  <c r="F142" i="15"/>
  <c r="E142" i="15"/>
  <c r="D142" i="15"/>
  <c r="C142" i="15"/>
  <c r="M142" i="15"/>
  <c r="J141" i="15"/>
  <c r="I141" i="15"/>
  <c r="F141" i="15"/>
  <c r="E141" i="15"/>
  <c r="D141" i="15"/>
  <c r="C141" i="15"/>
  <c r="M141" i="15"/>
  <c r="J140" i="15"/>
  <c r="I140" i="15"/>
  <c r="F140" i="15"/>
  <c r="E140" i="15"/>
  <c r="D140" i="15"/>
  <c r="C140" i="15"/>
  <c r="M140" i="15"/>
  <c r="J139" i="15"/>
  <c r="I139" i="15"/>
  <c r="F139" i="15"/>
  <c r="E139" i="15"/>
  <c r="D139" i="15"/>
  <c r="C139" i="15"/>
  <c r="M139" i="15"/>
  <c r="J138" i="15"/>
  <c r="I138" i="15"/>
  <c r="F138" i="15"/>
  <c r="E138" i="15"/>
  <c r="D138" i="15"/>
  <c r="C138" i="15"/>
  <c r="M138" i="15"/>
  <c r="J137" i="15"/>
  <c r="I137" i="15"/>
  <c r="F137" i="15"/>
  <c r="E137" i="15"/>
  <c r="D137" i="15"/>
  <c r="C137" i="15"/>
  <c r="M137" i="15"/>
  <c r="J136" i="15"/>
  <c r="I136" i="15"/>
  <c r="F136" i="15"/>
  <c r="E136" i="15"/>
  <c r="D136" i="15"/>
  <c r="C136" i="15"/>
  <c r="M136" i="15"/>
  <c r="J135" i="15"/>
  <c r="I135" i="15"/>
  <c r="F135" i="15"/>
  <c r="E135" i="15"/>
  <c r="D135" i="15"/>
  <c r="C135" i="15"/>
  <c r="M135" i="15"/>
  <c r="J134" i="15"/>
  <c r="I134" i="15"/>
  <c r="F134" i="15"/>
  <c r="E134" i="15"/>
  <c r="D134" i="15"/>
  <c r="C134" i="15"/>
  <c r="M134" i="15"/>
  <c r="J133" i="15"/>
  <c r="I133" i="15"/>
  <c r="F133" i="15"/>
  <c r="E133" i="15"/>
  <c r="D133" i="15"/>
  <c r="C133" i="15"/>
  <c r="M133" i="15"/>
  <c r="J132" i="15"/>
  <c r="I132" i="15"/>
  <c r="F132" i="15"/>
  <c r="E132" i="15"/>
  <c r="D132" i="15"/>
  <c r="C132" i="15"/>
  <c r="M132" i="15"/>
  <c r="J131" i="15"/>
  <c r="I131" i="15"/>
  <c r="F131" i="15"/>
  <c r="E131" i="15"/>
  <c r="D131" i="15"/>
  <c r="C131" i="15"/>
  <c r="M131" i="15"/>
  <c r="J130" i="15"/>
  <c r="I130" i="15"/>
  <c r="F130" i="15"/>
  <c r="E130" i="15"/>
  <c r="D130" i="15"/>
  <c r="C130" i="15"/>
  <c r="M130" i="15"/>
  <c r="J129" i="15"/>
  <c r="I129" i="15"/>
  <c r="F129" i="15"/>
  <c r="E129" i="15"/>
  <c r="D129" i="15"/>
  <c r="C129" i="15"/>
  <c r="M129" i="15"/>
  <c r="J128" i="15"/>
  <c r="I128" i="15"/>
  <c r="F128" i="15"/>
  <c r="E128" i="15"/>
  <c r="D128" i="15"/>
  <c r="C128" i="15"/>
  <c r="M128" i="15"/>
  <c r="J127" i="15"/>
  <c r="I127" i="15"/>
  <c r="F127" i="15"/>
  <c r="E127" i="15"/>
  <c r="D127" i="15"/>
  <c r="C127" i="15"/>
  <c r="M127" i="15"/>
  <c r="J126" i="15"/>
  <c r="I126" i="15"/>
  <c r="F126" i="15"/>
  <c r="E126" i="15"/>
  <c r="D126" i="15"/>
  <c r="C126" i="15"/>
  <c r="M126" i="15"/>
  <c r="J125" i="15"/>
  <c r="I125" i="15"/>
  <c r="F125" i="15"/>
  <c r="E125" i="15"/>
  <c r="D125" i="15"/>
  <c r="C125" i="15"/>
  <c r="M125" i="15"/>
  <c r="J124" i="15"/>
  <c r="I124" i="15"/>
  <c r="F124" i="15"/>
  <c r="E124" i="15"/>
  <c r="D124" i="15"/>
  <c r="C124" i="15"/>
  <c r="M124" i="15"/>
  <c r="J123" i="15"/>
  <c r="I123" i="15"/>
  <c r="F123" i="15"/>
  <c r="E123" i="15"/>
  <c r="D123" i="15"/>
  <c r="C123" i="15"/>
  <c r="M123" i="15"/>
  <c r="I122" i="15"/>
  <c r="F122" i="15"/>
  <c r="E122" i="15"/>
  <c r="D122" i="15"/>
  <c r="C122" i="15"/>
  <c r="M122" i="15"/>
  <c r="J121" i="15"/>
  <c r="I121" i="15"/>
  <c r="F121" i="15"/>
  <c r="E121" i="15"/>
  <c r="D121" i="15"/>
  <c r="C121" i="15"/>
  <c r="M121" i="15"/>
  <c r="J120" i="15"/>
  <c r="I120" i="15"/>
  <c r="E120" i="15"/>
  <c r="D120" i="15"/>
  <c r="C120" i="15"/>
  <c r="M120" i="15"/>
  <c r="J119" i="15"/>
  <c r="I119" i="15"/>
  <c r="E119" i="15"/>
  <c r="D119" i="15"/>
  <c r="C119" i="15"/>
  <c r="M119" i="15"/>
  <c r="J118" i="15"/>
  <c r="I118" i="15"/>
  <c r="F118" i="15"/>
  <c r="E118" i="15"/>
  <c r="D118" i="15"/>
  <c r="C118" i="15"/>
  <c r="M118" i="15"/>
  <c r="J117" i="15"/>
  <c r="I117" i="15"/>
  <c r="F117" i="15"/>
  <c r="E117" i="15"/>
  <c r="D117" i="15"/>
  <c r="C117" i="15"/>
  <c r="M117" i="15"/>
  <c r="J116" i="15"/>
  <c r="I116" i="15"/>
  <c r="F116" i="15"/>
  <c r="E116" i="15"/>
  <c r="D116" i="15"/>
  <c r="C116" i="15"/>
  <c r="M116" i="15"/>
  <c r="J115" i="15"/>
  <c r="I115" i="15"/>
  <c r="F115" i="15"/>
  <c r="E115" i="15"/>
  <c r="D115" i="15"/>
  <c r="C115" i="15"/>
  <c r="M115" i="15"/>
  <c r="J114" i="15"/>
  <c r="I114" i="15"/>
  <c r="F114" i="15"/>
  <c r="E114" i="15"/>
  <c r="D114" i="15"/>
  <c r="C114" i="15"/>
  <c r="M114" i="15"/>
  <c r="J113" i="15"/>
  <c r="I113" i="15"/>
  <c r="F113" i="15"/>
  <c r="E113" i="15"/>
  <c r="D113" i="15"/>
  <c r="C113" i="15"/>
  <c r="M113" i="15"/>
  <c r="J112" i="15"/>
  <c r="F112" i="15"/>
  <c r="E112" i="15"/>
  <c r="D112" i="15"/>
  <c r="C112" i="15"/>
  <c r="M112" i="15"/>
  <c r="J111" i="15"/>
  <c r="F111" i="15"/>
  <c r="E111" i="15"/>
  <c r="D111" i="15"/>
  <c r="C111" i="15"/>
  <c r="M111" i="15"/>
  <c r="J110" i="15"/>
  <c r="I110" i="15"/>
  <c r="F110" i="15"/>
  <c r="E110" i="15"/>
  <c r="D110" i="15"/>
  <c r="C110" i="15"/>
  <c r="M110" i="15"/>
  <c r="J109" i="15"/>
  <c r="I109" i="15"/>
  <c r="F109" i="15"/>
  <c r="E109" i="15"/>
  <c r="D109" i="15"/>
  <c r="C109" i="15"/>
  <c r="M109" i="15"/>
  <c r="J108" i="15"/>
  <c r="I108" i="15"/>
  <c r="F108" i="15"/>
  <c r="E108" i="15"/>
  <c r="D108" i="15"/>
  <c r="C108" i="15"/>
  <c r="M108" i="15"/>
  <c r="J107" i="15"/>
  <c r="I107" i="15"/>
  <c r="F107" i="15"/>
  <c r="E107" i="15"/>
  <c r="D107" i="15"/>
  <c r="C107" i="15"/>
  <c r="M107" i="15"/>
  <c r="J106" i="15"/>
  <c r="I106" i="15"/>
  <c r="F106" i="15"/>
  <c r="E106" i="15"/>
  <c r="D106" i="15"/>
  <c r="C106" i="15"/>
  <c r="M106" i="15"/>
  <c r="J105" i="15"/>
  <c r="I105" i="15"/>
  <c r="F105" i="15"/>
  <c r="E105" i="15"/>
  <c r="D105" i="15"/>
  <c r="C105" i="15"/>
  <c r="M105" i="15"/>
  <c r="J104" i="15"/>
  <c r="I104" i="15"/>
  <c r="F104" i="15"/>
  <c r="E104" i="15"/>
  <c r="D104" i="15"/>
  <c r="C104" i="15"/>
  <c r="M104" i="15"/>
  <c r="J103" i="15"/>
  <c r="I103" i="15"/>
  <c r="F103" i="15"/>
  <c r="E103" i="15"/>
  <c r="D103" i="15"/>
  <c r="C103" i="15"/>
  <c r="M103" i="15"/>
  <c r="J102" i="15"/>
  <c r="I102" i="15"/>
  <c r="F102" i="15"/>
  <c r="E102" i="15"/>
  <c r="D102" i="15"/>
  <c r="C102" i="15"/>
  <c r="M102" i="15"/>
  <c r="J101" i="15"/>
  <c r="I101" i="15"/>
  <c r="F101" i="15"/>
  <c r="E101" i="15"/>
  <c r="D101" i="15"/>
  <c r="C101" i="15"/>
  <c r="M101" i="15"/>
  <c r="J100" i="15"/>
  <c r="I100" i="15"/>
  <c r="F100" i="15"/>
  <c r="E100" i="15"/>
  <c r="D100" i="15"/>
  <c r="C100" i="15"/>
  <c r="M100" i="15"/>
  <c r="J99" i="15"/>
  <c r="I99" i="15"/>
  <c r="F99" i="15"/>
  <c r="E99" i="15"/>
  <c r="D99" i="15"/>
  <c r="C99" i="15"/>
  <c r="M99" i="15"/>
  <c r="J98" i="15"/>
  <c r="I98" i="15"/>
  <c r="F98" i="15"/>
  <c r="E98" i="15"/>
  <c r="D98" i="15"/>
  <c r="C98" i="15"/>
  <c r="M98" i="15"/>
  <c r="J97" i="15"/>
  <c r="I97" i="15"/>
  <c r="F97" i="15"/>
  <c r="E97" i="15"/>
  <c r="D97" i="15"/>
  <c r="C97" i="15"/>
  <c r="M97" i="15"/>
  <c r="J96" i="15"/>
  <c r="I96" i="15"/>
  <c r="F96" i="15"/>
  <c r="E96" i="15"/>
  <c r="D96" i="15"/>
  <c r="C96" i="15"/>
  <c r="M96" i="15"/>
  <c r="J95" i="15"/>
  <c r="I95" i="15"/>
  <c r="F95" i="15"/>
  <c r="E95" i="15"/>
  <c r="D95" i="15"/>
  <c r="C95" i="15"/>
  <c r="M95" i="15"/>
  <c r="J94" i="15"/>
  <c r="I94" i="15"/>
  <c r="F94" i="15"/>
  <c r="E94" i="15"/>
  <c r="D94" i="15"/>
  <c r="C94" i="15"/>
  <c r="M94" i="15"/>
  <c r="J93" i="15"/>
  <c r="I93" i="15"/>
  <c r="F93" i="15"/>
  <c r="E93" i="15"/>
  <c r="D93" i="15"/>
  <c r="C93" i="15"/>
  <c r="M93" i="15"/>
  <c r="J92" i="15"/>
  <c r="I92" i="15"/>
  <c r="F92" i="15"/>
  <c r="E92" i="15"/>
  <c r="D92" i="15"/>
  <c r="C92" i="15"/>
  <c r="M92" i="15"/>
  <c r="J91" i="15"/>
  <c r="I91" i="15"/>
  <c r="F91" i="15"/>
  <c r="E91" i="15"/>
  <c r="D91" i="15"/>
  <c r="C91" i="15"/>
  <c r="M91" i="15"/>
  <c r="J90" i="15"/>
  <c r="I90" i="15"/>
  <c r="F90" i="15"/>
  <c r="E90" i="15"/>
  <c r="D90" i="15"/>
  <c r="C90" i="15"/>
  <c r="M90" i="15"/>
  <c r="J89" i="15"/>
  <c r="I89" i="15"/>
  <c r="F89" i="15"/>
  <c r="E89" i="15"/>
  <c r="D89" i="15"/>
  <c r="C89" i="15"/>
  <c r="M89" i="15"/>
  <c r="J88" i="15"/>
  <c r="I88" i="15"/>
  <c r="F88" i="15"/>
  <c r="E88" i="15"/>
  <c r="D88" i="15"/>
  <c r="C88" i="15"/>
  <c r="M88" i="15"/>
  <c r="J87" i="15"/>
  <c r="I87" i="15"/>
  <c r="F87" i="15"/>
  <c r="E87" i="15"/>
  <c r="D87" i="15"/>
  <c r="C87" i="15"/>
  <c r="M87" i="15"/>
  <c r="J86" i="15"/>
  <c r="I86" i="15"/>
  <c r="F86" i="15"/>
  <c r="E86" i="15"/>
  <c r="D86" i="15"/>
  <c r="C86" i="15"/>
  <c r="M86" i="15"/>
  <c r="J85" i="15"/>
  <c r="I85" i="15"/>
  <c r="F85" i="15"/>
  <c r="E85" i="15"/>
  <c r="D85" i="15"/>
  <c r="C85" i="15"/>
  <c r="M85" i="15"/>
  <c r="J84" i="15"/>
  <c r="I84" i="15"/>
  <c r="F84" i="15"/>
  <c r="E84" i="15"/>
  <c r="D84" i="15"/>
  <c r="C84" i="15"/>
  <c r="M84" i="15"/>
  <c r="J83" i="15"/>
  <c r="I83" i="15"/>
  <c r="F83" i="15"/>
  <c r="E83" i="15"/>
  <c r="D83" i="15"/>
  <c r="C83" i="15"/>
  <c r="M83" i="15"/>
  <c r="J82" i="15"/>
  <c r="I82" i="15"/>
  <c r="F82" i="15"/>
  <c r="E82" i="15"/>
  <c r="D82" i="15"/>
  <c r="C82" i="15"/>
  <c r="M82" i="15"/>
  <c r="J81" i="15"/>
  <c r="I81" i="15"/>
  <c r="F81" i="15"/>
  <c r="E81" i="15"/>
  <c r="D81" i="15"/>
  <c r="C81" i="15"/>
  <c r="M81" i="15"/>
  <c r="J80" i="15"/>
  <c r="I80" i="15"/>
  <c r="F80" i="15"/>
  <c r="E80" i="15"/>
  <c r="D80" i="15"/>
  <c r="C80" i="15"/>
  <c r="M80" i="15"/>
  <c r="J79" i="15"/>
  <c r="I79" i="15"/>
  <c r="F79" i="15"/>
  <c r="E79" i="15"/>
  <c r="D79" i="15"/>
  <c r="C79" i="15"/>
  <c r="M79" i="15"/>
  <c r="J78" i="15"/>
  <c r="I78" i="15"/>
  <c r="F78" i="15"/>
  <c r="E78" i="15"/>
  <c r="D78" i="15"/>
  <c r="C78" i="15"/>
  <c r="M78" i="15"/>
  <c r="J77" i="15"/>
  <c r="I77" i="15"/>
  <c r="F77" i="15"/>
  <c r="E77" i="15"/>
  <c r="D77" i="15"/>
  <c r="C77" i="15"/>
  <c r="M77" i="15"/>
  <c r="I76" i="15"/>
  <c r="F76" i="15"/>
  <c r="E76" i="15"/>
  <c r="D76" i="15"/>
  <c r="C76" i="15"/>
  <c r="M76" i="15"/>
  <c r="J75" i="15"/>
  <c r="I75" i="15"/>
  <c r="F75" i="15"/>
  <c r="E75" i="15"/>
  <c r="D75" i="15"/>
  <c r="C75" i="15"/>
  <c r="M75" i="15"/>
  <c r="I74" i="15"/>
  <c r="F74" i="15"/>
  <c r="E74" i="15"/>
  <c r="D74" i="15"/>
  <c r="C74" i="15"/>
  <c r="M74" i="15"/>
  <c r="I73" i="15"/>
  <c r="F73" i="15"/>
  <c r="E73" i="15"/>
  <c r="D73" i="15"/>
  <c r="C73" i="15"/>
  <c r="M73" i="15"/>
  <c r="J72" i="15"/>
  <c r="I72" i="15"/>
  <c r="F72" i="15"/>
  <c r="E72" i="15"/>
  <c r="D72" i="15"/>
  <c r="C72" i="15"/>
  <c r="M72" i="15"/>
  <c r="J71" i="15"/>
  <c r="I71" i="15"/>
  <c r="F71" i="15"/>
  <c r="E71" i="15"/>
  <c r="D71" i="15"/>
  <c r="C71" i="15"/>
  <c r="M71" i="15"/>
  <c r="J70" i="15"/>
  <c r="I70" i="15"/>
  <c r="F70" i="15"/>
  <c r="E70" i="15"/>
  <c r="D70" i="15"/>
  <c r="C70" i="15"/>
  <c r="M70" i="15"/>
  <c r="J69" i="15"/>
  <c r="I69" i="15"/>
  <c r="F69" i="15"/>
  <c r="E69" i="15"/>
  <c r="D69" i="15"/>
  <c r="C69" i="15"/>
  <c r="M69" i="15"/>
  <c r="J68" i="15"/>
  <c r="I68" i="15"/>
  <c r="F68" i="15"/>
  <c r="E68" i="15"/>
  <c r="D68" i="15"/>
  <c r="C68" i="15"/>
  <c r="M68" i="15"/>
  <c r="I67" i="15"/>
  <c r="F67" i="15"/>
  <c r="E67" i="15"/>
  <c r="D67" i="15"/>
  <c r="C67" i="15"/>
  <c r="M67" i="15"/>
  <c r="I66" i="15"/>
  <c r="F66" i="15"/>
  <c r="E66" i="15"/>
  <c r="D66" i="15"/>
  <c r="C66" i="15"/>
  <c r="M66" i="15"/>
  <c r="I65" i="15"/>
  <c r="F65" i="15"/>
  <c r="E65" i="15"/>
  <c r="D65" i="15"/>
  <c r="C65" i="15"/>
  <c r="M65" i="15"/>
  <c r="I64" i="15"/>
  <c r="F64" i="15"/>
  <c r="E64" i="15"/>
  <c r="D64" i="15"/>
  <c r="C64" i="15"/>
  <c r="M64" i="15"/>
  <c r="I63" i="15"/>
  <c r="F63" i="15"/>
  <c r="E63" i="15"/>
  <c r="D63" i="15"/>
  <c r="C63" i="15"/>
  <c r="M63" i="15"/>
  <c r="J62" i="15"/>
  <c r="I62" i="15"/>
  <c r="F62" i="15"/>
  <c r="E62" i="15"/>
  <c r="D62" i="15"/>
  <c r="C62" i="15"/>
  <c r="M62" i="15"/>
  <c r="I61" i="15"/>
  <c r="F61" i="15"/>
  <c r="D61" i="15"/>
  <c r="C61" i="15"/>
  <c r="M61" i="15"/>
  <c r="J60" i="15"/>
  <c r="I60" i="15"/>
  <c r="F60" i="15"/>
  <c r="E60" i="15"/>
  <c r="D60" i="15"/>
  <c r="C60" i="15"/>
  <c r="M60" i="15"/>
  <c r="I59" i="15"/>
  <c r="F59" i="15"/>
  <c r="D59" i="15"/>
  <c r="C59" i="15"/>
  <c r="M59" i="15"/>
  <c r="I58" i="15"/>
  <c r="F58" i="15"/>
  <c r="E58" i="15"/>
  <c r="D58" i="15"/>
  <c r="C58" i="15"/>
  <c r="M58" i="15"/>
  <c r="I57" i="15"/>
  <c r="F57" i="15"/>
  <c r="E57" i="15"/>
  <c r="D57" i="15"/>
  <c r="C57" i="15"/>
  <c r="M57" i="15"/>
  <c r="J56" i="15"/>
  <c r="I56" i="15"/>
  <c r="F56" i="15"/>
  <c r="E56" i="15"/>
  <c r="D56" i="15"/>
  <c r="C56" i="15"/>
  <c r="M56" i="15"/>
  <c r="J55" i="15"/>
  <c r="I55" i="15"/>
  <c r="F55" i="15"/>
  <c r="E55" i="15"/>
  <c r="D55" i="15"/>
  <c r="C55" i="15"/>
  <c r="M55" i="15"/>
  <c r="J54" i="15"/>
  <c r="I54" i="15"/>
  <c r="F54" i="15"/>
  <c r="E54" i="15"/>
  <c r="D54" i="15"/>
  <c r="C54" i="15"/>
  <c r="M54" i="15"/>
  <c r="I53" i="15"/>
  <c r="F53" i="15"/>
  <c r="E53" i="15"/>
  <c r="D53" i="15"/>
  <c r="C53" i="15"/>
  <c r="M53" i="15"/>
  <c r="J52" i="15"/>
  <c r="I52" i="15"/>
  <c r="F52" i="15"/>
  <c r="E52" i="15"/>
  <c r="D52" i="15"/>
  <c r="C52" i="15"/>
  <c r="M52" i="15"/>
  <c r="J51" i="15"/>
  <c r="I51" i="15"/>
  <c r="F51" i="15"/>
  <c r="D51" i="15"/>
  <c r="C51" i="15"/>
  <c r="M51" i="15"/>
  <c r="I50" i="15"/>
  <c r="F50" i="15"/>
  <c r="E50" i="15"/>
  <c r="D50" i="15"/>
  <c r="C50" i="15"/>
  <c r="M50" i="15"/>
  <c r="J49" i="15"/>
  <c r="I49" i="15"/>
  <c r="F49" i="15"/>
  <c r="E49" i="15"/>
  <c r="D49" i="15"/>
  <c r="C49" i="15"/>
  <c r="M49" i="15"/>
  <c r="J48" i="15"/>
  <c r="I48" i="15"/>
  <c r="F48" i="15"/>
  <c r="E48" i="15"/>
  <c r="D48" i="15"/>
  <c r="C48" i="15"/>
  <c r="M48" i="15"/>
  <c r="J47" i="15"/>
  <c r="I47" i="15"/>
  <c r="F47" i="15"/>
  <c r="E47" i="15"/>
  <c r="D47" i="15"/>
  <c r="C47" i="15"/>
  <c r="M47" i="15"/>
  <c r="J46" i="15"/>
  <c r="I46" i="15"/>
  <c r="F46" i="15"/>
  <c r="E46" i="15"/>
  <c r="D46" i="15"/>
  <c r="C46" i="15"/>
  <c r="M46" i="15"/>
  <c r="J45" i="15"/>
  <c r="I45" i="15"/>
  <c r="F45" i="15"/>
  <c r="E45" i="15"/>
  <c r="D45" i="15"/>
  <c r="C45" i="15"/>
  <c r="M45" i="15"/>
  <c r="J44" i="15"/>
  <c r="I44" i="15"/>
  <c r="F44" i="15"/>
  <c r="E44" i="15"/>
  <c r="D44" i="15"/>
  <c r="C44" i="15"/>
  <c r="M44" i="15"/>
  <c r="J43" i="15"/>
  <c r="I43" i="15"/>
  <c r="F43" i="15"/>
  <c r="E43" i="15"/>
  <c r="D43" i="15"/>
  <c r="C43" i="15"/>
  <c r="M43" i="15"/>
  <c r="J42" i="15"/>
  <c r="I42" i="15"/>
  <c r="F42" i="15"/>
  <c r="E42" i="15"/>
  <c r="D42" i="15"/>
  <c r="C42" i="15"/>
  <c r="M42" i="15"/>
  <c r="J41" i="15"/>
  <c r="I41" i="15"/>
  <c r="F41" i="15"/>
  <c r="E41" i="15"/>
  <c r="D41" i="15"/>
  <c r="C41" i="15"/>
  <c r="M41" i="15"/>
  <c r="J40" i="15"/>
  <c r="I40" i="15"/>
  <c r="F40" i="15"/>
  <c r="E40" i="15"/>
  <c r="D40" i="15"/>
  <c r="C40" i="15"/>
  <c r="M40" i="15"/>
  <c r="J39" i="15"/>
  <c r="I39" i="15"/>
  <c r="F39" i="15"/>
  <c r="E39" i="15"/>
  <c r="D39" i="15"/>
  <c r="C39" i="15"/>
  <c r="M39" i="15"/>
  <c r="J38" i="15"/>
  <c r="I38" i="15"/>
  <c r="F38" i="15"/>
  <c r="E38" i="15"/>
  <c r="D38" i="15"/>
  <c r="C38" i="15"/>
  <c r="M38" i="15"/>
  <c r="J37" i="15"/>
  <c r="I37" i="15"/>
  <c r="F37" i="15"/>
  <c r="E37" i="15"/>
  <c r="D37" i="15"/>
  <c r="C37" i="15"/>
  <c r="M37" i="15"/>
  <c r="J36" i="15"/>
  <c r="I36" i="15"/>
  <c r="F36" i="15"/>
  <c r="E36" i="15"/>
  <c r="D36" i="15"/>
  <c r="C36" i="15"/>
  <c r="M36" i="15"/>
  <c r="J35" i="15"/>
  <c r="I35" i="15"/>
  <c r="F35" i="15"/>
  <c r="E35" i="15"/>
  <c r="D35" i="15"/>
  <c r="C35" i="15"/>
  <c r="M35" i="15"/>
  <c r="J34" i="15"/>
  <c r="I34" i="15"/>
  <c r="F34" i="15"/>
  <c r="E34" i="15"/>
  <c r="D34" i="15"/>
  <c r="C34" i="15"/>
  <c r="M34" i="15"/>
  <c r="J33" i="15"/>
  <c r="I33" i="15"/>
  <c r="F33" i="15"/>
  <c r="E33" i="15"/>
  <c r="D33" i="15"/>
  <c r="C33" i="15"/>
  <c r="M33" i="15"/>
  <c r="J32" i="15"/>
  <c r="I32" i="15"/>
  <c r="F32" i="15"/>
  <c r="E32" i="15"/>
  <c r="D32" i="15"/>
  <c r="C32" i="15"/>
  <c r="M32" i="15"/>
  <c r="J31" i="15"/>
  <c r="I31" i="15"/>
  <c r="F31" i="15"/>
  <c r="E31" i="15"/>
  <c r="D31" i="15"/>
  <c r="C31" i="15"/>
  <c r="M31" i="15"/>
  <c r="J30" i="15"/>
  <c r="I30" i="15"/>
  <c r="F30" i="15"/>
  <c r="D30" i="15"/>
  <c r="C30" i="15"/>
  <c r="M30" i="15"/>
  <c r="J29" i="15"/>
  <c r="F29" i="15"/>
  <c r="E29" i="15"/>
  <c r="D29" i="15"/>
  <c r="C29" i="15"/>
  <c r="M29" i="15"/>
  <c r="J28" i="15"/>
  <c r="F28" i="15"/>
  <c r="E28" i="15"/>
  <c r="D28" i="15"/>
  <c r="C28" i="15"/>
  <c r="M28" i="15"/>
  <c r="J27" i="15"/>
  <c r="I27" i="15"/>
  <c r="F27" i="15"/>
  <c r="E27" i="15"/>
  <c r="D27" i="15"/>
  <c r="C27" i="15"/>
  <c r="M27" i="15"/>
  <c r="J26" i="15"/>
  <c r="I26" i="15"/>
  <c r="F26" i="15"/>
  <c r="E26" i="15"/>
  <c r="D26" i="15"/>
  <c r="C26" i="15"/>
  <c r="M26" i="15"/>
  <c r="J25" i="15"/>
  <c r="I25" i="15"/>
  <c r="F25" i="15"/>
  <c r="E25" i="15"/>
  <c r="D25" i="15"/>
  <c r="C25" i="15"/>
  <c r="M25" i="15"/>
  <c r="J24" i="15"/>
  <c r="I24" i="15"/>
  <c r="F24" i="15"/>
  <c r="E24" i="15"/>
  <c r="D24" i="15"/>
  <c r="C24" i="15"/>
  <c r="M24" i="15"/>
  <c r="J23" i="15"/>
  <c r="I23" i="15"/>
  <c r="F23" i="15"/>
  <c r="E23" i="15"/>
  <c r="D23" i="15"/>
  <c r="C23" i="15"/>
  <c r="M23" i="15"/>
  <c r="J22" i="15"/>
  <c r="I22" i="15"/>
  <c r="F22" i="15"/>
  <c r="E22" i="15"/>
  <c r="D22" i="15"/>
  <c r="C22" i="15"/>
  <c r="M22" i="15"/>
  <c r="J21" i="15"/>
  <c r="I21" i="15"/>
  <c r="F21" i="15"/>
  <c r="E21" i="15"/>
  <c r="D21" i="15"/>
  <c r="C21" i="15"/>
  <c r="M21" i="15"/>
  <c r="J20" i="15"/>
  <c r="I20" i="15"/>
  <c r="F20" i="15"/>
  <c r="E20" i="15"/>
  <c r="D20" i="15"/>
  <c r="C20" i="15"/>
  <c r="M20" i="15"/>
  <c r="J19" i="15"/>
  <c r="I19" i="15"/>
  <c r="F19" i="15"/>
  <c r="E19" i="15"/>
  <c r="D19" i="15"/>
  <c r="C19" i="15"/>
  <c r="M19" i="15"/>
  <c r="J18" i="15"/>
  <c r="I18" i="15"/>
  <c r="F18" i="15"/>
  <c r="E18" i="15"/>
  <c r="D18" i="15"/>
  <c r="C18" i="15"/>
  <c r="M18" i="15"/>
  <c r="J17" i="15"/>
  <c r="I17" i="15"/>
  <c r="F17" i="15"/>
  <c r="E17" i="15"/>
  <c r="D17" i="15"/>
  <c r="C17" i="15"/>
  <c r="M17" i="15"/>
  <c r="J16" i="15"/>
  <c r="I16" i="15"/>
  <c r="F16" i="15"/>
  <c r="E16" i="15"/>
  <c r="D16" i="15"/>
  <c r="C16" i="15"/>
  <c r="M16" i="15"/>
  <c r="J15" i="15"/>
  <c r="I15" i="15"/>
  <c r="F15" i="15"/>
  <c r="E15" i="15"/>
  <c r="D15" i="15"/>
  <c r="C15" i="15"/>
  <c r="M15" i="15"/>
  <c r="J14" i="15"/>
  <c r="I14" i="15"/>
  <c r="F14" i="15"/>
  <c r="E14" i="15"/>
  <c r="D14" i="15"/>
  <c r="C14" i="15"/>
  <c r="M14" i="15"/>
  <c r="J13" i="15"/>
  <c r="I13" i="15"/>
  <c r="F13" i="15"/>
  <c r="E13" i="15"/>
  <c r="D13" i="15"/>
  <c r="C13" i="15"/>
  <c r="M13" i="15"/>
  <c r="J12" i="15"/>
  <c r="I12" i="15"/>
  <c r="F12" i="15"/>
  <c r="E12" i="15"/>
  <c r="D12" i="15"/>
  <c r="C12" i="15"/>
  <c r="M12" i="15"/>
  <c r="J11" i="15"/>
  <c r="I11" i="15"/>
  <c r="F11" i="15"/>
  <c r="E11" i="15"/>
  <c r="D11" i="15"/>
  <c r="C11" i="15"/>
  <c r="M11" i="15"/>
  <c r="J10" i="15"/>
  <c r="I10" i="15"/>
  <c r="F10" i="15"/>
  <c r="E10" i="15"/>
  <c r="D10" i="15"/>
  <c r="C10" i="15"/>
  <c r="M10" i="15"/>
  <c r="J9" i="15"/>
  <c r="I9" i="15"/>
  <c r="F9" i="15"/>
  <c r="E9" i="15"/>
  <c r="D9" i="15"/>
  <c r="C9" i="15"/>
  <c r="M9" i="15"/>
  <c r="J8" i="15"/>
  <c r="I8" i="15"/>
  <c r="F8" i="15"/>
  <c r="E8" i="15"/>
  <c r="D8" i="15"/>
  <c r="C8" i="15"/>
  <c r="M8" i="15"/>
  <c r="J7" i="15"/>
  <c r="I7" i="15"/>
  <c r="F7" i="15"/>
  <c r="E7" i="15"/>
  <c r="D7" i="15"/>
  <c r="C7" i="15"/>
  <c r="M7" i="15"/>
  <c r="J6" i="15"/>
  <c r="E6" i="15"/>
  <c r="D6" i="15"/>
  <c r="C6" i="15"/>
  <c r="M6" i="15"/>
  <c r="C258" i="14"/>
  <c r="B258" i="14"/>
  <c r="B238" i="14"/>
  <c r="C238" i="14"/>
  <c r="C214" i="14"/>
  <c r="B214" i="14"/>
  <c r="B211" i="14"/>
  <c r="C186" i="14"/>
  <c r="B186" i="14"/>
  <c r="B166" i="14"/>
  <c r="C166" i="14"/>
  <c r="C142" i="14"/>
  <c r="B142" i="14"/>
  <c r="C114" i="14"/>
  <c r="B114" i="14"/>
  <c r="B94" i="14"/>
  <c r="C94" i="14"/>
  <c r="B264" i="15"/>
  <c r="B263" i="15"/>
  <c r="B262" i="15"/>
  <c r="B261" i="15"/>
  <c r="B260" i="15"/>
  <c r="B259" i="15"/>
  <c r="B258" i="15"/>
  <c r="B257" i="15"/>
  <c r="B256" i="15"/>
  <c r="B255" i="15"/>
  <c r="B254" i="15"/>
  <c r="B253" i="15"/>
  <c r="B252" i="15"/>
  <c r="B251" i="15"/>
  <c r="B250" i="15"/>
  <c r="B249" i="15"/>
  <c r="B248" i="15"/>
  <c r="B247" i="15"/>
  <c r="B246" i="15"/>
  <c r="B245" i="15"/>
  <c r="B244" i="15"/>
  <c r="B243" i="15"/>
  <c r="B242" i="15"/>
  <c r="B241" i="15"/>
  <c r="B240" i="15"/>
  <c r="B239" i="15"/>
  <c r="B238" i="15"/>
  <c r="B237" i="15"/>
  <c r="B236" i="15"/>
  <c r="B235" i="15"/>
  <c r="B234" i="15"/>
  <c r="B233" i="15"/>
  <c r="B232" i="15"/>
  <c r="B231" i="15"/>
  <c r="B230" i="15"/>
  <c r="B229" i="15"/>
  <c r="B228" i="15"/>
  <c r="B227" i="15"/>
  <c r="B226" i="15"/>
  <c r="B225" i="15"/>
  <c r="B224" i="15"/>
  <c r="B223" i="15"/>
  <c r="B222" i="15"/>
  <c r="B221" i="15"/>
  <c r="B220" i="15"/>
  <c r="B219" i="15"/>
  <c r="B218" i="15"/>
  <c r="B217" i="15"/>
  <c r="B216" i="15"/>
  <c r="B215" i="15"/>
  <c r="B214" i="15"/>
  <c r="B213" i="15"/>
  <c r="B212" i="15"/>
  <c r="B211" i="15"/>
  <c r="B210" i="15"/>
  <c r="B209" i="15"/>
  <c r="B208" i="15"/>
  <c r="B207" i="15"/>
  <c r="B206" i="15"/>
  <c r="B205" i="15"/>
  <c r="B204" i="15"/>
  <c r="B203" i="15"/>
  <c r="B202" i="15"/>
  <c r="B201" i="15"/>
  <c r="B200" i="15"/>
  <c r="B199" i="15"/>
  <c r="B198" i="15"/>
  <c r="B197" i="15"/>
  <c r="B196" i="15"/>
  <c r="B195" i="15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B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B168" i="15"/>
  <c r="B167" i="15"/>
  <c r="B166" i="15"/>
  <c r="B165" i="15"/>
  <c r="B164" i="15"/>
  <c r="B163" i="15"/>
  <c r="B162" i="15"/>
  <c r="B161" i="15"/>
  <c r="B160" i="15"/>
  <c r="B159" i="15"/>
  <c r="B158" i="15"/>
  <c r="B157" i="15"/>
  <c r="B156" i="15"/>
  <c r="B155" i="15"/>
  <c r="B154" i="15"/>
  <c r="B153" i="15"/>
  <c r="B152" i="15"/>
  <c r="B151" i="15"/>
  <c r="B150" i="15"/>
  <c r="B149" i="15"/>
  <c r="B148" i="15"/>
  <c r="B147" i="15"/>
  <c r="B146" i="15"/>
  <c r="B145" i="15"/>
  <c r="B144" i="15"/>
  <c r="B143" i="15"/>
  <c r="B142" i="15"/>
  <c r="B141" i="15"/>
  <c r="B140" i="15"/>
  <c r="B139" i="15"/>
  <c r="B138" i="15"/>
  <c r="B137" i="15"/>
  <c r="B136" i="15"/>
  <c r="B135" i="15"/>
  <c r="B134" i="15"/>
  <c r="B133" i="15"/>
  <c r="B132" i="15"/>
  <c r="B131" i="15"/>
  <c r="B130" i="15"/>
  <c r="B129" i="15"/>
  <c r="B128" i="15"/>
  <c r="B127" i="15"/>
  <c r="B126" i="15"/>
  <c r="B125" i="15"/>
  <c r="B124" i="15"/>
  <c r="B123" i="15"/>
  <c r="B122" i="15"/>
  <c r="B121" i="15"/>
  <c r="B120" i="15"/>
  <c r="B119" i="15"/>
  <c r="B118" i="15"/>
  <c r="B117" i="15"/>
  <c r="B116" i="15"/>
  <c r="B115" i="15"/>
  <c r="B114" i="15"/>
  <c r="B113" i="15"/>
  <c r="B112" i="15"/>
  <c r="B111" i="15"/>
  <c r="B110" i="15"/>
  <c r="B109" i="15"/>
  <c r="B108" i="15"/>
  <c r="B107" i="15"/>
  <c r="B106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I6" i="15"/>
  <c r="F6" i="15"/>
  <c r="B6" i="15"/>
  <c r="I255" i="14"/>
  <c r="E255" i="14"/>
  <c r="D255" i="14"/>
  <c r="C255" i="14"/>
  <c r="F255" i="14"/>
  <c r="D243" i="14"/>
  <c r="I243" i="14"/>
  <c r="E243" i="14"/>
  <c r="F243" i="14"/>
  <c r="C243" i="14"/>
  <c r="D231" i="14"/>
  <c r="I231" i="14"/>
  <c r="E231" i="14"/>
  <c r="F231" i="14"/>
  <c r="C231" i="14"/>
  <c r="D219" i="14"/>
  <c r="I219" i="14"/>
  <c r="E219" i="14"/>
  <c r="F219" i="14"/>
  <c r="C219" i="14"/>
  <c r="D207" i="14"/>
  <c r="I207" i="14"/>
  <c r="E207" i="14"/>
  <c r="F207" i="14"/>
  <c r="C207" i="14"/>
  <c r="D195" i="14"/>
  <c r="I195" i="14"/>
  <c r="E195" i="14"/>
  <c r="C195" i="14"/>
  <c r="F195" i="14"/>
  <c r="D183" i="14"/>
  <c r="I183" i="14"/>
  <c r="E183" i="14"/>
  <c r="F183" i="14"/>
  <c r="C183" i="14"/>
  <c r="D171" i="14"/>
  <c r="I171" i="14"/>
  <c r="E171" i="14"/>
  <c r="F171" i="14"/>
  <c r="C171" i="14"/>
  <c r="D159" i="14"/>
  <c r="I159" i="14"/>
  <c r="E159" i="14"/>
  <c r="F159" i="14"/>
  <c r="C159" i="14"/>
  <c r="D147" i="14"/>
  <c r="I147" i="14"/>
  <c r="E147" i="14"/>
  <c r="F147" i="14"/>
  <c r="C147" i="14"/>
  <c r="D135" i="14"/>
  <c r="I135" i="14"/>
  <c r="E135" i="14"/>
  <c r="C135" i="14"/>
  <c r="D123" i="14"/>
  <c r="I123" i="14"/>
  <c r="E123" i="14"/>
  <c r="C123" i="14"/>
  <c r="D111" i="14"/>
  <c r="I111" i="14"/>
  <c r="E111" i="14"/>
  <c r="C111" i="14"/>
  <c r="F111" i="14"/>
  <c r="D99" i="14"/>
  <c r="I99" i="14"/>
  <c r="E99" i="14"/>
  <c r="F99" i="14"/>
  <c r="C99" i="14"/>
  <c r="D87" i="14"/>
  <c r="I87" i="14"/>
  <c r="E87" i="14"/>
  <c r="F87" i="14"/>
  <c r="C87" i="14"/>
  <c r="D75" i="14"/>
  <c r="I75" i="14"/>
  <c r="E75" i="14"/>
  <c r="C75" i="14"/>
  <c r="D63" i="14"/>
  <c r="I63" i="14"/>
  <c r="E63" i="14"/>
  <c r="F63" i="14"/>
  <c r="C63" i="14"/>
  <c r="D51" i="14"/>
  <c r="I51" i="14"/>
  <c r="E51" i="14"/>
  <c r="C51" i="14"/>
  <c r="D39" i="14"/>
  <c r="I39" i="14"/>
  <c r="E39" i="14"/>
  <c r="F39" i="14"/>
  <c r="C39" i="14"/>
  <c r="D27" i="14"/>
  <c r="I27" i="14"/>
  <c r="E27" i="14"/>
  <c r="F27" i="14"/>
  <c r="C27" i="14"/>
  <c r="D15" i="14"/>
  <c r="I15" i="14"/>
  <c r="E15" i="14"/>
  <c r="F15" i="14"/>
  <c r="C15" i="14"/>
  <c r="B112" i="14"/>
  <c r="B42" i="14"/>
  <c r="C234" i="14"/>
  <c r="C162" i="14"/>
  <c r="C90" i="14"/>
  <c r="E82" i="14"/>
  <c r="I254" i="14"/>
  <c r="E254" i="14"/>
  <c r="C254" i="14"/>
  <c r="F254" i="14"/>
  <c r="I242" i="14"/>
  <c r="E242" i="14"/>
  <c r="D242" i="14"/>
  <c r="F242" i="14"/>
  <c r="C242" i="14"/>
  <c r="I230" i="14"/>
  <c r="E230" i="14"/>
  <c r="D230" i="14"/>
  <c r="F230" i="14"/>
  <c r="C230" i="14"/>
  <c r="I218" i="14"/>
  <c r="E218" i="14"/>
  <c r="C218" i="14"/>
  <c r="D206" i="14"/>
  <c r="I206" i="14"/>
  <c r="E206" i="14"/>
  <c r="F206" i="14"/>
  <c r="C206" i="14"/>
  <c r="D194" i="14"/>
  <c r="I194" i="14"/>
  <c r="E194" i="14"/>
  <c r="C194" i="14"/>
  <c r="F194" i="14"/>
  <c r="D182" i="14"/>
  <c r="I182" i="14"/>
  <c r="E182" i="14"/>
  <c r="F182" i="14"/>
  <c r="C182" i="14"/>
  <c r="D170" i="14"/>
  <c r="I170" i="14"/>
  <c r="E170" i="14"/>
  <c r="F170" i="14"/>
  <c r="C170" i="14"/>
  <c r="D158" i="14"/>
  <c r="I158" i="14"/>
  <c r="E158" i="14"/>
  <c r="F158" i="14"/>
  <c r="C158" i="14"/>
  <c r="D146" i="14"/>
  <c r="I146" i="14"/>
  <c r="E146" i="14"/>
  <c r="F146" i="14"/>
  <c r="C146" i="14"/>
  <c r="D134" i="14"/>
  <c r="I134" i="14"/>
  <c r="E134" i="14"/>
  <c r="C134" i="14"/>
  <c r="F134" i="14"/>
  <c r="D122" i="14"/>
  <c r="I122" i="14"/>
  <c r="E122" i="14"/>
  <c r="F122" i="14"/>
  <c r="C122" i="14"/>
  <c r="D110" i="14"/>
  <c r="I110" i="14"/>
  <c r="E110" i="14"/>
  <c r="C110" i="14"/>
  <c r="F110" i="14"/>
  <c r="D98" i="14"/>
  <c r="I98" i="14"/>
  <c r="E98" i="14"/>
  <c r="F98" i="14"/>
  <c r="C98" i="14"/>
  <c r="D86" i="14"/>
  <c r="I86" i="14"/>
  <c r="E86" i="14"/>
  <c r="F86" i="14"/>
  <c r="C86" i="14"/>
  <c r="D74" i="14"/>
  <c r="I74" i="14"/>
  <c r="E74" i="14"/>
  <c r="C74" i="14"/>
  <c r="D62" i="14"/>
  <c r="I62" i="14"/>
  <c r="C62" i="14"/>
  <c r="D50" i="14"/>
  <c r="I50" i="14"/>
  <c r="E50" i="14"/>
  <c r="C50" i="14"/>
  <c r="F50" i="14"/>
  <c r="D38" i="14"/>
  <c r="I38" i="14"/>
  <c r="E38" i="14"/>
  <c r="F38" i="14"/>
  <c r="B38" i="14"/>
  <c r="C38" i="14"/>
  <c r="D26" i="14"/>
  <c r="I26" i="14"/>
  <c r="E26" i="14"/>
  <c r="B26" i="14"/>
  <c r="F26" i="14"/>
  <c r="C26" i="14"/>
  <c r="D14" i="14"/>
  <c r="I14" i="14"/>
  <c r="E14" i="14"/>
  <c r="F14" i="14"/>
  <c r="B14" i="14"/>
  <c r="C14" i="14"/>
  <c r="B255" i="14"/>
  <c r="B226" i="14"/>
  <c r="B198" i="14"/>
  <c r="B183" i="14"/>
  <c r="B154" i="14"/>
  <c r="B126" i="14"/>
  <c r="B111" i="14"/>
  <c r="B39" i="14"/>
  <c r="C154" i="14"/>
  <c r="B265" i="14"/>
  <c r="F265" i="14"/>
  <c r="C265" i="14"/>
  <c r="I265" i="14"/>
  <c r="E265" i="14"/>
  <c r="D265" i="14"/>
  <c r="I253" i="14"/>
  <c r="B253" i="14"/>
  <c r="C253" i="14"/>
  <c r="F253" i="14"/>
  <c r="D253" i="14"/>
  <c r="I241" i="14"/>
  <c r="F241" i="14"/>
  <c r="B241" i="14"/>
  <c r="C241" i="14"/>
  <c r="E241" i="14"/>
  <c r="I229" i="14"/>
  <c r="D229" i="14"/>
  <c r="B229" i="14"/>
  <c r="F229" i="14"/>
  <c r="C229" i="14"/>
  <c r="I217" i="14"/>
  <c r="B217" i="14"/>
  <c r="D217" i="14"/>
  <c r="E217" i="14"/>
  <c r="C217" i="14"/>
  <c r="F217" i="14"/>
  <c r="I205" i="14"/>
  <c r="B205" i="14"/>
  <c r="F205" i="14"/>
  <c r="D205" i="14"/>
  <c r="C205" i="14"/>
  <c r="I193" i="14"/>
  <c r="B193" i="14"/>
  <c r="E193" i="14"/>
  <c r="C193" i="14"/>
  <c r="F193" i="14"/>
  <c r="I181" i="14"/>
  <c r="F181" i="14"/>
  <c r="B181" i="14"/>
  <c r="D181" i="14"/>
  <c r="C181" i="14"/>
  <c r="E181" i="14"/>
  <c r="I169" i="14"/>
  <c r="B169" i="14"/>
  <c r="E169" i="14"/>
  <c r="F169" i="14"/>
  <c r="C169" i="14"/>
  <c r="D169" i="14"/>
  <c r="I157" i="14"/>
  <c r="B157" i="14"/>
  <c r="D157" i="14"/>
  <c r="C157" i="14"/>
  <c r="E157" i="14"/>
  <c r="I145" i="14"/>
  <c r="E145" i="14"/>
  <c r="B145" i="14"/>
  <c r="F145" i="14"/>
  <c r="C145" i="14"/>
  <c r="D145" i="14"/>
  <c r="I133" i="14"/>
  <c r="D133" i="14"/>
  <c r="B133" i="14"/>
  <c r="E133" i="14"/>
  <c r="C133" i="14"/>
  <c r="F133" i="14"/>
  <c r="I121" i="14"/>
  <c r="B121" i="14"/>
  <c r="D121" i="14"/>
  <c r="C121" i="14"/>
  <c r="E121" i="14"/>
  <c r="I109" i="14"/>
  <c r="B109" i="14"/>
  <c r="C109" i="14"/>
  <c r="F109" i="14"/>
  <c r="D109" i="14"/>
  <c r="I97" i="14"/>
  <c r="F97" i="14"/>
  <c r="B97" i="14"/>
  <c r="C97" i="14"/>
  <c r="E97" i="14"/>
  <c r="I85" i="14"/>
  <c r="E85" i="14"/>
  <c r="B85" i="14"/>
  <c r="F85" i="14"/>
  <c r="C85" i="14"/>
  <c r="D85" i="14"/>
  <c r="I73" i="14"/>
  <c r="D73" i="14"/>
  <c r="B73" i="14"/>
  <c r="E73" i="14"/>
  <c r="C73" i="14"/>
  <c r="F73" i="14"/>
  <c r="I61" i="14"/>
  <c r="B61" i="14"/>
  <c r="F61" i="14"/>
  <c r="D61" i="14"/>
  <c r="C61" i="14"/>
  <c r="I49" i="14"/>
  <c r="B49" i="14"/>
  <c r="E49" i="14"/>
  <c r="C49" i="14"/>
  <c r="F49" i="14"/>
  <c r="I37" i="14"/>
  <c r="F37" i="14"/>
  <c r="B37" i="14"/>
  <c r="D37" i="14"/>
  <c r="C37" i="14"/>
  <c r="E37" i="14"/>
  <c r="I25" i="14"/>
  <c r="B25" i="14"/>
  <c r="E25" i="14"/>
  <c r="F25" i="14"/>
  <c r="C25" i="14"/>
  <c r="D25" i="14"/>
  <c r="I13" i="14"/>
  <c r="B13" i="14"/>
  <c r="D13" i="14"/>
  <c r="C13" i="14"/>
  <c r="E13" i="14"/>
  <c r="B254" i="14"/>
  <c r="B182" i="14"/>
  <c r="B139" i="14"/>
  <c r="B124" i="14"/>
  <c r="B110" i="14"/>
  <c r="C222" i="14"/>
  <c r="C150" i="14"/>
  <c r="C78" i="14"/>
  <c r="D7" i="14"/>
  <c r="D49" i="14"/>
  <c r="E61" i="14"/>
  <c r="F157" i="14"/>
  <c r="F220" i="14"/>
  <c r="I220" i="14"/>
  <c r="D220" i="14"/>
  <c r="E220" i="14"/>
  <c r="C220" i="14"/>
  <c r="F148" i="14"/>
  <c r="I148" i="14"/>
  <c r="E148" i="14"/>
  <c r="D148" i="14"/>
  <c r="C148" i="14"/>
  <c r="F88" i="14"/>
  <c r="I88" i="14"/>
  <c r="E88" i="14"/>
  <c r="D88" i="14"/>
  <c r="C88" i="14"/>
  <c r="F40" i="14"/>
  <c r="I40" i="14"/>
  <c r="B40" i="14"/>
  <c r="D40" i="14"/>
  <c r="C40" i="14"/>
  <c r="E40" i="14"/>
  <c r="F16" i="14"/>
  <c r="I16" i="14"/>
  <c r="B16" i="14"/>
  <c r="E16" i="14"/>
  <c r="C16" i="14"/>
  <c r="I264" i="14"/>
  <c r="E264" i="14"/>
  <c r="F264" i="14"/>
  <c r="C264" i="14"/>
  <c r="D264" i="14"/>
  <c r="I252" i="14"/>
  <c r="E252" i="14"/>
  <c r="C252" i="14"/>
  <c r="F252" i="14"/>
  <c r="D252" i="14"/>
  <c r="I240" i="14"/>
  <c r="E240" i="14"/>
  <c r="C240" i="14"/>
  <c r="D240" i="14"/>
  <c r="I228" i="14"/>
  <c r="E228" i="14"/>
  <c r="F228" i="14"/>
  <c r="C228" i="14"/>
  <c r="I216" i="14"/>
  <c r="E216" i="14"/>
  <c r="D216" i="14"/>
  <c r="C216" i="14"/>
  <c r="F216" i="14"/>
  <c r="I204" i="14"/>
  <c r="E204" i="14"/>
  <c r="F204" i="14"/>
  <c r="D204" i="14"/>
  <c r="C204" i="14"/>
  <c r="G204" i="14" s="1"/>
  <c r="I192" i="14"/>
  <c r="E192" i="14"/>
  <c r="C192" i="14"/>
  <c r="F192" i="14"/>
  <c r="D192" i="14"/>
  <c r="I180" i="14"/>
  <c r="E180" i="14"/>
  <c r="F180" i="14"/>
  <c r="C180" i="14"/>
  <c r="I168" i="14"/>
  <c r="E168" i="14"/>
  <c r="F168" i="14"/>
  <c r="C168" i="14"/>
  <c r="D168" i="14"/>
  <c r="I156" i="14"/>
  <c r="E156" i="14"/>
  <c r="D156" i="14"/>
  <c r="C156" i="14"/>
  <c r="F156" i="14"/>
  <c r="I144" i="14"/>
  <c r="E144" i="14"/>
  <c r="F144" i="14"/>
  <c r="C144" i="14"/>
  <c r="D144" i="14"/>
  <c r="I132" i="14"/>
  <c r="E132" i="14"/>
  <c r="C132" i="14"/>
  <c r="F132" i="14"/>
  <c r="I120" i="14"/>
  <c r="E120" i="14"/>
  <c r="D120" i="14"/>
  <c r="C120" i="14"/>
  <c r="I108" i="14"/>
  <c r="E108" i="14"/>
  <c r="C108" i="14"/>
  <c r="F108" i="14"/>
  <c r="D108" i="14"/>
  <c r="I96" i="14"/>
  <c r="E96" i="14"/>
  <c r="D96" i="14"/>
  <c r="C96" i="14"/>
  <c r="I84" i="14"/>
  <c r="E84" i="14"/>
  <c r="F84" i="14"/>
  <c r="C84" i="14"/>
  <c r="D84" i="14"/>
  <c r="I72" i="14"/>
  <c r="E72" i="14"/>
  <c r="D72" i="14"/>
  <c r="C72" i="14"/>
  <c r="F72" i="14"/>
  <c r="I60" i="14"/>
  <c r="D60" i="14"/>
  <c r="C60" i="14"/>
  <c r="I48" i="14"/>
  <c r="E48" i="14"/>
  <c r="C48" i="14"/>
  <c r="F48" i="14"/>
  <c r="D48" i="14"/>
  <c r="I36" i="14"/>
  <c r="E36" i="14"/>
  <c r="F36" i="14"/>
  <c r="B36" i="14"/>
  <c r="C36" i="14"/>
  <c r="I24" i="14"/>
  <c r="E24" i="14"/>
  <c r="B24" i="14"/>
  <c r="F24" i="14"/>
  <c r="C24" i="14"/>
  <c r="D24" i="14"/>
  <c r="I12" i="14"/>
  <c r="E12" i="14"/>
  <c r="B12" i="14"/>
  <c r="D12" i="14"/>
  <c r="C12" i="14"/>
  <c r="F12" i="14"/>
  <c r="B252" i="14"/>
  <c r="B210" i="14"/>
  <c r="B195" i="14"/>
  <c r="B180" i="14"/>
  <c r="B138" i="14"/>
  <c r="B123" i="14"/>
  <c r="B108" i="14"/>
  <c r="B27" i="14"/>
  <c r="D258" i="14"/>
  <c r="D160" i="14"/>
  <c r="D36" i="14"/>
  <c r="F135" i="14"/>
  <c r="H135" i="14" s="1"/>
  <c r="F232" i="14"/>
  <c r="I232" i="14"/>
  <c r="E232" i="14"/>
  <c r="D232" i="14"/>
  <c r="C232" i="14"/>
  <c r="I263" i="14"/>
  <c r="F263" i="14"/>
  <c r="C263" i="14"/>
  <c r="D263" i="14"/>
  <c r="E263" i="14"/>
  <c r="I251" i="14"/>
  <c r="F251" i="14"/>
  <c r="E251" i="14"/>
  <c r="C251" i="14"/>
  <c r="D251" i="14"/>
  <c r="I239" i="14"/>
  <c r="F239" i="14"/>
  <c r="C239" i="14"/>
  <c r="E239" i="14"/>
  <c r="D239" i="14"/>
  <c r="I227" i="14"/>
  <c r="F227" i="14"/>
  <c r="E227" i="14"/>
  <c r="C227" i="14"/>
  <c r="D227" i="14"/>
  <c r="I215" i="14"/>
  <c r="F215" i="14"/>
  <c r="D215" i="14"/>
  <c r="C215" i="14"/>
  <c r="E215" i="14"/>
  <c r="I203" i="14"/>
  <c r="F203" i="14"/>
  <c r="D203" i="14"/>
  <c r="C203" i="14"/>
  <c r="E203" i="14"/>
  <c r="I191" i="14"/>
  <c r="F191" i="14"/>
  <c r="C191" i="14"/>
  <c r="D191" i="14"/>
  <c r="I179" i="14"/>
  <c r="F179" i="14"/>
  <c r="D179" i="14"/>
  <c r="C179" i="14"/>
  <c r="E179" i="14"/>
  <c r="I167" i="14"/>
  <c r="F167" i="14"/>
  <c r="E167" i="14"/>
  <c r="C167" i="14"/>
  <c r="D167" i="14"/>
  <c r="I155" i="14"/>
  <c r="F155" i="14"/>
  <c r="D155" i="14"/>
  <c r="C155" i="14"/>
  <c r="E155" i="14"/>
  <c r="I143" i="14"/>
  <c r="F143" i="14"/>
  <c r="C143" i="14"/>
  <c r="D143" i="14"/>
  <c r="I131" i="14"/>
  <c r="F131" i="14"/>
  <c r="E131" i="14"/>
  <c r="C131" i="14"/>
  <c r="D131" i="14"/>
  <c r="I119" i="14"/>
  <c r="F119" i="14"/>
  <c r="C119" i="14"/>
  <c r="E119" i="14"/>
  <c r="I107" i="14"/>
  <c r="F107" i="14"/>
  <c r="E107" i="14"/>
  <c r="C107" i="14"/>
  <c r="D107" i="14"/>
  <c r="I95" i="14"/>
  <c r="F95" i="14"/>
  <c r="D95" i="14"/>
  <c r="C95" i="14"/>
  <c r="E95" i="14"/>
  <c r="I83" i="14"/>
  <c r="F83" i="14"/>
  <c r="E83" i="14"/>
  <c r="C83" i="14"/>
  <c r="D83" i="14"/>
  <c r="I71" i="14"/>
  <c r="F71" i="14"/>
  <c r="C71" i="14"/>
  <c r="E71" i="14"/>
  <c r="I59" i="14"/>
  <c r="D59" i="14"/>
  <c r="C59" i="14"/>
  <c r="E59" i="14"/>
  <c r="I47" i="14"/>
  <c r="F47" i="14"/>
  <c r="C47" i="14"/>
  <c r="D47" i="14"/>
  <c r="I35" i="14"/>
  <c r="F35" i="14"/>
  <c r="D35" i="14"/>
  <c r="C35" i="14"/>
  <c r="E35" i="14"/>
  <c r="I23" i="14"/>
  <c r="F23" i="14"/>
  <c r="E23" i="14"/>
  <c r="C23" i="14"/>
  <c r="D23" i="14"/>
  <c r="H23" i="14" s="1"/>
  <c r="I11" i="14"/>
  <c r="F11" i="14"/>
  <c r="D11" i="14"/>
  <c r="C11" i="14"/>
  <c r="E11" i="14"/>
  <c r="B251" i="14"/>
  <c r="B194" i="14"/>
  <c r="B179" i="14"/>
  <c r="B122" i="14"/>
  <c r="B107" i="14"/>
  <c r="B75" i="14"/>
  <c r="B23" i="14"/>
  <c r="D254" i="14"/>
  <c r="E163" i="14"/>
  <c r="F196" i="14"/>
  <c r="I196" i="14"/>
  <c r="D196" i="14"/>
  <c r="E196" i="14"/>
  <c r="C196" i="14"/>
  <c r="F136" i="14"/>
  <c r="I136" i="14"/>
  <c r="D136" i="14"/>
  <c r="E136" i="14"/>
  <c r="C136" i="14"/>
  <c r="F52" i="14"/>
  <c r="I52" i="14"/>
  <c r="D52" i="14"/>
  <c r="B52" i="14"/>
  <c r="C52" i="14"/>
  <c r="I262" i="14"/>
  <c r="F262" i="14"/>
  <c r="D262" i="14"/>
  <c r="E262" i="14"/>
  <c r="I250" i="14"/>
  <c r="F250" i="14"/>
  <c r="E250" i="14"/>
  <c r="D250" i="14"/>
  <c r="I238" i="14"/>
  <c r="F238" i="14"/>
  <c r="E238" i="14"/>
  <c r="D238" i="14"/>
  <c r="I226" i="14"/>
  <c r="F226" i="14"/>
  <c r="D226" i="14"/>
  <c r="I214" i="14"/>
  <c r="F214" i="14"/>
  <c r="E214" i="14"/>
  <c r="I202" i="14"/>
  <c r="F202" i="14"/>
  <c r="E202" i="14"/>
  <c r="I190" i="14"/>
  <c r="F190" i="14"/>
  <c r="E190" i="14"/>
  <c r="D190" i="14"/>
  <c r="I178" i="14"/>
  <c r="F178" i="14"/>
  <c r="D178" i="14"/>
  <c r="E178" i="14"/>
  <c r="I166" i="14"/>
  <c r="F166" i="14"/>
  <c r="E166" i="14"/>
  <c r="D166" i="14"/>
  <c r="I154" i="14"/>
  <c r="F154" i="14"/>
  <c r="E154" i="14"/>
  <c r="I142" i="14"/>
  <c r="F142" i="14"/>
  <c r="D142" i="14"/>
  <c r="E142" i="14"/>
  <c r="I130" i="14"/>
  <c r="F130" i="14"/>
  <c r="D130" i="14"/>
  <c r="I118" i="14"/>
  <c r="F118" i="14"/>
  <c r="D118" i="14"/>
  <c r="E118" i="14"/>
  <c r="I106" i="14"/>
  <c r="F106" i="14"/>
  <c r="E106" i="14"/>
  <c r="D106" i="14"/>
  <c r="I94" i="14"/>
  <c r="F94" i="14"/>
  <c r="D94" i="14"/>
  <c r="E94" i="14"/>
  <c r="G94" i="14" s="1"/>
  <c r="I82" i="14"/>
  <c r="F82" i="14"/>
  <c r="D82" i="14"/>
  <c r="B82" i="14"/>
  <c r="I70" i="14"/>
  <c r="F70" i="14"/>
  <c r="E70" i="14"/>
  <c r="D70" i="14"/>
  <c r="B70" i="14"/>
  <c r="I58" i="14"/>
  <c r="E58" i="14"/>
  <c r="B58" i="14"/>
  <c r="I46" i="14"/>
  <c r="F46" i="14"/>
  <c r="E46" i="14"/>
  <c r="D46" i="14"/>
  <c r="B46" i="14"/>
  <c r="I34" i="14"/>
  <c r="F34" i="14"/>
  <c r="D34" i="14"/>
  <c r="E34" i="14"/>
  <c r="B34" i="14"/>
  <c r="I22" i="14"/>
  <c r="F22" i="14"/>
  <c r="E22" i="14"/>
  <c r="D22" i="14"/>
  <c r="B22" i="14"/>
  <c r="I10" i="14"/>
  <c r="F10" i="14"/>
  <c r="E10" i="14"/>
  <c r="B10" i="14"/>
  <c r="B264" i="14"/>
  <c r="B250" i="14"/>
  <c r="B207" i="14"/>
  <c r="B192" i="14"/>
  <c r="B178" i="14"/>
  <c r="B150" i="14"/>
  <c r="B135" i="14"/>
  <c r="B120" i="14"/>
  <c r="B106" i="14"/>
  <c r="B74" i="14"/>
  <c r="B54" i="14"/>
  <c r="B15" i="14"/>
  <c r="C202" i="14"/>
  <c r="C130" i="14"/>
  <c r="C58" i="14"/>
  <c r="D246" i="14"/>
  <c r="D16" i="14"/>
  <c r="F96" i="14"/>
  <c r="I261" i="14"/>
  <c r="E261" i="14"/>
  <c r="F261" i="14"/>
  <c r="C261" i="14"/>
  <c r="D261" i="14"/>
  <c r="I249" i="14"/>
  <c r="E249" i="14"/>
  <c r="C249" i="14"/>
  <c r="F249" i="14"/>
  <c r="D249" i="14"/>
  <c r="I237" i="14"/>
  <c r="C237" i="14"/>
  <c r="D237" i="14"/>
  <c r="F237" i="14"/>
  <c r="I225" i="14"/>
  <c r="E225" i="14"/>
  <c r="D225" i="14"/>
  <c r="C225" i="14"/>
  <c r="F225" i="14"/>
  <c r="I213" i="14"/>
  <c r="D213" i="14"/>
  <c r="C213" i="14"/>
  <c r="F213" i="14"/>
  <c r="I201" i="14"/>
  <c r="E201" i="14"/>
  <c r="D201" i="14"/>
  <c r="F201" i="14"/>
  <c r="C201" i="14"/>
  <c r="I189" i="14"/>
  <c r="E189" i="14"/>
  <c r="D189" i="14"/>
  <c r="C189" i="14"/>
  <c r="F189" i="14"/>
  <c r="I177" i="14"/>
  <c r="E177" i="14"/>
  <c r="D177" i="14"/>
  <c r="C177" i="14"/>
  <c r="I165" i="14"/>
  <c r="E165" i="14"/>
  <c r="D165" i="14"/>
  <c r="C165" i="14"/>
  <c r="F165" i="14"/>
  <c r="I153" i="14"/>
  <c r="E153" i="14"/>
  <c r="D153" i="14"/>
  <c r="C153" i="14"/>
  <c r="F153" i="14"/>
  <c r="H153" i="14" s="1"/>
  <c r="I141" i="14"/>
  <c r="E141" i="14"/>
  <c r="D141" i="14"/>
  <c r="F141" i="14"/>
  <c r="C141" i="14"/>
  <c r="I129" i="14"/>
  <c r="E129" i="14"/>
  <c r="D129" i="14"/>
  <c r="C129" i="14"/>
  <c r="F129" i="14"/>
  <c r="I117" i="14"/>
  <c r="E117" i="14"/>
  <c r="D117" i="14"/>
  <c r="F117" i="14"/>
  <c r="C117" i="14"/>
  <c r="I105" i="14"/>
  <c r="E105" i="14"/>
  <c r="D105" i="14"/>
  <c r="C105" i="14"/>
  <c r="F105" i="14"/>
  <c r="I93" i="14"/>
  <c r="E93" i="14"/>
  <c r="D93" i="14"/>
  <c r="C93" i="14"/>
  <c r="F93" i="14"/>
  <c r="I81" i="14"/>
  <c r="E81" i="14"/>
  <c r="D81" i="14"/>
  <c r="C81" i="14"/>
  <c r="F81" i="14"/>
  <c r="B81" i="14"/>
  <c r="I69" i="14"/>
  <c r="E69" i="14"/>
  <c r="D69" i="14"/>
  <c r="C69" i="14"/>
  <c r="F69" i="14"/>
  <c r="B69" i="14"/>
  <c r="I57" i="14"/>
  <c r="E57" i="14"/>
  <c r="D57" i="14"/>
  <c r="F57" i="14"/>
  <c r="C57" i="14"/>
  <c r="B57" i="14"/>
  <c r="I45" i="14"/>
  <c r="E45" i="14"/>
  <c r="D45" i="14"/>
  <c r="C45" i="14"/>
  <c r="F45" i="14"/>
  <c r="B45" i="14"/>
  <c r="I33" i="14"/>
  <c r="E33" i="14"/>
  <c r="D33" i="14"/>
  <c r="C33" i="14"/>
  <c r="B33" i="14"/>
  <c r="I21" i="14"/>
  <c r="E21" i="14"/>
  <c r="D21" i="14"/>
  <c r="C21" i="14"/>
  <c r="F21" i="14"/>
  <c r="B21" i="14"/>
  <c r="I9" i="14"/>
  <c r="E9" i="14"/>
  <c r="F9" i="14"/>
  <c r="D9" i="14"/>
  <c r="C9" i="14"/>
  <c r="B9" i="14"/>
  <c r="B263" i="14"/>
  <c r="B249" i="14"/>
  <c r="B220" i="14"/>
  <c r="B206" i="14"/>
  <c r="B191" i="14"/>
  <c r="B177" i="14"/>
  <c r="B148" i="14"/>
  <c r="B134" i="14"/>
  <c r="B119" i="14"/>
  <c r="B105" i="14"/>
  <c r="B72" i="14"/>
  <c r="B51" i="14"/>
  <c r="B11" i="14"/>
  <c r="C54" i="14"/>
  <c r="D241" i="14"/>
  <c r="D132" i="14"/>
  <c r="D10" i="14"/>
  <c r="E143" i="14"/>
  <c r="F244" i="14"/>
  <c r="I244" i="14"/>
  <c r="D244" i="14"/>
  <c r="E244" i="14"/>
  <c r="C244" i="14"/>
  <c r="F172" i="14"/>
  <c r="I172" i="14"/>
  <c r="C172" i="14"/>
  <c r="D172" i="14"/>
  <c r="F100" i="14"/>
  <c r="I100" i="14"/>
  <c r="D100" i="14"/>
  <c r="E100" i="14"/>
  <c r="C100" i="14"/>
  <c r="I260" i="14"/>
  <c r="E260" i="14"/>
  <c r="F260" i="14"/>
  <c r="C260" i="14"/>
  <c r="D260" i="14"/>
  <c r="I248" i="14"/>
  <c r="E248" i="14"/>
  <c r="F248" i="14"/>
  <c r="C248" i="14"/>
  <c r="D248" i="14"/>
  <c r="I236" i="14"/>
  <c r="E236" i="14"/>
  <c r="F236" i="14"/>
  <c r="C236" i="14"/>
  <c r="D236" i="14"/>
  <c r="I224" i="14"/>
  <c r="E224" i="14"/>
  <c r="F224" i="14"/>
  <c r="C224" i="14"/>
  <c r="D224" i="14"/>
  <c r="I212" i="14"/>
  <c r="E212" i="14"/>
  <c r="F212" i="14"/>
  <c r="D212" i="14"/>
  <c r="C212" i="14"/>
  <c r="I200" i="14"/>
  <c r="E200" i="14"/>
  <c r="D200" i="14"/>
  <c r="C200" i="14"/>
  <c r="I188" i="14"/>
  <c r="E188" i="14"/>
  <c r="F188" i="14"/>
  <c r="D188" i="14"/>
  <c r="C188" i="14"/>
  <c r="I176" i="14"/>
  <c r="E176" i="14"/>
  <c r="F176" i="14"/>
  <c r="D176" i="14"/>
  <c r="C176" i="14"/>
  <c r="I164" i="14"/>
  <c r="E164" i="14"/>
  <c r="F164" i="14"/>
  <c r="D164" i="14"/>
  <c r="C164" i="14"/>
  <c r="I152" i="14"/>
  <c r="E152" i="14"/>
  <c r="F152" i="14"/>
  <c r="D152" i="14"/>
  <c r="C152" i="14"/>
  <c r="I140" i="14"/>
  <c r="E140" i="14"/>
  <c r="F140" i="14"/>
  <c r="D140" i="14"/>
  <c r="C140" i="14"/>
  <c r="I128" i="14"/>
  <c r="E128" i="14"/>
  <c r="F128" i="14"/>
  <c r="D128" i="14"/>
  <c r="C128" i="14"/>
  <c r="I116" i="14"/>
  <c r="E116" i="14"/>
  <c r="F116" i="14"/>
  <c r="D116" i="14"/>
  <c r="C116" i="14"/>
  <c r="I104" i="14"/>
  <c r="E104" i="14"/>
  <c r="F104" i="14"/>
  <c r="D104" i="14"/>
  <c r="C104" i="14"/>
  <c r="I92" i="14"/>
  <c r="E92" i="14"/>
  <c r="F92" i="14"/>
  <c r="D92" i="14"/>
  <c r="C92" i="14"/>
  <c r="I80" i="14"/>
  <c r="E80" i="14"/>
  <c r="F80" i="14"/>
  <c r="D80" i="14"/>
  <c r="C80" i="14"/>
  <c r="I68" i="14"/>
  <c r="E68" i="14"/>
  <c r="D68" i="14"/>
  <c r="C68" i="14"/>
  <c r="I56" i="14"/>
  <c r="E56" i="14"/>
  <c r="F56" i="14"/>
  <c r="D56" i="14"/>
  <c r="C56" i="14"/>
  <c r="I44" i="14"/>
  <c r="E44" i="14"/>
  <c r="F44" i="14"/>
  <c r="D44" i="14"/>
  <c r="C44" i="14"/>
  <c r="I32" i="14"/>
  <c r="E32" i="14"/>
  <c r="F32" i="14"/>
  <c r="D32" i="14"/>
  <c r="C32" i="14"/>
  <c r="B32" i="14"/>
  <c r="I20" i="14"/>
  <c r="E20" i="14"/>
  <c r="F20" i="14"/>
  <c r="D20" i="14"/>
  <c r="C20" i="14"/>
  <c r="B20" i="14"/>
  <c r="I8" i="14"/>
  <c r="E8" i="14"/>
  <c r="F8" i="14"/>
  <c r="D8" i="14"/>
  <c r="C8" i="14"/>
  <c r="B8" i="14"/>
  <c r="B262" i="14"/>
  <c r="B248" i="14"/>
  <c r="B219" i="14"/>
  <c r="B204" i="14"/>
  <c r="B190" i="14"/>
  <c r="B176" i="14"/>
  <c r="B147" i="14"/>
  <c r="B132" i="14"/>
  <c r="B118" i="14"/>
  <c r="B104" i="14"/>
  <c r="B71" i="14"/>
  <c r="B50" i="14"/>
  <c r="C262" i="14"/>
  <c r="C190" i="14"/>
  <c r="C118" i="14"/>
  <c r="C46" i="14"/>
  <c r="D233" i="14"/>
  <c r="D119" i="14"/>
  <c r="E253" i="14"/>
  <c r="E130" i="14"/>
  <c r="C259" i="14"/>
  <c r="D259" i="14"/>
  <c r="E259" i="14"/>
  <c r="I259" i="14"/>
  <c r="E247" i="14"/>
  <c r="C247" i="14"/>
  <c r="F247" i="14"/>
  <c r="D247" i="14"/>
  <c r="I247" i="14"/>
  <c r="C235" i="14"/>
  <c r="D235" i="14"/>
  <c r="I235" i="14"/>
  <c r="F235" i="14"/>
  <c r="C223" i="14"/>
  <c r="F223" i="14"/>
  <c r="I223" i="14"/>
  <c r="D223" i="14"/>
  <c r="E223" i="14"/>
  <c r="C211" i="14"/>
  <c r="I211" i="14"/>
  <c r="F211" i="14"/>
  <c r="D211" i="14"/>
  <c r="F199" i="14"/>
  <c r="C199" i="14"/>
  <c r="D199" i="14"/>
  <c r="I199" i="14"/>
  <c r="E199" i="14"/>
  <c r="C187" i="14"/>
  <c r="E187" i="14"/>
  <c r="I187" i="14"/>
  <c r="F187" i="14"/>
  <c r="D187" i="14"/>
  <c r="D175" i="14"/>
  <c r="C175" i="14"/>
  <c r="I175" i="14"/>
  <c r="E175" i="14"/>
  <c r="F175" i="14"/>
  <c r="I163" i="14"/>
  <c r="C163" i="14"/>
  <c r="F163" i="14"/>
  <c r="D163" i="14"/>
  <c r="C151" i="14"/>
  <c r="E151" i="14"/>
  <c r="F151" i="14"/>
  <c r="D151" i="14"/>
  <c r="C139" i="14"/>
  <c r="F139" i="14"/>
  <c r="E139" i="14"/>
  <c r="I139" i="14"/>
  <c r="C127" i="14"/>
  <c r="E127" i="14"/>
  <c r="F127" i="14"/>
  <c r="D127" i="14"/>
  <c r="I127" i="14"/>
  <c r="C115" i="14"/>
  <c r="D115" i="14"/>
  <c r="E115" i="14"/>
  <c r="I115" i="14"/>
  <c r="E103" i="14"/>
  <c r="C103" i="14"/>
  <c r="F103" i="14"/>
  <c r="D103" i="14"/>
  <c r="I103" i="14"/>
  <c r="C91" i="14"/>
  <c r="E91" i="14"/>
  <c r="I91" i="14"/>
  <c r="F91" i="14"/>
  <c r="C79" i="14"/>
  <c r="F79" i="14"/>
  <c r="D79" i="14"/>
  <c r="I79" i="14"/>
  <c r="E79" i="14"/>
  <c r="C67" i="14"/>
  <c r="I67" i="14"/>
  <c r="D67" i="14"/>
  <c r="F55" i="14"/>
  <c r="C55" i="14"/>
  <c r="D55" i="14"/>
  <c r="I55" i="14"/>
  <c r="E55" i="14"/>
  <c r="C43" i="14"/>
  <c r="E43" i="14"/>
  <c r="I43" i="14"/>
  <c r="F43" i="14"/>
  <c r="D43" i="14"/>
  <c r="D31" i="14"/>
  <c r="C31" i="14"/>
  <c r="I31" i="14"/>
  <c r="B31" i="14"/>
  <c r="F31" i="14"/>
  <c r="I19" i="14"/>
  <c r="C19" i="14"/>
  <c r="F19" i="14"/>
  <c r="D19" i="14"/>
  <c r="B19" i="14"/>
  <c r="I7" i="14"/>
  <c r="C7" i="14"/>
  <c r="E7" i="14"/>
  <c r="B7" i="14"/>
  <c r="B261" i="14"/>
  <c r="B247" i="14"/>
  <c r="B232" i="14"/>
  <c r="B218" i="14"/>
  <c r="B203" i="14"/>
  <c r="B189" i="14"/>
  <c r="B175" i="14"/>
  <c r="B146" i="14"/>
  <c r="B131" i="14"/>
  <c r="B117" i="14"/>
  <c r="B103" i="14"/>
  <c r="B88" i="14"/>
  <c r="B68" i="14"/>
  <c r="B48" i="14"/>
  <c r="D228" i="14"/>
  <c r="E246" i="14"/>
  <c r="F259" i="14"/>
  <c r="F33" i="14"/>
  <c r="F256" i="14"/>
  <c r="I256" i="14"/>
  <c r="D256" i="14"/>
  <c r="E256" i="14"/>
  <c r="C256" i="14"/>
  <c r="F184" i="14"/>
  <c r="I184" i="14"/>
  <c r="D184" i="14"/>
  <c r="C184" i="14"/>
  <c r="E184" i="14"/>
  <c r="F124" i="14"/>
  <c r="I124" i="14"/>
  <c r="D124" i="14"/>
  <c r="C124" i="14"/>
  <c r="I64" i="14"/>
  <c r="E64" i="14"/>
  <c r="B64" i="14"/>
  <c r="D64" i="14"/>
  <c r="C64" i="14"/>
  <c r="I234" i="14"/>
  <c r="D234" i="14"/>
  <c r="F234" i="14"/>
  <c r="I222" i="14"/>
  <c r="F222" i="14"/>
  <c r="D222" i="14"/>
  <c r="E222" i="14"/>
  <c r="I210" i="14"/>
  <c r="E210" i="14"/>
  <c r="F210" i="14"/>
  <c r="D210" i="14"/>
  <c r="D198" i="14"/>
  <c r="I198" i="14"/>
  <c r="E198" i="14"/>
  <c r="D186" i="14"/>
  <c r="I186" i="14"/>
  <c r="E186" i="14"/>
  <c r="F186" i="14"/>
  <c r="D174" i="14"/>
  <c r="I174" i="14"/>
  <c r="E174" i="14"/>
  <c r="F174" i="14"/>
  <c r="D162" i="14"/>
  <c r="I162" i="14"/>
  <c r="F162" i="14"/>
  <c r="E162" i="14"/>
  <c r="D150" i="14"/>
  <c r="I150" i="14"/>
  <c r="F150" i="14"/>
  <c r="D138" i="14"/>
  <c r="I138" i="14"/>
  <c r="F138" i="14"/>
  <c r="E138" i="14"/>
  <c r="D126" i="14"/>
  <c r="I126" i="14"/>
  <c r="E126" i="14"/>
  <c r="F126" i="14"/>
  <c r="D114" i="14"/>
  <c r="I114" i="14"/>
  <c r="E114" i="14"/>
  <c r="F114" i="14"/>
  <c r="D102" i="14"/>
  <c r="I102" i="14"/>
  <c r="F102" i="14"/>
  <c r="D90" i="14"/>
  <c r="I90" i="14"/>
  <c r="E90" i="14"/>
  <c r="F90" i="14"/>
  <c r="D78" i="14"/>
  <c r="I78" i="14"/>
  <c r="F78" i="14"/>
  <c r="E78" i="14"/>
  <c r="D66" i="14"/>
  <c r="I66" i="14"/>
  <c r="E66" i="14"/>
  <c r="D54" i="14"/>
  <c r="I54" i="14"/>
  <c r="E54" i="14"/>
  <c r="D42" i="14"/>
  <c r="I42" i="14"/>
  <c r="E42" i="14"/>
  <c r="F42" i="14"/>
  <c r="D30" i="14"/>
  <c r="I30" i="14"/>
  <c r="B30" i="14"/>
  <c r="F30" i="14"/>
  <c r="D18" i="14"/>
  <c r="I18" i="14"/>
  <c r="F18" i="14"/>
  <c r="B18" i="14"/>
  <c r="E18" i="14"/>
  <c r="B260" i="14"/>
  <c r="B246" i="14"/>
  <c r="B231" i="14"/>
  <c r="B216" i="14"/>
  <c r="B202" i="14"/>
  <c r="B188" i="14"/>
  <c r="B174" i="14"/>
  <c r="B159" i="14"/>
  <c r="B144" i="14"/>
  <c r="B130" i="14"/>
  <c r="B116" i="14"/>
  <c r="B102" i="14"/>
  <c r="B87" i="14"/>
  <c r="B67" i="14"/>
  <c r="B47" i="14"/>
  <c r="C250" i="14"/>
  <c r="C178" i="14"/>
  <c r="C106" i="14"/>
  <c r="C34" i="14"/>
  <c r="D218" i="14"/>
  <c r="D97" i="14"/>
  <c r="E109" i="14"/>
  <c r="F246" i="14"/>
  <c r="F13" i="14"/>
  <c r="F208" i="14"/>
  <c r="I208" i="14"/>
  <c r="E208" i="14"/>
  <c r="D208" i="14"/>
  <c r="C208" i="14"/>
  <c r="F160" i="14"/>
  <c r="I160" i="14"/>
  <c r="E160" i="14"/>
  <c r="C160" i="14"/>
  <c r="F112" i="14"/>
  <c r="I112" i="14"/>
  <c r="C112" i="14"/>
  <c r="F76" i="14"/>
  <c r="I76" i="14"/>
  <c r="D76" i="14"/>
  <c r="B76" i="14"/>
  <c r="E76" i="14"/>
  <c r="C76" i="14"/>
  <c r="F28" i="14"/>
  <c r="I28" i="14"/>
  <c r="B28" i="14"/>
  <c r="C28" i="14"/>
  <c r="D28" i="14"/>
  <c r="I258" i="14"/>
  <c r="E258" i="14"/>
  <c r="F258" i="14"/>
  <c r="F257" i="14"/>
  <c r="I257" i="14"/>
  <c r="D257" i="14"/>
  <c r="E257" i="14"/>
  <c r="B257" i="14"/>
  <c r="C257" i="14"/>
  <c r="F245" i="14"/>
  <c r="I245" i="14"/>
  <c r="D245" i="14"/>
  <c r="B245" i="14"/>
  <c r="E245" i="14"/>
  <c r="C245" i="14"/>
  <c r="F233" i="14"/>
  <c r="I233" i="14"/>
  <c r="B233" i="14"/>
  <c r="C233" i="14"/>
  <c r="F221" i="14"/>
  <c r="I221" i="14"/>
  <c r="D221" i="14"/>
  <c r="B221" i="14"/>
  <c r="E221" i="14"/>
  <c r="C221" i="14"/>
  <c r="F209" i="14"/>
  <c r="I209" i="14"/>
  <c r="E209" i="14"/>
  <c r="B209" i="14"/>
  <c r="D209" i="14"/>
  <c r="C209" i="14"/>
  <c r="I197" i="14"/>
  <c r="D197" i="14"/>
  <c r="B197" i="14"/>
  <c r="E197" i="14"/>
  <c r="C197" i="14"/>
  <c r="F185" i="14"/>
  <c r="I185" i="14"/>
  <c r="B185" i="14"/>
  <c r="D185" i="14"/>
  <c r="C185" i="14"/>
  <c r="F173" i="14"/>
  <c r="I173" i="14"/>
  <c r="E173" i="14"/>
  <c r="B173" i="14"/>
  <c r="C173" i="14"/>
  <c r="F161" i="14"/>
  <c r="I161" i="14"/>
  <c r="D161" i="14"/>
  <c r="B161" i="14"/>
  <c r="E161" i="14"/>
  <c r="C161" i="14"/>
  <c r="F149" i="14"/>
  <c r="I149" i="14"/>
  <c r="E149" i="14"/>
  <c r="B149" i="14"/>
  <c r="D149" i="14"/>
  <c r="C149" i="14"/>
  <c r="F137" i="14"/>
  <c r="I137" i="14"/>
  <c r="D137" i="14"/>
  <c r="B137" i="14"/>
  <c r="E137" i="14"/>
  <c r="C137" i="14"/>
  <c r="F125" i="14"/>
  <c r="I125" i="14"/>
  <c r="E125" i="14"/>
  <c r="B125" i="14"/>
  <c r="D125" i="14"/>
  <c r="C125" i="14"/>
  <c r="F113" i="14"/>
  <c r="I113" i="14"/>
  <c r="D113" i="14"/>
  <c r="B113" i="14"/>
  <c r="C113" i="14"/>
  <c r="F101" i="14"/>
  <c r="I101" i="14"/>
  <c r="D101" i="14"/>
  <c r="B101" i="14"/>
  <c r="E101" i="14"/>
  <c r="C101" i="14"/>
  <c r="F89" i="14"/>
  <c r="I89" i="14"/>
  <c r="B89" i="14"/>
  <c r="D89" i="14"/>
  <c r="C89" i="14"/>
  <c r="I77" i="14"/>
  <c r="B77" i="14"/>
  <c r="E77" i="14"/>
  <c r="C77" i="14"/>
  <c r="I65" i="14"/>
  <c r="E65" i="14"/>
  <c r="B65" i="14"/>
  <c r="D65" i="14"/>
  <c r="C65" i="14"/>
  <c r="F53" i="14"/>
  <c r="I53" i="14"/>
  <c r="D53" i="14"/>
  <c r="B53" i="14"/>
  <c r="E53" i="14"/>
  <c r="C53" i="14"/>
  <c r="F41" i="14"/>
  <c r="I41" i="14"/>
  <c r="B41" i="14"/>
  <c r="D41" i="14"/>
  <c r="C41" i="14"/>
  <c r="F29" i="14"/>
  <c r="I29" i="14"/>
  <c r="B29" i="14"/>
  <c r="C29" i="14"/>
  <c r="F17" i="14"/>
  <c r="I17" i="14"/>
  <c r="D17" i="14"/>
  <c r="B17" i="14"/>
  <c r="E17" i="14"/>
  <c r="C17" i="14"/>
  <c r="B259" i="14"/>
  <c r="B244" i="14"/>
  <c r="B230" i="14"/>
  <c r="B215" i="14"/>
  <c r="B201" i="14"/>
  <c r="B187" i="14"/>
  <c r="B172" i="14"/>
  <c r="B158" i="14"/>
  <c r="B143" i="14"/>
  <c r="B129" i="14"/>
  <c r="B115" i="14"/>
  <c r="B100" i="14"/>
  <c r="B86" i="14"/>
  <c r="B66" i="14"/>
  <c r="B44" i="14"/>
  <c r="C246" i="14"/>
  <c r="C174" i="14"/>
  <c r="C102" i="14"/>
  <c r="C30" i="14"/>
  <c r="D214" i="14"/>
  <c r="H214" i="14" s="1"/>
  <c r="D91" i="14"/>
  <c r="E226" i="14"/>
  <c r="E102" i="14"/>
  <c r="F240" i="14"/>
  <c r="I151" i="14"/>
  <c r="G182" i="14"/>
  <c r="G146" i="14"/>
  <c r="G134" i="14"/>
  <c r="G86" i="14"/>
  <c r="G50" i="14"/>
  <c r="H40" i="14"/>
  <c r="H231" i="14"/>
  <c r="H183" i="14"/>
  <c r="H134" i="14"/>
  <c r="H86" i="14"/>
  <c r="H50" i="14"/>
  <c r="H241" i="14"/>
  <c r="H205" i="14"/>
  <c r="H193" i="14"/>
  <c r="H37" i="14"/>
  <c r="G40" i="14"/>
  <c r="G9" i="23" l="1"/>
  <c r="H77" i="15"/>
  <c r="G262" i="15"/>
  <c r="G117" i="15"/>
  <c r="H131" i="15"/>
  <c r="H155" i="15"/>
  <c r="H167" i="15"/>
  <c r="G18" i="15"/>
  <c r="G39" i="15"/>
  <c r="G72" i="15"/>
  <c r="G81" i="15"/>
  <c r="H86" i="15"/>
  <c r="G93" i="15"/>
  <c r="H98" i="15"/>
  <c r="G105" i="15"/>
  <c r="H110" i="15"/>
  <c r="H216" i="15"/>
  <c r="G223" i="15"/>
  <c r="H228" i="15"/>
  <c r="H29" i="15"/>
  <c r="H116" i="15"/>
  <c r="H125" i="15"/>
  <c r="H149" i="15"/>
  <c r="H234" i="15"/>
  <c r="H71" i="15"/>
  <c r="H80" i="15"/>
  <c r="G87" i="15"/>
  <c r="H92" i="15"/>
  <c r="G99" i="15"/>
  <c r="H104" i="15"/>
  <c r="G111" i="15"/>
  <c r="H68" i="15"/>
  <c r="H11" i="15"/>
  <c r="H126" i="15"/>
  <c r="G133" i="15"/>
  <c r="H138" i="15"/>
  <c r="L138" i="15" s="1"/>
  <c r="H150" i="15"/>
  <c r="H162" i="15"/>
  <c r="H174" i="15"/>
  <c r="L174" i="15" s="1"/>
  <c r="G181" i="15"/>
  <c r="H186" i="15"/>
  <c r="G193" i="15"/>
  <c r="G202" i="15"/>
  <c r="H207" i="15"/>
  <c r="H237" i="15"/>
  <c r="G244" i="15"/>
  <c r="H249" i="15"/>
  <c r="G256" i="15"/>
  <c r="H261" i="15"/>
  <c r="G114" i="15"/>
  <c r="H128" i="15"/>
  <c r="H152" i="15"/>
  <c r="G211" i="15"/>
  <c r="H44" i="15"/>
  <c r="H20" i="15"/>
  <c r="H41" i="15"/>
  <c r="G57" i="15"/>
  <c r="G63" i="15"/>
  <c r="H74" i="15"/>
  <c r="H123" i="15"/>
  <c r="H135" i="15"/>
  <c r="H147" i="15"/>
  <c r="H159" i="15"/>
  <c r="L159" i="15" s="1"/>
  <c r="H171" i="15"/>
  <c r="G178" i="15"/>
  <c r="H183" i="15"/>
  <c r="G190" i="15"/>
  <c r="H195" i="15"/>
  <c r="H204" i="15"/>
  <c r="G232" i="15"/>
  <c r="G241" i="15"/>
  <c r="H246" i="15"/>
  <c r="L246" i="15" s="1"/>
  <c r="G253" i="15"/>
  <c r="H258" i="15"/>
  <c r="C265" i="15"/>
  <c r="D265" i="15"/>
  <c r="H8" i="15"/>
  <c r="G15" i="15"/>
  <c r="G27" i="15"/>
  <c r="G36" i="15"/>
  <c r="G48" i="15"/>
  <c r="H65" i="15"/>
  <c r="G69" i="15"/>
  <c r="G78" i="15"/>
  <c r="H83" i="15"/>
  <c r="G90" i="15"/>
  <c r="H95" i="15"/>
  <c r="G102" i="15"/>
  <c r="H107" i="15"/>
  <c r="G199" i="15"/>
  <c r="H213" i="15"/>
  <c r="G220" i="15"/>
  <c r="H225" i="15"/>
  <c r="H32" i="15"/>
  <c r="G12" i="15"/>
  <c r="H17" i="15"/>
  <c r="G24" i="15"/>
  <c r="G33" i="15"/>
  <c r="H38" i="15"/>
  <c r="G45" i="15"/>
  <c r="H50" i="15"/>
  <c r="G54" i="15"/>
  <c r="H132" i="15"/>
  <c r="H144" i="15"/>
  <c r="H156" i="15"/>
  <c r="H168" i="15"/>
  <c r="G175" i="15"/>
  <c r="H180" i="15"/>
  <c r="G187" i="15"/>
  <c r="H192" i="15"/>
  <c r="H201" i="15"/>
  <c r="L201" i="15" s="1"/>
  <c r="G208" i="15"/>
  <c r="G229" i="15"/>
  <c r="G238" i="15"/>
  <c r="H243" i="15"/>
  <c r="G250" i="15"/>
  <c r="H255" i="15"/>
  <c r="H53" i="15"/>
  <c r="G217" i="15"/>
  <c r="H222" i="15"/>
  <c r="G60" i="15"/>
  <c r="G75" i="15"/>
  <c r="H113" i="15"/>
  <c r="H146" i="15"/>
  <c r="H23" i="15"/>
  <c r="G9" i="15"/>
  <c r="H14" i="15"/>
  <c r="G21" i="15"/>
  <c r="H26" i="15"/>
  <c r="H35" i="15"/>
  <c r="G42" i="15"/>
  <c r="H47" i="15"/>
  <c r="H56" i="15"/>
  <c r="H62" i="15"/>
  <c r="G66" i="15"/>
  <c r="H122" i="15"/>
  <c r="H129" i="15"/>
  <c r="G136" i="15"/>
  <c r="H141" i="15"/>
  <c r="H153" i="15"/>
  <c r="L153" i="15" s="1"/>
  <c r="H165" i="15"/>
  <c r="G172" i="15"/>
  <c r="H177" i="15"/>
  <c r="G184" i="15"/>
  <c r="H189" i="15"/>
  <c r="G196" i="15"/>
  <c r="G205" i="15"/>
  <c r="H210" i="15"/>
  <c r="H231" i="15"/>
  <c r="H240" i="15"/>
  <c r="G247" i="15"/>
  <c r="H252" i="15"/>
  <c r="G259" i="15"/>
  <c r="H264" i="15"/>
  <c r="G84" i="15"/>
  <c r="H89" i="15"/>
  <c r="G96" i="15"/>
  <c r="H101" i="15"/>
  <c r="G108" i="15"/>
  <c r="H198" i="15"/>
  <c r="G214" i="15"/>
  <c r="H219" i="15"/>
  <c r="G226" i="15"/>
  <c r="G235" i="15"/>
  <c r="H143" i="14"/>
  <c r="H168" i="14"/>
  <c r="H119" i="14"/>
  <c r="G123" i="15"/>
  <c r="K123" i="15" s="1"/>
  <c r="G126" i="15"/>
  <c r="G129" i="15"/>
  <c r="G132" i="15"/>
  <c r="H134" i="15"/>
  <c r="G135" i="15"/>
  <c r="H137" i="15"/>
  <c r="G138" i="15"/>
  <c r="H140" i="15"/>
  <c r="G141" i="15"/>
  <c r="H143" i="15"/>
  <c r="G144" i="15"/>
  <c r="G147" i="15"/>
  <c r="K147" i="15" s="1"/>
  <c r="G150" i="15"/>
  <c r="K150" i="15" s="1"/>
  <c r="G153" i="15"/>
  <c r="G156" i="15"/>
  <c r="K156" i="15" s="1"/>
  <c r="H158" i="15"/>
  <c r="G159" i="15"/>
  <c r="H161" i="15"/>
  <c r="G162" i="15"/>
  <c r="H164" i="15"/>
  <c r="G165" i="15"/>
  <c r="K165" i="15" s="1"/>
  <c r="G168" i="15"/>
  <c r="K168" i="15" s="1"/>
  <c r="H170" i="15"/>
  <c r="H10" i="14"/>
  <c r="G24" i="14"/>
  <c r="G48" i="14"/>
  <c r="H195" i="14"/>
  <c r="H219" i="14"/>
  <c r="H255" i="14"/>
  <c r="G7" i="15"/>
  <c r="H9" i="15"/>
  <c r="G10" i="15"/>
  <c r="H12" i="15"/>
  <c r="G13" i="15"/>
  <c r="H15" i="15"/>
  <c r="G16" i="15"/>
  <c r="H18" i="15"/>
  <c r="G19" i="15"/>
  <c r="H21" i="15"/>
  <c r="L21" i="15" s="1"/>
  <c r="G22" i="15"/>
  <c r="H24" i="15"/>
  <c r="G25" i="15"/>
  <c r="H27" i="15"/>
  <c r="G28" i="15"/>
  <c r="G31" i="15"/>
  <c r="H33" i="15"/>
  <c r="G34" i="15"/>
  <c r="H36" i="15"/>
  <c r="G37" i="15"/>
  <c r="H39" i="15"/>
  <c r="L39" i="15" s="1"/>
  <c r="G40" i="15"/>
  <c r="H42" i="15"/>
  <c r="L42" i="15" s="1"/>
  <c r="G43" i="15"/>
  <c r="H45" i="15"/>
  <c r="G46" i="15"/>
  <c r="H48" i="15"/>
  <c r="L48" i="15" s="1"/>
  <c r="G49" i="15"/>
  <c r="G52" i="15"/>
  <c r="H54" i="15"/>
  <c r="G55" i="15"/>
  <c r="H57" i="15"/>
  <c r="G58" i="15"/>
  <c r="H60" i="15"/>
  <c r="H63" i="15"/>
  <c r="G64" i="15"/>
  <c r="H66" i="15"/>
  <c r="G67" i="15"/>
  <c r="H69" i="15"/>
  <c r="L69" i="15" s="1"/>
  <c r="G70" i="15"/>
  <c r="H72" i="15"/>
  <c r="L72" i="15" s="1"/>
  <c r="G73" i="15"/>
  <c r="H75" i="15"/>
  <c r="L75" i="15" s="1"/>
  <c r="G76" i="15"/>
  <c r="H78" i="15"/>
  <c r="G79" i="15"/>
  <c r="H81" i="15"/>
  <c r="L81" i="15" s="1"/>
  <c r="G82" i="15"/>
  <c r="H84" i="15"/>
  <c r="G85" i="15"/>
  <c r="H87" i="15"/>
  <c r="G88" i="15"/>
  <c r="H90" i="15"/>
  <c r="G91" i="15"/>
  <c r="H93" i="15"/>
  <c r="L93" i="15" s="1"/>
  <c r="G94" i="15"/>
  <c r="H96" i="15"/>
  <c r="G97" i="15"/>
  <c r="H99" i="15"/>
  <c r="L99" i="15" s="1"/>
  <c r="G100" i="15"/>
  <c r="H102" i="15"/>
  <c r="G103" i="15"/>
  <c r="H105" i="15"/>
  <c r="G106" i="15"/>
  <c r="H108" i="15"/>
  <c r="G109" i="15"/>
  <c r="H111" i="15"/>
  <c r="G112" i="15"/>
  <c r="H114" i="15"/>
  <c r="L114" i="15" s="1"/>
  <c r="G115" i="15"/>
  <c r="H117" i="15"/>
  <c r="L117" i="15" s="1"/>
  <c r="G118" i="15"/>
  <c r="G121" i="15"/>
  <c r="G124" i="15"/>
  <c r="G127" i="15"/>
  <c r="G130" i="15"/>
  <c r="G139" i="15"/>
  <c r="L141" i="15"/>
  <c r="G142" i="15"/>
  <c r="G145" i="15"/>
  <c r="G148" i="15"/>
  <c r="G151" i="15"/>
  <c r="G154" i="15"/>
  <c r="G157" i="15"/>
  <c r="G160" i="15"/>
  <c r="G163" i="15"/>
  <c r="L165" i="15"/>
  <c r="G166" i="15"/>
  <c r="G169" i="15"/>
  <c r="G220" i="14"/>
  <c r="H49" i="14"/>
  <c r="G170" i="14"/>
  <c r="H182" i="14"/>
  <c r="H254" i="14"/>
  <c r="H39" i="14"/>
  <c r="H7" i="15"/>
  <c r="G8" i="15"/>
  <c r="K8" i="15" s="1"/>
  <c r="H10" i="15"/>
  <c r="L10" i="15" s="1"/>
  <c r="G11" i="15"/>
  <c r="K11" i="15" s="1"/>
  <c r="H13" i="15"/>
  <c r="G14" i="15"/>
  <c r="K14" i="15" s="1"/>
  <c r="H16" i="15"/>
  <c r="G17" i="15"/>
  <c r="H19" i="15"/>
  <c r="G20" i="15"/>
  <c r="K20" i="15" s="1"/>
  <c r="H22" i="15"/>
  <c r="L22" i="15" s="1"/>
  <c r="G23" i="15"/>
  <c r="H25" i="15"/>
  <c r="G26" i="15"/>
  <c r="K26" i="15" s="1"/>
  <c r="H28" i="15"/>
  <c r="G29" i="15"/>
  <c r="H31" i="15"/>
  <c r="L31" i="15" s="1"/>
  <c r="G32" i="15"/>
  <c r="K32" i="15" s="1"/>
  <c r="H34" i="15"/>
  <c r="L34" i="15" s="1"/>
  <c r="G35" i="15"/>
  <c r="H37" i="15"/>
  <c r="G38" i="15"/>
  <c r="H40" i="15"/>
  <c r="G41" i="15"/>
  <c r="H43" i="15"/>
  <c r="G44" i="15"/>
  <c r="H46" i="15"/>
  <c r="L46" i="15" s="1"/>
  <c r="G47" i="15"/>
  <c r="H49" i="15"/>
  <c r="L49" i="15" s="1"/>
  <c r="G50" i="15"/>
  <c r="H52" i="15"/>
  <c r="G53" i="15"/>
  <c r="H55" i="15"/>
  <c r="G56" i="15"/>
  <c r="H58" i="15"/>
  <c r="G62" i="15"/>
  <c r="H64" i="15"/>
  <c r="G65" i="15"/>
  <c r="H67" i="15"/>
  <c r="G68" i="15"/>
  <c r="H70" i="15"/>
  <c r="G71" i="15"/>
  <c r="K71" i="15" s="1"/>
  <c r="H73" i="15"/>
  <c r="G74" i="15"/>
  <c r="H76" i="15"/>
  <c r="G77" i="15"/>
  <c r="K77" i="15" s="1"/>
  <c r="H79" i="15"/>
  <c r="G80" i="15"/>
  <c r="K80" i="15" s="1"/>
  <c r="H82" i="15"/>
  <c r="G83" i="15"/>
  <c r="H85" i="15"/>
  <c r="L85" i="15" s="1"/>
  <c r="G86" i="15"/>
  <c r="H88" i="15"/>
  <c r="L88" i="15" s="1"/>
  <c r="G89" i="15"/>
  <c r="K89" i="15" s="1"/>
  <c r="H91" i="15"/>
  <c r="L91" i="15" s="1"/>
  <c r="G92" i="15"/>
  <c r="H94" i="15"/>
  <c r="G95" i="15"/>
  <c r="H97" i="15"/>
  <c r="G98" i="15"/>
  <c r="K98" i="15" s="1"/>
  <c r="H100" i="15"/>
  <c r="G101" i="15"/>
  <c r="H103" i="15"/>
  <c r="L103" i="15" s="1"/>
  <c r="G104" i="15"/>
  <c r="K104" i="15" s="1"/>
  <c r="H106" i="15"/>
  <c r="L106" i="15" s="1"/>
  <c r="G107" i="15"/>
  <c r="H109" i="15"/>
  <c r="L109" i="15" s="1"/>
  <c r="G110" i="15"/>
  <c r="H112" i="15"/>
  <c r="G113" i="15"/>
  <c r="H115" i="15"/>
  <c r="G116" i="15"/>
  <c r="K116" i="15" s="1"/>
  <c r="H118" i="15"/>
  <c r="H121" i="15"/>
  <c r="G122" i="15"/>
  <c r="H124" i="15"/>
  <c r="G125" i="15"/>
  <c r="H127" i="15"/>
  <c r="L127" i="15" s="1"/>
  <c r="G128" i="15"/>
  <c r="H130" i="15"/>
  <c r="G131" i="15"/>
  <c r="K131" i="15" s="1"/>
  <c r="H133" i="15"/>
  <c r="L133" i="15" s="1"/>
  <c r="G134" i="15"/>
  <c r="H136" i="15"/>
  <c r="G137" i="15"/>
  <c r="H139" i="15"/>
  <c r="G140" i="15"/>
  <c r="K140" i="15" s="1"/>
  <c r="H142" i="15"/>
  <c r="G143" i="15"/>
  <c r="H145" i="15"/>
  <c r="L145" i="15" s="1"/>
  <c r="G146" i="15"/>
  <c r="H148" i="15"/>
  <c r="G149" i="15"/>
  <c r="H151" i="15"/>
  <c r="G152" i="15"/>
  <c r="K152" i="15" s="1"/>
  <c r="H154" i="15"/>
  <c r="G155" i="15"/>
  <c r="K155" i="15" s="1"/>
  <c r="H157" i="15"/>
  <c r="G158" i="15"/>
  <c r="H160" i="15"/>
  <c r="G161" i="15"/>
  <c r="H163" i="15"/>
  <c r="L163" i="15" s="1"/>
  <c r="G164" i="15"/>
  <c r="K164" i="15" s="1"/>
  <c r="H166" i="15"/>
  <c r="G171" i="15"/>
  <c r="H173" i="15"/>
  <c r="G174" i="15"/>
  <c r="H176" i="15"/>
  <c r="G177" i="15"/>
  <c r="H179" i="15"/>
  <c r="G180" i="15"/>
  <c r="K180" i="15" s="1"/>
  <c r="H182" i="15"/>
  <c r="G183" i="15"/>
  <c r="H185" i="15"/>
  <c r="G186" i="15"/>
  <c r="K186" i="15" s="1"/>
  <c r="H188" i="15"/>
  <c r="G189" i="15"/>
  <c r="H191" i="15"/>
  <c r="G192" i="15"/>
  <c r="H194" i="15"/>
  <c r="G195" i="15"/>
  <c r="H197" i="15"/>
  <c r="G198" i="15"/>
  <c r="L198" i="15" s="1"/>
  <c r="H200" i="15"/>
  <c r="G201" i="15"/>
  <c r="H203" i="15"/>
  <c r="G204" i="15"/>
  <c r="K204" i="15" s="1"/>
  <c r="H206" i="15"/>
  <c r="G207" i="15"/>
  <c r="H209" i="15"/>
  <c r="G210" i="15"/>
  <c r="H212" i="15"/>
  <c r="G213" i="15"/>
  <c r="H215" i="15"/>
  <c r="G216" i="15"/>
  <c r="K216" i="15" s="1"/>
  <c r="H218" i="15"/>
  <c r="G219" i="15"/>
  <c r="H221" i="15"/>
  <c r="G222" i="15"/>
  <c r="K222" i="15" s="1"/>
  <c r="H224" i="15"/>
  <c r="G225" i="15"/>
  <c r="K225" i="15" s="1"/>
  <c r="H227" i="15"/>
  <c r="G228" i="15"/>
  <c r="H230" i="15"/>
  <c r="G231" i="15"/>
  <c r="H233" i="15"/>
  <c r="G234" i="15"/>
  <c r="H236" i="15"/>
  <c r="G237" i="15"/>
  <c r="K237" i="15" s="1"/>
  <c r="H239" i="15"/>
  <c r="G240" i="15"/>
  <c r="L240" i="15" s="1"/>
  <c r="H242" i="15"/>
  <c r="G243" i="15"/>
  <c r="H245" i="15"/>
  <c r="G246" i="15"/>
  <c r="K246" i="15" s="1"/>
  <c r="H248" i="15"/>
  <c r="G249" i="15"/>
  <c r="H251" i="15"/>
  <c r="G252" i="15"/>
  <c r="K252" i="15" s="1"/>
  <c r="H254" i="15"/>
  <c r="G255" i="15"/>
  <c r="K255" i="15" s="1"/>
  <c r="H257" i="15"/>
  <c r="G258" i="15"/>
  <c r="K258" i="15" s="1"/>
  <c r="H260" i="15"/>
  <c r="G261" i="15"/>
  <c r="K261" i="15" s="1"/>
  <c r="H263" i="15"/>
  <c r="G264" i="15"/>
  <c r="H11" i="25"/>
  <c r="L186" i="15"/>
  <c r="H9" i="23"/>
  <c r="G167" i="15"/>
  <c r="H169" i="15"/>
  <c r="G170" i="15"/>
  <c r="K170" i="15" s="1"/>
  <c r="H172" i="15"/>
  <c r="G173" i="15"/>
  <c r="H175" i="15"/>
  <c r="G176" i="15"/>
  <c r="H178" i="15"/>
  <c r="L178" i="15" s="1"/>
  <c r="G179" i="15"/>
  <c r="H181" i="15"/>
  <c r="G182" i="15"/>
  <c r="H184" i="15"/>
  <c r="L184" i="15" s="1"/>
  <c r="G185" i="15"/>
  <c r="H187" i="15"/>
  <c r="L187" i="15" s="1"/>
  <c r="G188" i="15"/>
  <c r="K188" i="15" s="1"/>
  <c r="H190" i="15"/>
  <c r="G191" i="15"/>
  <c r="H193" i="15"/>
  <c r="G194" i="15"/>
  <c r="H196" i="15"/>
  <c r="G197" i="15"/>
  <c r="H199" i="15"/>
  <c r="G200" i="15"/>
  <c r="H202" i="15"/>
  <c r="G203" i="15"/>
  <c r="H205" i="15"/>
  <c r="G206" i="15"/>
  <c r="K206" i="15" s="1"/>
  <c r="H208" i="15"/>
  <c r="L208" i="15" s="1"/>
  <c r="G209" i="15"/>
  <c r="H211" i="15"/>
  <c r="L211" i="15" s="1"/>
  <c r="G212" i="15"/>
  <c r="H214" i="15"/>
  <c r="G215" i="15"/>
  <c r="H217" i="15"/>
  <c r="G218" i="15"/>
  <c r="H220" i="15"/>
  <c r="L220" i="15" s="1"/>
  <c r="G221" i="15"/>
  <c r="H223" i="15"/>
  <c r="L223" i="15" s="1"/>
  <c r="G224" i="15"/>
  <c r="K224" i="15" s="1"/>
  <c r="H226" i="15"/>
  <c r="L226" i="15" s="1"/>
  <c r="G227" i="15"/>
  <c r="H229" i="15"/>
  <c r="G230" i="15"/>
  <c r="H232" i="15"/>
  <c r="G233" i="15"/>
  <c r="H235" i="15"/>
  <c r="G236" i="15"/>
  <c r="H238" i="15"/>
  <c r="G239" i="15"/>
  <c r="H241" i="15"/>
  <c r="G242" i="15"/>
  <c r="K242" i="15" s="1"/>
  <c r="H244" i="15"/>
  <c r="G245" i="15"/>
  <c r="H247" i="15"/>
  <c r="G248" i="15"/>
  <c r="H250" i="15"/>
  <c r="L250" i="15" s="1"/>
  <c r="G251" i="15"/>
  <c r="H253" i="15"/>
  <c r="L253" i="15" s="1"/>
  <c r="G254" i="15"/>
  <c r="H256" i="15"/>
  <c r="L256" i="15" s="1"/>
  <c r="G257" i="15"/>
  <c r="H259" i="15"/>
  <c r="L259" i="15" s="1"/>
  <c r="G260" i="15"/>
  <c r="K260" i="15" s="1"/>
  <c r="H262" i="15"/>
  <c r="L262" i="15" s="1"/>
  <c r="G263" i="15"/>
  <c r="G7" i="23"/>
  <c r="G12" i="25"/>
  <c r="G11" i="23"/>
  <c r="G15" i="25"/>
  <c r="G14" i="23"/>
  <c r="G20" i="25"/>
  <c r="G17" i="23"/>
  <c r="G24" i="25"/>
  <c r="G20" i="23"/>
  <c r="G27" i="25"/>
  <c r="G23" i="23"/>
  <c r="G31" i="25"/>
  <c r="G26" i="23"/>
  <c r="G38" i="25"/>
  <c r="G32" i="23"/>
  <c r="G42" i="25"/>
  <c r="G35" i="23"/>
  <c r="G45" i="25"/>
  <c r="G38" i="23"/>
  <c r="G49" i="25"/>
  <c r="G41" i="23"/>
  <c r="G52" i="25"/>
  <c r="G44" i="23"/>
  <c r="G56" i="25"/>
  <c r="G47" i="23"/>
  <c r="G54" i="23"/>
  <c r="G67" i="25"/>
  <c r="G60" i="23"/>
  <c r="G73" i="25"/>
  <c r="G81" i="25"/>
  <c r="G69" i="23"/>
  <c r="G84" i="25"/>
  <c r="G72" i="23"/>
  <c r="G75" i="23"/>
  <c r="G91" i="25"/>
  <c r="G78" i="23"/>
  <c r="G95" i="25"/>
  <c r="G83" i="23"/>
  <c r="G103" i="25"/>
  <c r="G87" i="23"/>
  <c r="G106" i="25"/>
  <c r="G90" i="23"/>
  <c r="G109" i="25"/>
  <c r="G93" i="23"/>
  <c r="G113" i="25"/>
  <c r="G101" i="23"/>
  <c r="G121" i="25"/>
  <c r="G104" i="23"/>
  <c r="G124" i="25"/>
  <c r="G107" i="23"/>
  <c r="G128" i="25"/>
  <c r="G110" i="23"/>
  <c r="G113" i="23"/>
  <c r="G135" i="25"/>
  <c r="G117" i="23"/>
  <c r="G123" i="23"/>
  <c r="G148" i="25"/>
  <c r="G126" i="23"/>
  <c r="G151" i="25"/>
  <c r="G129" i="23"/>
  <c r="G154" i="25"/>
  <c r="G132" i="23"/>
  <c r="D265" i="23"/>
  <c r="H6" i="23"/>
  <c r="G9" i="25"/>
  <c r="G10" i="23"/>
  <c r="G14" i="25"/>
  <c r="G13" i="23"/>
  <c r="G18" i="25"/>
  <c r="G16" i="23"/>
  <c r="G23" i="25"/>
  <c r="G19" i="23"/>
  <c r="G26" i="25"/>
  <c r="G22" i="23"/>
  <c r="G30" i="25"/>
  <c r="G25" i="23"/>
  <c r="G33" i="25"/>
  <c r="G31" i="23"/>
  <c r="G41" i="25"/>
  <c r="G34" i="23"/>
  <c r="G44" i="25"/>
  <c r="G37" i="23"/>
  <c r="G48" i="25"/>
  <c r="G40" i="23"/>
  <c r="G51" i="25"/>
  <c r="G43" i="23"/>
  <c r="G55" i="25"/>
  <c r="G46" i="23"/>
  <c r="G58" i="25"/>
  <c r="G63" i="25"/>
  <c r="G66" i="25"/>
  <c r="G56" i="23"/>
  <c r="G62" i="23"/>
  <c r="G68" i="23"/>
  <c r="G83" i="25"/>
  <c r="G71" i="23"/>
  <c r="G77" i="23"/>
  <c r="G94" i="25"/>
  <c r="G80" i="23"/>
  <c r="G100" i="25"/>
  <c r="G86" i="23"/>
  <c r="G105" i="25"/>
  <c r="G89" i="23"/>
  <c r="G108" i="25"/>
  <c r="G92" i="23"/>
  <c r="G112" i="25"/>
  <c r="G97" i="23"/>
  <c r="G119" i="25"/>
  <c r="G103" i="23"/>
  <c r="G123" i="25"/>
  <c r="G106" i="23"/>
  <c r="G127" i="25"/>
  <c r="G109" i="23"/>
  <c r="G134" i="25"/>
  <c r="G115" i="23"/>
  <c r="G139" i="25"/>
  <c r="G143" i="25"/>
  <c r="G147" i="25"/>
  <c r="G125" i="23"/>
  <c r="G150" i="25"/>
  <c r="G128" i="23"/>
  <c r="G153" i="25"/>
  <c r="G131" i="23"/>
  <c r="H8" i="16"/>
  <c r="H25" i="16"/>
  <c r="H29" i="16"/>
  <c r="H57" i="16"/>
  <c r="H10" i="16"/>
  <c r="H14" i="16"/>
  <c r="H22" i="16"/>
  <c r="H26" i="16"/>
  <c r="H28" i="16"/>
  <c r="H56" i="16"/>
  <c r="H13" i="16"/>
  <c r="H9" i="16"/>
  <c r="H21" i="16"/>
  <c r="H27" i="16"/>
  <c r="H30" i="16"/>
  <c r="H54" i="16"/>
  <c r="H148" i="16"/>
  <c r="G8" i="25"/>
  <c r="G8" i="23"/>
  <c r="G13" i="25"/>
  <c r="G12" i="23"/>
  <c r="G17" i="25"/>
  <c r="G15" i="23"/>
  <c r="G21" i="25"/>
  <c r="G18" i="23"/>
  <c r="G25" i="25"/>
  <c r="G21" i="23"/>
  <c r="G28" i="25"/>
  <c r="G24" i="23"/>
  <c r="G32" i="25"/>
  <c r="G27" i="23"/>
  <c r="G40" i="25"/>
  <c r="G33" i="23"/>
  <c r="G43" i="25"/>
  <c r="G36" i="23"/>
  <c r="G46" i="25"/>
  <c r="G39" i="23"/>
  <c r="G50" i="25"/>
  <c r="G42" i="23"/>
  <c r="G54" i="25"/>
  <c r="G45" i="23"/>
  <c r="G57" i="25"/>
  <c r="G48" i="23"/>
  <c r="G52" i="23"/>
  <c r="G65" i="25"/>
  <c r="G55" i="23"/>
  <c r="G71" i="25"/>
  <c r="G82" i="25"/>
  <c r="G70" i="23"/>
  <c r="G85" i="25"/>
  <c r="G89" i="25"/>
  <c r="G93" i="25"/>
  <c r="G79" i="23"/>
  <c r="G99" i="25"/>
  <c r="G84" i="23"/>
  <c r="G104" i="25"/>
  <c r="G88" i="23"/>
  <c r="G107" i="25"/>
  <c r="G91" i="23"/>
  <c r="G110" i="25"/>
  <c r="G96" i="23"/>
  <c r="G118" i="25"/>
  <c r="G102" i="23"/>
  <c r="G122" i="25"/>
  <c r="G105" i="23"/>
  <c r="G125" i="25"/>
  <c r="G108" i="23"/>
  <c r="G129" i="25"/>
  <c r="G133" i="25"/>
  <c r="G114" i="23"/>
  <c r="G138" i="25"/>
  <c r="G118" i="23"/>
  <c r="G158" i="25"/>
  <c r="G135" i="23"/>
  <c r="G161" i="25"/>
  <c r="G138" i="23"/>
  <c r="G165" i="25"/>
  <c r="G141" i="23"/>
  <c r="G169" i="25"/>
  <c r="G144" i="23"/>
  <c r="G172" i="25"/>
  <c r="G147" i="23"/>
  <c r="G177" i="25"/>
  <c r="G151" i="23"/>
  <c r="G180" i="25"/>
  <c r="G154" i="23"/>
  <c r="G183" i="25"/>
  <c r="G157" i="23"/>
  <c r="G187" i="25"/>
  <c r="G160" i="23"/>
  <c r="G191" i="25"/>
  <c r="G163" i="23"/>
  <c r="G197" i="25"/>
  <c r="G168" i="23"/>
  <c r="G200" i="25"/>
  <c r="G171" i="23"/>
  <c r="G204" i="25"/>
  <c r="G174" i="23"/>
  <c r="G208" i="25"/>
  <c r="G178" i="23"/>
  <c r="G213" i="25"/>
  <c r="G181" i="23"/>
  <c r="G218" i="25"/>
  <c r="G185" i="23"/>
  <c r="G226" i="25"/>
  <c r="G195" i="23"/>
  <c r="G198" i="23"/>
  <c r="G236" i="25"/>
  <c r="G201" i="23"/>
  <c r="G239" i="25"/>
  <c r="G205" i="23"/>
  <c r="G244" i="25"/>
  <c r="G208" i="23"/>
  <c r="G211" i="23"/>
  <c r="G252" i="25"/>
  <c r="G214" i="23"/>
  <c r="G256" i="25"/>
  <c r="G217" i="23"/>
  <c r="G259" i="25"/>
  <c r="G220" i="23"/>
  <c r="G263" i="25"/>
  <c r="G223" i="23"/>
  <c r="G266" i="25"/>
  <c r="G226" i="23"/>
  <c r="G229" i="23"/>
  <c r="G273" i="25"/>
  <c r="G278" i="25"/>
  <c r="G282" i="25"/>
  <c r="G240" i="23"/>
  <c r="G286" i="25"/>
  <c r="G243" i="23"/>
  <c r="G289" i="25"/>
  <c r="G246" i="23"/>
  <c r="G293" i="25"/>
  <c r="G249" i="23"/>
  <c r="G296" i="25"/>
  <c r="G252" i="23"/>
  <c r="G299" i="25"/>
  <c r="G257" i="23"/>
  <c r="G306" i="25"/>
  <c r="G260" i="23"/>
  <c r="G309" i="25"/>
  <c r="G263" i="23"/>
  <c r="G8" i="16"/>
  <c r="G9" i="16"/>
  <c r="G13" i="16"/>
  <c r="G21" i="16"/>
  <c r="G27" i="16"/>
  <c r="G30" i="16"/>
  <c r="G54" i="16"/>
  <c r="G57" i="16"/>
  <c r="G28" i="16"/>
  <c r="G10" i="16"/>
  <c r="G22" i="16"/>
  <c r="G25" i="16"/>
  <c r="G14" i="16"/>
  <c r="G26" i="16"/>
  <c r="G29" i="16"/>
  <c r="G56" i="16"/>
  <c r="G148" i="16"/>
  <c r="G157" i="25"/>
  <c r="G134" i="23"/>
  <c r="G160" i="25"/>
  <c r="G137" i="23"/>
  <c r="G163" i="25"/>
  <c r="G140" i="23"/>
  <c r="G168" i="25"/>
  <c r="G143" i="23"/>
  <c r="G171" i="25"/>
  <c r="G146" i="23"/>
  <c r="G174" i="25"/>
  <c r="G150" i="23"/>
  <c r="G179" i="25"/>
  <c r="G153" i="23"/>
  <c r="G182" i="25"/>
  <c r="G156" i="23"/>
  <c r="G185" i="25"/>
  <c r="G159" i="23"/>
  <c r="G190" i="25"/>
  <c r="G162" i="23"/>
  <c r="G193" i="25"/>
  <c r="G167" i="23"/>
  <c r="G199" i="25"/>
  <c r="G170" i="23"/>
  <c r="G203" i="25"/>
  <c r="G173" i="23"/>
  <c r="G207" i="25"/>
  <c r="G176" i="23"/>
  <c r="G212" i="25"/>
  <c r="G180" i="23"/>
  <c r="G215" i="25"/>
  <c r="G184" i="23"/>
  <c r="G225" i="25"/>
  <c r="G191" i="23"/>
  <c r="G200" i="23"/>
  <c r="G238" i="25"/>
  <c r="G203" i="23"/>
  <c r="G243" i="25"/>
  <c r="G207" i="23"/>
  <c r="G247" i="25"/>
  <c r="G213" i="23"/>
  <c r="G255" i="25"/>
  <c r="G216" i="23"/>
  <c r="G258" i="25"/>
  <c r="G219" i="23"/>
  <c r="G262" i="25"/>
  <c r="G222" i="23"/>
  <c r="G265" i="25"/>
  <c r="G225" i="23"/>
  <c r="G269" i="25"/>
  <c r="G272" i="25"/>
  <c r="G231" i="23"/>
  <c r="G235" i="23"/>
  <c r="G280" i="25"/>
  <c r="G239" i="23"/>
  <c r="G285" i="25"/>
  <c r="G242" i="23"/>
  <c r="G288" i="25"/>
  <c r="G245" i="23"/>
  <c r="G292" i="25"/>
  <c r="G248" i="23"/>
  <c r="G295" i="25"/>
  <c r="G251" i="23"/>
  <c r="G298" i="25"/>
  <c r="G254" i="23"/>
  <c r="G304" i="25"/>
  <c r="G259" i="23"/>
  <c r="G308" i="25"/>
  <c r="G262" i="23"/>
  <c r="G311" i="25"/>
  <c r="G7" i="25"/>
  <c r="G121" i="23"/>
  <c r="G146" i="25"/>
  <c r="G124" i="23"/>
  <c r="G149" i="25"/>
  <c r="G127" i="23"/>
  <c r="G152" i="25"/>
  <c r="G130" i="23"/>
  <c r="G156" i="25"/>
  <c r="G133" i="23"/>
  <c r="G159" i="25"/>
  <c r="G136" i="23"/>
  <c r="G162" i="25"/>
  <c r="G139" i="23"/>
  <c r="G166" i="25"/>
  <c r="G142" i="23"/>
  <c r="G170" i="25"/>
  <c r="G145" i="23"/>
  <c r="G173" i="25"/>
  <c r="G148" i="23"/>
  <c r="G178" i="25"/>
  <c r="G152" i="23"/>
  <c r="G181" i="25"/>
  <c r="G155" i="23"/>
  <c r="G184" i="25"/>
  <c r="G158" i="23"/>
  <c r="G188" i="25"/>
  <c r="G161" i="23"/>
  <c r="G192" i="25"/>
  <c r="G164" i="23"/>
  <c r="G198" i="25"/>
  <c r="G169" i="23"/>
  <c r="G202" i="25"/>
  <c r="G172" i="23"/>
  <c r="G205" i="25"/>
  <c r="G175" i="23"/>
  <c r="G211" i="25"/>
  <c r="G179" i="23"/>
  <c r="G214" i="25"/>
  <c r="G182" i="23"/>
  <c r="G219" i="25"/>
  <c r="G190" i="23"/>
  <c r="G231" i="25"/>
  <c r="G234" i="25"/>
  <c r="G237" i="25"/>
  <c r="G202" i="23"/>
  <c r="G242" i="25"/>
  <c r="G206" i="23"/>
  <c r="G246" i="25"/>
  <c r="G209" i="23"/>
  <c r="G250" i="25"/>
  <c r="G253" i="25"/>
  <c r="G215" i="23"/>
  <c r="G257" i="25"/>
  <c r="G218" i="23"/>
  <c r="G261" i="25"/>
  <c r="G221" i="23"/>
  <c r="G264" i="25"/>
  <c r="G224" i="23"/>
  <c r="G268" i="25"/>
  <c r="G227" i="23"/>
  <c r="G271" i="25"/>
  <c r="G230" i="23"/>
  <c r="G237" i="23"/>
  <c r="G284" i="25"/>
  <c r="G241" i="23"/>
  <c r="G287" i="25"/>
  <c r="G244" i="23"/>
  <c r="G290" i="25"/>
  <c r="G247" i="23"/>
  <c r="G294" i="25"/>
  <c r="G250" i="23"/>
  <c r="G297" i="25"/>
  <c r="G253" i="23"/>
  <c r="G303" i="25"/>
  <c r="G258" i="23"/>
  <c r="G307" i="25"/>
  <c r="G261" i="23"/>
  <c r="G310" i="25"/>
  <c r="G264" i="23"/>
  <c r="C265" i="23"/>
  <c r="G6" i="23"/>
  <c r="G6" i="15"/>
  <c r="H6" i="15"/>
  <c r="H202" i="14"/>
  <c r="H142" i="14"/>
  <c r="H95" i="14"/>
  <c r="H155" i="14"/>
  <c r="H215" i="14"/>
  <c r="H232" i="14"/>
  <c r="H15" i="14"/>
  <c r="G254" i="14"/>
  <c r="H225" i="14"/>
  <c r="H88" i="14"/>
  <c r="G187" i="14"/>
  <c r="H91" i="14"/>
  <c r="G244" i="14"/>
  <c r="G14" i="14"/>
  <c r="G118" i="14"/>
  <c r="H105" i="14"/>
  <c r="H34" i="14"/>
  <c r="G178" i="14"/>
  <c r="H262" i="14"/>
  <c r="H136" i="14"/>
  <c r="G16" i="14"/>
  <c r="G196" i="14"/>
  <c r="H131" i="14"/>
  <c r="H220" i="14"/>
  <c r="H85" i="14"/>
  <c r="G10" i="14"/>
  <c r="H116" i="14"/>
  <c r="H256" i="14"/>
  <c r="G8" i="14"/>
  <c r="H179" i="14"/>
  <c r="H19" i="14"/>
  <c r="H210" i="14"/>
  <c r="H259" i="14"/>
  <c r="H8" i="14"/>
  <c r="G32" i="14"/>
  <c r="H57" i="14"/>
  <c r="H81" i="14"/>
  <c r="H154" i="14"/>
  <c r="G238" i="14"/>
  <c r="H192" i="14"/>
  <c r="G199" i="14"/>
  <c r="G92" i="14"/>
  <c r="G116" i="14"/>
  <c r="H176" i="14"/>
  <c r="H236" i="14"/>
  <c r="H244" i="14"/>
  <c r="H9" i="14"/>
  <c r="H141" i="14"/>
  <c r="H201" i="14"/>
  <c r="H138" i="14"/>
  <c r="H196" i="14"/>
  <c r="H76" i="14"/>
  <c r="G43" i="14"/>
  <c r="H175" i="14"/>
  <c r="H186" i="14"/>
  <c r="H33" i="14"/>
  <c r="H190" i="14"/>
  <c r="H251" i="14"/>
  <c r="G96" i="14"/>
  <c r="G156" i="14"/>
  <c r="G216" i="14"/>
  <c r="G252" i="14"/>
  <c r="H13" i="14"/>
  <c r="H145" i="14"/>
  <c r="H169" i="14"/>
  <c r="H14" i="14"/>
  <c r="G38" i="14"/>
  <c r="G110" i="14"/>
  <c r="H194" i="14"/>
  <c r="H147" i="14"/>
  <c r="G19" i="14"/>
  <c r="H42" i="14"/>
  <c r="H260" i="14"/>
  <c r="H24" i="14"/>
  <c r="G256" i="14"/>
  <c r="G28" i="14"/>
  <c r="G138" i="14"/>
  <c r="G7" i="14"/>
  <c r="H73" i="14"/>
  <c r="G124" i="14"/>
  <c r="G152" i="14"/>
  <c r="G136" i="14"/>
  <c r="H83" i="14"/>
  <c r="H239" i="14"/>
  <c r="H263" i="14"/>
  <c r="G72" i="14"/>
  <c r="H108" i="14"/>
  <c r="G144" i="14"/>
  <c r="G168" i="14"/>
  <c r="H204" i="14"/>
  <c r="H148" i="14"/>
  <c r="H25" i="14"/>
  <c r="H265" i="14"/>
  <c r="G26" i="14"/>
  <c r="G122" i="14"/>
  <c r="H159" i="14"/>
  <c r="H243" i="14"/>
  <c r="H106" i="14"/>
  <c r="H257" i="14"/>
  <c r="G218" i="14"/>
  <c r="H103" i="14"/>
  <c r="G175" i="14"/>
  <c r="H140" i="14"/>
  <c r="G140" i="14"/>
  <c r="G12" i="14"/>
  <c r="H133" i="14"/>
  <c r="H253" i="14"/>
  <c r="H158" i="14"/>
  <c r="G158" i="14"/>
  <c r="H230" i="14"/>
  <c r="G230" i="14"/>
  <c r="H27" i="14"/>
  <c r="G142" i="14"/>
  <c r="G25" i="14"/>
  <c r="H48" i="14"/>
  <c r="H92" i="14"/>
  <c r="H139" i="14"/>
  <c r="G139" i="14"/>
  <c r="G56" i="14"/>
  <c r="H56" i="14"/>
  <c r="G70" i="14"/>
  <c r="H70" i="14"/>
  <c r="G130" i="14"/>
  <c r="H130" i="14"/>
  <c r="G36" i="14"/>
  <c r="H36" i="14"/>
  <c r="H98" i="14"/>
  <c r="G98" i="14"/>
  <c r="H242" i="14"/>
  <c r="G242" i="14"/>
  <c r="H99" i="14"/>
  <c r="H171" i="14"/>
  <c r="H96" i="14"/>
  <c r="H252" i="14"/>
  <c r="H110" i="14"/>
  <c r="H124" i="14"/>
  <c r="G154" i="14"/>
  <c r="G236" i="14"/>
  <c r="G194" i="14"/>
  <c r="G106" i="14"/>
  <c r="H172" i="14"/>
  <c r="H165" i="14"/>
  <c r="G201" i="14"/>
  <c r="H94" i="14"/>
  <c r="H12" i="14"/>
  <c r="H72" i="14"/>
  <c r="G108" i="14"/>
  <c r="H156" i="14"/>
  <c r="G192" i="14"/>
  <c r="H216" i="14"/>
  <c r="G78" i="14"/>
  <c r="H157" i="14"/>
  <c r="H217" i="14"/>
  <c r="G249" i="14"/>
  <c r="H249" i="14"/>
  <c r="G264" i="14"/>
  <c r="H264" i="14"/>
  <c r="G148" i="14"/>
  <c r="H122" i="14"/>
  <c r="H222" i="14"/>
  <c r="H199" i="14"/>
  <c r="G262" i="14"/>
  <c r="H32" i="14"/>
  <c r="H152" i="14"/>
  <c r="G176" i="14"/>
  <c r="G260" i="14"/>
  <c r="H144" i="14"/>
  <c r="H38" i="14"/>
  <c r="G225" i="14"/>
  <c r="H178" i="14"/>
  <c r="H7" i="14"/>
  <c r="H240" i="14"/>
  <c r="G34" i="14"/>
  <c r="H228" i="14"/>
  <c r="G190" i="14"/>
  <c r="G82" i="14"/>
  <c r="H203" i="14"/>
  <c r="G127" i="14"/>
  <c r="H163" i="14"/>
  <c r="G132" i="14"/>
  <c r="G63" i="14"/>
  <c r="H129" i="14"/>
  <c r="G189" i="14"/>
  <c r="H47" i="14"/>
  <c r="G226" i="14"/>
  <c r="H97" i="14"/>
  <c r="G46" i="14"/>
  <c r="G80" i="14"/>
  <c r="G172" i="14"/>
  <c r="H227" i="14"/>
  <c r="H17" i="14"/>
  <c r="H89" i="14"/>
  <c r="H149" i="14"/>
  <c r="H161" i="14"/>
  <c r="H185" i="14"/>
  <c r="H221" i="14"/>
  <c r="G258" i="14"/>
  <c r="H78" i="14"/>
  <c r="G90" i="14"/>
  <c r="H184" i="14"/>
  <c r="G115" i="14"/>
  <c r="G151" i="14"/>
  <c r="H223" i="14"/>
  <c r="H80" i="14"/>
  <c r="G128" i="14"/>
  <c r="H224" i="14"/>
  <c r="H21" i="14"/>
  <c r="H166" i="14"/>
  <c r="G202" i="14"/>
  <c r="H238" i="14"/>
  <c r="G250" i="14"/>
  <c r="G163" i="14"/>
  <c r="H35" i="14"/>
  <c r="H71" i="14"/>
  <c r="H107" i="14"/>
  <c r="H191" i="14"/>
  <c r="G232" i="14"/>
  <c r="G84" i="14"/>
  <c r="G180" i="14"/>
  <c r="G88" i="14"/>
  <c r="H61" i="14"/>
  <c r="H181" i="14"/>
  <c r="H26" i="14"/>
  <c r="H146" i="14"/>
  <c r="H170" i="14"/>
  <c r="H206" i="14"/>
  <c r="H87" i="14"/>
  <c r="H111" i="14"/>
  <c r="H207" i="14"/>
  <c r="H247" i="14"/>
  <c r="H20" i="14"/>
  <c r="H164" i="14"/>
  <c r="G248" i="14"/>
  <c r="H45" i="14"/>
  <c r="H69" i="14"/>
  <c r="G22" i="14"/>
  <c r="H46" i="14"/>
  <c r="H11" i="14"/>
  <c r="H167" i="14"/>
  <c r="G240" i="14"/>
  <c r="H16" i="14"/>
  <c r="H109" i="14"/>
  <c r="H160" i="14"/>
  <c r="G223" i="14"/>
  <c r="G166" i="14"/>
  <c r="H189" i="14"/>
  <c r="G164" i="14"/>
  <c r="H127" i="14"/>
  <c r="H173" i="14"/>
  <c r="H132" i="14"/>
  <c r="H258" i="14"/>
  <c r="H208" i="14"/>
  <c r="H250" i="14"/>
  <c r="H114" i="14"/>
  <c r="H150" i="14"/>
  <c r="G186" i="14"/>
  <c r="H43" i="14"/>
  <c r="G103" i="14"/>
  <c r="G259" i="14"/>
  <c r="G214" i="14"/>
  <c r="G224" i="14"/>
  <c r="H118" i="14"/>
  <c r="G205" i="14"/>
  <c r="H218" i="14"/>
  <c r="G160" i="14"/>
  <c r="H126" i="14"/>
  <c r="G184" i="14"/>
  <c r="H246" i="14"/>
  <c r="G42" i="14"/>
  <c r="H90" i="14"/>
  <c r="G126" i="14"/>
  <c r="H79" i="14"/>
  <c r="H115" i="14"/>
  <c r="H151" i="14"/>
  <c r="H187" i="14"/>
  <c r="H233" i="14"/>
  <c r="G20" i="14"/>
  <c r="G44" i="14"/>
  <c r="H104" i="14"/>
  <c r="H128" i="14"/>
  <c r="H188" i="14"/>
  <c r="H212" i="14"/>
  <c r="H248" i="14"/>
  <c r="H100" i="14"/>
  <c r="H93" i="14"/>
  <c r="H117" i="14"/>
  <c r="H177" i="14"/>
  <c r="H261" i="14"/>
  <c r="G208" i="14"/>
  <c r="G261" i="14"/>
  <c r="G153" i="14"/>
  <c r="G167" i="14"/>
  <c r="G227" i="14"/>
  <c r="H101" i="14"/>
  <c r="G210" i="14"/>
  <c r="G206" i="14"/>
  <c r="G233" i="14"/>
  <c r="G76" i="14"/>
  <c r="G47" i="14"/>
  <c r="G203" i="14"/>
  <c r="G169" i="14"/>
  <c r="G193" i="14"/>
  <c r="H180" i="14"/>
  <c r="G79" i="14"/>
  <c r="G212" i="14"/>
  <c r="G91" i="14"/>
  <c r="G100" i="14"/>
  <c r="G174" i="14"/>
  <c r="H53" i="14"/>
  <c r="G219" i="14"/>
  <c r="G188" i="14"/>
  <c r="H22" i="14"/>
  <c r="H102" i="14"/>
  <c r="G209" i="14"/>
  <c r="G247" i="14"/>
  <c r="H63" i="14"/>
  <c r="H44" i="14"/>
  <c r="G104" i="14"/>
  <c r="G246" i="14"/>
  <c r="G105" i="14"/>
  <c r="G228" i="14"/>
  <c r="H84" i="14"/>
  <c r="H226" i="14"/>
  <c r="G114" i="14"/>
  <c r="G239" i="14"/>
  <c r="G195" i="14"/>
  <c r="H82" i="14"/>
  <c r="G41" i="14"/>
  <c r="H137" i="14"/>
  <c r="H209" i="14"/>
  <c r="H125" i="14"/>
  <c r="H245" i="14"/>
  <c r="H28" i="14"/>
  <c r="G18" i="14"/>
  <c r="H162" i="14"/>
  <c r="H55" i="14"/>
  <c r="G177" i="14"/>
  <c r="G87" i="14"/>
  <c r="G147" i="14"/>
  <c r="G207" i="14"/>
  <c r="G245" i="14"/>
  <c r="G9" i="14"/>
  <c r="G33" i="14"/>
  <c r="G81" i="14"/>
  <c r="G141" i="14"/>
  <c r="G119" i="14"/>
  <c r="G150" i="14"/>
  <c r="G253" i="14"/>
  <c r="G155" i="14"/>
  <c r="G215" i="14"/>
  <c r="G222" i="14"/>
  <c r="G49" i="14"/>
  <c r="G171" i="14"/>
  <c r="G255" i="14"/>
  <c r="G17" i="14"/>
  <c r="G221" i="14"/>
  <c r="G117" i="14"/>
  <c r="G95" i="14"/>
  <c r="G181" i="14"/>
  <c r="G27" i="14"/>
  <c r="G111" i="14"/>
  <c r="G231" i="14"/>
  <c r="G35" i="14"/>
  <c r="G133" i="14"/>
  <c r="G157" i="14"/>
  <c r="G55" i="14"/>
  <c r="H18" i="14"/>
  <c r="G101" i="14"/>
  <c r="G125" i="14"/>
  <c r="G149" i="14"/>
  <c r="G173" i="14"/>
  <c r="G131" i="14"/>
  <c r="G191" i="14"/>
  <c r="G251" i="14"/>
  <c r="H174" i="14"/>
  <c r="G102" i="14"/>
  <c r="G93" i="14"/>
  <c r="G11" i="14"/>
  <c r="G71" i="14"/>
  <c r="G61" i="14"/>
  <c r="G85" i="14"/>
  <c r="G109" i="14"/>
  <c r="G162" i="14"/>
  <c r="C266" i="14"/>
  <c r="G53" i="14"/>
  <c r="G257" i="14"/>
  <c r="G45" i="14"/>
  <c r="G69" i="14"/>
  <c r="G217" i="14"/>
  <c r="G241" i="14"/>
  <c r="G265" i="14"/>
  <c r="G183" i="14"/>
  <c r="G21" i="14"/>
  <c r="G107" i="14"/>
  <c r="G37" i="14"/>
  <c r="G39" i="14"/>
  <c r="G243" i="14"/>
  <c r="G129" i="14"/>
  <c r="G13" i="14"/>
  <c r="G99" i="14"/>
  <c r="G159" i="14"/>
  <c r="D266" i="14"/>
  <c r="H41" i="14"/>
  <c r="G185" i="14"/>
  <c r="G83" i="14"/>
  <c r="G143" i="14"/>
  <c r="G145" i="14"/>
  <c r="G15" i="14"/>
  <c r="G137" i="14"/>
  <c r="G161" i="14"/>
  <c r="G23" i="14"/>
  <c r="G263" i="14"/>
  <c r="G89" i="14"/>
  <c r="G57" i="14"/>
  <c r="G165" i="14"/>
  <c r="G179" i="14"/>
  <c r="G73" i="14"/>
  <c r="G97" i="14"/>
  <c r="G135" i="14"/>
  <c r="L222" i="15" l="1"/>
  <c r="L252" i="15"/>
  <c r="L180" i="15"/>
  <c r="C266" i="15"/>
  <c r="L247" i="15"/>
  <c r="L241" i="15"/>
  <c r="L235" i="15"/>
  <c r="L217" i="15"/>
  <c r="L205" i="15"/>
  <c r="L181" i="15"/>
  <c r="L175" i="15"/>
  <c r="L169" i="15"/>
  <c r="L249" i="15"/>
  <c r="K177" i="15"/>
  <c r="K171" i="15"/>
  <c r="K149" i="15"/>
  <c r="L102" i="15"/>
  <c r="L84" i="15"/>
  <c r="L78" i="15"/>
  <c r="K153" i="15"/>
  <c r="L264" i="15"/>
  <c r="L168" i="15"/>
  <c r="L162" i="15"/>
  <c r="K251" i="15"/>
  <c r="K215" i="15"/>
  <c r="K179" i="15"/>
  <c r="K167" i="15"/>
  <c r="L124" i="15"/>
  <c r="K110" i="15"/>
  <c r="K92" i="15"/>
  <c r="K86" i="15"/>
  <c r="K68" i="15"/>
  <c r="K47" i="15"/>
  <c r="L18" i="15"/>
  <c r="L12" i="15"/>
  <c r="K141" i="15"/>
  <c r="L156" i="15"/>
  <c r="K257" i="15"/>
  <c r="K239" i="15"/>
  <c r="K221" i="15"/>
  <c r="K203" i="15"/>
  <c r="K185" i="15"/>
  <c r="K201" i="15"/>
  <c r="K143" i="15"/>
  <c r="K125" i="15"/>
  <c r="L13" i="15"/>
  <c r="L147" i="15"/>
  <c r="K126" i="15"/>
  <c r="L258" i="15"/>
  <c r="L177" i="15"/>
  <c r="K144" i="15"/>
  <c r="L232" i="15"/>
  <c r="K249" i="15"/>
  <c r="K248" i="15"/>
  <c r="K230" i="15"/>
  <c r="K194" i="15"/>
  <c r="K176" i="15"/>
  <c r="K264" i="15"/>
  <c r="K174" i="15"/>
  <c r="L105" i="15"/>
  <c r="L87" i="15"/>
  <c r="L195" i="15"/>
  <c r="L207" i="15"/>
  <c r="L151" i="15"/>
  <c r="K113" i="15"/>
  <c r="K95" i="15"/>
  <c r="K56" i="15"/>
  <c r="K38" i="15"/>
  <c r="K138" i="15"/>
  <c r="L243" i="15"/>
  <c r="L132" i="15"/>
  <c r="L213" i="15"/>
  <c r="K202" i="15"/>
  <c r="L237" i="15"/>
  <c r="K189" i="15"/>
  <c r="L94" i="15"/>
  <c r="L55" i="15"/>
  <c r="L37" i="15"/>
  <c r="L19" i="15"/>
  <c r="L45" i="15"/>
  <c r="L219" i="15"/>
  <c r="L183" i="15"/>
  <c r="K193" i="15"/>
  <c r="L244" i="15"/>
  <c r="L172" i="15"/>
  <c r="L166" i="15"/>
  <c r="L148" i="15"/>
  <c r="L130" i="15"/>
  <c r="K35" i="15"/>
  <c r="K17" i="15"/>
  <c r="L24" i="15"/>
  <c r="K159" i="15"/>
  <c r="K135" i="15"/>
  <c r="L231" i="15"/>
  <c r="L129" i="15"/>
  <c r="L216" i="15"/>
  <c r="K128" i="15"/>
  <c r="L52" i="15"/>
  <c r="L16" i="15"/>
  <c r="L238" i="15"/>
  <c r="L202" i="15"/>
  <c r="L225" i="15"/>
  <c r="K240" i="15"/>
  <c r="K146" i="15"/>
  <c r="L60" i="15"/>
  <c r="K132" i="15"/>
  <c r="K254" i="15"/>
  <c r="K218" i="15"/>
  <c r="K200" i="15"/>
  <c r="K182" i="15"/>
  <c r="L189" i="15"/>
  <c r="K107" i="15"/>
  <c r="L135" i="15"/>
  <c r="L96" i="15"/>
  <c r="K129" i="15"/>
  <c r="D266" i="15"/>
  <c r="K219" i="15"/>
  <c r="K183" i="15"/>
  <c r="K161" i="15"/>
  <c r="L255" i="15"/>
  <c r="L160" i="15"/>
  <c r="L142" i="15"/>
  <c r="L36" i="15"/>
  <c r="K207" i="15"/>
  <c r="K198" i="15"/>
  <c r="K158" i="15"/>
  <c r="L150" i="15"/>
  <c r="L54" i="15"/>
  <c r="L15" i="15"/>
  <c r="K243" i="15"/>
  <c r="L214" i="15"/>
  <c r="K211" i="15"/>
  <c r="L157" i="15"/>
  <c r="L139" i="15"/>
  <c r="L121" i="15"/>
  <c r="K101" i="15"/>
  <c r="K83" i="15"/>
  <c r="K44" i="15"/>
  <c r="L108" i="15"/>
  <c r="L90" i="15"/>
  <c r="L33" i="15"/>
  <c r="L229" i="15"/>
  <c r="L193" i="15"/>
  <c r="K231" i="15"/>
  <c r="K213" i="15"/>
  <c r="K195" i="15"/>
  <c r="K137" i="15"/>
  <c r="L118" i="15"/>
  <c r="L100" i="15"/>
  <c r="L82" i="15"/>
  <c r="L43" i="15"/>
  <c r="L25" i="15"/>
  <c r="L126" i="15"/>
  <c r="K263" i="15"/>
  <c r="K245" i="15"/>
  <c r="K227" i="15"/>
  <c r="K209" i="15"/>
  <c r="K191" i="15"/>
  <c r="K173" i="15"/>
  <c r="L204" i="15"/>
  <c r="L154" i="15"/>
  <c r="L136" i="15"/>
  <c r="K62" i="15"/>
  <c r="K41" i="15"/>
  <c r="L7" i="15"/>
  <c r="L190" i="15"/>
  <c r="K134" i="15"/>
  <c r="L115" i="15"/>
  <c r="L97" i="15"/>
  <c r="L79" i="15"/>
  <c r="L40" i="15"/>
  <c r="K23" i="15"/>
  <c r="L144" i="15"/>
  <c r="L123" i="15"/>
  <c r="L27" i="15"/>
  <c r="L9" i="15"/>
  <c r="K162" i="15"/>
  <c r="K259" i="15"/>
  <c r="K250" i="15"/>
  <c r="K247" i="15"/>
  <c r="K238" i="15"/>
  <c r="K229" i="15"/>
  <c r="K220" i="15"/>
  <c r="K187" i="15"/>
  <c r="K178" i="15"/>
  <c r="L257" i="15"/>
  <c r="L248" i="15"/>
  <c r="L239" i="15"/>
  <c r="L230" i="15"/>
  <c r="L221" i="15"/>
  <c r="L203" i="15"/>
  <c r="L194" i="15"/>
  <c r="L185" i="15"/>
  <c r="L176" i="15"/>
  <c r="K169" i="15"/>
  <c r="K160" i="15"/>
  <c r="K151" i="15"/>
  <c r="K142" i="15"/>
  <c r="K133" i="15"/>
  <c r="K124" i="15"/>
  <c r="K115" i="15"/>
  <c r="K106" i="15"/>
  <c r="K97" i="15"/>
  <c r="K88" i="15"/>
  <c r="K79" i="15"/>
  <c r="K52" i="15"/>
  <c r="K43" i="15"/>
  <c r="K34" i="15"/>
  <c r="K25" i="15"/>
  <c r="K16" i="15"/>
  <c r="K7" i="15"/>
  <c r="L164" i="15"/>
  <c r="L155" i="15"/>
  <c r="L146" i="15"/>
  <c r="L137" i="15"/>
  <c r="L128" i="15"/>
  <c r="K114" i="15"/>
  <c r="L110" i="15"/>
  <c r="K105" i="15"/>
  <c r="L101" i="15"/>
  <c r="K96" i="15"/>
  <c r="L92" i="15"/>
  <c r="K87" i="15"/>
  <c r="L83" i="15"/>
  <c r="K78" i="15"/>
  <c r="K69" i="15"/>
  <c r="K60" i="15"/>
  <c r="L56" i="15"/>
  <c r="L47" i="15"/>
  <c r="K42" i="15"/>
  <c r="L38" i="15"/>
  <c r="K33" i="15"/>
  <c r="K24" i="15"/>
  <c r="L20" i="15"/>
  <c r="K15" i="15"/>
  <c r="L11" i="15"/>
  <c r="K262" i="15"/>
  <c r="K253" i="15"/>
  <c r="K241" i="15"/>
  <c r="K232" i="15"/>
  <c r="K223" i="15"/>
  <c r="K214" i="15"/>
  <c r="K205" i="15"/>
  <c r="K190" i="15"/>
  <c r="K181" i="15"/>
  <c r="K172" i="15"/>
  <c r="L260" i="15"/>
  <c r="L251" i="15"/>
  <c r="L242" i="15"/>
  <c r="L224" i="15"/>
  <c r="L215" i="15"/>
  <c r="L206" i="15"/>
  <c r="L192" i="15"/>
  <c r="K192" i="15"/>
  <c r="L188" i="15"/>
  <c r="L179" i="15"/>
  <c r="K163" i="15"/>
  <c r="K154" i="15"/>
  <c r="K145" i="15"/>
  <c r="K136" i="15"/>
  <c r="K127" i="15"/>
  <c r="K118" i="15"/>
  <c r="K109" i="15"/>
  <c r="K100" i="15"/>
  <c r="K91" i="15"/>
  <c r="K82" i="15"/>
  <c r="K55" i="15"/>
  <c r="K46" i="15"/>
  <c r="K37" i="15"/>
  <c r="K19" i="15"/>
  <c r="K10" i="15"/>
  <c r="L167" i="15"/>
  <c r="L158" i="15"/>
  <c r="L149" i="15"/>
  <c r="L140" i="15"/>
  <c r="L131" i="15"/>
  <c r="K117" i="15"/>
  <c r="L113" i="15"/>
  <c r="K108" i="15"/>
  <c r="L104" i="15"/>
  <c r="K99" i="15"/>
  <c r="L95" i="15"/>
  <c r="K90" i="15"/>
  <c r="L86" i="15"/>
  <c r="K81" i="15"/>
  <c r="L77" i="15"/>
  <c r="K72" i="15"/>
  <c r="L68" i="15"/>
  <c r="K54" i="15"/>
  <c r="K45" i="15"/>
  <c r="L41" i="15"/>
  <c r="K36" i="15"/>
  <c r="L32" i="15"/>
  <c r="K27" i="15"/>
  <c r="L23" i="15"/>
  <c r="K18" i="15"/>
  <c r="L14" i="15"/>
  <c r="K9" i="15"/>
  <c r="L261" i="15"/>
  <c r="K256" i="15"/>
  <c r="K244" i="15"/>
  <c r="K235" i="15"/>
  <c r="K226" i="15"/>
  <c r="K217" i="15"/>
  <c r="K208" i="15"/>
  <c r="K184" i="15"/>
  <c r="K175" i="15"/>
  <c r="L263" i="15"/>
  <c r="L254" i="15"/>
  <c r="L245" i="15"/>
  <c r="L227" i="15"/>
  <c r="L218" i="15"/>
  <c r="L209" i="15"/>
  <c r="L200" i="15"/>
  <c r="L191" i="15"/>
  <c r="L182" i="15"/>
  <c r="L173" i="15"/>
  <c r="K70" i="15"/>
  <c r="L70" i="15"/>
  <c r="L171" i="15"/>
  <c r="K166" i="15"/>
  <c r="K157" i="15"/>
  <c r="K148" i="15"/>
  <c r="K139" i="15"/>
  <c r="K130" i="15"/>
  <c r="K121" i="15"/>
  <c r="K103" i="15"/>
  <c r="K94" i="15"/>
  <c r="K85" i="15"/>
  <c r="K49" i="15"/>
  <c r="K40" i="15"/>
  <c r="K31" i="15"/>
  <c r="K22" i="15"/>
  <c r="K13" i="15"/>
  <c r="L170" i="15"/>
  <c r="L161" i="15"/>
  <c r="L152" i="15"/>
  <c r="L143" i="15"/>
  <c r="L134" i="15"/>
  <c r="L125" i="15"/>
  <c r="L116" i="15"/>
  <c r="L107" i="15"/>
  <c r="K102" i="15"/>
  <c r="L98" i="15"/>
  <c r="K93" i="15"/>
  <c r="L89" i="15"/>
  <c r="K84" i="15"/>
  <c r="L80" i="15"/>
  <c r="K75" i="15"/>
  <c r="L71" i="15"/>
  <c r="L62" i="15"/>
  <c r="K48" i="15"/>
  <c r="L44" i="15"/>
  <c r="K39" i="15"/>
  <c r="L35" i="15"/>
  <c r="L26" i="15"/>
  <c r="K21" i="15"/>
  <c r="L17" i="15"/>
  <c r="K12" i="15"/>
  <c r="L8" i="15"/>
  <c r="L6" i="15"/>
  <c r="K6" i="15"/>
  <c r="C267" i="14"/>
  <c r="D267" i="14"/>
  <c r="E11" i="11" l="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F148" i="11"/>
  <c r="D148" i="11"/>
  <c r="C148" i="11"/>
  <c r="B148" i="11"/>
  <c r="A148" i="11"/>
  <c r="G148" i="11" s="1"/>
  <c r="F147" i="11"/>
  <c r="D147" i="11"/>
  <c r="C147" i="11"/>
  <c r="B147" i="11"/>
  <c r="A147" i="11"/>
  <c r="G147" i="11" s="1"/>
  <c r="F146" i="11"/>
  <c r="D146" i="11"/>
  <c r="C146" i="11"/>
  <c r="B146" i="11"/>
  <c r="A146" i="11"/>
  <c r="G146" i="11" s="1"/>
  <c r="F145" i="11"/>
  <c r="D145" i="11"/>
  <c r="C145" i="11"/>
  <c r="B145" i="11"/>
  <c r="A145" i="11"/>
  <c r="G145" i="11" s="1"/>
  <c r="F144" i="11"/>
  <c r="D144" i="11"/>
  <c r="C144" i="11"/>
  <c r="B144" i="11"/>
  <c r="A144" i="11"/>
  <c r="G144" i="11" s="1"/>
  <c r="F143" i="11"/>
  <c r="D143" i="11"/>
  <c r="C143" i="11"/>
  <c r="B143" i="11"/>
  <c r="A143" i="11"/>
  <c r="G143" i="11" s="1"/>
  <c r="F142" i="11"/>
  <c r="D142" i="11"/>
  <c r="C142" i="11"/>
  <c r="B142" i="11"/>
  <c r="A142" i="11"/>
  <c r="G142" i="11" s="1"/>
  <c r="F141" i="11"/>
  <c r="D141" i="11"/>
  <c r="C141" i="11"/>
  <c r="B141" i="11"/>
  <c r="A141" i="11"/>
  <c r="G141" i="11" s="1"/>
  <c r="F140" i="11"/>
  <c r="D140" i="11"/>
  <c r="C140" i="11"/>
  <c r="B140" i="11"/>
  <c r="A140" i="11"/>
  <c r="G140" i="11" s="1"/>
  <c r="F139" i="11"/>
  <c r="D139" i="11"/>
  <c r="C139" i="11"/>
  <c r="B139" i="11"/>
  <c r="A139" i="11"/>
  <c r="G139" i="11" s="1"/>
  <c r="F138" i="11"/>
  <c r="D138" i="11"/>
  <c r="C138" i="11"/>
  <c r="B138" i="11"/>
  <c r="A138" i="11"/>
  <c r="G138" i="11" s="1"/>
  <c r="F137" i="11"/>
  <c r="D137" i="11"/>
  <c r="C137" i="11"/>
  <c r="B137" i="11"/>
  <c r="A137" i="11"/>
  <c r="G137" i="11" s="1"/>
  <c r="F136" i="11"/>
  <c r="D136" i="11"/>
  <c r="C136" i="11"/>
  <c r="B136" i="11"/>
  <c r="A136" i="11"/>
  <c r="G136" i="11" s="1"/>
  <c r="F135" i="11"/>
  <c r="D135" i="11"/>
  <c r="C135" i="11"/>
  <c r="B135" i="11"/>
  <c r="A135" i="11"/>
  <c r="G135" i="11" s="1"/>
  <c r="F134" i="11"/>
  <c r="D134" i="11"/>
  <c r="C134" i="11"/>
  <c r="B134" i="11"/>
  <c r="A134" i="11"/>
  <c r="G134" i="11" s="1"/>
  <c r="F133" i="11"/>
  <c r="D133" i="11"/>
  <c r="C133" i="11"/>
  <c r="B133" i="11"/>
  <c r="A133" i="11"/>
  <c r="G133" i="11" s="1"/>
  <c r="F132" i="11"/>
  <c r="D132" i="11"/>
  <c r="C132" i="11"/>
  <c r="B132" i="11"/>
  <c r="A132" i="11"/>
  <c r="G132" i="11" s="1"/>
  <c r="F131" i="11"/>
  <c r="D131" i="11"/>
  <c r="C131" i="11"/>
  <c r="B131" i="11"/>
  <c r="A131" i="11"/>
  <c r="G131" i="11" s="1"/>
  <c r="F130" i="11"/>
  <c r="D130" i="11"/>
  <c r="C130" i="11"/>
  <c r="B130" i="11"/>
  <c r="A130" i="11"/>
  <c r="G130" i="11" s="1"/>
  <c r="F129" i="11"/>
  <c r="D129" i="11"/>
  <c r="C129" i="11"/>
  <c r="B129" i="11"/>
  <c r="A129" i="11"/>
  <c r="G129" i="11" s="1"/>
  <c r="F128" i="11"/>
  <c r="D128" i="11"/>
  <c r="C128" i="11"/>
  <c r="B128" i="11"/>
  <c r="A128" i="11"/>
  <c r="G128" i="11" s="1"/>
  <c r="F127" i="11"/>
  <c r="D127" i="11"/>
  <c r="C127" i="11"/>
  <c r="B127" i="11"/>
  <c r="A127" i="11"/>
  <c r="G127" i="11" s="1"/>
  <c r="F126" i="11"/>
  <c r="D126" i="11"/>
  <c r="C126" i="11"/>
  <c r="B126" i="11"/>
  <c r="A126" i="11"/>
  <c r="G126" i="11" s="1"/>
  <c r="F125" i="11"/>
  <c r="D125" i="11"/>
  <c r="C125" i="11"/>
  <c r="B125" i="11"/>
  <c r="A125" i="11"/>
  <c r="G125" i="11" s="1"/>
  <c r="F124" i="11"/>
  <c r="D124" i="11"/>
  <c r="C124" i="11"/>
  <c r="B124" i="11"/>
  <c r="A124" i="11"/>
  <c r="G124" i="11" s="1"/>
  <c r="F123" i="11"/>
  <c r="D123" i="11"/>
  <c r="C123" i="11"/>
  <c r="B123" i="11"/>
  <c r="A123" i="11"/>
  <c r="G123" i="11" s="1"/>
  <c r="F122" i="11"/>
  <c r="D122" i="11"/>
  <c r="C122" i="11"/>
  <c r="B122" i="11"/>
  <c r="A122" i="11"/>
  <c r="G122" i="11" s="1"/>
  <c r="F121" i="11"/>
  <c r="D121" i="11"/>
  <c r="C121" i="11"/>
  <c r="B121" i="11"/>
  <c r="A121" i="11"/>
  <c r="G121" i="11" s="1"/>
  <c r="F120" i="11"/>
  <c r="D120" i="11"/>
  <c r="C120" i="11"/>
  <c r="B120" i="11"/>
  <c r="A120" i="11"/>
  <c r="G120" i="11" s="1"/>
  <c r="F119" i="11"/>
  <c r="D119" i="11"/>
  <c r="C119" i="11"/>
  <c r="B119" i="11"/>
  <c r="A119" i="11"/>
  <c r="G119" i="11" s="1"/>
  <c r="F118" i="11"/>
  <c r="D118" i="11"/>
  <c r="C118" i="11"/>
  <c r="B118" i="11"/>
  <c r="A118" i="11"/>
  <c r="G118" i="11" s="1"/>
  <c r="F117" i="11"/>
  <c r="D117" i="11"/>
  <c r="C117" i="11"/>
  <c r="B117" i="11"/>
  <c r="A117" i="11"/>
  <c r="G117" i="11" s="1"/>
  <c r="F116" i="11"/>
  <c r="D116" i="11"/>
  <c r="C116" i="11"/>
  <c r="B116" i="11"/>
  <c r="A116" i="11"/>
  <c r="G116" i="11" s="1"/>
  <c r="F115" i="11"/>
  <c r="D115" i="11"/>
  <c r="C115" i="11"/>
  <c r="B115" i="11"/>
  <c r="A115" i="11"/>
  <c r="G115" i="11" s="1"/>
  <c r="F114" i="11"/>
  <c r="D114" i="11"/>
  <c r="C114" i="11"/>
  <c r="B114" i="11"/>
  <c r="A114" i="11"/>
  <c r="G114" i="11" s="1"/>
  <c r="F113" i="11"/>
  <c r="D113" i="11"/>
  <c r="C113" i="11"/>
  <c r="B113" i="11"/>
  <c r="A113" i="11"/>
  <c r="G113" i="11" s="1"/>
  <c r="F112" i="11"/>
  <c r="D112" i="11"/>
  <c r="C112" i="11"/>
  <c r="B112" i="11"/>
  <c r="A112" i="11"/>
  <c r="G112" i="11" s="1"/>
  <c r="F111" i="11"/>
  <c r="D111" i="11"/>
  <c r="C111" i="11"/>
  <c r="B111" i="11"/>
  <c r="A111" i="11"/>
  <c r="G111" i="11" s="1"/>
  <c r="F110" i="11"/>
  <c r="D110" i="11"/>
  <c r="C110" i="11"/>
  <c r="B110" i="11"/>
  <c r="A110" i="11"/>
  <c r="G110" i="11" s="1"/>
  <c r="F109" i="11"/>
  <c r="D109" i="11"/>
  <c r="C109" i="11"/>
  <c r="B109" i="11"/>
  <c r="A109" i="11"/>
  <c r="G109" i="11" s="1"/>
  <c r="F108" i="11"/>
  <c r="D108" i="11"/>
  <c r="C108" i="11"/>
  <c r="B108" i="11"/>
  <c r="A108" i="11"/>
  <c r="G108" i="11" s="1"/>
  <c r="F107" i="11"/>
  <c r="D107" i="11"/>
  <c r="C107" i="11"/>
  <c r="B107" i="11"/>
  <c r="A107" i="11"/>
  <c r="G107" i="11" s="1"/>
  <c r="F106" i="11"/>
  <c r="D106" i="11"/>
  <c r="C106" i="11"/>
  <c r="B106" i="11"/>
  <c r="A106" i="11"/>
  <c r="G106" i="11" s="1"/>
  <c r="F105" i="11"/>
  <c r="D105" i="11"/>
  <c r="C105" i="11"/>
  <c r="B105" i="11"/>
  <c r="A105" i="11"/>
  <c r="G105" i="11" s="1"/>
  <c r="F104" i="11"/>
  <c r="D104" i="11"/>
  <c r="C104" i="11"/>
  <c r="B104" i="11"/>
  <c r="A104" i="11"/>
  <c r="G104" i="11" s="1"/>
  <c r="F103" i="11"/>
  <c r="D103" i="11"/>
  <c r="C103" i="11"/>
  <c r="B103" i="11"/>
  <c r="A103" i="11"/>
  <c r="G103" i="11" s="1"/>
  <c r="F102" i="11"/>
  <c r="D102" i="11"/>
  <c r="C102" i="11"/>
  <c r="B102" i="11"/>
  <c r="A102" i="11"/>
  <c r="G102" i="11" s="1"/>
  <c r="F101" i="11"/>
  <c r="D101" i="11"/>
  <c r="C101" i="11"/>
  <c r="B101" i="11"/>
  <c r="A101" i="11"/>
  <c r="G101" i="11" s="1"/>
  <c r="F100" i="11"/>
  <c r="D100" i="11"/>
  <c r="C100" i="11"/>
  <c r="B100" i="11"/>
  <c r="A100" i="11"/>
  <c r="G100" i="11" s="1"/>
  <c r="F99" i="11"/>
  <c r="D99" i="11"/>
  <c r="C99" i="11"/>
  <c r="B99" i="11"/>
  <c r="A99" i="11"/>
  <c r="G99" i="11" s="1"/>
  <c r="F98" i="11"/>
  <c r="D98" i="11"/>
  <c r="C98" i="11"/>
  <c r="B98" i="11"/>
  <c r="A98" i="11"/>
  <c r="G98" i="11" s="1"/>
  <c r="F97" i="11"/>
  <c r="D97" i="11"/>
  <c r="C97" i="11"/>
  <c r="B97" i="11"/>
  <c r="A97" i="11"/>
  <c r="G97" i="11" s="1"/>
  <c r="F96" i="11"/>
  <c r="D96" i="11"/>
  <c r="C96" i="11"/>
  <c r="B96" i="11"/>
  <c r="A96" i="11"/>
  <c r="G96" i="11" s="1"/>
  <c r="F95" i="11"/>
  <c r="D95" i="11"/>
  <c r="C95" i="11"/>
  <c r="B95" i="11"/>
  <c r="A95" i="11"/>
  <c r="G95" i="11" s="1"/>
  <c r="F94" i="11"/>
  <c r="D94" i="11"/>
  <c r="C94" i="11"/>
  <c r="B94" i="11"/>
  <c r="A94" i="11"/>
  <c r="G94" i="11" s="1"/>
  <c r="F93" i="11"/>
  <c r="D93" i="11"/>
  <c r="C93" i="11"/>
  <c r="B93" i="11"/>
  <c r="A93" i="11"/>
  <c r="G93" i="11" s="1"/>
  <c r="F92" i="11"/>
  <c r="D92" i="11"/>
  <c r="C92" i="11"/>
  <c r="B92" i="11"/>
  <c r="A92" i="11"/>
  <c r="G92" i="11" s="1"/>
  <c r="F91" i="11"/>
  <c r="D91" i="11"/>
  <c r="C91" i="11"/>
  <c r="B91" i="11"/>
  <c r="A91" i="11"/>
  <c r="G91" i="11" s="1"/>
  <c r="F90" i="11"/>
  <c r="D90" i="11"/>
  <c r="C90" i="11"/>
  <c r="B90" i="11"/>
  <c r="A90" i="11"/>
  <c r="G90" i="11" s="1"/>
  <c r="F89" i="11"/>
  <c r="D89" i="11"/>
  <c r="C89" i="11"/>
  <c r="B89" i="11"/>
  <c r="A89" i="11"/>
  <c r="G89" i="11" s="1"/>
  <c r="F88" i="11"/>
  <c r="D88" i="11"/>
  <c r="C88" i="11"/>
  <c r="B88" i="11"/>
  <c r="A88" i="11"/>
  <c r="G88" i="11" s="1"/>
  <c r="F87" i="11"/>
  <c r="D87" i="11"/>
  <c r="C87" i="11"/>
  <c r="B87" i="11"/>
  <c r="A87" i="11"/>
  <c r="G87" i="11" s="1"/>
  <c r="F86" i="11"/>
  <c r="D86" i="11"/>
  <c r="C86" i="11"/>
  <c r="B86" i="11"/>
  <c r="A86" i="11"/>
  <c r="G86" i="11" s="1"/>
  <c r="F85" i="11"/>
  <c r="D85" i="11"/>
  <c r="C85" i="11"/>
  <c r="B85" i="11"/>
  <c r="A85" i="11"/>
  <c r="G85" i="11" s="1"/>
  <c r="F84" i="11"/>
  <c r="D84" i="11"/>
  <c r="C84" i="11"/>
  <c r="B84" i="11"/>
  <c r="A84" i="11"/>
  <c r="G84" i="11" s="1"/>
  <c r="F83" i="11"/>
  <c r="D83" i="11"/>
  <c r="C83" i="11"/>
  <c r="B83" i="11"/>
  <c r="A83" i="11"/>
  <c r="G83" i="11" s="1"/>
  <c r="F82" i="11"/>
  <c r="D82" i="11"/>
  <c r="C82" i="11"/>
  <c r="B82" i="11"/>
  <c r="A82" i="11"/>
  <c r="G82" i="11" s="1"/>
  <c r="F81" i="11"/>
  <c r="D81" i="11"/>
  <c r="C81" i="11"/>
  <c r="B81" i="11"/>
  <c r="A81" i="11"/>
  <c r="G81" i="11" s="1"/>
  <c r="F80" i="11"/>
  <c r="D80" i="11"/>
  <c r="C80" i="11"/>
  <c r="B80" i="11"/>
  <c r="A80" i="11"/>
  <c r="G80" i="11" s="1"/>
  <c r="F79" i="11"/>
  <c r="D79" i="11"/>
  <c r="C79" i="11"/>
  <c r="B79" i="11"/>
  <c r="A79" i="11"/>
  <c r="G79" i="11" s="1"/>
  <c r="F78" i="11"/>
  <c r="D78" i="11"/>
  <c r="C78" i="11"/>
  <c r="B78" i="11"/>
  <c r="A78" i="11"/>
  <c r="G78" i="11" s="1"/>
  <c r="F77" i="11"/>
  <c r="D77" i="11"/>
  <c r="C77" i="11"/>
  <c r="B77" i="11"/>
  <c r="A77" i="11"/>
  <c r="G77" i="11" s="1"/>
  <c r="F76" i="11"/>
  <c r="D76" i="11"/>
  <c r="C76" i="11"/>
  <c r="B76" i="11"/>
  <c r="A76" i="11"/>
  <c r="G76" i="11" s="1"/>
  <c r="F75" i="11"/>
  <c r="D75" i="11"/>
  <c r="C75" i="11"/>
  <c r="B75" i="11"/>
  <c r="A75" i="11"/>
  <c r="G75" i="11" s="1"/>
  <c r="F74" i="11"/>
  <c r="D74" i="11"/>
  <c r="C74" i="11"/>
  <c r="B74" i="11"/>
  <c r="A74" i="11"/>
  <c r="G74" i="11" s="1"/>
  <c r="F73" i="11"/>
  <c r="D73" i="11"/>
  <c r="C73" i="11"/>
  <c r="B73" i="11"/>
  <c r="A73" i="11"/>
  <c r="G73" i="11" s="1"/>
  <c r="F72" i="11"/>
  <c r="D72" i="11"/>
  <c r="C72" i="11"/>
  <c r="B72" i="11"/>
  <c r="A72" i="11"/>
  <c r="G72" i="11" s="1"/>
  <c r="F71" i="11"/>
  <c r="D71" i="11"/>
  <c r="C71" i="11"/>
  <c r="B71" i="11"/>
  <c r="A71" i="11"/>
  <c r="G71" i="11" s="1"/>
  <c r="F70" i="11"/>
  <c r="D70" i="11"/>
  <c r="C70" i="11"/>
  <c r="B70" i="11"/>
  <c r="A70" i="11"/>
  <c r="G70" i="11" s="1"/>
  <c r="F69" i="11"/>
  <c r="D69" i="11"/>
  <c r="C69" i="11"/>
  <c r="B69" i="11"/>
  <c r="A69" i="11"/>
  <c r="G69" i="11" s="1"/>
  <c r="F68" i="11"/>
  <c r="D68" i="11"/>
  <c r="C68" i="11"/>
  <c r="B68" i="11"/>
  <c r="A68" i="11"/>
  <c r="G68" i="11" s="1"/>
  <c r="F67" i="11"/>
  <c r="D67" i="11"/>
  <c r="C67" i="11"/>
  <c r="B67" i="11"/>
  <c r="A67" i="11"/>
  <c r="G67" i="11" s="1"/>
  <c r="F66" i="11"/>
  <c r="D66" i="11"/>
  <c r="C66" i="11"/>
  <c r="B66" i="11"/>
  <c r="A66" i="11"/>
  <c r="G66" i="11" s="1"/>
  <c r="F65" i="11"/>
  <c r="D65" i="11"/>
  <c r="C65" i="11"/>
  <c r="B65" i="11"/>
  <c r="A65" i="11"/>
  <c r="G65" i="11" s="1"/>
  <c r="F64" i="11"/>
  <c r="D64" i="11"/>
  <c r="C64" i="11"/>
  <c r="B64" i="11"/>
  <c r="A64" i="11"/>
  <c r="G64" i="11" s="1"/>
  <c r="F63" i="11"/>
  <c r="D63" i="11"/>
  <c r="C63" i="11"/>
  <c r="B63" i="11"/>
  <c r="A63" i="11"/>
  <c r="G63" i="11" s="1"/>
  <c r="F62" i="11"/>
  <c r="D62" i="11"/>
  <c r="C62" i="11"/>
  <c r="B62" i="11"/>
  <c r="A62" i="11"/>
  <c r="G62" i="11" s="1"/>
  <c r="F61" i="11"/>
  <c r="D61" i="11"/>
  <c r="C61" i="11"/>
  <c r="B61" i="11"/>
  <c r="A61" i="11"/>
  <c r="G61" i="11" s="1"/>
  <c r="F60" i="11"/>
  <c r="D60" i="11"/>
  <c r="C60" i="11"/>
  <c r="B60" i="11"/>
  <c r="A60" i="11"/>
  <c r="G60" i="11" s="1"/>
  <c r="F59" i="11"/>
  <c r="D59" i="11"/>
  <c r="C59" i="11"/>
  <c r="B59" i="11"/>
  <c r="A59" i="11"/>
  <c r="G59" i="11" s="1"/>
  <c r="F58" i="11"/>
  <c r="D58" i="11"/>
  <c r="C58" i="11"/>
  <c r="B58" i="11"/>
  <c r="A58" i="11"/>
  <c r="G58" i="11" s="1"/>
  <c r="F57" i="11"/>
  <c r="D57" i="11"/>
  <c r="C57" i="11"/>
  <c r="B57" i="11"/>
  <c r="A57" i="11"/>
  <c r="G57" i="11" s="1"/>
  <c r="F56" i="11"/>
  <c r="D56" i="11"/>
  <c r="C56" i="11"/>
  <c r="B56" i="11"/>
  <c r="A56" i="11"/>
  <c r="G56" i="11" s="1"/>
  <c r="F55" i="11"/>
  <c r="D55" i="11"/>
  <c r="C55" i="11"/>
  <c r="B55" i="11"/>
  <c r="A55" i="11"/>
  <c r="G55" i="11" s="1"/>
  <c r="F54" i="11"/>
  <c r="D54" i="11"/>
  <c r="C54" i="11"/>
  <c r="B54" i="11"/>
  <c r="A54" i="11"/>
  <c r="G54" i="11" s="1"/>
  <c r="F53" i="11"/>
  <c r="D53" i="11"/>
  <c r="C53" i="11"/>
  <c r="B53" i="11"/>
  <c r="A53" i="11"/>
  <c r="G53" i="11" s="1"/>
  <c r="F52" i="11"/>
  <c r="D52" i="11"/>
  <c r="C52" i="11"/>
  <c r="B52" i="11"/>
  <c r="A52" i="11"/>
  <c r="G52" i="11" s="1"/>
  <c r="F51" i="11"/>
  <c r="D51" i="11"/>
  <c r="C51" i="11"/>
  <c r="B51" i="11"/>
  <c r="A51" i="11"/>
  <c r="G51" i="11" s="1"/>
  <c r="F50" i="11"/>
  <c r="D50" i="11"/>
  <c r="C50" i="11"/>
  <c r="B50" i="11"/>
  <c r="A50" i="11"/>
  <c r="G50" i="11" s="1"/>
  <c r="F49" i="11"/>
  <c r="D49" i="11"/>
  <c r="C49" i="11"/>
  <c r="B49" i="11"/>
  <c r="A49" i="11"/>
  <c r="G49" i="11" s="1"/>
  <c r="F48" i="11"/>
  <c r="D48" i="11"/>
  <c r="C48" i="11"/>
  <c r="B48" i="11"/>
  <c r="A48" i="11"/>
  <c r="G48" i="11" s="1"/>
  <c r="F47" i="11"/>
  <c r="D47" i="11"/>
  <c r="C47" i="11"/>
  <c r="B47" i="11"/>
  <c r="A47" i="11"/>
  <c r="G47" i="11" s="1"/>
  <c r="F46" i="11"/>
  <c r="D46" i="11"/>
  <c r="C46" i="11"/>
  <c r="B46" i="11"/>
  <c r="A46" i="11"/>
  <c r="G46" i="11" s="1"/>
  <c r="F45" i="11"/>
  <c r="D45" i="11"/>
  <c r="C45" i="11"/>
  <c r="B45" i="11"/>
  <c r="A45" i="11"/>
  <c r="G45" i="11" s="1"/>
  <c r="F44" i="11"/>
  <c r="D44" i="11"/>
  <c r="C44" i="11"/>
  <c r="B44" i="11"/>
  <c r="A44" i="11"/>
  <c r="G44" i="11" s="1"/>
  <c r="F43" i="11"/>
  <c r="D43" i="11"/>
  <c r="C43" i="11"/>
  <c r="B43" i="11"/>
  <c r="A43" i="11"/>
  <c r="G43" i="11" s="1"/>
  <c r="F42" i="11"/>
  <c r="D42" i="11"/>
  <c r="C42" i="11"/>
  <c r="B42" i="11"/>
  <c r="A42" i="11"/>
  <c r="G42" i="11" s="1"/>
  <c r="F41" i="11"/>
  <c r="D41" i="11"/>
  <c r="C41" i="11"/>
  <c r="B41" i="11"/>
  <c r="A41" i="11"/>
  <c r="G41" i="11" s="1"/>
  <c r="F40" i="11"/>
  <c r="D40" i="11"/>
  <c r="C40" i="11"/>
  <c r="B40" i="11"/>
  <c r="A40" i="11"/>
  <c r="G40" i="11" s="1"/>
  <c r="F39" i="11"/>
  <c r="D39" i="11"/>
  <c r="C39" i="11"/>
  <c r="B39" i="11"/>
  <c r="A39" i="11"/>
  <c r="G39" i="11" s="1"/>
  <c r="F38" i="11"/>
  <c r="D38" i="11"/>
  <c r="C38" i="11"/>
  <c r="B38" i="11"/>
  <c r="A38" i="11"/>
  <c r="G38" i="11" s="1"/>
  <c r="F37" i="11"/>
  <c r="D37" i="11"/>
  <c r="C37" i="11"/>
  <c r="B37" i="11"/>
  <c r="A37" i="11"/>
  <c r="G37" i="11" s="1"/>
  <c r="F36" i="11"/>
  <c r="D36" i="11"/>
  <c r="C36" i="11"/>
  <c r="B36" i="11"/>
  <c r="A36" i="11"/>
  <c r="G36" i="11" s="1"/>
  <c r="F35" i="11"/>
  <c r="D35" i="11"/>
  <c r="C35" i="11"/>
  <c r="B35" i="11"/>
  <c r="A35" i="11"/>
  <c r="G35" i="11" s="1"/>
  <c r="F34" i="11"/>
  <c r="D34" i="11"/>
  <c r="C34" i="11"/>
  <c r="B34" i="11"/>
  <c r="A34" i="11"/>
  <c r="G34" i="11" s="1"/>
  <c r="F33" i="11"/>
  <c r="D33" i="11"/>
  <c r="C33" i="11"/>
  <c r="B33" i="11"/>
  <c r="A33" i="11"/>
  <c r="G33" i="11" s="1"/>
  <c r="F32" i="11"/>
  <c r="D32" i="11"/>
  <c r="C32" i="11"/>
  <c r="B32" i="11"/>
  <c r="A32" i="11"/>
  <c r="G32" i="11" s="1"/>
  <c r="F31" i="11"/>
  <c r="D31" i="11"/>
  <c r="C31" i="11"/>
  <c r="B31" i="11"/>
  <c r="A31" i="11"/>
  <c r="G31" i="11" s="1"/>
  <c r="F30" i="11"/>
  <c r="D30" i="11"/>
  <c r="C30" i="11"/>
  <c r="B30" i="11"/>
  <c r="A30" i="11"/>
  <c r="G30" i="11" s="1"/>
  <c r="F29" i="11"/>
  <c r="D29" i="11"/>
  <c r="C29" i="11"/>
  <c r="B29" i="11"/>
  <c r="A29" i="11"/>
  <c r="G29" i="11" s="1"/>
  <c r="F28" i="11"/>
  <c r="D28" i="11"/>
  <c r="C28" i="11"/>
  <c r="B28" i="11"/>
  <c r="A28" i="11"/>
  <c r="G28" i="11" s="1"/>
  <c r="F27" i="11"/>
  <c r="D27" i="11"/>
  <c r="C27" i="11"/>
  <c r="B27" i="11"/>
  <c r="A27" i="11"/>
  <c r="G27" i="11" s="1"/>
  <c r="F26" i="11"/>
  <c r="D26" i="11"/>
  <c r="C26" i="11"/>
  <c r="B26" i="11"/>
  <c r="A26" i="11"/>
  <c r="G26" i="11" s="1"/>
  <c r="F25" i="11"/>
  <c r="D25" i="11"/>
  <c r="C25" i="11"/>
  <c r="B25" i="11"/>
  <c r="A25" i="11"/>
  <c r="G25" i="11" s="1"/>
  <c r="F24" i="11"/>
  <c r="D24" i="11"/>
  <c r="C24" i="11"/>
  <c r="B24" i="11"/>
  <c r="A24" i="11"/>
  <c r="G24" i="11" s="1"/>
  <c r="F23" i="11"/>
  <c r="D23" i="11"/>
  <c r="C23" i="11"/>
  <c r="B23" i="11"/>
  <c r="A23" i="11"/>
  <c r="G23" i="11" s="1"/>
  <c r="F22" i="11"/>
  <c r="D22" i="11"/>
  <c r="C22" i="11"/>
  <c r="B22" i="11"/>
  <c r="A22" i="11"/>
  <c r="G22" i="11" s="1"/>
  <c r="F21" i="11"/>
  <c r="D21" i="11"/>
  <c r="C21" i="11"/>
  <c r="B21" i="11"/>
  <c r="A21" i="11"/>
  <c r="G21" i="11" s="1"/>
  <c r="F20" i="11"/>
  <c r="D20" i="11"/>
  <c r="C20" i="11"/>
  <c r="B20" i="11"/>
  <c r="A20" i="11"/>
  <c r="G20" i="11" s="1"/>
  <c r="F19" i="11"/>
  <c r="D19" i="11"/>
  <c r="C19" i="11"/>
  <c r="B19" i="11"/>
  <c r="A19" i="11"/>
  <c r="G19" i="11" s="1"/>
  <c r="F18" i="11"/>
  <c r="D18" i="11"/>
  <c r="C18" i="11"/>
  <c r="B18" i="11"/>
  <c r="A18" i="11"/>
  <c r="G18" i="11" s="1"/>
  <c r="F17" i="11"/>
  <c r="D17" i="11"/>
  <c r="C17" i="11"/>
  <c r="B17" i="11"/>
  <c r="A17" i="11"/>
  <c r="G17" i="11" s="1"/>
  <c r="F16" i="11"/>
  <c r="D16" i="11"/>
  <c r="C16" i="11"/>
  <c r="B16" i="11"/>
  <c r="A16" i="11"/>
  <c r="G16" i="11" s="1"/>
  <c r="F15" i="11"/>
  <c r="D15" i="11"/>
  <c r="C15" i="11"/>
  <c r="B15" i="11"/>
  <c r="A15" i="11"/>
  <c r="G15" i="11" s="1"/>
  <c r="F14" i="11"/>
  <c r="D14" i="11"/>
  <c r="C14" i="11"/>
  <c r="B14" i="11"/>
  <c r="A14" i="11"/>
  <c r="G14" i="11" s="1"/>
  <c r="F13" i="11"/>
  <c r="D13" i="11"/>
  <c r="C13" i="11"/>
  <c r="B13" i="11"/>
  <c r="A13" i="11"/>
  <c r="G13" i="11" s="1"/>
  <c r="F12" i="11"/>
  <c r="D12" i="11"/>
  <c r="C12" i="11"/>
  <c r="B12" i="11"/>
  <c r="A12" i="11"/>
  <c r="G12" i="11" s="1"/>
  <c r="F11" i="11"/>
  <c r="D11" i="11"/>
  <c r="C11" i="11"/>
  <c r="B11" i="11"/>
  <c r="A11" i="11"/>
  <c r="G11" i="11" s="1"/>
  <c r="F10" i="11"/>
  <c r="F8" i="10"/>
  <c r="E10" i="11"/>
  <c r="E8" i="10"/>
  <c r="D10" i="11"/>
  <c r="D8" i="10"/>
  <c r="C10" i="11"/>
  <c r="B10" i="11"/>
  <c r="A10" i="11"/>
  <c r="G10" i="11" s="1"/>
  <c r="A8" i="10"/>
  <c r="F7" i="11"/>
  <c r="E7" i="11"/>
  <c r="E2" i="11"/>
  <c r="F146" i="10"/>
  <c r="E146" i="10"/>
  <c r="D146" i="10"/>
  <c r="C146" i="10"/>
  <c r="B146" i="10"/>
  <c r="A146" i="10"/>
  <c r="F145" i="10"/>
  <c r="E145" i="10"/>
  <c r="D145" i="10"/>
  <c r="C145" i="10"/>
  <c r="B145" i="10"/>
  <c r="A145" i="10"/>
  <c r="F144" i="10"/>
  <c r="E144" i="10"/>
  <c r="D144" i="10"/>
  <c r="C144" i="10"/>
  <c r="B144" i="10"/>
  <c r="A144" i="10"/>
  <c r="F143" i="10"/>
  <c r="E143" i="10"/>
  <c r="D143" i="10"/>
  <c r="C143" i="10"/>
  <c r="B143" i="10"/>
  <c r="A143" i="10"/>
  <c r="F142" i="10"/>
  <c r="E142" i="10"/>
  <c r="D142" i="10"/>
  <c r="C142" i="10"/>
  <c r="B142" i="10"/>
  <c r="A142" i="10"/>
  <c r="F141" i="10"/>
  <c r="E141" i="10"/>
  <c r="D141" i="10"/>
  <c r="C141" i="10"/>
  <c r="B141" i="10"/>
  <c r="A141" i="10"/>
  <c r="F140" i="10"/>
  <c r="E140" i="10"/>
  <c r="D140" i="10"/>
  <c r="C140" i="10"/>
  <c r="B140" i="10"/>
  <c r="A140" i="10"/>
  <c r="F139" i="10"/>
  <c r="E139" i="10"/>
  <c r="D139" i="10"/>
  <c r="C139" i="10"/>
  <c r="B139" i="10"/>
  <c r="A139" i="10"/>
  <c r="F138" i="10"/>
  <c r="E138" i="10"/>
  <c r="D138" i="10"/>
  <c r="C138" i="10"/>
  <c r="B138" i="10"/>
  <c r="A138" i="10"/>
  <c r="F137" i="10"/>
  <c r="E137" i="10"/>
  <c r="D137" i="10"/>
  <c r="C137" i="10"/>
  <c r="B137" i="10"/>
  <c r="A137" i="10"/>
  <c r="F136" i="10"/>
  <c r="E136" i="10"/>
  <c r="D136" i="10"/>
  <c r="C136" i="10"/>
  <c r="B136" i="10"/>
  <c r="A136" i="10"/>
  <c r="F135" i="10"/>
  <c r="E135" i="10"/>
  <c r="D135" i="10"/>
  <c r="C135" i="10"/>
  <c r="B135" i="10"/>
  <c r="A135" i="10"/>
  <c r="F134" i="10"/>
  <c r="E134" i="10"/>
  <c r="D134" i="10"/>
  <c r="C134" i="10"/>
  <c r="B134" i="10"/>
  <c r="A134" i="10"/>
  <c r="F133" i="10"/>
  <c r="E133" i="10"/>
  <c r="D133" i="10"/>
  <c r="C133" i="10"/>
  <c r="B133" i="10"/>
  <c r="A133" i="10"/>
  <c r="F132" i="10"/>
  <c r="E132" i="10"/>
  <c r="D132" i="10"/>
  <c r="C132" i="10"/>
  <c r="B132" i="10"/>
  <c r="A132" i="10"/>
  <c r="F131" i="10"/>
  <c r="E131" i="10"/>
  <c r="D131" i="10"/>
  <c r="C131" i="10"/>
  <c r="B131" i="10"/>
  <c r="A131" i="10"/>
  <c r="F130" i="10"/>
  <c r="E130" i="10"/>
  <c r="D130" i="10"/>
  <c r="C130" i="10"/>
  <c r="B130" i="10"/>
  <c r="A130" i="10"/>
  <c r="F129" i="10"/>
  <c r="E129" i="10"/>
  <c r="D129" i="10"/>
  <c r="C129" i="10"/>
  <c r="B129" i="10"/>
  <c r="A129" i="10"/>
  <c r="F128" i="10"/>
  <c r="E128" i="10"/>
  <c r="D128" i="10"/>
  <c r="C128" i="10"/>
  <c r="B128" i="10"/>
  <c r="A128" i="10"/>
  <c r="F127" i="10"/>
  <c r="E127" i="10"/>
  <c r="D127" i="10"/>
  <c r="C127" i="10"/>
  <c r="B127" i="10"/>
  <c r="A127" i="10"/>
  <c r="F126" i="10"/>
  <c r="E126" i="10"/>
  <c r="D126" i="10"/>
  <c r="C126" i="10"/>
  <c r="B126" i="10"/>
  <c r="A126" i="10"/>
  <c r="F125" i="10"/>
  <c r="E125" i="10"/>
  <c r="D125" i="10"/>
  <c r="C125" i="10"/>
  <c r="B125" i="10"/>
  <c r="A125" i="10"/>
  <c r="F124" i="10"/>
  <c r="E124" i="10"/>
  <c r="D124" i="10"/>
  <c r="C124" i="10"/>
  <c r="B124" i="10"/>
  <c r="A124" i="10"/>
  <c r="F123" i="10"/>
  <c r="E123" i="10"/>
  <c r="D123" i="10"/>
  <c r="C123" i="10"/>
  <c r="B123" i="10"/>
  <c r="A123" i="10"/>
  <c r="F122" i="10"/>
  <c r="E122" i="10"/>
  <c r="D122" i="10"/>
  <c r="C122" i="10"/>
  <c r="B122" i="10"/>
  <c r="A122" i="10"/>
  <c r="F121" i="10"/>
  <c r="E121" i="10"/>
  <c r="D121" i="10"/>
  <c r="C121" i="10"/>
  <c r="B121" i="10"/>
  <c r="A121" i="10"/>
  <c r="F120" i="10"/>
  <c r="E120" i="10"/>
  <c r="D120" i="10"/>
  <c r="C120" i="10"/>
  <c r="B120" i="10"/>
  <c r="A120" i="10"/>
  <c r="F119" i="10"/>
  <c r="E119" i="10"/>
  <c r="D119" i="10"/>
  <c r="C119" i="10"/>
  <c r="B119" i="10"/>
  <c r="A119" i="10"/>
  <c r="F118" i="10"/>
  <c r="E118" i="10"/>
  <c r="D118" i="10"/>
  <c r="C118" i="10"/>
  <c r="B118" i="10"/>
  <c r="A118" i="10"/>
  <c r="F117" i="10"/>
  <c r="E117" i="10"/>
  <c r="D117" i="10"/>
  <c r="C117" i="10"/>
  <c r="B117" i="10"/>
  <c r="A117" i="10"/>
  <c r="F116" i="10"/>
  <c r="E116" i="10"/>
  <c r="D116" i="10"/>
  <c r="C116" i="10"/>
  <c r="B116" i="10"/>
  <c r="A116" i="10"/>
  <c r="F115" i="10"/>
  <c r="E115" i="10"/>
  <c r="D115" i="10"/>
  <c r="C115" i="10"/>
  <c r="B115" i="10"/>
  <c r="A115" i="10"/>
  <c r="F114" i="10"/>
  <c r="E114" i="10"/>
  <c r="D114" i="10"/>
  <c r="C114" i="10"/>
  <c r="B114" i="10"/>
  <c r="A114" i="10"/>
  <c r="F113" i="10"/>
  <c r="E113" i="10"/>
  <c r="D113" i="10"/>
  <c r="C113" i="10"/>
  <c r="B113" i="10"/>
  <c r="A113" i="10"/>
  <c r="F112" i="10"/>
  <c r="E112" i="10"/>
  <c r="D112" i="10"/>
  <c r="C112" i="10"/>
  <c r="B112" i="10"/>
  <c r="A112" i="10"/>
  <c r="F111" i="10"/>
  <c r="E111" i="10"/>
  <c r="D111" i="10"/>
  <c r="C111" i="10"/>
  <c r="B111" i="10"/>
  <c r="A111" i="10"/>
  <c r="F110" i="10"/>
  <c r="E110" i="10"/>
  <c r="D110" i="10"/>
  <c r="C110" i="10"/>
  <c r="B110" i="10"/>
  <c r="A110" i="10"/>
  <c r="F109" i="10"/>
  <c r="E109" i="10"/>
  <c r="D109" i="10"/>
  <c r="C109" i="10"/>
  <c r="B109" i="10"/>
  <c r="A109" i="10"/>
  <c r="F108" i="10"/>
  <c r="E108" i="10"/>
  <c r="D108" i="10"/>
  <c r="C108" i="10"/>
  <c r="B108" i="10"/>
  <c r="A108" i="10"/>
  <c r="F107" i="10"/>
  <c r="E107" i="10"/>
  <c r="D107" i="10"/>
  <c r="C107" i="10"/>
  <c r="B107" i="10"/>
  <c r="A107" i="10"/>
  <c r="F106" i="10"/>
  <c r="E106" i="10"/>
  <c r="D106" i="10"/>
  <c r="C106" i="10"/>
  <c r="B106" i="10"/>
  <c r="A106" i="10"/>
  <c r="F105" i="10"/>
  <c r="E105" i="10"/>
  <c r="D105" i="10"/>
  <c r="C105" i="10"/>
  <c r="B105" i="10"/>
  <c r="A105" i="10"/>
  <c r="F104" i="10"/>
  <c r="E104" i="10"/>
  <c r="D104" i="10"/>
  <c r="C104" i="10"/>
  <c r="B104" i="10"/>
  <c r="A104" i="10"/>
  <c r="F103" i="10"/>
  <c r="E103" i="10"/>
  <c r="D103" i="10"/>
  <c r="C103" i="10"/>
  <c r="B103" i="10"/>
  <c r="A103" i="10"/>
  <c r="F102" i="10"/>
  <c r="E102" i="10"/>
  <c r="D102" i="10"/>
  <c r="C102" i="10"/>
  <c r="B102" i="10"/>
  <c r="A102" i="10"/>
  <c r="F101" i="10"/>
  <c r="E101" i="10"/>
  <c r="D101" i="10"/>
  <c r="C101" i="10"/>
  <c r="B101" i="10"/>
  <c r="A101" i="10"/>
  <c r="F100" i="10"/>
  <c r="E100" i="10"/>
  <c r="D100" i="10"/>
  <c r="C100" i="10"/>
  <c r="B100" i="10"/>
  <c r="A100" i="10"/>
  <c r="F99" i="10"/>
  <c r="E99" i="10"/>
  <c r="D99" i="10"/>
  <c r="C99" i="10"/>
  <c r="B99" i="10"/>
  <c r="A99" i="10"/>
  <c r="F98" i="10"/>
  <c r="E98" i="10"/>
  <c r="D98" i="10"/>
  <c r="C98" i="10"/>
  <c r="B98" i="10"/>
  <c r="A98" i="10"/>
  <c r="F97" i="10"/>
  <c r="E97" i="10"/>
  <c r="D97" i="10"/>
  <c r="C97" i="10"/>
  <c r="B97" i="10"/>
  <c r="A97" i="10"/>
  <c r="F96" i="10"/>
  <c r="E96" i="10"/>
  <c r="D96" i="10"/>
  <c r="C96" i="10"/>
  <c r="B96" i="10"/>
  <c r="A96" i="10"/>
  <c r="F95" i="10"/>
  <c r="E95" i="10"/>
  <c r="D95" i="10"/>
  <c r="C95" i="10"/>
  <c r="B95" i="10"/>
  <c r="A95" i="10"/>
  <c r="F94" i="10"/>
  <c r="E94" i="10"/>
  <c r="D94" i="10"/>
  <c r="C94" i="10"/>
  <c r="B94" i="10"/>
  <c r="A94" i="10"/>
  <c r="F93" i="10"/>
  <c r="E93" i="10"/>
  <c r="D93" i="10"/>
  <c r="C93" i="10"/>
  <c r="B93" i="10"/>
  <c r="A93" i="10"/>
  <c r="F92" i="10"/>
  <c r="E92" i="10"/>
  <c r="D92" i="10"/>
  <c r="C92" i="10"/>
  <c r="B92" i="10"/>
  <c r="A92" i="10"/>
  <c r="F91" i="10"/>
  <c r="E91" i="10"/>
  <c r="D91" i="10"/>
  <c r="C91" i="10"/>
  <c r="B91" i="10"/>
  <c r="A91" i="10"/>
  <c r="F90" i="10"/>
  <c r="E90" i="10"/>
  <c r="D90" i="10"/>
  <c r="C90" i="10"/>
  <c r="B90" i="10"/>
  <c r="A90" i="10"/>
  <c r="F89" i="10"/>
  <c r="E89" i="10"/>
  <c r="D89" i="10"/>
  <c r="C89" i="10"/>
  <c r="B89" i="10"/>
  <c r="A89" i="10"/>
  <c r="F88" i="10"/>
  <c r="E88" i="10"/>
  <c r="D88" i="10"/>
  <c r="C88" i="10"/>
  <c r="B88" i="10"/>
  <c r="A88" i="10"/>
  <c r="F87" i="10"/>
  <c r="E87" i="10"/>
  <c r="D87" i="10"/>
  <c r="C87" i="10"/>
  <c r="B87" i="10"/>
  <c r="A87" i="10"/>
  <c r="F86" i="10"/>
  <c r="E86" i="10"/>
  <c r="D86" i="10"/>
  <c r="C86" i="10"/>
  <c r="B86" i="10"/>
  <c r="A86" i="10"/>
  <c r="F85" i="10"/>
  <c r="E85" i="10"/>
  <c r="D85" i="10"/>
  <c r="C85" i="10"/>
  <c r="B85" i="10"/>
  <c r="A85" i="10"/>
  <c r="F84" i="10"/>
  <c r="E84" i="10"/>
  <c r="D84" i="10"/>
  <c r="C84" i="10"/>
  <c r="B84" i="10"/>
  <c r="A84" i="10"/>
  <c r="F83" i="10"/>
  <c r="E83" i="10"/>
  <c r="D83" i="10"/>
  <c r="C83" i="10"/>
  <c r="B83" i="10"/>
  <c r="A83" i="10"/>
  <c r="F82" i="10"/>
  <c r="E82" i="10"/>
  <c r="D82" i="10"/>
  <c r="C82" i="10"/>
  <c r="B82" i="10"/>
  <c r="A82" i="10"/>
  <c r="F81" i="10"/>
  <c r="E81" i="10"/>
  <c r="D81" i="10"/>
  <c r="C81" i="10"/>
  <c r="B81" i="10"/>
  <c r="A81" i="10"/>
  <c r="F80" i="10"/>
  <c r="E80" i="10"/>
  <c r="D80" i="10"/>
  <c r="C80" i="10"/>
  <c r="B80" i="10"/>
  <c r="A80" i="10"/>
  <c r="F79" i="10"/>
  <c r="E79" i="10"/>
  <c r="D79" i="10"/>
  <c r="C79" i="10"/>
  <c r="B79" i="10"/>
  <c r="A79" i="10"/>
  <c r="F78" i="10"/>
  <c r="E78" i="10"/>
  <c r="D78" i="10"/>
  <c r="C78" i="10"/>
  <c r="B78" i="10"/>
  <c r="A78" i="10"/>
  <c r="F77" i="10"/>
  <c r="E77" i="10"/>
  <c r="D77" i="10"/>
  <c r="C77" i="10"/>
  <c r="B77" i="10"/>
  <c r="A77" i="10"/>
  <c r="F76" i="10"/>
  <c r="E76" i="10"/>
  <c r="D76" i="10"/>
  <c r="C76" i="10"/>
  <c r="B76" i="10"/>
  <c r="A76" i="10"/>
  <c r="F75" i="10"/>
  <c r="E75" i="10"/>
  <c r="D75" i="10"/>
  <c r="C75" i="10"/>
  <c r="B75" i="10"/>
  <c r="A75" i="10"/>
  <c r="F74" i="10"/>
  <c r="E74" i="10"/>
  <c r="D74" i="10"/>
  <c r="C74" i="10"/>
  <c r="B74" i="10"/>
  <c r="A74" i="10"/>
  <c r="F73" i="10"/>
  <c r="E73" i="10"/>
  <c r="D73" i="10"/>
  <c r="C73" i="10"/>
  <c r="B73" i="10"/>
  <c r="A73" i="10"/>
  <c r="F72" i="10"/>
  <c r="E72" i="10"/>
  <c r="D72" i="10"/>
  <c r="C72" i="10"/>
  <c r="B72" i="10"/>
  <c r="A72" i="10"/>
  <c r="F71" i="10"/>
  <c r="E71" i="10"/>
  <c r="D71" i="10"/>
  <c r="C71" i="10"/>
  <c r="B71" i="10"/>
  <c r="A71" i="10"/>
  <c r="F70" i="10"/>
  <c r="E70" i="10"/>
  <c r="D70" i="10"/>
  <c r="C70" i="10"/>
  <c r="B70" i="10"/>
  <c r="A70" i="10"/>
  <c r="F69" i="10"/>
  <c r="E69" i="10"/>
  <c r="D69" i="10"/>
  <c r="C69" i="10"/>
  <c r="B69" i="10"/>
  <c r="A69" i="10"/>
  <c r="F68" i="10"/>
  <c r="E68" i="10"/>
  <c r="D68" i="10"/>
  <c r="C68" i="10"/>
  <c r="B68" i="10"/>
  <c r="A68" i="10"/>
  <c r="F67" i="10"/>
  <c r="E67" i="10"/>
  <c r="D67" i="10"/>
  <c r="C67" i="10"/>
  <c r="B67" i="10"/>
  <c r="A67" i="10"/>
  <c r="F66" i="10"/>
  <c r="E66" i="10"/>
  <c r="D66" i="10"/>
  <c r="C66" i="10"/>
  <c r="B66" i="10"/>
  <c r="A66" i="10"/>
  <c r="F65" i="10"/>
  <c r="E65" i="10"/>
  <c r="D65" i="10"/>
  <c r="C65" i="10"/>
  <c r="B65" i="10"/>
  <c r="A65" i="10"/>
  <c r="F64" i="10"/>
  <c r="E64" i="10"/>
  <c r="D64" i="10"/>
  <c r="C64" i="10"/>
  <c r="B64" i="10"/>
  <c r="A64" i="10"/>
  <c r="F63" i="10"/>
  <c r="E63" i="10"/>
  <c r="D63" i="10"/>
  <c r="C63" i="10"/>
  <c r="B63" i="10"/>
  <c r="A63" i="10"/>
  <c r="F62" i="10"/>
  <c r="E62" i="10"/>
  <c r="D62" i="10"/>
  <c r="C62" i="10"/>
  <c r="B62" i="10"/>
  <c r="A62" i="10"/>
  <c r="F61" i="10"/>
  <c r="E61" i="10"/>
  <c r="D61" i="10"/>
  <c r="C61" i="10"/>
  <c r="B61" i="10"/>
  <c r="A61" i="10"/>
  <c r="F60" i="10"/>
  <c r="E60" i="10"/>
  <c r="D60" i="10"/>
  <c r="C60" i="10"/>
  <c r="B60" i="10"/>
  <c r="A60" i="10"/>
  <c r="F59" i="10"/>
  <c r="E59" i="10"/>
  <c r="D59" i="10"/>
  <c r="C59" i="10"/>
  <c r="B59" i="10"/>
  <c r="A59" i="10"/>
  <c r="F58" i="10"/>
  <c r="E58" i="10"/>
  <c r="D58" i="10"/>
  <c r="C58" i="10"/>
  <c r="B58" i="10"/>
  <c r="A58" i="10"/>
  <c r="F57" i="10"/>
  <c r="E57" i="10"/>
  <c r="D57" i="10"/>
  <c r="C57" i="10"/>
  <c r="B57" i="10"/>
  <c r="A57" i="10"/>
  <c r="F56" i="10"/>
  <c r="E56" i="10"/>
  <c r="D56" i="10"/>
  <c r="C56" i="10"/>
  <c r="B56" i="10"/>
  <c r="A56" i="10"/>
  <c r="F55" i="10"/>
  <c r="E55" i="10"/>
  <c r="D55" i="10"/>
  <c r="C55" i="10"/>
  <c r="B55" i="10"/>
  <c r="A55" i="10"/>
  <c r="F54" i="10"/>
  <c r="E54" i="10"/>
  <c r="D54" i="10"/>
  <c r="C54" i="10"/>
  <c r="B54" i="10"/>
  <c r="A54" i="10"/>
  <c r="F53" i="10"/>
  <c r="E53" i="10"/>
  <c r="D53" i="10"/>
  <c r="C53" i="10"/>
  <c r="B53" i="10"/>
  <c r="A53" i="10"/>
  <c r="F52" i="10"/>
  <c r="E52" i="10"/>
  <c r="D52" i="10"/>
  <c r="C52" i="10"/>
  <c r="B52" i="10"/>
  <c r="A52" i="10"/>
  <c r="F51" i="10"/>
  <c r="E51" i="10"/>
  <c r="D51" i="10"/>
  <c r="C51" i="10"/>
  <c r="B51" i="10"/>
  <c r="A51" i="10"/>
  <c r="F50" i="10"/>
  <c r="E50" i="10"/>
  <c r="D50" i="10"/>
  <c r="C50" i="10"/>
  <c r="B50" i="10"/>
  <c r="A50" i="10"/>
  <c r="F49" i="10"/>
  <c r="E49" i="10"/>
  <c r="D49" i="10"/>
  <c r="C49" i="10"/>
  <c r="B49" i="10"/>
  <c r="A49" i="10"/>
  <c r="F48" i="10"/>
  <c r="E48" i="10"/>
  <c r="D48" i="10"/>
  <c r="C48" i="10"/>
  <c r="B48" i="10"/>
  <c r="A48" i="10"/>
  <c r="F47" i="10"/>
  <c r="E47" i="10"/>
  <c r="D47" i="10"/>
  <c r="C47" i="10"/>
  <c r="B47" i="10"/>
  <c r="A47" i="10"/>
  <c r="F46" i="10"/>
  <c r="E46" i="10"/>
  <c r="D46" i="10"/>
  <c r="C46" i="10"/>
  <c r="B46" i="10"/>
  <c r="A46" i="10"/>
  <c r="F45" i="10"/>
  <c r="E45" i="10"/>
  <c r="D45" i="10"/>
  <c r="C45" i="10"/>
  <c r="B45" i="10"/>
  <c r="A45" i="10"/>
  <c r="F44" i="10"/>
  <c r="E44" i="10"/>
  <c r="D44" i="10"/>
  <c r="C44" i="10"/>
  <c r="B44" i="10"/>
  <c r="A44" i="10"/>
  <c r="F43" i="10"/>
  <c r="E43" i="10"/>
  <c r="D43" i="10"/>
  <c r="C43" i="10"/>
  <c r="B43" i="10"/>
  <c r="A43" i="10"/>
  <c r="F42" i="10"/>
  <c r="E42" i="10"/>
  <c r="D42" i="10"/>
  <c r="C42" i="10"/>
  <c r="B42" i="10"/>
  <c r="A42" i="10"/>
  <c r="F41" i="10"/>
  <c r="E41" i="10"/>
  <c r="D41" i="10"/>
  <c r="C41" i="10"/>
  <c r="B41" i="10"/>
  <c r="A41" i="10"/>
  <c r="F40" i="10"/>
  <c r="E40" i="10"/>
  <c r="D40" i="10"/>
  <c r="C40" i="10"/>
  <c r="B40" i="10"/>
  <c r="A40" i="10"/>
  <c r="F39" i="10"/>
  <c r="E39" i="10"/>
  <c r="D39" i="10"/>
  <c r="C39" i="10"/>
  <c r="B39" i="10"/>
  <c r="A39" i="10"/>
  <c r="F38" i="10"/>
  <c r="E38" i="10"/>
  <c r="D38" i="10"/>
  <c r="C38" i="10"/>
  <c r="B38" i="10"/>
  <c r="A38" i="10"/>
  <c r="F37" i="10"/>
  <c r="E37" i="10"/>
  <c r="D37" i="10"/>
  <c r="C37" i="10"/>
  <c r="B37" i="10"/>
  <c r="A37" i="10"/>
  <c r="F36" i="10"/>
  <c r="E36" i="10"/>
  <c r="D36" i="10"/>
  <c r="C36" i="10"/>
  <c r="B36" i="10"/>
  <c r="A36" i="10"/>
  <c r="F35" i="10"/>
  <c r="E35" i="10"/>
  <c r="D35" i="10"/>
  <c r="C35" i="10"/>
  <c r="B35" i="10"/>
  <c r="A35" i="10"/>
  <c r="F34" i="10"/>
  <c r="E34" i="10"/>
  <c r="D34" i="10"/>
  <c r="C34" i="10"/>
  <c r="B34" i="10"/>
  <c r="A34" i="10"/>
  <c r="F33" i="10"/>
  <c r="E33" i="10"/>
  <c r="D33" i="10"/>
  <c r="C33" i="10"/>
  <c r="B33" i="10"/>
  <c r="A33" i="10"/>
  <c r="F32" i="10"/>
  <c r="E32" i="10"/>
  <c r="D32" i="10"/>
  <c r="C32" i="10"/>
  <c r="B32" i="10"/>
  <c r="A32" i="10"/>
  <c r="F31" i="10"/>
  <c r="E31" i="10"/>
  <c r="D31" i="10"/>
  <c r="C31" i="10"/>
  <c r="B31" i="10"/>
  <c r="A31" i="10"/>
  <c r="F30" i="10"/>
  <c r="E30" i="10"/>
  <c r="D30" i="10"/>
  <c r="C30" i="10"/>
  <c r="B30" i="10"/>
  <c r="A30" i="10"/>
  <c r="F29" i="10"/>
  <c r="E29" i="10"/>
  <c r="D29" i="10"/>
  <c r="C29" i="10"/>
  <c r="B29" i="10"/>
  <c r="A29" i="10"/>
  <c r="F28" i="10"/>
  <c r="E28" i="10"/>
  <c r="D28" i="10"/>
  <c r="C28" i="10"/>
  <c r="B28" i="10"/>
  <c r="A28" i="10"/>
  <c r="F27" i="10"/>
  <c r="E27" i="10"/>
  <c r="D27" i="10"/>
  <c r="C27" i="10"/>
  <c r="B27" i="10"/>
  <c r="A27" i="10"/>
  <c r="F26" i="10"/>
  <c r="E26" i="10"/>
  <c r="D26" i="10"/>
  <c r="C26" i="10"/>
  <c r="B26" i="10"/>
  <c r="A26" i="10"/>
  <c r="F25" i="10"/>
  <c r="E25" i="10"/>
  <c r="D25" i="10"/>
  <c r="C25" i="10"/>
  <c r="B25" i="10"/>
  <c r="A25" i="10"/>
  <c r="F24" i="10"/>
  <c r="E24" i="10"/>
  <c r="D24" i="10"/>
  <c r="C24" i="10"/>
  <c r="B24" i="10"/>
  <c r="A24" i="10"/>
  <c r="F23" i="10"/>
  <c r="E23" i="10"/>
  <c r="D23" i="10"/>
  <c r="C23" i="10"/>
  <c r="B23" i="10"/>
  <c r="A23" i="10"/>
  <c r="F22" i="10"/>
  <c r="E22" i="10"/>
  <c r="D22" i="10"/>
  <c r="C22" i="10"/>
  <c r="B22" i="10"/>
  <c r="A22" i="10"/>
  <c r="F21" i="10"/>
  <c r="E21" i="10"/>
  <c r="D21" i="10"/>
  <c r="C21" i="10"/>
  <c r="B21" i="10"/>
  <c r="A21" i="10"/>
  <c r="F20" i="10"/>
  <c r="E20" i="10"/>
  <c r="D20" i="10"/>
  <c r="C20" i="10"/>
  <c r="B20" i="10"/>
  <c r="A20" i="10"/>
  <c r="F19" i="10"/>
  <c r="E19" i="10"/>
  <c r="D19" i="10"/>
  <c r="C19" i="10"/>
  <c r="B19" i="10"/>
  <c r="A19" i="10"/>
  <c r="F18" i="10"/>
  <c r="E18" i="10"/>
  <c r="D18" i="10"/>
  <c r="C18" i="10"/>
  <c r="B18" i="10"/>
  <c r="A18" i="10"/>
  <c r="F17" i="10"/>
  <c r="E17" i="10"/>
  <c r="D17" i="10"/>
  <c r="C17" i="10"/>
  <c r="B17" i="10"/>
  <c r="A17" i="10"/>
  <c r="F16" i="10"/>
  <c r="E16" i="10"/>
  <c r="D16" i="10"/>
  <c r="C16" i="10"/>
  <c r="B16" i="10"/>
  <c r="A16" i="10"/>
  <c r="F15" i="10"/>
  <c r="E15" i="10"/>
  <c r="D15" i="10"/>
  <c r="C15" i="10"/>
  <c r="B15" i="10"/>
  <c r="A15" i="10"/>
  <c r="F14" i="10"/>
  <c r="E14" i="10"/>
  <c r="D14" i="10"/>
  <c r="C14" i="10"/>
  <c r="B14" i="10"/>
  <c r="A14" i="10"/>
  <c r="F13" i="10"/>
  <c r="E13" i="10"/>
  <c r="D13" i="10"/>
  <c r="C13" i="10"/>
  <c r="B13" i="10"/>
  <c r="A13" i="10"/>
  <c r="F12" i="10"/>
  <c r="E12" i="10"/>
  <c r="D12" i="10"/>
  <c r="C12" i="10"/>
  <c r="B12" i="10"/>
  <c r="A12" i="10"/>
  <c r="F11" i="10"/>
  <c r="E11" i="10"/>
  <c r="D11" i="10"/>
  <c r="C11" i="10"/>
  <c r="B11" i="10"/>
  <c r="A11" i="10"/>
  <c r="F10" i="10"/>
  <c r="E10" i="10"/>
  <c r="D10" i="10"/>
  <c r="C10" i="10"/>
  <c r="B10" i="10"/>
  <c r="A10" i="10"/>
  <c r="F9" i="10"/>
  <c r="E9" i="10"/>
  <c r="D9" i="10"/>
  <c r="C9" i="10"/>
  <c r="B9" i="10"/>
  <c r="A9" i="10"/>
  <c r="B147" i="10"/>
  <c r="B8" i="10"/>
  <c r="C8" i="10"/>
  <c r="E2" i="10"/>
  <c r="D6" i="1"/>
  <c r="F6" i="1" s="1"/>
  <c r="D7" i="1"/>
  <c r="F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F17" i="1" s="1"/>
  <c r="D18" i="1"/>
  <c r="F18" i="1" s="1"/>
  <c r="D19" i="1"/>
  <c r="F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C27" i="24" s="1"/>
  <c r="D27" i="1"/>
  <c r="E27" i="1" s="1"/>
  <c r="C28" i="24" s="1"/>
  <c r="D28" i="1"/>
  <c r="E28" i="1" s="1"/>
  <c r="D29" i="1"/>
  <c r="F29" i="1" s="1"/>
  <c r="D30" i="1"/>
  <c r="F30" i="1" s="1"/>
  <c r="D31" i="1"/>
  <c r="F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F41" i="1" s="1"/>
  <c r="D42" i="1"/>
  <c r="F42" i="1" s="1"/>
  <c r="D43" i="1"/>
  <c r="F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F53" i="1" s="1"/>
  <c r="D54" i="1"/>
  <c r="F54" i="1" s="1"/>
  <c r="D55" i="1"/>
  <c r="F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F65" i="1" s="1"/>
  <c r="D66" i="1"/>
  <c r="F66" i="1" s="1"/>
  <c r="D67" i="1"/>
  <c r="F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F77" i="1" s="1"/>
  <c r="D78" i="1"/>
  <c r="F78" i="1" s="1"/>
  <c r="D79" i="1"/>
  <c r="F79" i="1" s="1"/>
  <c r="D80" i="1"/>
  <c r="E80" i="1" s="1"/>
  <c r="D5" i="1"/>
  <c r="C74" i="24" l="1"/>
  <c r="C275" i="25"/>
  <c r="C65" i="24"/>
  <c r="C230" i="25"/>
  <c r="C53" i="24"/>
  <c r="C209" i="25"/>
  <c r="C47" i="24"/>
  <c r="C189" i="25"/>
  <c r="D79" i="24"/>
  <c r="D301" i="25"/>
  <c r="C76" i="24"/>
  <c r="C283" i="25"/>
  <c r="C73" i="24"/>
  <c r="C274" i="25"/>
  <c r="C70" i="24"/>
  <c r="C254" i="25"/>
  <c r="D67" i="24"/>
  <c r="D241" i="25"/>
  <c r="C64" i="24"/>
  <c r="C229" i="25"/>
  <c r="C61" i="24"/>
  <c r="C224" i="25"/>
  <c r="C58" i="24"/>
  <c r="C221" i="25"/>
  <c r="D55" i="24"/>
  <c r="D216" i="25"/>
  <c r="C52" i="24"/>
  <c r="C206" i="25"/>
  <c r="C49" i="24"/>
  <c r="C195" i="25"/>
  <c r="C46" i="24"/>
  <c r="C186" i="25"/>
  <c r="D43" i="24"/>
  <c r="D167" i="25"/>
  <c r="C40" i="24"/>
  <c r="C144" i="25"/>
  <c r="C37" i="24"/>
  <c r="C136" i="25"/>
  <c r="C34" i="24"/>
  <c r="C120" i="25"/>
  <c r="D31" i="24"/>
  <c r="D115" i="25"/>
  <c r="C25" i="24"/>
  <c r="C101" i="25"/>
  <c r="C22" i="24"/>
  <c r="C96" i="25"/>
  <c r="D19" i="24"/>
  <c r="D80" i="25"/>
  <c r="C16" i="24"/>
  <c r="C59" i="25"/>
  <c r="C13" i="24"/>
  <c r="C39" i="25"/>
  <c r="C10" i="24"/>
  <c r="C22" i="25"/>
  <c r="D7" i="24"/>
  <c r="D10" i="25"/>
  <c r="C77" i="24"/>
  <c r="C291" i="25"/>
  <c r="D68" i="24"/>
  <c r="D245" i="25"/>
  <c r="C59" i="24"/>
  <c r="C222" i="25"/>
  <c r="C81" i="24"/>
  <c r="C305" i="25"/>
  <c r="D78" i="24"/>
  <c r="D300" i="25"/>
  <c r="C75" i="24"/>
  <c r="C281" i="25"/>
  <c r="C72" i="24"/>
  <c r="C267" i="25"/>
  <c r="C69" i="24"/>
  <c r="C248" i="25"/>
  <c r="D66" i="24"/>
  <c r="D240" i="25"/>
  <c r="C63" i="24"/>
  <c r="C228" i="25"/>
  <c r="C60" i="24"/>
  <c r="C223" i="25"/>
  <c r="C57" i="24"/>
  <c r="C220" i="25"/>
  <c r="D54" i="24"/>
  <c r="D210" i="25"/>
  <c r="C51" i="24"/>
  <c r="C201" i="25"/>
  <c r="C48" i="24"/>
  <c r="C194" i="25"/>
  <c r="C45" i="24"/>
  <c r="C176" i="25"/>
  <c r="D42" i="24"/>
  <c r="D164" i="25"/>
  <c r="C39" i="24"/>
  <c r="C140" i="25"/>
  <c r="C36" i="24"/>
  <c r="C130" i="25"/>
  <c r="C33" i="24"/>
  <c r="C117" i="25"/>
  <c r="D30" i="24"/>
  <c r="D114" i="25"/>
  <c r="C24" i="24"/>
  <c r="C98" i="25"/>
  <c r="C21" i="24"/>
  <c r="C92" i="25"/>
  <c r="D18" i="24"/>
  <c r="D74" i="25"/>
  <c r="C15" i="24"/>
  <c r="C53" i="25"/>
  <c r="C12" i="24"/>
  <c r="C36" i="25"/>
  <c r="C9" i="24"/>
  <c r="C19" i="25"/>
  <c r="F149" i="11"/>
  <c r="D80" i="24"/>
  <c r="D302" i="25"/>
  <c r="C71" i="24"/>
  <c r="C260" i="25"/>
  <c r="C62" i="24"/>
  <c r="C227" i="25"/>
  <c r="D56" i="24"/>
  <c r="D217" i="25"/>
  <c r="C50" i="24"/>
  <c r="C196" i="25"/>
  <c r="D44" i="24"/>
  <c r="D175" i="25"/>
  <c r="C41" i="24"/>
  <c r="C155" i="25"/>
  <c r="C38" i="24"/>
  <c r="C137" i="25"/>
  <c r="C35" i="24"/>
  <c r="C126" i="25"/>
  <c r="D32" i="24"/>
  <c r="D116" i="25"/>
  <c r="C29" i="24"/>
  <c r="C111" i="25"/>
  <c r="C26" i="24"/>
  <c r="C102" i="25"/>
  <c r="C23" i="24"/>
  <c r="C97" i="25"/>
  <c r="D20" i="24"/>
  <c r="D86" i="25"/>
  <c r="C17" i="24"/>
  <c r="C60" i="25"/>
  <c r="C14" i="24"/>
  <c r="C47" i="25"/>
  <c r="C11" i="24"/>
  <c r="C29" i="25"/>
  <c r="D8" i="24"/>
  <c r="D16" i="25"/>
  <c r="E5" i="1"/>
  <c r="F5" i="1"/>
  <c r="E147" i="10"/>
  <c r="F147" i="10"/>
  <c r="F150" i="11"/>
  <c r="E149" i="11"/>
  <c r="F76" i="1"/>
  <c r="F64" i="1"/>
  <c r="F52" i="1"/>
  <c r="F40" i="1"/>
  <c r="F28" i="1"/>
  <c r="F16" i="1"/>
  <c r="E79" i="1"/>
  <c r="E67" i="1"/>
  <c r="E55" i="1"/>
  <c r="E43" i="1"/>
  <c r="E31" i="1"/>
  <c r="E19" i="1"/>
  <c r="E7" i="1"/>
  <c r="F75" i="1"/>
  <c r="F63" i="1"/>
  <c r="F51" i="1"/>
  <c r="F39" i="1"/>
  <c r="F27" i="1"/>
  <c r="D28" i="24" s="1"/>
  <c r="H28" i="24" s="1"/>
  <c r="F15" i="1"/>
  <c r="E78" i="1"/>
  <c r="E66" i="1"/>
  <c r="E54" i="1"/>
  <c r="E42" i="1"/>
  <c r="E30" i="1"/>
  <c r="E18" i="1"/>
  <c r="E6" i="1"/>
  <c r="F74" i="1"/>
  <c r="F62" i="1"/>
  <c r="F50" i="1"/>
  <c r="F38" i="1"/>
  <c r="F26" i="1"/>
  <c r="D27" i="24" s="1"/>
  <c r="H27" i="24" s="1"/>
  <c r="F14" i="1"/>
  <c r="E77" i="1"/>
  <c r="E65" i="1"/>
  <c r="E53" i="1"/>
  <c r="E41" i="1"/>
  <c r="E29" i="1"/>
  <c r="E17" i="1"/>
  <c r="F73" i="1"/>
  <c r="F61" i="1"/>
  <c r="F49" i="1"/>
  <c r="F37" i="1"/>
  <c r="F25" i="1"/>
  <c r="F13" i="1"/>
  <c r="F72" i="1"/>
  <c r="F60" i="1"/>
  <c r="F48" i="1"/>
  <c r="F36" i="1"/>
  <c r="F24" i="1"/>
  <c r="F12" i="1"/>
  <c r="F71" i="1"/>
  <c r="F59" i="1"/>
  <c r="F47" i="1"/>
  <c r="F35" i="1"/>
  <c r="F23" i="1"/>
  <c r="F11" i="1"/>
  <c r="F70" i="1"/>
  <c r="F58" i="1"/>
  <c r="F46" i="1"/>
  <c r="F34" i="1"/>
  <c r="F22" i="1"/>
  <c r="F10" i="1"/>
  <c r="F69" i="1"/>
  <c r="F57" i="1"/>
  <c r="F45" i="1"/>
  <c r="F33" i="1"/>
  <c r="F21" i="1"/>
  <c r="F9" i="1"/>
  <c r="F80" i="1"/>
  <c r="F68" i="1"/>
  <c r="F56" i="1"/>
  <c r="F44" i="1"/>
  <c r="F32" i="1"/>
  <c r="F20" i="1"/>
  <c r="F8" i="1"/>
  <c r="D33" i="24" l="1"/>
  <c r="H33" i="24" s="1"/>
  <c r="D117" i="25"/>
  <c r="H117" i="25" s="1"/>
  <c r="D69" i="24"/>
  <c r="D248" i="25"/>
  <c r="D22" i="24"/>
  <c r="H22" i="24" s="1"/>
  <c r="D96" i="25"/>
  <c r="H96" i="25" s="1"/>
  <c r="D58" i="24"/>
  <c r="H58" i="24" s="1"/>
  <c r="D221" i="25"/>
  <c r="H221" i="25" s="1"/>
  <c r="D23" i="24"/>
  <c r="H23" i="24" s="1"/>
  <c r="D97" i="25"/>
  <c r="H97" i="25" s="1"/>
  <c r="D59" i="24"/>
  <c r="H59" i="24" s="1"/>
  <c r="D222" i="25"/>
  <c r="H222" i="25" s="1"/>
  <c r="D24" i="24"/>
  <c r="H24" i="24" s="1"/>
  <c r="D98" i="25"/>
  <c r="H98" i="25" s="1"/>
  <c r="D60" i="24"/>
  <c r="H60" i="24" s="1"/>
  <c r="D223" i="25"/>
  <c r="H223" i="25" s="1"/>
  <c r="D25" i="24"/>
  <c r="H25" i="24" s="1"/>
  <c r="D101" i="25"/>
  <c r="H101" i="25" s="1"/>
  <c r="D61" i="24"/>
  <c r="H61" i="24" s="1"/>
  <c r="D224" i="25"/>
  <c r="H224" i="25" s="1"/>
  <c r="D26" i="24"/>
  <c r="H26" i="24" s="1"/>
  <c r="D102" i="25"/>
  <c r="H102" i="25" s="1"/>
  <c r="D62" i="24"/>
  <c r="H62" i="24" s="1"/>
  <c r="D227" i="25"/>
  <c r="H227" i="25" s="1"/>
  <c r="C30" i="24"/>
  <c r="G30" i="24" s="1"/>
  <c r="C114" i="25"/>
  <c r="G114" i="25" s="1"/>
  <c r="C66" i="24"/>
  <c r="G66" i="24" s="1"/>
  <c r="C240" i="25"/>
  <c r="G240" i="25" s="1"/>
  <c r="D63" i="24"/>
  <c r="H63" i="24" s="1"/>
  <c r="D228" i="25"/>
  <c r="H228" i="25" s="1"/>
  <c r="C19" i="24"/>
  <c r="G19" i="24" s="1"/>
  <c r="C80" i="25"/>
  <c r="G80" i="25" s="1"/>
  <c r="C55" i="24"/>
  <c r="G55" i="24" s="1"/>
  <c r="C216" i="25"/>
  <c r="G216" i="25" s="1"/>
  <c r="D16" i="24"/>
  <c r="H16" i="24" s="1"/>
  <c r="D59" i="25"/>
  <c r="H59" i="25" s="1"/>
  <c r="D52" i="24"/>
  <c r="H52" i="24" s="1"/>
  <c r="D206" i="25"/>
  <c r="H206" i="25" s="1"/>
  <c r="C8" i="24"/>
  <c r="G8" i="24" s="1"/>
  <c r="C16" i="25"/>
  <c r="G16" i="25" s="1"/>
  <c r="C44" i="24"/>
  <c r="G44" i="24" s="1"/>
  <c r="C175" i="25"/>
  <c r="G175" i="25" s="1"/>
  <c r="C80" i="24"/>
  <c r="G80" i="24" s="1"/>
  <c r="C302" i="25"/>
  <c r="G302" i="25" s="1"/>
  <c r="D41" i="24"/>
  <c r="H41" i="24" s="1"/>
  <c r="D155" i="25"/>
  <c r="H155" i="25" s="1"/>
  <c r="D77" i="24"/>
  <c r="H77" i="24" s="1"/>
  <c r="D291" i="25"/>
  <c r="H291" i="25" s="1"/>
  <c r="C6" i="24"/>
  <c r="C6" i="25"/>
  <c r="G23" i="24"/>
  <c r="G41" i="24"/>
  <c r="G98" i="25"/>
  <c r="H114" i="25"/>
  <c r="G33" i="24"/>
  <c r="G60" i="24"/>
  <c r="H240" i="25"/>
  <c r="G222" i="25"/>
  <c r="G59" i="25"/>
  <c r="H19" i="24"/>
  <c r="G101" i="25"/>
  <c r="G52" i="24"/>
  <c r="G221" i="25"/>
  <c r="G61" i="24"/>
  <c r="D9" i="24"/>
  <c r="H9" i="24" s="1"/>
  <c r="D19" i="25"/>
  <c r="H19" i="25" s="1"/>
  <c r="D45" i="24"/>
  <c r="H45" i="24" s="1"/>
  <c r="D176" i="25"/>
  <c r="H176" i="25" s="1"/>
  <c r="D81" i="24"/>
  <c r="H81" i="24" s="1"/>
  <c r="D305" i="25"/>
  <c r="H305" i="25" s="1"/>
  <c r="D34" i="24"/>
  <c r="H34" i="24" s="1"/>
  <c r="D120" i="25"/>
  <c r="H120" i="25" s="1"/>
  <c r="D70" i="24"/>
  <c r="H70" i="24" s="1"/>
  <c r="D254" i="25"/>
  <c r="H254" i="25" s="1"/>
  <c r="D35" i="24"/>
  <c r="H35" i="24" s="1"/>
  <c r="D126" i="25"/>
  <c r="H126" i="25" s="1"/>
  <c r="D71" i="24"/>
  <c r="H71" i="24" s="1"/>
  <c r="D260" i="25"/>
  <c r="H260" i="25" s="1"/>
  <c r="D36" i="24"/>
  <c r="D130" i="25"/>
  <c r="D72" i="24"/>
  <c r="D267" i="25"/>
  <c r="D37" i="24"/>
  <c r="H37" i="24" s="1"/>
  <c r="D136" i="25"/>
  <c r="H136" i="25" s="1"/>
  <c r="D73" i="24"/>
  <c r="H73" i="24" s="1"/>
  <c r="D274" i="25"/>
  <c r="H274" i="25" s="1"/>
  <c r="D38" i="24"/>
  <c r="H38" i="24" s="1"/>
  <c r="D137" i="25"/>
  <c r="H137" i="25" s="1"/>
  <c r="D74" i="24"/>
  <c r="D275" i="25"/>
  <c r="C42" i="24"/>
  <c r="G42" i="24" s="1"/>
  <c r="C164" i="25"/>
  <c r="G164" i="25" s="1"/>
  <c r="C78" i="24"/>
  <c r="G78" i="24" s="1"/>
  <c r="C300" i="25"/>
  <c r="G300" i="25" s="1"/>
  <c r="D39" i="24"/>
  <c r="D140" i="25"/>
  <c r="D75" i="24"/>
  <c r="H75" i="24" s="1"/>
  <c r="D281" i="25"/>
  <c r="H281" i="25" s="1"/>
  <c r="C31" i="24"/>
  <c r="G31" i="24" s="1"/>
  <c r="C115" i="25"/>
  <c r="G115" i="25" s="1"/>
  <c r="C67" i="24"/>
  <c r="G67" i="24" s="1"/>
  <c r="C241" i="25"/>
  <c r="G241" i="25" s="1"/>
  <c r="D64" i="24"/>
  <c r="H64" i="24" s="1"/>
  <c r="D229" i="25"/>
  <c r="H229" i="25" s="1"/>
  <c r="C20" i="24"/>
  <c r="C86" i="25"/>
  <c r="C56" i="24"/>
  <c r="G56" i="24" s="1"/>
  <c r="C217" i="25"/>
  <c r="G217" i="25" s="1"/>
  <c r="D17" i="24"/>
  <c r="D60" i="25"/>
  <c r="D53" i="24"/>
  <c r="H53" i="24" s="1"/>
  <c r="D209" i="25"/>
  <c r="H209" i="25" s="1"/>
  <c r="H16" i="25"/>
  <c r="G102" i="25"/>
  <c r="G126" i="25"/>
  <c r="G38" i="24"/>
  <c r="H175" i="25"/>
  <c r="G227" i="25"/>
  <c r="G71" i="24"/>
  <c r="G24" i="24"/>
  <c r="H30" i="24"/>
  <c r="G176" i="25"/>
  <c r="G228" i="25"/>
  <c r="H66" i="24"/>
  <c r="G75" i="24"/>
  <c r="G305" i="25"/>
  <c r="G59" i="24"/>
  <c r="G291" i="25"/>
  <c r="G16" i="24"/>
  <c r="G96" i="25"/>
  <c r="G25" i="24"/>
  <c r="H31" i="24"/>
  <c r="G136" i="25"/>
  <c r="H216" i="25"/>
  <c r="G58" i="24"/>
  <c r="G229" i="25"/>
  <c r="H67" i="24"/>
  <c r="G274" i="25"/>
  <c r="G53" i="24"/>
  <c r="D21" i="24"/>
  <c r="H21" i="24" s="1"/>
  <c r="D92" i="25"/>
  <c r="H92" i="25" s="1"/>
  <c r="D57" i="24"/>
  <c r="H57" i="24" s="1"/>
  <c r="D220" i="25"/>
  <c r="H220" i="25" s="1"/>
  <c r="D10" i="24"/>
  <c r="H10" i="24" s="1"/>
  <c r="D22" i="25"/>
  <c r="H22" i="25" s="1"/>
  <c r="D46" i="24"/>
  <c r="H46" i="24" s="1"/>
  <c r="D186" i="25"/>
  <c r="H186" i="25" s="1"/>
  <c r="D11" i="24"/>
  <c r="D29" i="25"/>
  <c r="D47" i="24"/>
  <c r="H47" i="24" s="1"/>
  <c r="D189" i="25"/>
  <c r="H189" i="25" s="1"/>
  <c r="D12" i="24"/>
  <c r="D36" i="25"/>
  <c r="D48" i="24"/>
  <c r="H48" i="24" s="1"/>
  <c r="D194" i="25"/>
  <c r="H194" i="25" s="1"/>
  <c r="D13" i="24"/>
  <c r="H13" i="24" s="1"/>
  <c r="D39" i="25"/>
  <c r="H39" i="25" s="1"/>
  <c r="D49" i="24"/>
  <c r="H49" i="24" s="1"/>
  <c r="D195" i="25"/>
  <c r="H195" i="25" s="1"/>
  <c r="D14" i="24"/>
  <c r="H14" i="24" s="1"/>
  <c r="D47" i="25"/>
  <c r="H47" i="25" s="1"/>
  <c r="D50" i="24"/>
  <c r="H50" i="24" s="1"/>
  <c r="D196" i="25"/>
  <c r="H196" i="25" s="1"/>
  <c r="C18" i="24"/>
  <c r="C74" i="25"/>
  <c r="C54" i="24"/>
  <c r="G54" i="24" s="1"/>
  <c r="C210" i="25"/>
  <c r="G210" i="25" s="1"/>
  <c r="D15" i="24"/>
  <c r="H15" i="24" s="1"/>
  <c r="D53" i="25"/>
  <c r="H53" i="25" s="1"/>
  <c r="D51" i="24"/>
  <c r="H51" i="24" s="1"/>
  <c r="D201" i="25"/>
  <c r="H201" i="25" s="1"/>
  <c r="C7" i="24"/>
  <c r="G7" i="24" s="1"/>
  <c r="C10" i="25"/>
  <c r="G10" i="25" s="1"/>
  <c r="C43" i="24"/>
  <c r="G43" i="24" s="1"/>
  <c r="C167" i="25"/>
  <c r="G167" i="25" s="1"/>
  <c r="C79" i="24"/>
  <c r="G79" i="24" s="1"/>
  <c r="C301" i="25"/>
  <c r="G301" i="25" s="1"/>
  <c r="D40" i="24"/>
  <c r="D144" i="25"/>
  <c r="D76" i="24"/>
  <c r="H76" i="24" s="1"/>
  <c r="D283" i="25"/>
  <c r="H283" i="25" s="1"/>
  <c r="C32" i="24"/>
  <c r="G32" i="24" s="1"/>
  <c r="C116" i="25"/>
  <c r="G116" i="25" s="1"/>
  <c r="C68" i="24"/>
  <c r="G68" i="24" s="1"/>
  <c r="C245" i="25"/>
  <c r="G245" i="25" s="1"/>
  <c r="D29" i="24"/>
  <c r="H29" i="24" s="1"/>
  <c r="D111" i="25"/>
  <c r="H111" i="25" s="1"/>
  <c r="D65" i="24"/>
  <c r="D230" i="25"/>
  <c r="D6" i="24"/>
  <c r="D6" i="25"/>
  <c r="H6" i="25" s="1"/>
  <c r="H8" i="24"/>
  <c r="G47" i="25"/>
  <c r="G97" i="25"/>
  <c r="G26" i="24"/>
  <c r="G35" i="24"/>
  <c r="G155" i="25"/>
  <c r="H44" i="24"/>
  <c r="H217" i="25"/>
  <c r="G62" i="24"/>
  <c r="H302" i="25"/>
  <c r="G19" i="25"/>
  <c r="G21" i="24"/>
  <c r="G27" i="24"/>
  <c r="G117" i="25"/>
  <c r="H164" i="25"/>
  <c r="G45" i="24"/>
  <c r="G201" i="25"/>
  <c r="H54" i="24"/>
  <c r="G223" i="25"/>
  <c r="G63" i="24"/>
  <c r="H300" i="25"/>
  <c r="G81" i="24"/>
  <c r="H245" i="25"/>
  <c r="G77" i="24"/>
  <c r="G22" i="25"/>
  <c r="G13" i="24"/>
  <c r="H80" i="25"/>
  <c r="G22" i="24"/>
  <c r="G28" i="24"/>
  <c r="G120" i="25"/>
  <c r="G37" i="24"/>
  <c r="H167" i="25"/>
  <c r="G46" i="24"/>
  <c r="G206" i="25"/>
  <c r="H55" i="24"/>
  <c r="G224" i="25"/>
  <c r="G64" i="24"/>
  <c r="G254" i="25"/>
  <c r="G73" i="24"/>
  <c r="H301" i="25"/>
  <c r="G47" i="24"/>
  <c r="F6" i="11"/>
  <c r="F6" i="10"/>
  <c r="E6" i="11"/>
  <c r="E6" i="10"/>
  <c r="A6" i="7"/>
  <c r="N5" i="3"/>
  <c r="G8" i="9" l="1"/>
  <c r="G7" i="9"/>
  <c r="E148" i="10"/>
  <c r="E8" i="11"/>
  <c r="H116" i="25"/>
  <c r="H80" i="24"/>
  <c r="G186" i="25"/>
  <c r="G48" i="24"/>
  <c r="G92" i="25"/>
  <c r="G29" i="24"/>
  <c r="G283" i="25"/>
  <c r="G195" i="25"/>
  <c r="G34" i="24"/>
  <c r="H10" i="25"/>
  <c r="H78" i="24"/>
  <c r="G51" i="24"/>
  <c r="G9" i="24"/>
  <c r="H56" i="24"/>
  <c r="G137" i="25"/>
  <c r="G189" i="25"/>
  <c r="G39" i="25"/>
  <c r="G57" i="24"/>
  <c r="G15" i="24"/>
  <c r="G209" i="25"/>
  <c r="G70" i="24"/>
  <c r="H43" i="24"/>
  <c r="H115" i="25"/>
  <c r="H68" i="24"/>
  <c r="G281" i="25"/>
  <c r="G194" i="25"/>
  <c r="G196" i="25"/>
  <c r="H32" i="24"/>
  <c r="G6" i="25"/>
  <c r="D312" i="25"/>
  <c r="C312" i="25"/>
  <c r="D82" i="24"/>
  <c r="H6" i="24"/>
  <c r="G76" i="24"/>
  <c r="G49" i="24"/>
  <c r="H7" i="24"/>
  <c r="H210" i="25"/>
  <c r="G50" i="24"/>
  <c r="H79" i="24"/>
  <c r="H241" i="25"/>
  <c r="G10" i="24"/>
  <c r="G220" i="25"/>
  <c r="H42" i="24"/>
  <c r="G53" i="25"/>
  <c r="G260" i="25"/>
  <c r="G111" i="25"/>
  <c r="G14" i="24"/>
  <c r="C82" i="24"/>
  <c r="G6" i="24"/>
  <c r="F148" i="10"/>
  <c r="F8" i="11"/>
  <c r="E150" i="11" s="1"/>
  <c r="D6" i="7"/>
  <c r="F283" i="7"/>
  <c r="E283" i="7"/>
  <c r="D283" i="7"/>
  <c r="C283" i="7"/>
  <c r="B283" i="7"/>
  <c r="A283" i="7"/>
  <c r="F282" i="7"/>
  <c r="E282" i="7"/>
  <c r="D282" i="7"/>
  <c r="C282" i="7"/>
  <c r="B282" i="7"/>
  <c r="A282" i="7"/>
  <c r="F281" i="7"/>
  <c r="E281" i="7"/>
  <c r="D281" i="7"/>
  <c r="C281" i="7"/>
  <c r="B281" i="7"/>
  <c r="A281" i="7"/>
  <c r="F280" i="7"/>
  <c r="E280" i="7"/>
  <c r="D280" i="7"/>
  <c r="C280" i="7"/>
  <c r="B280" i="7"/>
  <c r="A280" i="7"/>
  <c r="F279" i="7"/>
  <c r="E279" i="7"/>
  <c r="D279" i="7"/>
  <c r="C279" i="7"/>
  <c r="B279" i="7"/>
  <c r="A279" i="7"/>
  <c r="F278" i="7"/>
  <c r="E278" i="7"/>
  <c r="D278" i="7"/>
  <c r="C278" i="7"/>
  <c r="B278" i="7"/>
  <c r="A278" i="7"/>
  <c r="F277" i="7"/>
  <c r="E277" i="7"/>
  <c r="D277" i="7"/>
  <c r="C277" i="7"/>
  <c r="B277" i="7"/>
  <c r="A277" i="7"/>
  <c r="F276" i="7"/>
  <c r="E276" i="7"/>
  <c r="D276" i="7"/>
  <c r="C276" i="7"/>
  <c r="B276" i="7"/>
  <c r="A276" i="7"/>
  <c r="F275" i="7"/>
  <c r="E275" i="7"/>
  <c r="D275" i="7"/>
  <c r="C275" i="7"/>
  <c r="B275" i="7"/>
  <c r="A275" i="7"/>
  <c r="F274" i="7"/>
  <c r="E274" i="7"/>
  <c r="D274" i="7"/>
  <c r="C274" i="7"/>
  <c r="B274" i="7"/>
  <c r="A274" i="7"/>
  <c r="F273" i="7"/>
  <c r="E273" i="7"/>
  <c r="D273" i="7"/>
  <c r="C273" i="7"/>
  <c r="B273" i="7"/>
  <c r="A273" i="7"/>
  <c r="F272" i="7"/>
  <c r="E272" i="7"/>
  <c r="D272" i="7"/>
  <c r="C272" i="7"/>
  <c r="B272" i="7"/>
  <c r="A272" i="7"/>
  <c r="F271" i="7"/>
  <c r="E271" i="7"/>
  <c r="D271" i="7"/>
  <c r="C271" i="7"/>
  <c r="B271" i="7"/>
  <c r="A271" i="7"/>
  <c r="F270" i="7"/>
  <c r="E270" i="7"/>
  <c r="D270" i="7"/>
  <c r="C270" i="7"/>
  <c r="B270" i="7"/>
  <c r="A270" i="7"/>
  <c r="F269" i="7"/>
  <c r="E269" i="7"/>
  <c r="D269" i="7"/>
  <c r="C269" i="7"/>
  <c r="B269" i="7"/>
  <c r="A269" i="7"/>
  <c r="F268" i="7"/>
  <c r="E268" i="7"/>
  <c r="D268" i="7"/>
  <c r="C268" i="7"/>
  <c r="B268" i="7"/>
  <c r="A268" i="7"/>
  <c r="F267" i="7"/>
  <c r="E267" i="7"/>
  <c r="D267" i="7"/>
  <c r="C267" i="7"/>
  <c r="B267" i="7"/>
  <c r="A267" i="7"/>
  <c r="F266" i="7"/>
  <c r="E266" i="7"/>
  <c r="D266" i="7"/>
  <c r="C266" i="7"/>
  <c r="B266" i="7"/>
  <c r="A266" i="7"/>
  <c r="F265" i="7"/>
  <c r="E265" i="7"/>
  <c r="D265" i="7"/>
  <c r="C265" i="7"/>
  <c r="B265" i="7"/>
  <c r="A265" i="7"/>
  <c r="F264" i="7"/>
  <c r="E264" i="7"/>
  <c r="D264" i="7"/>
  <c r="C264" i="7"/>
  <c r="B264" i="7"/>
  <c r="A264" i="7"/>
  <c r="F263" i="7"/>
  <c r="E263" i="7"/>
  <c r="D263" i="7"/>
  <c r="C263" i="7"/>
  <c r="B263" i="7"/>
  <c r="A263" i="7"/>
  <c r="F262" i="7"/>
  <c r="E262" i="7"/>
  <c r="D262" i="7"/>
  <c r="C262" i="7"/>
  <c r="B262" i="7"/>
  <c r="A262" i="7"/>
  <c r="F261" i="7"/>
  <c r="E261" i="7"/>
  <c r="D261" i="7"/>
  <c r="C261" i="7"/>
  <c r="B261" i="7"/>
  <c r="A261" i="7"/>
  <c r="F260" i="7"/>
  <c r="E260" i="7"/>
  <c r="D260" i="7"/>
  <c r="C260" i="7"/>
  <c r="B260" i="7"/>
  <c r="A260" i="7"/>
  <c r="F259" i="7"/>
  <c r="E259" i="7"/>
  <c r="D259" i="7"/>
  <c r="C259" i="7"/>
  <c r="B259" i="7"/>
  <c r="A259" i="7"/>
  <c r="F258" i="7"/>
  <c r="E258" i="7"/>
  <c r="D258" i="7"/>
  <c r="C258" i="7"/>
  <c r="B258" i="7"/>
  <c r="A258" i="7"/>
  <c r="F257" i="7"/>
  <c r="E257" i="7"/>
  <c r="D257" i="7"/>
  <c r="C257" i="7"/>
  <c r="B257" i="7"/>
  <c r="A257" i="7"/>
  <c r="F256" i="7"/>
  <c r="E256" i="7"/>
  <c r="D256" i="7"/>
  <c r="C256" i="7"/>
  <c r="B256" i="7"/>
  <c r="A256" i="7"/>
  <c r="F255" i="7"/>
  <c r="E255" i="7"/>
  <c r="D255" i="7"/>
  <c r="C255" i="7"/>
  <c r="B255" i="7"/>
  <c r="A255" i="7"/>
  <c r="F254" i="7"/>
  <c r="E254" i="7"/>
  <c r="D254" i="7"/>
  <c r="C254" i="7"/>
  <c r="B254" i="7"/>
  <c r="A254" i="7"/>
  <c r="F253" i="7"/>
  <c r="E253" i="7"/>
  <c r="D253" i="7"/>
  <c r="C253" i="7"/>
  <c r="B253" i="7"/>
  <c r="A253" i="7"/>
  <c r="F252" i="7"/>
  <c r="E252" i="7"/>
  <c r="D252" i="7"/>
  <c r="C252" i="7"/>
  <c r="B252" i="7"/>
  <c r="A252" i="7"/>
  <c r="F251" i="7"/>
  <c r="E251" i="7"/>
  <c r="D251" i="7"/>
  <c r="C251" i="7"/>
  <c r="B251" i="7"/>
  <c r="A251" i="7"/>
  <c r="F250" i="7"/>
  <c r="E250" i="7"/>
  <c r="D250" i="7"/>
  <c r="C250" i="7"/>
  <c r="B250" i="7"/>
  <c r="A250" i="7"/>
  <c r="F249" i="7"/>
  <c r="E249" i="7"/>
  <c r="D249" i="7"/>
  <c r="C249" i="7"/>
  <c r="B249" i="7"/>
  <c r="A249" i="7"/>
  <c r="F248" i="7"/>
  <c r="E248" i="7"/>
  <c r="D248" i="7"/>
  <c r="C248" i="7"/>
  <c r="B248" i="7"/>
  <c r="A248" i="7"/>
  <c r="F247" i="7"/>
  <c r="E247" i="7"/>
  <c r="D247" i="7"/>
  <c r="C247" i="7"/>
  <c r="B247" i="7"/>
  <c r="A247" i="7"/>
  <c r="F246" i="7"/>
  <c r="E246" i="7"/>
  <c r="D246" i="7"/>
  <c r="C246" i="7"/>
  <c r="B246" i="7"/>
  <c r="A246" i="7"/>
  <c r="F245" i="7"/>
  <c r="E245" i="7"/>
  <c r="D245" i="7"/>
  <c r="C245" i="7"/>
  <c r="B245" i="7"/>
  <c r="A245" i="7"/>
  <c r="F244" i="7"/>
  <c r="E244" i="7"/>
  <c r="D244" i="7"/>
  <c r="C244" i="7"/>
  <c r="B244" i="7"/>
  <c r="A244" i="7"/>
  <c r="F243" i="7"/>
  <c r="E243" i="7"/>
  <c r="D243" i="7"/>
  <c r="C243" i="7"/>
  <c r="B243" i="7"/>
  <c r="A243" i="7"/>
  <c r="F242" i="7"/>
  <c r="E242" i="7"/>
  <c r="D242" i="7"/>
  <c r="C242" i="7"/>
  <c r="B242" i="7"/>
  <c r="A242" i="7"/>
  <c r="F241" i="7"/>
  <c r="E241" i="7"/>
  <c r="D241" i="7"/>
  <c r="C241" i="7"/>
  <c r="B241" i="7"/>
  <c r="A241" i="7"/>
  <c r="F240" i="7"/>
  <c r="E240" i="7"/>
  <c r="D240" i="7"/>
  <c r="C240" i="7"/>
  <c r="B240" i="7"/>
  <c r="A240" i="7"/>
  <c r="F239" i="7"/>
  <c r="E239" i="7"/>
  <c r="D239" i="7"/>
  <c r="C239" i="7"/>
  <c r="B239" i="7"/>
  <c r="A239" i="7"/>
  <c r="F238" i="7"/>
  <c r="E238" i="7"/>
  <c r="D238" i="7"/>
  <c r="C238" i="7"/>
  <c r="B238" i="7"/>
  <c r="A238" i="7"/>
  <c r="F237" i="7"/>
  <c r="E237" i="7"/>
  <c r="D237" i="7"/>
  <c r="C237" i="7"/>
  <c r="B237" i="7"/>
  <c r="A237" i="7"/>
  <c r="F236" i="7"/>
  <c r="E236" i="7"/>
  <c r="D236" i="7"/>
  <c r="C236" i="7"/>
  <c r="B236" i="7"/>
  <c r="A236" i="7"/>
  <c r="F235" i="7"/>
  <c r="E235" i="7"/>
  <c r="D235" i="7"/>
  <c r="C235" i="7"/>
  <c r="B235" i="7"/>
  <c r="A235" i="7"/>
  <c r="F234" i="7"/>
  <c r="E234" i="7"/>
  <c r="D234" i="7"/>
  <c r="C234" i="7"/>
  <c r="B234" i="7"/>
  <c r="A234" i="7"/>
  <c r="F233" i="7"/>
  <c r="E233" i="7"/>
  <c r="D233" i="7"/>
  <c r="C233" i="7"/>
  <c r="B233" i="7"/>
  <c r="A233" i="7"/>
  <c r="F232" i="7"/>
  <c r="E232" i="7"/>
  <c r="D232" i="7"/>
  <c r="C232" i="7"/>
  <c r="B232" i="7"/>
  <c r="A232" i="7"/>
  <c r="F231" i="7"/>
  <c r="E231" i="7"/>
  <c r="D231" i="7"/>
  <c r="C231" i="7"/>
  <c r="B231" i="7"/>
  <c r="A231" i="7"/>
  <c r="F230" i="7"/>
  <c r="E230" i="7"/>
  <c r="D230" i="7"/>
  <c r="C230" i="7"/>
  <c r="B230" i="7"/>
  <c r="A230" i="7"/>
  <c r="F229" i="7"/>
  <c r="E229" i="7"/>
  <c r="D229" i="7"/>
  <c r="C229" i="7"/>
  <c r="B229" i="7"/>
  <c r="A229" i="7"/>
  <c r="F228" i="7"/>
  <c r="E228" i="7"/>
  <c r="D228" i="7"/>
  <c r="C228" i="7"/>
  <c r="B228" i="7"/>
  <c r="A228" i="7"/>
  <c r="F227" i="7"/>
  <c r="E227" i="7"/>
  <c r="D227" i="7"/>
  <c r="C227" i="7"/>
  <c r="B227" i="7"/>
  <c r="A227" i="7"/>
  <c r="F226" i="7"/>
  <c r="E226" i="7"/>
  <c r="D226" i="7"/>
  <c r="C226" i="7"/>
  <c r="B226" i="7"/>
  <c r="A226" i="7"/>
  <c r="F225" i="7"/>
  <c r="E225" i="7"/>
  <c r="D225" i="7"/>
  <c r="C225" i="7"/>
  <c r="B225" i="7"/>
  <c r="A225" i="7"/>
  <c r="F224" i="7"/>
  <c r="E224" i="7"/>
  <c r="D224" i="7"/>
  <c r="C224" i="7"/>
  <c r="B224" i="7"/>
  <c r="A224" i="7"/>
  <c r="F223" i="7"/>
  <c r="E223" i="7"/>
  <c r="D223" i="7"/>
  <c r="C223" i="7"/>
  <c r="B223" i="7"/>
  <c r="A223" i="7"/>
  <c r="F222" i="7"/>
  <c r="E222" i="7"/>
  <c r="D222" i="7"/>
  <c r="C222" i="7"/>
  <c r="B222" i="7"/>
  <c r="A222" i="7"/>
  <c r="F221" i="7"/>
  <c r="E221" i="7"/>
  <c r="D221" i="7"/>
  <c r="C221" i="7"/>
  <c r="B221" i="7"/>
  <c r="A221" i="7"/>
  <c r="F220" i="7"/>
  <c r="E220" i="7"/>
  <c r="D220" i="7"/>
  <c r="C220" i="7"/>
  <c r="B220" i="7"/>
  <c r="A220" i="7"/>
  <c r="F219" i="7"/>
  <c r="E219" i="7"/>
  <c r="D219" i="7"/>
  <c r="C219" i="7"/>
  <c r="B219" i="7"/>
  <c r="A219" i="7"/>
  <c r="F218" i="7"/>
  <c r="E218" i="7"/>
  <c r="D218" i="7"/>
  <c r="C218" i="7"/>
  <c r="B218" i="7"/>
  <c r="A218" i="7"/>
  <c r="F217" i="7"/>
  <c r="E217" i="7"/>
  <c r="D217" i="7"/>
  <c r="C217" i="7"/>
  <c r="B217" i="7"/>
  <c r="A217" i="7"/>
  <c r="F216" i="7"/>
  <c r="E216" i="7"/>
  <c r="D216" i="7"/>
  <c r="C216" i="7"/>
  <c r="B216" i="7"/>
  <c r="A216" i="7"/>
  <c r="F215" i="7"/>
  <c r="E215" i="7"/>
  <c r="D215" i="7"/>
  <c r="C215" i="7"/>
  <c r="B215" i="7"/>
  <c r="A215" i="7"/>
  <c r="F214" i="7"/>
  <c r="E214" i="7"/>
  <c r="D214" i="7"/>
  <c r="C214" i="7"/>
  <c r="B214" i="7"/>
  <c r="A214" i="7"/>
  <c r="F213" i="7"/>
  <c r="E213" i="7"/>
  <c r="D213" i="7"/>
  <c r="C213" i="7"/>
  <c r="B213" i="7"/>
  <c r="A213" i="7"/>
  <c r="F212" i="7"/>
  <c r="E212" i="7"/>
  <c r="D212" i="7"/>
  <c r="C212" i="7"/>
  <c r="B212" i="7"/>
  <c r="A212" i="7"/>
  <c r="F211" i="7"/>
  <c r="E211" i="7"/>
  <c r="D211" i="7"/>
  <c r="C211" i="7"/>
  <c r="B211" i="7"/>
  <c r="A211" i="7"/>
  <c r="F210" i="7"/>
  <c r="E210" i="7"/>
  <c r="D210" i="7"/>
  <c r="C210" i="7"/>
  <c r="B210" i="7"/>
  <c r="A210" i="7"/>
  <c r="F209" i="7"/>
  <c r="E209" i="7"/>
  <c r="D209" i="7"/>
  <c r="C209" i="7"/>
  <c r="B209" i="7"/>
  <c r="A209" i="7"/>
  <c r="F208" i="7"/>
  <c r="E208" i="7"/>
  <c r="D208" i="7"/>
  <c r="C208" i="7"/>
  <c r="B208" i="7"/>
  <c r="A208" i="7"/>
  <c r="F207" i="7"/>
  <c r="E207" i="7"/>
  <c r="D207" i="7"/>
  <c r="C207" i="7"/>
  <c r="B207" i="7"/>
  <c r="A207" i="7"/>
  <c r="F206" i="7"/>
  <c r="E206" i="7"/>
  <c r="D206" i="7"/>
  <c r="C206" i="7"/>
  <c r="B206" i="7"/>
  <c r="A206" i="7"/>
  <c r="F205" i="7"/>
  <c r="E205" i="7"/>
  <c r="D205" i="7"/>
  <c r="C205" i="7"/>
  <c r="B205" i="7"/>
  <c r="A205" i="7"/>
  <c r="F204" i="7"/>
  <c r="E204" i="7"/>
  <c r="D204" i="7"/>
  <c r="C204" i="7"/>
  <c r="B204" i="7"/>
  <c r="A204" i="7"/>
  <c r="F203" i="7"/>
  <c r="E203" i="7"/>
  <c r="D203" i="7"/>
  <c r="C203" i="7"/>
  <c r="B203" i="7"/>
  <c r="A203" i="7"/>
  <c r="F202" i="7"/>
  <c r="E202" i="7"/>
  <c r="D202" i="7"/>
  <c r="C202" i="7"/>
  <c r="B202" i="7"/>
  <c r="A202" i="7"/>
  <c r="F201" i="7"/>
  <c r="E201" i="7"/>
  <c r="D201" i="7"/>
  <c r="C201" i="7"/>
  <c r="B201" i="7"/>
  <c r="A201" i="7"/>
  <c r="F200" i="7"/>
  <c r="E200" i="7"/>
  <c r="D200" i="7"/>
  <c r="C200" i="7"/>
  <c r="B200" i="7"/>
  <c r="A200" i="7"/>
  <c r="F199" i="7"/>
  <c r="E199" i="7"/>
  <c r="D199" i="7"/>
  <c r="C199" i="7"/>
  <c r="B199" i="7"/>
  <c r="A199" i="7"/>
  <c r="F198" i="7"/>
  <c r="E198" i="7"/>
  <c r="D198" i="7"/>
  <c r="C198" i="7"/>
  <c r="B198" i="7"/>
  <c r="A198" i="7"/>
  <c r="F197" i="7"/>
  <c r="E197" i="7"/>
  <c r="D197" i="7"/>
  <c r="C197" i="7"/>
  <c r="B197" i="7"/>
  <c r="A197" i="7"/>
  <c r="F196" i="7"/>
  <c r="E196" i="7"/>
  <c r="D196" i="7"/>
  <c r="C196" i="7"/>
  <c r="B196" i="7"/>
  <c r="A196" i="7"/>
  <c r="F195" i="7"/>
  <c r="E195" i="7"/>
  <c r="D195" i="7"/>
  <c r="C195" i="7"/>
  <c r="B195" i="7"/>
  <c r="A195" i="7"/>
  <c r="F194" i="7"/>
  <c r="E194" i="7"/>
  <c r="D194" i="7"/>
  <c r="C194" i="7"/>
  <c r="B194" i="7"/>
  <c r="A194" i="7"/>
  <c r="F193" i="7"/>
  <c r="E193" i="7"/>
  <c r="D193" i="7"/>
  <c r="C193" i="7"/>
  <c r="B193" i="7"/>
  <c r="A193" i="7"/>
  <c r="F192" i="7"/>
  <c r="E192" i="7"/>
  <c r="D192" i="7"/>
  <c r="C192" i="7"/>
  <c r="B192" i="7"/>
  <c r="A192" i="7"/>
  <c r="F191" i="7"/>
  <c r="E191" i="7"/>
  <c r="D191" i="7"/>
  <c r="C191" i="7"/>
  <c r="B191" i="7"/>
  <c r="A191" i="7"/>
  <c r="F190" i="7"/>
  <c r="E190" i="7"/>
  <c r="D190" i="7"/>
  <c r="C190" i="7"/>
  <c r="B190" i="7"/>
  <c r="A190" i="7"/>
  <c r="F189" i="7"/>
  <c r="E189" i="7"/>
  <c r="D189" i="7"/>
  <c r="C189" i="7"/>
  <c r="B189" i="7"/>
  <c r="A189" i="7"/>
  <c r="F188" i="7"/>
  <c r="E188" i="7"/>
  <c r="D188" i="7"/>
  <c r="C188" i="7"/>
  <c r="B188" i="7"/>
  <c r="A188" i="7"/>
  <c r="F187" i="7"/>
  <c r="E187" i="7"/>
  <c r="D187" i="7"/>
  <c r="C187" i="7"/>
  <c r="B187" i="7"/>
  <c r="A187" i="7"/>
  <c r="F186" i="7"/>
  <c r="E186" i="7"/>
  <c r="D186" i="7"/>
  <c r="C186" i="7"/>
  <c r="B186" i="7"/>
  <c r="A186" i="7"/>
  <c r="F185" i="7"/>
  <c r="E185" i="7"/>
  <c r="D185" i="7"/>
  <c r="C185" i="7"/>
  <c r="B185" i="7"/>
  <c r="A185" i="7"/>
  <c r="F184" i="7"/>
  <c r="E184" i="7"/>
  <c r="D184" i="7"/>
  <c r="C184" i="7"/>
  <c r="B184" i="7"/>
  <c r="A184" i="7"/>
  <c r="F183" i="7"/>
  <c r="E183" i="7"/>
  <c r="D183" i="7"/>
  <c r="C183" i="7"/>
  <c r="B183" i="7"/>
  <c r="A183" i="7"/>
  <c r="F182" i="7"/>
  <c r="E182" i="7"/>
  <c r="D182" i="7"/>
  <c r="C182" i="7"/>
  <c r="B182" i="7"/>
  <c r="A182" i="7"/>
  <c r="F181" i="7"/>
  <c r="E181" i="7"/>
  <c r="D181" i="7"/>
  <c r="C181" i="7"/>
  <c r="B181" i="7"/>
  <c r="A181" i="7"/>
  <c r="F180" i="7"/>
  <c r="E180" i="7"/>
  <c r="D180" i="7"/>
  <c r="C180" i="7"/>
  <c r="B180" i="7"/>
  <c r="A180" i="7"/>
  <c r="F179" i="7"/>
  <c r="E179" i="7"/>
  <c r="D179" i="7"/>
  <c r="C179" i="7"/>
  <c r="B179" i="7"/>
  <c r="A179" i="7"/>
  <c r="F178" i="7"/>
  <c r="E178" i="7"/>
  <c r="D178" i="7"/>
  <c r="C178" i="7"/>
  <c r="B178" i="7"/>
  <c r="A178" i="7"/>
  <c r="F177" i="7"/>
  <c r="E177" i="7"/>
  <c r="D177" i="7"/>
  <c r="C177" i="7"/>
  <c r="B177" i="7"/>
  <c r="A177" i="7"/>
  <c r="F176" i="7"/>
  <c r="E176" i="7"/>
  <c r="D176" i="7"/>
  <c r="C176" i="7"/>
  <c r="B176" i="7"/>
  <c r="A176" i="7"/>
  <c r="F175" i="7"/>
  <c r="E175" i="7"/>
  <c r="D175" i="7"/>
  <c r="C175" i="7"/>
  <c r="B175" i="7"/>
  <c r="A175" i="7"/>
  <c r="F174" i="7"/>
  <c r="E174" i="7"/>
  <c r="D174" i="7"/>
  <c r="C174" i="7"/>
  <c r="B174" i="7"/>
  <c r="A174" i="7"/>
  <c r="F173" i="7"/>
  <c r="E173" i="7"/>
  <c r="D173" i="7"/>
  <c r="C173" i="7"/>
  <c r="B173" i="7"/>
  <c r="A173" i="7"/>
  <c r="F172" i="7"/>
  <c r="E172" i="7"/>
  <c r="D172" i="7"/>
  <c r="C172" i="7"/>
  <c r="B172" i="7"/>
  <c r="A172" i="7"/>
  <c r="F171" i="7"/>
  <c r="E171" i="7"/>
  <c r="D171" i="7"/>
  <c r="C171" i="7"/>
  <c r="B171" i="7"/>
  <c r="A171" i="7"/>
  <c r="F170" i="7"/>
  <c r="E170" i="7"/>
  <c r="D170" i="7"/>
  <c r="C170" i="7"/>
  <c r="B170" i="7"/>
  <c r="A170" i="7"/>
  <c r="F169" i="7"/>
  <c r="E169" i="7"/>
  <c r="D169" i="7"/>
  <c r="C169" i="7"/>
  <c r="B169" i="7"/>
  <c r="A169" i="7"/>
  <c r="F168" i="7"/>
  <c r="E168" i="7"/>
  <c r="D168" i="7"/>
  <c r="C168" i="7"/>
  <c r="B168" i="7"/>
  <c r="A168" i="7"/>
  <c r="F167" i="7"/>
  <c r="E167" i="7"/>
  <c r="D167" i="7"/>
  <c r="C167" i="7"/>
  <c r="B167" i="7"/>
  <c r="A167" i="7"/>
  <c r="F166" i="7"/>
  <c r="E166" i="7"/>
  <c r="D166" i="7"/>
  <c r="C166" i="7"/>
  <c r="B166" i="7"/>
  <c r="A166" i="7"/>
  <c r="F165" i="7"/>
  <c r="E165" i="7"/>
  <c r="D165" i="7"/>
  <c r="C165" i="7"/>
  <c r="B165" i="7"/>
  <c r="A165" i="7"/>
  <c r="F164" i="7"/>
  <c r="E164" i="7"/>
  <c r="D164" i="7"/>
  <c r="C164" i="7"/>
  <c r="B164" i="7"/>
  <c r="A164" i="7"/>
  <c r="F163" i="7"/>
  <c r="E163" i="7"/>
  <c r="D163" i="7"/>
  <c r="C163" i="7"/>
  <c r="B163" i="7"/>
  <c r="A163" i="7"/>
  <c r="F162" i="7"/>
  <c r="E162" i="7"/>
  <c r="D162" i="7"/>
  <c r="C162" i="7"/>
  <c r="B162" i="7"/>
  <c r="A162" i="7"/>
  <c r="F161" i="7"/>
  <c r="E161" i="7"/>
  <c r="D161" i="7"/>
  <c r="C161" i="7"/>
  <c r="B161" i="7"/>
  <c r="A161" i="7"/>
  <c r="F160" i="7"/>
  <c r="E160" i="7"/>
  <c r="D160" i="7"/>
  <c r="C160" i="7"/>
  <c r="B160" i="7"/>
  <c r="A160" i="7"/>
  <c r="F159" i="7"/>
  <c r="E159" i="7"/>
  <c r="D159" i="7"/>
  <c r="C159" i="7"/>
  <c r="B159" i="7"/>
  <c r="A159" i="7"/>
  <c r="F158" i="7"/>
  <c r="E158" i="7"/>
  <c r="D158" i="7"/>
  <c r="C158" i="7"/>
  <c r="B158" i="7"/>
  <c r="A158" i="7"/>
  <c r="F157" i="7"/>
  <c r="E157" i="7"/>
  <c r="D157" i="7"/>
  <c r="C157" i="7"/>
  <c r="B157" i="7"/>
  <c r="A157" i="7"/>
  <c r="F156" i="7"/>
  <c r="E156" i="7"/>
  <c r="D156" i="7"/>
  <c r="C156" i="7"/>
  <c r="B156" i="7"/>
  <c r="A156" i="7"/>
  <c r="F155" i="7"/>
  <c r="E155" i="7"/>
  <c r="D155" i="7"/>
  <c r="C155" i="7"/>
  <c r="B155" i="7"/>
  <c r="A155" i="7"/>
  <c r="F154" i="7"/>
  <c r="E154" i="7"/>
  <c r="D154" i="7"/>
  <c r="C154" i="7"/>
  <c r="B154" i="7"/>
  <c r="A154" i="7"/>
  <c r="F153" i="7"/>
  <c r="E153" i="7"/>
  <c r="D153" i="7"/>
  <c r="C153" i="7"/>
  <c r="B153" i="7"/>
  <c r="A153" i="7"/>
  <c r="F152" i="7"/>
  <c r="E152" i="7"/>
  <c r="D152" i="7"/>
  <c r="C152" i="7"/>
  <c r="B152" i="7"/>
  <c r="A152" i="7"/>
  <c r="F151" i="7"/>
  <c r="E151" i="7"/>
  <c r="D151" i="7"/>
  <c r="C151" i="7"/>
  <c r="B151" i="7"/>
  <c r="A151" i="7"/>
  <c r="F150" i="7"/>
  <c r="E150" i="7"/>
  <c r="D150" i="7"/>
  <c r="C150" i="7"/>
  <c r="B150" i="7"/>
  <c r="A150" i="7"/>
  <c r="F149" i="7"/>
  <c r="E149" i="7"/>
  <c r="D149" i="7"/>
  <c r="C149" i="7"/>
  <c r="B149" i="7"/>
  <c r="A149" i="7"/>
  <c r="F148" i="7"/>
  <c r="E148" i="7"/>
  <c r="D148" i="7"/>
  <c r="C148" i="7"/>
  <c r="B148" i="7"/>
  <c r="A148" i="7"/>
  <c r="F147" i="7"/>
  <c r="E147" i="7"/>
  <c r="D147" i="7"/>
  <c r="C147" i="7"/>
  <c r="B147" i="7"/>
  <c r="A147" i="7"/>
  <c r="F146" i="7"/>
  <c r="E146" i="7"/>
  <c r="D146" i="7"/>
  <c r="C146" i="7"/>
  <c r="B146" i="7"/>
  <c r="A146" i="7"/>
  <c r="F145" i="7"/>
  <c r="E145" i="7"/>
  <c r="D145" i="7"/>
  <c r="C145" i="7"/>
  <c r="B145" i="7"/>
  <c r="A145" i="7"/>
  <c r="F144" i="7"/>
  <c r="E144" i="7"/>
  <c r="D144" i="7"/>
  <c r="C144" i="7"/>
  <c r="B144" i="7"/>
  <c r="A144" i="7"/>
  <c r="F143" i="7"/>
  <c r="E143" i="7"/>
  <c r="D143" i="7"/>
  <c r="C143" i="7"/>
  <c r="B143" i="7"/>
  <c r="A143" i="7"/>
  <c r="F142" i="7"/>
  <c r="E142" i="7"/>
  <c r="D142" i="7"/>
  <c r="C142" i="7"/>
  <c r="B142" i="7"/>
  <c r="A142" i="7"/>
  <c r="F141" i="7"/>
  <c r="E141" i="7"/>
  <c r="D141" i="7"/>
  <c r="C141" i="7"/>
  <c r="B141" i="7"/>
  <c r="A141" i="7"/>
  <c r="F140" i="7"/>
  <c r="E140" i="7"/>
  <c r="D140" i="7"/>
  <c r="C140" i="7"/>
  <c r="B140" i="7"/>
  <c r="A140" i="7"/>
  <c r="F139" i="7"/>
  <c r="E139" i="7"/>
  <c r="D139" i="7"/>
  <c r="C139" i="7"/>
  <c r="B139" i="7"/>
  <c r="A139" i="7"/>
  <c r="F138" i="7"/>
  <c r="E138" i="7"/>
  <c r="D138" i="7"/>
  <c r="C138" i="7"/>
  <c r="B138" i="7"/>
  <c r="A138" i="7"/>
  <c r="F137" i="7"/>
  <c r="E137" i="7"/>
  <c r="D137" i="7"/>
  <c r="C137" i="7"/>
  <c r="B137" i="7"/>
  <c r="A137" i="7"/>
  <c r="F136" i="7"/>
  <c r="E136" i="7"/>
  <c r="D136" i="7"/>
  <c r="C136" i="7"/>
  <c r="B136" i="7"/>
  <c r="A136" i="7"/>
  <c r="F135" i="7"/>
  <c r="E135" i="7"/>
  <c r="D135" i="7"/>
  <c r="C135" i="7"/>
  <c r="B135" i="7"/>
  <c r="A135" i="7"/>
  <c r="F134" i="7"/>
  <c r="E134" i="7"/>
  <c r="D134" i="7"/>
  <c r="C134" i="7"/>
  <c r="B134" i="7"/>
  <c r="A134" i="7"/>
  <c r="F133" i="7"/>
  <c r="E133" i="7"/>
  <c r="D133" i="7"/>
  <c r="C133" i="7"/>
  <c r="B133" i="7"/>
  <c r="A133" i="7"/>
  <c r="F132" i="7"/>
  <c r="E132" i="7"/>
  <c r="D132" i="7"/>
  <c r="C132" i="7"/>
  <c r="B132" i="7"/>
  <c r="A132" i="7"/>
  <c r="F131" i="7"/>
  <c r="E131" i="7"/>
  <c r="D131" i="7"/>
  <c r="C131" i="7"/>
  <c r="B131" i="7"/>
  <c r="A131" i="7"/>
  <c r="F130" i="7"/>
  <c r="E130" i="7"/>
  <c r="D130" i="7"/>
  <c r="C130" i="7"/>
  <c r="B130" i="7"/>
  <c r="A130" i="7"/>
  <c r="F129" i="7"/>
  <c r="E129" i="7"/>
  <c r="D129" i="7"/>
  <c r="C129" i="7"/>
  <c r="B129" i="7"/>
  <c r="A129" i="7"/>
  <c r="F128" i="7"/>
  <c r="E128" i="7"/>
  <c r="D128" i="7"/>
  <c r="C128" i="7"/>
  <c r="B128" i="7"/>
  <c r="A128" i="7"/>
  <c r="F127" i="7"/>
  <c r="E127" i="7"/>
  <c r="D127" i="7"/>
  <c r="C127" i="7"/>
  <c r="B127" i="7"/>
  <c r="A127" i="7"/>
  <c r="F126" i="7"/>
  <c r="E126" i="7"/>
  <c r="D126" i="7"/>
  <c r="C126" i="7"/>
  <c r="B126" i="7"/>
  <c r="A126" i="7"/>
  <c r="F125" i="7"/>
  <c r="E125" i="7"/>
  <c r="D125" i="7"/>
  <c r="C125" i="7"/>
  <c r="B125" i="7"/>
  <c r="A125" i="7"/>
  <c r="F124" i="7"/>
  <c r="E124" i="7"/>
  <c r="D124" i="7"/>
  <c r="C124" i="7"/>
  <c r="B124" i="7"/>
  <c r="A124" i="7"/>
  <c r="F123" i="7"/>
  <c r="E123" i="7"/>
  <c r="D123" i="7"/>
  <c r="C123" i="7"/>
  <c r="B123" i="7"/>
  <c r="A123" i="7"/>
  <c r="F122" i="7"/>
  <c r="E122" i="7"/>
  <c r="D122" i="7"/>
  <c r="C122" i="7"/>
  <c r="B122" i="7"/>
  <c r="A122" i="7"/>
  <c r="F121" i="7"/>
  <c r="E121" i="7"/>
  <c r="D121" i="7"/>
  <c r="C121" i="7"/>
  <c r="B121" i="7"/>
  <c r="A121" i="7"/>
  <c r="F120" i="7"/>
  <c r="E120" i="7"/>
  <c r="D120" i="7"/>
  <c r="C120" i="7"/>
  <c r="B120" i="7"/>
  <c r="A120" i="7"/>
  <c r="F119" i="7"/>
  <c r="E119" i="7"/>
  <c r="D119" i="7"/>
  <c r="C119" i="7"/>
  <c r="B119" i="7"/>
  <c r="A119" i="7"/>
  <c r="F118" i="7"/>
  <c r="E118" i="7"/>
  <c r="D118" i="7"/>
  <c r="C118" i="7"/>
  <c r="B118" i="7"/>
  <c r="A118" i="7"/>
  <c r="F117" i="7"/>
  <c r="E117" i="7"/>
  <c r="D117" i="7"/>
  <c r="C117" i="7"/>
  <c r="B117" i="7"/>
  <c r="A117" i="7"/>
  <c r="F116" i="7"/>
  <c r="E116" i="7"/>
  <c r="D116" i="7"/>
  <c r="C116" i="7"/>
  <c r="B116" i="7"/>
  <c r="A116" i="7"/>
  <c r="F115" i="7"/>
  <c r="E115" i="7"/>
  <c r="D115" i="7"/>
  <c r="C115" i="7"/>
  <c r="B115" i="7"/>
  <c r="A115" i="7"/>
  <c r="F114" i="7"/>
  <c r="E114" i="7"/>
  <c r="D114" i="7"/>
  <c r="C114" i="7"/>
  <c r="B114" i="7"/>
  <c r="A114" i="7"/>
  <c r="F113" i="7"/>
  <c r="E113" i="7"/>
  <c r="D113" i="7"/>
  <c r="C113" i="7"/>
  <c r="B113" i="7"/>
  <c r="A113" i="7"/>
  <c r="F112" i="7"/>
  <c r="E112" i="7"/>
  <c r="D112" i="7"/>
  <c r="C112" i="7"/>
  <c r="B112" i="7"/>
  <c r="A112" i="7"/>
  <c r="F111" i="7"/>
  <c r="E111" i="7"/>
  <c r="D111" i="7"/>
  <c r="C111" i="7"/>
  <c r="B111" i="7"/>
  <c r="A111" i="7"/>
  <c r="F110" i="7"/>
  <c r="E110" i="7"/>
  <c r="D110" i="7"/>
  <c r="C110" i="7"/>
  <c r="B110" i="7"/>
  <c r="A110" i="7"/>
  <c r="F109" i="7"/>
  <c r="E109" i="7"/>
  <c r="D109" i="7"/>
  <c r="C109" i="7"/>
  <c r="B109" i="7"/>
  <c r="A109" i="7"/>
  <c r="F108" i="7"/>
  <c r="E108" i="7"/>
  <c r="D108" i="7"/>
  <c r="C108" i="7"/>
  <c r="B108" i="7"/>
  <c r="A108" i="7"/>
  <c r="F107" i="7"/>
  <c r="E107" i="7"/>
  <c r="D107" i="7"/>
  <c r="C107" i="7"/>
  <c r="B107" i="7"/>
  <c r="A107" i="7"/>
  <c r="F106" i="7"/>
  <c r="E106" i="7"/>
  <c r="D106" i="7"/>
  <c r="C106" i="7"/>
  <c r="B106" i="7"/>
  <c r="A106" i="7"/>
  <c r="F105" i="7"/>
  <c r="E105" i="7"/>
  <c r="D105" i="7"/>
  <c r="C105" i="7"/>
  <c r="B105" i="7"/>
  <c r="A105" i="7"/>
  <c r="F104" i="7"/>
  <c r="E104" i="7"/>
  <c r="D104" i="7"/>
  <c r="C104" i="7"/>
  <c r="B104" i="7"/>
  <c r="A104" i="7"/>
  <c r="F103" i="7"/>
  <c r="E103" i="7"/>
  <c r="D103" i="7"/>
  <c r="C103" i="7"/>
  <c r="B103" i="7"/>
  <c r="A103" i="7"/>
  <c r="F102" i="7"/>
  <c r="E102" i="7"/>
  <c r="D102" i="7"/>
  <c r="C102" i="7"/>
  <c r="B102" i="7"/>
  <c r="A102" i="7"/>
  <c r="F101" i="7"/>
  <c r="E101" i="7"/>
  <c r="D101" i="7"/>
  <c r="C101" i="7"/>
  <c r="B101" i="7"/>
  <c r="A101" i="7"/>
  <c r="F100" i="7"/>
  <c r="E100" i="7"/>
  <c r="D100" i="7"/>
  <c r="C100" i="7"/>
  <c r="B100" i="7"/>
  <c r="A100" i="7"/>
  <c r="F99" i="7"/>
  <c r="E99" i="7"/>
  <c r="D99" i="7"/>
  <c r="C99" i="7"/>
  <c r="B99" i="7"/>
  <c r="A99" i="7"/>
  <c r="F98" i="7"/>
  <c r="E98" i="7"/>
  <c r="D98" i="7"/>
  <c r="C98" i="7"/>
  <c r="B98" i="7"/>
  <c r="A98" i="7"/>
  <c r="E97" i="7"/>
  <c r="D97" i="7"/>
  <c r="C97" i="7"/>
  <c r="B97" i="7"/>
  <c r="A97" i="7"/>
  <c r="F96" i="7"/>
  <c r="D96" i="7"/>
  <c r="C96" i="7"/>
  <c r="B96" i="7"/>
  <c r="A96" i="7"/>
  <c r="E95" i="7"/>
  <c r="D95" i="7"/>
  <c r="C95" i="7"/>
  <c r="B95" i="7"/>
  <c r="A95" i="7"/>
  <c r="F94" i="7"/>
  <c r="D94" i="7"/>
  <c r="C94" i="7"/>
  <c r="B94" i="7"/>
  <c r="A94" i="7"/>
  <c r="E93" i="7"/>
  <c r="D93" i="7"/>
  <c r="C93" i="7"/>
  <c r="B93" i="7"/>
  <c r="A93" i="7"/>
  <c r="F92" i="7"/>
  <c r="D92" i="7"/>
  <c r="C92" i="7"/>
  <c r="B92" i="7"/>
  <c r="A92" i="7"/>
  <c r="E91" i="7"/>
  <c r="D91" i="7"/>
  <c r="C91" i="7"/>
  <c r="B91" i="7"/>
  <c r="A91" i="7"/>
  <c r="F90" i="7"/>
  <c r="D90" i="7"/>
  <c r="C90" i="7"/>
  <c r="B90" i="7"/>
  <c r="A90" i="7"/>
  <c r="E89" i="7"/>
  <c r="D89" i="7"/>
  <c r="C89" i="7"/>
  <c r="B89" i="7"/>
  <c r="A89" i="7"/>
  <c r="F88" i="7"/>
  <c r="D88" i="7"/>
  <c r="C88" i="7"/>
  <c r="B88" i="7"/>
  <c r="A88" i="7"/>
  <c r="E87" i="7"/>
  <c r="D87" i="7"/>
  <c r="C87" i="7"/>
  <c r="B87" i="7"/>
  <c r="A87" i="7"/>
  <c r="F86" i="7"/>
  <c r="D86" i="7"/>
  <c r="C86" i="7"/>
  <c r="B86" i="7"/>
  <c r="A86" i="7"/>
  <c r="E85" i="7"/>
  <c r="D85" i="7"/>
  <c r="C85" i="7"/>
  <c r="B85" i="7"/>
  <c r="A85" i="7"/>
  <c r="F84" i="7"/>
  <c r="D84" i="7"/>
  <c r="C84" i="7"/>
  <c r="B84" i="7"/>
  <c r="A84" i="7"/>
  <c r="E83" i="7"/>
  <c r="D83" i="7"/>
  <c r="C83" i="7"/>
  <c r="B83" i="7"/>
  <c r="A83" i="7"/>
  <c r="F82" i="7"/>
  <c r="D82" i="7"/>
  <c r="C82" i="7"/>
  <c r="B82" i="7"/>
  <c r="A82" i="7"/>
  <c r="E81" i="7"/>
  <c r="D81" i="7"/>
  <c r="C81" i="7"/>
  <c r="B81" i="7"/>
  <c r="A81" i="7"/>
  <c r="F80" i="7"/>
  <c r="D80" i="7"/>
  <c r="C80" i="7"/>
  <c r="B80" i="7"/>
  <c r="A80" i="7"/>
  <c r="F79" i="7"/>
  <c r="E79" i="7"/>
  <c r="D79" i="7"/>
  <c r="C79" i="7"/>
  <c r="B79" i="7"/>
  <c r="A79" i="7"/>
  <c r="F78" i="7"/>
  <c r="E78" i="7"/>
  <c r="D78" i="7"/>
  <c r="C78" i="7"/>
  <c r="B78" i="7"/>
  <c r="A78" i="7"/>
  <c r="F77" i="7"/>
  <c r="E77" i="7"/>
  <c r="D77" i="7"/>
  <c r="C77" i="7"/>
  <c r="B77" i="7"/>
  <c r="A77" i="7"/>
  <c r="F76" i="7"/>
  <c r="E76" i="7"/>
  <c r="D76" i="7"/>
  <c r="C76" i="7"/>
  <c r="B76" i="7"/>
  <c r="A76" i="7"/>
  <c r="F75" i="7"/>
  <c r="E75" i="7"/>
  <c r="D75" i="7"/>
  <c r="C75" i="7"/>
  <c r="B75" i="7"/>
  <c r="A75" i="7"/>
  <c r="F74" i="7"/>
  <c r="E74" i="7"/>
  <c r="D74" i="7"/>
  <c r="C74" i="7"/>
  <c r="B74" i="7"/>
  <c r="A74" i="7"/>
  <c r="E73" i="7"/>
  <c r="D73" i="7"/>
  <c r="C73" i="7"/>
  <c r="B73" i="7"/>
  <c r="A73" i="7"/>
  <c r="F72" i="7"/>
  <c r="D72" i="7"/>
  <c r="C72" i="7"/>
  <c r="B72" i="7"/>
  <c r="A72" i="7"/>
  <c r="E71" i="7"/>
  <c r="D71" i="7"/>
  <c r="C71" i="7"/>
  <c r="B71" i="7"/>
  <c r="A71" i="7"/>
  <c r="F70" i="7"/>
  <c r="D70" i="7"/>
  <c r="C70" i="7"/>
  <c r="B70" i="7"/>
  <c r="A70" i="7"/>
  <c r="E69" i="7"/>
  <c r="D69" i="7"/>
  <c r="C69" i="7"/>
  <c r="B69" i="7"/>
  <c r="A69" i="7"/>
  <c r="F68" i="7"/>
  <c r="D68" i="7"/>
  <c r="C68" i="7"/>
  <c r="B68" i="7"/>
  <c r="A68" i="7"/>
  <c r="E67" i="7"/>
  <c r="D67" i="7"/>
  <c r="C67" i="7"/>
  <c r="B67" i="7"/>
  <c r="A67" i="7"/>
  <c r="F66" i="7"/>
  <c r="D66" i="7"/>
  <c r="C66" i="7"/>
  <c r="B66" i="7"/>
  <c r="A66" i="7"/>
  <c r="E65" i="7"/>
  <c r="D65" i="7"/>
  <c r="C65" i="7"/>
  <c r="B65" i="7"/>
  <c r="A65" i="7"/>
  <c r="F64" i="7"/>
  <c r="D64" i="7"/>
  <c r="C64" i="7"/>
  <c r="B64" i="7"/>
  <c r="A64" i="7"/>
  <c r="E63" i="7"/>
  <c r="D63" i="7"/>
  <c r="C63" i="7"/>
  <c r="B63" i="7"/>
  <c r="A63" i="7"/>
  <c r="F62" i="7"/>
  <c r="D62" i="7"/>
  <c r="C62" i="7"/>
  <c r="B62" i="7"/>
  <c r="A62" i="7"/>
  <c r="E61" i="7"/>
  <c r="D61" i="7"/>
  <c r="C61" i="7"/>
  <c r="B61" i="7"/>
  <c r="A61" i="7"/>
  <c r="F60" i="7"/>
  <c r="D60" i="7"/>
  <c r="C60" i="7"/>
  <c r="B60" i="7"/>
  <c r="A60" i="7"/>
  <c r="E59" i="7"/>
  <c r="D59" i="7"/>
  <c r="C59" i="7"/>
  <c r="B59" i="7"/>
  <c r="A59" i="7"/>
  <c r="F58" i="7"/>
  <c r="D58" i="7"/>
  <c r="C58" i="7"/>
  <c r="B58" i="7"/>
  <c r="A58" i="7"/>
  <c r="E57" i="7"/>
  <c r="D57" i="7"/>
  <c r="C57" i="7"/>
  <c r="B57" i="7"/>
  <c r="A57" i="7"/>
  <c r="F56" i="7"/>
  <c r="D56" i="7"/>
  <c r="C56" i="7"/>
  <c r="B56" i="7"/>
  <c r="A56" i="7"/>
  <c r="F55" i="7"/>
  <c r="E55" i="7"/>
  <c r="D55" i="7"/>
  <c r="C55" i="7"/>
  <c r="B55" i="7"/>
  <c r="A55" i="7"/>
  <c r="F54" i="7"/>
  <c r="E54" i="7"/>
  <c r="D54" i="7"/>
  <c r="C54" i="7"/>
  <c r="B54" i="7"/>
  <c r="A54" i="7"/>
  <c r="F53" i="7"/>
  <c r="E53" i="7"/>
  <c r="D53" i="7"/>
  <c r="C53" i="7"/>
  <c r="B53" i="7"/>
  <c r="A53" i="7"/>
  <c r="F52" i="7"/>
  <c r="E52" i="7"/>
  <c r="D52" i="7"/>
  <c r="C52" i="7"/>
  <c r="B52" i="7"/>
  <c r="A52" i="7"/>
  <c r="F51" i="7"/>
  <c r="E51" i="7"/>
  <c r="D51" i="7"/>
  <c r="C51" i="7"/>
  <c r="B51" i="7"/>
  <c r="A51" i="7"/>
  <c r="F50" i="7"/>
  <c r="E50" i="7"/>
  <c r="D50" i="7"/>
  <c r="C50" i="7"/>
  <c r="B50" i="7"/>
  <c r="A50" i="7"/>
  <c r="F49" i="7"/>
  <c r="E49" i="7"/>
  <c r="D49" i="7"/>
  <c r="C49" i="7"/>
  <c r="B49" i="7"/>
  <c r="A49" i="7"/>
  <c r="F48" i="7"/>
  <c r="E48" i="7"/>
  <c r="D48" i="7"/>
  <c r="C48" i="7"/>
  <c r="B48" i="7"/>
  <c r="A48" i="7"/>
  <c r="F47" i="7"/>
  <c r="E47" i="7"/>
  <c r="D47" i="7"/>
  <c r="C47" i="7"/>
  <c r="B47" i="7"/>
  <c r="A47" i="7"/>
  <c r="F46" i="7"/>
  <c r="E46" i="7"/>
  <c r="D46" i="7"/>
  <c r="C46" i="7"/>
  <c r="B46" i="7"/>
  <c r="A46" i="7"/>
  <c r="F45" i="7"/>
  <c r="E45" i="7"/>
  <c r="D45" i="7"/>
  <c r="C45" i="7"/>
  <c r="B45" i="7"/>
  <c r="A45" i="7"/>
  <c r="F44" i="7"/>
  <c r="E44" i="7"/>
  <c r="D44" i="7"/>
  <c r="C44" i="7"/>
  <c r="B44" i="7"/>
  <c r="A44" i="7"/>
  <c r="F43" i="7"/>
  <c r="E43" i="7"/>
  <c r="D43" i="7"/>
  <c r="C43" i="7"/>
  <c r="B43" i="7"/>
  <c r="A43" i="7"/>
  <c r="F42" i="7"/>
  <c r="E42" i="7"/>
  <c r="D42" i="7"/>
  <c r="C42" i="7"/>
  <c r="B42" i="7"/>
  <c r="A42" i="7"/>
  <c r="F41" i="7"/>
  <c r="E41" i="7"/>
  <c r="D41" i="7"/>
  <c r="C41" i="7"/>
  <c r="B41" i="7"/>
  <c r="A41" i="7"/>
  <c r="F40" i="7"/>
  <c r="E40" i="7"/>
  <c r="D40" i="7"/>
  <c r="C40" i="7"/>
  <c r="B40" i="7"/>
  <c r="A40" i="7"/>
  <c r="F39" i="7"/>
  <c r="E39" i="7"/>
  <c r="D39" i="7"/>
  <c r="C39" i="7"/>
  <c r="B39" i="7"/>
  <c r="A39" i="7"/>
  <c r="F38" i="7"/>
  <c r="E38" i="7"/>
  <c r="D38" i="7"/>
  <c r="C38" i="7"/>
  <c r="B38" i="7"/>
  <c r="A38" i="7"/>
  <c r="E37" i="7"/>
  <c r="D37" i="7"/>
  <c r="C37" i="7"/>
  <c r="B37" i="7"/>
  <c r="A37" i="7"/>
  <c r="F36" i="7"/>
  <c r="D36" i="7"/>
  <c r="C36" i="7"/>
  <c r="B36" i="7"/>
  <c r="A36" i="7"/>
  <c r="F35" i="7"/>
  <c r="E35" i="7"/>
  <c r="D35" i="7"/>
  <c r="C35" i="7"/>
  <c r="B35" i="7"/>
  <c r="A35" i="7"/>
  <c r="F34" i="7"/>
  <c r="E34" i="7"/>
  <c r="D34" i="7"/>
  <c r="C34" i="7"/>
  <c r="B34" i="7"/>
  <c r="A34" i="7"/>
  <c r="F33" i="7"/>
  <c r="E33" i="7"/>
  <c r="D33" i="7"/>
  <c r="C33" i="7"/>
  <c r="B33" i="7"/>
  <c r="A33" i="7"/>
  <c r="F32" i="7"/>
  <c r="E32" i="7"/>
  <c r="D32" i="7"/>
  <c r="C32" i="7"/>
  <c r="B32" i="7"/>
  <c r="A32" i="7"/>
  <c r="E31" i="7"/>
  <c r="D31" i="7"/>
  <c r="C31" i="7"/>
  <c r="B31" i="7"/>
  <c r="A31" i="7"/>
  <c r="F30" i="7"/>
  <c r="D30" i="7"/>
  <c r="C30" i="7"/>
  <c r="B30" i="7"/>
  <c r="A30" i="7"/>
  <c r="F29" i="7"/>
  <c r="E29" i="7"/>
  <c r="D29" i="7"/>
  <c r="C29" i="7"/>
  <c r="B29" i="7"/>
  <c r="A29" i="7"/>
  <c r="F28" i="7"/>
  <c r="E28" i="7"/>
  <c r="D28" i="7"/>
  <c r="C28" i="7"/>
  <c r="B28" i="7"/>
  <c r="A28" i="7"/>
  <c r="F27" i="7"/>
  <c r="E27" i="7"/>
  <c r="D27" i="7"/>
  <c r="C27" i="7"/>
  <c r="B27" i="7"/>
  <c r="A27" i="7"/>
  <c r="F26" i="7"/>
  <c r="E26" i="7"/>
  <c r="D26" i="7"/>
  <c r="C26" i="7"/>
  <c r="B26" i="7"/>
  <c r="A26" i="7"/>
  <c r="E25" i="7"/>
  <c r="D25" i="7"/>
  <c r="C25" i="7"/>
  <c r="B25" i="7"/>
  <c r="A25" i="7"/>
  <c r="F24" i="7"/>
  <c r="D24" i="7"/>
  <c r="C24" i="7"/>
  <c r="B24" i="7"/>
  <c r="A24" i="7"/>
  <c r="E23" i="7"/>
  <c r="D23" i="7"/>
  <c r="C23" i="7"/>
  <c r="B23" i="7"/>
  <c r="A23" i="7"/>
  <c r="F22" i="7"/>
  <c r="D22" i="7"/>
  <c r="C22" i="7"/>
  <c r="B22" i="7"/>
  <c r="A22" i="7"/>
  <c r="E21" i="7"/>
  <c r="D21" i="7"/>
  <c r="C21" i="7"/>
  <c r="B21" i="7"/>
  <c r="A21" i="7"/>
  <c r="F20" i="7"/>
  <c r="D20" i="7"/>
  <c r="C20" i="7"/>
  <c r="B20" i="7"/>
  <c r="A20" i="7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E15" i="7"/>
  <c r="D15" i="7"/>
  <c r="C15" i="7"/>
  <c r="B15" i="7"/>
  <c r="A15" i="7"/>
  <c r="F14" i="7"/>
  <c r="D14" i="7"/>
  <c r="C14" i="7"/>
  <c r="B14" i="7"/>
  <c r="A14" i="7"/>
  <c r="E13" i="7"/>
  <c r="D13" i="7"/>
  <c r="C13" i="7"/>
  <c r="B13" i="7"/>
  <c r="A13" i="7"/>
  <c r="F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D9" i="7"/>
  <c r="C9" i="7"/>
  <c r="B9" i="7"/>
  <c r="A9" i="7"/>
  <c r="F8" i="7"/>
  <c r="E8" i="7"/>
  <c r="D8" i="7"/>
  <c r="C8" i="7"/>
  <c r="B8" i="7"/>
  <c r="A8" i="7"/>
  <c r="F7" i="7"/>
  <c r="E7" i="7"/>
  <c r="D7" i="7"/>
  <c r="C7" i="7"/>
  <c r="B7" i="7"/>
  <c r="A7" i="7"/>
  <c r="F6" i="7"/>
  <c r="E6" i="7"/>
  <c r="B6" i="7"/>
  <c r="C6" i="7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H147" i="8"/>
  <c r="E147" i="8"/>
  <c r="D147" i="8"/>
  <c r="C147" i="8"/>
  <c r="B147" i="8"/>
  <c r="A147" i="8"/>
  <c r="H146" i="8"/>
  <c r="E146" i="8"/>
  <c r="D146" i="8"/>
  <c r="C146" i="8"/>
  <c r="B146" i="8"/>
  <c r="A146" i="8"/>
  <c r="H145" i="8"/>
  <c r="E145" i="8"/>
  <c r="D145" i="8"/>
  <c r="C145" i="8"/>
  <c r="B145" i="8"/>
  <c r="A145" i="8"/>
  <c r="H144" i="8"/>
  <c r="E144" i="8"/>
  <c r="D144" i="8"/>
  <c r="C144" i="8"/>
  <c r="B144" i="8"/>
  <c r="A144" i="8"/>
  <c r="H143" i="8"/>
  <c r="E143" i="8"/>
  <c r="D143" i="8"/>
  <c r="C143" i="8"/>
  <c r="B143" i="8"/>
  <c r="A143" i="8"/>
  <c r="H142" i="8"/>
  <c r="E142" i="8"/>
  <c r="D142" i="8"/>
  <c r="C142" i="8"/>
  <c r="B142" i="8"/>
  <c r="A142" i="8"/>
  <c r="H141" i="8"/>
  <c r="E141" i="8"/>
  <c r="D141" i="8"/>
  <c r="C141" i="8"/>
  <c r="B141" i="8"/>
  <c r="A141" i="8"/>
  <c r="H140" i="8"/>
  <c r="E140" i="8"/>
  <c r="D140" i="8"/>
  <c r="C140" i="8"/>
  <c r="B140" i="8"/>
  <c r="A140" i="8"/>
  <c r="H139" i="8"/>
  <c r="E139" i="8"/>
  <c r="D139" i="8"/>
  <c r="C139" i="8"/>
  <c r="B139" i="8"/>
  <c r="A139" i="8"/>
  <c r="H138" i="8"/>
  <c r="E138" i="8"/>
  <c r="D138" i="8"/>
  <c r="C138" i="8"/>
  <c r="B138" i="8"/>
  <c r="A138" i="8"/>
  <c r="H137" i="8"/>
  <c r="E137" i="8"/>
  <c r="D137" i="8"/>
  <c r="C137" i="8"/>
  <c r="B137" i="8"/>
  <c r="A137" i="8"/>
  <c r="H136" i="8"/>
  <c r="E136" i="8"/>
  <c r="D136" i="8"/>
  <c r="C136" i="8"/>
  <c r="B136" i="8"/>
  <c r="A136" i="8"/>
  <c r="H135" i="8"/>
  <c r="E135" i="8"/>
  <c r="D135" i="8"/>
  <c r="C135" i="8"/>
  <c r="B135" i="8"/>
  <c r="A135" i="8"/>
  <c r="H134" i="8"/>
  <c r="E134" i="8"/>
  <c r="D134" i="8"/>
  <c r="C134" i="8"/>
  <c r="B134" i="8"/>
  <c r="A134" i="8"/>
  <c r="H133" i="8"/>
  <c r="E133" i="8"/>
  <c r="D133" i="8"/>
  <c r="C133" i="8"/>
  <c r="B133" i="8"/>
  <c r="A133" i="8"/>
  <c r="H132" i="8"/>
  <c r="E132" i="8"/>
  <c r="D132" i="8"/>
  <c r="C132" i="8"/>
  <c r="B132" i="8"/>
  <c r="A132" i="8"/>
  <c r="H131" i="8"/>
  <c r="E131" i="8"/>
  <c r="D131" i="8"/>
  <c r="C131" i="8"/>
  <c r="B131" i="8"/>
  <c r="A131" i="8"/>
  <c r="H130" i="8"/>
  <c r="E130" i="8"/>
  <c r="D130" i="8"/>
  <c r="C130" i="8"/>
  <c r="B130" i="8"/>
  <c r="A130" i="8"/>
  <c r="H129" i="8"/>
  <c r="E129" i="8"/>
  <c r="D129" i="8"/>
  <c r="C129" i="8"/>
  <c r="B129" i="8"/>
  <c r="A129" i="8"/>
  <c r="H128" i="8"/>
  <c r="E128" i="8"/>
  <c r="D128" i="8"/>
  <c r="C128" i="8"/>
  <c r="B128" i="8"/>
  <c r="A128" i="8"/>
  <c r="H127" i="8"/>
  <c r="E127" i="8"/>
  <c r="D127" i="8"/>
  <c r="C127" i="8"/>
  <c r="B127" i="8"/>
  <c r="A127" i="8"/>
  <c r="H126" i="8"/>
  <c r="E126" i="8"/>
  <c r="D126" i="8"/>
  <c r="C126" i="8"/>
  <c r="B126" i="8"/>
  <c r="A126" i="8"/>
  <c r="H125" i="8"/>
  <c r="E125" i="8"/>
  <c r="D125" i="8"/>
  <c r="C125" i="8"/>
  <c r="B125" i="8"/>
  <c r="A125" i="8"/>
  <c r="H124" i="8"/>
  <c r="E124" i="8"/>
  <c r="D124" i="8"/>
  <c r="C124" i="8"/>
  <c r="B124" i="8"/>
  <c r="A124" i="8"/>
  <c r="H123" i="8"/>
  <c r="E123" i="8"/>
  <c r="D123" i="8"/>
  <c r="C123" i="8"/>
  <c r="B123" i="8"/>
  <c r="A123" i="8"/>
  <c r="H122" i="8"/>
  <c r="E122" i="8"/>
  <c r="D122" i="8"/>
  <c r="C122" i="8"/>
  <c r="B122" i="8"/>
  <c r="A122" i="8"/>
  <c r="H121" i="8"/>
  <c r="E121" i="8"/>
  <c r="D121" i="8"/>
  <c r="C121" i="8"/>
  <c r="B121" i="8"/>
  <c r="A121" i="8"/>
  <c r="H120" i="8"/>
  <c r="E120" i="8"/>
  <c r="D120" i="8"/>
  <c r="C120" i="8"/>
  <c r="B120" i="8"/>
  <c r="A120" i="8"/>
  <c r="H119" i="8"/>
  <c r="E119" i="8"/>
  <c r="D119" i="8"/>
  <c r="C119" i="8"/>
  <c r="B119" i="8"/>
  <c r="A119" i="8"/>
  <c r="H118" i="8"/>
  <c r="E118" i="8"/>
  <c r="D118" i="8"/>
  <c r="C118" i="8"/>
  <c r="B118" i="8"/>
  <c r="A118" i="8"/>
  <c r="H117" i="8"/>
  <c r="E117" i="8"/>
  <c r="D117" i="8"/>
  <c r="C117" i="8"/>
  <c r="B117" i="8"/>
  <c r="A117" i="8"/>
  <c r="H116" i="8"/>
  <c r="E116" i="8"/>
  <c r="D116" i="8"/>
  <c r="C116" i="8"/>
  <c r="B116" i="8"/>
  <c r="A116" i="8"/>
  <c r="H115" i="8"/>
  <c r="E115" i="8"/>
  <c r="D115" i="8"/>
  <c r="C115" i="8"/>
  <c r="B115" i="8"/>
  <c r="A115" i="8"/>
  <c r="H114" i="8"/>
  <c r="E114" i="8"/>
  <c r="D114" i="8"/>
  <c r="C114" i="8"/>
  <c r="B114" i="8"/>
  <c r="A114" i="8"/>
  <c r="H113" i="8"/>
  <c r="E113" i="8"/>
  <c r="D113" i="8"/>
  <c r="C113" i="8"/>
  <c r="B113" i="8"/>
  <c r="A113" i="8"/>
  <c r="H112" i="8"/>
  <c r="E112" i="8"/>
  <c r="D112" i="8"/>
  <c r="C112" i="8"/>
  <c r="B112" i="8"/>
  <c r="A112" i="8"/>
  <c r="H111" i="8"/>
  <c r="E111" i="8"/>
  <c r="D111" i="8"/>
  <c r="C111" i="8"/>
  <c r="B111" i="8"/>
  <c r="A111" i="8"/>
  <c r="H110" i="8"/>
  <c r="E110" i="8"/>
  <c r="D110" i="8"/>
  <c r="C110" i="8"/>
  <c r="B110" i="8"/>
  <c r="A110" i="8"/>
  <c r="H109" i="8"/>
  <c r="E109" i="8"/>
  <c r="D109" i="8"/>
  <c r="C109" i="8"/>
  <c r="B109" i="8"/>
  <c r="A109" i="8"/>
  <c r="H108" i="8"/>
  <c r="E108" i="8"/>
  <c r="D108" i="8"/>
  <c r="C108" i="8"/>
  <c r="B108" i="8"/>
  <c r="A108" i="8"/>
  <c r="H107" i="8"/>
  <c r="E107" i="8"/>
  <c r="D107" i="8"/>
  <c r="C107" i="8"/>
  <c r="B107" i="8"/>
  <c r="A107" i="8"/>
  <c r="H106" i="8"/>
  <c r="E106" i="8"/>
  <c r="D106" i="8"/>
  <c r="C106" i="8"/>
  <c r="B106" i="8"/>
  <c r="A106" i="8"/>
  <c r="H105" i="8"/>
  <c r="E105" i="8"/>
  <c r="D105" i="8"/>
  <c r="C105" i="8"/>
  <c r="B105" i="8"/>
  <c r="A105" i="8"/>
  <c r="H104" i="8"/>
  <c r="E104" i="8"/>
  <c r="D104" i="8"/>
  <c r="C104" i="8"/>
  <c r="B104" i="8"/>
  <c r="A104" i="8"/>
  <c r="H103" i="8"/>
  <c r="E103" i="8"/>
  <c r="D103" i="8"/>
  <c r="C103" i="8"/>
  <c r="B103" i="8"/>
  <c r="A103" i="8"/>
  <c r="H102" i="8"/>
  <c r="E102" i="8"/>
  <c r="D102" i="8"/>
  <c r="C102" i="8"/>
  <c r="B102" i="8"/>
  <c r="A102" i="8"/>
  <c r="H101" i="8"/>
  <c r="E101" i="8"/>
  <c r="D101" i="8"/>
  <c r="C101" i="8"/>
  <c r="B101" i="8"/>
  <c r="A101" i="8"/>
  <c r="H100" i="8"/>
  <c r="E100" i="8"/>
  <c r="D100" i="8"/>
  <c r="C100" i="8"/>
  <c r="B100" i="8"/>
  <c r="A100" i="8"/>
  <c r="H99" i="8"/>
  <c r="E99" i="8"/>
  <c r="D99" i="8"/>
  <c r="C99" i="8"/>
  <c r="B99" i="8"/>
  <c r="A99" i="8"/>
  <c r="H98" i="8"/>
  <c r="E98" i="8"/>
  <c r="D98" i="8"/>
  <c r="C98" i="8"/>
  <c r="B98" i="8"/>
  <c r="A98" i="8"/>
  <c r="H97" i="8"/>
  <c r="E97" i="8"/>
  <c r="D97" i="8"/>
  <c r="C97" i="8"/>
  <c r="B97" i="8"/>
  <c r="A97" i="8"/>
  <c r="H96" i="8"/>
  <c r="E96" i="8"/>
  <c r="D96" i="8"/>
  <c r="C96" i="8"/>
  <c r="B96" i="8"/>
  <c r="A96" i="8"/>
  <c r="H95" i="8"/>
  <c r="E95" i="8"/>
  <c r="D95" i="8"/>
  <c r="C95" i="8"/>
  <c r="B95" i="8"/>
  <c r="A95" i="8"/>
  <c r="H94" i="8"/>
  <c r="E94" i="8"/>
  <c r="D94" i="8"/>
  <c r="C94" i="8"/>
  <c r="B94" i="8"/>
  <c r="A94" i="8"/>
  <c r="H93" i="8"/>
  <c r="E93" i="8"/>
  <c r="D93" i="8"/>
  <c r="C93" i="8"/>
  <c r="B93" i="8"/>
  <c r="A93" i="8"/>
  <c r="H92" i="8"/>
  <c r="E92" i="8"/>
  <c r="D92" i="8"/>
  <c r="C92" i="8"/>
  <c r="B92" i="8"/>
  <c r="A92" i="8"/>
  <c r="H91" i="8"/>
  <c r="E91" i="8"/>
  <c r="D91" i="8"/>
  <c r="C91" i="8"/>
  <c r="B91" i="8"/>
  <c r="A91" i="8"/>
  <c r="H90" i="8"/>
  <c r="E90" i="8"/>
  <c r="D90" i="8"/>
  <c r="C90" i="8"/>
  <c r="B90" i="8"/>
  <c r="A90" i="8"/>
  <c r="H89" i="8"/>
  <c r="E89" i="8"/>
  <c r="D89" i="8"/>
  <c r="C89" i="8"/>
  <c r="B89" i="8"/>
  <c r="A89" i="8"/>
  <c r="H88" i="8"/>
  <c r="E88" i="8"/>
  <c r="D88" i="8"/>
  <c r="C88" i="8"/>
  <c r="B88" i="8"/>
  <c r="A88" i="8"/>
  <c r="H87" i="8"/>
  <c r="E87" i="8"/>
  <c r="D87" i="8"/>
  <c r="C87" i="8"/>
  <c r="B87" i="8"/>
  <c r="A87" i="8"/>
  <c r="H86" i="8"/>
  <c r="E86" i="8"/>
  <c r="D86" i="8"/>
  <c r="C86" i="8"/>
  <c r="B86" i="8"/>
  <c r="A86" i="8"/>
  <c r="H85" i="8"/>
  <c r="E85" i="8"/>
  <c r="D85" i="8"/>
  <c r="C85" i="8"/>
  <c r="B85" i="8"/>
  <c r="A85" i="8"/>
  <c r="H84" i="8"/>
  <c r="E84" i="8"/>
  <c r="D84" i="8"/>
  <c r="C84" i="8"/>
  <c r="B84" i="8"/>
  <c r="A84" i="8"/>
  <c r="H83" i="8"/>
  <c r="E83" i="8"/>
  <c r="D83" i="8"/>
  <c r="C83" i="8"/>
  <c r="B83" i="8"/>
  <c r="A83" i="8"/>
  <c r="H82" i="8"/>
  <c r="E82" i="8"/>
  <c r="D82" i="8"/>
  <c r="C82" i="8"/>
  <c r="B82" i="8"/>
  <c r="A82" i="8"/>
  <c r="H81" i="8"/>
  <c r="E81" i="8"/>
  <c r="D81" i="8"/>
  <c r="C81" i="8"/>
  <c r="B81" i="8"/>
  <c r="A81" i="8"/>
  <c r="H80" i="8"/>
  <c r="E80" i="8"/>
  <c r="D80" i="8"/>
  <c r="C80" i="8"/>
  <c r="B80" i="8"/>
  <c r="A80" i="8"/>
  <c r="H79" i="8"/>
  <c r="E79" i="8"/>
  <c r="D79" i="8"/>
  <c r="C79" i="8"/>
  <c r="B79" i="8"/>
  <c r="A79" i="8"/>
  <c r="H78" i="8"/>
  <c r="E78" i="8"/>
  <c r="D78" i="8"/>
  <c r="C78" i="8"/>
  <c r="B78" i="8"/>
  <c r="A78" i="8"/>
  <c r="H77" i="8"/>
  <c r="E77" i="8"/>
  <c r="D77" i="8"/>
  <c r="C77" i="8"/>
  <c r="B77" i="8"/>
  <c r="A77" i="8"/>
  <c r="H76" i="8"/>
  <c r="E76" i="8"/>
  <c r="D76" i="8"/>
  <c r="C76" i="8"/>
  <c r="B76" i="8"/>
  <c r="A76" i="8"/>
  <c r="H75" i="8"/>
  <c r="E75" i="8"/>
  <c r="D75" i="8"/>
  <c r="C75" i="8"/>
  <c r="B75" i="8"/>
  <c r="A75" i="8"/>
  <c r="H74" i="8"/>
  <c r="E74" i="8"/>
  <c r="D74" i="8"/>
  <c r="C74" i="8"/>
  <c r="B74" i="8"/>
  <c r="A74" i="8"/>
  <c r="H73" i="8"/>
  <c r="E73" i="8"/>
  <c r="D73" i="8"/>
  <c r="C73" i="8"/>
  <c r="B73" i="8"/>
  <c r="A73" i="8"/>
  <c r="H72" i="8"/>
  <c r="E72" i="8"/>
  <c r="D72" i="8"/>
  <c r="C72" i="8"/>
  <c r="B72" i="8"/>
  <c r="A72" i="8"/>
  <c r="H71" i="8"/>
  <c r="E71" i="8"/>
  <c r="D71" i="8"/>
  <c r="C71" i="8"/>
  <c r="B71" i="8"/>
  <c r="A71" i="8"/>
  <c r="H70" i="8"/>
  <c r="E70" i="8"/>
  <c r="D70" i="8"/>
  <c r="C70" i="8"/>
  <c r="B70" i="8"/>
  <c r="A70" i="8"/>
  <c r="H69" i="8"/>
  <c r="E69" i="8"/>
  <c r="D69" i="8"/>
  <c r="C69" i="8"/>
  <c r="B69" i="8"/>
  <c r="A69" i="8"/>
  <c r="H68" i="8"/>
  <c r="E68" i="8"/>
  <c r="D68" i="8"/>
  <c r="C68" i="8"/>
  <c r="B68" i="8"/>
  <c r="A68" i="8"/>
  <c r="H67" i="8"/>
  <c r="E67" i="8"/>
  <c r="D67" i="8"/>
  <c r="C67" i="8"/>
  <c r="B67" i="8"/>
  <c r="A67" i="8"/>
  <c r="H66" i="8"/>
  <c r="E66" i="8"/>
  <c r="D66" i="8"/>
  <c r="C66" i="8"/>
  <c r="B66" i="8"/>
  <c r="A66" i="8"/>
  <c r="H65" i="8"/>
  <c r="E65" i="8"/>
  <c r="D65" i="8"/>
  <c r="C65" i="8"/>
  <c r="B65" i="8"/>
  <c r="A65" i="8"/>
  <c r="H64" i="8"/>
  <c r="E64" i="8"/>
  <c r="D64" i="8"/>
  <c r="C64" i="8"/>
  <c r="B64" i="8"/>
  <c r="A64" i="8"/>
  <c r="H63" i="8"/>
  <c r="E63" i="8"/>
  <c r="D63" i="8"/>
  <c r="C63" i="8"/>
  <c r="B63" i="8"/>
  <c r="A63" i="8"/>
  <c r="H62" i="8"/>
  <c r="E62" i="8"/>
  <c r="D62" i="8"/>
  <c r="C62" i="8"/>
  <c r="B62" i="8"/>
  <c r="A62" i="8"/>
  <c r="H61" i="8"/>
  <c r="E61" i="8"/>
  <c r="D61" i="8"/>
  <c r="C61" i="8"/>
  <c r="B61" i="8"/>
  <c r="A61" i="8"/>
  <c r="H60" i="8"/>
  <c r="E60" i="8"/>
  <c r="D60" i="8"/>
  <c r="C60" i="8"/>
  <c r="B60" i="8"/>
  <c r="A60" i="8"/>
  <c r="H59" i="8"/>
  <c r="E59" i="8"/>
  <c r="D59" i="8"/>
  <c r="C59" i="8"/>
  <c r="B59" i="8"/>
  <c r="A59" i="8"/>
  <c r="H58" i="8"/>
  <c r="E58" i="8"/>
  <c r="D58" i="8"/>
  <c r="C58" i="8"/>
  <c r="B58" i="8"/>
  <c r="A58" i="8"/>
  <c r="H57" i="8"/>
  <c r="E57" i="8"/>
  <c r="D57" i="8"/>
  <c r="C57" i="8"/>
  <c r="B57" i="8"/>
  <c r="A57" i="8"/>
  <c r="H56" i="8"/>
  <c r="E56" i="8"/>
  <c r="D56" i="8"/>
  <c r="C56" i="8"/>
  <c r="B56" i="8"/>
  <c r="A56" i="8"/>
  <c r="H55" i="8"/>
  <c r="E55" i="8"/>
  <c r="D55" i="8"/>
  <c r="C55" i="8"/>
  <c r="B55" i="8"/>
  <c r="A55" i="8"/>
  <c r="H54" i="8"/>
  <c r="E54" i="8"/>
  <c r="D54" i="8"/>
  <c r="C54" i="8"/>
  <c r="B54" i="8"/>
  <c r="A54" i="8"/>
  <c r="H53" i="8"/>
  <c r="E53" i="8"/>
  <c r="D53" i="8"/>
  <c r="C53" i="8"/>
  <c r="B53" i="8"/>
  <c r="A53" i="8"/>
  <c r="H52" i="8"/>
  <c r="E52" i="8"/>
  <c r="D52" i="8"/>
  <c r="C52" i="8"/>
  <c r="B52" i="8"/>
  <c r="A52" i="8"/>
  <c r="H51" i="8"/>
  <c r="E51" i="8"/>
  <c r="D51" i="8"/>
  <c r="C51" i="8"/>
  <c r="B51" i="8"/>
  <c r="A51" i="8"/>
  <c r="H50" i="8"/>
  <c r="E50" i="8"/>
  <c r="D50" i="8"/>
  <c r="C50" i="8"/>
  <c r="B50" i="8"/>
  <c r="A50" i="8"/>
  <c r="H49" i="8"/>
  <c r="E49" i="8"/>
  <c r="D49" i="8"/>
  <c r="C49" i="8"/>
  <c r="B49" i="8"/>
  <c r="A49" i="8"/>
  <c r="H48" i="8"/>
  <c r="E48" i="8"/>
  <c r="D48" i="8"/>
  <c r="C48" i="8"/>
  <c r="B48" i="8"/>
  <c r="A48" i="8"/>
  <c r="H47" i="8"/>
  <c r="E47" i="8"/>
  <c r="D47" i="8"/>
  <c r="C47" i="8"/>
  <c r="B47" i="8"/>
  <c r="A47" i="8"/>
  <c r="H46" i="8"/>
  <c r="E46" i="8"/>
  <c r="D46" i="8"/>
  <c r="C46" i="8"/>
  <c r="B46" i="8"/>
  <c r="A46" i="8"/>
  <c r="H45" i="8"/>
  <c r="E45" i="8"/>
  <c r="D45" i="8"/>
  <c r="C45" i="8"/>
  <c r="B45" i="8"/>
  <c r="A45" i="8"/>
  <c r="H44" i="8"/>
  <c r="E44" i="8"/>
  <c r="D44" i="8"/>
  <c r="C44" i="8"/>
  <c r="B44" i="8"/>
  <c r="A44" i="8"/>
  <c r="H43" i="8"/>
  <c r="E43" i="8"/>
  <c r="D43" i="8"/>
  <c r="C43" i="8"/>
  <c r="B43" i="8"/>
  <c r="A43" i="8"/>
  <c r="H42" i="8"/>
  <c r="E42" i="8"/>
  <c r="D42" i="8"/>
  <c r="C42" i="8"/>
  <c r="B42" i="8"/>
  <c r="A42" i="8"/>
  <c r="H41" i="8"/>
  <c r="E41" i="8"/>
  <c r="D41" i="8"/>
  <c r="C41" i="8"/>
  <c r="B41" i="8"/>
  <c r="A41" i="8"/>
  <c r="H40" i="8"/>
  <c r="E40" i="8"/>
  <c r="D40" i="8"/>
  <c r="C40" i="8"/>
  <c r="B40" i="8"/>
  <c r="A40" i="8"/>
  <c r="H39" i="8"/>
  <c r="E39" i="8"/>
  <c r="D39" i="8"/>
  <c r="C39" i="8"/>
  <c r="B39" i="8"/>
  <c r="A39" i="8"/>
  <c r="H38" i="8"/>
  <c r="E38" i="8"/>
  <c r="D38" i="8"/>
  <c r="C38" i="8"/>
  <c r="B38" i="8"/>
  <c r="A38" i="8"/>
  <c r="H37" i="8"/>
  <c r="E37" i="8"/>
  <c r="D37" i="8"/>
  <c r="C37" i="8"/>
  <c r="B37" i="8"/>
  <c r="A37" i="8"/>
  <c r="H36" i="8"/>
  <c r="E36" i="8"/>
  <c r="D36" i="8"/>
  <c r="C36" i="8"/>
  <c r="B36" i="8"/>
  <c r="A36" i="8"/>
  <c r="H35" i="8"/>
  <c r="E35" i="8"/>
  <c r="D35" i="8"/>
  <c r="C35" i="8"/>
  <c r="B35" i="8"/>
  <c r="A35" i="8"/>
  <c r="H34" i="8"/>
  <c r="E34" i="8"/>
  <c r="D34" i="8"/>
  <c r="C34" i="8"/>
  <c r="B34" i="8"/>
  <c r="A34" i="8"/>
  <c r="H33" i="8"/>
  <c r="E33" i="8"/>
  <c r="D33" i="8"/>
  <c r="C33" i="8"/>
  <c r="B33" i="8"/>
  <c r="A33" i="8"/>
  <c r="H32" i="8"/>
  <c r="E32" i="8"/>
  <c r="D32" i="8"/>
  <c r="C32" i="8"/>
  <c r="B32" i="8"/>
  <c r="A32" i="8"/>
  <c r="H31" i="8"/>
  <c r="E31" i="8"/>
  <c r="D31" i="8"/>
  <c r="C31" i="8"/>
  <c r="B31" i="8"/>
  <c r="A31" i="8"/>
  <c r="H30" i="8"/>
  <c r="E30" i="8"/>
  <c r="D30" i="8"/>
  <c r="C30" i="8"/>
  <c r="B30" i="8"/>
  <c r="A30" i="8"/>
  <c r="H29" i="8"/>
  <c r="E29" i="8"/>
  <c r="D29" i="8"/>
  <c r="C29" i="8"/>
  <c r="B29" i="8"/>
  <c r="A29" i="8"/>
  <c r="H28" i="8"/>
  <c r="E28" i="8"/>
  <c r="D28" i="8"/>
  <c r="C28" i="8"/>
  <c r="B28" i="8"/>
  <c r="A28" i="8"/>
  <c r="H27" i="8"/>
  <c r="E27" i="8"/>
  <c r="D27" i="8"/>
  <c r="C27" i="8"/>
  <c r="B27" i="8"/>
  <c r="A27" i="8"/>
  <c r="H26" i="8"/>
  <c r="E26" i="8"/>
  <c r="D26" i="8"/>
  <c r="C26" i="8"/>
  <c r="B26" i="8"/>
  <c r="A26" i="8"/>
  <c r="H25" i="8"/>
  <c r="E25" i="8"/>
  <c r="D25" i="8"/>
  <c r="C25" i="8"/>
  <c r="B25" i="8"/>
  <c r="A25" i="8"/>
  <c r="H24" i="8"/>
  <c r="E24" i="8"/>
  <c r="D24" i="8"/>
  <c r="C24" i="8"/>
  <c r="B24" i="8"/>
  <c r="A24" i="8"/>
  <c r="H23" i="8"/>
  <c r="E23" i="8"/>
  <c r="D23" i="8"/>
  <c r="C23" i="8"/>
  <c r="B23" i="8"/>
  <c r="A23" i="8"/>
  <c r="H22" i="8"/>
  <c r="E22" i="8"/>
  <c r="D22" i="8"/>
  <c r="C22" i="8"/>
  <c r="B22" i="8"/>
  <c r="A22" i="8"/>
  <c r="H21" i="8"/>
  <c r="E21" i="8"/>
  <c r="D21" i="8"/>
  <c r="C21" i="8"/>
  <c r="B21" i="8"/>
  <c r="A21" i="8"/>
  <c r="H20" i="8"/>
  <c r="E20" i="8"/>
  <c r="D20" i="8"/>
  <c r="C20" i="8"/>
  <c r="B20" i="8"/>
  <c r="A20" i="8"/>
  <c r="H19" i="8"/>
  <c r="E19" i="8"/>
  <c r="D19" i="8"/>
  <c r="C19" i="8"/>
  <c r="B19" i="8"/>
  <c r="A19" i="8"/>
  <c r="H18" i="8"/>
  <c r="E18" i="8"/>
  <c r="D18" i="8"/>
  <c r="C18" i="8"/>
  <c r="B18" i="8"/>
  <c r="A18" i="8"/>
  <c r="D17" i="8"/>
  <c r="C17" i="8"/>
  <c r="B17" i="8"/>
  <c r="A17" i="8"/>
  <c r="D16" i="8"/>
  <c r="C16" i="8"/>
  <c r="B16" i="8"/>
  <c r="A16" i="8"/>
  <c r="E15" i="8"/>
  <c r="D15" i="8"/>
  <c r="C15" i="8"/>
  <c r="B15" i="8"/>
  <c r="A15" i="8"/>
  <c r="H14" i="8"/>
  <c r="E14" i="8"/>
  <c r="D14" i="8"/>
  <c r="C14" i="8"/>
  <c r="B14" i="8"/>
  <c r="A14" i="8"/>
  <c r="H13" i="8"/>
  <c r="E13" i="8"/>
  <c r="D13" i="8"/>
  <c r="C13" i="8"/>
  <c r="B13" i="8"/>
  <c r="A13" i="8"/>
  <c r="D12" i="8"/>
  <c r="C12" i="8"/>
  <c r="B12" i="8"/>
  <c r="A12" i="8"/>
  <c r="E11" i="8"/>
  <c r="D11" i="8"/>
  <c r="C11" i="8"/>
  <c r="B11" i="8"/>
  <c r="A11" i="8"/>
  <c r="H10" i="8"/>
  <c r="E10" i="8"/>
  <c r="D10" i="8"/>
  <c r="C10" i="8"/>
  <c r="B10" i="8"/>
  <c r="A10" i="8"/>
  <c r="H9" i="8"/>
  <c r="E9" i="8"/>
  <c r="D9" i="8"/>
  <c r="C9" i="8"/>
  <c r="B9" i="8"/>
  <c r="A9" i="8"/>
  <c r="H8" i="8"/>
  <c r="D8" i="8"/>
  <c r="E8" i="8"/>
  <c r="H147" i="6"/>
  <c r="G147" i="6"/>
  <c r="F147" i="6"/>
  <c r="E147" i="6"/>
  <c r="D147" i="6"/>
  <c r="C147" i="6"/>
  <c r="B147" i="6"/>
  <c r="A147" i="6"/>
  <c r="H146" i="6"/>
  <c r="G146" i="6"/>
  <c r="F146" i="6"/>
  <c r="E146" i="6"/>
  <c r="D146" i="6"/>
  <c r="C146" i="6"/>
  <c r="B146" i="6"/>
  <c r="A146" i="6"/>
  <c r="H145" i="6"/>
  <c r="G145" i="6"/>
  <c r="F145" i="6"/>
  <c r="E145" i="6"/>
  <c r="D145" i="6"/>
  <c r="C145" i="6"/>
  <c r="B145" i="6"/>
  <c r="A145" i="6"/>
  <c r="H144" i="6"/>
  <c r="G144" i="6"/>
  <c r="F144" i="6"/>
  <c r="E144" i="6"/>
  <c r="D144" i="6"/>
  <c r="C144" i="6"/>
  <c r="B144" i="6"/>
  <c r="A144" i="6"/>
  <c r="H143" i="6"/>
  <c r="G143" i="6"/>
  <c r="F143" i="6"/>
  <c r="E143" i="6"/>
  <c r="D143" i="6"/>
  <c r="C143" i="6"/>
  <c r="B143" i="6"/>
  <c r="A143" i="6"/>
  <c r="H142" i="6"/>
  <c r="G142" i="6"/>
  <c r="F142" i="6"/>
  <c r="E142" i="6"/>
  <c r="D142" i="6"/>
  <c r="C142" i="6"/>
  <c r="B142" i="6"/>
  <c r="A142" i="6"/>
  <c r="H141" i="6"/>
  <c r="G141" i="6"/>
  <c r="F141" i="6"/>
  <c r="E141" i="6"/>
  <c r="D141" i="6"/>
  <c r="C141" i="6"/>
  <c r="B141" i="6"/>
  <c r="A141" i="6"/>
  <c r="H140" i="6"/>
  <c r="G140" i="6"/>
  <c r="F140" i="6"/>
  <c r="E140" i="6"/>
  <c r="D140" i="6"/>
  <c r="C140" i="6"/>
  <c r="B140" i="6"/>
  <c r="A140" i="6"/>
  <c r="H139" i="6"/>
  <c r="G139" i="6"/>
  <c r="F139" i="6"/>
  <c r="E139" i="6"/>
  <c r="D139" i="6"/>
  <c r="C139" i="6"/>
  <c r="B139" i="6"/>
  <c r="A139" i="6"/>
  <c r="H138" i="6"/>
  <c r="G138" i="6"/>
  <c r="F138" i="6"/>
  <c r="E138" i="6"/>
  <c r="D138" i="6"/>
  <c r="C138" i="6"/>
  <c r="B138" i="6"/>
  <c r="A138" i="6"/>
  <c r="H137" i="6"/>
  <c r="G137" i="6"/>
  <c r="F137" i="6"/>
  <c r="E137" i="6"/>
  <c r="D137" i="6"/>
  <c r="C137" i="6"/>
  <c r="B137" i="6"/>
  <c r="A137" i="6"/>
  <c r="H136" i="6"/>
  <c r="G136" i="6"/>
  <c r="F136" i="6"/>
  <c r="E136" i="6"/>
  <c r="D136" i="6"/>
  <c r="C136" i="6"/>
  <c r="B136" i="6"/>
  <c r="A136" i="6"/>
  <c r="H135" i="6"/>
  <c r="G135" i="6"/>
  <c r="F135" i="6"/>
  <c r="E135" i="6"/>
  <c r="D135" i="6"/>
  <c r="C135" i="6"/>
  <c r="B135" i="6"/>
  <c r="A135" i="6"/>
  <c r="H134" i="6"/>
  <c r="G134" i="6"/>
  <c r="F134" i="6"/>
  <c r="E134" i="6"/>
  <c r="D134" i="6"/>
  <c r="C134" i="6"/>
  <c r="B134" i="6"/>
  <c r="A134" i="6"/>
  <c r="H133" i="6"/>
  <c r="G133" i="6"/>
  <c r="F133" i="6"/>
  <c r="E133" i="6"/>
  <c r="D133" i="6"/>
  <c r="C133" i="6"/>
  <c r="B133" i="6"/>
  <c r="A133" i="6"/>
  <c r="H132" i="6"/>
  <c r="G132" i="6"/>
  <c r="F132" i="6"/>
  <c r="E132" i="6"/>
  <c r="D132" i="6"/>
  <c r="C132" i="6"/>
  <c r="B132" i="6"/>
  <c r="A132" i="6"/>
  <c r="H131" i="6"/>
  <c r="G131" i="6"/>
  <c r="F131" i="6"/>
  <c r="E131" i="6"/>
  <c r="D131" i="6"/>
  <c r="C131" i="6"/>
  <c r="B131" i="6"/>
  <c r="A131" i="6"/>
  <c r="H130" i="6"/>
  <c r="G130" i="6"/>
  <c r="F130" i="6"/>
  <c r="E130" i="6"/>
  <c r="D130" i="6"/>
  <c r="C130" i="6"/>
  <c r="B130" i="6"/>
  <c r="A130" i="6"/>
  <c r="H129" i="6"/>
  <c r="G129" i="6"/>
  <c r="F129" i="6"/>
  <c r="E129" i="6"/>
  <c r="D129" i="6"/>
  <c r="C129" i="6"/>
  <c r="B129" i="6"/>
  <c r="A129" i="6"/>
  <c r="H128" i="6"/>
  <c r="G128" i="6"/>
  <c r="F128" i="6"/>
  <c r="E128" i="6"/>
  <c r="D128" i="6"/>
  <c r="C128" i="6"/>
  <c r="B128" i="6"/>
  <c r="A128" i="6"/>
  <c r="H127" i="6"/>
  <c r="G127" i="6"/>
  <c r="F127" i="6"/>
  <c r="E127" i="6"/>
  <c r="D127" i="6"/>
  <c r="C127" i="6"/>
  <c r="B127" i="6"/>
  <c r="A127" i="6"/>
  <c r="H126" i="6"/>
  <c r="G126" i="6"/>
  <c r="F126" i="6"/>
  <c r="E126" i="6"/>
  <c r="D126" i="6"/>
  <c r="C126" i="6"/>
  <c r="B126" i="6"/>
  <c r="A126" i="6"/>
  <c r="H125" i="6"/>
  <c r="G125" i="6"/>
  <c r="F125" i="6"/>
  <c r="E125" i="6"/>
  <c r="D125" i="6"/>
  <c r="C125" i="6"/>
  <c r="B125" i="6"/>
  <c r="A125" i="6"/>
  <c r="H124" i="6"/>
  <c r="G124" i="6"/>
  <c r="F124" i="6"/>
  <c r="E124" i="6"/>
  <c r="D124" i="6"/>
  <c r="C124" i="6"/>
  <c r="B124" i="6"/>
  <c r="A124" i="6"/>
  <c r="H123" i="6"/>
  <c r="G123" i="6"/>
  <c r="F123" i="6"/>
  <c r="E123" i="6"/>
  <c r="D123" i="6"/>
  <c r="C123" i="6"/>
  <c r="B123" i="6"/>
  <c r="A123" i="6"/>
  <c r="H122" i="6"/>
  <c r="G122" i="6"/>
  <c r="F122" i="6"/>
  <c r="E122" i="6"/>
  <c r="D122" i="6"/>
  <c r="C122" i="6"/>
  <c r="B122" i="6"/>
  <c r="A122" i="6"/>
  <c r="H121" i="6"/>
  <c r="G121" i="6"/>
  <c r="F121" i="6"/>
  <c r="E121" i="6"/>
  <c r="D121" i="6"/>
  <c r="C121" i="6"/>
  <c r="B121" i="6"/>
  <c r="A121" i="6"/>
  <c r="H120" i="6"/>
  <c r="G120" i="6"/>
  <c r="F120" i="6"/>
  <c r="E120" i="6"/>
  <c r="D120" i="6"/>
  <c r="C120" i="6"/>
  <c r="B120" i="6"/>
  <c r="A120" i="6"/>
  <c r="H119" i="6"/>
  <c r="G119" i="6"/>
  <c r="F119" i="6"/>
  <c r="E119" i="6"/>
  <c r="D119" i="6"/>
  <c r="C119" i="6"/>
  <c r="B119" i="6"/>
  <c r="A119" i="6"/>
  <c r="H118" i="6"/>
  <c r="G118" i="6"/>
  <c r="F118" i="6"/>
  <c r="E118" i="6"/>
  <c r="D118" i="6"/>
  <c r="C118" i="6"/>
  <c r="B118" i="6"/>
  <c r="A118" i="6"/>
  <c r="H117" i="6"/>
  <c r="G117" i="6"/>
  <c r="F117" i="6"/>
  <c r="E117" i="6"/>
  <c r="D117" i="6"/>
  <c r="C117" i="6"/>
  <c r="B117" i="6"/>
  <c r="A117" i="6"/>
  <c r="H116" i="6"/>
  <c r="G116" i="6"/>
  <c r="F116" i="6"/>
  <c r="E116" i="6"/>
  <c r="D116" i="6"/>
  <c r="C116" i="6"/>
  <c r="B116" i="6"/>
  <c r="A116" i="6"/>
  <c r="H115" i="6"/>
  <c r="G115" i="6"/>
  <c r="F115" i="6"/>
  <c r="E115" i="6"/>
  <c r="D115" i="6"/>
  <c r="C115" i="6"/>
  <c r="B115" i="6"/>
  <c r="A115" i="6"/>
  <c r="H114" i="6"/>
  <c r="G114" i="6"/>
  <c r="F114" i="6"/>
  <c r="E114" i="6"/>
  <c r="D114" i="6"/>
  <c r="C114" i="6"/>
  <c r="B114" i="6"/>
  <c r="A114" i="6"/>
  <c r="H113" i="6"/>
  <c r="G113" i="6"/>
  <c r="F113" i="6"/>
  <c r="E113" i="6"/>
  <c r="D113" i="6"/>
  <c r="C113" i="6"/>
  <c r="B113" i="6"/>
  <c r="A113" i="6"/>
  <c r="H112" i="6"/>
  <c r="G112" i="6"/>
  <c r="F112" i="6"/>
  <c r="E112" i="6"/>
  <c r="D112" i="6"/>
  <c r="C112" i="6"/>
  <c r="B112" i="6"/>
  <c r="A112" i="6"/>
  <c r="H111" i="6"/>
  <c r="G111" i="6"/>
  <c r="F111" i="6"/>
  <c r="E111" i="6"/>
  <c r="D111" i="6"/>
  <c r="C111" i="6"/>
  <c r="B111" i="6"/>
  <c r="A111" i="6"/>
  <c r="H110" i="6"/>
  <c r="G110" i="6"/>
  <c r="F110" i="6"/>
  <c r="E110" i="6"/>
  <c r="D110" i="6"/>
  <c r="C110" i="6"/>
  <c r="B110" i="6"/>
  <c r="A110" i="6"/>
  <c r="H109" i="6"/>
  <c r="G109" i="6"/>
  <c r="F109" i="6"/>
  <c r="E109" i="6"/>
  <c r="D109" i="6"/>
  <c r="C109" i="6"/>
  <c r="B109" i="6"/>
  <c r="A109" i="6"/>
  <c r="H108" i="6"/>
  <c r="G108" i="6"/>
  <c r="F108" i="6"/>
  <c r="E108" i="6"/>
  <c r="D108" i="6"/>
  <c r="C108" i="6"/>
  <c r="B108" i="6"/>
  <c r="A108" i="6"/>
  <c r="H107" i="6"/>
  <c r="G107" i="6"/>
  <c r="F107" i="6"/>
  <c r="E107" i="6"/>
  <c r="D107" i="6"/>
  <c r="C107" i="6"/>
  <c r="B107" i="6"/>
  <c r="A107" i="6"/>
  <c r="H106" i="6"/>
  <c r="G106" i="6"/>
  <c r="F106" i="6"/>
  <c r="E106" i="6"/>
  <c r="D106" i="6"/>
  <c r="C106" i="6"/>
  <c r="B106" i="6"/>
  <c r="A106" i="6"/>
  <c r="H105" i="6"/>
  <c r="G105" i="6"/>
  <c r="F105" i="6"/>
  <c r="E105" i="6"/>
  <c r="D105" i="6"/>
  <c r="C105" i="6"/>
  <c r="B105" i="6"/>
  <c r="A105" i="6"/>
  <c r="H104" i="6"/>
  <c r="G104" i="6"/>
  <c r="F104" i="6"/>
  <c r="E104" i="6"/>
  <c r="D104" i="6"/>
  <c r="C104" i="6"/>
  <c r="B104" i="6"/>
  <c r="A104" i="6"/>
  <c r="H103" i="6"/>
  <c r="G103" i="6"/>
  <c r="F103" i="6"/>
  <c r="E103" i="6"/>
  <c r="D103" i="6"/>
  <c r="C103" i="6"/>
  <c r="B103" i="6"/>
  <c r="A103" i="6"/>
  <c r="H102" i="6"/>
  <c r="G102" i="6"/>
  <c r="F102" i="6"/>
  <c r="E102" i="6"/>
  <c r="D102" i="6"/>
  <c r="C102" i="6"/>
  <c r="B102" i="6"/>
  <c r="A102" i="6"/>
  <c r="H101" i="6"/>
  <c r="G101" i="6"/>
  <c r="F101" i="6"/>
  <c r="E101" i="6"/>
  <c r="D101" i="6"/>
  <c r="C101" i="6"/>
  <c r="B101" i="6"/>
  <c r="A101" i="6"/>
  <c r="H100" i="6"/>
  <c r="G100" i="6"/>
  <c r="F100" i="6"/>
  <c r="E100" i="6"/>
  <c r="D100" i="6"/>
  <c r="C100" i="6"/>
  <c r="B100" i="6"/>
  <c r="A100" i="6"/>
  <c r="H99" i="6"/>
  <c r="G99" i="6"/>
  <c r="F99" i="6"/>
  <c r="E99" i="6"/>
  <c r="D99" i="6"/>
  <c r="C99" i="6"/>
  <c r="B99" i="6"/>
  <c r="A99" i="6"/>
  <c r="H98" i="6"/>
  <c r="G98" i="6"/>
  <c r="F98" i="6"/>
  <c r="E98" i="6"/>
  <c r="D98" i="6"/>
  <c r="C98" i="6"/>
  <c r="B98" i="6"/>
  <c r="A98" i="6"/>
  <c r="H97" i="6"/>
  <c r="G97" i="6"/>
  <c r="F97" i="6"/>
  <c r="E97" i="6"/>
  <c r="D97" i="6"/>
  <c r="C97" i="6"/>
  <c r="B97" i="6"/>
  <c r="A97" i="6"/>
  <c r="H96" i="6"/>
  <c r="G96" i="6"/>
  <c r="F96" i="6"/>
  <c r="E96" i="6"/>
  <c r="D96" i="6"/>
  <c r="C96" i="6"/>
  <c r="B96" i="6"/>
  <c r="A96" i="6"/>
  <c r="H95" i="6"/>
  <c r="G95" i="6"/>
  <c r="F95" i="6"/>
  <c r="E95" i="6"/>
  <c r="D95" i="6"/>
  <c r="C95" i="6"/>
  <c r="B95" i="6"/>
  <c r="A95" i="6"/>
  <c r="H94" i="6"/>
  <c r="G94" i="6"/>
  <c r="F94" i="6"/>
  <c r="E94" i="6"/>
  <c r="D94" i="6"/>
  <c r="C94" i="6"/>
  <c r="B94" i="6"/>
  <c r="A94" i="6"/>
  <c r="H93" i="6"/>
  <c r="G93" i="6"/>
  <c r="F93" i="6"/>
  <c r="E93" i="6"/>
  <c r="D93" i="6"/>
  <c r="C93" i="6"/>
  <c r="B93" i="6"/>
  <c r="A93" i="6"/>
  <c r="H92" i="6"/>
  <c r="G92" i="6"/>
  <c r="F92" i="6"/>
  <c r="E92" i="6"/>
  <c r="D92" i="6"/>
  <c r="C92" i="6"/>
  <c r="B92" i="6"/>
  <c r="A92" i="6"/>
  <c r="H91" i="6"/>
  <c r="G91" i="6"/>
  <c r="F91" i="6"/>
  <c r="E91" i="6"/>
  <c r="D91" i="6"/>
  <c r="C91" i="6"/>
  <c r="B91" i="6"/>
  <c r="A91" i="6"/>
  <c r="H90" i="6"/>
  <c r="G90" i="6"/>
  <c r="F90" i="6"/>
  <c r="E90" i="6"/>
  <c r="D90" i="6"/>
  <c r="C90" i="6"/>
  <c r="B90" i="6"/>
  <c r="A90" i="6"/>
  <c r="H89" i="6"/>
  <c r="G89" i="6"/>
  <c r="F89" i="6"/>
  <c r="E89" i="6"/>
  <c r="D89" i="6"/>
  <c r="C89" i="6"/>
  <c r="B89" i="6"/>
  <c r="A89" i="6"/>
  <c r="H88" i="6"/>
  <c r="G88" i="6"/>
  <c r="F88" i="6"/>
  <c r="E88" i="6"/>
  <c r="D88" i="6"/>
  <c r="C88" i="6"/>
  <c r="B88" i="6"/>
  <c r="A88" i="6"/>
  <c r="H87" i="6"/>
  <c r="G87" i="6"/>
  <c r="F87" i="6"/>
  <c r="E87" i="6"/>
  <c r="D87" i="6"/>
  <c r="C87" i="6"/>
  <c r="B87" i="6"/>
  <c r="A87" i="6"/>
  <c r="H86" i="6"/>
  <c r="G86" i="6"/>
  <c r="F86" i="6"/>
  <c r="E86" i="6"/>
  <c r="D86" i="6"/>
  <c r="C86" i="6"/>
  <c r="B86" i="6"/>
  <c r="A86" i="6"/>
  <c r="H85" i="6"/>
  <c r="G85" i="6"/>
  <c r="F85" i="6"/>
  <c r="E85" i="6"/>
  <c r="D85" i="6"/>
  <c r="C85" i="6"/>
  <c r="B85" i="6"/>
  <c r="A85" i="6"/>
  <c r="H84" i="6"/>
  <c r="G84" i="6"/>
  <c r="F84" i="6"/>
  <c r="E84" i="6"/>
  <c r="D84" i="6"/>
  <c r="C84" i="6"/>
  <c r="B84" i="6"/>
  <c r="A84" i="6"/>
  <c r="H83" i="6"/>
  <c r="G83" i="6"/>
  <c r="F83" i="6"/>
  <c r="E83" i="6"/>
  <c r="D83" i="6"/>
  <c r="C83" i="6"/>
  <c r="B83" i="6"/>
  <c r="A83" i="6"/>
  <c r="H82" i="6"/>
  <c r="G82" i="6"/>
  <c r="F82" i="6"/>
  <c r="E82" i="6"/>
  <c r="D82" i="6"/>
  <c r="C82" i="6"/>
  <c r="B82" i="6"/>
  <c r="A82" i="6"/>
  <c r="H81" i="6"/>
  <c r="G81" i="6"/>
  <c r="F81" i="6"/>
  <c r="E81" i="6"/>
  <c r="D81" i="6"/>
  <c r="C81" i="6"/>
  <c r="B81" i="6"/>
  <c r="A81" i="6"/>
  <c r="H80" i="6"/>
  <c r="G80" i="6"/>
  <c r="F80" i="6"/>
  <c r="E80" i="6"/>
  <c r="D80" i="6"/>
  <c r="C80" i="6"/>
  <c r="B80" i="6"/>
  <c r="A80" i="6"/>
  <c r="H79" i="6"/>
  <c r="G79" i="6"/>
  <c r="F79" i="6"/>
  <c r="E79" i="6"/>
  <c r="D79" i="6"/>
  <c r="C79" i="6"/>
  <c r="B79" i="6"/>
  <c r="A79" i="6"/>
  <c r="H78" i="6"/>
  <c r="G78" i="6"/>
  <c r="F78" i="6"/>
  <c r="E78" i="6"/>
  <c r="D78" i="6"/>
  <c r="C78" i="6"/>
  <c r="B78" i="6"/>
  <c r="A78" i="6"/>
  <c r="H77" i="6"/>
  <c r="G77" i="6"/>
  <c r="F77" i="6"/>
  <c r="E77" i="6"/>
  <c r="D77" i="6"/>
  <c r="C77" i="6"/>
  <c r="B77" i="6"/>
  <c r="A77" i="6"/>
  <c r="H76" i="6"/>
  <c r="G76" i="6"/>
  <c r="F76" i="6"/>
  <c r="E76" i="6"/>
  <c r="D76" i="6"/>
  <c r="C76" i="6"/>
  <c r="B76" i="6"/>
  <c r="A76" i="6"/>
  <c r="H75" i="6"/>
  <c r="G75" i="6"/>
  <c r="F75" i="6"/>
  <c r="E75" i="6"/>
  <c r="D75" i="6"/>
  <c r="C75" i="6"/>
  <c r="B75" i="6"/>
  <c r="A75" i="6"/>
  <c r="H74" i="6"/>
  <c r="G74" i="6"/>
  <c r="F74" i="6"/>
  <c r="E74" i="6"/>
  <c r="D74" i="6"/>
  <c r="C74" i="6"/>
  <c r="B74" i="6"/>
  <c r="A74" i="6"/>
  <c r="H73" i="6"/>
  <c r="G73" i="6"/>
  <c r="F73" i="6"/>
  <c r="E73" i="6"/>
  <c r="D73" i="6"/>
  <c r="C73" i="6"/>
  <c r="B73" i="6"/>
  <c r="A73" i="6"/>
  <c r="H72" i="6"/>
  <c r="G72" i="6"/>
  <c r="F72" i="6"/>
  <c r="E72" i="6"/>
  <c r="D72" i="6"/>
  <c r="C72" i="6"/>
  <c r="B72" i="6"/>
  <c r="A72" i="6"/>
  <c r="H71" i="6"/>
  <c r="G71" i="6"/>
  <c r="F71" i="6"/>
  <c r="E71" i="6"/>
  <c r="D71" i="6"/>
  <c r="C71" i="6"/>
  <c r="B71" i="6"/>
  <c r="A71" i="6"/>
  <c r="H70" i="6"/>
  <c r="G70" i="6"/>
  <c r="F70" i="6"/>
  <c r="E70" i="6"/>
  <c r="D70" i="6"/>
  <c r="C70" i="6"/>
  <c r="B70" i="6"/>
  <c r="A70" i="6"/>
  <c r="H69" i="6"/>
  <c r="G69" i="6"/>
  <c r="F69" i="6"/>
  <c r="E69" i="6"/>
  <c r="D69" i="6"/>
  <c r="C69" i="6"/>
  <c r="B69" i="6"/>
  <c r="A69" i="6"/>
  <c r="H68" i="6"/>
  <c r="G68" i="6"/>
  <c r="F68" i="6"/>
  <c r="E68" i="6"/>
  <c r="D68" i="6"/>
  <c r="C68" i="6"/>
  <c r="B68" i="6"/>
  <c r="A68" i="6"/>
  <c r="H67" i="6"/>
  <c r="G67" i="6"/>
  <c r="F67" i="6"/>
  <c r="E67" i="6"/>
  <c r="D67" i="6"/>
  <c r="C67" i="6"/>
  <c r="B67" i="6"/>
  <c r="A67" i="6"/>
  <c r="H66" i="6"/>
  <c r="G66" i="6"/>
  <c r="F66" i="6"/>
  <c r="E66" i="6"/>
  <c r="D66" i="6"/>
  <c r="C66" i="6"/>
  <c r="B66" i="6"/>
  <c r="A66" i="6"/>
  <c r="H65" i="6"/>
  <c r="G65" i="6"/>
  <c r="F65" i="6"/>
  <c r="E65" i="6"/>
  <c r="D65" i="6"/>
  <c r="C65" i="6"/>
  <c r="B65" i="6"/>
  <c r="A65" i="6"/>
  <c r="H64" i="6"/>
  <c r="G64" i="6"/>
  <c r="F64" i="6"/>
  <c r="E64" i="6"/>
  <c r="D64" i="6"/>
  <c r="C64" i="6"/>
  <c r="B64" i="6"/>
  <c r="A64" i="6"/>
  <c r="H63" i="6"/>
  <c r="G63" i="6"/>
  <c r="F63" i="6"/>
  <c r="E63" i="6"/>
  <c r="D63" i="6"/>
  <c r="C63" i="6"/>
  <c r="B63" i="6"/>
  <c r="A63" i="6"/>
  <c r="H62" i="6"/>
  <c r="G62" i="6"/>
  <c r="F62" i="6"/>
  <c r="E62" i="6"/>
  <c r="D62" i="6"/>
  <c r="C62" i="6"/>
  <c r="B62" i="6"/>
  <c r="A62" i="6"/>
  <c r="H61" i="6"/>
  <c r="G61" i="6"/>
  <c r="F61" i="6"/>
  <c r="E61" i="6"/>
  <c r="D61" i="6"/>
  <c r="C61" i="6"/>
  <c r="B61" i="6"/>
  <c r="A61" i="6"/>
  <c r="H60" i="6"/>
  <c r="G60" i="6"/>
  <c r="F60" i="6"/>
  <c r="E60" i="6"/>
  <c r="D60" i="6"/>
  <c r="C60" i="6"/>
  <c r="B60" i="6"/>
  <c r="A60" i="6"/>
  <c r="H59" i="6"/>
  <c r="G59" i="6"/>
  <c r="F59" i="6"/>
  <c r="E59" i="6"/>
  <c r="D59" i="6"/>
  <c r="C59" i="6"/>
  <c r="B59" i="6"/>
  <c r="A59" i="6"/>
  <c r="H58" i="6"/>
  <c r="G58" i="6"/>
  <c r="F58" i="6"/>
  <c r="E58" i="6"/>
  <c r="D58" i="6"/>
  <c r="C58" i="6"/>
  <c r="B58" i="6"/>
  <c r="A58" i="6"/>
  <c r="H57" i="6"/>
  <c r="G57" i="6"/>
  <c r="F57" i="6"/>
  <c r="E57" i="6"/>
  <c r="D57" i="6"/>
  <c r="C57" i="6"/>
  <c r="B57" i="6"/>
  <c r="A57" i="6"/>
  <c r="H56" i="6"/>
  <c r="G56" i="6"/>
  <c r="F56" i="6"/>
  <c r="E56" i="6"/>
  <c r="D56" i="6"/>
  <c r="C56" i="6"/>
  <c r="B56" i="6"/>
  <c r="A56" i="6"/>
  <c r="H55" i="6"/>
  <c r="G55" i="6"/>
  <c r="F55" i="6"/>
  <c r="E55" i="6"/>
  <c r="D55" i="6"/>
  <c r="C55" i="6"/>
  <c r="B55" i="6"/>
  <c r="A55" i="6"/>
  <c r="H54" i="6"/>
  <c r="G54" i="6"/>
  <c r="F54" i="6"/>
  <c r="E54" i="6"/>
  <c r="D54" i="6"/>
  <c r="C54" i="6"/>
  <c r="B54" i="6"/>
  <c r="A54" i="6"/>
  <c r="H53" i="6"/>
  <c r="G53" i="6"/>
  <c r="F53" i="6"/>
  <c r="E53" i="6"/>
  <c r="D53" i="6"/>
  <c r="C53" i="6"/>
  <c r="B53" i="6"/>
  <c r="A53" i="6"/>
  <c r="H52" i="6"/>
  <c r="G52" i="6"/>
  <c r="F52" i="6"/>
  <c r="E52" i="6"/>
  <c r="D52" i="6"/>
  <c r="C52" i="6"/>
  <c r="B52" i="6"/>
  <c r="A52" i="6"/>
  <c r="H51" i="6"/>
  <c r="G51" i="6"/>
  <c r="F51" i="6"/>
  <c r="E51" i="6"/>
  <c r="D51" i="6"/>
  <c r="C51" i="6"/>
  <c r="B51" i="6"/>
  <c r="A51" i="6"/>
  <c r="H50" i="6"/>
  <c r="G50" i="6"/>
  <c r="F50" i="6"/>
  <c r="E50" i="6"/>
  <c r="D50" i="6"/>
  <c r="C50" i="6"/>
  <c r="B50" i="6"/>
  <c r="A50" i="6"/>
  <c r="H49" i="6"/>
  <c r="G49" i="6"/>
  <c r="F49" i="6"/>
  <c r="E49" i="6"/>
  <c r="D49" i="6"/>
  <c r="C49" i="6"/>
  <c r="B49" i="6"/>
  <c r="A49" i="6"/>
  <c r="H48" i="6"/>
  <c r="G48" i="6"/>
  <c r="F48" i="6"/>
  <c r="E48" i="6"/>
  <c r="D48" i="6"/>
  <c r="C48" i="6"/>
  <c r="B48" i="6"/>
  <c r="A48" i="6"/>
  <c r="H47" i="6"/>
  <c r="G47" i="6"/>
  <c r="F47" i="6"/>
  <c r="E47" i="6"/>
  <c r="D47" i="6"/>
  <c r="C47" i="6"/>
  <c r="B47" i="6"/>
  <c r="A47" i="6"/>
  <c r="H46" i="6"/>
  <c r="G46" i="6"/>
  <c r="F46" i="6"/>
  <c r="E46" i="6"/>
  <c r="D46" i="6"/>
  <c r="C46" i="6"/>
  <c r="B46" i="6"/>
  <c r="A46" i="6"/>
  <c r="H45" i="6"/>
  <c r="G45" i="6"/>
  <c r="F45" i="6"/>
  <c r="E45" i="6"/>
  <c r="D45" i="6"/>
  <c r="C45" i="6"/>
  <c r="B45" i="6"/>
  <c r="A45" i="6"/>
  <c r="H44" i="6"/>
  <c r="G44" i="6"/>
  <c r="F44" i="6"/>
  <c r="E44" i="6"/>
  <c r="D44" i="6"/>
  <c r="C44" i="6"/>
  <c r="B44" i="6"/>
  <c r="A44" i="6"/>
  <c r="H43" i="6"/>
  <c r="G43" i="6"/>
  <c r="F43" i="6"/>
  <c r="E43" i="6"/>
  <c r="D43" i="6"/>
  <c r="C43" i="6"/>
  <c r="B43" i="6"/>
  <c r="A43" i="6"/>
  <c r="H42" i="6"/>
  <c r="G42" i="6"/>
  <c r="F42" i="6"/>
  <c r="E42" i="6"/>
  <c r="D42" i="6"/>
  <c r="C42" i="6"/>
  <c r="B42" i="6"/>
  <c r="A42" i="6"/>
  <c r="H41" i="6"/>
  <c r="G41" i="6"/>
  <c r="F41" i="6"/>
  <c r="E41" i="6"/>
  <c r="D41" i="6"/>
  <c r="C41" i="6"/>
  <c r="B41" i="6"/>
  <c r="A41" i="6"/>
  <c r="H40" i="6"/>
  <c r="G40" i="6"/>
  <c r="F40" i="6"/>
  <c r="E40" i="6"/>
  <c r="D40" i="6"/>
  <c r="C40" i="6"/>
  <c r="B40" i="6"/>
  <c r="A40" i="6"/>
  <c r="H39" i="6"/>
  <c r="G39" i="6"/>
  <c r="F39" i="6"/>
  <c r="E39" i="6"/>
  <c r="D39" i="6"/>
  <c r="C39" i="6"/>
  <c r="B39" i="6"/>
  <c r="A39" i="6"/>
  <c r="H38" i="6"/>
  <c r="G38" i="6"/>
  <c r="F38" i="6"/>
  <c r="E38" i="6"/>
  <c r="D38" i="6"/>
  <c r="C38" i="6"/>
  <c r="B38" i="6"/>
  <c r="A38" i="6"/>
  <c r="H37" i="6"/>
  <c r="G37" i="6"/>
  <c r="F37" i="6"/>
  <c r="E37" i="6"/>
  <c r="D37" i="6"/>
  <c r="C37" i="6"/>
  <c r="B37" i="6"/>
  <c r="A37" i="6"/>
  <c r="H36" i="6"/>
  <c r="G36" i="6"/>
  <c r="F36" i="6"/>
  <c r="E36" i="6"/>
  <c r="D36" i="6"/>
  <c r="C36" i="6"/>
  <c r="B36" i="6"/>
  <c r="A36" i="6"/>
  <c r="H35" i="6"/>
  <c r="G35" i="6"/>
  <c r="F35" i="6"/>
  <c r="E35" i="6"/>
  <c r="D35" i="6"/>
  <c r="C35" i="6"/>
  <c r="B35" i="6"/>
  <c r="A35" i="6"/>
  <c r="H34" i="6"/>
  <c r="G34" i="6"/>
  <c r="F34" i="6"/>
  <c r="E34" i="6"/>
  <c r="D34" i="6"/>
  <c r="C34" i="6"/>
  <c r="B34" i="6"/>
  <c r="A34" i="6"/>
  <c r="H33" i="6"/>
  <c r="G33" i="6"/>
  <c r="F33" i="6"/>
  <c r="E33" i="6"/>
  <c r="D33" i="6"/>
  <c r="C33" i="6"/>
  <c r="B33" i="6"/>
  <c r="A33" i="6"/>
  <c r="H32" i="6"/>
  <c r="G32" i="6"/>
  <c r="F32" i="6"/>
  <c r="E32" i="6"/>
  <c r="D32" i="6"/>
  <c r="C32" i="6"/>
  <c r="B32" i="6"/>
  <c r="A32" i="6"/>
  <c r="H31" i="6"/>
  <c r="G31" i="6"/>
  <c r="F31" i="6"/>
  <c r="E31" i="6"/>
  <c r="D31" i="6"/>
  <c r="C31" i="6"/>
  <c r="B31" i="6"/>
  <c r="A31" i="6"/>
  <c r="H30" i="6"/>
  <c r="G30" i="6"/>
  <c r="F30" i="6"/>
  <c r="E30" i="6"/>
  <c r="D30" i="6"/>
  <c r="C30" i="6"/>
  <c r="B30" i="6"/>
  <c r="A30" i="6"/>
  <c r="H29" i="6"/>
  <c r="G29" i="6"/>
  <c r="F29" i="6"/>
  <c r="E29" i="6"/>
  <c r="D29" i="6"/>
  <c r="C29" i="6"/>
  <c r="B29" i="6"/>
  <c r="A29" i="6"/>
  <c r="H28" i="6"/>
  <c r="G28" i="6"/>
  <c r="F28" i="6"/>
  <c r="E28" i="6"/>
  <c r="D28" i="6"/>
  <c r="C28" i="6"/>
  <c r="B28" i="6"/>
  <c r="A28" i="6"/>
  <c r="H27" i="6"/>
  <c r="G27" i="6"/>
  <c r="F27" i="6"/>
  <c r="E27" i="6"/>
  <c r="D27" i="6"/>
  <c r="C27" i="6"/>
  <c r="B27" i="6"/>
  <c r="A27" i="6"/>
  <c r="H26" i="6"/>
  <c r="G26" i="6"/>
  <c r="F26" i="6"/>
  <c r="E26" i="6"/>
  <c r="D26" i="6"/>
  <c r="C26" i="6"/>
  <c r="B26" i="6"/>
  <c r="A26" i="6"/>
  <c r="H25" i="6"/>
  <c r="G25" i="6"/>
  <c r="F25" i="6"/>
  <c r="E25" i="6"/>
  <c r="D25" i="6"/>
  <c r="C25" i="6"/>
  <c r="B25" i="6"/>
  <c r="A25" i="6"/>
  <c r="H24" i="6"/>
  <c r="G24" i="6"/>
  <c r="F24" i="6"/>
  <c r="E24" i="6"/>
  <c r="D24" i="6"/>
  <c r="C24" i="6"/>
  <c r="B24" i="6"/>
  <c r="A24" i="6"/>
  <c r="H23" i="6"/>
  <c r="G23" i="6"/>
  <c r="F23" i="6"/>
  <c r="E23" i="6"/>
  <c r="D23" i="6"/>
  <c r="C23" i="6"/>
  <c r="B23" i="6"/>
  <c r="A23" i="6"/>
  <c r="H22" i="6"/>
  <c r="G22" i="6"/>
  <c r="F22" i="6"/>
  <c r="E22" i="6"/>
  <c r="D22" i="6"/>
  <c r="C22" i="6"/>
  <c r="B22" i="6"/>
  <c r="A22" i="6"/>
  <c r="H21" i="6"/>
  <c r="G21" i="6"/>
  <c r="F21" i="6"/>
  <c r="E21" i="6"/>
  <c r="D21" i="6"/>
  <c r="C21" i="6"/>
  <c r="B21" i="6"/>
  <c r="A21" i="6"/>
  <c r="H20" i="6"/>
  <c r="G20" i="6"/>
  <c r="F20" i="6"/>
  <c r="E20" i="6"/>
  <c r="D20" i="6"/>
  <c r="C20" i="6"/>
  <c r="B20" i="6"/>
  <c r="A20" i="6"/>
  <c r="H19" i="6"/>
  <c r="G19" i="6"/>
  <c r="F19" i="6"/>
  <c r="E19" i="6"/>
  <c r="D19" i="6"/>
  <c r="C19" i="6"/>
  <c r="B19" i="6"/>
  <c r="A19" i="6"/>
  <c r="H18" i="6"/>
  <c r="G18" i="6"/>
  <c r="F18" i="6"/>
  <c r="E18" i="6"/>
  <c r="D18" i="6"/>
  <c r="C18" i="6"/>
  <c r="B18" i="6"/>
  <c r="A18" i="6"/>
  <c r="H17" i="6"/>
  <c r="G17" i="6"/>
  <c r="F17" i="6"/>
  <c r="E17" i="6"/>
  <c r="D17" i="6"/>
  <c r="C17" i="6"/>
  <c r="B17" i="6"/>
  <c r="A17" i="6"/>
  <c r="H16" i="6"/>
  <c r="G16" i="6"/>
  <c r="F16" i="6"/>
  <c r="E16" i="6"/>
  <c r="D16" i="6"/>
  <c r="C16" i="6"/>
  <c r="B16" i="6"/>
  <c r="A16" i="6"/>
  <c r="H15" i="6"/>
  <c r="G15" i="6"/>
  <c r="F15" i="6"/>
  <c r="E15" i="6"/>
  <c r="D15" i="6"/>
  <c r="C15" i="6"/>
  <c r="B15" i="6"/>
  <c r="A15" i="6"/>
  <c r="H14" i="6"/>
  <c r="G14" i="6"/>
  <c r="F14" i="6"/>
  <c r="E14" i="6"/>
  <c r="D14" i="6"/>
  <c r="C14" i="6"/>
  <c r="B14" i="6"/>
  <c r="A14" i="6"/>
  <c r="H13" i="6"/>
  <c r="G13" i="6"/>
  <c r="F13" i="6"/>
  <c r="E13" i="6"/>
  <c r="D13" i="6"/>
  <c r="C13" i="6"/>
  <c r="B13" i="6"/>
  <c r="A13" i="6"/>
  <c r="H12" i="6"/>
  <c r="G12" i="6"/>
  <c r="F12" i="6"/>
  <c r="E12" i="6"/>
  <c r="D12" i="6"/>
  <c r="C12" i="6"/>
  <c r="B12" i="6"/>
  <c r="A12" i="6"/>
  <c r="H11" i="6"/>
  <c r="G11" i="6"/>
  <c r="F11" i="6"/>
  <c r="E11" i="6"/>
  <c r="D11" i="6"/>
  <c r="C11" i="6"/>
  <c r="B11" i="6"/>
  <c r="A11" i="6"/>
  <c r="H10" i="6"/>
  <c r="G10" i="6"/>
  <c r="F10" i="6"/>
  <c r="E10" i="6"/>
  <c r="D10" i="6"/>
  <c r="C10" i="6"/>
  <c r="B10" i="6"/>
  <c r="A10" i="6"/>
  <c r="C8" i="8"/>
  <c r="B8" i="8"/>
  <c r="A8" i="8"/>
  <c r="H9" i="6"/>
  <c r="G9" i="6"/>
  <c r="F9" i="6"/>
  <c r="E9" i="6"/>
  <c r="G13" i="9" l="1"/>
  <c r="G14" i="9"/>
  <c r="G21" i="9"/>
  <c r="G22" i="9"/>
  <c r="G29" i="9"/>
  <c r="G30" i="9"/>
  <c r="G37" i="9"/>
  <c r="G38" i="9"/>
  <c r="G45" i="9"/>
  <c r="G46" i="9"/>
  <c r="G53" i="9"/>
  <c r="G54" i="9"/>
  <c r="G61" i="9"/>
  <c r="G62" i="9"/>
  <c r="G69" i="9"/>
  <c r="G70" i="9"/>
  <c r="G77" i="9"/>
  <c r="G78" i="9"/>
  <c r="G85" i="9"/>
  <c r="G86" i="9"/>
  <c r="G93" i="9"/>
  <c r="G94" i="9"/>
  <c r="G101" i="9"/>
  <c r="G102" i="9"/>
  <c r="G109" i="9"/>
  <c r="G110" i="9"/>
  <c r="G117" i="9"/>
  <c r="G118" i="9"/>
  <c r="G125" i="9"/>
  <c r="G126" i="9"/>
  <c r="G133" i="9"/>
  <c r="G134" i="9"/>
  <c r="G141" i="9"/>
  <c r="G142" i="9"/>
  <c r="G149" i="9"/>
  <c r="G150" i="9"/>
  <c r="G157" i="9"/>
  <c r="G158" i="9"/>
  <c r="G165" i="9"/>
  <c r="G166" i="9"/>
  <c r="G173" i="9"/>
  <c r="G174" i="9"/>
  <c r="G181" i="9"/>
  <c r="G182" i="9"/>
  <c r="G189" i="9"/>
  <c r="G190" i="9"/>
  <c r="G197" i="9"/>
  <c r="G198" i="9"/>
  <c r="G205" i="9"/>
  <c r="G206" i="9"/>
  <c r="G213" i="9"/>
  <c r="G214" i="9"/>
  <c r="G221" i="9"/>
  <c r="G222" i="9"/>
  <c r="G229" i="9"/>
  <c r="G230" i="9"/>
  <c r="G237" i="9"/>
  <c r="G238" i="9"/>
  <c r="G245" i="9"/>
  <c r="G246" i="9"/>
  <c r="G253" i="9"/>
  <c r="G254" i="9"/>
  <c r="G261" i="9"/>
  <c r="G262" i="9"/>
  <c r="G269" i="9"/>
  <c r="G270" i="9"/>
  <c r="G277" i="9"/>
  <c r="G278" i="9"/>
  <c r="I15" i="6"/>
  <c r="J15" i="6" s="1"/>
  <c r="I27" i="6"/>
  <c r="J27" i="6" s="1"/>
  <c r="I30" i="6"/>
  <c r="J30" i="6" s="1"/>
  <c r="G16" i="9"/>
  <c r="G15" i="9"/>
  <c r="G24" i="9"/>
  <c r="G23" i="9"/>
  <c r="G32" i="9"/>
  <c r="G31" i="9"/>
  <c r="G40" i="9"/>
  <c r="G39" i="9"/>
  <c r="G48" i="9"/>
  <c r="G47" i="9"/>
  <c r="G56" i="9"/>
  <c r="G55" i="9"/>
  <c r="G64" i="9"/>
  <c r="G63" i="9"/>
  <c r="G72" i="9"/>
  <c r="G71" i="9"/>
  <c r="G80" i="9"/>
  <c r="G79" i="9"/>
  <c r="G88" i="9"/>
  <c r="G87" i="9"/>
  <c r="G96" i="9"/>
  <c r="G95" i="9"/>
  <c r="G104" i="9"/>
  <c r="G103" i="9"/>
  <c r="G112" i="9"/>
  <c r="G111" i="9"/>
  <c r="G120" i="9"/>
  <c r="G119" i="9"/>
  <c r="G128" i="9"/>
  <c r="G127" i="9"/>
  <c r="G136" i="9"/>
  <c r="G135" i="9"/>
  <c r="G144" i="9"/>
  <c r="G143" i="9"/>
  <c r="G152" i="9"/>
  <c r="G151" i="9"/>
  <c r="G160" i="9"/>
  <c r="G159" i="9"/>
  <c r="G168" i="9"/>
  <c r="G167" i="9"/>
  <c r="G176" i="9"/>
  <c r="G175" i="9"/>
  <c r="G184" i="9"/>
  <c r="G183" i="9"/>
  <c r="G192" i="9"/>
  <c r="G191" i="9"/>
  <c r="G200" i="9"/>
  <c r="G199" i="9"/>
  <c r="G208" i="9"/>
  <c r="G207" i="9"/>
  <c r="G216" i="9"/>
  <c r="G215" i="9"/>
  <c r="G224" i="9"/>
  <c r="G223" i="9"/>
  <c r="G232" i="9"/>
  <c r="G231" i="9"/>
  <c r="G240" i="9"/>
  <c r="G239" i="9"/>
  <c r="G248" i="9"/>
  <c r="G247" i="9"/>
  <c r="G256" i="9"/>
  <c r="G255" i="9"/>
  <c r="G264" i="9"/>
  <c r="G263" i="9"/>
  <c r="G272" i="9"/>
  <c r="G271" i="9"/>
  <c r="G280" i="9"/>
  <c r="G279" i="9"/>
  <c r="G9" i="9"/>
  <c r="G10" i="9"/>
  <c r="G17" i="9"/>
  <c r="G18" i="9"/>
  <c r="G25" i="9"/>
  <c r="G26" i="9"/>
  <c r="G33" i="9"/>
  <c r="G34" i="9"/>
  <c r="G41" i="9"/>
  <c r="G42" i="9"/>
  <c r="G49" i="9"/>
  <c r="G50" i="9"/>
  <c r="G57" i="9"/>
  <c r="G58" i="9"/>
  <c r="G65" i="9"/>
  <c r="G66" i="9"/>
  <c r="G73" i="9"/>
  <c r="G74" i="9"/>
  <c r="G81" i="9"/>
  <c r="G82" i="9"/>
  <c r="G89" i="9"/>
  <c r="G90" i="9"/>
  <c r="G97" i="9"/>
  <c r="G98" i="9"/>
  <c r="G105" i="9"/>
  <c r="G106" i="9"/>
  <c r="G113" i="9"/>
  <c r="G114" i="9"/>
  <c r="G121" i="9"/>
  <c r="G122" i="9"/>
  <c r="G129" i="9"/>
  <c r="G130" i="9"/>
  <c r="G137" i="9"/>
  <c r="G138" i="9"/>
  <c r="G145" i="9"/>
  <c r="G146" i="9"/>
  <c r="G153" i="9"/>
  <c r="G154" i="9"/>
  <c r="G161" i="9"/>
  <c r="G162" i="9"/>
  <c r="G169" i="9"/>
  <c r="G170" i="9"/>
  <c r="G177" i="9"/>
  <c r="G178" i="9"/>
  <c r="G185" i="9"/>
  <c r="G186" i="9"/>
  <c r="G193" i="9"/>
  <c r="G194" i="9"/>
  <c r="G201" i="9"/>
  <c r="G202" i="9"/>
  <c r="G209" i="9"/>
  <c r="G210" i="9"/>
  <c r="G217" i="9"/>
  <c r="G218" i="9"/>
  <c r="G225" i="9"/>
  <c r="G226" i="9"/>
  <c r="G233" i="9"/>
  <c r="G234" i="9"/>
  <c r="G241" i="9"/>
  <c r="G242" i="9"/>
  <c r="G249" i="9"/>
  <c r="G250" i="9"/>
  <c r="G257" i="9"/>
  <c r="G258" i="9"/>
  <c r="G265" i="9"/>
  <c r="G266" i="9"/>
  <c r="G273" i="9"/>
  <c r="G274" i="9"/>
  <c r="G281" i="9"/>
  <c r="G282" i="9"/>
  <c r="G12" i="9"/>
  <c r="G11" i="9"/>
  <c r="G20" i="9"/>
  <c r="G19" i="9"/>
  <c r="G28" i="9"/>
  <c r="G27" i="9"/>
  <c r="G36" i="9"/>
  <c r="G35" i="9"/>
  <c r="G44" i="9"/>
  <c r="G43" i="9"/>
  <c r="G52" i="9"/>
  <c r="G51" i="9"/>
  <c r="G60" i="9"/>
  <c r="G59" i="9"/>
  <c r="G68" i="9"/>
  <c r="G67" i="9"/>
  <c r="G76" i="9"/>
  <c r="G75" i="9"/>
  <c r="G84" i="9"/>
  <c r="G83" i="9"/>
  <c r="G92" i="9"/>
  <c r="G91" i="9"/>
  <c r="G100" i="9"/>
  <c r="G99" i="9"/>
  <c r="G108" i="9"/>
  <c r="G107" i="9"/>
  <c r="G116" i="9"/>
  <c r="G115" i="9"/>
  <c r="G124" i="9"/>
  <c r="G123" i="9"/>
  <c r="G132" i="9"/>
  <c r="G131" i="9"/>
  <c r="G140" i="9"/>
  <c r="G139" i="9"/>
  <c r="G148" i="9"/>
  <c r="G147" i="9"/>
  <c r="G156" i="9"/>
  <c r="G155" i="9"/>
  <c r="G164" i="9"/>
  <c r="G163" i="9"/>
  <c r="G172" i="9"/>
  <c r="G171" i="9"/>
  <c r="G180" i="9"/>
  <c r="G179" i="9"/>
  <c r="G188" i="9"/>
  <c r="G187" i="9"/>
  <c r="G196" i="9"/>
  <c r="G195" i="9"/>
  <c r="G204" i="9"/>
  <c r="G203" i="9"/>
  <c r="G212" i="9"/>
  <c r="G211" i="9"/>
  <c r="G220" i="9"/>
  <c r="G219" i="9"/>
  <c r="G228" i="9"/>
  <c r="G227" i="9"/>
  <c r="G236" i="9"/>
  <c r="G235" i="9"/>
  <c r="G244" i="9"/>
  <c r="G243" i="9"/>
  <c r="G252" i="9"/>
  <c r="G251" i="9"/>
  <c r="G260" i="9"/>
  <c r="G259" i="9"/>
  <c r="G268" i="9"/>
  <c r="G267" i="9"/>
  <c r="G276" i="9"/>
  <c r="G275" i="9"/>
  <c r="G284" i="9"/>
  <c r="G283" i="9"/>
  <c r="I11" i="6"/>
  <c r="J11" i="6" s="1"/>
  <c r="I23" i="6"/>
  <c r="J23" i="6" s="1"/>
  <c r="I26" i="6"/>
  <c r="J26" i="6" s="1"/>
  <c r="I29" i="6"/>
  <c r="J29" i="6" s="1"/>
  <c r="F9" i="8"/>
  <c r="G9" i="8" s="1"/>
  <c r="F10" i="8"/>
  <c r="G10" i="8" s="1"/>
  <c r="F13" i="8"/>
  <c r="G13" i="8" s="1"/>
  <c r="F14" i="8"/>
  <c r="G14" i="8" s="1"/>
  <c r="I22" i="6"/>
  <c r="J22" i="6" s="1"/>
  <c r="I28" i="6"/>
  <c r="J28" i="6" s="1"/>
  <c r="D148" i="8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30" i="8"/>
  <c r="G130" i="8" s="1"/>
  <c r="F131" i="8"/>
  <c r="G131" i="8" s="1"/>
  <c r="F133" i="8"/>
  <c r="G133" i="8" s="1"/>
  <c r="F134" i="8"/>
  <c r="G134" i="8" s="1"/>
  <c r="F136" i="8"/>
  <c r="G136" i="8" s="1"/>
  <c r="F137" i="8"/>
  <c r="G137" i="8" s="1"/>
  <c r="F139" i="8"/>
  <c r="G139" i="8" s="1"/>
  <c r="F140" i="8"/>
  <c r="G140" i="8" s="1"/>
  <c r="F142" i="8"/>
  <c r="G142" i="8" s="1"/>
  <c r="F143" i="8"/>
  <c r="G143" i="8" s="1"/>
  <c r="F145" i="8"/>
  <c r="G145" i="8" s="1"/>
  <c r="F146" i="8"/>
  <c r="G146" i="8" s="1"/>
  <c r="F147" i="8"/>
  <c r="G147" i="8" s="1"/>
  <c r="I10" i="6"/>
  <c r="J10" i="6" s="1"/>
  <c r="I12" i="6"/>
  <c r="J12" i="6" s="1"/>
  <c r="I13" i="6"/>
  <c r="J13" i="6" s="1"/>
  <c r="I14" i="6"/>
  <c r="J14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4" i="6"/>
  <c r="J24" i="6" s="1"/>
  <c r="I25" i="6"/>
  <c r="J25" i="6" s="1"/>
  <c r="I31" i="6"/>
  <c r="J31" i="6" s="1"/>
  <c r="I32" i="6"/>
  <c r="J32" i="6" s="1"/>
  <c r="I33" i="6"/>
  <c r="J33" i="6" s="1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0" i="6"/>
  <c r="J40" i="6" s="1"/>
  <c r="I41" i="6"/>
  <c r="J41" i="6" s="1"/>
  <c r="I42" i="6"/>
  <c r="J42" i="6" s="1"/>
  <c r="I43" i="6"/>
  <c r="J43" i="6" s="1"/>
  <c r="I44" i="6"/>
  <c r="J44" i="6" s="1"/>
  <c r="I45" i="6"/>
  <c r="J45" i="6" s="1"/>
  <c r="I46" i="6"/>
  <c r="J46" i="6" s="1"/>
  <c r="I47" i="6"/>
  <c r="J47" i="6" s="1"/>
  <c r="I48" i="6"/>
  <c r="J48" i="6" s="1"/>
  <c r="I49" i="6"/>
  <c r="J49" i="6" s="1"/>
  <c r="I50" i="6"/>
  <c r="J50" i="6" s="1"/>
  <c r="I51" i="6"/>
  <c r="J51" i="6" s="1"/>
  <c r="I52" i="6"/>
  <c r="J52" i="6" s="1"/>
  <c r="I53" i="6"/>
  <c r="J53" i="6" s="1"/>
  <c r="I54" i="6"/>
  <c r="J54" i="6" s="1"/>
  <c r="I55" i="6"/>
  <c r="J55" i="6" s="1"/>
  <c r="I56" i="6"/>
  <c r="J56" i="6" s="1"/>
  <c r="I57" i="6"/>
  <c r="J57" i="6" s="1"/>
  <c r="I58" i="6"/>
  <c r="J58" i="6" s="1"/>
  <c r="I59" i="6"/>
  <c r="J59" i="6" s="1"/>
  <c r="I60" i="6"/>
  <c r="J60" i="6" s="1"/>
  <c r="I61" i="6"/>
  <c r="J61" i="6" s="1"/>
  <c r="I62" i="6"/>
  <c r="J62" i="6" s="1"/>
  <c r="I63" i="6"/>
  <c r="J63" i="6" s="1"/>
  <c r="I64" i="6"/>
  <c r="J64" i="6" s="1"/>
  <c r="I65" i="6"/>
  <c r="J65" i="6" s="1"/>
  <c r="I66" i="6"/>
  <c r="J66" i="6" s="1"/>
  <c r="I67" i="6"/>
  <c r="J67" i="6" s="1"/>
  <c r="I68" i="6"/>
  <c r="J68" i="6" s="1"/>
  <c r="I69" i="6"/>
  <c r="J69" i="6" s="1"/>
  <c r="I70" i="6"/>
  <c r="J70" i="6" s="1"/>
  <c r="I71" i="6"/>
  <c r="J71" i="6" s="1"/>
  <c r="I72" i="6"/>
  <c r="J72" i="6" s="1"/>
  <c r="I73" i="6"/>
  <c r="J73" i="6" s="1"/>
  <c r="I74" i="6"/>
  <c r="J74" i="6" s="1"/>
  <c r="I75" i="6"/>
  <c r="J75" i="6" s="1"/>
  <c r="I76" i="6"/>
  <c r="J76" i="6" s="1"/>
  <c r="I77" i="6"/>
  <c r="J77" i="6" s="1"/>
  <c r="I78" i="6"/>
  <c r="J78" i="6" s="1"/>
  <c r="I79" i="6"/>
  <c r="J79" i="6" s="1"/>
  <c r="I80" i="6"/>
  <c r="J80" i="6" s="1"/>
  <c r="I81" i="6"/>
  <c r="J81" i="6" s="1"/>
  <c r="I82" i="6"/>
  <c r="J82" i="6" s="1"/>
  <c r="I83" i="6"/>
  <c r="J83" i="6" s="1"/>
  <c r="I84" i="6"/>
  <c r="J84" i="6" s="1"/>
  <c r="I85" i="6"/>
  <c r="J85" i="6" s="1"/>
  <c r="I86" i="6"/>
  <c r="J86" i="6" s="1"/>
  <c r="I87" i="6"/>
  <c r="J87" i="6" s="1"/>
  <c r="I88" i="6"/>
  <c r="J88" i="6" s="1"/>
  <c r="I89" i="6"/>
  <c r="J89" i="6" s="1"/>
  <c r="I90" i="6"/>
  <c r="J90" i="6" s="1"/>
  <c r="I91" i="6"/>
  <c r="J91" i="6" s="1"/>
  <c r="I92" i="6"/>
  <c r="J92" i="6" s="1"/>
  <c r="I93" i="6"/>
  <c r="J93" i="6" s="1"/>
  <c r="I94" i="6"/>
  <c r="J94" i="6" s="1"/>
  <c r="I95" i="6"/>
  <c r="J95" i="6" s="1"/>
  <c r="I96" i="6"/>
  <c r="J96" i="6" s="1"/>
  <c r="I97" i="6"/>
  <c r="J97" i="6" s="1"/>
  <c r="I98" i="6"/>
  <c r="J98" i="6" s="1"/>
  <c r="I99" i="6"/>
  <c r="J99" i="6" s="1"/>
  <c r="I100" i="6"/>
  <c r="J100" i="6" s="1"/>
  <c r="I101" i="6"/>
  <c r="J101" i="6" s="1"/>
  <c r="I102" i="6"/>
  <c r="J102" i="6" s="1"/>
  <c r="I103" i="6"/>
  <c r="J103" i="6" s="1"/>
  <c r="I104" i="6"/>
  <c r="J104" i="6" s="1"/>
  <c r="I105" i="6"/>
  <c r="J105" i="6" s="1"/>
  <c r="I106" i="6"/>
  <c r="J106" i="6" s="1"/>
  <c r="I107" i="6"/>
  <c r="J107" i="6" s="1"/>
  <c r="I108" i="6"/>
  <c r="J108" i="6" s="1"/>
  <c r="I109" i="6"/>
  <c r="J109" i="6" s="1"/>
  <c r="I110" i="6"/>
  <c r="J110" i="6" s="1"/>
  <c r="I111" i="6"/>
  <c r="J111" i="6" s="1"/>
  <c r="I112" i="6"/>
  <c r="J112" i="6" s="1"/>
  <c r="I113" i="6"/>
  <c r="J113" i="6" s="1"/>
  <c r="I114" i="6"/>
  <c r="J114" i="6" s="1"/>
  <c r="I115" i="6"/>
  <c r="J115" i="6" s="1"/>
  <c r="I116" i="6"/>
  <c r="J116" i="6" s="1"/>
  <c r="I117" i="6"/>
  <c r="J117" i="6" s="1"/>
  <c r="I118" i="6"/>
  <c r="J118" i="6" s="1"/>
  <c r="I119" i="6"/>
  <c r="J119" i="6" s="1"/>
  <c r="I120" i="6"/>
  <c r="J120" i="6" s="1"/>
  <c r="I121" i="6"/>
  <c r="J121" i="6" s="1"/>
  <c r="I122" i="6"/>
  <c r="J122" i="6" s="1"/>
  <c r="I123" i="6"/>
  <c r="J123" i="6" s="1"/>
  <c r="I124" i="6"/>
  <c r="J124" i="6" s="1"/>
  <c r="I125" i="6"/>
  <c r="J125" i="6" s="1"/>
  <c r="I126" i="6"/>
  <c r="J126" i="6" s="1"/>
  <c r="I127" i="6"/>
  <c r="J127" i="6" s="1"/>
  <c r="I128" i="6"/>
  <c r="J128" i="6" s="1"/>
  <c r="I129" i="6"/>
  <c r="J129" i="6" s="1"/>
  <c r="I130" i="6"/>
  <c r="J130" i="6" s="1"/>
  <c r="I131" i="6"/>
  <c r="J131" i="6" s="1"/>
  <c r="I132" i="6"/>
  <c r="J132" i="6" s="1"/>
  <c r="I133" i="6"/>
  <c r="J133" i="6" s="1"/>
  <c r="I134" i="6"/>
  <c r="J134" i="6" s="1"/>
  <c r="I135" i="6"/>
  <c r="J135" i="6" s="1"/>
  <c r="I136" i="6"/>
  <c r="J136" i="6" s="1"/>
  <c r="I137" i="6"/>
  <c r="J137" i="6" s="1"/>
  <c r="I138" i="6"/>
  <c r="J138" i="6" s="1"/>
  <c r="I139" i="6"/>
  <c r="J139" i="6" s="1"/>
  <c r="I140" i="6"/>
  <c r="J140" i="6" s="1"/>
  <c r="I141" i="6"/>
  <c r="J141" i="6" s="1"/>
  <c r="I142" i="6"/>
  <c r="J142" i="6" s="1"/>
  <c r="I143" i="6"/>
  <c r="J143" i="6" s="1"/>
  <c r="I144" i="6"/>
  <c r="J144" i="6" s="1"/>
  <c r="I145" i="6"/>
  <c r="J145" i="6" s="1"/>
  <c r="I146" i="6"/>
  <c r="J146" i="6" s="1"/>
  <c r="I147" i="6"/>
  <c r="J147" i="6" s="1"/>
  <c r="F8" i="8"/>
  <c r="G8" i="8" s="1"/>
  <c r="F129" i="8"/>
  <c r="G129" i="8" s="1"/>
  <c r="F132" i="8"/>
  <c r="G132" i="8" s="1"/>
  <c r="F135" i="8"/>
  <c r="G135" i="8" s="1"/>
  <c r="F138" i="8"/>
  <c r="G138" i="8" s="1"/>
  <c r="F141" i="8"/>
  <c r="G141" i="8" s="1"/>
  <c r="F144" i="8"/>
  <c r="G144" i="8" s="1"/>
  <c r="G7" i="7"/>
  <c r="G6" i="7"/>
  <c r="G9" i="7"/>
  <c r="G8" i="7"/>
  <c r="G11" i="7"/>
  <c r="G10" i="7"/>
  <c r="G13" i="7"/>
  <c r="G12" i="7"/>
  <c r="G15" i="7"/>
  <c r="G14" i="7"/>
  <c r="G17" i="7"/>
  <c r="G16" i="7"/>
  <c r="G19" i="7"/>
  <c r="G18" i="7"/>
  <c r="G21" i="7"/>
  <c r="G20" i="7"/>
  <c r="G23" i="7"/>
  <c r="G22" i="7"/>
  <c r="G25" i="7"/>
  <c r="G24" i="7"/>
  <c r="G27" i="7"/>
  <c r="G26" i="7"/>
  <c r="G29" i="7"/>
  <c r="G28" i="7"/>
  <c r="G31" i="7"/>
  <c r="G30" i="7"/>
  <c r="G33" i="7"/>
  <c r="G32" i="7"/>
  <c r="G35" i="7"/>
  <c r="G34" i="7"/>
  <c r="G37" i="7"/>
  <c r="G36" i="7"/>
  <c r="G39" i="7"/>
  <c r="G38" i="7"/>
  <c r="G41" i="7"/>
  <c r="G40" i="7"/>
  <c r="G43" i="7"/>
  <c r="G42" i="7"/>
  <c r="G45" i="7"/>
  <c r="G44" i="7"/>
  <c r="G47" i="7"/>
  <c r="G46" i="7"/>
  <c r="G49" i="7"/>
  <c r="G48" i="7"/>
  <c r="G51" i="7"/>
  <c r="G50" i="7"/>
  <c r="G53" i="7"/>
  <c r="G52" i="7"/>
  <c r="G55" i="7"/>
  <c r="G54" i="7"/>
  <c r="G57" i="7"/>
  <c r="G56" i="7"/>
  <c r="G59" i="7"/>
  <c r="G58" i="7"/>
  <c r="G61" i="7"/>
  <c r="G60" i="7"/>
  <c r="G63" i="7"/>
  <c r="G62" i="7"/>
  <c r="G65" i="7"/>
  <c r="G64" i="7"/>
  <c r="G67" i="7"/>
  <c r="G66" i="7"/>
  <c r="G69" i="7"/>
  <c r="G68" i="7"/>
  <c r="G71" i="7"/>
  <c r="G70" i="7"/>
  <c r="G73" i="7"/>
  <c r="G72" i="7"/>
  <c r="G75" i="7"/>
  <c r="G74" i="7"/>
  <c r="G77" i="7"/>
  <c r="G76" i="7"/>
  <c r="G79" i="7"/>
  <c r="G78" i="7"/>
  <c r="G81" i="7"/>
  <c r="G80" i="7"/>
  <c r="G83" i="7"/>
  <c r="G82" i="7"/>
  <c r="G85" i="7"/>
  <c r="G84" i="7"/>
  <c r="G87" i="7"/>
  <c r="G86" i="7"/>
  <c r="G89" i="7"/>
  <c r="G88" i="7"/>
  <c r="G91" i="7"/>
  <c r="G90" i="7"/>
  <c r="G93" i="7"/>
  <c r="G92" i="7"/>
  <c r="G95" i="7"/>
  <c r="G94" i="7"/>
  <c r="G97" i="7"/>
  <c r="G96" i="7"/>
  <c r="G99" i="7"/>
  <c r="G98" i="7"/>
  <c r="G101" i="7"/>
  <c r="G100" i="7"/>
  <c r="G103" i="7"/>
  <c r="G102" i="7"/>
  <c r="G105" i="7"/>
  <c r="G104" i="7"/>
  <c r="G107" i="7"/>
  <c r="G106" i="7"/>
  <c r="G109" i="7"/>
  <c r="G108" i="7"/>
  <c r="G111" i="7"/>
  <c r="G110" i="7"/>
  <c r="G113" i="7"/>
  <c r="G112" i="7"/>
  <c r="G115" i="7"/>
  <c r="G114" i="7"/>
  <c r="G117" i="7"/>
  <c r="G116" i="7"/>
  <c r="G119" i="7"/>
  <c r="G118" i="7"/>
  <c r="G121" i="7"/>
  <c r="G120" i="7"/>
  <c r="G123" i="7"/>
  <c r="G122" i="7"/>
  <c r="G125" i="7"/>
  <c r="G124" i="7"/>
  <c r="G127" i="7"/>
  <c r="G126" i="7"/>
  <c r="G129" i="7"/>
  <c r="G128" i="7"/>
  <c r="G131" i="7"/>
  <c r="G130" i="7"/>
  <c r="G133" i="7"/>
  <c r="G132" i="7"/>
  <c r="G135" i="7"/>
  <c r="G134" i="7"/>
  <c r="G137" i="7"/>
  <c r="G136" i="7"/>
  <c r="G139" i="7"/>
  <c r="G138" i="7"/>
  <c r="G141" i="7"/>
  <c r="G140" i="7"/>
  <c r="G143" i="7"/>
  <c r="G142" i="7"/>
  <c r="G145" i="7"/>
  <c r="G144" i="7"/>
  <c r="G147" i="7"/>
  <c r="G146" i="7"/>
  <c r="G149" i="7"/>
  <c r="G148" i="7"/>
  <c r="G151" i="7"/>
  <c r="G150" i="7"/>
  <c r="G153" i="7"/>
  <c r="G152" i="7"/>
  <c r="G155" i="7"/>
  <c r="G154" i="7"/>
  <c r="G157" i="7"/>
  <c r="G156" i="7"/>
  <c r="G159" i="7"/>
  <c r="G158" i="7"/>
  <c r="G161" i="7"/>
  <c r="G160" i="7"/>
  <c r="G163" i="7"/>
  <c r="G162" i="7"/>
  <c r="G165" i="7"/>
  <c r="G164" i="7"/>
  <c r="G167" i="7"/>
  <c r="G166" i="7"/>
  <c r="G169" i="7"/>
  <c r="G168" i="7"/>
  <c r="G171" i="7"/>
  <c r="G170" i="7"/>
  <c r="G173" i="7"/>
  <c r="G172" i="7"/>
  <c r="G175" i="7"/>
  <c r="G174" i="7"/>
  <c r="G177" i="7"/>
  <c r="G176" i="7"/>
  <c r="G179" i="7"/>
  <c r="G178" i="7"/>
  <c r="G181" i="7"/>
  <c r="G180" i="7"/>
  <c r="G183" i="7"/>
  <c r="G182" i="7"/>
  <c r="G185" i="7"/>
  <c r="G184" i="7"/>
  <c r="G187" i="7"/>
  <c r="G186" i="7"/>
  <c r="G189" i="7"/>
  <c r="G188" i="7"/>
  <c r="G191" i="7"/>
  <c r="G190" i="7"/>
  <c r="G193" i="7"/>
  <c r="G192" i="7"/>
  <c r="G195" i="7"/>
  <c r="G194" i="7"/>
  <c r="G197" i="7"/>
  <c r="G196" i="7"/>
  <c r="G199" i="7"/>
  <c r="G198" i="7"/>
  <c r="G201" i="7"/>
  <c r="G200" i="7"/>
  <c r="G203" i="7"/>
  <c r="G202" i="7"/>
  <c r="G205" i="7"/>
  <c r="G204" i="7"/>
  <c r="G207" i="7"/>
  <c r="G206" i="7"/>
  <c r="G209" i="7"/>
  <c r="G208" i="7"/>
  <c r="G211" i="7"/>
  <c r="G210" i="7"/>
  <c r="G213" i="7"/>
  <c r="G212" i="7"/>
  <c r="G215" i="7"/>
  <c r="G214" i="7"/>
  <c r="G217" i="7"/>
  <c r="G216" i="7"/>
  <c r="G219" i="7"/>
  <c r="G218" i="7"/>
  <c r="G221" i="7"/>
  <c r="G220" i="7"/>
  <c r="G223" i="7"/>
  <c r="G222" i="7"/>
  <c r="G225" i="7"/>
  <c r="G224" i="7"/>
  <c r="G227" i="7"/>
  <c r="G226" i="7"/>
  <c r="G229" i="7"/>
  <c r="G228" i="7"/>
  <c r="G231" i="7"/>
  <c r="G230" i="7"/>
  <c r="G233" i="7"/>
  <c r="G232" i="7"/>
  <c r="G235" i="7"/>
  <c r="G234" i="7"/>
  <c r="G237" i="7"/>
  <c r="G236" i="7"/>
  <c r="G239" i="7"/>
  <c r="G238" i="7"/>
  <c r="G241" i="7"/>
  <c r="G240" i="7"/>
  <c r="G243" i="7"/>
  <c r="G242" i="7"/>
  <c r="G245" i="7"/>
  <c r="G244" i="7"/>
  <c r="G247" i="7"/>
  <c r="G246" i="7"/>
  <c r="G249" i="7"/>
  <c r="G248" i="7"/>
  <c r="G251" i="7"/>
  <c r="G250" i="7"/>
  <c r="G253" i="7"/>
  <c r="G252" i="7"/>
  <c r="G255" i="7"/>
  <c r="G254" i="7"/>
  <c r="G257" i="7"/>
  <c r="G256" i="7"/>
  <c r="G259" i="7"/>
  <c r="G258" i="7"/>
  <c r="G261" i="7"/>
  <c r="G260" i="7"/>
  <c r="G263" i="7"/>
  <c r="G262" i="7"/>
  <c r="G265" i="7"/>
  <c r="G264" i="7"/>
  <c r="G267" i="7"/>
  <c r="G266" i="7"/>
  <c r="G269" i="7"/>
  <c r="G268" i="7"/>
  <c r="G271" i="7"/>
  <c r="G270" i="7"/>
  <c r="G273" i="7"/>
  <c r="G272" i="7"/>
  <c r="G275" i="7"/>
  <c r="G274" i="7"/>
  <c r="G277" i="7"/>
  <c r="G276" i="7"/>
  <c r="G279" i="7"/>
  <c r="G278" i="7"/>
  <c r="G281" i="7"/>
  <c r="G280" i="7"/>
  <c r="G283" i="7"/>
  <c r="G282" i="7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E52" i="5"/>
  <c r="C52" i="5"/>
  <c r="B52" i="5"/>
  <c r="A52" i="5"/>
  <c r="G51" i="5"/>
  <c r="E51" i="5"/>
  <c r="C51" i="5"/>
  <c r="B51" i="5"/>
  <c r="A51" i="5"/>
  <c r="G50" i="5"/>
  <c r="E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B7" i="5"/>
  <c r="C7" i="5"/>
  <c r="A7" i="5"/>
  <c r="B9" i="6"/>
  <c r="C9" i="6"/>
  <c r="A9" i="6"/>
  <c r="D9" i="6"/>
  <c r="G147" i="5" l="1"/>
  <c r="E147" i="5"/>
  <c r="D148" i="6"/>
  <c r="H147" i="4"/>
  <c r="G147" i="4"/>
  <c r="F147" i="4"/>
  <c r="E147" i="4"/>
  <c r="D147" i="4"/>
  <c r="C147" i="4"/>
  <c r="B147" i="4"/>
  <c r="A147" i="4"/>
  <c r="H146" i="4"/>
  <c r="G146" i="4"/>
  <c r="F146" i="4"/>
  <c r="E146" i="4"/>
  <c r="D146" i="4"/>
  <c r="C146" i="4"/>
  <c r="B146" i="4"/>
  <c r="A146" i="4"/>
  <c r="H145" i="4"/>
  <c r="G145" i="4"/>
  <c r="F145" i="4"/>
  <c r="E145" i="4"/>
  <c r="D145" i="4"/>
  <c r="C145" i="4"/>
  <c r="B145" i="4"/>
  <c r="A145" i="4"/>
  <c r="H144" i="4"/>
  <c r="G144" i="4"/>
  <c r="F144" i="4"/>
  <c r="E144" i="4"/>
  <c r="D144" i="4"/>
  <c r="C144" i="4"/>
  <c r="B144" i="4"/>
  <c r="A144" i="4"/>
  <c r="H143" i="4"/>
  <c r="G143" i="4"/>
  <c r="F143" i="4"/>
  <c r="E143" i="4"/>
  <c r="D143" i="4"/>
  <c r="C143" i="4"/>
  <c r="B143" i="4"/>
  <c r="A143" i="4"/>
  <c r="H142" i="4"/>
  <c r="G142" i="4"/>
  <c r="F142" i="4"/>
  <c r="E142" i="4"/>
  <c r="D142" i="4"/>
  <c r="C142" i="4"/>
  <c r="B142" i="4"/>
  <c r="A142" i="4"/>
  <c r="H141" i="4"/>
  <c r="G141" i="4"/>
  <c r="F141" i="4"/>
  <c r="E141" i="4"/>
  <c r="D141" i="4"/>
  <c r="C141" i="4"/>
  <c r="B141" i="4"/>
  <c r="A141" i="4"/>
  <c r="H140" i="4"/>
  <c r="G140" i="4"/>
  <c r="F140" i="4"/>
  <c r="E140" i="4"/>
  <c r="D140" i="4"/>
  <c r="C140" i="4"/>
  <c r="B140" i="4"/>
  <c r="A140" i="4"/>
  <c r="H139" i="4"/>
  <c r="G139" i="4"/>
  <c r="F139" i="4"/>
  <c r="E139" i="4"/>
  <c r="D139" i="4"/>
  <c r="C139" i="4"/>
  <c r="B139" i="4"/>
  <c r="A139" i="4"/>
  <c r="H138" i="4"/>
  <c r="G138" i="4"/>
  <c r="F138" i="4"/>
  <c r="E138" i="4"/>
  <c r="D138" i="4"/>
  <c r="C138" i="4"/>
  <c r="B138" i="4"/>
  <c r="A138" i="4"/>
  <c r="H137" i="4"/>
  <c r="G137" i="4"/>
  <c r="F137" i="4"/>
  <c r="E137" i="4"/>
  <c r="D137" i="4"/>
  <c r="C137" i="4"/>
  <c r="B137" i="4"/>
  <c r="A137" i="4"/>
  <c r="H136" i="4"/>
  <c r="G136" i="4"/>
  <c r="F136" i="4"/>
  <c r="E136" i="4"/>
  <c r="D136" i="4"/>
  <c r="C136" i="4"/>
  <c r="B136" i="4"/>
  <c r="A136" i="4"/>
  <c r="H135" i="4"/>
  <c r="G135" i="4"/>
  <c r="F135" i="4"/>
  <c r="E135" i="4"/>
  <c r="D135" i="4"/>
  <c r="C135" i="4"/>
  <c r="B135" i="4"/>
  <c r="A135" i="4"/>
  <c r="H134" i="4"/>
  <c r="G134" i="4"/>
  <c r="F134" i="4"/>
  <c r="E134" i="4"/>
  <c r="D134" i="4"/>
  <c r="C134" i="4"/>
  <c r="B134" i="4"/>
  <c r="A134" i="4"/>
  <c r="H133" i="4"/>
  <c r="G133" i="4"/>
  <c r="F133" i="4"/>
  <c r="E133" i="4"/>
  <c r="D133" i="4"/>
  <c r="C133" i="4"/>
  <c r="B133" i="4"/>
  <c r="A133" i="4"/>
  <c r="H132" i="4"/>
  <c r="G132" i="4"/>
  <c r="F132" i="4"/>
  <c r="E132" i="4"/>
  <c r="D132" i="4"/>
  <c r="C132" i="4"/>
  <c r="B132" i="4"/>
  <c r="A132" i="4"/>
  <c r="H131" i="4"/>
  <c r="G131" i="4"/>
  <c r="F131" i="4"/>
  <c r="E131" i="4"/>
  <c r="D131" i="4"/>
  <c r="C131" i="4"/>
  <c r="B131" i="4"/>
  <c r="A131" i="4"/>
  <c r="H130" i="4"/>
  <c r="G130" i="4"/>
  <c r="F130" i="4"/>
  <c r="E130" i="4"/>
  <c r="D130" i="4"/>
  <c r="C130" i="4"/>
  <c r="B130" i="4"/>
  <c r="A130" i="4"/>
  <c r="H129" i="4"/>
  <c r="G129" i="4"/>
  <c r="F129" i="4"/>
  <c r="E129" i="4"/>
  <c r="D129" i="4"/>
  <c r="C129" i="4"/>
  <c r="B129" i="4"/>
  <c r="A129" i="4"/>
  <c r="H128" i="4"/>
  <c r="G128" i="4"/>
  <c r="F128" i="4"/>
  <c r="E128" i="4"/>
  <c r="D128" i="4"/>
  <c r="C128" i="4"/>
  <c r="B128" i="4"/>
  <c r="A128" i="4"/>
  <c r="H127" i="4"/>
  <c r="G127" i="4"/>
  <c r="F127" i="4"/>
  <c r="E127" i="4"/>
  <c r="D127" i="4"/>
  <c r="C127" i="4"/>
  <c r="B127" i="4"/>
  <c r="A127" i="4"/>
  <c r="H126" i="4"/>
  <c r="G126" i="4"/>
  <c r="F126" i="4"/>
  <c r="E126" i="4"/>
  <c r="D126" i="4"/>
  <c r="C126" i="4"/>
  <c r="B126" i="4"/>
  <c r="A126" i="4"/>
  <c r="H125" i="4"/>
  <c r="G125" i="4"/>
  <c r="F125" i="4"/>
  <c r="E125" i="4"/>
  <c r="D125" i="4"/>
  <c r="C125" i="4"/>
  <c r="B125" i="4"/>
  <c r="A125" i="4"/>
  <c r="H124" i="4"/>
  <c r="G124" i="4"/>
  <c r="F124" i="4"/>
  <c r="E124" i="4"/>
  <c r="D124" i="4"/>
  <c r="C124" i="4"/>
  <c r="B124" i="4"/>
  <c r="A124" i="4"/>
  <c r="H123" i="4"/>
  <c r="G123" i="4"/>
  <c r="F123" i="4"/>
  <c r="E123" i="4"/>
  <c r="D123" i="4"/>
  <c r="C123" i="4"/>
  <c r="B123" i="4"/>
  <c r="A123" i="4"/>
  <c r="H122" i="4"/>
  <c r="G122" i="4"/>
  <c r="F122" i="4"/>
  <c r="E122" i="4"/>
  <c r="D122" i="4"/>
  <c r="C122" i="4"/>
  <c r="B122" i="4"/>
  <c r="A122" i="4"/>
  <c r="H121" i="4"/>
  <c r="G121" i="4"/>
  <c r="F121" i="4"/>
  <c r="E121" i="4"/>
  <c r="D121" i="4"/>
  <c r="C121" i="4"/>
  <c r="B121" i="4"/>
  <c r="A121" i="4"/>
  <c r="H120" i="4"/>
  <c r="G120" i="4"/>
  <c r="F120" i="4"/>
  <c r="E120" i="4"/>
  <c r="D120" i="4"/>
  <c r="C120" i="4"/>
  <c r="B120" i="4"/>
  <c r="A120" i="4"/>
  <c r="H119" i="4"/>
  <c r="G119" i="4"/>
  <c r="F119" i="4"/>
  <c r="E119" i="4"/>
  <c r="D119" i="4"/>
  <c r="C119" i="4"/>
  <c r="B119" i="4"/>
  <c r="A119" i="4"/>
  <c r="H118" i="4"/>
  <c r="G118" i="4"/>
  <c r="F118" i="4"/>
  <c r="E118" i="4"/>
  <c r="D118" i="4"/>
  <c r="C118" i="4"/>
  <c r="B118" i="4"/>
  <c r="A118" i="4"/>
  <c r="H117" i="4"/>
  <c r="G117" i="4"/>
  <c r="F117" i="4"/>
  <c r="E117" i="4"/>
  <c r="D117" i="4"/>
  <c r="C117" i="4"/>
  <c r="B117" i="4"/>
  <c r="A117" i="4"/>
  <c r="H116" i="4"/>
  <c r="G116" i="4"/>
  <c r="F116" i="4"/>
  <c r="E116" i="4"/>
  <c r="D116" i="4"/>
  <c r="C116" i="4"/>
  <c r="B116" i="4"/>
  <c r="A116" i="4"/>
  <c r="H115" i="4"/>
  <c r="G115" i="4"/>
  <c r="F115" i="4"/>
  <c r="E115" i="4"/>
  <c r="D115" i="4"/>
  <c r="C115" i="4"/>
  <c r="B115" i="4"/>
  <c r="A115" i="4"/>
  <c r="H114" i="4"/>
  <c r="G114" i="4"/>
  <c r="F114" i="4"/>
  <c r="E114" i="4"/>
  <c r="D114" i="4"/>
  <c r="C114" i="4"/>
  <c r="B114" i="4"/>
  <c r="A114" i="4"/>
  <c r="H113" i="4"/>
  <c r="G113" i="4"/>
  <c r="F113" i="4"/>
  <c r="E113" i="4"/>
  <c r="D113" i="4"/>
  <c r="C113" i="4"/>
  <c r="B113" i="4"/>
  <c r="A113" i="4"/>
  <c r="H112" i="4"/>
  <c r="G112" i="4"/>
  <c r="F112" i="4"/>
  <c r="E112" i="4"/>
  <c r="D112" i="4"/>
  <c r="C112" i="4"/>
  <c r="B112" i="4"/>
  <c r="A112" i="4"/>
  <c r="H111" i="4"/>
  <c r="G111" i="4"/>
  <c r="F111" i="4"/>
  <c r="E111" i="4"/>
  <c r="D111" i="4"/>
  <c r="C111" i="4"/>
  <c r="B111" i="4"/>
  <c r="A111" i="4"/>
  <c r="H110" i="4"/>
  <c r="G110" i="4"/>
  <c r="F110" i="4"/>
  <c r="E110" i="4"/>
  <c r="D110" i="4"/>
  <c r="C110" i="4"/>
  <c r="B110" i="4"/>
  <c r="A110" i="4"/>
  <c r="H109" i="4"/>
  <c r="G109" i="4"/>
  <c r="F109" i="4"/>
  <c r="E109" i="4"/>
  <c r="D109" i="4"/>
  <c r="C109" i="4"/>
  <c r="B109" i="4"/>
  <c r="A109" i="4"/>
  <c r="H108" i="4"/>
  <c r="G108" i="4"/>
  <c r="F108" i="4"/>
  <c r="E108" i="4"/>
  <c r="D108" i="4"/>
  <c r="C108" i="4"/>
  <c r="B108" i="4"/>
  <c r="A108" i="4"/>
  <c r="H107" i="4"/>
  <c r="G107" i="4"/>
  <c r="F107" i="4"/>
  <c r="E107" i="4"/>
  <c r="D107" i="4"/>
  <c r="C107" i="4"/>
  <c r="B107" i="4"/>
  <c r="A107" i="4"/>
  <c r="H106" i="4"/>
  <c r="G106" i="4"/>
  <c r="F106" i="4"/>
  <c r="E106" i="4"/>
  <c r="D106" i="4"/>
  <c r="C106" i="4"/>
  <c r="B106" i="4"/>
  <c r="A106" i="4"/>
  <c r="H105" i="4"/>
  <c r="G105" i="4"/>
  <c r="F105" i="4"/>
  <c r="E105" i="4"/>
  <c r="D105" i="4"/>
  <c r="C105" i="4"/>
  <c r="B105" i="4"/>
  <c r="A105" i="4"/>
  <c r="H104" i="4"/>
  <c r="G104" i="4"/>
  <c r="F104" i="4"/>
  <c r="E104" i="4"/>
  <c r="D104" i="4"/>
  <c r="C104" i="4"/>
  <c r="B104" i="4"/>
  <c r="A104" i="4"/>
  <c r="H103" i="4"/>
  <c r="G103" i="4"/>
  <c r="F103" i="4"/>
  <c r="E103" i="4"/>
  <c r="D103" i="4"/>
  <c r="C103" i="4"/>
  <c r="B103" i="4"/>
  <c r="A103" i="4"/>
  <c r="H102" i="4"/>
  <c r="G102" i="4"/>
  <c r="F102" i="4"/>
  <c r="E102" i="4"/>
  <c r="D102" i="4"/>
  <c r="C102" i="4"/>
  <c r="B102" i="4"/>
  <c r="A102" i="4"/>
  <c r="H101" i="4"/>
  <c r="G101" i="4"/>
  <c r="F101" i="4"/>
  <c r="E101" i="4"/>
  <c r="D101" i="4"/>
  <c r="C101" i="4"/>
  <c r="B101" i="4"/>
  <c r="A101" i="4"/>
  <c r="H100" i="4"/>
  <c r="G100" i="4"/>
  <c r="F100" i="4"/>
  <c r="E100" i="4"/>
  <c r="D100" i="4"/>
  <c r="C100" i="4"/>
  <c r="B100" i="4"/>
  <c r="A100" i="4"/>
  <c r="H99" i="4"/>
  <c r="G99" i="4"/>
  <c r="F99" i="4"/>
  <c r="E99" i="4"/>
  <c r="D99" i="4"/>
  <c r="C99" i="4"/>
  <c r="B99" i="4"/>
  <c r="A99" i="4"/>
  <c r="H98" i="4"/>
  <c r="G98" i="4"/>
  <c r="F98" i="4"/>
  <c r="E98" i="4"/>
  <c r="D98" i="4"/>
  <c r="C98" i="4"/>
  <c r="B98" i="4"/>
  <c r="A98" i="4"/>
  <c r="H97" i="4"/>
  <c r="G97" i="4"/>
  <c r="F97" i="4"/>
  <c r="E97" i="4"/>
  <c r="D97" i="4"/>
  <c r="C97" i="4"/>
  <c r="B97" i="4"/>
  <c r="A97" i="4"/>
  <c r="H96" i="4"/>
  <c r="G96" i="4"/>
  <c r="F96" i="4"/>
  <c r="E96" i="4"/>
  <c r="D96" i="4"/>
  <c r="C96" i="4"/>
  <c r="B96" i="4"/>
  <c r="A96" i="4"/>
  <c r="H95" i="4"/>
  <c r="G95" i="4"/>
  <c r="F95" i="4"/>
  <c r="E95" i="4"/>
  <c r="D95" i="4"/>
  <c r="C95" i="4"/>
  <c r="B95" i="4"/>
  <c r="A95" i="4"/>
  <c r="H94" i="4"/>
  <c r="G94" i="4"/>
  <c r="F94" i="4"/>
  <c r="E94" i="4"/>
  <c r="D94" i="4"/>
  <c r="C94" i="4"/>
  <c r="B94" i="4"/>
  <c r="A94" i="4"/>
  <c r="H93" i="4"/>
  <c r="G93" i="4"/>
  <c r="F93" i="4"/>
  <c r="E93" i="4"/>
  <c r="D93" i="4"/>
  <c r="C93" i="4"/>
  <c r="B93" i="4"/>
  <c r="A93" i="4"/>
  <c r="H92" i="4"/>
  <c r="G92" i="4"/>
  <c r="F92" i="4"/>
  <c r="E92" i="4"/>
  <c r="D92" i="4"/>
  <c r="C92" i="4"/>
  <c r="B92" i="4"/>
  <c r="A92" i="4"/>
  <c r="H91" i="4"/>
  <c r="G91" i="4"/>
  <c r="F91" i="4"/>
  <c r="E91" i="4"/>
  <c r="D91" i="4"/>
  <c r="C91" i="4"/>
  <c r="B91" i="4"/>
  <c r="A91" i="4"/>
  <c r="H90" i="4"/>
  <c r="G90" i="4"/>
  <c r="F90" i="4"/>
  <c r="E90" i="4"/>
  <c r="D90" i="4"/>
  <c r="C90" i="4"/>
  <c r="B90" i="4"/>
  <c r="A90" i="4"/>
  <c r="H89" i="4"/>
  <c r="G89" i="4"/>
  <c r="F89" i="4"/>
  <c r="E89" i="4"/>
  <c r="D89" i="4"/>
  <c r="C89" i="4"/>
  <c r="B89" i="4"/>
  <c r="A89" i="4"/>
  <c r="H88" i="4"/>
  <c r="G88" i="4"/>
  <c r="F88" i="4"/>
  <c r="E88" i="4"/>
  <c r="D88" i="4"/>
  <c r="C88" i="4"/>
  <c r="B88" i="4"/>
  <c r="A88" i="4"/>
  <c r="H87" i="4"/>
  <c r="G87" i="4"/>
  <c r="F87" i="4"/>
  <c r="E87" i="4"/>
  <c r="D87" i="4"/>
  <c r="C87" i="4"/>
  <c r="B87" i="4"/>
  <c r="A87" i="4"/>
  <c r="H86" i="4"/>
  <c r="G86" i="4"/>
  <c r="F86" i="4"/>
  <c r="E86" i="4"/>
  <c r="D86" i="4"/>
  <c r="C86" i="4"/>
  <c r="B86" i="4"/>
  <c r="A86" i="4"/>
  <c r="H85" i="4"/>
  <c r="G85" i="4"/>
  <c r="F85" i="4"/>
  <c r="E85" i="4"/>
  <c r="D85" i="4"/>
  <c r="C85" i="4"/>
  <c r="B85" i="4"/>
  <c r="A85" i="4"/>
  <c r="H84" i="4"/>
  <c r="G84" i="4"/>
  <c r="F84" i="4"/>
  <c r="E84" i="4"/>
  <c r="D84" i="4"/>
  <c r="C84" i="4"/>
  <c r="B84" i="4"/>
  <c r="A84" i="4"/>
  <c r="H83" i="4"/>
  <c r="G83" i="4"/>
  <c r="F83" i="4"/>
  <c r="E83" i="4"/>
  <c r="D83" i="4"/>
  <c r="C83" i="4"/>
  <c r="B83" i="4"/>
  <c r="A83" i="4"/>
  <c r="H82" i="4"/>
  <c r="G82" i="4"/>
  <c r="F82" i="4"/>
  <c r="E82" i="4"/>
  <c r="D82" i="4"/>
  <c r="C82" i="4"/>
  <c r="B82" i="4"/>
  <c r="A82" i="4"/>
  <c r="H81" i="4"/>
  <c r="G81" i="4"/>
  <c r="F81" i="4"/>
  <c r="E81" i="4"/>
  <c r="D81" i="4"/>
  <c r="C81" i="4"/>
  <c r="B81" i="4"/>
  <c r="A81" i="4"/>
  <c r="H80" i="4"/>
  <c r="G80" i="4"/>
  <c r="F80" i="4"/>
  <c r="E80" i="4"/>
  <c r="D80" i="4"/>
  <c r="C80" i="4"/>
  <c r="B80" i="4"/>
  <c r="A80" i="4"/>
  <c r="H79" i="4"/>
  <c r="G79" i="4"/>
  <c r="F79" i="4"/>
  <c r="E79" i="4"/>
  <c r="D79" i="4"/>
  <c r="C79" i="4"/>
  <c r="B79" i="4"/>
  <c r="A79" i="4"/>
  <c r="H78" i="4"/>
  <c r="G78" i="4"/>
  <c r="F78" i="4"/>
  <c r="E78" i="4"/>
  <c r="D78" i="4"/>
  <c r="C78" i="4"/>
  <c r="B78" i="4"/>
  <c r="A78" i="4"/>
  <c r="H77" i="4"/>
  <c r="G77" i="4"/>
  <c r="F77" i="4"/>
  <c r="E77" i="4"/>
  <c r="D77" i="4"/>
  <c r="C77" i="4"/>
  <c r="B77" i="4"/>
  <c r="A77" i="4"/>
  <c r="H76" i="4"/>
  <c r="G76" i="4"/>
  <c r="F76" i="4"/>
  <c r="E76" i="4"/>
  <c r="D76" i="4"/>
  <c r="C76" i="4"/>
  <c r="B76" i="4"/>
  <c r="A76" i="4"/>
  <c r="H75" i="4"/>
  <c r="G75" i="4"/>
  <c r="F75" i="4"/>
  <c r="E75" i="4"/>
  <c r="D75" i="4"/>
  <c r="C75" i="4"/>
  <c r="B75" i="4"/>
  <c r="A75" i="4"/>
  <c r="H74" i="4"/>
  <c r="G74" i="4"/>
  <c r="F74" i="4"/>
  <c r="E74" i="4"/>
  <c r="D74" i="4"/>
  <c r="C74" i="4"/>
  <c r="B74" i="4"/>
  <c r="A74" i="4"/>
  <c r="H73" i="4"/>
  <c r="G73" i="4"/>
  <c r="F73" i="4"/>
  <c r="E73" i="4"/>
  <c r="D73" i="4"/>
  <c r="C73" i="4"/>
  <c r="B73" i="4"/>
  <c r="A73" i="4"/>
  <c r="H72" i="4"/>
  <c r="G72" i="4"/>
  <c r="F72" i="4"/>
  <c r="E72" i="4"/>
  <c r="D72" i="4"/>
  <c r="C72" i="4"/>
  <c r="B72" i="4"/>
  <c r="A72" i="4"/>
  <c r="H71" i="4"/>
  <c r="G71" i="4"/>
  <c r="F71" i="4"/>
  <c r="E71" i="4"/>
  <c r="D71" i="4"/>
  <c r="C71" i="4"/>
  <c r="B71" i="4"/>
  <c r="A71" i="4"/>
  <c r="H70" i="4"/>
  <c r="G70" i="4"/>
  <c r="F70" i="4"/>
  <c r="E70" i="4"/>
  <c r="D70" i="4"/>
  <c r="C70" i="4"/>
  <c r="B70" i="4"/>
  <c r="A70" i="4"/>
  <c r="H69" i="4"/>
  <c r="G69" i="4"/>
  <c r="F69" i="4"/>
  <c r="E69" i="4"/>
  <c r="D69" i="4"/>
  <c r="C69" i="4"/>
  <c r="B69" i="4"/>
  <c r="A69" i="4"/>
  <c r="H68" i="4"/>
  <c r="G68" i="4"/>
  <c r="F68" i="4"/>
  <c r="E68" i="4"/>
  <c r="D68" i="4"/>
  <c r="C68" i="4"/>
  <c r="B68" i="4"/>
  <c r="A68" i="4"/>
  <c r="H67" i="4"/>
  <c r="G67" i="4"/>
  <c r="F67" i="4"/>
  <c r="E67" i="4"/>
  <c r="D67" i="4"/>
  <c r="C67" i="4"/>
  <c r="B67" i="4"/>
  <c r="A67" i="4"/>
  <c r="H66" i="4"/>
  <c r="G66" i="4"/>
  <c r="F66" i="4"/>
  <c r="E66" i="4"/>
  <c r="D66" i="4"/>
  <c r="C66" i="4"/>
  <c r="B66" i="4"/>
  <c r="A66" i="4"/>
  <c r="H65" i="4"/>
  <c r="G65" i="4"/>
  <c r="F65" i="4"/>
  <c r="E65" i="4"/>
  <c r="D65" i="4"/>
  <c r="C65" i="4"/>
  <c r="B65" i="4"/>
  <c r="A65" i="4"/>
  <c r="H64" i="4"/>
  <c r="G64" i="4"/>
  <c r="F64" i="4"/>
  <c r="E64" i="4"/>
  <c r="D64" i="4"/>
  <c r="C64" i="4"/>
  <c r="B64" i="4"/>
  <c r="A64" i="4"/>
  <c r="H63" i="4"/>
  <c r="G63" i="4"/>
  <c r="F63" i="4"/>
  <c r="E63" i="4"/>
  <c r="D63" i="4"/>
  <c r="C63" i="4"/>
  <c r="B63" i="4"/>
  <c r="A63" i="4"/>
  <c r="H62" i="4"/>
  <c r="G62" i="4"/>
  <c r="F62" i="4"/>
  <c r="E62" i="4"/>
  <c r="D62" i="4"/>
  <c r="C62" i="4"/>
  <c r="B62" i="4"/>
  <c r="A62" i="4"/>
  <c r="H61" i="4"/>
  <c r="G61" i="4"/>
  <c r="F61" i="4"/>
  <c r="E61" i="4"/>
  <c r="D61" i="4"/>
  <c r="C61" i="4"/>
  <c r="B61" i="4"/>
  <c r="A61" i="4"/>
  <c r="H60" i="4"/>
  <c r="G60" i="4"/>
  <c r="F60" i="4"/>
  <c r="E60" i="4"/>
  <c r="D60" i="4"/>
  <c r="C60" i="4"/>
  <c r="B60" i="4"/>
  <c r="A60" i="4"/>
  <c r="H59" i="4"/>
  <c r="G59" i="4"/>
  <c r="F59" i="4"/>
  <c r="E59" i="4"/>
  <c r="D59" i="4"/>
  <c r="C59" i="4"/>
  <c r="B59" i="4"/>
  <c r="A59" i="4"/>
  <c r="H58" i="4"/>
  <c r="G58" i="4"/>
  <c r="F58" i="4"/>
  <c r="E58" i="4"/>
  <c r="D58" i="4"/>
  <c r="C58" i="4"/>
  <c r="B58" i="4"/>
  <c r="A58" i="4"/>
  <c r="H57" i="4"/>
  <c r="G57" i="4"/>
  <c r="F57" i="4"/>
  <c r="E57" i="4"/>
  <c r="D57" i="4"/>
  <c r="C57" i="4"/>
  <c r="B57" i="4"/>
  <c r="A57" i="4"/>
  <c r="H56" i="4"/>
  <c r="G56" i="4"/>
  <c r="F56" i="4"/>
  <c r="E56" i="4"/>
  <c r="D56" i="4"/>
  <c r="C56" i="4"/>
  <c r="B56" i="4"/>
  <c r="A56" i="4"/>
  <c r="H55" i="4"/>
  <c r="G55" i="4"/>
  <c r="F55" i="4"/>
  <c r="E55" i="4"/>
  <c r="D55" i="4"/>
  <c r="C55" i="4"/>
  <c r="B55" i="4"/>
  <c r="A55" i="4"/>
  <c r="H54" i="4"/>
  <c r="G54" i="4"/>
  <c r="F54" i="4"/>
  <c r="E54" i="4"/>
  <c r="D54" i="4"/>
  <c r="C54" i="4"/>
  <c r="B54" i="4"/>
  <c r="A54" i="4"/>
  <c r="H53" i="4"/>
  <c r="G53" i="4"/>
  <c r="F53" i="4"/>
  <c r="E53" i="4"/>
  <c r="D53" i="4"/>
  <c r="C53" i="4"/>
  <c r="B53" i="4"/>
  <c r="A53" i="4"/>
  <c r="H52" i="4"/>
  <c r="G52" i="4"/>
  <c r="F52" i="4"/>
  <c r="E52" i="4"/>
  <c r="D52" i="4"/>
  <c r="C52" i="4"/>
  <c r="B52" i="4"/>
  <c r="A52" i="4"/>
  <c r="H51" i="4"/>
  <c r="G51" i="4"/>
  <c r="F51" i="4"/>
  <c r="E51" i="4"/>
  <c r="D51" i="4"/>
  <c r="C51" i="4"/>
  <c r="B51" i="4"/>
  <c r="A51" i="4"/>
  <c r="H50" i="4"/>
  <c r="G50" i="4"/>
  <c r="F50" i="4"/>
  <c r="E50" i="4"/>
  <c r="D50" i="4"/>
  <c r="C50" i="4"/>
  <c r="B50" i="4"/>
  <c r="A50" i="4"/>
  <c r="H49" i="4"/>
  <c r="G49" i="4"/>
  <c r="F49" i="4"/>
  <c r="E49" i="4"/>
  <c r="D49" i="4"/>
  <c r="C49" i="4"/>
  <c r="B49" i="4"/>
  <c r="A49" i="4"/>
  <c r="H48" i="4"/>
  <c r="G48" i="4"/>
  <c r="F48" i="4"/>
  <c r="E48" i="4"/>
  <c r="D48" i="4"/>
  <c r="C48" i="4"/>
  <c r="B48" i="4"/>
  <c r="A48" i="4"/>
  <c r="H47" i="4"/>
  <c r="G47" i="4"/>
  <c r="F47" i="4"/>
  <c r="E47" i="4"/>
  <c r="D47" i="4"/>
  <c r="C47" i="4"/>
  <c r="B47" i="4"/>
  <c r="A47" i="4"/>
  <c r="H46" i="4"/>
  <c r="G46" i="4"/>
  <c r="F46" i="4"/>
  <c r="E46" i="4"/>
  <c r="D46" i="4"/>
  <c r="C46" i="4"/>
  <c r="B46" i="4"/>
  <c r="A46" i="4"/>
  <c r="H45" i="4"/>
  <c r="G45" i="4"/>
  <c r="F45" i="4"/>
  <c r="E45" i="4"/>
  <c r="D45" i="4"/>
  <c r="C45" i="4"/>
  <c r="B45" i="4"/>
  <c r="A45" i="4"/>
  <c r="H44" i="4"/>
  <c r="G44" i="4"/>
  <c r="F44" i="4"/>
  <c r="E44" i="4"/>
  <c r="D44" i="4"/>
  <c r="C44" i="4"/>
  <c r="B44" i="4"/>
  <c r="A44" i="4"/>
  <c r="H43" i="4"/>
  <c r="G43" i="4"/>
  <c r="F43" i="4"/>
  <c r="E43" i="4"/>
  <c r="D43" i="4"/>
  <c r="C43" i="4"/>
  <c r="B43" i="4"/>
  <c r="A43" i="4"/>
  <c r="H42" i="4"/>
  <c r="G42" i="4"/>
  <c r="F42" i="4"/>
  <c r="E42" i="4"/>
  <c r="D42" i="4"/>
  <c r="C42" i="4"/>
  <c r="B42" i="4"/>
  <c r="A42" i="4"/>
  <c r="H41" i="4"/>
  <c r="G41" i="4"/>
  <c r="F41" i="4"/>
  <c r="E41" i="4"/>
  <c r="D41" i="4"/>
  <c r="C41" i="4"/>
  <c r="B41" i="4"/>
  <c r="A41" i="4"/>
  <c r="H40" i="4"/>
  <c r="G40" i="4"/>
  <c r="F40" i="4"/>
  <c r="E40" i="4"/>
  <c r="D40" i="4"/>
  <c r="C40" i="4"/>
  <c r="B40" i="4"/>
  <c r="A40" i="4"/>
  <c r="H39" i="4"/>
  <c r="G39" i="4"/>
  <c r="F39" i="4"/>
  <c r="E39" i="4"/>
  <c r="D39" i="4"/>
  <c r="C39" i="4"/>
  <c r="B39" i="4"/>
  <c r="A39" i="4"/>
  <c r="H38" i="4"/>
  <c r="G38" i="4"/>
  <c r="F38" i="4"/>
  <c r="E38" i="4"/>
  <c r="D38" i="4"/>
  <c r="C38" i="4"/>
  <c r="B38" i="4"/>
  <c r="A38" i="4"/>
  <c r="H37" i="4"/>
  <c r="G37" i="4"/>
  <c r="F37" i="4"/>
  <c r="E37" i="4"/>
  <c r="D37" i="4"/>
  <c r="C37" i="4"/>
  <c r="B37" i="4"/>
  <c r="A37" i="4"/>
  <c r="H36" i="4"/>
  <c r="G36" i="4"/>
  <c r="F36" i="4"/>
  <c r="E36" i="4"/>
  <c r="D36" i="4"/>
  <c r="C36" i="4"/>
  <c r="B36" i="4"/>
  <c r="A36" i="4"/>
  <c r="H35" i="4"/>
  <c r="G35" i="4"/>
  <c r="F35" i="4"/>
  <c r="E35" i="4"/>
  <c r="D35" i="4"/>
  <c r="C35" i="4"/>
  <c r="B35" i="4"/>
  <c r="A35" i="4"/>
  <c r="H34" i="4"/>
  <c r="G34" i="4"/>
  <c r="F34" i="4"/>
  <c r="E34" i="4"/>
  <c r="D34" i="4"/>
  <c r="C34" i="4"/>
  <c r="B34" i="4"/>
  <c r="A34" i="4"/>
  <c r="H33" i="4"/>
  <c r="G33" i="4"/>
  <c r="F33" i="4"/>
  <c r="E33" i="4"/>
  <c r="D33" i="4"/>
  <c r="C33" i="4"/>
  <c r="B33" i="4"/>
  <c r="A33" i="4"/>
  <c r="H32" i="4"/>
  <c r="G32" i="4"/>
  <c r="F32" i="4"/>
  <c r="E32" i="4"/>
  <c r="D32" i="4"/>
  <c r="C32" i="4"/>
  <c r="B32" i="4"/>
  <c r="A32" i="4"/>
  <c r="H31" i="4"/>
  <c r="G31" i="4"/>
  <c r="F31" i="4"/>
  <c r="E31" i="4"/>
  <c r="D31" i="4"/>
  <c r="C31" i="4"/>
  <c r="B31" i="4"/>
  <c r="A31" i="4"/>
  <c r="H30" i="4"/>
  <c r="G30" i="4"/>
  <c r="F30" i="4"/>
  <c r="E30" i="4"/>
  <c r="D30" i="4"/>
  <c r="C30" i="4"/>
  <c r="B30" i="4"/>
  <c r="A30" i="4"/>
  <c r="H29" i="4"/>
  <c r="G29" i="4"/>
  <c r="F29" i="4"/>
  <c r="E29" i="4"/>
  <c r="D29" i="4"/>
  <c r="C29" i="4"/>
  <c r="B29" i="4"/>
  <c r="A29" i="4"/>
  <c r="H28" i="4"/>
  <c r="G28" i="4"/>
  <c r="F28" i="4"/>
  <c r="E28" i="4"/>
  <c r="D28" i="4"/>
  <c r="C28" i="4"/>
  <c r="B28" i="4"/>
  <c r="A28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26" i="4"/>
  <c r="A26" i="4"/>
  <c r="H25" i="4"/>
  <c r="G25" i="4"/>
  <c r="F25" i="4"/>
  <c r="E25" i="4"/>
  <c r="D25" i="4"/>
  <c r="C25" i="4"/>
  <c r="B25" i="4"/>
  <c r="A25" i="4"/>
  <c r="H24" i="4"/>
  <c r="G24" i="4"/>
  <c r="F24" i="4"/>
  <c r="E24" i="4"/>
  <c r="D24" i="4"/>
  <c r="C24" i="4"/>
  <c r="B24" i="4"/>
  <c r="A24" i="4"/>
  <c r="H23" i="4"/>
  <c r="G23" i="4"/>
  <c r="F23" i="4"/>
  <c r="E23" i="4"/>
  <c r="D23" i="4"/>
  <c r="C23" i="4"/>
  <c r="B23" i="4"/>
  <c r="A23" i="4"/>
  <c r="H22" i="4"/>
  <c r="G22" i="4"/>
  <c r="F22" i="4"/>
  <c r="E22" i="4"/>
  <c r="D22" i="4"/>
  <c r="C22" i="4"/>
  <c r="B22" i="4"/>
  <c r="A22" i="4"/>
  <c r="H21" i="4"/>
  <c r="G21" i="4"/>
  <c r="F21" i="4"/>
  <c r="E21" i="4"/>
  <c r="D21" i="4"/>
  <c r="C21" i="4"/>
  <c r="B21" i="4"/>
  <c r="A21" i="4"/>
  <c r="H20" i="4"/>
  <c r="G20" i="4"/>
  <c r="F20" i="4"/>
  <c r="E20" i="4"/>
  <c r="D20" i="4"/>
  <c r="C20" i="4"/>
  <c r="B20" i="4"/>
  <c r="A20" i="4"/>
  <c r="H19" i="4"/>
  <c r="G19" i="4"/>
  <c r="F19" i="4"/>
  <c r="E19" i="4"/>
  <c r="D19" i="4"/>
  <c r="C19" i="4"/>
  <c r="B19" i="4"/>
  <c r="A19" i="4"/>
  <c r="H18" i="4"/>
  <c r="G18" i="4"/>
  <c r="F18" i="4"/>
  <c r="E18" i="4"/>
  <c r="D18" i="4"/>
  <c r="C18" i="4"/>
  <c r="B18" i="4"/>
  <c r="A18" i="4"/>
  <c r="H17" i="4"/>
  <c r="G17" i="4"/>
  <c r="F17" i="4"/>
  <c r="E17" i="4"/>
  <c r="D17" i="4"/>
  <c r="C17" i="4"/>
  <c r="B17" i="4"/>
  <c r="A17" i="4"/>
  <c r="H16" i="4"/>
  <c r="G16" i="4"/>
  <c r="F16" i="4"/>
  <c r="E16" i="4"/>
  <c r="D16" i="4"/>
  <c r="C16" i="4"/>
  <c r="B16" i="4"/>
  <c r="A16" i="4"/>
  <c r="H15" i="4"/>
  <c r="G15" i="4"/>
  <c r="F15" i="4"/>
  <c r="E15" i="4"/>
  <c r="D15" i="4"/>
  <c r="C15" i="4"/>
  <c r="B15" i="4"/>
  <c r="A15" i="4"/>
  <c r="H14" i="4"/>
  <c r="G14" i="4"/>
  <c r="F14" i="4"/>
  <c r="E14" i="4"/>
  <c r="D14" i="4"/>
  <c r="C14" i="4"/>
  <c r="B14" i="4"/>
  <c r="A14" i="4"/>
  <c r="H13" i="4"/>
  <c r="G13" i="4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C10" i="4"/>
  <c r="B10" i="4"/>
  <c r="A10" i="4"/>
  <c r="D9" i="4"/>
  <c r="H9" i="4"/>
  <c r="G9" i="4"/>
  <c r="F9" i="4"/>
  <c r="E9" i="4"/>
  <c r="A9" i="4"/>
  <c r="C9" i="4"/>
  <c r="B9" i="4"/>
  <c r="I9" i="4" l="1"/>
  <c r="J9" i="4" s="1"/>
  <c r="I10" i="4"/>
  <c r="J10" i="4" s="1"/>
  <c r="I55" i="4"/>
  <c r="J55" i="4" s="1"/>
  <c r="G148" i="4"/>
  <c r="I11" i="4"/>
  <c r="J11" i="4" s="1"/>
  <c r="D148" i="4"/>
  <c r="I12" i="4"/>
  <c r="J12" i="4" s="1"/>
  <c r="I13" i="4"/>
  <c r="J13" i="4" s="1"/>
  <c r="F148" i="4"/>
  <c r="I14" i="4"/>
  <c r="J14" i="4" s="1"/>
  <c r="H148" i="4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J48" i="4" s="1"/>
  <c r="I49" i="4"/>
  <c r="J49" i="4" s="1"/>
  <c r="I50" i="4"/>
  <c r="J50" i="4" s="1"/>
  <c r="I51" i="4"/>
  <c r="J51" i="4" s="1"/>
  <c r="I52" i="4"/>
  <c r="J52" i="4" s="1"/>
  <c r="I53" i="4"/>
  <c r="J53" i="4" s="1"/>
  <c r="I54" i="4"/>
  <c r="J54" i="4" s="1"/>
  <c r="I56" i="4"/>
  <c r="J56" i="4" s="1"/>
  <c r="I57" i="4"/>
  <c r="J57" i="4" s="1"/>
  <c r="I58" i="4"/>
  <c r="J58" i="4" s="1"/>
  <c r="I59" i="4"/>
  <c r="J59" i="4" s="1"/>
  <c r="I60" i="4"/>
  <c r="J60" i="4" s="1"/>
  <c r="I61" i="4"/>
  <c r="J61" i="4" s="1"/>
  <c r="I62" i="4"/>
  <c r="J62" i="4" s="1"/>
  <c r="I63" i="4"/>
  <c r="J63" i="4" s="1"/>
  <c r="I64" i="4"/>
  <c r="J64" i="4" s="1"/>
  <c r="I65" i="4"/>
  <c r="J65" i="4" s="1"/>
  <c r="I66" i="4"/>
  <c r="J66" i="4" s="1"/>
  <c r="I67" i="4"/>
  <c r="J67" i="4" s="1"/>
  <c r="I68" i="4"/>
  <c r="J68" i="4" s="1"/>
  <c r="I69" i="4"/>
  <c r="J69" i="4" s="1"/>
  <c r="I70" i="4"/>
  <c r="J70" i="4" s="1"/>
  <c r="I71" i="4"/>
  <c r="J71" i="4" s="1"/>
  <c r="I72" i="4"/>
  <c r="J72" i="4" s="1"/>
  <c r="I73" i="4"/>
  <c r="J73" i="4" s="1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J83" i="4" s="1"/>
  <c r="I84" i="4"/>
  <c r="J84" i="4" s="1"/>
  <c r="I85" i="4"/>
  <c r="J85" i="4" s="1"/>
  <c r="I86" i="4"/>
  <c r="J86" i="4" s="1"/>
  <c r="I87" i="4"/>
  <c r="J87" i="4" s="1"/>
  <c r="I88" i="4"/>
  <c r="J88" i="4" s="1"/>
  <c r="I89" i="4"/>
  <c r="J89" i="4" s="1"/>
  <c r="I90" i="4"/>
  <c r="J90" i="4" s="1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 s="1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J103" i="4" s="1"/>
  <c r="I104" i="4"/>
  <c r="J104" i="4" s="1"/>
  <c r="I105" i="4"/>
  <c r="J105" i="4" s="1"/>
  <c r="I106" i="4"/>
  <c r="J106" i="4" s="1"/>
  <c r="I107" i="4"/>
  <c r="J107" i="4" s="1"/>
  <c r="I108" i="4"/>
  <c r="J108" i="4" s="1"/>
  <c r="I109" i="4"/>
  <c r="J109" i="4" s="1"/>
  <c r="I110" i="4"/>
  <c r="J110" i="4" s="1"/>
  <c r="I111" i="4"/>
  <c r="J111" i="4" s="1"/>
  <c r="I112" i="4"/>
  <c r="J112" i="4" s="1"/>
  <c r="I113" i="4"/>
  <c r="J113" i="4" s="1"/>
  <c r="I114" i="4"/>
  <c r="J114" i="4" s="1"/>
  <c r="I115" i="4"/>
  <c r="J115" i="4" s="1"/>
  <c r="I116" i="4"/>
  <c r="J116" i="4" s="1"/>
  <c r="I117" i="4"/>
  <c r="J117" i="4" s="1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J123" i="4" s="1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 s="1"/>
  <c r="I130" i="4"/>
  <c r="J130" i="4" s="1"/>
  <c r="I131" i="4"/>
  <c r="J131" i="4" s="1"/>
  <c r="I132" i="4"/>
  <c r="J132" i="4" s="1"/>
  <c r="I133" i="4"/>
  <c r="J133" i="4" s="1"/>
  <c r="I134" i="4"/>
  <c r="J134" i="4" s="1"/>
  <c r="I135" i="4"/>
  <c r="J135" i="4" s="1"/>
  <c r="I136" i="4"/>
  <c r="J136" i="4" s="1"/>
  <c r="I137" i="4"/>
  <c r="J137" i="4" s="1"/>
  <c r="I138" i="4"/>
  <c r="J138" i="4" s="1"/>
  <c r="I139" i="4"/>
  <c r="J139" i="4" s="1"/>
  <c r="I140" i="4"/>
  <c r="J140" i="4" s="1"/>
  <c r="I141" i="4"/>
  <c r="J141" i="4" s="1"/>
  <c r="I142" i="4"/>
  <c r="J142" i="4" s="1"/>
  <c r="I143" i="4"/>
  <c r="J143" i="4" s="1"/>
  <c r="I144" i="4"/>
  <c r="J144" i="4" s="1"/>
  <c r="I145" i="4"/>
  <c r="J145" i="4" s="1"/>
  <c r="I146" i="4"/>
  <c r="J146" i="4" s="1"/>
  <c r="I147" i="4"/>
  <c r="J147" i="4" s="1"/>
  <c r="E148" i="6"/>
  <c r="H148" i="6"/>
  <c r="G148" i="6"/>
  <c r="F148" i="6"/>
  <c r="I9" i="6"/>
  <c r="J9" i="6" s="1"/>
  <c r="E148" i="4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5" i="2"/>
  <c r="I5" i="2"/>
  <c r="L6" i="3"/>
  <c r="M6" i="3"/>
  <c r="L7" i="3"/>
  <c r="M7" i="3"/>
  <c r="L8" i="3"/>
  <c r="M8" i="3"/>
  <c r="L9" i="3"/>
  <c r="M9" i="3"/>
  <c r="L10" i="3"/>
  <c r="M10" i="3"/>
  <c r="L11" i="3"/>
  <c r="M11" i="3"/>
  <c r="L12" i="3"/>
  <c r="M12" i="3"/>
  <c r="L13" i="3"/>
  <c r="M13" i="3"/>
  <c r="L14" i="3"/>
  <c r="M14" i="3"/>
  <c r="L15" i="3"/>
  <c r="M15" i="3"/>
  <c r="L16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29" i="3"/>
  <c r="M29" i="3"/>
  <c r="L30" i="3"/>
  <c r="M30" i="3"/>
  <c r="L31" i="3"/>
  <c r="M31" i="3"/>
  <c r="L32" i="3"/>
  <c r="M32" i="3"/>
  <c r="L33" i="3"/>
  <c r="M33" i="3"/>
  <c r="L34" i="3"/>
  <c r="M34" i="3"/>
  <c r="L35" i="3"/>
  <c r="M35" i="3"/>
  <c r="L36" i="3"/>
  <c r="M36" i="3"/>
  <c r="L37" i="3"/>
  <c r="M37" i="3"/>
  <c r="L38" i="3"/>
  <c r="M38" i="3"/>
  <c r="L39" i="3"/>
  <c r="M39" i="3"/>
  <c r="L40" i="3"/>
  <c r="M40" i="3"/>
  <c r="L41" i="3"/>
  <c r="M41" i="3"/>
  <c r="L42" i="3"/>
  <c r="M42" i="3"/>
  <c r="L43" i="3"/>
  <c r="M43" i="3"/>
  <c r="L44" i="3"/>
  <c r="M44" i="3"/>
  <c r="L45" i="3"/>
  <c r="M45" i="3"/>
  <c r="L46" i="3"/>
  <c r="M46" i="3"/>
  <c r="L47" i="3"/>
  <c r="M47" i="3"/>
  <c r="L48" i="3"/>
  <c r="M48" i="3"/>
  <c r="L49" i="3"/>
  <c r="M49" i="3"/>
  <c r="L50" i="3"/>
  <c r="M50" i="3"/>
  <c r="L51" i="3"/>
  <c r="M51" i="3"/>
  <c r="L52" i="3"/>
  <c r="M52" i="3"/>
  <c r="L53" i="3"/>
  <c r="M53" i="3"/>
  <c r="L54" i="3"/>
  <c r="M54" i="3"/>
  <c r="L55" i="3"/>
  <c r="M55" i="3"/>
  <c r="L56" i="3"/>
  <c r="M56" i="3"/>
  <c r="L57" i="3"/>
  <c r="M57" i="3"/>
  <c r="L58" i="3"/>
  <c r="M58" i="3"/>
  <c r="L59" i="3"/>
  <c r="M59" i="3"/>
  <c r="L60" i="3"/>
  <c r="M60" i="3"/>
  <c r="L61" i="3"/>
  <c r="M61" i="3"/>
  <c r="L62" i="3"/>
  <c r="M62" i="3"/>
  <c r="L63" i="3"/>
  <c r="M63" i="3"/>
  <c r="L64" i="3"/>
  <c r="M64" i="3"/>
  <c r="L65" i="3"/>
  <c r="M65" i="3"/>
  <c r="L66" i="3"/>
  <c r="M66" i="3"/>
  <c r="L67" i="3"/>
  <c r="M67" i="3"/>
  <c r="L68" i="3"/>
  <c r="M68" i="3"/>
  <c r="L69" i="3"/>
  <c r="M69" i="3"/>
  <c r="L70" i="3"/>
  <c r="M70" i="3"/>
  <c r="L71" i="3"/>
  <c r="M71" i="3"/>
  <c r="L72" i="3"/>
  <c r="M72" i="3"/>
  <c r="L73" i="3"/>
  <c r="M73" i="3"/>
  <c r="L74" i="3"/>
  <c r="M74" i="3"/>
  <c r="L75" i="3"/>
  <c r="M75" i="3"/>
  <c r="L76" i="3"/>
  <c r="M76" i="3"/>
  <c r="L77" i="3"/>
  <c r="M77" i="3"/>
  <c r="L78" i="3"/>
  <c r="M78" i="3"/>
  <c r="L79" i="3"/>
  <c r="M79" i="3"/>
  <c r="L80" i="3"/>
  <c r="M80" i="3"/>
  <c r="L81" i="3"/>
  <c r="M81" i="3"/>
  <c r="L82" i="3"/>
  <c r="M82" i="3"/>
  <c r="L83" i="3"/>
  <c r="M83" i="3"/>
  <c r="L84" i="3"/>
  <c r="M84" i="3"/>
  <c r="L85" i="3"/>
  <c r="M85" i="3"/>
  <c r="L86" i="3"/>
  <c r="M86" i="3"/>
  <c r="L87" i="3"/>
  <c r="M87" i="3"/>
  <c r="L88" i="3"/>
  <c r="M88" i="3"/>
  <c r="L89" i="3"/>
  <c r="M89" i="3"/>
  <c r="L90" i="3"/>
  <c r="M90" i="3"/>
  <c r="L91" i="3"/>
  <c r="M91" i="3"/>
  <c r="L92" i="3"/>
  <c r="M92" i="3"/>
  <c r="L93" i="3"/>
  <c r="M93" i="3"/>
  <c r="L94" i="3"/>
  <c r="M94" i="3"/>
  <c r="L95" i="3"/>
  <c r="M95" i="3"/>
  <c r="L96" i="3"/>
  <c r="M96" i="3"/>
  <c r="L97" i="3"/>
  <c r="M97" i="3"/>
  <c r="L98" i="3"/>
  <c r="M98" i="3"/>
  <c r="L99" i="3"/>
  <c r="M99" i="3"/>
  <c r="L100" i="3"/>
  <c r="M100" i="3"/>
  <c r="L101" i="3"/>
  <c r="M101" i="3"/>
  <c r="L102" i="3"/>
  <c r="M102" i="3"/>
  <c r="L103" i="3"/>
  <c r="M103" i="3"/>
  <c r="L104" i="3"/>
  <c r="M104" i="3"/>
  <c r="L105" i="3"/>
  <c r="M105" i="3"/>
  <c r="L106" i="3"/>
  <c r="M106" i="3"/>
  <c r="L107" i="3"/>
  <c r="M107" i="3"/>
  <c r="L108" i="3"/>
  <c r="M108" i="3"/>
  <c r="L109" i="3"/>
  <c r="M109" i="3"/>
  <c r="L110" i="3"/>
  <c r="M110" i="3"/>
  <c r="L111" i="3"/>
  <c r="M111" i="3"/>
  <c r="L112" i="3"/>
  <c r="M112" i="3"/>
  <c r="L113" i="3"/>
  <c r="M113" i="3"/>
  <c r="L114" i="3"/>
  <c r="M114" i="3"/>
  <c r="L115" i="3"/>
  <c r="M115" i="3"/>
  <c r="L116" i="3"/>
  <c r="M116" i="3"/>
  <c r="L117" i="3"/>
  <c r="M117" i="3"/>
  <c r="L118" i="3"/>
  <c r="M118" i="3"/>
  <c r="L119" i="3"/>
  <c r="M119" i="3"/>
  <c r="L120" i="3"/>
  <c r="M120" i="3"/>
  <c r="L121" i="3"/>
  <c r="M121" i="3"/>
  <c r="L122" i="3"/>
  <c r="M122" i="3"/>
  <c r="L123" i="3"/>
  <c r="M123" i="3"/>
  <c r="L124" i="3"/>
  <c r="M124" i="3"/>
  <c r="L125" i="3"/>
  <c r="M125" i="3"/>
  <c r="L126" i="3"/>
  <c r="M126" i="3"/>
  <c r="L127" i="3"/>
  <c r="M127" i="3"/>
  <c r="L128" i="3"/>
  <c r="M128" i="3"/>
  <c r="L129" i="3"/>
  <c r="M129" i="3"/>
  <c r="L130" i="3"/>
  <c r="M130" i="3"/>
  <c r="L131" i="3"/>
  <c r="M131" i="3"/>
  <c r="L132" i="3"/>
  <c r="M132" i="3"/>
  <c r="L133" i="3"/>
  <c r="M133" i="3"/>
  <c r="L134" i="3"/>
  <c r="M134" i="3"/>
  <c r="L135" i="3"/>
  <c r="M135" i="3"/>
  <c r="L136" i="3"/>
  <c r="M136" i="3"/>
  <c r="L137" i="3"/>
  <c r="M137" i="3"/>
  <c r="L138" i="3"/>
  <c r="M138" i="3"/>
  <c r="L139" i="3"/>
  <c r="M139" i="3"/>
  <c r="L140" i="3"/>
  <c r="M140" i="3"/>
  <c r="L141" i="3"/>
  <c r="M141" i="3"/>
  <c r="L142" i="3"/>
  <c r="M142" i="3"/>
  <c r="L143" i="3"/>
  <c r="M143" i="3"/>
  <c r="M5" i="3"/>
  <c r="L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5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50" i="2"/>
  <c r="H51" i="2"/>
  <c r="H53" i="2"/>
  <c r="H54" i="2"/>
  <c r="H55" i="2"/>
  <c r="H59" i="2"/>
  <c r="H61" i="2"/>
  <c r="H67" i="2"/>
  <c r="H68" i="2"/>
  <c r="H69" i="2"/>
  <c r="H70" i="2"/>
  <c r="H71" i="2"/>
  <c r="H74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20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7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5" i="2"/>
  <c r="G6" i="2"/>
  <c r="J6" i="2" s="1"/>
  <c r="G7" i="2"/>
  <c r="J7" i="2" s="1"/>
  <c r="G8" i="2"/>
  <c r="J8" i="2" s="1"/>
  <c r="G9" i="2"/>
  <c r="J9" i="2" s="1"/>
  <c r="G10" i="2"/>
  <c r="J10" i="2" s="1"/>
  <c r="G11" i="2"/>
  <c r="J11" i="2" s="1"/>
  <c r="G12" i="2"/>
  <c r="J12" i="2" s="1"/>
  <c r="G13" i="2"/>
  <c r="J13" i="2" s="1"/>
  <c r="G14" i="2"/>
  <c r="J14" i="2" s="1"/>
  <c r="G15" i="2"/>
  <c r="J15" i="2" s="1"/>
  <c r="G16" i="2"/>
  <c r="J16" i="2" s="1"/>
  <c r="G17" i="2"/>
  <c r="J17" i="2" s="1"/>
  <c r="G18" i="2"/>
  <c r="J18" i="2" s="1"/>
  <c r="G19" i="2"/>
  <c r="J19" i="2" s="1"/>
  <c r="G20" i="2"/>
  <c r="J20" i="2" s="1"/>
  <c r="G21" i="2"/>
  <c r="J21" i="2" s="1"/>
  <c r="G22" i="2"/>
  <c r="J22" i="2" s="1"/>
  <c r="G23" i="2"/>
  <c r="J23" i="2" s="1"/>
  <c r="G24" i="2"/>
  <c r="J24" i="2" s="1"/>
  <c r="G25" i="2"/>
  <c r="J25" i="2" s="1"/>
  <c r="G26" i="2"/>
  <c r="J26" i="2" s="1"/>
  <c r="G30" i="2"/>
  <c r="J30" i="2" s="1"/>
  <c r="G31" i="2"/>
  <c r="J31" i="2" s="1"/>
  <c r="G32" i="2"/>
  <c r="J32" i="2" s="1"/>
  <c r="G33" i="2"/>
  <c r="J33" i="2" s="1"/>
  <c r="G34" i="2"/>
  <c r="J34" i="2" s="1"/>
  <c r="G35" i="2"/>
  <c r="J35" i="2" s="1"/>
  <c r="G36" i="2"/>
  <c r="J36" i="2" s="1"/>
  <c r="G37" i="2"/>
  <c r="J37" i="2" s="1"/>
  <c r="G38" i="2"/>
  <c r="J38" i="2" s="1"/>
  <c r="G39" i="2"/>
  <c r="J39" i="2" s="1"/>
  <c r="G40" i="2"/>
  <c r="J40" i="2" s="1"/>
  <c r="G41" i="2"/>
  <c r="J41" i="2" s="1"/>
  <c r="G42" i="2"/>
  <c r="J42" i="2" s="1"/>
  <c r="G43" i="2"/>
  <c r="J43" i="2" s="1"/>
  <c r="G44" i="2"/>
  <c r="J44" i="2" s="1"/>
  <c r="G45" i="2"/>
  <c r="J45" i="2" s="1"/>
  <c r="G46" i="2"/>
  <c r="J46" i="2" s="1"/>
  <c r="G47" i="2"/>
  <c r="J47" i="2" s="1"/>
  <c r="G48" i="2"/>
  <c r="J48" i="2" s="1"/>
  <c r="G49" i="2"/>
  <c r="G51" i="2"/>
  <c r="J51" i="2" s="1"/>
  <c r="G52" i="2"/>
  <c r="G53" i="2"/>
  <c r="J53" i="2" s="1"/>
  <c r="G54" i="2"/>
  <c r="J54" i="2" s="1"/>
  <c r="G55" i="2"/>
  <c r="J55" i="2" s="1"/>
  <c r="G56" i="2"/>
  <c r="G57" i="2"/>
  <c r="G59" i="2"/>
  <c r="J59" i="2" s="1"/>
  <c r="G61" i="2"/>
  <c r="J61" i="2" s="1"/>
  <c r="G62" i="2"/>
  <c r="G63" i="2"/>
  <c r="G64" i="2"/>
  <c r="G65" i="2"/>
  <c r="G66" i="2"/>
  <c r="G67" i="2"/>
  <c r="J67" i="2" s="1"/>
  <c r="G68" i="2"/>
  <c r="J68" i="2" s="1"/>
  <c r="G69" i="2"/>
  <c r="J69" i="2" s="1"/>
  <c r="G70" i="2"/>
  <c r="J70" i="2" s="1"/>
  <c r="G71" i="2"/>
  <c r="J71" i="2" s="1"/>
  <c r="G72" i="2"/>
  <c r="G73" i="2"/>
  <c r="G74" i="2"/>
  <c r="J74" i="2" s="1"/>
  <c r="G75" i="2"/>
  <c r="G76" i="2"/>
  <c r="J76" i="2" s="1"/>
  <c r="G77" i="2"/>
  <c r="J77" i="2" s="1"/>
  <c r="G78" i="2"/>
  <c r="J78" i="2" s="1"/>
  <c r="G79" i="2"/>
  <c r="J79" i="2" s="1"/>
  <c r="G80" i="2"/>
  <c r="J80" i="2" s="1"/>
  <c r="G81" i="2"/>
  <c r="J81" i="2" s="1"/>
  <c r="G82" i="2"/>
  <c r="J82" i="2" s="1"/>
  <c r="G83" i="2"/>
  <c r="J83" i="2" s="1"/>
  <c r="G84" i="2"/>
  <c r="J84" i="2" s="1"/>
  <c r="G85" i="2"/>
  <c r="J85" i="2" s="1"/>
  <c r="G86" i="2"/>
  <c r="J86" i="2" s="1"/>
  <c r="G87" i="2"/>
  <c r="J87" i="2" s="1"/>
  <c r="G88" i="2"/>
  <c r="J88" i="2" s="1"/>
  <c r="G89" i="2"/>
  <c r="J89" i="2" s="1"/>
  <c r="G90" i="2"/>
  <c r="J90" i="2" s="1"/>
  <c r="G91" i="2"/>
  <c r="J91" i="2" s="1"/>
  <c r="G92" i="2"/>
  <c r="J92" i="2" s="1"/>
  <c r="G93" i="2"/>
  <c r="J93" i="2" s="1"/>
  <c r="G94" i="2"/>
  <c r="J94" i="2" s="1"/>
  <c r="G95" i="2"/>
  <c r="G96" i="2"/>
  <c r="G97" i="2"/>
  <c r="J97" i="2" s="1"/>
  <c r="G98" i="2"/>
  <c r="J98" i="2" s="1"/>
  <c r="G99" i="2"/>
  <c r="J99" i="2" s="1"/>
  <c r="G100" i="2"/>
  <c r="J100" i="2" s="1"/>
  <c r="G101" i="2"/>
  <c r="J101" i="2" s="1"/>
  <c r="G102" i="2"/>
  <c r="G103" i="2"/>
  <c r="G104" i="2"/>
  <c r="G105" i="2"/>
  <c r="G106" i="2"/>
  <c r="G107" i="2"/>
  <c r="J107" i="2" s="1"/>
  <c r="G108" i="2"/>
  <c r="J108" i="2" s="1"/>
  <c r="G109" i="2"/>
  <c r="J109" i="2" s="1"/>
  <c r="G112" i="2"/>
  <c r="J112" i="2" s="1"/>
  <c r="G113" i="2"/>
  <c r="J113" i="2" s="1"/>
  <c r="G114" i="2"/>
  <c r="J114" i="2" s="1"/>
  <c r="G115" i="2"/>
  <c r="J115" i="2" s="1"/>
  <c r="G116" i="2"/>
  <c r="J116" i="2" s="1"/>
  <c r="G117" i="2"/>
  <c r="J117" i="2" s="1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J188" i="2" s="1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J204" i="2" s="1"/>
  <c r="G205" i="2"/>
  <c r="J205" i="2" s="1"/>
  <c r="G206" i="2"/>
  <c r="J206" i="2" s="1"/>
  <c r="G207" i="2"/>
  <c r="J207" i="2" s="1"/>
  <c r="G208" i="2"/>
  <c r="J208" i="2" s="1"/>
  <c r="G210" i="2"/>
  <c r="J210" i="2" s="1"/>
  <c r="G212" i="2"/>
  <c r="J212" i="2" s="1"/>
  <c r="G213" i="2"/>
  <c r="J213" i="2" s="1"/>
  <c r="G214" i="2"/>
  <c r="J214" i="2" s="1"/>
  <c r="G215" i="2"/>
  <c r="J215" i="2" s="1"/>
  <c r="G216" i="2"/>
  <c r="J216" i="2" s="1"/>
  <c r="G217" i="2"/>
  <c r="J217" i="2" s="1"/>
  <c r="G218" i="2"/>
  <c r="J218" i="2" s="1"/>
  <c r="G219" i="2"/>
  <c r="J219" i="2" s="1"/>
  <c r="G220" i="2"/>
  <c r="J220" i="2" s="1"/>
  <c r="G221" i="2"/>
  <c r="J221" i="2" s="1"/>
  <c r="G222" i="2"/>
  <c r="J222" i="2" s="1"/>
  <c r="G223" i="2"/>
  <c r="J223" i="2" s="1"/>
  <c r="G224" i="2"/>
  <c r="J224" i="2" s="1"/>
  <c r="G225" i="2"/>
  <c r="J225" i="2" s="1"/>
  <c r="G226" i="2"/>
  <c r="J226" i="2" s="1"/>
  <c r="G228" i="2"/>
  <c r="J228" i="2" s="1"/>
  <c r="G229" i="2"/>
  <c r="J229" i="2" s="1"/>
  <c r="G230" i="2"/>
  <c r="J230" i="2" s="1"/>
  <c r="G231" i="2"/>
  <c r="J231" i="2" s="1"/>
  <c r="G234" i="2"/>
  <c r="J234" i="2" s="1"/>
  <c r="G236" i="2"/>
  <c r="J236" i="2" s="1"/>
  <c r="G237" i="2"/>
  <c r="J237" i="2" s="1"/>
  <c r="G238" i="2"/>
  <c r="J238" i="2" s="1"/>
  <c r="G239" i="2"/>
  <c r="J239" i="2" s="1"/>
  <c r="G240" i="2"/>
  <c r="J240" i="2" s="1"/>
  <c r="G241" i="2"/>
  <c r="J241" i="2" s="1"/>
  <c r="G242" i="2"/>
  <c r="J242" i="2" s="1"/>
  <c r="G243" i="2"/>
  <c r="J243" i="2" s="1"/>
  <c r="G244" i="2"/>
  <c r="J244" i="2" s="1"/>
  <c r="G245" i="2"/>
  <c r="J245" i="2" s="1"/>
  <c r="G246" i="2"/>
  <c r="J246" i="2" s="1"/>
  <c r="G247" i="2"/>
  <c r="J247" i="2" s="1"/>
  <c r="G248" i="2"/>
  <c r="J248" i="2" s="1"/>
  <c r="G249" i="2"/>
  <c r="J249" i="2" s="1"/>
  <c r="G250" i="2"/>
  <c r="J250" i="2" s="1"/>
  <c r="G251" i="2"/>
  <c r="J251" i="2" s="1"/>
  <c r="G252" i="2"/>
  <c r="J252" i="2" s="1"/>
  <c r="G253" i="2"/>
  <c r="J253" i="2" s="1"/>
  <c r="G254" i="2"/>
  <c r="G255" i="2"/>
  <c r="J255" i="2" s="1"/>
  <c r="G256" i="2"/>
  <c r="J256" i="2" s="1"/>
  <c r="G257" i="2"/>
  <c r="J257" i="2" s="1"/>
  <c r="G258" i="2"/>
  <c r="G259" i="2"/>
  <c r="G260" i="2"/>
  <c r="G261" i="2"/>
  <c r="G262" i="2"/>
  <c r="G263" i="2"/>
  <c r="G5" i="2"/>
  <c r="J5" i="2" s="1"/>
  <c r="J263" i="2" l="1"/>
  <c r="J262" i="2"/>
  <c r="J261" i="2"/>
  <c r="J260" i="2"/>
  <c r="J259" i="2"/>
  <c r="J258" i="2"/>
  <c r="J254" i="2"/>
  <c r="J203" i="2"/>
  <c r="J202" i="2"/>
  <c r="J201" i="2"/>
  <c r="J200" i="2"/>
  <c r="J199" i="2"/>
  <c r="J197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0" i="2"/>
  <c r="J106" i="2"/>
  <c r="J105" i="2"/>
  <c r="J104" i="2"/>
  <c r="J103" i="2"/>
  <c r="J102" i="2"/>
  <c r="J96" i="2"/>
  <c r="J95" i="2"/>
  <c r="I148" i="6"/>
  <c r="I148" i="4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5" i="3"/>
  <c r="S6" i="3"/>
  <c r="R6" i="3"/>
  <c r="H50" i="3" l="1"/>
  <c r="H49" i="3"/>
  <c r="H48" i="3"/>
  <c r="H47" i="3"/>
  <c r="H46" i="3"/>
  <c r="H45" i="3"/>
  <c r="H42" i="3"/>
  <c r="H38" i="3"/>
  <c r="H37" i="3"/>
  <c r="H36" i="3"/>
  <c r="H35" i="3"/>
  <c r="H34" i="3"/>
  <c r="H33" i="3"/>
  <c r="H32" i="3"/>
  <c r="H31" i="3"/>
  <c r="H30" i="3"/>
  <c r="H20" i="3"/>
  <c r="H17" i="3"/>
  <c r="H14" i="3"/>
  <c r="H13" i="3"/>
  <c r="H12" i="3"/>
  <c r="H9" i="3"/>
  <c r="H8" i="3"/>
  <c r="E57" i="9" l="1"/>
  <c r="F58" i="9"/>
  <c r="E73" i="9"/>
  <c r="F74" i="9"/>
  <c r="E91" i="9"/>
  <c r="F92" i="9"/>
  <c r="E59" i="9"/>
  <c r="F60" i="9"/>
  <c r="E93" i="9"/>
  <c r="F94" i="9"/>
  <c r="E23" i="9"/>
  <c r="F24" i="9"/>
  <c r="E13" i="9"/>
  <c r="F14" i="9"/>
  <c r="E81" i="9"/>
  <c r="F82" i="9"/>
  <c r="E15" i="9"/>
  <c r="F16" i="9"/>
  <c r="E61" i="9"/>
  <c r="F62" i="9"/>
  <c r="E69" i="9"/>
  <c r="F70" i="9"/>
  <c r="E87" i="9"/>
  <c r="F88" i="9"/>
  <c r="E95" i="9"/>
  <c r="F96" i="9"/>
  <c r="E65" i="9"/>
  <c r="F66" i="9"/>
  <c r="E25" i="9"/>
  <c r="F26" i="9"/>
  <c r="E67" i="9"/>
  <c r="F68" i="9"/>
  <c r="E31" i="9"/>
  <c r="F32" i="9"/>
  <c r="E21" i="9"/>
  <c r="F22" i="9"/>
  <c r="E37" i="9"/>
  <c r="F38" i="9"/>
  <c r="E63" i="9"/>
  <c r="F64" i="9"/>
  <c r="E71" i="9"/>
  <c r="F72" i="9"/>
  <c r="E89" i="9"/>
  <c r="F90" i="9"/>
  <c r="E97" i="9"/>
  <c r="F98" i="9"/>
  <c r="F119" i="23"/>
  <c r="F141" i="25"/>
  <c r="I120" i="19"/>
  <c r="K120" i="19" s="1"/>
  <c r="L120" i="19" s="1"/>
  <c r="F119" i="15"/>
  <c r="E210" i="23"/>
  <c r="F57" i="23"/>
  <c r="E69" i="24"/>
  <c r="F17" i="24"/>
  <c r="E249" i="25"/>
  <c r="E248" i="25"/>
  <c r="F68" i="25"/>
  <c r="F60" i="25"/>
  <c r="G211" i="19"/>
  <c r="K211" i="19" s="1"/>
  <c r="L211" i="19" s="1"/>
  <c r="I58" i="19"/>
  <c r="K58" i="19" s="1"/>
  <c r="L58" i="19" s="1"/>
  <c r="I210" i="15"/>
  <c r="J57" i="15"/>
  <c r="F61" i="23"/>
  <c r="F72" i="25"/>
  <c r="I62" i="19"/>
  <c r="J61" i="15"/>
  <c r="E112" i="23"/>
  <c r="F64" i="23"/>
  <c r="E36" i="24"/>
  <c r="F18" i="24"/>
  <c r="E132" i="25"/>
  <c r="E130" i="25"/>
  <c r="F76" i="25"/>
  <c r="F74" i="25"/>
  <c r="G113" i="19"/>
  <c r="K113" i="19" s="1"/>
  <c r="L113" i="19" s="1"/>
  <c r="I65" i="19"/>
  <c r="K65" i="19" s="1"/>
  <c r="L65" i="19" s="1"/>
  <c r="I112" i="15"/>
  <c r="J64" i="15"/>
  <c r="F66" i="23"/>
  <c r="F78" i="25"/>
  <c r="I67" i="19"/>
  <c r="K67" i="19" s="1"/>
  <c r="L67" i="19" s="1"/>
  <c r="J66" i="15"/>
  <c r="E234" i="23"/>
  <c r="F74" i="23"/>
  <c r="E74" i="24"/>
  <c r="F20" i="24"/>
  <c r="E277" i="25"/>
  <c r="E275" i="25"/>
  <c r="F88" i="25"/>
  <c r="F86" i="25"/>
  <c r="G235" i="19"/>
  <c r="K235" i="19" s="1"/>
  <c r="L235" i="19" s="1"/>
  <c r="I75" i="19"/>
  <c r="K75" i="19" s="1"/>
  <c r="L75" i="19" s="1"/>
  <c r="I234" i="15"/>
  <c r="J74" i="15"/>
  <c r="F197" i="23"/>
  <c r="F65" i="24"/>
  <c r="F233" i="25"/>
  <c r="F230" i="25"/>
  <c r="I198" i="19"/>
  <c r="K198" i="19" s="1"/>
  <c r="L198" i="19" s="1"/>
  <c r="J197" i="15"/>
  <c r="F120" i="23"/>
  <c r="E30" i="23"/>
  <c r="F39" i="24"/>
  <c r="E12" i="24"/>
  <c r="F142" i="25"/>
  <c r="F140" i="25"/>
  <c r="E37" i="25"/>
  <c r="E36" i="25"/>
  <c r="I121" i="19"/>
  <c r="K121" i="19" s="1"/>
  <c r="L121" i="19" s="1"/>
  <c r="G31" i="19"/>
  <c r="K31" i="19" s="1"/>
  <c r="E30" i="15"/>
  <c r="F120" i="15"/>
  <c r="E61" i="23"/>
  <c r="G61" i="23" s="1"/>
  <c r="E72" i="25"/>
  <c r="G72" i="25" s="1"/>
  <c r="G62" i="19"/>
  <c r="E61" i="15"/>
  <c r="I25" i="21"/>
  <c r="I7" i="21"/>
  <c r="I23" i="20"/>
  <c r="F50" i="23"/>
  <c r="F61" i="25"/>
  <c r="I51" i="19"/>
  <c r="J50" i="15"/>
  <c r="F59" i="23"/>
  <c r="F70" i="25"/>
  <c r="I60" i="19"/>
  <c r="J59" i="15"/>
  <c r="E111" i="23"/>
  <c r="F63" i="23"/>
  <c r="E131" i="25"/>
  <c r="F75" i="25"/>
  <c r="G112" i="19"/>
  <c r="K112" i="19" s="1"/>
  <c r="L112" i="19" s="1"/>
  <c r="I64" i="19"/>
  <c r="K64" i="19" s="1"/>
  <c r="L64" i="19" s="1"/>
  <c r="J63" i="15"/>
  <c r="I111" i="15"/>
  <c r="F67" i="23"/>
  <c r="F79" i="25"/>
  <c r="I68" i="19"/>
  <c r="K68" i="19" s="1"/>
  <c r="L68" i="19" s="1"/>
  <c r="J67" i="15"/>
  <c r="E233" i="23"/>
  <c r="F73" i="23"/>
  <c r="E276" i="25"/>
  <c r="F87" i="25"/>
  <c r="G234" i="19"/>
  <c r="K234" i="19" s="1"/>
  <c r="L234" i="19" s="1"/>
  <c r="I74" i="19"/>
  <c r="K74" i="19" s="1"/>
  <c r="L74" i="19" s="1"/>
  <c r="I233" i="15"/>
  <c r="J73" i="15"/>
  <c r="F196" i="23"/>
  <c r="F232" i="25"/>
  <c r="I197" i="19"/>
  <c r="K197" i="19" s="1"/>
  <c r="L197" i="19" s="1"/>
  <c r="J196" i="15"/>
  <c r="E51" i="23"/>
  <c r="E17" i="24"/>
  <c r="G17" i="24" s="1"/>
  <c r="E62" i="25"/>
  <c r="E60" i="25"/>
  <c r="G60" i="25" s="1"/>
  <c r="G52" i="19"/>
  <c r="E51" i="15"/>
  <c r="E59" i="23"/>
  <c r="G59" i="23" s="1"/>
  <c r="E70" i="25"/>
  <c r="G70" i="25" s="1"/>
  <c r="G60" i="19"/>
  <c r="E59" i="15"/>
  <c r="E212" i="23"/>
  <c r="F58" i="23"/>
  <c r="E251" i="25"/>
  <c r="F69" i="25"/>
  <c r="G213" i="19"/>
  <c r="K213" i="19" s="1"/>
  <c r="L213" i="19" s="1"/>
  <c r="I59" i="19"/>
  <c r="K59" i="19" s="1"/>
  <c r="L59" i="19" s="1"/>
  <c r="I212" i="15"/>
  <c r="J58" i="15"/>
  <c r="F53" i="23"/>
  <c r="F64" i="25"/>
  <c r="I54" i="19"/>
  <c r="K54" i="19" s="1"/>
  <c r="L54" i="19" s="1"/>
  <c r="J53" i="15"/>
  <c r="E228" i="23"/>
  <c r="F65" i="23"/>
  <c r="E72" i="24"/>
  <c r="E270" i="25"/>
  <c r="E267" i="25"/>
  <c r="F77" i="25"/>
  <c r="G229" i="19"/>
  <c r="K229" i="19" s="1"/>
  <c r="L229" i="19" s="1"/>
  <c r="I66" i="19"/>
  <c r="K66" i="19" s="1"/>
  <c r="L66" i="19" s="1"/>
  <c r="I228" i="15"/>
  <c r="J65" i="15"/>
  <c r="E236" i="23"/>
  <c r="F76" i="23"/>
  <c r="E279" i="25"/>
  <c r="F90" i="25"/>
  <c r="G237" i="19"/>
  <c r="K237" i="19" s="1"/>
  <c r="L237" i="19" s="1"/>
  <c r="I77" i="19"/>
  <c r="K77" i="19" s="1"/>
  <c r="I236" i="15"/>
  <c r="J76" i="15"/>
  <c r="F199" i="23"/>
  <c r="F235" i="25"/>
  <c r="I200" i="19"/>
  <c r="K200" i="19" s="1"/>
  <c r="L200" i="19" s="1"/>
  <c r="J199" i="15"/>
  <c r="E211" i="14"/>
  <c r="F58" i="14"/>
  <c r="E113" i="14"/>
  <c r="F65" i="14"/>
  <c r="F75" i="14"/>
  <c r="E235" i="14"/>
  <c r="F51" i="14"/>
  <c r="F64" i="14"/>
  <c r="E112" i="14"/>
  <c r="F68" i="14"/>
  <c r="F74" i="14"/>
  <c r="E234" i="14"/>
  <c r="F197" i="14"/>
  <c r="F120" i="14"/>
  <c r="F62" i="14"/>
  <c r="F67" i="14"/>
  <c r="F198" i="14"/>
  <c r="F121" i="14"/>
  <c r="E31" i="14"/>
  <c r="E62" i="14"/>
  <c r="F60" i="14"/>
  <c r="E52" i="14"/>
  <c r="E60" i="14"/>
  <c r="F59" i="14"/>
  <c r="E213" i="14"/>
  <c r="F54" i="14"/>
  <c r="E229" i="14"/>
  <c r="F66" i="14"/>
  <c r="E237" i="14"/>
  <c r="F77" i="14"/>
  <c r="F200" i="14"/>
  <c r="F13" i="7"/>
  <c r="E12" i="7"/>
  <c r="H11" i="8"/>
  <c r="H119" i="2"/>
  <c r="J119" i="2" s="1"/>
  <c r="G29" i="2"/>
  <c r="J29" i="2" s="1"/>
  <c r="F15" i="7"/>
  <c r="E14" i="7"/>
  <c r="H12" i="8"/>
  <c r="E12" i="8"/>
  <c r="G50" i="2"/>
  <c r="J50" i="2" s="1"/>
  <c r="F21" i="7"/>
  <c r="E20" i="7"/>
  <c r="H15" i="8"/>
  <c r="F15" i="8" s="1"/>
  <c r="G15" i="8" s="1"/>
  <c r="H118" i="2"/>
  <c r="J118" i="2" s="1"/>
  <c r="F23" i="7"/>
  <c r="E22" i="7"/>
  <c r="H16" i="8"/>
  <c r="E16" i="8"/>
  <c r="F16" i="8" s="1"/>
  <c r="G16" i="8" s="1"/>
  <c r="G60" i="2"/>
  <c r="F25" i="7"/>
  <c r="E24" i="7"/>
  <c r="H17" i="8"/>
  <c r="E17" i="8"/>
  <c r="F17" i="8" s="1"/>
  <c r="G17" i="8" s="1"/>
  <c r="G58" i="2"/>
  <c r="F31" i="7"/>
  <c r="E30" i="7"/>
  <c r="H56" i="2"/>
  <c r="J56" i="2" s="1"/>
  <c r="G209" i="2"/>
  <c r="J209" i="2" s="1"/>
  <c r="F37" i="7"/>
  <c r="E36" i="7"/>
  <c r="H49" i="2"/>
  <c r="F57" i="7"/>
  <c r="E56" i="7"/>
  <c r="H57" i="2"/>
  <c r="J57" i="2" s="1"/>
  <c r="G211" i="2"/>
  <c r="J211" i="2" s="1"/>
  <c r="F59" i="7"/>
  <c r="E58" i="7"/>
  <c r="H60" i="2"/>
  <c r="F61" i="7"/>
  <c r="E60" i="7"/>
  <c r="H58" i="2"/>
  <c r="F63" i="7"/>
  <c r="E62" i="7"/>
  <c r="H52" i="2"/>
  <c r="J52" i="2" s="1"/>
  <c r="F65" i="7"/>
  <c r="E64" i="7"/>
  <c r="H63" i="2"/>
  <c r="J63" i="2" s="1"/>
  <c r="G111" i="2"/>
  <c r="J111" i="2" s="1"/>
  <c r="F67" i="7"/>
  <c r="E66" i="7"/>
  <c r="H62" i="2"/>
  <c r="J62" i="2" s="1"/>
  <c r="G110" i="2"/>
  <c r="J110" i="2" s="1"/>
  <c r="F69" i="7"/>
  <c r="E68" i="7"/>
  <c r="H64" i="2"/>
  <c r="J64" i="2" s="1"/>
  <c r="G227" i="2"/>
  <c r="J227" i="2" s="1"/>
  <c r="F71" i="7"/>
  <c r="E70" i="7"/>
  <c r="H65" i="2"/>
  <c r="J65" i="2" s="1"/>
  <c r="F73" i="7"/>
  <c r="E72" i="7"/>
  <c r="H66" i="2"/>
  <c r="J66" i="2" s="1"/>
  <c r="H43" i="3"/>
  <c r="F81" i="7"/>
  <c r="E80" i="7"/>
  <c r="F87" i="7"/>
  <c r="E86" i="7"/>
  <c r="H73" i="2"/>
  <c r="J73" i="2" s="1"/>
  <c r="G233" i="2"/>
  <c r="J233" i="2" s="1"/>
  <c r="F89" i="7"/>
  <c r="E88" i="7"/>
  <c r="H72" i="2"/>
  <c r="J72" i="2" s="1"/>
  <c r="G232" i="2"/>
  <c r="J232" i="2" s="1"/>
  <c r="F91" i="7"/>
  <c r="E90" i="7"/>
  <c r="H75" i="2"/>
  <c r="J75" i="2" s="1"/>
  <c r="G235" i="2"/>
  <c r="J235" i="2" s="1"/>
  <c r="F93" i="7"/>
  <c r="E92" i="7"/>
  <c r="F50" i="5"/>
  <c r="D50" i="5"/>
  <c r="H196" i="2"/>
  <c r="J196" i="2" s="1"/>
  <c r="F95" i="7"/>
  <c r="E94" i="7"/>
  <c r="F51" i="5"/>
  <c r="D51" i="5"/>
  <c r="H195" i="2"/>
  <c r="J195" i="2" s="1"/>
  <c r="F97" i="7"/>
  <c r="E96" i="7"/>
  <c r="F52" i="5"/>
  <c r="D52" i="5"/>
  <c r="H198" i="2"/>
  <c r="J198" i="2" s="1"/>
  <c r="H44" i="3"/>
  <c r="H145" i="3" s="1"/>
  <c r="E81" i="1"/>
  <c r="F81" i="1"/>
  <c r="E29" i="23" l="1"/>
  <c r="G29" i="23" s="1"/>
  <c r="E85" i="9"/>
  <c r="F86" i="9"/>
  <c r="F40" i="24"/>
  <c r="G40" i="24" s="1"/>
  <c r="E83" i="9"/>
  <c r="F84" i="9"/>
  <c r="K62" i="19"/>
  <c r="L62" i="19" s="1"/>
  <c r="K60" i="19"/>
  <c r="L60" i="19" s="1"/>
  <c r="E265" i="15"/>
  <c r="F265" i="15"/>
  <c r="H29" i="23"/>
  <c r="H40" i="24"/>
  <c r="G235" i="25"/>
  <c r="H235" i="25"/>
  <c r="K236" i="15"/>
  <c r="L236" i="15"/>
  <c r="G90" i="25"/>
  <c r="H90" i="25"/>
  <c r="G236" i="23"/>
  <c r="H236" i="23"/>
  <c r="G30" i="19"/>
  <c r="K30" i="19" s="1"/>
  <c r="L30" i="19" s="1"/>
  <c r="E35" i="25"/>
  <c r="E11" i="24"/>
  <c r="F122" i="23"/>
  <c r="G267" i="25"/>
  <c r="H267" i="25"/>
  <c r="H65" i="23"/>
  <c r="G65" i="23"/>
  <c r="L58" i="15"/>
  <c r="K58" i="15"/>
  <c r="H58" i="23"/>
  <c r="G58" i="23"/>
  <c r="H51" i="15"/>
  <c r="G51" i="15"/>
  <c r="H62" i="25"/>
  <c r="G62" i="25"/>
  <c r="L196" i="15"/>
  <c r="K196" i="15"/>
  <c r="H196" i="23"/>
  <c r="G196" i="23"/>
  <c r="G276" i="25"/>
  <c r="H276" i="25"/>
  <c r="L67" i="15"/>
  <c r="K67" i="15"/>
  <c r="G67" i="23"/>
  <c r="H67" i="23"/>
  <c r="G131" i="25"/>
  <c r="H131" i="25"/>
  <c r="H59" i="23"/>
  <c r="G61" i="25"/>
  <c r="H61" i="25"/>
  <c r="G120" i="15"/>
  <c r="H120" i="15"/>
  <c r="G140" i="25"/>
  <c r="H140" i="25"/>
  <c r="G39" i="24"/>
  <c r="H39" i="24"/>
  <c r="K197" i="15"/>
  <c r="L197" i="15"/>
  <c r="H233" i="25"/>
  <c r="G233" i="25"/>
  <c r="L74" i="15"/>
  <c r="K74" i="15"/>
  <c r="G275" i="25"/>
  <c r="H275" i="25"/>
  <c r="G74" i="24"/>
  <c r="H74" i="24"/>
  <c r="K66" i="15"/>
  <c r="L66" i="15"/>
  <c r="H66" i="23"/>
  <c r="G66" i="23"/>
  <c r="G76" i="25"/>
  <c r="H76" i="25"/>
  <c r="H18" i="24"/>
  <c r="G18" i="24"/>
  <c r="H112" i="23"/>
  <c r="G112" i="23"/>
  <c r="H72" i="25"/>
  <c r="L210" i="15"/>
  <c r="K210" i="15"/>
  <c r="H60" i="25"/>
  <c r="H249" i="25"/>
  <c r="G249" i="25"/>
  <c r="H57" i="23"/>
  <c r="G57" i="23"/>
  <c r="L199" i="15"/>
  <c r="K199" i="15"/>
  <c r="G199" i="23"/>
  <c r="H199" i="23"/>
  <c r="H279" i="25"/>
  <c r="G279" i="25"/>
  <c r="I29" i="15"/>
  <c r="I123" i="19"/>
  <c r="K123" i="19" s="1"/>
  <c r="F144" i="25"/>
  <c r="L65" i="15"/>
  <c r="K65" i="15"/>
  <c r="H270" i="25"/>
  <c r="G270" i="25"/>
  <c r="H228" i="23"/>
  <c r="G228" i="23"/>
  <c r="H64" i="25"/>
  <c r="G64" i="25"/>
  <c r="L212" i="15"/>
  <c r="K212" i="15"/>
  <c r="G69" i="25"/>
  <c r="H69" i="25"/>
  <c r="H212" i="23"/>
  <c r="G212" i="23"/>
  <c r="K52" i="19"/>
  <c r="L52" i="19" s="1"/>
  <c r="L73" i="15"/>
  <c r="K73" i="15"/>
  <c r="H73" i="23"/>
  <c r="G73" i="23"/>
  <c r="K111" i="15"/>
  <c r="L111" i="15"/>
  <c r="G63" i="23"/>
  <c r="H63" i="23"/>
  <c r="L50" i="15"/>
  <c r="K50" i="15"/>
  <c r="F265" i="23"/>
  <c r="H50" i="23"/>
  <c r="G50" i="23"/>
  <c r="I149" i="21"/>
  <c r="K150" i="21" s="1"/>
  <c r="E150" i="21" s="1"/>
  <c r="K25" i="21"/>
  <c r="G30" i="15"/>
  <c r="H30" i="15"/>
  <c r="H265" i="15" s="1"/>
  <c r="G36" i="25"/>
  <c r="H36" i="25"/>
  <c r="H142" i="25"/>
  <c r="G142" i="25"/>
  <c r="G30" i="23"/>
  <c r="H30" i="23"/>
  <c r="G65" i="24"/>
  <c r="H65" i="24"/>
  <c r="L234" i="15"/>
  <c r="K234" i="15"/>
  <c r="H86" i="25"/>
  <c r="G86" i="25"/>
  <c r="H277" i="25"/>
  <c r="G277" i="25"/>
  <c r="H74" i="23"/>
  <c r="G74" i="23"/>
  <c r="L64" i="15"/>
  <c r="K64" i="15"/>
  <c r="G130" i="25"/>
  <c r="H130" i="25"/>
  <c r="G36" i="24"/>
  <c r="H36" i="24"/>
  <c r="H61" i="23"/>
  <c r="G68" i="25"/>
  <c r="H68" i="25"/>
  <c r="F82" i="24"/>
  <c r="H17" i="24"/>
  <c r="H210" i="23"/>
  <c r="G210" i="23"/>
  <c r="H141" i="25"/>
  <c r="G141" i="25"/>
  <c r="E28" i="23"/>
  <c r="E34" i="25"/>
  <c r="G29" i="19"/>
  <c r="K29" i="19" s="1"/>
  <c r="L29" i="19" s="1"/>
  <c r="I28" i="15"/>
  <c r="L76" i="15"/>
  <c r="K76" i="15"/>
  <c r="H76" i="23"/>
  <c r="G76" i="23"/>
  <c r="J122" i="15"/>
  <c r="J265" i="15" s="1"/>
  <c r="E29" i="25"/>
  <c r="F145" i="25"/>
  <c r="L228" i="15"/>
  <c r="K228" i="15"/>
  <c r="G77" i="25"/>
  <c r="H77" i="25"/>
  <c r="G72" i="24"/>
  <c r="H72" i="24"/>
  <c r="L53" i="15"/>
  <c r="K53" i="15"/>
  <c r="G53" i="23"/>
  <c r="H53" i="23"/>
  <c r="G251" i="25"/>
  <c r="H251" i="25"/>
  <c r="H59" i="15"/>
  <c r="G59" i="15"/>
  <c r="H51" i="23"/>
  <c r="G51" i="23"/>
  <c r="H232" i="25"/>
  <c r="G232" i="25"/>
  <c r="L233" i="15"/>
  <c r="K233" i="15"/>
  <c r="G87" i="25"/>
  <c r="H87" i="25"/>
  <c r="H233" i="23"/>
  <c r="G233" i="23"/>
  <c r="G79" i="25"/>
  <c r="H79" i="25"/>
  <c r="K63" i="15"/>
  <c r="L63" i="15"/>
  <c r="G75" i="25"/>
  <c r="H75" i="25"/>
  <c r="G111" i="23"/>
  <c r="H111" i="23"/>
  <c r="H70" i="25"/>
  <c r="K51" i="19"/>
  <c r="I147" i="20"/>
  <c r="K148" i="20" s="1"/>
  <c r="E148" i="20" s="1"/>
  <c r="K23" i="20"/>
  <c r="H61" i="15"/>
  <c r="G61" i="15"/>
  <c r="G37" i="25"/>
  <c r="H37" i="25"/>
  <c r="G12" i="24"/>
  <c r="H12" i="24"/>
  <c r="H120" i="23"/>
  <c r="G120" i="23"/>
  <c r="G230" i="25"/>
  <c r="H230" i="25"/>
  <c r="G197" i="23"/>
  <c r="H197" i="23"/>
  <c r="H88" i="25"/>
  <c r="G88" i="25"/>
  <c r="H20" i="24"/>
  <c r="G20" i="24"/>
  <c r="H234" i="23"/>
  <c r="G234" i="23"/>
  <c r="G78" i="25"/>
  <c r="H78" i="25"/>
  <c r="K112" i="15"/>
  <c r="L112" i="15"/>
  <c r="H74" i="25"/>
  <c r="G74" i="25"/>
  <c r="G132" i="25"/>
  <c r="H132" i="25"/>
  <c r="H64" i="23"/>
  <c r="G64" i="23"/>
  <c r="K57" i="15"/>
  <c r="L57" i="15"/>
  <c r="G248" i="25"/>
  <c r="H248" i="25"/>
  <c r="G69" i="24"/>
  <c r="H69" i="24"/>
  <c r="G119" i="15"/>
  <c r="H119" i="15"/>
  <c r="H119" i="23"/>
  <c r="G119" i="23"/>
  <c r="G60" i="14"/>
  <c r="G62" i="14"/>
  <c r="G237" i="14"/>
  <c r="H237" i="14"/>
  <c r="F123" i="14"/>
  <c r="F266" i="14" s="1"/>
  <c r="H229" i="14"/>
  <c r="G229" i="14"/>
  <c r="G54" i="14"/>
  <c r="H54" i="14"/>
  <c r="G213" i="14"/>
  <c r="H213" i="14"/>
  <c r="H62" i="14"/>
  <c r="H234" i="14"/>
  <c r="G234" i="14"/>
  <c r="H68" i="14"/>
  <c r="G68" i="14"/>
  <c r="H75" i="14"/>
  <c r="G75" i="14"/>
  <c r="H113" i="14"/>
  <c r="G113" i="14"/>
  <c r="G200" i="14"/>
  <c r="H200" i="14"/>
  <c r="H59" i="14"/>
  <c r="G59" i="14"/>
  <c r="H52" i="14"/>
  <c r="G52" i="14"/>
  <c r="G31" i="14"/>
  <c r="H31" i="14"/>
  <c r="H198" i="14"/>
  <c r="G198" i="14"/>
  <c r="G120" i="14"/>
  <c r="H120" i="14"/>
  <c r="H74" i="14"/>
  <c r="G74" i="14"/>
  <c r="H112" i="14"/>
  <c r="G112" i="14"/>
  <c r="H51" i="14"/>
  <c r="G51" i="14"/>
  <c r="E29" i="14"/>
  <c r="H77" i="14"/>
  <c r="G77" i="14"/>
  <c r="E30" i="14"/>
  <c r="H66" i="14"/>
  <c r="G66" i="14"/>
  <c r="H60" i="14"/>
  <c r="H121" i="14"/>
  <c r="G121" i="14"/>
  <c r="H67" i="14"/>
  <c r="G67" i="14"/>
  <c r="H197" i="14"/>
  <c r="G197" i="14"/>
  <c r="H64" i="14"/>
  <c r="G64" i="14"/>
  <c r="G235" i="14"/>
  <c r="H235" i="14"/>
  <c r="H65" i="14"/>
  <c r="G65" i="14"/>
  <c r="H58" i="14"/>
  <c r="G58" i="14"/>
  <c r="H211" i="14"/>
  <c r="G211" i="14"/>
  <c r="F85" i="7"/>
  <c r="E84" i="7"/>
  <c r="H121" i="2"/>
  <c r="J121" i="2" s="1"/>
  <c r="G28" i="2"/>
  <c r="J28" i="2" s="1"/>
  <c r="D147" i="5"/>
  <c r="F147" i="5"/>
  <c r="F83" i="7"/>
  <c r="E82" i="7"/>
  <c r="G27" i="2"/>
  <c r="J49" i="2"/>
  <c r="J58" i="2"/>
  <c r="J60" i="2"/>
  <c r="E148" i="8"/>
  <c r="F12" i="8"/>
  <c r="G12" i="8" s="1"/>
  <c r="H148" i="8"/>
  <c r="F11" i="8"/>
  <c r="E285" i="9" l="1"/>
  <c r="F285" i="9"/>
  <c r="K59" i="15"/>
  <c r="I266" i="19"/>
  <c r="G266" i="19"/>
  <c r="L120" i="15"/>
  <c r="L61" i="15"/>
  <c r="K119" i="15"/>
  <c r="L51" i="15"/>
  <c r="K30" i="15"/>
  <c r="G265" i="15"/>
  <c r="F284" i="7"/>
  <c r="E284" i="7"/>
  <c r="L119" i="15"/>
  <c r="K266" i="19"/>
  <c r="L51" i="19"/>
  <c r="L59" i="15"/>
  <c r="L122" i="15"/>
  <c r="K122" i="15"/>
  <c r="L29" i="15"/>
  <c r="K29" i="15"/>
  <c r="E82" i="24"/>
  <c r="G11" i="24"/>
  <c r="G82" i="24" s="1"/>
  <c r="H11" i="24"/>
  <c r="H82" i="24" s="1"/>
  <c r="K61" i="15"/>
  <c r="H145" i="25"/>
  <c r="G145" i="25"/>
  <c r="H34" i="25"/>
  <c r="G34" i="25"/>
  <c r="L30" i="15"/>
  <c r="H144" i="25"/>
  <c r="G144" i="25"/>
  <c r="K120" i="15"/>
  <c r="K51" i="15"/>
  <c r="G35" i="25"/>
  <c r="H35" i="25"/>
  <c r="F312" i="25"/>
  <c r="E312" i="25"/>
  <c r="G29" i="25"/>
  <c r="G312" i="25" s="1"/>
  <c r="H29" i="25"/>
  <c r="I265" i="15"/>
  <c r="L28" i="15"/>
  <c r="L265" i="15" s="1"/>
  <c r="K28" i="15"/>
  <c r="E265" i="23"/>
  <c r="H28" i="23"/>
  <c r="G28" i="23"/>
  <c r="G122" i="23"/>
  <c r="H122" i="23"/>
  <c r="E266" i="14"/>
  <c r="H123" i="14"/>
  <c r="G123" i="14"/>
  <c r="G29" i="14"/>
  <c r="H29" i="14"/>
  <c r="H264" i="2"/>
  <c r="G30" i="14"/>
  <c r="G266" i="14" s="1"/>
  <c r="H30" i="14"/>
  <c r="G11" i="8"/>
  <c r="F148" i="8"/>
  <c r="J27" i="2"/>
  <c r="G264" i="2"/>
  <c r="K265" i="15" l="1"/>
  <c r="K266" i="15" s="1"/>
  <c r="G265" i="23"/>
  <c r="H312" i="25"/>
  <c r="H265" i="23"/>
  <c r="L266" i="15"/>
  <c r="H266" i="14"/>
  <c r="H267" i="14" s="1"/>
  <c r="G265" i="2"/>
  <c r="J265" i="2" s="1"/>
  <c r="J264" i="2"/>
  <c r="G267" i="14" l="1"/>
</calcChain>
</file>

<file path=xl/sharedStrings.xml><?xml version="1.0" encoding="utf-8"?>
<sst xmlns="http://schemas.openxmlformats.org/spreadsheetml/2006/main" count="2431" uniqueCount="927">
  <si>
    <t>SỔ TẬP HỢP NGHIỆP VỤ KẾ TOÁN</t>
  </si>
  <si>
    <t>NGÀY</t>
  </si>
  <si>
    <t>SỐCT</t>
  </si>
  <si>
    <t>DIỄN GIẢI</t>
  </si>
  <si>
    <t>TKNO</t>
  </si>
  <si>
    <t>TKCO</t>
  </si>
  <si>
    <t>SỐ LƯƠNG</t>
  </si>
  <si>
    <t>ĐƠN GIÁ</t>
  </si>
  <si>
    <t>SỐ TIỀN</t>
  </si>
  <si>
    <t>GHI CHÚ</t>
  </si>
  <si>
    <t>KT TKNO</t>
  </si>
  <si>
    <t>KT TKCO</t>
  </si>
  <si>
    <t>TÊN TKNO</t>
  </si>
  <si>
    <t>TÊN TKCO</t>
  </si>
  <si>
    <t>GHI SỔ NKC</t>
  </si>
  <si>
    <t>Loại sổ</t>
  </si>
  <si>
    <t>[1]</t>
  </si>
  <si>
    <t>[2]</t>
  </si>
  <si>
    <t>[3]</t>
  </si>
  <si>
    <t>[4]</t>
  </si>
  <si>
    <t>[5]</t>
  </si>
  <si>
    <t>[6]</t>
  </si>
  <si>
    <t>[7]</t>
  </si>
  <si>
    <t>[8]</t>
  </si>
  <si>
    <t>01/PT</t>
  </si>
  <si>
    <t>Thu nợ lô hàng 200</t>
  </si>
  <si>
    <t>1111</t>
  </si>
  <si>
    <t>1311.03</t>
  </si>
  <si>
    <t>02/PT</t>
  </si>
  <si>
    <t>Thu nợ lô hàng 212</t>
  </si>
  <si>
    <t>1311.01</t>
  </si>
  <si>
    <t>01/PC</t>
  </si>
  <si>
    <t>Chi tạm ứng cho Hồ Sĩ Nhật</t>
  </si>
  <si>
    <t>141.0102</t>
  </si>
  <si>
    <t>01/NVL</t>
  </si>
  <si>
    <t>Thuế GTGT mua gỗ tràm bông vàng</t>
  </si>
  <si>
    <t>1331</t>
  </si>
  <si>
    <t>3311.02</t>
  </si>
  <si>
    <t>Mua gỗ tràm bông vàng</t>
  </si>
  <si>
    <t>1521.0102</t>
  </si>
  <si>
    <t>02/PC</t>
  </si>
  <si>
    <t>Thuế GTGT mua VPP</t>
  </si>
  <si>
    <t>Mua VPP cho BPVP</t>
  </si>
  <si>
    <t>6428</t>
  </si>
  <si>
    <t>02/NVL</t>
  </si>
  <si>
    <t>Thuế GTGT mua AC chuối, Dầu thông</t>
  </si>
  <si>
    <t>3311.01</t>
  </si>
  <si>
    <t>Mua Dầu thông</t>
  </si>
  <si>
    <t>1521.0403</t>
  </si>
  <si>
    <t>Mua AC chuối</t>
  </si>
  <si>
    <t>1521.0401</t>
  </si>
  <si>
    <t>03/NVL</t>
  </si>
  <si>
    <t>Thuế GTGT Nhập kho keo AB</t>
  </si>
  <si>
    <t>3311.03</t>
  </si>
  <si>
    <t>Nhập kho keo AB</t>
  </si>
  <si>
    <t>1521.0301</t>
  </si>
  <si>
    <t>01/XVL</t>
  </si>
  <si>
    <t>Xuất keo ghép sx GTV</t>
  </si>
  <si>
    <t>6211.01</t>
  </si>
  <si>
    <t>1521.0302</t>
  </si>
  <si>
    <t>03/PC</t>
  </si>
  <si>
    <t>Chi lương cho NVBH</t>
  </si>
  <si>
    <t>3348.02</t>
  </si>
  <si>
    <t>Chi lương cho CB QLDN</t>
  </si>
  <si>
    <t>3348.03</t>
  </si>
  <si>
    <t>Xuất gỗ cao su sx GTV</t>
  </si>
  <si>
    <t>1521.0101</t>
  </si>
  <si>
    <t>01/BC</t>
  </si>
  <si>
    <t>Cty Mai Anh trả nợ lô hàng 189</t>
  </si>
  <si>
    <t>1121.02</t>
  </si>
  <si>
    <t>1311.02</t>
  </si>
  <si>
    <t>Chi lương cho NV QLPX</t>
  </si>
  <si>
    <t>3348.01</t>
  </si>
  <si>
    <t>Chi lương cho CNSX GTV</t>
  </si>
  <si>
    <t>3341.01</t>
  </si>
  <si>
    <t>Chi lương cho CNSX GKT</t>
  </si>
  <si>
    <t>3341.02</t>
  </si>
  <si>
    <t>3341.03</t>
  </si>
  <si>
    <t>Chi lương cho CNSX BT</t>
  </si>
  <si>
    <t>3341.04</t>
  </si>
  <si>
    <t>Chi lương cho CNSX BO</t>
  </si>
  <si>
    <t>3341.05</t>
  </si>
  <si>
    <t>01/BN</t>
  </si>
  <si>
    <t>Trả Cty CP Mai Lan HĐ1170</t>
  </si>
  <si>
    <t>1121.01</t>
  </si>
  <si>
    <t>02/BN</t>
  </si>
  <si>
    <t>Chi đặt cọc mua hàng</t>
  </si>
  <si>
    <t>02/XVL</t>
  </si>
  <si>
    <t>Xuất ván keo 502 sx BTròn</t>
  </si>
  <si>
    <t>6211.03</t>
  </si>
  <si>
    <t>1521.0303</t>
  </si>
  <si>
    <t>03/XVL</t>
  </si>
  <si>
    <t>Xuất dầu thông sx GTV</t>
  </si>
  <si>
    <t>Xuất AC chuối sx GTV</t>
  </si>
  <si>
    <t>Xuất ván MDF 9x6x8 sx BTròn</t>
  </si>
  <si>
    <t>1521.0201</t>
  </si>
  <si>
    <t>01/XCC</t>
  </si>
  <si>
    <t>Xuất kệ tủ</t>
  </si>
  <si>
    <t>2421.02</t>
  </si>
  <si>
    <t>1531.02</t>
  </si>
  <si>
    <t>Xuất máy tính Casio</t>
  </si>
  <si>
    <t>2421.01</t>
  </si>
  <si>
    <t>1531.01</t>
  </si>
  <si>
    <t>02/XCC</t>
  </si>
  <si>
    <t>Xuất lưỡi cưa cho PXSX</t>
  </si>
  <si>
    <t>6273</t>
  </si>
  <si>
    <t>1531.03</t>
  </si>
  <si>
    <t>Xuất mũi khoan cho PXSX</t>
  </si>
  <si>
    <t>1531.04</t>
  </si>
  <si>
    <t>Xuất dao thép cho PXSX</t>
  </si>
  <si>
    <t>1531.05</t>
  </si>
  <si>
    <t>02/NTP</t>
  </si>
  <si>
    <t>Tạm nhập kho BT</t>
  </si>
  <si>
    <t>1551.0201</t>
  </si>
  <si>
    <t>154.03</t>
  </si>
  <si>
    <t>01/NTP</t>
  </si>
  <si>
    <t>Tạm nhập kho GTV</t>
  </si>
  <si>
    <t>1551.0101</t>
  </si>
  <si>
    <t>154.01</t>
  </si>
  <si>
    <t>03/NTP</t>
  </si>
  <si>
    <t>Tạm nhập kho GKT</t>
  </si>
  <si>
    <t>1551.0102</t>
  </si>
  <si>
    <t>154.02</t>
  </si>
  <si>
    <t>02/BTP</t>
  </si>
  <si>
    <t>Thuế GTGT Bán GKT cho Cty XNK Vật Tư</t>
  </si>
  <si>
    <t>1311.06</t>
  </si>
  <si>
    <t>33311</t>
  </si>
  <si>
    <t>01/BTP</t>
  </si>
  <si>
    <t>Thuế GTGT Bán GTV cho Cty Nam Việt</t>
  </si>
  <si>
    <t>1311.05</t>
  </si>
  <si>
    <t>Thuế GTGT Bán BO cho Cty XNK Vật Tư</t>
  </si>
  <si>
    <t>Bán GKT cho Cty XNK Vật Tư</t>
  </si>
  <si>
    <t>632.0102</t>
  </si>
  <si>
    <t>Bán GTV cho Cty Nam Việt</t>
  </si>
  <si>
    <t>632.0101</t>
  </si>
  <si>
    <t>Bán BO cho Cty XNK Vật Tư</t>
  </si>
  <si>
    <t>632.0202</t>
  </si>
  <si>
    <t>1551.0202</t>
  </si>
  <si>
    <t>5112.0102</t>
  </si>
  <si>
    <t>5112.0101</t>
  </si>
  <si>
    <t>5112.0202</t>
  </si>
  <si>
    <t>01/TU</t>
  </si>
  <si>
    <t>Thanh toán tạm ứng Hồ Sĩ Nhật</t>
  </si>
  <si>
    <t>04/PC</t>
  </si>
  <si>
    <t>Thuế GTGT mua máy xẻ gỗ</t>
  </si>
  <si>
    <t>1332</t>
  </si>
  <si>
    <t>Mua máy xẻ gỗ</t>
  </si>
  <si>
    <t>2112.04</t>
  </si>
  <si>
    <t>TH2</t>
  </si>
  <si>
    <t>Tính các khoản trích theo lương vào chi phí</t>
  </si>
  <si>
    <t>6411</t>
  </si>
  <si>
    <t>3388</t>
  </si>
  <si>
    <t>6421</t>
  </si>
  <si>
    <t>TH10</t>
  </si>
  <si>
    <t>Kết chuyển CFBH vào TK911</t>
  </si>
  <si>
    <t>9111.0102</t>
  </si>
  <si>
    <t>6413</t>
  </si>
  <si>
    <t>9111.0202</t>
  </si>
  <si>
    <t>9111.0101</t>
  </si>
  <si>
    <t>3382</t>
  </si>
  <si>
    <t>TH5</t>
  </si>
  <si>
    <t>Kết chuyển CFC vào TK154</t>
  </si>
  <si>
    <t>TH7</t>
  </si>
  <si>
    <t>Bổ sung giá thành tiêu thụ TK632</t>
  </si>
  <si>
    <t>TH11</t>
  </si>
  <si>
    <t>Kết chuyển CFQLDN vào TK911</t>
  </si>
  <si>
    <t>6424</t>
  </si>
  <si>
    <t>6423</t>
  </si>
  <si>
    <t>3384</t>
  </si>
  <si>
    <t>01/PB</t>
  </si>
  <si>
    <t>Phân bổ CCDC vào chi phí</t>
  </si>
  <si>
    <t>6274</t>
  </si>
  <si>
    <t>6271</t>
  </si>
  <si>
    <t>622.01</t>
  </si>
  <si>
    <t>622.02</t>
  </si>
  <si>
    <t>622.03</t>
  </si>
  <si>
    <t>622.04</t>
  </si>
  <si>
    <t>622.05</t>
  </si>
  <si>
    <t>KH2</t>
  </si>
  <si>
    <t>Trích KH cho BPQL</t>
  </si>
  <si>
    <t>2141</t>
  </si>
  <si>
    <t>3383</t>
  </si>
  <si>
    <t>TH6</t>
  </si>
  <si>
    <t>Bổ sung giá thành TK155 GTV</t>
  </si>
  <si>
    <t>Bổ sung giá thành TK155 BT</t>
  </si>
  <si>
    <t>TH12</t>
  </si>
  <si>
    <t>Chuyển lãi lỗ</t>
  </si>
  <si>
    <t>4212</t>
  </si>
  <si>
    <t>KH1</t>
  </si>
  <si>
    <t>Trích KH cho PXSX</t>
  </si>
  <si>
    <t>Bổ sung giá thành TK155 GKT</t>
  </si>
  <si>
    <t>TH3</t>
  </si>
  <si>
    <t>Kết chuyển CFNVL vào TK154</t>
  </si>
  <si>
    <t>TH1</t>
  </si>
  <si>
    <t>Tính lương vào chi phí</t>
  </si>
  <si>
    <t>TH8</t>
  </si>
  <si>
    <t>Kết chuyển CFGVHB vào TK911</t>
  </si>
  <si>
    <t>TH9</t>
  </si>
  <si>
    <t>Kết chuyển Dthu vào TK911</t>
  </si>
  <si>
    <t>TH4</t>
  </si>
  <si>
    <t>Kết chuyển CFNC vào TK154</t>
  </si>
  <si>
    <t>154.04</t>
  </si>
  <si>
    <t>154.05</t>
  </si>
  <si>
    <t>BẢNG DANH MỤC TÀI KHOẢN</t>
  </si>
  <si>
    <t>MÃ TS-NV</t>
  </si>
  <si>
    <t>SHTK</t>
  </si>
  <si>
    <t>Loại TK</t>
  </si>
  <si>
    <t>TÊN TK</t>
  </si>
  <si>
    <t>TỒN DK</t>
  </si>
  <si>
    <t>SDD</t>
  </si>
  <si>
    <t>PSNO</t>
  </si>
  <si>
    <t>PSCO</t>
  </si>
  <si>
    <t>TỒN CK</t>
  </si>
  <si>
    <t>SDC</t>
  </si>
  <si>
    <t>DDNO</t>
  </si>
  <si>
    <t>DDCO</t>
  </si>
  <si>
    <t>MaTSNVDN</t>
  </si>
  <si>
    <t>SODN</t>
  </si>
  <si>
    <t>MaTSNVCK</t>
  </si>
  <si>
    <t>SOCK</t>
  </si>
  <si>
    <t>ĐVT</t>
  </si>
  <si>
    <t>100.110.111</t>
  </si>
  <si>
    <t>N</t>
  </si>
  <si>
    <t>Tiền Việt Nam</t>
  </si>
  <si>
    <t xml:space="preserve"> </t>
  </si>
  <si>
    <t>1112</t>
  </si>
  <si>
    <t>Ngoại tệ</t>
  </si>
  <si>
    <t>1113</t>
  </si>
  <si>
    <t>Vàng tiền tệ</t>
  </si>
  <si>
    <t>Tiền Việt Nam NH Ngoại Thương</t>
  </si>
  <si>
    <t>Tiền Việt Nam NH Đông Á</t>
  </si>
  <si>
    <t>1121.03</t>
  </si>
  <si>
    <t>Tiền Việt Nam NH Á Châu</t>
  </si>
  <si>
    <t>1122</t>
  </si>
  <si>
    <t>1123</t>
  </si>
  <si>
    <t>1131</t>
  </si>
  <si>
    <t>1132</t>
  </si>
  <si>
    <t>100.120.121</t>
  </si>
  <si>
    <t>1211</t>
  </si>
  <si>
    <t xml:space="preserve">Cổ phiếu </t>
  </si>
  <si>
    <t>1212</t>
  </si>
  <si>
    <t>Trái phiếu</t>
  </si>
  <si>
    <t>100.110.112</t>
  </si>
  <si>
    <t>12811</t>
  </si>
  <si>
    <t>Tiền gửi có kỳ hạn (không quá 3 tháng)</t>
  </si>
  <si>
    <t>100.120.123</t>
  </si>
  <si>
    <t>12812</t>
  </si>
  <si>
    <t>Tiền gửi có kỳ hạn (không quá 12 tháng)</t>
  </si>
  <si>
    <t>100.130.135</t>
  </si>
  <si>
    <t>12831</t>
  </si>
  <si>
    <t>Cho vay (không quá 12 tháng)</t>
  </si>
  <si>
    <t>200.210.215</t>
  </si>
  <si>
    <t>12832</t>
  </si>
  <si>
    <t>Cho vay (trên 12 tháng)</t>
  </si>
  <si>
    <t>12881</t>
  </si>
  <si>
    <t>Các khoản đầu tư khác nắm giữ đến ngày đáo hạn</t>
  </si>
  <si>
    <t>12882</t>
  </si>
  <si>
    <t>Các khoản đầu tư khác nắm giữ đến ngày đáo hạn (không quá 12 tháng)</t>
  </si>
  <si>
    <t>100.130.131</t>
  </si>
  <si>
    <t>Công ty Quang Minh (ngắn hạn)</t>
  </si>
  <si>
    <t>Cty TNHH TMDV Mai Anh (ngắn hạn)</t>
  </si>
  <si>
    <t>Cty TNHH Phương Nam (ngắn hạn)</t>
  </si>
  <si>
    <t>1311.04</t>
  </si>
  <si>
    <t>Cty TNHH Kim Tín (ngắn hạn)</t>
  </si>
  <si>
    <t>Cty TNHH Nam Việt (ngắn hạn)</t>
  </si>
  <si>
    <t>Cty XNK Vật Tư (ngắn hạn)</t>
  </si>
  <si>
    <t>100.150.152</t>
  </si>
  <si>
    <t>Thuế GTGT được khấu trừ của hàng hóa, dịch vụ</t>
  </si>
  <si>
    <t>Thuế GTGT được khấu trừ của TSCĐ</t>
  </si>
  <si>
    <t>200.210.213</t>
  </si>
  <si>
    <t>1361</t>
  </si>
  <si>
    <t>Vốn kinh doanh ở các đơn vị trực thuộc</t>
  </si>
  <si>
    <t>100.130.133</t>
  </si>
  <si>
    <t>13621</t>
  </si>
  <si>
    <t>Phải thu nội bộ về chênh lệch tỷ giá (không quá 12 tháng)</t>
  </si>
  <si>
    <t>200.210.214</t>
  </si>
  <si>
    <t>13622</t>
  </si>
  <si>
    <t>Phải thu nội bộ về chênh lệch tỷ giá (trên 12 tháng)</t>
  </si>
  <si>
    <t>13631</t>
  </si>
  <si>
    <t>Phải thu nội bộ về chi phí đi vay đủ điều kiện được vốn hóa (không quá 12 tháng)</t>
  </si>
  <si>
    <t>13632</t>
  </si>
  <si>
    <t>Phải thu nội bộ về chi phí đi vay đủ điều kiện được vốn hóa (trên 12 tháng)</t>
  </si>
  <si>
    <t>13681</t>
  </si>
  <si>
    <t>Phải thu nội bộ khác (không quá 12 tháng)</t>
  </si>
  <si>
    <t>13682</t>
  </si>
  <si>
    <t>Phải thu nội bộ khác (trên 12 tháng)</t>
  </si>
  <si>
    <t>100.130.139</t>
  </si>
  <si>
    <t>1381</t>
  </si>
  <si>
    <t>Tài sản thiếu chờ xử lý</t>
  </si>
  <si>
    <t>100.130.136</t>
  </si>
  <si>
    <t>13851</t>
  </si>
  <si>
    <t>Phải thu về cổ phần hóa (không quá 12 tháng)</t>
  </si>
  <si>
    <t>200.210.216</t>
  </si>
  <si>
    <t>13852</t>
  </si>
  <si>
    <t>Phải thu về cổ phần hóa</t>
  </si>
  <si>
    <t>13881</t>
  </si>
  <si>
    <t>Phải thu khác (không quá 12 tháng)</t>
  </si>
  <si>
    <t>13882</t>
  </si>
  <si>
    <t>Phải thu khác (trên 12 tháng)</t>
  </si>
  <si>
    <t>141.0101</t>
  </si>
  <si>
    <t>Vương Thiện Minh</t>
  </si>
  <si>
    <t>Hồ Sĩ Nhật</t>
  </si>
  <si>
    <t>141.0103</t>
  </si>
  <si>
    <t>Phạm Minh Duy</t>
  </si>
  <si>
    <t>141.0201</t>
  </si>
  <si>
    <t>Đoàn Trâm Anh</t>
  </si>
  <si>
    <t>141.0202</t>
  </si>
  <si>
    <t>Nguyễn Hoài Nam</t>
  </si>
  <si>
    <t>100.140.141</t>
  </si>
  <si>
    <t>151</t>
  </si>
  <si>
    <t>Hàng hóa đang đi đường</t>
  </si>
  <si>
    <t>Gỗ cao su</t>
  </si>
  <si>
    <r>
      <t>M</t>
    </r>
    <r>
      <rPr>
        <vertAlign val="superscript"/>
        <sz val="12"/>
        <rFont val="Times New Roman"/>
        <family val="1"/>
      </rPr>
      <t>3</t>
    </r>
  </si>
  <si>
    <t>Gỗ tràm bông vàng</t>
  </si>
  <si>
    <t>1521.0103</t>
  </si>
  <si>
    <t>Gỗ thông</t>
  </si>
  <si>
    <t>Ván MDF 9x6x8</t>
  </si>
  <si>
    <r>
      <t>M</t>
    </r>
    <r>
      <rPr>
        <vertAlign val="superscript"/>
        <sz val="12"/>
        <rFont val="Times New Roman"/>
        <family val="1"/>
      </rPr>
      <t>2</t>
    </r>
  </si>
  <si>
    <t>1521.0202</t>
  </si>
  <si>
    <t>Ván MDF 9x4x8</t>
  </si>
  <si>
    <t>1521.0203</t>
  </si>
  <si>
    <t>Ván MDF 4,5x6x8</t>
  </si>
  <si>
    <t>Keo AB</t>
  </si>
  <si>
    <t>Kg</t>
  </si>
  <si>
    <t>Keo ghép</t>
  </si>
  <si>
    <t>Keo 502</t>
  </si>
  <si>
    <t>Lít</t>
  </si>
  <si>
    <t>AC chuối</t>
  </si>
  <si>
    <t>1521.0402</t>
  </si>
  <si>
    <t>NC chuối</t>
  </si>
  <si>
    <t>Dầu thông</t>
  </si>
  <si>
    <t>1522</t>
  </si>
  <si>
    <t>Nguyên vật liệu phụ</t>
  </si>
  <si>
    <t>Máy tính Casio</t>
  </si>
  <si>
    <t>Cái</t>
  </si>
  <si>
    <t>Kệ tủ</t>
  </si>
  <si>
    <t>Lưỡi cưa</t>
  </si>
  <si>
    <t>Hộp</t>
  </si>
  <si>
    <t>Mũi khoan</t>
  </si>
  <si>
    <t>Dao thép</t>
  </si>
  <si>
    <t>200.240.241</t>
  </si>
  <si>
    <t>Ghế tay vịn</t>
  </si>
  <si>
    <t>Ghế không tay</t>
  </si>
  <si>
    <t>Bàn tròn</t>
  </si>
  <si>
    <t>Bàn oval</t>
  </si>
  <si>
    <t>Bàn chữ nhật</t>
  </si>
  <si>
    <t>1551.0203</t>
  </si>
  <si>
    <t>1561</t>
  </si>
  <si>
    <t>Giá mua hàng hóa</t>
  </si>
  <si>
    <t>1562</t>
  </si>
  <si>
    <t>Chi phí thu mua hàng hóa</t>
  </si>
  <si>
    <t>1567</t>
  </si>
  <si>
    <t>Hàng hóa bất động sản</t>
  </si>
  <si>
    <t>157</t>
  </si>
  <si>
    <t>Hàng gửi đi bán</t>
  </si>
  <si>
    <t>158</t>
  </si>
  <si>
    <t>Hàng hóa kho bảo thuế</t>
  </si>
  <si>
    <t>400.430.432</t>
  </si>
  <si>
    <t>1611</t>
  </si>
  <si>
    <t>Chi sự nghiệp năm trước</t>
  </si>
  <si>
    <t>1612</t>
  </si>
  <si>
    <t>Chi sự nghiệp năm nay</t>
  </si>
  <si>
    <t>100.150.154</t>
  </si>
  <si>
    <t>171</t>
  </si>
  <si>
    <t>Giao dịch mua bán lại trái phiếu chính phủ</t>
  </si>
  <si>
    <t>200.220.221.222</t>
  </si>
  <si>
    <t>2111</t>
  </si>
  <si>
    <t>Nhà cửa, vật kiến trúc</t>
  </si>
  <si>
    <t>2112.02</t>
  </si>
  <si>
    <t>Máy cắt phôi HITACHI</t>
  </si>
  <si>
    <t>2112.03</t>
  </si>
  <si>
    <t>Máy phun xi HITACHI</t>
  </si>
  <si>
    <t>Máy xẻ gỗ</t>
  </si>
  <si>
    <t>2113</t>
  </si>
  <si>
    <t>Phương tiện vận tải, truyền dẫn</t>
  </si>
  <si>
    <t>2114.01</t>
  </si>
  <si>
    <t>Máy vi tính</t>
  </si>
  <si>
    <t>2114.02</t>
  </si>
  <si>
    <t>Máy photocopy</t>
  </si>
  <si>
    <t>2118</t>
  </si>
  <si>
    <t>TSCĐ khác</t>
  </si>
  <si>
    <t>2121</t>
  </si>
  <si>
    <t>2131</t>
  </si>
  <si>
    <t>200.220.221.223</t>
  </si>
  <si>
    <t>C</t>
  </si>
  <si>
    <t>Hao mòn TSCĐ hữu hình</t>
  </si>
  <si>
    <t>200.230.232</t>
  </si>
  <si>
    <t>2147</t>
  </si>
  <si>
    <t>Hao mòn bất động sản đầu tư</t>
  </si>
  <si>
    <t>200.230.231</t>
  </si>
  <si>
    <t>217</t>
  </si>
  <si>
    <t>Bất động sản đầu tư</t>
  </si>
  <si>
    <t>200.250.251</t>
  </si>
  <si>
    <t>221</t>
  </si>
  <si>
    <t>Đầu tư vào công ty con</t>
  </si>
  <si>
    <t>200.250.252</t>
  </si>
  <si>
    <t>222</t>
  </si>
  <si>
    <t>Đầu tư vào công ty liên doanh, liên kết</t>
  </si>
  <si>
    <t>200.250.253</t>
  </si>
  <si>
    <t>2281</t>
  </si>
  <si>
    <t>Đầu tư góp vốn vào đơn vị khác</t>
  </si>
  <si>
    <t>100.150.155</t>
  </si>
  <si>
    <t>22881</t>
  </si>
  <si>
    <t>Đầu tư khác</t>
  </si>
  <si>
    <t>100.120.122</t>
  </si>
  <si>
    <t>2291</t>
  </si>
  <si>
    <t>Dự phòng giảm giá chứng khoán kinh doanh</t>
  </si>
  <si>
    <t>200.250.254</t>
  </si>
  <si>
    <t>2292</t>
  </si>
  <si>
    <t>Dự phòng tổn thất đầu tư vào đơn vị khác</t>
  </si>
  <si>
    <t>100.130.137</t>
  </si>
  <si>
    <t>22931</t>
  </si>
  <si>
    <t>Dự phòng phải thu khó đòi</t>
  </si>
  <si>
    <t>200.210.219</t>
  </si>
  <si>
    <t>22932</t>
  </si>
  <si>
    <t>Dự phòng phải thu khó đòi (dài hạn)</t>
  </si>
  <si>
    <t>100.140.149</t>
  </si>
  <si>
    <t>2294</t>
  </si>
  <si>
    <t>Dự phòng giảm giá hàng tồn kho</t>
  </si>
  <si>
    <t>200.240.242</t>
  </si>
  <si>
    <t>2411</t>
  </si>
  <si>
    <t>Mua sắm TSCĐ</t>
  </si>
  <si>
    <t>2412</t>
  </si>
  <si>
    <t>Xây dựng cơ bản</t>
  </si>
  <si>
    <t>2413</t>
  </si>
  <si>
    <t>Sửa chữa lớn TSCĐ</t>
  </si>
  <si>
    <t>100.150.151</t>
  </si>
  <si>
    <t>Máy tính Casio (không quá 12 tháng)</t>
  </si>
  <si>
    <t>Kệ tủ (không quá 12 tháng)</t>
  </si>
  <si>
    <t>200.260.261</t>
  </si>
  <si>
    <t>2422.01</t>
  </si>
  <si>
    <t>Máy tính Casio (trên 12 tháng)</t>
  </si>
  <si>
    <t>2422.02</t>
  </si>
  <si>
    <t>Kệ tủ (trên 12 tháng)</t>
  </si>
  <si>
    <t>2422.03</t>
  </si>
  <si>
    <t>Chi phí sửa chữa lớn TSCĐ</t>
  </si>
  <si>
    <t>200.260.262</t>
  </si>
  <si>
    <t>243</t>
  </si>
  <si>
    <t>Tài sản thuế thu nhập hoãn lại</t>
  </si>
  <si>
    <t>2441</t>
  </si>
  <si>
    <t>Cầm cố, thế chấp, ký quỹ, ký cược (không quá 12 tháng)</t>
  </si>
  <si>
    <t>2442</t>
  </si>
  <si>
    <t>Cầm cố, thế chấp, ký quỹ, ký cược (trên 12 tháng)</t>
  </si>
  <si>
    <t>300.310.311</t>
  </si>
  <si>
    <t>Cty CP Mai Lan</t>
  </si>
  <si>
    <t>Cty TNHH Cường Phát</t>
  </si>
  <si>
    <t>Cty TNHH Minh Gia Phát</t>
  </si>
  <si>
    <t>300.310.313</t>
  </si>
  <si>
    <t>Thuế GTGT đầu ra</t>
  </si>
  <si>
    <t>33312</t>
  </si>
  <si>
    <t>Thuế GTGT hàng nhập khẩu</t>
  </si>
  <si>
    <t>3332</t>
  </si>
  <si>
    <t>Thuế tiêu thụ đặc biệt</t>
  </si>
  <si>
    <t>3333</t>
  </si>
  <si>
    <t>Thuế xuất, nhập khẩu</t>
  </si>
  <si>
    <t>3334</t>
  </si>
  <si>
    <t>Thuế thu nhập doanh nghiệp</t>
  </si>
  <si>
    <t>3335</t>
  </si>
  <si>
    <t>Thuế thu nhập cá nhân</t>
  </si>
  <si>
    <t>3336</t>
  </si>
  <si>
    <t>Thuế tài nguyên</t>
  </si>
  <si>
    <t>3337</t>
  </si>
  <si>
    <t>Thuế nhà đất, tiền thuê đất</t>
  </si>
  <si>
    <t>3338</t>
  </si>
  <si>
    <t>Thuế bảo vệ môi trường và các loại thuế khác</t>
  </si>
  <si>
    <t>3339</t>
  </si>
  <si>
    <t>Phí, lệ phí và các khoản phải nộp khác</t>
  </si>
  <si>
    <t>300.310.314</t>
  </si>
  <si>
    <t>Lương CNSX Ghế tay vịn</t>
  </si>
  <si>
    <t>Lương CNSX Ghế không tay</t>
  </si>
  <si>
    <t>Lương CNSX Bàn tròn</t>
  </si>
  <si>
    <t>Lương CNSX Bàn oval</t>
  </si>
  <si>
    <t>Lương CNSX Bàn chữ nhật</t>
  </si>
  <si>
    <t>Lương NV QLPX</t>
  </si>
  <si>
    <t>Lương NV bán hàng</t>
  </si>
  <si>
    <t>Lương CB QLDN</t>
  </si>
  <si>
    <t>300.310.315</t>
  </si>
  <si>
    <t>3351</t>
  </si>
  <si>
    <t>Chi phí phải trả (ngắn hạn)</t>
  </si>
  <si>
    <t>300.330.333</t>
  </si>
  <si>
    <t>3352</t>
  </si>
  <si>
    <t>Chi phí phải trả (dài hạn)</t>
  </si>
  <si>
    <t>300.330.334</t>
  </si>
  <si>
    <t>3361</t>
  </si>
  <si>
    <t>Phải trả nội bộ về vốn kinh doanh</t>
  </si>
  <si>
    <t>300.310.316</t>
  </si>
  <si>
    <t>33621</t>
  </si>
  <si>
    <t>Phải trả nội bộ về chênh lệch tỷ giá</t>
  </si>
  <si>
    <t>300.330.335</t>
  </si>
  <si>
    <t>33622</t>
  </si>
  <si>
    <t>Phải trả nội bộ về chênh lệch tỷ giá (dài hạn)</t>
  </si>
  <si>
    <t>33631</t>
  </si>
  <si>
    <t>Phải trả nội bộ về chi phí đi vay đủ điều kiện được vốn hóa</t>
  </si>
  <si>
    <t>33632</t>
  </si>
  <si>
    <t>Phải trả nội bộ về chi phí đi vay đủ điều kiện được vốn hóa (dài hạn)</t>
  </si>
  <si>
    <t>33681</t>
  </si>
  <si>
    <t>Phải trả nội bộ khác</t>
  </si>
  <si>
    <t>33682</t>
  </si>
  <si>
    <t>Phải trả nội bộ khác (dài hạn)</t>
  </si>
  <si>
    <t>300.310.317</t>
  </si>
  <si>
    <t>337</t>
  </si>
  <si>
    <t>Thanh toán theo tiến độ kế hoạch hợp đồng xây dựng</t>
  </si>
  <si>
    <t>300.310.319</t>
  </si>
  <si>
    <t>3381</t>
  </si>
  <si>
    <t>Tài sản thừa chờ giải quyết</t>
  </si>
  <si>
    <t>Kinh phí công đoàn</t>
  </si>
  <si>
    <t>Bảo hiểm xã hội</t>
  </si>
  <si>
    <t>Bảo hiểm y tế</t>
  </si>
  <si>
    <t>3385</t>
  </si>
  <si>
    <t>Phải trả về cổ phần hóa</t>
  </si>
  <si>
    <t>3386</t>
  </si>
  <si>
    <t>Bảo hiểm thất nghiệp</t>
  </si>
  <si>
    <t>300.310.318</t>
  </si>
  <si>
    <t>33871</t>
  </si>
  <si>
    <t>Doanh thu chưa thực hiện</t>
  </si>
  <si>
    <t>300.330.336</t>
  </si>
  <si>
    <t>33872</t>
  </si>
  <si>
    <t>Doanh thu chưa thực hiện (sau 12 tháng)</t>
  </si>
  <si>
    <t>Phải trả, phải nộp khác</t>
  </si>
  <si>
    <t>300.310.320</t>
  </si>
  <si>
    <t>3411</t>
  </si>
  <si>
    <t>Các khoản đi vay</t>
  </si>
  <si>
    <t>3412</t>
  </si>
  <si>
    <t>Nợ thuê tài chính</t>
  </si>
  <si>
    <t>34311</t>
  </si>
  <si>
    <t>Mệnh giá trái phiếu</t>
  </si>
  <si>
    <t>34312</t>
  </si>
  <si>
    <t>Chiết khấu trái phiếu</t>
  </si>
  <si>
    <t>34313</t>
  </si>
  <si>
    <t>Phụ trội trái phiếu</t>
  </si>
  <si>
    <t>300.330.339</t>
  </si>
  <si>
    <t>3432</t>
  </si>
  <si>
    <t>Trái phiếu chuyển đổi</t>
  </si>
  <si>
    <t>300.330.337</t>
  </si>
  <si>
    <t>344</t>
  </si>
  <si>
    <t>Nhận ký quỹ, ký cược</t>
  </si>
  <si>
    <t>300.330.341</t>
  </si>
  <si>
    <t>347</t>
  </si>
  <si>
    <t>Thuế thu nhập hoãn lại phải trả</t>
  </si>
  <si>
    <t>300.310.321</t>
  </si>
  <si>
    <t>3521</t>
  </si>
  <si>
    <t>Dự phòng bảo hành sản phẩm hàng hóa</t>
  </si>
  <si>
    <t>3522</t>
  </si>
  <si>
    <t>Dự phòng bảo hành công trình xây dựng</t>
  </si>
  <si>
    <t>3523</t>
  </si>
  <si>
    <t>Dự phòng tái cơ cấu doanh nghiệp</t>
  </si>
  <si>
    <t>3524</t>
  </si>
  <si>
    <t>Dự phòng phải trả khác</t>
  </si>
  <si>
    <t>300.310.322</t>
  </si>
  <si>
    <t>3531</t>
  </si>
  <si>
    <t>Quỹ khen thưởng</t>
  </si>
  <si>
    <t>3532</t>
  </si>
  <si>
    <t>Quỹ phúc lợi</t>
  </si>
  <si>
    <t>3533</t>
  </si>
  <si>
    <t>Quỹ phúc lợi đã hình thành TSCĐ</t>
  </si>
  <si>
    <t>3534</t>
  </si>
  <si>
    <t>Quỹ thưởng ban điều hành công ty</t>
  </si>
  <si>
    <t>300.330.343</t>
  </si>
  <si>
    <t>3561</t>
  </si>
  <si>
    <t>Quỹ phát triển khoa học và công nghệ</t>
  </si>
  <si>
    <t>3562</t>
  </si>
  <si>
    <t>Quỹ phát triển khoa học và công nghệ đã hình thành TSCĐ</t>
  </si>
  <si>
    <t>300.310.323</t>
  </si>
  <si>
    <t>357</t>
  </si>
  <si>
    <t>Quỹ bình ổn giá</t>
  </si>
  <si>
    <t>400.410.411a</t>
  </si>
  <si>
    <t>41111</t>
  </si>
  <si>
    <t>Cổ phiếu phổ thông có quyền biểu quyết</t>
  </si>
  <si>
    <t>400.410.411b</t>
  </si>
  <si>
    <t>41112</t>
  </si>
  <si>
    <t>Cổ phiếu ưu đãi</t>
  </si>
  <si>
    <t>400.410.412</t>
  </si>
  <si>
    <t>4112</t>
  </si>
  <si>
    <t>Thặng dư vốn cổ phần</t>
  </si>
  <si>
    <t>400.410.413</t>
  </si>
  <si>
    <t>4113</t>
  </si>
  <si>
    <t>Quyền chọn chuyển đổi trái phiếu</t>
  </si>
  <si>
    <t>400.410.414</t>
  </si>
  <si>
    <t>4118</t>
  </si>
  <si>
    <t>Vốn khác</t>
  </si>
  <si>
    <t>400.410.416</t>
  </si>
  <si>
    <t>412</t>
  </si>
  <si>
    <t>Chênh lệch đánh giá lại tài sản</t>
  </si>
  <si>
    <t>400.410.417</t>
  </si>
  <si>
    <t>4131</t>
  </si>
  <si>
    <t>Chênh lệch tỷ giá do đánh giá lại các khoản mục tiền tệ có gốc ngoại tệ</t>
  </si>
  <si>
    <t>4132</t>
  </si>
  <si>
    <t>Chênh lệch tỷ giá hối đoái trong giai đoạn trước hoạt động</t>
  </si>
  <si>
    <t>400.410.418</t>
  </si>
  <si>
    <t>414</t>
  </si>
  <si>
    <t>Quỹ đầu tư phát triển</t>
  </si>
  <si>
    <t>400.410.419</t>
  </si>
  <si>
    <t>417</t>
  </si>
  <si>
    <t>Quỹ hỗ trợ sắp xếp doanh nghiệp</t>
  </si>
  <si>
    <t>400.410.420</t>
  </si>
  <si>
    <t>418</t>
  </si>
  <si>
    <t>Các quỹ khác thuộc vốn chủ sở hữu</t>
  </si>
  <si>
    <t>400.410.415</t>
  </si>
  <si>
    <t>419</t>
  </si>
  <si>
    <t>Cổ phiếu quỹ</t>
  </si>
  <si>
    <t>400.410.421a</t>
  </si>
  <si>
    <t>4211</t>
  </si>
  <si>
    <t>Lợi nhuận sau thuế chưa phân phối năm trước</t>
  </si>
  <si>
    <t>400.410.421b</t>
  </si>
  <si>
    <t>Lợi nhuận sau thuế chưa phân phối năm nay</t>
  </si>
  <si>
    <t>400.410.422</t>
  </si>
  <si>
    <t>441</t>
  </si>
  <si>
    <t>Nguồn vốn đầu tư xây dựng cơ bản</t>
  </si>
  <si>
    <t>400.430.431</t>
  </si>
  <si>
    <t>461</t>
  </si>
  <si>
    <t>Nguồn kinh phí sự nghiệp</t>
  </si>
  <si>
    <t>466</t>
  </si>
  <si>
    <t>Nguồn kinh phí đã hình thành TSCĐ</t>
  </si>
  <si>
    <t>5111</t>
  </si>
  <si>
    <t>Doanh thu bán hàng hóa</t>
  </si>
  <si>
    <t>Doanh thu bán Ghế tay vịn</t>
  </si>
  <si>
    <t>Doanh thu bán Ghế không tay</t>
  </si>
  <si>
    <t>5112.0201</t>
  </si>
  <si>
    <t>Doanh thu bán  Bàn tròn</t>
  </si>
  <si>
    <t>Doanh thu bán Bàn oval</t>
  </si>
  <si>
    <t>5112.0203</t>
  </si>
  <si>
    <t>Doanh thu bán Bàn chữ nhật</t>
  </si>
  <si>
    <t>5113</t>
  </si>
  <si>
    <t>Doanh thu cung cấp dịch vụ</t>
  </si>
  <si>
    <t>5114</t>
  </si>
  <si>
    <t>Doanh thu trợ cấp, trợ giá</t>
  </si>
  <si>
    <t>5117</t>
  </si>
  <si>
    <t>Doanh thu kinh doanh bất động sản đầu tư</t>
  </si>
  <si>
    <t>515</t>
  </si>
  <si>
    <t>Doanh thu hoạt động tài chính</t>
  </si>
  <si>
    <t>5211</t>
  </si>
  <si>
    <t>Chiết khấu thương mại</t>
  </si>
  <si>
    <t>5212</t>
  </si>
  <si>
    <t>Giảm giá hàng bán</t>
  </si>
  <si>
    <t>5213</t>
  </si>
  <si>
    <t>Hàng bán bị trả lại</t>
  </si>
  <si>
    <t>6111</t>
  </si>
  <si>
    <t>Mua nguyên liệu, vật liệu</t>
  </si>
  <si>
    <t>6112</t>
  </si>
  <si>
    <t>Mua hàng hóa</t>
  </si>
  <si>
    <t>CFNVL Ghế tay vịn</t>
  </si>
  <si>
    <t>6211.02</t>
  </si>
  <si>
    <t>CFNVL Ghế không tay</t>
  </si>
  <si>
    <t>CFNVL Bàn tròn</t>
  </si>
  <si>
    <t>6211.04</t>
  </si>
  <si>
    <t>CFNVL Bàn oval</t>
  </si>
  <si>
    <t>6211.05</t>
  </si>
  <si>
    <t>CFNVL Bàn chữ nhật</t>
  </si>
  <si>
    <t>CFNC Ghế tay vịn</t>
  </si>
  <si>
    <t>CFNC Ghế không tay</t>
  </si>
  <si>
    <t>CFNC Bàn tròn</t>
  </si>
  <si>
    <t>CFNCBàn oval</t>
  </si>
  <si>
    <t>CFNC Bàn chữ nhật</t>
  </si>
  <si>
    <t>6231</t>
  </si>
  <si>
    <t>Chi phí nhân công</t>
  </si>
  <si>
    <t>6232</t>
  </si>
  <si>
    <t>Chi phí nguyên, vật liệu</t>
  </si>
  <si>
    <t>6233</t>
  </si>
  <si>
    <t>Chi phí dụng cụ sản xuất</t>
  </si>
  <si>
    <t>6234</t>
  </si>
  <si>
    <t>Chi phí khấu hao máy thi công</t>
  </si>
  <si>
    <t>6237</t>
  </si>
  <si>
    <t>Chi phí dịch vụ mua ngoài</t>
  </si>
  <si>
    <t>6238</t>
  </si>
  <si>
    <t>Chi phí bằng tiền khác</t>
  </si>
  <si>
    <t>Chi phí nhân viên phân xưởng</t>
  </si>
  <si>
    <t>6272</t>
  </si>
  <si>
    <t>Chi phí khấu hao TSCĐ</t>
  </si>
  <si>
    <t>6277</t>
  </si>
  <si>
    <t>6278</t>
  </si>
  <si>
    <t>631</t>
  </si>
  <si>
    <t>Giá thành sản xuất</t>
  </si>
  <si>
    <t>GVHB Ghế tay vịn</t>
  </si>
  <si>
    <t>GVHB Ghế không tay</t>
  </si>
  <si>
    <t>632.0201</t>
  </si>
  <si>
    <t>GVHB Bàn tròn</t>
  </si>
  <si>
    <t>GVHB Bàn oval</t>
  </si>
  <si>
    <t>632.0203</t>
  </si>
  <si>
    <t>GVHB Bàn chữ nhật</t>
  </si>
  <si>
    <t>635</t>
  </si>
  <si>
    <t>Chi phí tài chính</t>
  </si>
  <si>
    <t>6351</t>
  </si>
  <si>
    <t>Chi phí lãi vay</t>
  </si>
  <si>
    <t xml:space="preserve">Chi phí nhân viên </t>
  </si>
  <si>
    <t>6412</t>
  </si>
  <si>
    <t>Chi phí nguyên vật liệu, bao bì</t>
  </si>
  <si>
    <t>Chi phí dụng cụ, đồ dùng</t>
  </si>
  <si>
    <t>6414</t>
  </si>
  <si>
    <t>6415</t>
  </si>
  <si>
    <t>Chi phí bảo hành</t>
  </si>
  <si>
    <t>6417</t>
  </si>
  <si>
    <t>6418</t>
  </si>
  <si>
    <t>Chi phí nhân viên quản lý</t>
  </si>
  <si>
    <t>6422</t>
  </si>
  <si>
    <t>Chi phí vật liệu quản lý</t>
  </si>
  <si>
    <t>Chi phí đồ dùng văn phòng</t>
  </si>
  <si>
    <t>6425</t>
  </si>
  <si>
    <t>Thuế, phí và lệ phí</t>
  </si>
  <si>
    <t>6426</t>
  </si>
  <si>
    <t>Chi phí dự phòng</t>
  </si>
  <si>
    <t>6427</t>
  </si>
  <si>
    <t>711</t>
  </si>
  <si>
    <t>Thu nhập khác</t>
  </si>
  <si>
    <t>811</t>
  </si>
  <si>
    <t>Chi phí khác</t>
  </si>
  <si>
    <t>8211</t>
  </si>
  <si>
    <t>Chi phí thuế TNDN hiện hành</t>
  </si>
  <si>
    <t>8212</t>
  </si>
  <si>
    <t>Chi phí thuế TNDN hoãn lại</t>
  </si>
  <si>
    <t>Xác định kết quả kinh doanh (GTV)</t>
  </si>
  <si>
    <t>Xác định kết quả kinh doanh (GKT)</t>
  </si>
  <si>
    <t>9111.0201</t>
  </si>
  <si>
    <t>Xác định kết quả kinh doanh (BT)</t>
  </si>
  <si>
    <t>Xác định kết quả kinh doanh (BO)</t>
  </si>
  <si>
    <t>9111.0203</t>
  </si>
  <si>
    <t>Xác định kết quả kinh doanh (BCN)</t>
  </si>
  <si>
    <t>9111.0303</t>
  </si>
  <si>
    <t>Xác định kết quả kinh doanh</t>
  </si>
  <si>
    <t>HỆ THỐNG TÀI KHOẢN CẤP 1</t>
  </si>
  <si>
    <t>TK</t>
  </si>
  <si>
    <t>SDDK1</t>
  </si>
  <si>
    <t>DKNO1</t>
  </si>
  <si>
    <t>DKCO1</t>
  </si>
  <si>
    <t>111</t>
  </si>
  <si>
    <t>Tiền Mặt</t>
  </si>
  <si>
    <t>112</t>
  </si>
  <si>
    <t>Tiền gửi Ngân Hàng</t>
  </si>
  <si>
    <t>113</t>
  </si>
  <si>
    <t>Tiền đang chuyển</t>
  </si>
  <si>
    <t>121</t>
  </si>
  <si>
    <t>Chứng khoán kinh doanh</t>
  </si>
  <si>
    <t>128</t>
  </si>
  <si>
    <t xml:space="preserve">Đầu tư nắm giữ đến ngày đáo hạn </t>
  </si>
  <si>
    <t>131</t>
  </si>
  <si>
    <t>Phải thu của khách hàng</t>
  </si>
  <si>
    <t>133</t>
  </si>
  <si>
    <t>Thuế GTGT được khấu trừ</t>
  </si>
  <si>
    <t>136</t>
  </si>
  <si>
    <t>Phải thu nội bộ</t>
  </si>
  <si>
    <t>138</t>
  </si>
  <si>
    <t>Phải thu khác</t>
  </si>
  <si>
    <t>141</t>
  </si>
  <si>
    <t>Tạm ứng</t>
  </si>
  <si>
    <t>Hàng mua đang đi đường</t>
  </si>
  <si>
    <t>152</t>
  </si>
  <si>
    <t>Nguyên liệu, vật liệu</t>
  </si>
  <si>
    <t>153</t>
  </si>
  <si>
    <t>Công cụ, dụng cụ</t>
  </si>
  <si>
    <t>154</t>
  </si>
  <si>
    <t>Chi phí sản xuất, kinh doanh dở dang</t>
  </si>
  <si>
    <t>155</t>
  </si>
  <si>
    <t>Thành phẩm</t>
  </si>
  <si>
    <t>156</t>
  </si>
  <si>
    <t>Hàng hóa</t>
  </si>
  <si>
    <t>161</t>
  </si>
  <si>
    <t>Chi sự nghiệp</t>
  </si>
  <si>
    <t>211</t>
  </si>
  <si>
    <t>Tài sản cố định hữu hình</t>
  </si>
  <si>
    <t>212</t>
  </si>
  <si>
    <t>Tài sản cố định thuê tài chính</t>
  </si>
  <si>
    <t>213</t>
  </si>
  <si>
    <t>Tài sản cố định vô hình</t>
  </si>
  <si>
    <t>214</t>
  </si>
  <si>
    <t>Hao mòn tài sản cố định</t>
  </si>
  <si>
    <t>228</t>
  </si>
  <si>
    <t>229</t>
  </si>
  <si>
    <t>Dự phòng tổn thất tài sản</t>
  </si>
  <si>
    <t>241</t>
  </si>
  <si>
    <t xml:space="preserve">Xây dựng cơ bản dở dang </t>
  </si>
  <si>
    <t>242</t>
  </si>
  <si>
    <t>Chi phí trả trước</t>
  </si>
  <si>
    <t>244</t>
  </si>
  <si>
    <t>Cầm cố, thế chấp, ký quỹ, ký cược</t>
  </si>
  <si>
    <t>331</t>
  </si>
  <si>
    <t>Phải trả cho người bán</t>
  </si>
  <si>
    <t>333</t>
  </si>
  <si>
    <t>Thuế và các khoản phải nộp Nhà nước</t>
  </si>
  <si>
    <t>334</t>
  </si>
  <si>
    <t>Phải trả người lao động</t>
  </si>
  <si>
    <t>335</t>
  </si>
  <si>
    <t>Chi phí phải trả</t>
  </si>
  <si>
    <t>336</t>
  </si>
  <si>
    <t>Phải trả nội bộ</t>
  </si>
  <si>
    <t>338</t>
  </si>
  <si>
    <t>341</t>
  </si>
  <si>
    <t>Vay và nợ thuê tài chính</t>
  </si>
  <si>
    <t>343</t>
  </si>
  <si>
    <t>Trái phiếu phát hành</t>
  </si>
  <si>
    <t xml:space="preserve">Nhận ký quỹ, ký cược </t>
  </si>
  <si>
    <t>352</t>
  </si>
  <si>
    <t>Dự phòng phải trả</t>
  </si>
  <si>
    <t>353</t>
  </si>
  <si>
    <t>Quỹ khen thưởng phúc lợi</t>
  </si>
  <si>
    <t>356</t>
  </si>
  <si>
    <t>411</t>
  </si>
  <si>
    <t>Vốn đầu tư của chủ sở hữu</t>
  </si>
  <si>
    <t>413</t>
  </si>
  <si>
    <t>Chênh lệch tỷ giá hối đoái</t>
  </si>
  <si>
    <t>Qũy đầu tư phát triển</t>
  </si>
  <si>
    <t>421</t>
  </si>
  <si>
    <t>Lợi nhuận sau thuế chưa phân phối</t>
  </si>
  <si>
    <t>Nguồn kinh phí sự nghiêp</t>
  </si>
  <si>
    <t>511</t>
  </si>
  <si>
    <t>Doanh thu bán hàng và cung cấp dịch vụ</t>
  </si>
  <si>
    <t xml:space="preserve">Doanh thu hoạt động tài chính </t>
  </si>
  <si>
    <t>521</t>
  </si>
  <si>
    <t>Các khoản giảm trừ doanh thu</t>
  </si>
  <si>
    <t>611</t>
  </si>
  <si>
    <t>Mua hàng</t>
  </si>
  <si>
    <t>621</t>
  </si>
  <si>
    <t>Chi phí nguyên liệu, vật liệu trực tiếp</t>
  </si>
  <si>
    <t>622</t>
  </si>
  <si>
    <t>Chi phí nhân công trực tiếp</t>
  </si>
  <si>
    <t>623</t>
  </si>
  <si>
    <t>Chi phí sử dụng máy thi công</t>
  </si>
  <si>
    <t>627</t>
  </si>
  <si>
    <t>Chi phí sản xuất chung</t>
  </si>
  <si>
    <t>632</t>
  </si>
  <si>
    <t>Giá vốn hàng bán</t>
  </si>
  <si>
    <t>641</t>
  </si>
  <si>
    <t>Chi phí bán hàng</t>
  </si>
  <si>
    <t>642</t>
  </si>
  <si>
    <t>Chi phí quản lý doanh nghiệp</t>
  </si>
  <si>
    <t>821</t>
  </si>
  <si>
    <t>Chi phí thuế thu nhập doanh nghiệp</t>
  </si>
  <si>
    <t>911</t>
  </si>
  <si>
    <t>NHẬT KÝ THU TIỀN</t>
  </si>
  <si>
    <t>Số hiệu</t>
  </si>
  <si>
    <t>Chứng từ</t>
  </si>
  <si>
    <t>Diễn giải</t>
  </si>
  <si>
    <t>Ghi nợ TK 111</t>
  </si>
  <si>
    <t>Ghi có các tài khoản</t>
  </si>
  <si>
    <t>Ngày</t>
  </si>
  <si>
    <t>Số</t>
  </si>
  <si>
    <t>Tài khoản</t>
  </si>
  <si>
    <t>Số tiền</t>
  </si>
  <si>
    <t>[9]</t>
  </si>
  <si>
    <t>[10]</t>
  </si>
  <si>
    <t>Tổng cộng:</t>
  </si>
  <si>
    <t>NHẬT KÝ BÁN HÀNG</t>
  </si>
  <si>
    <t>Số hiệu:</t>
  </si>
  <si>
    <t>Phải thu từ người mua</t>
  </si>
  <si>
    <t>Ghi có tài khoản doanh thu</t>
  </si>
  <si>
    <t>thành phẩm</t>
  </si>
  <si>
    <t>Dịch vụ</t>
  </si>
  <si>
    <t>NHẬT KÝ CHI TIỀN</t>
  </si>
  <si>
    <t>Ghi có TK 111</t>
  </si>
  <si>
    <t>Ghi nợ các tài khoản</t>
  </si>
  <si>
    <t>NHẬT KÝ MUA HÀNG</t>
  </si>
  <si>
    <t>Tài khoản ghi nợ</t>
  </si>
  <si>
    <t>Phải trả người bán (Ghi có)</t>
  </si>
  <si>
    <t>Tài khoản khác</t>
  </si>
  <si>
    <t>NHẬT KÝ CHUNG</t>
  </si>
  <si>
    <t>Số hiệu tài khoản</t>
  </si>
  <si>
    <t>Số phát sinh</t>
  </si>
  <si>
    <t>số</t>
  </si>
  <si>
    <t>Nợ</t>
  </si>
  <si>
    <t>Có</t>
  </si>
  <si>
    <t>Lọc dữ liệu</t>
  </si>
  <si>
    <t>LỌC DỮ LIỆU</t>
  </si>
  <si>
    <t>SỔ CÁI TÀI KHOẢN</t>
  </si>
  <si>
    <t>Tên tài khoản</t>
  </si>
  <si>
    <t>Tài khoản đối ứng</t>
  </si>
  <si>
    <t>Số dư đầu kỳ:</t>
  </si>
  <si>
    <t>Tổng phát sinh:</t>
  </si>
  <si>
    <t>Số dư cuối kỳ:</t>
  </si>
  <si>
    <t>Từ ngày</t>
  </si>
  <si>
    <t>Đến ngày</t>
  </si>
  <si>
    <t>Số dư đầu năm:</t>
  </si>
  <si>
    <t>Lũy kế phát sinh:</t>
  </si>
  <si>
    <t>LỌC</t>
  </si>
  <si>
    <t>SỔ CHI TIẾT TÀI KHOẢN</t>
  </si>
  <si>
    <t>Tên tài khoản:</t>
  </si>
  <si>
    <t>Số dư</t>
  </si>
  <si>
    <t>SỔ QUỸ TIỀN MẶT</t>
  </si>
  <si>
    <t>Thu</t>
  </si>
  <si>
    <t>Chi</t>
  </si>
  <si>
    <t>Tồn</t>
  </si>
  <si>
    <t>Tồn quỹ đầu kỳ:</t>
  </si>
  <si>
    <t>Tồn quỹ cuối kỳ:</t>
  </si>
  <si>
    <t>Tồn quỹ đầu kỳ</t>
  </si>
  <si>
    <t>SỔ CHI TIẾT VẬT TƯ HÀNG HÓA</t>
  </si>
  <si>
    <t>Đơn giá</t>
  </si>
  <si>
    <t>Nhập</t>
  </si>
  <si>
    <t>Xuất</t>
  </si>
  <si>
    <t>Số lượng</t>
  </si>
  <si>
    <t>Thành tiền</t>
  </si>
  <si>
    <t>Tồn đầu kỳ:</t>
  </si>
  <si>
    <t>Tồn cuối kỳ:</t>
  </si>
  <si>
    <t>Số hiệu tài khoản:</t>
  </si>
  <si>
    <t xml:space="preserve">Tên tài khoản: </t>
  </si>
  <si>
    <t xml:space="preserve">Ngày </t>
  </si>
  <si>
    <t xml:space="preserve">Tồn đầu kỳ: </t>
  </si>
  <si>
    <t>BẢNG TỔNG HỢP CHI TIẾT TÀI KHOẢN</t>
  </si>
  <si>
    <t>Mã đối tượng</t>
  </si>
  <si>
    <t>Tên đối tượng</t>
  </si>
  <si>
    <t>Số dư dầu kỳ</t>
  </si>
  <si>
    <t>Phát sinh trong kì</t>
  </si>
  <si>
    <t>Số dư cuối kỳ</t>
  </si>
  <si>
    <t xml:space="preserve">Nợ </t>
  </si>
  <si>
    <t>LỌC DL</t>
  </si>
  <si>
    <t>Số dư tài khoản:</t>
  </si>
  <si>
    <t>Số dư đầu năm</t>
  </si>
  <si>
    <t>Lũy kế phát sinh</t>
  </si>
  <si>
    <t>TÔNG CỘNG:</t>
  </si>
  <si>
    <t>SỐ DƯ TÀI KHOẢN:</t>
  </si>
  <si>
    <t>BẢNG TỔNG HỢP CHI TIẾT VẬT TƯ HÀNG HÓA</t>
  </si>
  <si>
    <t>Mã NVL</t>
  </si>
  <si>
    <t>Tên NVL</t>
  </si>
  <si>
    <t>Tồn đầu kỳ</t>
  </si>
  <si>
    <t>Nhập trong kỳ</t>
  </si>
  <si>
    <t>Xuất trong kỳ</t>
  </si>
  <si>
    <t>Tồn cuối kỳ</t>
  </si>
  <si>
    <t>BẢNG CÂN ĐỐI PHÁT SINH TÀI KHOẢN CHI TIẾT</t>
  </si>
  <si>
    <t>Số dư đầu kỳ</t>
  </si>
  <si>
    <t>Số phát sinh trong</t>
  </si>
  <si>
    <t>TỔNG CỘNG:</t>
  </si>
  <si>
    <t>BẢNG CÂN ĐỐI PHÁT SINH TÀI KHOẢN TỔNG HỢP</t>
  </si>
  <si>
    <t>Số đầu kỳ</t>
  </si>
  <si>
    <t>Số cuối kỳ</t>
  </si>
  <si>
    <t>BẢNG CÂN ĐỐI PHÁT SINH TÀI KHOẢN TỔNG HỢP - CHI TIẾT</t>
  </si>
  <si>
    <t>Từ ngày:</t>
  </si>
  <si>
    <t>Đến ngày:</t>
  </si>
  <si>
    <t>Tồn đầu năm</t>
  </si>
  <si>
    <t>Lũy kế phát sinh Nhập</t>
  </si>
  <si>
    <t>Lũy kế phát sinh Xuất</t>
  </si>
  <si>
    <t xml:space="preserve">Thành tiền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</si>
</sst>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[&quot;0&quot;]&quot;"/>
    <numFmt numFmtId="165" formatCode="#,##0;\(#,##0\);;"/>
    <numFmt numFmtId="166" formatCode="_(* #,##0_);_(* \(#,##0\);_(* &quot;-&quot;??_);_(@_)"/>
    <numFmt numFmtId="167" formatCode="\(0\)"/>
    <numFmt numFmtId="168" formatCode="dd/mm/yy"/>
    <numFmt numFmtId="169" formatCode="#,##0;;"/>
    <numFmt numFmtId="170" formatCode="&quot;[&quot;#&quot;]&quot;"/>
  </numFmts>
  <fonts count="20" x14ac:knownFonts="1">
    <font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3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  <charset val="163"/>
    </font>
    <font>
      <b/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2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9" fontId="3" fillId="0" borderId="1" xfId="0" quotePrefix="1" applyNumberFormat="1" applyFont="1" applyBorder="1"/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65" fontId="3" fillId="0" borderId="2" xfId="0" applyNumberFormat="1" applyFont="1" applyBorder="1"/>
    <xf numFmtId="0" fontId="3" fillId="0" borderId="1" xfId="0" applyFont="1" applyBorder="1" applyAlignment="1">
      <alignment vertical="center" wrapText="1"/>
    </xf>
    <xf numFmtId="0" fontId="3" fillId="0" borderId="0" xfId="0" quotePrefix="1" applyFont="1"/>
    <xf numFmtId="49" fontId="3" fillId="0" borderId="1" xfId="0" applyNumberFormat="1" applyFont="1" applyBorder="1"/>
    <xf numFmtId="165" fontId="3" fillId="0" borderId="1" xfId="0" applyNumberFormat="1" applyFont="1" applyBorder="1"/>
    <xf numFmtId="166" fontId="2" fillId="0" borderId="0" xfId="1" applyNumberFormat="1" applyFont="1"/>
    <xf numFmtId="3" fontId="3" fillId="0" borderId="0" xfId="0" applyNumberFormat="1" applyFont="1"/>
    <xf numFmtId="166" fontId="3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7" fontId="2" fillId="2" borderId="2" xfId="0" applyNumberFormat="1" applyFont="1" applyFill="1" applyBorder="1" applyAlignment="1">
      <alignment horizontal="center" vertical="center"/>
    </xf>
    <xf numFmtId="167" fontId="2" fillId="2" borderId="3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49" fontId="3" fillId="0" borderId="1" xfId="0" quotePrefix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165" fontId="3" fillId="0" borderId="5" xfId="0" applyNumberFormat="1" applyFont="1" applyBorder="1"/>
    <xf numFmtId="165" fontId="3" fillId="3" borderId="1" xfId="0" applyNumberFormat="1" applyFont="1" applyFill="1" applyBorder="1"/>
    <xf numFmtId="165" fontId="3" fillId="4" borderId="1" xfId="0" applyNumberFormat="1" applyFont="1" applyFill="1" applyBorder="1"/>
    <xf numFmtId="0" fontId="4" fillId="0" borderId="1" xfId="0" quotePrefix="1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/>
    </xf>
    <xf numFmtId="3" fontId="3" fillId="0" borderId="1" xfId="0" quotePrefix="1" applyNumberFormat="1" applyFont="1" applyBorder="1"/>
    <xf numFmtId="0" fontId="3" fillId="0" borderId="0" xfId="0" quotePrefix="1" applyFont="1" applyAlignment="1">
      <alignment horizontal="center"/>
    </xf>
    <xf numFmtId="0" fontId="3" fillId="0" borderId="1" xfId="0" quotePrefix="1" applyFont="1" applyBorder="1"/>
    <xf numFmtId="0" fontId="3" fillId="0" borderId="4" xfId="0" applyFont="1" applyBorder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5" fontId="3" fillId="0" borderId="0" xfId="0" applyNumberFormat="1" applyFont="1"/>
    <xf numFmtId="0" fontId="6" fillId="0" borderId="6" xfId="0" applyFont="1" applyBorder="1"/>
    <xf numFmtId="0" fontId="7" fillId="2" borderId="1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7" fontId="8" fillId="0" borderId="0" xfId="0" applyNumberFormat="1" applyFont="1" applyAlignment="1">
      <alignment horizontal="center"/>
    </xf>
    <xf numFmtId="167" fontId="8" fillId="0" borderId="7" xfId="0" applyNumberFormat="1" applyFont="1" applyBorder="1" applyAlignment="1">
      <alignment horizontal="center"/>
    </xf>
    <xf numFmtId="167" fontId="8" fillId="0" borderId="7" xfId="0" applyNumberFormat="1" applyFont="1" applyBorder="1" applyAlignment="1">
      <alignment horizontal="center" wrapText="1"/>
    </xf>
    <xf numFmtId="167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3" fillId="0" borderId="7" xfId="0" applyFont="1" applyBorder="1"/>
    <xf numFmtId="3" fontId="3" fillId="0" borderId="7" xfId="0" applyNumberFormat="1" applyFont="1" applyBorder="1"/>
    <xf numFmtId="3" fontId="8" fillId="0" borderId="7" xfId="0" applyNumberFormat="1" applyFont="1" applyBorder="1"/>
    <xf numFmtId="14" fontId="8" fillId="0" borderId="7" xfId="1" applyNumberFormat="1" applyFont="1" applyBorder="1"/>
    <xf numFmtId="0" fontId="8" fillId="0" borderId="7" xfId="0" applyFont="1" applyBorder="1"/>
    <xf numFmtId="0" fontId="8" fillId="0" borderId="7" xfId="0" quotePrefix="1" applyFont="1" applyBorder="1" applyAlignment="1">
      <alignment horizontal="left"/>
    </xf>
    <xf numFmtId="49" fontId="8" fillId="0" borderId="7" xfId="0" applyNumberFormat="1" applyFont="1" applyBorder="1" applyAlignment="1">
      <alignment horizontal="center"/>
    </xf>
    <xf numFmtId="3" fontId="8" fillId="0" borderId="8" xfId="0" applyNumberFormat="1" applyFont="1" applyBorder="1"/>
    <xf numFmtId="3" fontId="9" fillId="0" borderId="8" xfId="0" applyNumberFormat="1" applyFont="1" applyBorder="1"/>
    <xf numFmtId="0" fontId="10" fillId="0" borderId="7" xfId="0" applyFont="1" applyBorder="1"/>
    <xf numFmtId="0" fontId="10" fillId="0" borderId="8" xfId="0" applyFont="1" applyBorder="1"/>
    <xf numFmtId="0" fontId="3" fillId="0" borderId="8" xfId="0" applyFont="1" applyBorder="1"/>
    <xf numFmtId="0" fontId="3" fillId="0" borderId="0" xfId="0" applyFont="1" applyProtection="1">
      <protection hidden="1"/>
    </xf>
    <xf numFmtId="3" fontId="3" fillId="0" borderId="1" xfId="0" applyNumberFormat="1" applyFont="1" applyBorder="1"/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8" fillId="0" borderId="1" xfId="0" applyNumberFormat="1" applyFont="1" applyBorder="1"/>
    <xf numFmtId="14" fontId="3" fillId="0" borderId="1" xfId="0" applyNumberFormat="1" applyFont="1" applyBorder="1"/>
    <xf numFmtId="0" fontId="0" fillId="0" borderId="0" xfId="0" quotePrefix="1"/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169" fontId="0" fillId="0" borderId="0" xfId="0" applyNumberFormat="1"/>
    <xf numFmtId="168" fontId="0" fillId="0" borderId="1" xfId="0" applyNumberFormat="1" applyBorder="1"/>
    <xf numFmtId="169" fontId="0" fillId="0" borderId="1" xfId="0" applyNumberFormat="1" applyBorder="1"/>
    <xf numFmtId="0" fontId="7" fillId="0" borderId="0" xfId="0" applyFont="1" applyAlignment="1">
      <alignment horizontal="right"/>
    </xf>
    <xf numFmtId="0" fontId="11" fillId="0" borderId="1" xfId="0" applyFont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8" fontId="3" fillId="0" borderId="1" xfId="0" applyNumberFormat="1" applyFont="1" applyBorder="1"/>
    <xf numFmtId="169" fontId="3" fillId="0" borderId="1" xfId="0" applyNumberFormat="1" applyFont="1" applyBorder="1"/>
    <xf numFmtId="170" fontId="0" fillId="0" borderId="1" xfId="0" applyNumberFormat="1" applyBorder="1" applyAlignment="1">
      <alignment horizontal="center"/>
    </xf>
    <xf numFmtId="14" fontId="0" fillId="0" borderId="0" xfId="0" applyNumberFormat="1"/>
    <xf numFmtId="169" fontId="11" fillId="0" borderId="0" xfId="0" applyNumberFormat="1" applyFont="1"/>
    <xf numFmtId="0" fontId="11" fillId="0" borderId="2" xfId="0" applyFont="1" applyBorder="1"/>
    <xf numFmtId="0" fontId="11" fillId="0" borderId="9" xfId="0" applyFont="1" applyBorder="1"/>
    <xf numFmtId="14" fontId="0" fillId="0" borderId="1" xfId="0" applyNumberFormat="1" applyBorder="1"/>
    <xf numFmtId="169" fontId="11" fillId="0" borderId="1" xfId="0" applyNumberFormat="1" applyFont="1" applyBorder="1"/>
    <xf numFmtId="0" fontId="11" fillId="0" borderId="0" xfId="0" quotePrefix="1" applyFont="1"/>
    <xf numFmtId="0" fontId="14" fillId="0" borderId="0" xfId="0" applyFont="1"/>
    <xf numFmtId="0" fontId="14" fillId="0" borderId="1" xfId="0" applyFont="1" applyBorder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quotePrefix="1" applyFont="1" applyAlignment="1">
      <alignment vertical="center" wrapText="1"/>
    </xf>
    <xf numFmtId="49" fontId="0" fillId="0" borderId="0" xfId="0" applyNumberFormat="1"/>
    <xf numFmtId="49" fontId="0" fillId="0" borderId="1" xfId="0" applyNumberFormat="1" applyBorder="1"/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 wrapText="1"/>
    </xf>
    <xf numFmtId="0" fontId="2" fillId="0" borderId="0" xfId="0" applyFont="1" applyAlignment="1">
      <alignment vertical="center" wrapText="1"/>
    </xf>
    <xf numFmtId="168" fontId="14" fillId="0" borderId="0" xfId="0" applyNumberFormat="1" applyFont="1"/>
    <xf numFmtId="0" fontId="14" fillId="0" borderId="1" xfId="0" applyFont="1" applyBorder="1" applyAlignment="1">
      <alignment wrapText="1"/>
    </xf>
    <xf numFmtId="0" fontId="10" fillId="0" borderId="0" xfId="0" applyFont="1"/>
    <xf numFmtId="0" fontId="14" fillId="0" borderId="1" xfId="0" applyFont="1" applyBorder="1" applyAlignment="1">
      <alignment horizontal="center" vertical="center"/>
    </xf>
    <xf numFmtId="0" fontId="14" fillId="0" borderId="0" xfId="0" quotePrefix="1" applyFont="1"/>
    <xf numFmtId="169" fontId="14" fillId="0" borderId="1" xfId="0" applyNumberFormat="1" applyFont="1" applyBorder="1" applyAlignment="1">
      <alignment horizontal="center" vertical="center"/>
    </xf>
    <xf numFmtId="169" fontId="2" fillId="0" borderId="0" xfId="0" applyNumberFormat="1" applyFont="1"/>
    <xf numFmtId="0" fontId="2" fillId="0" borderId="1" xfId="0" applyFont="1" applyBorder="1"/>
    <xf numFmtId="169" fontId="2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2" fillId="0" borderId="0" xfId="0" quotePrefix="1" applyFont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3" fontId="2" fillId="0" borderId="9" xfId="0" applyNumberFormat="1" applyFont="1" applyBorder="1"/>
    <xf numFmtId="169" fontId="2" fillId="0" borderId="9" xfId="0" applyNumberFormat="1" applyFont="1" applyBorder="1"/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vertical="center"/>
    </xf>
    <xf numFmtId="0" fontId="10" fillId="0" borderId="1" xfId="0" applyFont="1" applyBorder="1"/>
    <xf numFmtId="0" fontId="14" fillId="0" borderId="0" xfId="0" applyFont="1" applyAlignment="1">
      <alignment horizontal="center" vertical="center"/>
    </xf>
    <xf numFmtId="168" fontId="10" fillId="0" borderId="0" xfId="0" applyNumberFormat="1" applyFont="1"/>
    <xf numFmtId="0" fontId="14" fillId="0" borderId="1" xfId="0" applyFont="1" applyBorder="1" applyAlignment="1">
      <alignment horizontal="centerContinuous" vertical="center"/>
    </xf>
    <xf numFmtId="0" fontId="14" fillId="0" borderId="1" xfId="0" applyFont="1" applyBorder="1" applyAlignment="1">
      <alignment horizontal="left" vertical="center" wrapText="1"/>
    </xf>
    <xf numFmtId="169" fontId="14" fillId="0" borderId="1" xfId="0" applyNumberFormat="1" applyFont="1" applyBorder="1" applyAlignment="1">
      <alignment horizontal="center" vertical="center" wrapText="1"/>
    </xf>
    <xf numFmtId="169" fontId="10" fillId="0" borderId="1" xfId="0" applyNumberFormat="1" applyFont="1" applyBorder="1"/>
    <xf numFmtId="169" fontId="14" fillId="0" borderId="1" xfId="0" applyNumberFormat="1" applyFont="1" applyBorder="1" applyAlignment="1">
      <alignment horizontal="center"/>
    </xf>
    <xf numFmtId="14" fontId="10" fillId="0" borderId="1" xfId="0" applyNumberFormat="1" applyFont="1" applyBorder="1"/>
    <xf numFmtId="49" fontId="11" fillId="0" borderId="0" xfId="0" applyNumberFormat="1" applyFont="1"/>
    <xf numFmtId="49" fontId="11" fillId="0" borderId="1" xfId="0" applyNumberFormat="1" applyFont="1" applyBorder="1"/>
    <xf numFmtId="0" fontId="2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1" fillId="0" borderId="0" xfId="0" applyNumberFormat="1" applyFont="1"/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4" fontId="0" fillId="0" borderId="2" xfId="0" applyNumberFormat="1" applyBorder="1"/>
    <xf numFmtId="0" fontId="0" fillId="0" borderId="2" xfId="0" applyBorder="1"/>
    <xf numFmtId="169" fontId="0" fillId="0" borderId="2" xfId="0" applyNumberFormat="1" applyBorder="1"/>
    <xf numFmtId="14" fontId="3" fillId="0" borderId="2" xfId="0" applyNumberFormat="1" applyFont="1" applyBorder="1"/>
    <xf numFmtId="0" fontId="3" fillId="0" borderId="2" xfId="0" applyFont="1" applyBorder="1"/>
    <xf numFmtId="169" fontId="3" fillId="0" borderId="2" xfId="0" applyNumberFormat="1" applyFont="1" applyBorder="1"/>
    <xf numFmtId="168" fontId="0" fillId="0" borderId="2" xfId="0" applyNumberFormat="1" applyBorder="1"/>
    <xf numFmtId="169" fontId="14" fillId="0" borderId="0" xfId="0" applyNumberFormat="1" applyFont="1"/>
    <xf numFmtId="0" fontId="11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 vertical="center"/>
    </xf>
    <xf numFmtId="170" fontId="3" fillId="0" borderId="1" xfId="0" applyNumberFormat="1" applyFont="1" applyBorder="1" applyAlignment="1">
      <alignment horizontal="center"/>
    </xf>
    <xf numFmtId="170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center"/>
    </xf>
    <xf numFmtId="169" fontId="11" fillId="0" borderId="2" xfId="0" applyNumberFormat="1" applyFont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16" fillId="0" borderId="0" xfId="0" applyNumberFormat="1" applyFont="1"/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8" fillId="0" borderId="0" xfId="0" applyFont="1"/>
    <xf numFmtId="169" fontId="18" fillId="0" borderId="0" xfId="0" applyNumberFormat="1" applyFont="1"/>
    <xf numFmtId="0" fontId="19" fillId="0" borderId="0" xfId="0" applyFont="1"/>
  </cellXfs>
  <cellStyles count="2">
    <cellStyle name="Comma" xfId="1" builtinId="3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mruColors>
      <color rgb="FFFFFF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im%20thien%20phu\2007\Nam2004\Baitap\bc-bh\TPHCM\Book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in%20hoc%20ung%20dung%20trong%20ke%20toan\Dulieu%20minh%20hoa%20THUDTKT%20sv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Tai%20khoan%20TH%20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2"/>
      <sheetName val="D.TUAN"/>
      <sheetName val="BINH"/>
      <sheetName val="TIEN"/>
      <sheetName val="H.YEN"/>
      <sheetName val="N.DUNG"/>
      <sheetName val="QUANGPHUNG"/>
      <sheetName val="LE"/>
      <sheetName val="T.TUAN"/>
      <sheetName val="N.ANH"/>
      <sheetName val="P.LAN"/>
      <sheetName val="A.TUAN"/>
      <sheetName val="K.THUY"/>
      <sheetName val="TRIET"/>
      <sheetName val="#REF"/>
      <sheetName val="thanh"/>
      <sheetName val="H.HUY"/>
      <sheetName val="luynh"/>
      <sheetName val="v.sy"/>
      <sheetName val="TRUNG"/>
      <sheetName val="T.LUONG"/>
      <sheetName val="T.LOC"/>
      <sheetName val="t.hai"/>
      <sheetName val="Xuan"/>
      <sheetName val="M.THUY"/>
      <sheetName val="DIEP1"/>
      <sheetName val="SIEUTHI"/>
      <sheetName val="C.SO"/>
      <sheetName val="N.HUONG"/>
      <sheetName val="QHA"/>
      <sheetName val="NPP2"/>
      <sheetName val="G.HAN"/>
      <sheetName val="NPPQ7"/>
      <sheetName val="ngoc"/>
      <sheetName val="c.huong"/>
      <sheetName val="DIEP3"/>
      <sheetName val="NHATHANH"/>
      <sheetName val="nghia"/>
      <sheetName val="Hoa"/>
      <sheetName val="NPP1"/>
      <sheetName val="T.VU"/>
      <sheetName val="maile"/>
      <sheetName val="ut"/>
      <sheetName val="T.LAN"/>
      <sheetName val="NVS"/>
      <sheetName val="L.chi"/>
      <sheetName val="TONGHOP"/>
      <sheetName val="ESTI."/>
      <sheetName val="DI-ESTI"/>
      <sheetName val="Tæng ng¹ch"/>
      <sheetName val="chitimc"/>
      <sheetName val="Gia_GC_Satthep"/>
      <sheetName val="Chiet tinh dz22"/>
      <sheetName val="CTKM"/>
      <sheetName val="BANGPHU"/>
      <sheetName val="k12"/>
      <sheetName val="Gia"/>
      <sheetName val="PNT-QUOT-#3"/>
      <sheetName val="COAT&amp;WRAP-QIOT-#3"/>
      <sheetName val="PNT_QUOT__3"/>
      <sheetName val="COAT_WRAP_QIOT__3"/>
      <sheetName val="UNIT"/>
      <sheetName val="MTL$-INTER"/>
      <sheetName val="IBASE"/>
      <sheetName val="Dutoan KL"/>
      <sheetName val="PT VATTU"/>
      <sheetName val="DG CANTHO"/>
      <sheetName val="Giathanh1m3BT"/>
      <sheetName val="DON GIA TRAM (3)"/>
      <sheetName val="DGXDCB_DD"/>
      <sheetName val="Gia thanh"/>
      <sheetName val="BAOGIATHANG"/>
      <sheetName val="vanchuyen TC"/>
      <sheetName val="DAODAT"/>
      <sheetName val="gvl"/>
      <sheetName val="Du_lieu"/>
      <sheetName val="KH-Q1,Q2,01"/>
      <sheetName val="VANKHUON"/>
      <sheetName val="CHITIET"/>
      <sheetName val="MTP"/>
      <sheetName val="MTP1"/>
      <sheetName val="QMCT"/>
      <sheetName val="dg-VTu"/>
      <sheetName val="CT Thang Mo"/>
      <sheetName val="CT  PL"/>
      <sheetName val="Chiet tinh dz35"/>
      <sheetName val="Chi tiet"/>
      <sheetName val="NGUON"/>
      <sheetName val="DONVIBAN"/>
      <sheetName val="bang tien luong"/>
      <sheetName val="truc tiep"/>
      <sheetName val="DM 67"/>
      <sheetName val="chi tiet dz 22 kv"/>
      <sheetName val="??-BLDG"/>
      <sheetName val="NEW-PANEL"/>
      <sheetName val="SILICATE"/>
      <sheetName val="MTO REV.0"/>
      <sheetName val="MTO REV.2(ARMOR)"/>
      <sheetName val="Sheet1"/>
      <sheetName val="CTGS"/>
      <sheetName val="XL4Poppy"/>
      <sheetName val="TDTKP"/>
      <sheetName val="DK_KH"/>
      <sheetName val="VAO"/>
      <sheetName val="Tiep 05"/>
      <sheetName val="MA"/>
      <sheetName val="Sheet3"/>
      <sheetName val="phulucvua"/>
      <sheetName val="DTXL"/>
      <sheetName val="CTU"/>
      <sheetName val="MATK"/>
      <sheetName val="l­ongthang"/>
      <sheetName val="thunhap2"/>
      <sheetName val="DG "/>
      <sheetName val="FA-LISTING"/>
      <sheetName val="May"/>
      <sheetName val="vua"/>
      <sheetName val="Vat lieu"/>
      <sheetName val="DTCT"/>
      <sheetName val="DGduong"/>
      <sheetName val="Thuc thanh"/>
      <sheetName val="DG"/>
      <sheetName val="Tra_bang"/>
      <sheetName val="ND"/>
      <sheetName val="TN"/>
      <sheetName val="VL"/>
      <sheetName val="tra-vat-lieu"/>
      <sheetName val="GiaVL"/>
      <sheetName val="DO AM DT"/>
      <sheetName val="dtct cong"/>
      <sheetName val="Section"/>
      <sheetName val="PEDESB"/>
      <sheetName val="TTDZ22"/>
      <sheetName val="TONGKE3p "/>
      <sheetName val="TNHCHINH"/>
      <sheetName val="CHITIET VL-NC-TT -1p"/>
      <sheetName val="TDTKP1"/>
      <sheetName val="KPVC-BD "/>
      <sheetName val="Tiepdia"/>
      <sheetName val="CHITIET VL-NC-TT-3p"/>
      <sheetName val="VCV-BE-TONG"/>
      <sheetName val="VC"/>
      <sheetName val="CHITIET VL-NC"/>
      <sheetName val="THPDMoi  (2)"/>
      <sheetName val="t-h HA THE"/>
      <sheetName val="giathanh1"/>
      <sheetName val="TONGKE-HT"/>
      <sheetName val="dongia (2)"/>
      <sheetName val="gtrinh"/>
      <sheetName val="lam-moi"/>
      <sheetName val="TH XL"/>
      <sheetName val="thao-go"/>
      <sheetName val="DON GIA"/>
      <sheetName val="TONG HOP VL-NC"/>
      <sheetName val="phuluc1"/>
      <sheetName val="TONG HOP VL-NC TT"/>
      <sheetName val="LKVL-CK-HT-GD1"/>
      <sheetName val="TH VL, NC, DDHT Thanhphuoc"/>
      <sheetName val="DONGIA"/>
      <sheetName val="MAIN GATE HOUSE"/>
      <sheetName val="KHQT-00-01"/>
      <sheetName val="Chiet tinh"/>
      <sheetName val="Tongke"/>
      <sheetName val="Sheet2"/>
      <sheetName val="nhan cong"/>
      <sheetName val="A6,MAY"/>
      <sheetName val="NC"/>
      <sheetName val="Page 3"/>
      <sheetName val="CPTNo"/>
      <sheetName val="A6"/>
      <sheetName val="Bang gia tong hop"/>
      <sheetName val="m doc"/>
      <sheetName val="dghn"/>
      <sheetName val="Main"/>
      <sheetName val="Bang chiet tinh TBA"/>
      <sheetName val="THDZ0,4"/>
      <sheetName val="THCT"/>
      <sheetName val="TH DZ35"/>
      <sheetName val="He so"/>
      <sheetName val="btct"/>
      <sheetName val="THKP"/>
      <sheetName val="1vanban"/>
      <sheetName val="gia vt,nc,may"/>
      <sheetName val="TT04"/>
      <sheetName val="TTTram"/>
      <sheetName val="ma-pt"/>
      <sheetName val="T.Tinh"/>
      <sheetName val="4"/>
      <sheetName val="PhÇnCK"/>
      <sheetName val="Gia vat tu"/>
      <sheetName val="DG-Don vi"/>
      <sheetName val="Tke"/>
      <sheetName val="03-01"/>
      <sheetName val="DATA"/>
      <sheetName val="BR"/>
      <sheetName val="Sum"/>
      <sheetName val="DGchitiet "/>
      <sheetName val="DSNV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TTK1"/>
      <sheetName val="DMTK"/>
      <sheetName val="CT"/>
      <sheetName val="SC TN ĐN"/>
      <sheetName val="NKCT TN ĐN"/>
      <sheetName val="CDTKTH TN DN"/>
      <sheetName val="SQ-TGNH TN DN"/>
      <sheetName val="NKC TN DN"/>
      <sheetName val="SC"/>
      <sheetName val="NKC"/>
      <sheetName val="CDKT"/>
      <sheetName val="KQKD"/>
      <sheetName val="LCTT"/>
      <sheetName val="NKTT"/>
      <sheetName val="NKCT"/>
      <sheetName val="SCTTK"/>
      <sheetName val="SQ-TGNH"/>
      <sheetName val="SCTHTK"/>
      <sheetName val="SCP"/>
      <sheetName val="BTHHTK"/>
      <sheetName val="TH131"/>
      <sheetName val="TH152"/>
      <sheetName val="CDTKCT"/>
      <sheetName val="CDTKTH"/>
    </sheetNames>
    <sheetDataSet>
      <sheetData sheetId="0" refreshError="1"/>
      <sheetData sheetId="1">
        <row r="5">
          <cell r="B5" t="str">
            <v>1111</v>
          </cell>
          <cell r="C5" t="str">
            <v>N</v>
          </cell>
          <cell r="D5" t="str">
            <v>Tiền Việt Nam</v>
          </cell>
          <cell r="F5">
            <v>400000000</v>
          </cell>
          <cell r="G5">
            <v>25200000</v>
          </cell>
          <cell r="H5">
            <v>404100000</v>
          </cell>
          <cell r="I5">
            <v>0</v>
          </cell>
          <cell r="J5">
            <v>21100000</v>
          </cell>
          <cell r="K5">
            <v>400000000</v>
          </cell>
          <cell r="L5">
            <v>0</v>
          </cell>
          <cell r="M5" t="str">
            <v>100.110.111</v>
          </cell>
          <cell r="N5">
            <v>400000000</v>
          </cell>
          <cell r="O5" t="str">
            <v>100.110.111</v>
          </cell>
          <cell r="P5">
            <v>21100000</v>
          </cell>
          <cell r="Q5" t="str">
            <v xml:space="preserve"> </v>
          </cell>
        </row>
        <row r="6">
          <cell r="B6" t="str">
            <v>1112</v>
          </cell>
          <cell r="C6" t="str">
            <v>N</v>
          </cell>
          <cell r="D6" t="str">
            <v>Ngoại tệ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 t="str">
            <v>100.110.111</v>
          </cell>
          <cell r="N6">
            <v>0</v>
          </cell>
          <cell r="O6" t="str">
            <v>100.110.111</v>
          </cell>
          <cell r="P6">
            <v>0</v>
          </cell>
          <cell r="Q6" t="str">
            <v xml:space="preserve"> </v>
          </cell>
        </row>
        <row r="7">
          <cell r="B7" t="str">
            <v>1113</v>
          </cell>
          <cell r="C7" t="str">
            <v>N</v>
          </cell>
          <cell r="D7" t="str">
            <v>Vàng tiền tệ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 t="str">
            <v>100.110.111</v>
          </cell>
          <cell r="N7">
            <v>0</v>
          </cell>
          <cell r="O7" t="str">
            <v>100.110.111</v>
          </cell>
          <cell r="P7">
            <v>0</v>
          </cell>
          <cell r="Q7" t="str">
            <v xml:space="preserve"> </v>
          </cell>
        </row>
        <row r="8">
          <cell r="B8" t="str">
            <v>1121.01</v>
          </cell>
          <cell r="C8" t="str">
            <v>N</v>
          </cell>
          <cell r="D8" t="str">
            <v>Tiền Việt Nam NH Ngoại Thương</v>
          </cell>
          <cell r="F8">
            <v>258221000</v>
          </cell>
          <cell r="G8">
            <v>0</v>
          </cell>
          <cell r="H8">
            <v>90000000</v>
          </cell>
          <cell r="I8">
            <v>0</v>
          </cell>
          <cell r="J8">
            <v>168221000</v>
          </cell>
          <cell r="K8">
            <v>258221000</v>
          </cell>
          <cell r="L8">
            <v>0</v>
          </cell>
          <cell r="M8" t="str">
            <v>100.110.111</v>
          </cell>
          <cell r="N8">
            <v>258221000</v>
          </cell>
          <cell r="O8" t="str">
            <v>100.110.111</v>
          </cell>
          <cell r="P8">
            <v>168221000</v>
          </cell>
          <cell r="Q8" t="str">
            <v xml:space="preserve"> </v>
          </cell>
        </row>
        <row r="9">
          <cell r="B9" t="str">
            <v>1121.02</v>
          </cell>
          <cell r="C9" t="str">
            <v>N</v>
          </cell>
          <cell r="D9" t="str">
            <v>Tiền Việt Nam NH Đông Á</v>
          </cell>
          <cell r="F9">
            <v>60000000</v>
          </cell>
          <cell r="G9">
            <v>30000000</v>
          </cell>
          <cell r="H9">
            <v>0</v>
          </cell>
          <cell r="I9">
            <v>0</v>
          </cell>
          <cell r="J9">
            <v>90000000</v>
          </cell>
          <cell r="K9">
            <v>60000000</v>
          </cell>
          <cell r="L9">
            <v>0</v>
          </cell>
          <cell r="M9" t="str">
            <v>100.110.111</v>
          </cell>
          <cell r="N9">
            <v>60000000</v>
          </cell>
          <cell r="O9" t="str">
            <v>100.110.111</v>
          </cell>
          <cell r="P9">
            <v>90000000</v>
          </cell>
          <cell r="Q9" t="str">
            <v xml:space="preserve"> </v>
          </cell>
        </row>
        <row r="10">
          <cell r="B10" t="str">
            <v>1121.03</v>
          </cell>
          <cell r="C10" t="str">
            <v>N</v>
          </cell>
          <cell r="D10" t="str">
            <v>Tiền Việt Nam NH Á Châu</v>
          </cell>
          <cell r="F10">
            <v>40000000</v>
          </cell>
          <cell r="G10">
            <v>0</v>
          </cell>
          <cell r="H10">
            <v>0</v>
          </cell>
          <cell r="I10">
            <v>0</v>
          </cell>
          <cell r="J10">
            <v>40000000</v>
          </cell>
          <cell r="K10">
            <v>40000000</v>
          </cell>
          <cell r="L10">
            <v>0</v>
          </cell>
          <cell r="M10" t="str">
            <v>100.110.111</v>
          </cell>
          <cell r="N10">
            <v>40000000</v>
          </cell>
          <cell r="O10" t="str">
            <v>100.110.111</v>
          </cell>
          <cell r="P10">
            <v>40000000</v>
          </cell>
          <cell r="Q10" t="str">
            <v xml:space="preserve"> </v>
          </cell>
        </row>
        <row r="11">
          <cell r="B11" t="str">
            <v>1122</v>
          </cell>
          <cell r="C11" t="str">
            <v>N</v>
          </cell>
          <cell r="D11" t="str">
            <v>Ngoại tệ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 t="str">
            <v>100.110.111</v>
          </cell>
          <cell r="N11">
            <v>0</v>
          </cell>
          <cell r="O11" t="str">
            <v>100.110.111</v>
          </cell>
          <cell r="P11">
            <v>0</v>
          </cell>
          <cell r="Q11" t="str">
            <v xml:space="preserve"> </v>
          </cell>
        </row>
        <row r="12">
          <cell r="B12" t="str">
            <v>1123</v>
          </cell>
          <cell r="C12" t="str">
            <v>N</v>
          </cell>
          <cell r="D12" t="str">
            <v>Vàng tiền tệ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str">
            <v>100.110.111</v>
          </cell>
          <cell r="N12">
            <v>0</v>
          </cell>
          <cell r="O12" t="str">
            <v>100.110.111</v>
          </cell>
          <cell r="P12">
            <v>0</v>
          </cell>
          <cell r="Q12" t="str">
            <v xml:space="preserve"> </v>
          </cell>
        </row>
        <row r="13">
          <cell r="B13" t="str">
            <v>1131</v>
          </cell>
          <cell r="C13" t="str">
            <v>N</v>
          </cell>
          <cell r="D13" t="str">
            <v>Tiền Việt Nam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 t="str">
            <v>100.110.111</v>
          </cell>
          <cell r="N13">
            <v>0</v>
          </cell>
          <cell r="O13" t="str">
            <v>100.110.111</v>
          </cell>
          <cell r="P13">
            <v>0</v>
          </cell>
          <cell r="Q13" t="str">
            <v xml:space="preserve"> </v>
          </cell>
        </row>
        <row r="14">
          <cell r="B14" t="str">
            <v>1132</v>
          </cell>
          <cell r="C14" t="str">
            <v>N</v>
          </cell>
          <cell r="D14" t="str">
            <v>Ngoại tệ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 t="str">
            <v>100.110.111</v>
          </cell>
          <cell r="N14">
            <v>0</v>
          </cell>
          <cell r="O14" t="str">
            <v>100.110.111</v>
          </cell>
          <cell r="P14">
            <v>0</v>
          </cell>
          <cell r="Q14" t="str">
            <v xml:space="preserve"> </v>
          </cell>
        </row>
        <row r="15">
          <cell r="B15" t="str">
            <v>1211</v>
          </cell>
          <cell r="C15" t="str">
            <v>N</v>
          </cell>
          <cell r="D15" t="str">
            <v xml:space="preserve">Cổ phiếu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100.120.121</v>
          </cell>
          <cell r="N15">
            <v>0</v>
          </cell>
          <cell r="O15" t="str">
            <v>100.120.121</v>
          </cell>
          <cell r="P15">
            <v>0</v>
          </cell>
          <cell r="Q15" t="str">
            <v xml:space="preserve"> </v>
          </cell>
        </row>
        <row r="16">
          <cell r="B16" t="str">
            <v>1212</v>
          </cell>
          <cell r="C16" t="str">
            <v>N</v>
          </cell>
          <cell r="D16" t="str">
            <v>Trái phiếu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 t="str">
            <v>100.120.121</v>
          </cell>
          <cell r="N16">
            <v>0</v>
          </cell>
          <cell r="O16" t="str">
            <v>100.120.121</v>
          </cell>
          <cell r="P16">
            <v>0</v>
          </cell>
          <cell r="Q16" t="str">
            <v xml:space="preserve"> </v>
          </cell>
        </row>
        <row r="17">
          <cell r="B17" t="str">
            <v>12811</v>
          </cell>
          <cell r="C17" t="str">
            <v>N</v>
          </cell>
          <cell r="D17" t="str">
            <v>Tiền gửi có kỳ hạn (không quá 3 tháng)</v>
          </cell>
          <cell r="F17">
            <v>100000000</v>
          </cell>
          <cell r="G17">
            <v>0</v>
          </cell>
          <cell r="H17">
            <v>0</v>
          </cell>
          <cell r="I17">
            <v>0</v>
          </cell>
          <cell r="J17">
            <v>100000000</v>
          </cell>
          <cell r="K17">
            <v>100000000</v>
          </cell>
          <cell r="L17">
            <v>0</v>
          </cell>
          <cell r="M17" t="str">
            <v>100.110.112</v>
          </cell>
          <cell r="N17">
            <v>100000000</v>
          </cell>
          <cell r="O17" t="str">
            <v>100.110.112</v>
          </cell>
          <cell r="P17">
            <v>100000000</v>
          </cell>
          <cell r="Q17" t="str">
            <v xml:space="preserve"> </v>
          </cell>
        </row>
        <row r="18">
          <cell r="B18" t="str">
            <v>12812</v>
          </cell>
          <cell r="C18" t="str">
            <v>N</v>
          </cell>
          <cell r="D18" t="str">
            <v>Tiền gửi có kỳ hạn (không quá 12 tháng)</v>
          </cell>
          <cell r="G18">
            <v>0</v>
          </cell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100.120.123</v>
          </cell>
          <cell r="N18">
            <v>0</v>
          </cell>
          <cell r="O18" t="str">
            <v>100.120.123</v>
          </cell>
          <cell r="P18">
            <v>0</v>
          </cell>
          <cell r="Q18" t="str">
            <v xml:space="preserve"> </v>
          </cell>
        </row>
        <row r="19">
          <cell r="B19" t="str">
            <v>12831</v>
          </cell>
          <cell r="C19" t="str">
            <v>N</v>
          </cell>
          <cell r="D19" t="str">
            <v>Cho vay (không quá 12 tháng)</v>
          </cell>
          <cell r="G19">
            <v>0</v>
          </cell>
          <cell r="H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100.130.135</v>
          </cell>
          <cell r="N19">
            <v>0</v>
          </cell>
          <cell r="O19" t="str">
            <v>100.130.135</v>
          </cell>
          <cell r="P19">
            <v>0</v>
          </cell>
          <cell r="Q19" t="str">
            <v xml:space="preserve"> </v>
          </cell>
        </row>
        <row r="20">
          <cell r="B20" t="str">
            <v>12832</v>
          </cell>
          <cell r="C20" t="str">
            <v>N</v>
          </cell>
          <cell r="D20" t="str">
            <v>Cho vay (trên 12 tháng)</v>
          </cell>
          <cell r="G20">
            <v>0</v>
          </cell>
          <cell r="H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200.210.215</v>
          </cell>
          <cell r="N20">
            <v>0</v>
          </cell>
          <cell r="O20" t="str">
            <v>200.210.215</v>
          </cell>
          <cell r="P20">
            <v>0</v>
          </cell>
          <cell r="Q20" t="str">
            <v xml:space="preserve"> </v>
          </cell>
        </row>
        <row r="21">
          <cell r="B21" t="str">
            <v>12881</v>
          </cell>
          <cell r="C21" t="str">
            <v>N</v>
          </cell>
          <cell r="D21" t="str">
            <v>Các khoản đầu tư khác nắm giữ đến ngày đáo hạn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 t="str">
            <v>100.110.112</v>
          </cell>
          <cell r="N21">
            <v>0</v>
          </cell>
          <cell r="O21" t="str">
            <v>100.110.112</v>
          </cell>
          <cell r="P21">
            <v>0</v>
          </cell>
          <cell r="Q21" t="str">
            <v xml:space="preserve"> </v>
          </cell>
        </row>
        <row r="22">
          <cell r="B22" t="str">
            <v>12882</v>
          </cell>
          <cell r="C22" t="str">
            <v>N</v>
          </cell>
          <cell r="D22" t="str">
            <v>Các khoản đầu tư khác nắm giữ đến ngày đáo hạn (không quá 12 tháng)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 t="str">
            <v>100.120.123</v>
          </cell>
          <cell r="N22">
            <v>0</v>
          </cell>
          <cell r="O22" t="str">
            <v>100.120.123</v>
          </cell>
          <cell r="P22">
            <v>0</v>
          </cell>
          <cell r="Q22" t="str">
            <v xml:space="preserve"> </v>
          </cell>
        </row>
        <row r="23">
          <cell r="B23" t="str">
            <v>1311.01</v>
          </cell>
          <cell r="C23" t="str">
            <v>N</v>
          </cell>
          <cell r="D23" t="str">
            <v>Công ty Quang Minh (ngắn hạn)</v>
          </cell>
          <cell r="F23">
            <v>100000000</v>
          </cell>
          <cell r="G23">
            <v>0</v>
          </cell>
          <cell r="H23">
            <v>20000000</v>
          </cell>
          <cell r="I23">
            <v>0</v>
          </cell>
          <cell r="J23">
            <v>80000000</v>
          </cell>
          <cell r="K23">
            <v>100000000</v>
          </cell>
          <cell r="L23">
            <v>0</v>
          </cell>
          <cell r="M23" t="str">
            <v>100.130.131</v>
          </cell>
          <cell r="N23">
            <v>100000000</v>
          </cell>
          <cell r="O23" t="str">
            <v>100.130.131</v>
          </cell>
          <cell r="P23">
            <v>80000000</v>
          </cell>
          <cell r="Q23" t="str">
            <v xml:space="preserve"> </v>
          </cell>
        </row>
        <row r="24">
          <cell r="B24" t="str">
            <v>1311.02</v>
          </cell>
          <cell r="C24" t="str">
            <v>N</v>
          </cell>
          <cell r="D24" t="str">
            <v>Cty TNHH TMDV Mai Anh (ngắn hạn)</v>
          </cell>
          <cell r="F24">
            <v>70000000</v>
          </cell>
          <cell r="G24">
            <v>0</v>
          </cell>
          <cell r="H24">
            <v>30000000</v>
          </cell>
          <cell r="I24">
            <v>0</v>
          </cell>
          <cell r="J24">
            <v>40000000</v>
          </cell>
          <cell r="K24">
            <v>70000000</v>
          </cell>
          <cell r="L24">
            <v>0</v>
          </cell>
          <cell r="M24" t="str">
            <v>100.130.131</v>
          </cell>
          <cell r="N24">
            <v>70000000</v>
          </cell>
          <cell r="O24" t="str">
            <v>100.130.131</v>
          </cell>
          <cell r="P24">
            <v>40000000</v>
          </cell>
          <cell r="Q24" t="str">
            <v xml:space="preserve"> </v>
          </cell>
        </row>
        <row r="25">
          <cell r="B25" t="str">
            <v>1311.03</v>
          </cell>
          <cell r="C25" t="str">
            <v>N</v>
          </cell>
          <cell r="D25" t="str">
            <v>Cty TNHH Phương Nam (ngắn hạn)</v>
          </cell>
          <cell r="F25">
            <v>57000000</v>
          </cell>
          <cell r="G25">
            <v>0</v>
          </cell>
          <cell r="H25">
            <v>5000000</v>
          </cell>
          <cell r="I25">
            <v>0</v>
          </cell>
          <cell r="J25">
            <v>52000000</v>
          </cell>
          <cell r="K25">
            <v>57000000</v>
          </cell>
          <cell r="L25">
            <v>0</v>
          </cell>
          <cell r="M25" t="str">
            <v>100.130.131</v>
          </cell>
          <cell r="N25">
            <v>57000000</v>
          </cell>
          <cell r="O25" t="str">
            <v>100.130.131</v>
          </cell>
          <cell r="P25">
            <v>52000000</v>
          </cell>
          <cell r="Q25" t="str">
            <v xml:space="preserve"> </v>
          </cell>
        </row>
        <row r="26">
          <cell r="B26" t="str">
            <v>1311.04</v>
          </cell>
          <cell r="C26" t="str">
            <v>N</v>
          </cell>
          <cell r="D26" t="str">
            <v>Cty TNHH Kim Tín (ngắn hạn)</v>
          </cell>
          <cell r="F26">
            <v>-52000000</v>
          </cell>
          <cell r="G26">
            <v>0</v>
          </cell>
          <cell r="H26">
            <v>0</v>
          </cell>
          <cell r="I26">
            <v>0</v>
          </cell>
          <cell r="J26">
            <v>-52000000</v>
          </cell>
          <cell r="K26">
            <v>0</v>
          </cell>
          <cell r="L26">
            <v>52000000</v>
          </cell>
          <cell r="M26" t="str">
            <v>300.310.312</v>
          </cell>
          <cell r="N26">
            <v>52000000</v>
          </cell>
          <cell r="O26" t="str">
            <v>300.310.312</v>
          </cell>
          <cell r="P26">
            <v>52000000</v>
          </cell>
          <cell r="Q26" t="str">
            <v xml:space="preserve"> </v>
          </cell>
        </row>
        <row r="27">
          <cell r="B27" t="str">
            <v>1311.05</v>
          </cell>
          <cell r="C27" t="str">
            <v>N</v>
          </cell>
          <cell r="D27" t="str">
            <v>Cty TNHH Nam Việt (ngắn hạn)</v>
          </cell>
          <cell r="G27">
            <v>30150000</v>
          </cell>
          <cell r="H27">
            <v>0</v>
          </cell>
          <cell r="I27">
            <v>0</v>
          </cell>
          <cell r="J27">
            <v>30150000</v>
          </cell>
          <cell r="K27">
            <v>0</v>
          </cell>
          <cell r="L27">
            <v>0</v>
          </cell>
          <cell r="M27" t="str">
            <v>100.130.131</v>
          </cell>
          <cell r="N27">
            <v>0</v>
          </cell>
          <cell r="O27" t="str">
            <v>100.130.131</v>
          </cell>
          <cell r="P27">
            <v>30150000</v>
          </cell>
          <cell r="Q27" t="str">
            <v xml:space="preserve"> </v>
          </cell>
        </row>
        <row r="28">
          <cell r="B28" t="str">
            <v>1311.06</v>
          </cell>
          <cell r="C28" t="str">
            <v>N</v>
          </cell>
          <cell r="D28" t="str">
            <v>Cty XNK Vật Tư (ngắn hạn)</v>
          </cell>
          <cell r="F28">
            <v>0</v>
          </cell>
          <cell r="G28">
            <v>61007500</v>
          </cell>
          <cell r="H28">
            <v>0</v>
          </cell>
          <cell r="I28">
            <v>0</v>
          </cell>
          <cell r="J28">
            <v>61007500</v>
          </cell>
          <cell r="K28">
            <v>0</v>
          </cell>
          <cell r="L28">
            <v>0</v>
          </cell>
          <cell r="M28" t="str">
            <v>100.130.131</v>
          </cell>
          <cell r="N28">
            <v>0</v>
          </cell>
          <cell r="O28" t="str">
            <v>100.130.131</v>
          </cell>
          <cell r="P28">
            <v>61007500</v>
          </cell>
          <cell r="Q28" t="str">
            <v xml:space="preserve"> </v>
          </cell>
        </row>
        <row r="29">
          <cell r="B29" t="str">
            <v>1331</v>
          </cell>
          <cell r="C29" t="str">
            <v>N</v>
          </cell>
          <cell r="D29" t="str">
            <v>Thuế GTGT được khấu trừ của hàng hóa, dịch vụ</v>
          </cell>
          <cell r="F29">
            <v>0</v>
          </cell>
          <cell r="G29">
            <v>1655000</v>
          </cell>
          <cell r="H29">
            <v>0</v>
          </cell>
          <cell r="I29">
            <v>0</v>
          </cell>
          <cell r="J29">
            <v>1655000</v>
          </cell>
          <cell r="K29">
            <v>0</v>
          </cell>
          <cell r="L29">
            <v>0</v>
          </cell>
          <cell r="M29" t="str">
            <v>100.150.152</v>
          </cell>
          <cell r="N29">
            <v>0</v>
          </cell>
          <cell r="O29" t="str">
            <v>100.150.152</v>
          </cell>
          <cell r="P29">
            <v>1655000</v>
          </cell>
          <cell r="Q29" t="str">
            <v xml:space="preserve"> </v>
          </cell>
        </row>
        <row r="30">
          <cell r="B30" t="str">
            <v>1332</v>
          </cell>
          <cell r="C30" t="str">
            <v>N</v>
          </cell>
          <cell r="D30" t="str">
            <v>Thuế GTGT được khấu trừ của TSCĐ</v>
          </cell>
          <cell r="F30">
            <v>0</v>
          </cell>
          <cell r="G30">
            <v>14000000</v>
          </cell>
          <cell r="H30">
            <v>0</v>
          </cell>
          <cell r="I30">
            <v>0</v>
          </cell>
          <cell r="J30">
            <v>14000000</v>
          </cell>
          <cell r="K30">
            <v>0</v>
          </cell>
          <cell r="L30">
            <v>0</v>
          </cell>
          <cell r="M30" t="str">
            <v>100.150.152</v>
          </cell>
          <cell r="N30">
            <v>0</v>
          </cell>
          <cell r="O30" t="str">
            <v>100.150.152</v>
          </cell>
          <cell r="P30">
            <v>14000000</v>
          </cell>
          <cell r="Q30" t="str">
            <v xml:space="preserve"> </v>
          </cell>
        </row>
        <row r="31">
          <cell r="B31" t="str">
            <v>1361</v>
          </cell>
          <cell r="C31" t="str">
            <v>N</v>
          </cell>
          <cell r="D31" t="str">
            <v>Vốn kinh doanh ở các đơn vị trực thuộc</v>
          </cell>
          <cell r="G31">
            <v>0</v>
          </cell>
          <cell r="H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200.210.213</v>
          </cell>
          <cell r="N31">
            <v>0</v>
          </cell>
          <cell r="O31" t="str">
            <v>200.210.213</v>
          </cell>
          <cell r="P31">
            <v>0</v>
          </cell>
          <cell r="Q31" t="str">
            <v xml:space="preserve"> </v>
          </cell>
        </row>
        <row r="32">
          <cell r="B32" t="str">
            <v>13621</v>
          </cell>
          <cell r="C32" t="str">
            <v>N</v>
          </cell>
          <cell r="D32" t="str">
            <v>Phải thu nội bộ về chênh lệch tỷ giá (không quá 12 tháng)</v>
          </cell>
          <cell r="G32">
            <v>0</v>
          </cell>
          <cell r="H32">
            <v>0</v>
          </cell>
          <cell r="J32">
            <v>0</v>
          </cell>
          <cell r="K32">
            <v>0</v>
          </cell>
          <cell r="L32">
            <v>0</v>
          </cell>
          <cell r="M32" t="str">
            <v>100.130.133</v>
          </cell>
          <cell r="N32">
            <v>0</v>
          </cell>
          <cell r="O32" t="str">
            <v>100.130.133</v>
          </cell>
          <cell r="P32">
            <v>0</v>
          </cell>
          <cell r="Q32" t="str">
            <v xml:space="preserve"> </v>
          </cell>
        </row>
        <row r="33">
          <cell r="B33" t="str">
            <v>13622</v>
          </cell>
          <cell r="C33" t="str">
            <v>N</v>
          </cell>
          <cell r="D33" t="str">
            <v>Phải thu nội bộ về chênh lệch tỷ giá (trên 12 tháng)</v>
          </cell>
          <cell r="G33">
            <v>0</v>
          </cell>
          <cell r="H33">
            <v>0</v>
          </cell>
          <cell r="J33">
            <v>0</v>
          </cell>
          <cell r="K33">
            <v>0</v>
          </cell>
          <cell r="L33">
            <v>0</v>
          </cell>
          <cell r="M33" t="str">
            <v>200.210.214</v>
          </cell>
          <cell r="N33">
            <v>0</v>
          </cell>
          <cell r="O33" t="str">
            <v>200.210.214</v>
          </cell>
          <cell r="P33">
            <v>0</v>
          </cell>
          <cell r="Q33" t="str">
            <v xml:space="preserve"> </v>
          </cell>
        </row>
        <row r="34">
          <cell r="B34" t="str">
            <v>13631</v>
          </cell>
          <cell r="C34" t="str">
            <v>N</v>
          </cell>
          <cell r="D34" t="str">
            <v>Phải thu nội bộ về chi phí đi vay đủ điều kiện được vốn hóa (không quá 12 tháng)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 t="str">
            <v>100.130.133</v>
          </cell>
          <cell r="N34">
            <v>0</v>
          </cell>
          <cell r="O34" t="str">
            <v>100.130.133</v>
          </cell>
          <cell r="P34">
            <v>0</v>
          </cell>
          <cell r="Q34" t="str">
            <v xml:space="preserve"> </v>
          </cell>
        </row>
        <row r="35">
          <cell r="B35" t="str">
            <v>13632</v>
          </cell>
          <cell r="C35" t="str">
            <v>N</v>
          </cell>
          <cell r="D35" t="str">
            <v>Phải thu nội bộ về chi phí đi vay đủ điều kiện được vốn hóa (trên 12 tháng)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 t="str">
            <v>200.210.214</v>
          </cell>
          <cell r="N35">
            <v>0</v>
          </cell>
          <cell r="O35" t="str">
            <v>200.210.214</v>
          </cell>
          <cell r="P35">
            <v>0</v>
          </cell>
          <cell r="Q35" t="str">
            <v xml:space="preserve"> </v>
          </cell>
        </row>
        <row r="36">
          <cell r="B36" t="str">
            <v>13681</v>
          </cell>
          <cell r="C36" t="str">
            <v>N</v>
          </cell>
          <cell r="D36" t="str">
            <v>Phải thu nội bộ khác (không quá 12 tháng)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100.130.133</v>
          </cell>
          <cell r="N36">
            <v>0</v>
          </cell>
          <cell r="O36" t="str">
            <v>100.130.133</v>
          </cell>
          <cell r="P36">
            <v>0</v>
          </cell>
          <cell r="Q36" t="str">
            <v xml:space="preserve"> </v>
          </cell>
        </row>
        <row r="37">
          <cell r="B37" t="str">
            <v>13682</v>
          </cell>
          <cell r="C37" t="str">
            <v>N</v>
          </cell>
          <cell r="D37" t="str">
            <v>Phải thu nội bộ khác (trên 12 tháng)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 t="str">
            <v>200.210.214</v>
          </cell>
          <cell r="N37">
            <v>0</v>
          </cell>
          <cell r="O37" t="str">
            <v>200.210.214</v>
          </cell>
          <cell r="P37">
            <v>0</v>
          </cell>
          <cell r="Q37" t="str">
            <v xml:space="preserve"> </v>
          </cell>
        </row>
        <row r="38">
          <cell r="B38" t="str">
            <v>1381</v>
          </cell>
          <cell r="C38" t="str">
            <v>N</v>
          </cell>
          <cell r="D38" t="str">
            <v>Tài sản thiếu chờ xử lý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 t="str">
            <v>100.130.139</v>
          </cell>
          <cell r="N38">
            <v>0</v>
          </cell>
          <cell r="O38" t="str">
            <v>100.130.139</v>
          </cell>
          <cell r="P38">
            <v>0</v>
          </cell>
          <cell r="Q38" t="str">
            <v xml:space="preserve"> </v>
          </cell>
        </row>
        <row r="39">
          <cell r="B39" t="str">
            <v>13851</v>
          </cell>
          <cell r="C39" t="str">
            <v>N</v>
          </cell>
          <cell r="D39" t="str">
            <v>Phải thu về cổ phần hóa (không quá 12 tháng)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 t="str">
            <v>100.130.136</v>
          </cell>
          <cell r="N39">
            <v>0</v>
          </cell>
          <cell r="O39" t="str">
            <v>100.130.136</v>
          </cell>
          <cell r="P39">
            <v>0</v>
          </cell>
          <cell r="Q39" t="str">
            <v xml:space="preserve"> </v>
          </cell>
        </row>
        <row r="40">
          <cell r="B40" t="str">
            <v>13852</v>
          </cell>
          <cell r="C40" t="str">
            <v>N</v>
          </cell>
          <cell r="D40" t="str">
            <v>Phải thu về cổ phần hóa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 t="str">
            <v>200.210.216</v>
          </cell>
          <cell r="N40">
            <v>0</v>
          </cell>
          <cell r="O40" t="str">
            <v>200.210.216</v>
          </cell>
          <cell r="P40">
            <v>0</v>
          </cell>
          <cell r="Q40" t="str">
            <v xml:space="preserve"> </v>
          </cell>
        </row>
        <row r="41">
          <cell r="B41" t="str">
            <v>13881</v>
          </cell>
          <cell r="C41" t="str">
            <v>N</v>
          </cell>
          <cell r="D41" t="str">
            <v>Phải thu khác (không quá 12 tháng)</v>
          </cell>
          <cell r="F41">
            <v>52200000</v>
          </cell>
          <cell r="G41">
            <v>0</v>
          </cell>
          <cell r="H41">
            <v>0</v>
          </cell>
          <cell r="I41">
            <v>0</v>
          </cell>
          <cell r="J41">
            <v>52200000</v>
          </cell>
          <cell r="K41">
            <v>52200000</v>
          </cell>
          <cell r="L41">
            <v>0</v>
          </cell>
          <cell r="M41" t="str">
            <v>100.130.136</v>
          </cell>
          <cell r="N41">
            <v>52200000</v>
          </cell>
          <cell r="O41" t="str">
            <v>100.130.136</v>
          </cell>
          <cell r="P41">
            <v>52200000</v>
          </cell>
          <cell r="Q41" t="str">
            <v xml:space="preserve"> </v>
          </cell>
        </row>
        <row r="42">
          <cell r="B42" t="str">
            <v>13882</v>
          </cell>
          <cell r="C42" t="str">
            <v>N</v>
          </cell>
          <cell r="D42" t="str">
            <v>Phải thu khác (trên 12 tháng)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200.210.216</v>
          </cell>
          <cell r="N42">
            <v>0</v>
          </cell>
          <cell r="O42" t="str">
            <v>200.210.216</v>
          </cell>
          <cell r="P42">
            <v>0</v>
          </cell>
          <cell r="Q42" t="str">
            <v xml:space="preserve"> </v>
          </cell>
        </row>
        <row r="43">
          <cell r="B43" t="str">
            <v>141.0101</v>
          </cell>
          <cell r="C43" t="str">
            <v>N</v>
          </cell>
          <cell r="D43" t="str">
            <v>Vương Thiện Minh</v>
          </cell>
          <cell r="F43">
            <v>200000</v>
          </cell>
          <cell r="G43">
            <v>0</v>
          </cell>
          <cell r="H43">
            <v>0</v>
          </cell>
          <cell r="I43">
            <v>0</v>
          </cell>
          <cell r="J43">
            <v>200000</v>
          </cell>
          <cell r="K43">
            <v>200000</v>
          </cell>
          <cell r="L43">
            <v>0</v>
          </cell>
          <cell r="M43" t="str">
            <v>100.130.136</v>
          </cell>
          <cell r="N43">
            <v>200000</v>
          </cell>
          <cell r="O43" t="str">
            <v>100.130.136</v>
          </cell>
          <cell r="P43">
            <v>200000</v>
          </cell>
          <cell r="Q43" t="str">
            <v xml:space="preserve"> </v>
          </cell>
        </row>
        <row r="44">
          <cell r="B44" t="str">
            <v>141.0102</v>
          </cell>
          <cell r="C44" t="str">
            <v>N</v>
          </cell>
          <cell r="D44" t="str">
            <v>Hồ Sĩ Nhật</v>
          </cell>
          <cell r="F44">
            <v>1000000</v>
          </cell>
          <cell r="G44">
            <v>2000000</v>
          </cell>
          <cell r="H44">
            <v>2000000</v>
          </cell>
          <cell r="I44">
            <v>0</v>
          </cell>
          <cell r="J44">
            <v>1000000</v>
          </cell>
          <cell r="K44">
            <v>1000000</v>
          </cell>
          <cell r="L44">
            <v>0</v>
          </cell>
          <cell r="M44" t="str">
            <v>100.130.136</v>
          </cell>
          <cell r="N44">
            <v>1000000</v>
          </cell>
          <cell r="O44" t="str">
            <v>100.130.136</v>
          </cell>
          <cell r="P44">
            <v>1000000</v>
          </cell>
          <cell r="Q44" t="str">
            <v xml:space="preserve"> </v>
          </cell>
        </row>
        <row r="45">
          <cell r="B45" t="str">
            <v>141.0103</v>
          </cell>
          <cell r="C45" t="str">
            <v>N</v>
          </cell>
          <cell r="D45" t="str">
            <v>Phạm Minh Duy</v>
          </cell>
          <cell r="F45">
            <v>300000</v>
          </cell>
          <cell r="G45">
            <v>0</v>
          </cell>
          <cell r="H45">
            <v>0</v>
          </cell>
          <cell r="I45">
            <v>0</v>
          </cell>
          <cell r="J45">
            <v>300000</v>
          </cell>
          <cell r="K45">
            <v>300000</v>
          </cell>
          <cell r="L45">
            <v>0</v>
          </cell>
          <cell r="M45" t="str">
            <v>100.130.136</v>
          </cell>
          <cell r="N45">
            <v>300000</v>
          </cell>
          <cell r="O45" t="str">
            <v>100.130.136</v>
          </cell>
          <cell r="P45">
            <v>300000</v>
          </cell>
          <cell r="Q45" t="str">
            <v xml:space="preserve"> </v>
          </cell>
        </row>
        <row r="46">
          <cell r="B46" t="str">
            <v>141.0201</v>
          </cell>
          <cell r="C46" t="str">
            <v>N</v>
          </cell>
          <cell r="D46" t="str">
            <v>Đoàn Trâm Anh</v>
          </cell>
          <cell r="F46">
            <v>1500000</v>
          </cell>
          <cell r="G46">
            <v>0</v>
          </cell>
          <cell r="H46">
            <v>0</v>
          </cell>
          <cell r="I46">
            <v>0</v>
          </cell>
          <cell r="J46">
            <v>1500000</v>
          </cell>
          <cell r="K46">
            <v>1500000</v>
          </cell>
          <cell r="L46">
            <v>0</v>
          </cell>
          <cell r="M46" t="str">
            <v>100.130.136</v>
          </cell>
          <cell r="N46">
            <v>1500000</v>
          </cell>
          <cell r="O46" t="str">
            <v>100.130.136</v>
          </cell>
          <cell r="P46">
            <v>1500000</v>
          </cell>
          <cell r="Q46" t="str">
            <v xml:space="preserve"> </v>
          </cell>
        </row>
        <row r="47">
          <cell r="B47" t="str">
            <v>141.0202</v>
          </cell>
          <cell r="C47" t="str">
            <v>N</v>
          </cell>
          <cell r="D47" t="str">
            <v>Nguyễn Hoài Nam</v>
          </cell>
          <cell r="F47">
            <v>500000</v>
          </cell>
          <cell r="G47">
            <v>0</v>
          </cell>
          <cell r="H47">
            <v>0</v>
          </cell>
          <cell r="I47">
            <v>0</v>
          </cell>
          <cell r="J47">
            <v>500000</v>
          </cell>
          <cell r="K47">
            <v>500000</v>
          </cell>
          <cell r="L47">
            <v>0</v>
          </cell>
          <cell r="M47" t="str">
            <v>100.130.136</v>
          </cell>
          <cell r="N47">
            <v>500000</v>
          </cell>
          <cell r="O47" t="str">
            <v>100.130.136</v>
          </cell>
          <cell r="P47">
            <v>500000</v>
          </cell>
          <cell r="Q47" t="str">
            <v xml:space="preserve"> </v>
          </cell>
        </row>
        <row r="48">
          <cell r="B48" t="str">
            <v>151</v>
          </cell>
          <cell r="C48" t="str">
            <v>N</v>
          </cell>
          <cell r="D48" t="str">
            <v>Hàng hóa đang đi đường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100.140.141</v>
          </cell>
          <cell r="N48">
            <v>0</v>
          </cell>
          <cell r="O48" t="str">
            <v>100.140.141</v>
          </cell>
          <cell r="P48">
            <v>0</v>
          </cell>
          <cell r="Q48" t="str">
            <v xml:space="preserve"> </v>
          </cell>
        </row>
        <row r="49">
          <cell r="B49" t="str">
            <v>1521.0101</v>
          </cell>
          <cell r="C49" t="str">
            <v>N</v>
          </cell>
          <cell r="D49" t="str">
            <v>Gỗ cao su</v>
          </cell>
          <cell r="E49">
            <v>10</v>
          </cell>
          <cell r="F49">
            <v>33000000</v>
          </cell>
          <cell r="G49">
            <v>0</v>
          </cell>
          <cell r="H49">
            <v>13200000</v>
          </cell>
          <cell r="I49">
            <v>6</v>
          </cell>
          <cell r="J49">
            <v>19800000</v>
          </cell>
          <cell r="K49">
            <v>33000000</v>
          </cell>
          <cell r="L49">
            <v>0</v>
          </cell>
          <cell r="M49" t="str">
            <v>100.140.141</v>
          </cell>
          <cell r="N49">
            <v>33000000</v>
          </cell>
          <cell r="O49" t="str">
            <v>100.140.141</v>
          </cell>
          <cell r="P49">
            <v>19800000</v>
          </cell>
          <cell r="Q49" t="str">
            <v>M³</v>
          </cell>
        </row>
        <row r="50">
          <cell r="B50" t="str">
            <v>1521.0102</v>
          </cell>
          <cell r="C50" t="str">
            <v>N</v>
          </cell>
          <cell r="D50" t="str">
            <v>Gỗ tràm bông vàng</v>
          </cell>
          <cell r="E50">
            <v>5</v>
          </cell>
          <cell r="F50">
            <v>22000000</v>
          </cell>
          <cell r="G50">
            <v>22500000</v>
          </cell>
          <cell r="H50">
            <v>0</v>
          </cell>
          <cell r="I50">
            <v>10</v>
          </cell>
          <cell r="J50">
            <v>44500000</v>
          </cell>
          <cell r="K50">
            <v>22000000</v>
          </cell>
          <cell r="L50">
            <v>0</v>
          </cell>
          <cell r="M50" t="str">
            <v>100.140.141</v>
          </cell>
          <cell r="N50">
            <v>22000000</v>
          </cell>
          <cell r="O50" t="str">
            <v>100.140.141</v>
          </cell>
          <cell r="P50">
            <v>44500000</v>
          </cell>
          <cell r="Q50" t="str">
            <v>M³</v>
          </cell>
        </row>
        <row r="51">
          <cell r="B51" t="str">
            <v>1521.0103</v>
          </cell>
          <cell r="C51" t="str">
            <v>N</v>
          </cell>
          <cell r="D51" t="str">
            <v>Gỗ thông</v>
          </cell>
          <cell r="E51">
            <v>4</v>
          </cell>
          <cell r="F51">
            <v>14400000</v>
          </cell>
          <cell r="G51">
            <v>0</v>
          </cell>
          <cell r="H51">
            <v>0</v>
          </cell>
          <cell r="I51">
            <v>4</v>
          </cell>
          <cell r="J51">
            <v>14400000</v>
          </cell>
          <cell r="K51">
            <v>14400000</v>
          </cell>
          <cell r="L51">
            <v>0</v>
          </cell>
          <cell r="M51" t="str">
            <v>100.140.141</v>
          </cell>
          <cell r="N51">
            <v>14400000</v>
          </cell>
          <cell r="O51" t="str">
            <v>100.140.141</v>
          </cell>
          <cell r="P51">
            <v>14400000</v>
          </cell>
          <cell r="Q51" t="str">
            <v>M³</v>
          </cell>
        </row>
        <row r="52">
          <cell r="B52" t="str">
            <v>1521.0201</v>
          </cell>
          <cell r="C52" t="str">
            <v>N</v>
          </cell>
          <cell r="D52" t="str">
            <v>Ván MDF 9x6x8</v>
          </cell>
          <cell r="E52">
            <v>200</v>
          </cell>
          <cell r="F52">
            <v>24000000</v>
          </cell>
          <cell r="G52">
            <v>0</v>
          </cell>
          <cell r="H52">
            <v>3600000</v>
          </cell>
          <cell r="I52">
            <v>170</v>
          </cell>
          <cell r="J52">
            <v>20400000</v>
          </cell>
          <cell r="K52">
            <v>24000000</v>
          </cell>
          <cell r="L52">
            <v>0</v>
          </cell>
          <cell r="M52" t="str">
            <v>100.140.141</v>
          </cell>
          <cell r="N52">
            <v>24000000</v>
          </cell>
          <cell r="O52" t="str">
            <v>100.140.141</v>
          </cell>
          <cell r="P52">
            <v>20400000</v>
          </cell>
          <cell r="Q52" t="str">
            <v>Tấm</v>
          </cell>
        </row>
        <row r="53">
          <cell r="B53" t="str">
            <v>1521.0202</v>
          </cell>
          <cell r="C53" t="str">
            <v>N</v>
          </cell>
          <cell r="D53" t="str">
            <v>Ván MDF 9x4x8</v>
          </cell>
          <cell r="E53">
            <v>300</v>
          </cell>
          <cell r="F53">
            <v>31200000</v>
          </cell>
          <cell r="G53">
            <v>0</v>
          </cell>
          <cell r="H53">
            <v>0</v>
          </cell>
          <cell r="I53">
            <v>300</v>
          </cell>
          <cell r="J53">
            <v>31200000</v>
          </cell>
          <cell r="K53">
            <v>31200000</v>
          </cell>
          <cell r="L53">
            <v>0</v>
          </cell>
          <cell r="M53" t="str">
            <v>100.140.141</v>
          </cell>
          <cell r="N53">
            <v>31200000</v>
          </cell>
          <cell r="O53" t="str">
            <v>100.140.141</v>
          </cell>
          <cell r="P53">
            <v>31200000</v>
          </cell>
          <cell r="Q53" t="str">
            <v>Tấm</v>
          </cell>
        </row>
        <row r="54">
          <cell r="B54" t="str">
            <v>1521.0203</v>
          </cell>
          <cell r="C54" t="str">
            <v>N</v>
          </cell>
          <cell r="D54" t="str">
            <v>Ván MDF 4,5x6x8</v>
          </cell>
          <cell r="E54">
            <v>100</v>
          </cell>
          <cell r="F54">
            <v>10000000</v>
          </cell>
          <cell r="G54">
            <v>0</v>
          </cell>
          <cell r="H54">
            <v>0</v>
          </cell>
          <cell r="I54">
            <v>100</v>
          </cell>
          <cell r="J54">
            <v>10000000</v>
          </cell>
          <cell r="K54">
            <v>10000000</v>
          </cell>
          <cell r="L54">
            <v>0</v>
          </cell>
          <cell r="M54" t="str">
            <v>100.140.141</v>
          </cell>
          <cell r="N54">
            <v>10000000</v>
          </cell>
          <cell r="O54" t="str">
            <v>100.140.141</v>
          </cell>
          <cell r="P54">
            <v>10000000</v>
          </cell>
          <cell r="Q54" t="str">
            <v>Tấm</v>
          </cell>
        </row>
        <row r="55">
          <cell r="B55" t="str">
            <v>1521.0301</v>
          </cell>
          <cell r="C55" t="str">
            <v>N</v>
          </cell>
          <cell r="D55" t="str">
            <v>Keo AB</v>
          </cell>
          <cell r="E55">
            <v>50</v>
          </cell>
          <cell r="F55">
            <v>1200000</v>
          </cell>
          <cell r="G55">
            <v>5000000</v>
          </cell>
          <cell r="H55">
            <v>0</v>
          </cell>
          <cell r="I55">
            <v>250</v>
          </cell>
          <cell r="J55">
            <v>6200000</v>
          </cell>
          <cell r="K55">
            <v>1200000</v>
          </cell>
          <cell r="L55">
            <v>0</v>
          </cell>
          <cell r="M55" t="str">
            <v>100.140.141</v>
          </cell>
          <cell r="N55">
            <v>1200000</v>
          </cell>
          <cell r="O55" t="str">
            <v>100.140.141</v>
          </cell>
          <cell r="P55">
            <v>6200000</v>
          </cell>
          <cell r="Q55" t="str">
            <v>Cái</v>
          </cell>
        </row>
        <row r="56">
          <cell r="B56" t="str">
            <v>1521.0302</v>
          </cell>
          <cell r="C56" t="str">
            <v>N</v>
          </cell>
          <cell r="D56" t="str">
            <v>Keo ghép</v>
          </cell>
          <cell r="E56">
            <v>150</v>
          </cell>
          <cell r="F56">
            <v>7200000</v>
          </cell>
          <cell r="G56">
            <v>0</v>
          </cell>
          <cell r="H56">
            <v>480000</v>
          </cell>
          <cell r="I56">
            <v>140</v>
          </cell>
          <cell r="J56">
            <v>6720000</v>
          </cell>
          <cell r="K56">
            <v>7200000</v>
          </cell>
          <cell r="L56">
            <v>0</v>
          </cell>
          <cell r="M56" t="str">
            <v>100.140.141</v>
          </cell>
          <cell r="N56">
            <v>7200000</v>
          </cell>
          <cell r="O56" t="str">
            <v>100.140.141</v>
          </cell>
          <cell r="P56">
            <v>6720000</v>
          </cell>
          <cell r="Q56" t="str">
            <v>Kg</v>
          </cell>
        </row>
        <row r="57">
          <cell r="B57" t="str">
            <v>1521.0303</v>
          </cell>
          <cell r="C57" t="str">
            <v>N</v>
          </cell>
          <cell r="D57" t="str">
            <v>Keo 502</v>
          </cell>
          <cell r="E57">
            <v>500</v>
          </cell>
          <cell r="F57">
            <v>1150000</v>
          </cell>
          <cell r="G57">
            <v>0</v>
          </cell>
          <cell r="H57">
            <v>46000</v>
          </cell>
          <cell r="I57">
            <v>480</v>
          </cell>
          <cell r="J57">
            <v>1104000</v>
          </cell>
          <cell r="K57">
            <v>1150000</v>
          </cell>
          <cell r="L57">
            <v>0</v>
          </cell>
          <cell r="M57" t="str">
            <v>100.140.141</v>
          </cell>
          <cell r="N57">
            <v>1150000</v>
          </cell>
          <cell r="O57" t="str">
            <v>100.140.141</v>
          </cell>
          <cell r="P57">
            <v>1104000</v>
          </cell>
          <cell r="Q57" t="str">
            <v>Lọ</v>
          </cell>
        </row>
        <row r="58">
          <cell r="B58" t="str">
            <v>1521.0401</v>
          </cell>
          <cell r="C58" t="str">
            <v>N</v>
          </cell>
          <cell r="D58" t="str">
            <v>AC chuối</v>
          </cell>
          <cell r="E58">
            <v>100</v>
          </cell>
          <cell r="F58">
            <v>1500000</v>
          </cell>
          <cell r="G58">
            <v>3200000</v>
          </cell>
          <cell r="H58">
            <v>469980</v>
          </cell>
          <cell r="I58">
            <v>270</v>
          </cell>
          <cell r="J58">
            <v>4230020</v>
          </cell>
          <cell r="K58">
            <v>1500000</v>
          </cell>
          <cell r="L58">
            <v>0</v>
          </cell>
          <cell r="M58" t="str">
            <v>100.140.141</v>
          </cell>
          <cell r="N58">
            <v>1500000</v>
          </cell>
          <cell r="O58" t="str">
            <v>100.140.141</v>
          </cell>
          <cell r="P58">
            <v>4230020</v>
          </cell>
          <cell r="Q58" t="str">
            <v>Kg</v>
          </cell>
        </row>
        <row r="59">
          <cell r="B59" t="str">
            <v>1521.0402</v>
          </cell>
          <cell r="C59" t="str">
            <v>N</v>
          </cell>
          <cell r="D59" t="str">
            <v>NC chuối</v>
          </cell>
          <cell r="E59">
            <v>50</v>
          </cell>
          <cell r="F59">
            <v>850000</v>
          </cell>
          <cell r="G59">
            <v>0</v>
          </cell>
          <cell r="H59">
            <v>0</v>
          </cell>
          <cell r="I59">
            <v>50</v>
          </cell>
          <cell r="J59">
            <v>850000</v>
          </cell>
          <cell r="K59">
            <v>850000</v>
          </cell>
          <cell r="L59">
            <v>0</v>
          </cell>
          <cell r="M59" t="str">
            <v>100.140.141</v>
          </cell>
          <cell r="N59">
            <v>850000</v>
          </cell>
          <cell r="O59" t="str">
            <v>100.140.141</v>
          </cell>
          <cell r="P59">
            <v>850000</v>
          </cell>
          <cell r="Q59" t="str">
            <v>Kg</v>
          </cell>
        </row>
        <row r="60">
          <cell r="B60" t="str">
            <v>1521.0403</v>
          </cell>
          <cell r="C60" t="str">
            <v>N</v>
          </cell>
          <cell r="D60" t="str">
            <v>Dầu thông</v>
          </cell>
          <cell r="E60">
            <v>80</v>
          </cell>
          <cell r="F60">
            <v>1040000</v>
          </cell>
          <cell r="G60">
            <v>1500000</v>
          </cell>
          <cell r="H60">
            <v>282220</v>
          </cell>
          <cell r="I60">
            <v>160</v>
          </cell>
          <cell r="J60">
            <v>2257780</v>
          </cell>
          <cell r="K60">
            <v>1040000</v>
          </cell>
          <cell r="L60">
            <v>0</v>
          </cell>
          <cell r="M60" t="str">
            <v>100.140.141</v>
          </cell>
          <cell r="N60">
            <v>1040000</v>
          </cell>
          <cell r="O60" t="str">
            <v>100.140.141</v>
          </cell>
          <cell r="P60">
            <v>2257780</v>
          </cell>
          <cell r="Q60" t="str">
            <v>Kg</v>
          </cell>
        </row>
        <row r="61">
          <cell r="B61" t="str">
            <v>1522</v>
          </cell>
          <cell r="C61" t="str">
            <v>N</v>
          </cell>
          <cell r="D61" t="str">
            <v>Nguyên vật liệu phụ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100.140.141</v>
          </cell>
          <cell r="N61">
            <v>0</v>
          </cell>
          <cell r="O61" t="str">
            <v>100.140.141</v>
          </cell>
          <cell r="P61">
            <v>0</v>
          </cell>
          <cell r="Q61" t="str">
            <v xml:space="preserve"> </v>
          </cell>
        </row>
        <row r="62">
          <cell r="B62" t="str">
            <v>1531.01</v>
          </cell>
          <cell r="C62" t="str">
            <v>N</v>
          </cell>
          <cell r="D62" t="str">
            <v>Máy tính Casio</v>
          </cell>
          <cell r="E62">
            <v>15</v>
          </cell>
          <cell r="F62">
            <v>7500000</v>
          </cell>
          <cell r="G62">
            <v>0</v>
          </cell>
          <cell r="H62">
            <v>2500000</v>
          </cell>
          <cell r="I62">
            <v>10</v>
          </cell>
          <cell r="J62">
            <v>5000000</v>
          </cell>
          <cell r="K62">
            <v>7500000</v>
          </cell>
          <cell r="L62">
            <v>0</v>
          </cell>
          <cell r="M62" t="str">
            <v>100.140.141</v>
          </cell>
          <cell r="N62">
            <v>7500000</v>
          </cell>
          <cell r="O62" t="str">
            <v>100.140.141</v>
          </cell>
          <cell r="P62">
            <v>5000000</v>
          </cell>
          <cell r="Q62" t="str">
            <v>Cái</v>
          </cell>
        </row>
        <row r="63">
          <cell r="B63" t="str">
            <v>1531.02</v>
          </cell>
          <cell r="C63" t="str">
            <v>N</v>
          </cell>
          <cell r="D63" t="str">
            <v>Kệ tủ</v>
          </cell>
          <cell r="E63">
            <v>20</v>
          </cell>
          <cell r="F63">
            <v>5000000</v>
          </cell>
          <cell r="G63">
            <v>0</v>
          </cell>
          <cell r="H63">
            <v>1000000</v>
          </cell>
          <cell r="I63">
            <v>16</v>
          </cell>
          <cell r="J63">
            <v>4000000</v>
          </cell>
          <cell r="K63">
            <v>5000000</v>
          </cell>
          <cell r="L63">
            <v>0</v>
          </cell>
          <cell r="M63" t="str">
            <v>100.140.141</v>
          </cell>
          <cell r="N63">
            <v>5000000</v>
          </cell>
          <cell r="O63" t="str">
            <v>100.140.141</v>
          </cell>
          <cell r="P63">
            <v>4000000</v>
          </cell>
          <cell r="Q63" t="str">
            <v>Cái</v>
          </cell>
        </row>
        <row r="64">
          <cell r="B64" t="str">
            <v>1531.03</v>
          </cell>
          <cell r="C64" t="str">
            <v>N</v>
          </cell>
          <cell r="D64" t="str">
            <v>Lưỡi cưa</v>
          </cell>
          <cell r="E64">
            <v>100</v>
          </cell>
          <cell r="F64">
            <v>1000000</v>
          </cell>
          <cell r="G64">
            <v>0</v>
          </cell>
          <cell r="H64">
            <v>100000</v>
          </cell>
          <cell r="I64">
            <v>90</v>
          </cell>
          <cell r="J64">
            <v>900000</v>
          </cell>
          <cell r="K64">
            <v>1000000</v>
          </cell>
          <cell r="L64">
            <v>0</v>
          </cell>
          <cell r="M64" t="str">
            <v>100.140.141</v>
          </cell>
          <cell r="N64">
            <v>1000000</v>
          </cell>
          <cell r="O64" t="str">
            <v>100.140.141</v>
          </cell>
          <cell r="P64">
            <v>900000</v>
          </cell>
          <cell r="Q64" t="str">
            <v>Cái</v>
          </cell>
        </row>
        <row r="65">
          <cell r="B65" t="str">
            <v>1531.04</v>
          </cell>
          <cell r="C65" t="str">
            <v>N</v>
          </cell>
          <cell r="D65" t="str">
            <v>Mũi khoan</v>
          </cell>
          <cell r="E65">
            <v>400</v>
          </cell>
          <cell r="F65">
            <v>2000000</v>
          </cell>
          <cell r="G65">
            <v>0</v>
          </cell>
          <cell r="H65">
            <v>100000</v>
          </cell>
          <cell r="I65">
            <v>380</v>
          </cell>
          <cell r="J65">
            <v>1900000</v>
          </cell>
          <cell r="K65">
            <v>2000000</v>
          </cell>
          <cell r="L65">
            <v>0</v>
          </cell>
          <cell r="M65" t="str">
            <v>100.140.141</v>
          </cell>
          <cell r="N65">
            <v>2000000</v>
          </cell>
          <cell r="O65" t="str">
            <v>100.140.141</v>
          </cell>
          <cell r="P65">
            <v>1900000</v>
          </cell>
          <cell r="Q65" t="str">
            <v>Cái</v>
          </cell>
        </row>
        <row r="66">
          <cell r="B66" t="str">
            <v>1531.05</v>
          </cell>
          <cell r="C66" t="str">
            <v>N</v>
          </cell>
          <cell r="D66" t="str">
            <v>Dao thép</v>
          </cell>
          <cell r="E66">
            <v>100</v>
          </cell>
          <cell r="F66">
            <v>1000000</v>
          </cell>
          <cell r="G66">
            <v>0</v>
          </cell>
          <cell r="H66">
            <v>300000</v>
          </cell>
          <cell r="I66">
            <v>70</v>
          </cell>
          <cell r="J66">
            <v>700000</v>
          </cell>
          <cell r="K66">
            <v>1000000</v>
          </cell>
          <cell r="L66">
            <v>0</v>
          </cell>
          <cell r="M66" t="str">
            <v>100.140.141</v>
          </cell>
          <cell r="N66">
            <v>1000000</v>
          </cell>
          <cell r="O66" t="str">
            <v>100.140.141</v>
          </cell>
          <cell r="P66">
            <v>700000</v>
          </cell>
          <cell r="Q66" t="str">
            <v>Cái</v>
          </cell>
        </row>
        <row r="67">
          <cell r="B67" t="str">
            <v>154.01</v>
          </cell>
          <cell r="C67" t="str">
            <v>N</v>
          </cell>
          <cell r="D67" t="str">
            <v>Ghế tay vịn</v>
          </cell>
          <cell r="F67">
            <v>70000000</v>
          </cell>
          <cell r="G67">
            <v>99050185</v>
          </cell>
          <cell r="H67">
            <v>102060000</v>
          </cell>
          <cell r="I67">
            <v>0</v>
          </cell>
          <cell r="J67">
            <v>66990185</v>
          </cell>
          <cell r="K67">
            <v>70000000</v>
          </cell>
          <cell r="L67">
            <v>0</v>
          </cell>
          <cell r="M67" t="str">
            <v>200.240.241</v>
          </cell>
          <cell r="N67">
            <v>70000000</v>
          </cell>
          <cell r="O67" t="str">
            <v>200.240.241</v>
          </cell>
          <cell r="P67">
            <v>66990185</v>
          </cell>
          <cell r="Q67" t="str">
            <v xml:space="preserve"> </v>
          </cell>
        </row>
        <row r="68">
          <cell r="B68" t="str">
            <v>154.02</v>
          </cell>
          <cell r="C68" t="str">
            <v>N</v>
          </cell>
          <cell r="D68" t="str">
            <v>Ghế không tay</v>
          </cell>
          <cell r="F68">
            <v>80000000</v>
          </cell>
          <cell r="G68">
            <v>48800000</v>
          </cell>
          <cell r="H68">
            <v>61800000</v>
          </cell>
          <cell r="I68">
            <v>0</v>
          </cell>
          <cell r="J68">
            <v>67000000</v>
          </cell>
          <cell r="K68">
            <v>80000000</v>
          </cell>
          <cell r="L68">
            <v>0</v>
          </cell>
          <cell r="M68" t="str">
            <v>200.240.241</v>
          </cell>
          <cell r="N68">
            <v>80000000</v>
          </cell>
          <cell r="O68" t="str">
            <v>200.240.241</v>
          </cell>
          <cell r="P68">
            <v>67000000</v>
          </cell>
          <cell r="Q68" t="str">
            <v xml:space="preserve"> </v>
          </cell>
        </row>
        <row r="69">
          <cell r="B69" t="str">
            <v>154.03</v>
          </cell>
          <cell r="C69" t="str">
            <v>N</v>
          </cell>
          <cell r="D69" t="str">
            <v>Bàn tròn</v>
          </cell>
          <cell r="F69">
            <v>7000000</v>
          </cell>
          <cell r="G69">
            <v>61494681</v>
          </cell>
          <cell r="H69">
            <v>61500000</v>
          </cell>
          <cell r="I69">
            <v>0</v>
          </cell>
          <cell r="J69">
            <v>6994681</v>
          </cell>
          <cell r="K69">
            <v>7000000</v>
          </cell>
          <cell r="L69">
            <v>0</v>
          </cell>
          <cell r="M69" t="str">
            <v>200.240.241</v>
          </cell>
          <cell r="N69">
            <v>7000000</v>
          </cell>
          <cell r="O69" t="str">
            <v>200.240.241</v>
          </cell>
          <cell r="P69">
            <v>6994681</v>
          </cell>
          <cell r="Q69" t="str">
            <v xml:space="preserve"> </v>
          </cell>
        </row>
        <row r="70">
          <cell r="B70" t="str">
            <v>154.04</v>
          </cell>
          <cell r="C70" t="str">
            <v>N</v>
          </cell>
          <cell r="D70" t="str">
            <v>Bàn oval</v>
          </cell>
          <cell r="F70">
            <v>43000000</v>
          </cell>
          <cell r="G70">
            <v>48800000</v>
          </cell>
          <cell r="H70">
            <v>0</v>
          </cell>
          <cell r="I70">
            <v>0</v>
          </cell>
          <cell r="J70">
            <v>91800000</v>
          </cell>
          <cell r="K70">
            <v>43000000</v>
          </cell>
          <cell r="L70">
            <v>0</v>
          </cell>
          <cell r="M70" t="str">
            <v>200.240.241</v>
          </cell>
          <cell r="N70">
            <v>43000000</v>
          </cell>
          <cell r="O70" t="str">
            <v>200.240.241</v>
          </cell>
          <cell r="P70">
            <v>91800000</v>
          </cell>
          <cell r="Q70" t="str">
            <v xml:space="preserve"> </v>
          </cell>
        </row>
        <row r="71">
          <cell r="B71" t="str">
            <v>154.05</v>
          </cell>
          <cell r="C71" t="str">
            <v>N</v>
          </cell>
          <cell r="D71" t="str">
            <v>Bàn chữ nhật</v>
          </cell>
          <cell r="F71">
            <v>22000000</v>
          </cell>
          <cell r="G71">
            <v>48800000</v>
          </cell>
          <cell r="H71">
            <v>0</v>
          </cell>
          <cell r="I71">
            <v>0</v>
          </cell>
          <cell r="J71">
            <v>70800000</v>
          </cell>
          <cell r="K71">
            <v>22000000</v>
          </cell>
          <cell r="L71">
            <v>0</v>
          </cell>
          <cell r="M71" t="str">
            <v>200.240.241</v>
          </cell>
          <cell r="N71">
            <v>22000000</v>
          </cell>
          <cell r="O71" t="str">
            <v>200.240.241</v>
          </cell>
          <cell r="P71">
            <v>70800000</v>
          </cell>
          <cell r="Q71" t="str">
            <v xml:space="preserve"> </v>
          </cell>
        </row>
        <row r="72">
          <cell r="B72" t="str">
            <v>1551.0101</v>
          </cell>
          <cell r="C72" t="str">
            <v>N</v>
          </cell>
          <cell r="D72" t="str">
            <v>Ghế tay vịn</v>
          </cell>
          <cell r="E72">
            <v>250</v>
          </cell>
          <cell r="F72">
            <v>62500000</v>
          </cell>
          <cell r="G72">
            <v>102060000</v>
          </cell>
          <cell r="H72">
            <v>25123700</v>
          </cell>
          <cell r="I72">
            <v>555</v>
          </cell>
          <cell r="J72">
            <v>139436300</v>
          </cell>
          <cell r="K72">
            <v>62500000</v>
          </cell>
          <cell r="L72">
            <v>0</v>
          </cell>
          <cell r="M72" t="str">
            <v>100.140.141</v>
          </cell>
          <cell r="N72">
            <v>62500000</v>
          </cell>
          <cell r="O72" t="str">
            <v>100.140.141</v>
          </cell>
          <cell r="P72">
            <v>139436300</v>
          </cell>
          <cell r="Q72" t="str">
            <v>Cái</v>
          </cell>
        </row>
        <row r="73">
          <cell r="B73" t="str">
            <v>1551.0102</v>
          </cell>
          <cell r="C73" t="str">
            <v>N</v>
          </cell>
          <cell r="D73" t="str">
            <v>Ghế không tay</v>
          </cell>
          <cell r="E73">
            <v>220</v>
          </cell>
          <cell r="F73">
            <v>44000000</v>
          </cell>
          <cell r="G73">
            <v>61800000</v>
          </cell>
          <cell r="H73">
            <v>20346200</v>
          </cell>
          <cell r="I73">
            <v>420</v>
          </cell>
          <cell r="J73">
            <v>85453800</v>
          </cell>
          <cell r="K73">
            <v>44000000</v>
          </cell>
          <cell r="L73">
            <v>0</v>
          </cell>
          <cell r="M73" t="str">
            <v>100.140.141</v>
          </cell>
          <cell r="N73">
            <v>44000000</v>
          </cell>
          <cell r="O73" t="str">
            <v>100.140.141</v>
          </cell>
          <cell r="P73">
            <v>85453800</v>
          </cell>
          <cell r="Q73" t="str">
            <v>Cái</v>
          </cell>
        </row>
        <row r="74">
          <cell r="B74" t="str">
            <v>1551.0201</v>
          </cell>
          <cell r="C74" t="str">
            <v>N</v>
          </cell>
          <cell r="D74" t="str">
            <v>Bàn tròn</v>
          </cell>
          <cell r="E74">
            <v>150</v>
          </cell>
          <cell r="F74">
            <v>45000000</v>
          </cell>
          <cell r="G74">
            <v>61500000</v>
          </cell>
          <cell r="H74">
            <v>0</v>
          </cell>
          <cell r="I74">
            <v>350</v>
          </cell>
          <cell r="J74">
            <v>106500000</v>
          </cell>
          <cell r="K74">
            <v>45000000</v>
          </cell>
          <cell r="L74">
            <v>0</v>
          </cell>
          <cell r="M74" t="str">
            <v>100.140.141</v>
          </cell>
          <cell r="N74">
            <v>45000000</v>
          </cell>
          <cell r="O74" t="str">
            <v>100.140.141</v>
          </cell>
          <cell r="P74">
            <v>106500000</v>
          </cell>
          <cell r="Q74" t="str">
            <v>Cái</v>
          </cell>
        </row>
        <row r="75">
          <cell r="B75" t="str">
            <v>1551.0202</v>
          </cell>
          <cell r="C75" t="str">
            <v>N</v>
          </cell>
          <cell r="D75" t="str">
            <v>Bàn oval</v>
          </cell>
          <cell r="E75">
            <v>50</v>
          </cell>
          <cell r="F75">
            <v>25000000</v>
          </cell>
          <cell r="G75">
            <v>0</v>
          </cell>
          <cell r="H75">
            <v>25000000</v>
          </cell>
          <cell r="I75">
            <v>0</v>
          </cell>
          <cell r="J75">
            <v>0</v>
          </cell>
          <cell r="K75">
            <v>25000000</v>
          </cell>
          <cell r="L75">
            <v>0</v>
          </cell>
          <cell r="M75" t="str">
            <v>100.140.141</v>
          </cell>
          <cell r="N75">
            <v>25000000</v>
          </cell>
          <cell r="O75" t="str">
            <v>100.140.141</v>
          </cell>
          <cell r="P75">
            <v>0</v>
          </cell>
          <cell r="Q75" t="str">
            <v>Cái</v>
          </cell>
        </row>
        <row r="76">
          <cell r="B76" t="str">
            <v>1551.0203</v>
          </cell>
          <cell r="C76" t="str">
            <v>N</v>
          </cell>
          <cell r="D76" t="str">
            <v>Bàn chữ nhật</v>
          </cell>
          <cell r="E76">
            <v>100</v>
          </cell>
          <cell r="F76">
            <v>70000000</v>
          </cell>
          <cell r="G76">
            <v>0</v>
          </cell>
          <cell r="H76">
            <v>0</v>
          </cell>
          <cell r="I76">
            <v>100</v>
          </cell>
          <cell r="J76">
            <v>70000000</v>
          </cell>
          <cell r="K76">
            <v>70000000</v>
          </cell>
          <cell r="L76">
            <v>0</v>
          </cell>
          <cell r="M76" t="str">
            <v>100.140.141</v>
          </cell>
          <cell r="N76">
            <v>70000000</v>
          </cell>
          <cell r="O76" t="str">
            <v>100.140.141</v>
          </cell>
          <cell r="P76">
            <v>70000000</v>
          </cell>
          <cell r="Q76" t="str">
            <v>Cái</v>
          </cell>
        </row>
        <row r="77">
          <cell r="B77" t="str">
            <v>1561</v>
          </cell>
          <cell r="C77" t="str">
            <v>N</v>
          </cell>
          <cell r="D77" t="str">
            <v>Giá mua hàng hóa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100.140.141</v>
          </cell>
          <cell r="N77">
            <v>0</v>
          </cell>
          <cell r="O77" t="str">
            <v>100.140.141</v>
          </cell>
          <cell r="P77">
            <v>0</v>
          </cell>
          <cell r="Q77" t="str">
            <v xml:space="preserve"> </v>
          </cell>
        </row>
        <row r="78">
          <cell r="B78" t="str">
            <v>1562</v>
          </cell>
          <cell r="C78" t="str">
            <v>N</v>
          </cell>
          <cell r="D78" t="str">
            <v>Chi phí thu mua hàng hóa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 t="str">
            <v>100.140.141</v>
          </cell>
          <cell r="N78">
            <v>0</v>
          </cell>
          <cell r="O78" t="str">
            <v>100.140.141</v>
          </cell>
          <cell r="P78">
            <v>0</v>
          </cell>
          <cell r="Q78" t="str">
            <v xml:space="preserve"> </v>
          </cell>
        </row>
        <row r="79">
          <cell r="B79" t="str">
            <v>1567</v>
          </cell>
          <cell r="C79" t="str">
            <v>N</v>
          </cell>
          <cell r="D79" t="str">
            <v>Hàng hóa bất động sản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100.140.141</v>
          </cell>
          <cell r="N79">
            <v>0</v>
          </cell>
          <cell r="O79" t="str">
            <v>100.140.141</v>
          </cell>
          <cell r="P79">
            <v>0</v>
          </cell>
          <cell r="Q79" t="str">
            <v xml:space="preserve"> </v>
          </cell>
        </row>
        <row r="80">
          <cell r="B80" t="str">
            <v>157</v>
          </cell>
          <cell r="C80" t="str">
            <v>N</v>
          </cell>
          <cell r="D80" t="str">
            <v>Hàng gửi đi bán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100.140.141</v>
          </cell>
          <cell r="N80">
            <v>0</v>
          </cell>
          <cell r="O80" t="str">
            <v>100.140.141</v>
          </cell>
          <cell r="P80">
            <v>0</v>
          </cell>
          <cell r="Q80" t="str">
            <v xml:space="preserve"> </v>
          </cell>
        </row>
        <row r="81">
          <cell r="B81" t="str">
            <v>158</v>
          </cell>
          <cell r="C81" t="str">
            <v>N</v>
          </cell>
          <cell r="D81" t="str">
            <v>Hàng hóa kho bảo thuế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 t="str">
            <v>100.140.141</v>
          </cell>
          <cell r="N81">
            <v>0</v>
          </cell>
          <cell r="O81" t="str">
            <v>100.140.141</v>
          </cell>
          <cell r="P81">
            <v>0</v>
          </cell>
          <cell r="Q81" t="str">
            <v xml:space="preserve"> </v>
          </cell>
        </row>
        <row r="82">
          <cell r="B82" t="str">
            <v>1611</v>
          </cell>
          <cell r="C82" t="str">
            <v>N</v>
          </cell>
          <cell r="D82" t="str">
            <v>Chi sự nghiệp năm trước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 t="str">
            <v>400.430.432</v>
          </cell>
          <cell r="N82">
            <v>0</v>
          </cell>
          <cell r="O82" t="str">
            <v>400.430.432</v>
          </cell>
          <cell r="P82">
            <v>0</v>
          </cell>
          <cell r="Q82" t="str">
            <v xml:space="preserve"> </v>
          </cell>
        </row>
        <row r="83">
          <cell r="B83" t="str">
            <v>1612</v>
          </cell>
          <cell r="C83" t="str">
            <v>N</v>
          </cell>
          <cell r="D83" t="str">
            <v>Chi sự nghiệp năm nay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400.430.432</v>
          </cell>
          <cell r="N83">
            <v>0</v>
          </cell>
          <cell r="O83" t="str">
            <v>400.430.432</v>
          </cell>
          <cell r="P83">
            <v>0</v>
          </cell>
          <cell r="Q83" t="str">
            <v xml:space="preserve"> </v>
          </cell>
        </row>
        <row r="84">
          <cell r="B84" t="str">
            <v>171</v>
          </cell>
          <cell r="C84" t="str">
            <v>N</v>
          </cell>
          <cell r="D84" t="str">
            <v>Giao dịch mua bán lại trái phiếu chính phủ</v>
          </cell>
          <cell r="G84">
            <v>0</v>
          </cell>
          <cell r="H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100.150.154</v>
          </cell>
          <cell r="N84">
            <v>0</v>
          </cell>
          <cell r="O84" t="str">
            <v>100.150.154</v>
          </cell>
          <cell r="P84">
            <v>0</v>
          </cell>
          <cell r="Q84" t="str">
            <v xml:space="preserve"> </v>
          </cell>
        </row>
        <row r="85">
          <cell r="B85" t="str">
            <v>2111</v>
          </cell>
          <cell r="C85" t="str">
            <v>N</v>
          </cell>
          <cell r="D85" t="str">
            <v>Nhà cửa, vật kiến trúc</v>
          </cell>
          <cell r="F85">
            <v>200000000</v>
          </cell>
          <cell r="G85">
            <v>0</v>
          </cell>
          <cell r="H85">
            <v>0</v>
          </cell>
          <cell r="I85">
            <v>0</v>
          </cell>
          <cell r="J85">
            <v>200000000</v>
          </cell>
          <cell r="K85">
            <v>200000000</v>
          </cell>
          <cell r="L85">
            <v>0</v>
          </cell>
          <cell r="M85" t="str">
            <v>200.220.221.222</v>
          </cell>
          <cell r="N85">
            <v>200000000</v>
          </cell>
          <cell r="O85" t="str">
            <v>200.220.221.222</v>
          </cell>
          <cell r="P85">
            <v>200000000</v>
          </cell>
          <cell r="Q85" t="str">
            <v xml:space="preserve"> </v>
          </cell>
        </row>
        <row r="86">
          <cell r="B86" t="str">
            <v>2112.02</v>
          </cell>
          <cell r="C86" t="str">
            <v>N</v>
          </cell>
          <cell r="D86" t="str">
            <v>Máy cắt phôi HITACHI</v>
          </cell>
          <cell r="F86">
            <v>188000000</v>
          </cell>
          <cell r="G86">
            <v>0</v>
          </cell>
          <cell r="H86">
            <v>0</v>
          </cell>
          <cell r="I86">
            <v>0</v>
          </cell>
          <cell r="J86">
            <v>188000000</v>
          </cell>
          <cell r="K86">
            <v>188000000</v>
          </cell>
          <cell r="L86">
            <v>0</v>
          </cell>
          <cell r="M86" t="str">
            <v>200.220.221.222</v>
          </cell>
          <cell r="N86">
            <v>188000000</v>
          </cell>
          <cell r="O86" t="str">
            <v>200.220.221.222</v>
          </cell>
          <cell r="P86">
            <v>188000000</v>
          </cell>
          <cell r="Q86" t="str">
            <v xml:space="preserve"> </v>
          </cell>
        </row>
        <row r="87">
          <cell r="B87" t="str">
            <v>2112.03</v>
          </cell>
          <cell r="C87" t="str">
            <v>N</v>
          </cell>
          <cell r="D87" t="str">
            <v>Máy phun xi HITACHI</v>
          </cell>
          <cell r="F87">
            <v>150000000</v>
          </cell>
          <cell r="G87">
            <v>0</v>
          </cell>
          <cell r="H87">
            <v>0</v>
          </cell>
          <cell r="I87">
            <v>0</v>
          </cell>
          <cell r="J87">
            <v>150000000</v>
          </cell>
          <cell r="K87">
            <v>150000000</v>
          </cell>
          <cell r="L87">
            <v>0</v>
          </cell>
          <cell r="M87" t="str">
            <v>200.220.221.222</v>
          </cell>
          <cell r="N87">
            <v>150000000</v>
          </cell>
          <cell r="O87" t="str">
            <v>200.220.221.222</v>
          </cell>
          <cell r="P87">
            <v>150000000</v>
          </cell>
          <cell r="Q87" t="str">
            <v xml:space="preserve"> </v>
          </cell>
        </row>
        <row r="88">
          <cell r="B88" t="str">
            <v>2112.04</v>
          </cell>
          <cell r="C88" t="str">
            <v>N</v>
          </cell>
          <cell r="D88" t="str">
            <v>Máy xẻ gỗ</v>
          </cell>
          <cell r="F88">
            <v>0</v>
          </cell>
          <cell r="G88">
            <v>140000000</v>
          </cell>
          <cell r="H88">
            <v>0</v>
          </cell>
          <cell r="I88">
            <v>0</v>
          </cell>
          <cell r="J88">
            <v>140000000</v>
          </cell>
          <cell r="K88">
            <v>0</v>
          </cell>
          <cell r="L88">
            <v>0</v>
          </cell>
          <cell r="M88" t="str">
            <v>200.220.221.222</v>
          </cell>
          <cell r="N88">
            <v>0</v>
          </cell>
          <cell r="O88" t="str">
            <v>200.220.221.222</v>
          </cell>
          <cell r="P88">
            <v>140000000</v>
          </cell>
          <cell r="Q88" t="str">
            <v xml:space="preserve"> </v>
          </cell>
        </row>
        <row r="89">
          <cell r="B89" t="str">
            <v>2113</v>
          </cell>
          <cell r="C89" t="str">
            <v>N</v>
          </cell>
          <cell r="D89" t="str">
            <v>Phương tiện vận tải, truyền dẫn</v>
          </cell>
          <cell r="F89">
            <v>220000000</v>
          </cell>
          <cell r="G89">
            <v>0</v>
          </cell>
          <cell r="H89">
            <v>0</v>
          </cell>
          <cell r="I89">
            <v>0</v>
          </cell>
          <cell r="J89">
            <v>220000000</v>
          </cell>
          <cell r="K89">
            <v>220000000</v>
          </cell>
          <cell r="L89">
            <v>0</v>
          </cell>
          <cell r="M89" t="str">
            <v>200.220.221.222</v>
          </cell>
          <cell r="N89">
            <v>220000000</v>
          </cell>
          <cell r="O89" t="str">
            <v>200.220.221.222</v>
          </cell>
          <cell r="P89">
            <v>220000000</v>
          </cell>
          <cell r="Q89" t="str">
            <v xml:space="preserve"> </v>
          </cell>
        </row>
        <row r="90">
          <cell r="B90" t="str">
            <v>2114.01</v>
          </cell>
          <cell r="C90" t="str">
            <v>N</v>
          </cell>
          <cell r="D90" t="str">
            <v>Máy vi tính</v>
          </cell>
          <cell r="F90">
            <v>50779000</v>
          </cell>
          <cell r="G90">
            <v>0</v>
          </cell>
          <cell r="H90">
            <v>0</v>
          </cell>
          <cell r="I90">
            <v>0</v>
          </cell>
          <cell r="J90">
            <v>50779000</v>
          </cell>
          <cell r="K90">
            <v>50779000</v>
          </cell>
          <cell r="L90">
            <v>0</v>
          </cell>
          <cell r="M90" t="str">
            <v>200.220.221.222</v>
          </cell>
          <cell r="N90">
            <v>50779000</v>
          </cell>
          <cell r="O90" t="str">
            <v>200.220.221.222</v>
          </cell>
          <cell r="P90">
            <v>50779000</v>
          </cell>
          <cell r="Q90" t="str">
            <v xml:space="preserve"> </v>
          </cell>
        </row>
        <row r="91">
          <cell r="B91" t="str">
            <v>2114.02</v>
          </cell>
          <cell r="C91" t="str">
            <v>N</v>
          </cell>
          <cell r="D91" t="str">
            <v>Máy photocopy</v>
          </cell>
          <cell r="F91">
            <v>125000000</v>
          </cell>
          <cell r="G91">
            <v>0</v>
          </cell>
          <cell r="H91">
            <v>0</v>
          </cell>
          <cell r="I91">
            <v>0</v>
          </cell>
          <cell r="J91">
            <v>125000000</v>
          </cell>
          <cell r="K91">
            <v>125000000</v>
          </cell>
          <cell r="L91">
            <v>0</v>
          </cell>
          <cell r="M91" t="str">
            <v>200.220.221.222</v>
          </cell>
          <cell r="N91">
            <v>125000000</v>
          </cell>
          <cell r="O91" t="str">
            <v>200.220.221.222</v>
          </cell>
          <cell r="P91">
            <v>125000000</v>
          </cell>
          <cell r="Q91" t="str">
            <v xml:space="preserve"> </v>
          </cell>
        </row>
        <row r="92">
          <cell r="B92" t="str">
            <v>2118</v>
          </cell>
          <cell r="C92" t="str">
            <v>N</v>
          </cell>
          <cell r="D92" t="str">
            <v>TSCĐ khác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200.220.221.222</v>
          </cell>
          <cell r="N92">
            <v>0</v>
          </cell>
          <cell r="O92" t="str">
            <v>200.220.221.222</v>
          </cell>
          <cell r="P92">
            <v>0</v>
          </cell>
          <cell r="Q92" t="str">
            <v xml:space="preserve"> </v>
          </cell>
        </row>
        <row r="93">
          <cell r="B93" t="str">
            <v>2141</v>
          </cell>
          <cell r="C93" t="str">
            <v>C</v>
          </cell>
          <cell r="D93" t="str">
            <v>Hao mòn TSCĐ hữu hình</v>
          </cell>
          <cell r="F93">
            <v>90000000</v>
          </cell>
          <cell r="G93">
            <v>0</v>
          </cell>
          <cell r="H93">
            <v>2124999</v>
          </cell>
          <cell r="I93">
            <v>0</v>
          </cell>
          <cell r="J93">
            <v>92124999</v>
          </cell>
          <cell r="K93">
            <v>0</v>
          </cell>
          <cell r="L93">
            <v>90000000</v>
          </cell>
          <cell r="M93" t="str">
            <v>200.220.221.223</v>
          </cell>
          <cell r="N93">
            <v>-90000000</v>
          </cell>
          <cell r="O93" t="str">
            <v>200.220.221.223</v>
          </cell>
          <cell r="P93">
            <v>-92124999</v>
          </cell>
          <cell r="Q93" t="str">
            <v xml:space="preserve"> </v>
          </cell>
        </row>
        <row r="94">
          <cell r="B94" t="str">
            <v>2147</v>
          </cell>
          <cell r="C94" t="str">
            <v>C</v>
          </cell>
          <cell r="D94" t="str">
            <v>Hao mòn bất động sản đầu tư</v>
          </cell>
          <cell r="G94">
            <v>0</v>
          </cell>
          <cell r="H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200.230.232</v>
          </cell>
          <cell r="N94">
            <v>0</v>
          </cell>
          <cell r="O94" t="str">
            <v>200.230.232</v>
          </cell>
          <cell r="P94">
            <v>0</v>
          </cell>
          <cell r="Q94" t="str">
            <v xml:space="preserve"> </v>
          </cell>
        </row>
        <row r="95">
          <cell r="B95" t="str">
            <v>217</v>
          </cell>
          <cell r="C95" t="str">
            <v>N</v>
          </cell>
          <cell r="D95" t="str">
            <v>Bất động sản đầu tư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200.230.231</v>
          </cell>
          <cell r="N95">
            <v>0</v>
          </cell>
          <cell r="O95" t="str">
            <v>200.230.231</v>
          </cell>
          <cell r="P95">
            <v>0</v>
          </cell>
          <cell r="Q95" t="str">
            <v xml:space="preserve"> </v>
          </cell>
        </row>
        <row r="96">
          <cell r="B96" t="str">
            <v>221</v>
          </cell>
          <cell r="C96" t="str">
            <v>N</v>
          </cell>
          <cell r="D96" t="str">
            <v>Đầu tư vào công ty con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200.250.251</v>
          </cell>
          <cell r="N96">
            <v>0</v>
          </cell>
          <cell r="O96" t="str">
            <v>200.250.251</v>
          </cell>
          <cell r="P96">
            <v>0</v>
          </cell>
          <cell r="Q96" t="str">
            <v xml:space="preserve"> </v>
          </cell>
        </row>
        <row r="97">
          <cell r="B97" t="str">
            <v>222</v>
          </cell>
          <cell r="C97" t="str">
            <v>N</v>
          </cell>
          <cell r="D97" t="str">
            <v>Đầu tư vào công ty liên doanh, liên kết</v>
          </cell>
          <cell r="F97">
            <v>26000000</v>
          </cell>
          <cell r="G97">
            <v>0</v>
          </cell>
          <cell r="H97">
            <v>0</v>
          </cell>
          <cell r="I97">
            <v>0</v>
          </cell>
          <cell r="J97">
            <v>26000000</v>
          </cell>
          <cell r="K97">
            <v>26000000</v>
          </cell>
          <cell r="L97">
            <v>0</v>
          </cell>
          <cell r="M97" t="str">
            <v>200.250.252</v>
          </cell>
          <cell r="N97">
            <v>26000000</v>
          </cell>
          <cell r="O97" t="str">
            <v>200.250.252</v>
          </cell>
          <cell r="P97">
            <v>26000000</v>
          </cell>
          <cell r="Q97" t="str">
            <v xml:space="preserve"> </v>
          </cell>
        </row>
        <row r="98">
          <cell r="B98" t="str">
            <v>2281</v>
          </cell>
          <cell r="C98" t="str">
            <v>N</v>
          </cell>
          <cell r="D98" t="str">
            <v>Đầu tư góp vốn vào đơn vị khác</v>
          </cell>
          <cell r="F98">
            <v>80000000</v>
          </cell>
          <cell r="G98">
            <v>0</v>
          </cell>
          <cell r="H98">
            <v>0</v>
          </cell>
          <cell r="I98">
            <v>0</v>
          </cell>
          <cell r="J98">
            <v>80000000</v>
          </cell>
          <cell r="K98">
            <v>80000000</v>
          </cell>
          <cell r="L98">
            <v>0</v>
          </cell>
          <cell r="M98" t="str">
            <v>200.250.253</v>
          </cell>
          <cell r="N98">
            <v>80000000</v>
          </cell>
          <cell r="O98" t="str">
            <v>200.250.253</v>
          </cell>
          <cell r="P98">
            <v>80000000</v>
          </cell>
          <cell r="Q98" t="str">
            <v xml:space="preserve"> </v>
          </cell>
        </row>
        <row r="99">
          <cell r="B99" t="str">
            <v>22881</v>
          </cell>
          <cell r="C99" t="str">
            <v>N</v>
          </cell>
          <cell r="D99" t="str">
            <v>Đầu tư khác</v>
          </cell>
          <cell r="F99">
            <v>30000000</v>
          </cell>
          <cell r="G99">
            <v>0</v>
          </cell>
          <cell r="H99">
            <v>0</v>
          </cell>
          <cell r="I99">
            <v>0</v>
          </cell>
          <cell r="J99">
            <v>30000000</v>
          </cell>
          <cell r="K99">
            <v>30000000</v>
          </cell>
          <cell r="L99">
            <v>0</v>
          </cell>
          <cell r="M99" t="str">
            <v>100.150.155</v>
          </cell>
          <cell r="N99">
            <v>30000000</v>
          </cell>
          <cell r="O99" t="str">
            <v>100.150.155</v>
          </cell>
          <cell r="P99">
            <v>30000000</v>
          </cell>
          <cell r="Q99" t="str">
            <v xml:space="preserve"> </v>
          </cell>
        </row>
        <row r="100">
          <cell r="B100" t="str">
            <v>2291</v>
          </cell>
          <cell r="C100" t="str">
            <v>C</v>
          </cell>
          <cell r="D100" t="str">
            <v>Dự phòng giảm giá chứng khoán kinh doanh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 t="str">
            <v>100.120.122</v>
          </cell>
          <cell r="N100">
            <v>0</v>
          </cell>
          <cell r="O100" t="str">
            <v>100.120.122</v>
          </cell>
          <cell r="P100">
            <v>0</v>
          </cell>
          <cell r="Q100" t="str">
            <v xml:space="preserve"> </v>
          </cell>
        </row>
        <row r="101">
          <cell r="B101" t="str">
            <v>2292</v>
          </cell>
          <cell r="C101" t="str">
            <v>C</v>
          </cell>
          <cell r="D101" t="str">
            <v>Dự phòng tổn thất đầu tư vào đơn vị khác</v>
          </cell>
          <cell r="G101">
            <v>0</v>
          </cell>
          <cell r="H101">
            <v>0</v>
          </cell>
          <cell r="J101">
            <v>0</v>
          </cell>
          <cell r="K101">
            <v>0</v>
          </cell>
          <cell r="L101">
            <v>0</v>
          </cell>
          <cell r="M101" t="str">
            <v>200.250.254</v>
          </cell>
          <cell r="N101">
            <v>0</v>
          </cell>
          <cell r="O101" t="str">
            <v>200.250.254</v>
          </cell>
          <cell r="P101">
            <v>0</v>
          </cell>
          <cell r="Q101" t="str">
            <v xml:space="preserve"> </v>
          </cell>
        </row>
        <row r="102">
          <cell r="B102" t="str">
            <v>22931</v>
          </cell>
          <cell r="C102" t="str">
            <v>C</v>
          </cell>
          <cell r="D102" t="str">
            <v>Dự phòng phải thu khó đòi</v>
          </cell>
          <cell r="F102">
            <v>30000000</v>
          </cell>
          <cell r="G102">
            <v>0</v>
          </cell>
          <cell r="H102">
            <v>0</v>
          </cell>
          <cell r="J102">
            <v>30000000</v>
          </cell>
          <cell r="K102">
            <v>0</v>
          </cell>
          <cell r="L102">
            <v>30000000</v>
          </cell>
          <cell r="M102" t="str">
            <v>100.130.137</v>
          </cell>
          <cell r="N102">
            <v>-30000000</v>
          </cell>
          <cell r="O102" t="str">
            <v>100.130.137</v>
          </cell>
          <cell r="P102">
            <v>-30000000</v>
          </cell>
          <cell r="Q102" t="str">
            <v xml:space="preserve"> </v>
          </cell>
        </row>
        <row r="103">
          <cell r="B103" t="str">
            <v>22932</v>
          </cell>
          <cell r="C103" t="str">
            <v>C</v>
          </cell>
          <cell r="D103" t="str">
            <v>Dự phòng phải thu khó đòi (dài hạn)</v>
          </cell>
          <cell r="G103">
            <v>0</v>
          </cell>
          <cell r="H103">
            <v>0</v>
          </cell>
          <cell r="J103">
            <v>0</v>
          </cell>
          <cell r="K103">
            <v>0</v>
          </cell>
          <cell r="L103">
            <v>0</v>
          </cell>
          <cell r="M103" t="str">
            <v>200.210.219</v>
          </cell>
          <cell r="N103">
            <v>0</v>
          </cell>
          <cell r="O103" t="str">
            <v>200.210.219</v>
          </cell>
          <cell r="P103">
            <v>0</v>
          </cell>
          <cell r="Q103" t="str">
            <v xml:space="preserve"> </v>
          </cell>
        </row>
        <row r="104">
          <cell r="B104" t="str">
            <v>2294</v>
          </cell>
          <cell r="C104" t="str">
            <v>C</v>
          </cell>
          <cell r="D104" t="str">
            <v>Dự phòng giảm giá hàng tồn kho</v>
          </cell>
          <cell r="F104">
            <v>80000000</v>
          </cell>
          <cell r="G104">
            <v>0</v>
          </cell>
          <cell r="H104">
            <v>0</v>
          </cell>
          <cell r="J104">
            <v>80000000</v>
          </cell>
          <cell r="K104">
            <v>0</v>
          </cell>
          <cell r="L104">
            <v>80000000</v>
          </cell>
          <cell r="M104" t="str">
            <v>100.140.149</v>
          </cell>
          <cell r="N104">
            <v>-80000000</v>
          </cell>
          <cell r="O104" t="str">
            <v>100.140.149</v>
          </cell>
          <cell r="P104">
            <v>-80000000</v>
          </cell>
          <cell r="Q104" t="str">
            <v xml:space="preserve"> </v>
          </cell>
        </row>
        <row r="105">
          <cell r="B105" t="str">
            <v>2411</v>
          </cell>
          <cell r="C105" t="str">
            <v>N</v>
          </cell>
          <cell r="D105" t="str">
            <v>Mua sắm TSCĐ</v>
          </cell>
          <cell r="F105">
            <v>250000000</v>
          </cell>
          <cell r="G105">
            <v>0</v>
          </cell>
          <cell r="H105">
            <v>0</v>
          </cell>
          <cell r="I105">
            <v>0</v>
          </cell>
          <cell r="J105">
            <v>250000000</v>
          </cell>
          <cell r="K105">
            <v>250000000</v>
          </cell>
          <cell r="L105">
            <v>0</v>
          </cell>
          <cell r="M105" t="str">
            <v>200.240.242</v>
          </cell>
          <cell r="N105">
            <v>250000000</v>
          </cell>
          <cell r="O105" t="str">
            <v>200.240.242</v>
          </cell>
          <cell r="P105">
            <v>250000000</v>
          </cell>
          <cell r="Q105" t="str">
            <v xml:space="preserve"> </v>
          </cell>
        </row>
        <row r="106">
          <cell r="B106" t="str">
            <v>2412</v>
          </cell>
          <cell r="C106" t="str">
            <v>N</v>
          </cell>
          <cell r="D106" t="str">
            <v>Xây dựng cơ bản</v>
          </cell>
          <cell r="F106">
            <v>213760000</v>
          </cell>
          <cell r="G106">
            <v>0</v>
          </cell>
          <cell r="H106">
            <v>0</v>
          </cell>
          <cell r="I106">
            <v>0</v>
          </cell>
          <cell r="J106">
            <v>213760000</v>
          </cell>
          <cell r="K106">
            <v>213760000</v>
          </cell>
          <cell r="L106">
            <v>0</v>
          </cell>
          <cell r="M106" t="str">
            <v>200.240.242</v>
          </cell>
          <cell r="N106">
            <v>213760000</v>
          </cell>
          <cell r="O106" t="str">
            <v>200.240.242</v>
          </cell>
          <cell r="P106">
            <v>213760000</v>
          </cell>
          <cell r="Q106" t="str">
            <v xml:space="preserve"> </v>
          </cell>
        </row>
        <row r="107">
          <cell r="B107" t="str">
            <v>2413</v>
          </cell>
          <cell r="C107" t="str">
            <v>N</v>
          </cell>
          <cell r="D107" t="str">
            <v>Sửa chữa lớn TSCĐ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 t="str">
            <v>200.240.242</v>
          </cell>
          <cell r="N107">
            <v>0</v>
          </cell>
          <cell r="O107" t="str">
            <v>200.240.242</v>
          </cell>
          <cell r="P107">
            <v>0</v>
          </cell>
          <cell r="Q107" t="str">
            <v xml:space="preserve"> </v>
          </cell>
        </row>
        <row r="108">
          <cell r="B108" t="str">
            <v>2421.01</v>
          </cell>
          <cell r="C108" t="str">
            <v>N</v>
          </cell>
          <cell r="D108" t="str">
            <v>Máy tính Casio (không quá 12 tháng)</v>
          </cell>
          <cell r="F108">
            <v>5000000</v>
          </cell>
          <cell r="G108">
            <v>2500000</v>
          </cell>
          <cell r="H108">
            <v>500000</v>
          </cell>
          <cell r="I108">
            <v>0</v>
          </cell>
          <cell r="J108">
            <v>7000000</v>
          </cell>
          <cell r="K108">
            <v>5000000</v>
          </cell>
          <cell r="L108">
            <v>0</v>
          </cell>
          <cell r="M108" t="str">
            <v>100.150.151</v>
          </cell>
          <cell r="N108">
            <v>5000000</v>
          </cell>
          <cell r="O108" t="str">
            <v>100.150.151</v>
          </cell>
          <cell r="P108">
            <v>7000000</v>
          </cell>
          <cell r="Q108" t="str">
            <v xml:space="preserve"> </v>
          </cell>
        </row>
        <row r="109">
          <cell r="B109" t="str">
            <v>2421.02</v>
          </cell>
          <cell r="C109" t="str">
            <v>N</v>
          </cell>
          <cell r="D109" t="str">
            <v>Kệ tủ (không quá 12 tháng)</v>
          </cell>
          <cell r="F109">
            <v>8000000</v>
          </cell>
          <cell r="G109">
            <v>1000000</v>
          </cell>
          <cell r="H109">
            <v>250000</v>
          </cell>
          <cell r="I109">
            <v>0</v>
          </cell>
          <cell r="J109">
            <v>8750000</v>
          </cell>
          <cell r="K109">
            <v>8000000</v>
          </cell>
          <cell r="L109">
            <v>0</v>
          </cell>
          <cell r="M109" t="str">
            <v>100.150.151</v>
          </cell>
          <cell r="N109">
            <v>8000000</v>
          </cell>
          <cell r="O109" t="str">
            <v>100.150.151</v>
          </cell>
          <cell r="P109">
            <v>8750000</v>
          </cell>
          <cell r="Q109" t="str">
            <v xml:space="preserve"> </v>
          </cell>
        </row>
        <row r="110">
          <cell r="B110" t="str">
            <v>2422.01</v>
          </cell>
          <cell r="C110" t="str">
            <v>N</v>
          </cell>
          <cell r="D110" t="str">
            <v>Máy tính Casio (trên 12 tháng)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200.260.261</v>
          </cell>
          <cell r="N110">
            <v>0</v>
          </cell>
          <cell r="O110" t="str">
            <v>200.260.261</v>
          </cell>
          <cell r="P110">
            <v>0</v>
          </cell>
          <cell r="Q110" t="str">
            <v xml:space="preserve"> </v>
          </cell>
        </row>
        <row r="111">
          <cell r="B111" t="str">
            <v>2422.02</v>
          </cell>
          <cell r="C111" t="str">
            <v>N</v>
          </cell>
          <cell r="D111" t="str">
            <v>Kệ tủ (trên 12 tháng)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200.260.261</v>
          </cell>
          <cell r="N111">
            <v>0</v>
          </cell>
          <cell r="O111" t="str">
            <v>200.260.261</v>
          </cell>
          <cell r="P111">
            <v>0</v>
          </cell>
          <cell r="Q111" t="str">
            <v xml:space="preserve"> </v>
          </cell>
        </row>
        <row r="112">
          <cell r="B112" t="str">
            <v>2422.03</v>
          </cell>
          <cell r="C112" t="str">
            <v>N</v>
          </cell>
          <cell r="D112" t="str">
            <v>Chi phí sửa chữa lớn TSCĐ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 t="str">
            <v>200.260.261</v>
          </cell>
          <cell r="N112">
            <v>0</v>
          </cell>
          <cell r="O112" t="str">
            <v>200.260.261</v>
          </cell>
          <cell r="P112">
            <v>0</v>
          </cell>
          <cell r="Q112" t="str">
            <v xml:space="preserve"> </v>
          </cell>
        </row>
        <row r="113">
          <cell r="B113" t="str">
            <v>243</v>
          </cell>
          <cell r="C113" t="str">
            <v>N</v>
          </cell>
          <cell r="D113" t="str">
            <v>Tài sản thuế thu nhập hoãn lại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 t="str">
            <v>200.260.262</v>
          </cell>
          <cell r="N113">
            <v>0</v>
          </cell>
          <cell r="O113" t="str">
            <v>200.260.262</v>
          </cell>
          <cell r="P113">
            <v>0</v>
          </cell>
          <cell r="Q113" t="str">
            <v xml:space="preserve"> </v>
          </cell>
        </row>
        <row r="114">
          <cell r="B114" t="str">
            <v>2441</v>
          </cell>
          <cell r="C114" t="str">
            <v>N</v>
          </cell>
          <cell r="D114" t="str">
            <v>Cầm cố, thế chấp, ký quỹ, ký cược (không quá 12 tháng)</v>
          </cell>
          <cell r="F114">
            <v>130000000</v>
          </cell>
          <cell r="G114">
            <v>0</v>
          </cell>
          <cell r="H114">
            <v>0</v>
          </cell>
          <cell r="I114">
            <v>0</v>
          </cell>
          <cell r="J114">
            <v>130000000</v>
          </cell>
          <cell r="K114">
            <v>130000000</v>
          </cell>
          <cell r="L114">
            <v>0</v>
          </cell>
          <cell r="M114" t="str">
            <v>100.130.136</v>
          </cell>
          <cell r="N114">
            <v>130000000</v>
          </cell>
          <cell r="O114" t="str">
            <v>100.130.136</v>
          </cell>
          <cell r="P114">
            <v>130000000</v>
          </cell>
          <cell r="Q114" t="str">
            <v xml:space="preserve"> </v>
          </cell>
        </row>
        <row r="115">
          <cell r="B115" t="str">
            <v>2442</v>
          </cell>
          <cell r="C115" t="str">
            <v>N</v>
          </cell>
          <cell r="D115" t="str">
            <v>Cầm cố, thế chấp, ký quỹ, ký cược (trên 12 tháng)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 t="str">
            <v>200.210.216</v>
          </cell>
          <cell r="N115">
            <v>0</v>
          </cell>
          <cell r="O115" t="str">
            <v>200.210.216</v>
          </cell>
          <cell r="P115">
            <v>0</v>
          </cell>
          <cell r="Q115" t="str">
            <v xml:space="preserve"> </v>
          </cell>
        </row>
        <row r="116">
          <cell r="B116" t="str">
            <v>3311.01</v>
          </cell>
          <cell r="C116" t="str">
            <v>C</v>
          </cell>
          <cell r="D116" t="str">
            <v>Cty CP Mai Lan</v>
          </cell>
          <cell r="F116">
            <v>139000000</v>
          </cell>
          <cell r="G116">
            <v>40000000</v>
          </cell>
          <cell r="H116">
            <v>4755000</v>
          </cell>
          <cell r="I116">
            <v>0</v>
          </cell>
          <cell r="J116">
            <v>103755000</v>
          </cell>
          <cell r="K116">
            <v>0</v>
          </cell>
          <cell r="L116">
            <v>139000000</v>
          </cell>
          <cell r="M116" t="str">
            <v>300.310.311</v>
          </cell>
          <cell r="N116">
            <v>139000000</v>
          </cell>
          <cell r="O116" t="str">
            <v>300.310.311</v>
          </cell>
          <cell r="P116">
            <v>103755000</v>
          </cell>
          <cell r="Q116" t="str">
            <v xml:space="preserve"> </v>
          </cell>
        </row>
        <row r="117">
          <cell r="B117" t="str">
            <v>3311.02</v>
          </cell>
          <cell r="C117" t="str">
            <v>C</v>
          </cell>
          <cell r="D117" t="str">
            <v>Cty TNHH Cường Phát</v>
          </cell>
          <cell r="F117">
            <v>73000000</v>
          </cell>
          <cell r="G117">
            <v>0</v>
          </cell>
          <cell r="H117">
            <v>23500000</v>
          </cell>
          <cell r="I117">
            <v>0</v>
          </cell>
          <cell r="J117">
            <v>96500000</v>
          </cell>
          <cell r="K117">
            <v>0</v>
          </cell>
          <cell r="L117">
            <v>73000000</v>
          </cell>
          <cell r="M117" t="str">
            <v>300.310.311</v>
          </cell>
          <cell r="N117">
            <v>73000000</v>
          </cell>
          <cell r="O117" t="str">
            <v>300.310.311</v>
          </cell>
          <cell r="P117">
            <v>96500000</v>
          </cell>
          <cell r="Q117" t="str">
            <v xml:space="preserve"> </v>
          </cell>
        </row>
        <row r="118">
          <cell r="B118" t="str">
            <v>3311.03</v>
          </cell>
          <cell r="C118" t="str">
            <v>C</v>
          </cell>
          <cell r="D118" t="str">
            <v>Cty TNHH Minh Gia Phát</v>
          </cell>
          <cell r="G118">
            <v>50000000</v>
          </cell>
          <cell r="H118">
            <v>5500000</v>
          </cell>
          <cell r="I118">
            <v>0</v>
          </cell>
          <cell r="J118">
            <v>-44500000</v>
          </cell>
          <cell r="K118">
            <v>0</v>
          </cell>
          <cell r="L118">
            <v>0</v>
          </cell>
          <cell r="M118" t="str">
            <v>300.310.311</v>
          </cell>
          <cell r="N118">
            <v>0</v>
          </cell>
          <cell r="O118" t="str">
            <v>100.130.132</v>
          </cell>
          <cell r="P118">
            <v>44500000</v>
          </cell>
          <cell r="Q118" t="str">
            <v xml:space="preserve"> </v>
          </cell>
        </row>
        <row r="119">
          <cell r="B119" t="str">
            <v>33311</v>
          </cell>
          <cell r="C119" t="str">
            <v>C</v>
          </cell>
          <cell r="D119" t="str">
            <v>Thuế GTGT đầu ra</v>
          </cell>
          <cell r="F119">
            <v>14200000</v>
          </cell>
          <cell r="G119">
            <v>0</v>
          </cell>
          <cell r="H119">
            <v>3157500</v>
          </cell>
          <cell r="I119">
            <v>0</v>
          </cell>
          <cell r="J119">
            <v>17357500</v>
          </cell>
          <cell r="K119">
            <v>0</v>
          </cell>
          <cell r="L119">
            <v>14200000</v>
          </cell>
          <cell r="M119" t="str">
            <v>300.310.313</v>
          </cell>
          <cell r="N119">
            <v>14200000</v>
          </cell>
          <cell r="O119" t="str">
            <v>300.310.313</v>
          </cell>
          <cell r="P119">
            <v>17357500</v>
          </cell>
          <cell r="Q119" t="str">
            <v xml:space="preserve"> </v>
          </cell>
        </row>
        <row r="120">
          <cell r="B120" t="str">
            <v>33312</v>
          </cell>
          <cell r="C120" t="str">
            <v>C</v>
          </cell>
          <cell r="D120" t="str">
            <v>Thuế GTGT hàng nhập khẩu</v>
          </cell>
          <cell r="F120">
            <v>8000000</v>
          </cell>
          <cell r="G120">
            <v>0</v>
          </cell>
          <cell r="H120">
            <v>0</v>
          </cell>
          <cell r="I120">
            <v>0</v>
          </cell>
          <cell r="J120">
            <v>8000000</v>
          </cell>
          <cell r="K120">
            <v>0</v>
          </cell>
          <cell r="L120">
            <v>8000000</v>
          </cell>
          <cell r="M120" t="str">
            <v>300.310.313</v>
          </cell>
          <cell r="N120">
            <v>8000000</v>
          </cell>
          <cell r="O120" t="str">
            <v>300.310.313</v>
          </cell>
          <cell r="P120">
            <v>8000000</v>
          </cell>
          <cell r="Q120" t="str">
            <v xml:space="preserve"> </v>
          </cell>
        </row>
        <row r="121">
          <cell r="B121" t="str">
            <v>3332</v>
          </cell>
          <cell r="C121" t="str">
            <v>C</v>
          </cell>
          <cell r="D121" t="str">
            <v>Thuế tiêu thụ đặc biệt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300.310.313</v>
          </cell>
          <cell r="N121">
            <v>0</v>
          </cell>
          <cell r="O121" t="str">
            <v>300.310.313</v>
          </cell>
          <cell r="P121">
            <v>0</v>
          </cell>
          <cell r="Q121" t="str">
            <v xml:space="preserve"> </v>
          </cell>
        </row>
        <row r="122">
          <cell r="B122" t="str">
            <v>3333</v>
          </cell>
          <cell r="C122" t="str">
            <v>C</v>
          </cell>
          <cell r="D122" t="str">
            <v>Thuế xuất, nhập khẩu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 t="str">
            <v>300.310.313</v>
          </cell>
          <cell r="N122">
            <v>0</v>
          </cell>
          <cell r="O122" t="str">
            <v>300.310.313</v>
          </cell>
          <cell r="P122">
            <v>0</v>
          </cell>
          <cell r="Q122" t="str">
            <v xml:space="preserve"> </v>
          </cell>
        </row>
        <row r="123">
          <cell r="B123" t="str">
            <v>3334</v>
          </cell>
          <cell r="C123" t="str">
            <v>C</v>
          </cell>
          <cell r="D123" t="str">
            <v>Thuế thu nhập doanh nghiệp</v>
          </cell>
          <cell r="F123">
            <v>12000000</v>
          </cell>
          <cell r="G123">
            <v>0</v>
          </cell>
          <cell r="H123">
            <v>0</v>
          </cell>
          <cell r="I123">
            <v>0</v>
          </cell>
          <cell r="J123">
            <v>12000000</v>
          </cell>
          <cell r="K123">
            <v>0</v>
          </cell>
          <cell r="L123">
            <v>12000000</v>
          </cell>
          <cell r="M123" t="str">
            <v>300.310.313</v>
          </cell>
          <cell r="N123">
            <v>12000000</v>
          </cell>
          <cell r="O123" t="str">
            <v>300.310.313</v>
          </cell>
          <cell r="P123">
            <v>12000000</v>
          </cell>
          <cell r="Q123" t="str">
            <v xml:space="preserve"> </v>
          </cell>
        </row>
        <row r="124">
          <cell r="B124" t="str">
            <v>3335</v>
          </cell>
          <cell r="C124" t="str">
            <v>C</v>
          </cell>
          <cell r="D124" t="str">
            <v>Thuế thu nhập cá nhân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 t="str">
            <v>300.310.313</v>
          </cell>
          <cell r="N124">
            <v>0</v>
          </cell>
          <cell r="O124" t="str">
            <v>300.310.313</v>
          </cell>
          <cell r="P124">
            <v>0</v>
          </cell>
          <cell r="Q124" t="str">
            <v xml:space="preserve"> </v>
          </cell>
        </row>
        <row r="125">
          <cell r="B125" t="str">
            <v>3336</v>
          </cell>
          <cell r="C125" t="str">
            <v>C</v>
          </cell>
          <cell r="D125" t="str">
            <v>Thuế tài nguyên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300.310.313</v>
          </cell>
          <cell r="N125">
            <v>0</v>
          </cell>
          <cell r="O125" t="str">
            <v>300.310.313</v>
          </cell>
          <cell r="P125">
            <v>0</v>
          </cell>
          <cell r="Q125" t="str">
            <v xml:space="preserve"> </v>
          </cell>
        </row>
        <row r="126">
          <cell r="B126" t="str">
            <v>3337</v>
          </cell>
          <cell r="C126" t="str">
            <v>C</v>
          </cell>
          <cell r="D126" t="str">
            <v>Thuế nhà đất, tiền thuê đất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300.310.313</v>
          </cell>
          <cell r="N126">
            <v>0</v>
          </cell>
          <cell r="O126" t="str">
            <v>300.310.313</v>
          </cell>
          <cell r="P126">
            <v>0</v>
          </cell>
          <cell r="Q126" t="str">
            <v xml:space="preserve"> </v>
          </cell>
        </row>
        <row r="127">
          <cell r="B127" t="str">
            <v>3338</v>
          </cell>
          <cell r="C127" t="str">
            <v>C</v>
          </cell>
          <cell r="D127" t="str">
            <v>Thuế bảo vệ môi trường và các loại thuế khác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300.310.313</v>
          </cell>
          <cell r="N127">
            <v>0</v>
          </cell>
          <cell r="O127" t="str">
            <v>300.310.313</v>
          </cell>
          <cell r="P127">
            <v>0</v>
          </cell>
          <cell r="Q127" t="str">
            <v xml:space="preserve"> </v>
          </cell>
        </row>
        <row r="128">
          <cell r="B128" t="str">
            <v>3339</v>
          </cell>
          <cell r="C128" t="str">
            <v>C</v>
          </cell>
          <cell r="D128" t="str">
            <v>Phí, lệ phí và các khoản phải nộp khác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300.310.313</v>
          </cell>
          <cell r="N128">
            <v>0</v>
          </cell>
          <cell r="O128" t="str">
            <v>300.310.313</v>
          </cell>
          <cell r="P128">
            <v>0</v>
          </cell>
          <cell r="Q128" t="str">
            <v xml:space="preserve"> </v>
          </cell>
        </row>
        <row r="129">
          <cell r="B129" t="str">
            <v>3341.01</v>
          </cell>
          <cell r="C129" t="str">
            <v>C</v>
          </cell>
          <cell r="D129" t="str">
            <v>Lương CNSX Ghế tay vịn</v>
          </cell>
          <cell r="F129">
            <v>12000000</v>
          </cell>
          <cell r="G129">
            <v>40000000</v>
          </cell>
          <cell r="H129">
            <v>40000000</v>
          </cell>
          <cell r="I129">
            <v>0</v>
          </cell>
          <cell r="J129">
            <v>12000000</v>
          </cell>
          <cell r="K129">
            <v>0</v>
          </cell>
          <cell r="L129">
            <v>12000000</v>
          </cell>
          <cell r="M129" t="str">
            <v>300.310.314</v>
          </cell>
          <cell r="N129">
            <v>12000000</v>
          </cell>
          <cell r="O129" t="str">
            <v>300.310.314</v>
          </cell>
          <cell r="P129">
            <v>12000000</v>
          </cell>
          <cell r="Q129" t="str">
            <v xml:space="preserve"> </v>
          </cell>
        </row>
        <row r="130">
          <cell r="B130" t="str">
            <v>3341.02</v>
          </cell>
          <cell r="C130" t="str">
            <v>C</v>
          </cell>
          <cell r="D130" t="str">
            <v>Lương CNSX Ghế không tay</v>
          </cell>
          <cell r="F130">
            <v>8000000</v>
          </cell>
          <cell r="G130">
            <v>40000000</v>
          </cell>
          <cell r="H130">
            <v>40000000</v>
          </cell>
          <cell r="I130">
            <v>0</v>
          </cell>
          <cell r="J130">
            <v>8000000</v>
          </cell>
          <cell r="K130">
            <v>0</v>
          </cell>
          <cell r="L130">
            <v>8000000</v>
          </cell>
          <cell r="M130" t="str">
            <v>300.310.314</v>
          </cell>
          <cell r="N130">
            <v>8000000</v>
          </cell>
          <cell r="O130" t="str">
            <v>300.310.314</v>
          </cell>
          <cell r="P130">
            <v>8000000</v>
          </cell>
          <cell r="Q130" t="str">
            <v xml:space="preserve"> </v>
          </cell>
        </row>
        <row r="131">
          <cell r="B131" t="str">
            <v>3341.03</v>
          </cell>
          <cell r="C131" t="str">
            <v>C</v>
          </cell>
          <cell r="D131" t="str">
            <v>Lương CNSX Bàn tròn</v>
          </cell>
          <cell r="F131">
            <v>10000000</v>
          </cell>
          <cell r="G131">
            <v>40000000</v>
          </cell>
          <cell r="H131">
            <v>40000000</v>
          </cell>
          <cell r="I131">
            <v>0</v>
          </cell>
          <cell r="J131">
            <v>10000000</v>
          </cell>
          <cell r="K131">
            <v>0</v>
          </cell>
          <cell r="L131">
            <v>10000000</v>
          </cell>
          <cell r="M131" t="str">
            <v>300.310.314</v>
          </cell>
          <cell r="N131">
            <v>10000000</v>
          </cell>
          <cell r="O131" t="str">
            <v>300.310.314</v>
          </cell>
          <cell r="P131">
            <v>10000000</v>
          </cell>
          <cell r="Q131" t="str">
            <v xml:space="preserve"> </v>
          </cell>
        </row>
        <row r="132">
          <cell r="B132" t="str">
            <v>3341.04</v>
          </cell>
          <cell r="C132" t="str">
            <v>C</v>
          </cell>
          <cell r="D132" t="str">
            <v>Lương CNSX Bàn oval</v>
          </cell>
          <cell r="F132">
            <v>12000000</v>
          </cell>
          <cell r="G132">
            <v>40000000</v>
          </cell>
          <cell r="H132">
            <v>40000000</v>
          </cell>
          <cell r="I132">
            <v>0</v>
          </cell>
          <cell r="J132">
            <v>12000000</v>
          </cell>
          <cell r="K132">
            <v>0</v>
          </cell>
          <cell r="L132">
            <v>12000000</v>
          </cell>
          <cell r="M132" t="str">
            <v>300.310.314</v>
          </cell>
          <cell r="N132">
            <v>12000000</v>
          </cell>
          <cell r="O132" t="str">
            <v>300.310.314</v>
          </cell>
          <cell r="P132">
            <v>12000000</v>
          </cell>
          <cell r="Q132" t="str">
            <v xml:space="preserve"> </v>
          </cell>
        </row>
        <row r="133">
          <cell r="B133" t="str">
            <v>3341.05</v>
          </cell>
          <cell r="C133" t="str">
            <v>C</v>
          </cell>
          <cell r="D133" t="str">
            <v>Lương CNSX Bàn chữ nhật</v>
          </cell>
          <cell r="F133">
            <v>10000000</v>
          </cell>
          <cell r="G133">
            <v>40000000</v>
          </cell>
          <cell r="H133">
            <v>40000000</v>
          </cell>
          <cell r="I133">
            <v>0</v>
          </cell>
          <cell r="J133">
            <v>10000000</v>
          </cell>
          <cell r="K133">
            <v>0</v>
          </cell>
          <cell r="L133">
            <v>10000000</v>
          </cell>
          <cell r="M133" t="str">
            <v>300.310.314</v>
          </cell>
          <cell r="N133">
            <v>10000000</v>
          </cell>
          <cell r="O133" t="str">
            <v>300.310.314</v>
          </cell>
          <cell r="P133">
            <v>10000000</v>
          </cell>
          <cell r="Q133" t="str">
            <v xml:space="preserve"> </v>
          </cell>
        </row>
        <row r="134">
          <cell r="B134" t="str">
            <v>3348.01</v>
          </cell>
          <cell r="C134" t="str">
            <v>C</v>
          </cell>
          <cell r="D134" t="str">
            <v>Lương NV QLPX</v>
          </cell>
          <cell r="F134">
            <v>53000000</v>
          </cell>
          <cell r="G134">
            <v>35000000</v>
          </cell>
          <cell r="H134">
            <v>35000000</v>
          </cell>
          <cell r="I134">
            <v>0</v>
          </cell>
          <cell r="J134">
            <v>53000000</v>
          </cell>
          <cell r="K134">
            <v>0</v>
          </cell>
          <cell r="L134">
            <v>53000000</v>
          </cell>
          <cell r="M134" t="str">
            <v>300.310.314</v>
          </cell>
          <cell r="N134">
            <v>53000000</v>
          </cell>
          <cell r="O134" t="str">
            <v>300.310.314</v>
          </cell>
          <cell r="P134">
            <v>53000000</v>
          </cell>
          <cell r="Q134" t="str">
            <v xml:space="preserve"> </v>
          </cell>
        </row>
        <row r="135">
          <cell r="B135" t="str">
            <v>3348.02</v>
          </cell>
          <cell r="C135" t="str">
            <v>C</v>
          </cell>
          <cell r="D135" t="str">
            <v>Lương NV bán hàng</v>
          </cell>
          <cell r="F135">
            <v>3000000</v>
          </cell>
          <cell r="G135">
            <v>5000000</v>
          </cell>
          <cell r="H135">
            <v>5000000</v>
          </cell>
          <cell r="I135">
            <v>0</v>
          </cell>
          <cell r="J135">
            <v>3000000</v>
          </cell>
          <cell r="K135">
            <v>0</v>
          </cell>
          <cell r="L135">
            <v>3000000</v>
          </cell>
          <cell r="M135" t="str">
            <v>300.310.314</v>
          </cell>
          <cell r="N135">
            <v>3000000</v>
          </cell>
          <cell r="O135" t="str">
            <v>300.310.314</v>
          </cell>
          <cell r="P135">
            <v>3000000</v>
          </cell>
          <cell r="Q135" t="str">
            <v xml:space="preserve"> </v>
          </cell>
        </row>
        <row r="136">
          <cell r="B136" t="str">
            <v>3348.03</v>
          </cell>
          <cell r="C136" t="str">
            <v>C</v>
          </cell>
          <cell r="D136" t="str">
            <v>Lương CB QLDN</v>
          </cell>
          <cell r="F136">
            <v>1500000</v>
          </cell>
          <cell r="G136">
            <v>7000000</v>
          </cell>
          <cell r="H136">
            <v>7000000</v>
          </cell>
          <cell r="I136">
            <v>0</v>
          </cell>
          <cell r="J136">
            <v>1500000</v>
          </cell>
          <cell r="K136">
            <v>0</v>
          </cell>
          <cell r="L136">
            <v>1500000</v>
          </cell>
          <cell r="M136" t="str">
            <v>300.310.314</v>
          </cell>
          <cell r="N136">
            <v>1500000</v>
          </cell>
          <cell r="O136" t="str">
            <v>300.310.314</v>
          </cell>
          <cell r="P136">
            <v>1500000</v>
          </cell>
          <cell r="Q136" t="str">
            <v xml:space="preserve"> </v>
          </cell>
        </row>
        <row r="137">
          <cell r="B137" t="str">
            <v>3351</v>
          </cell>
          <cell r="C137" t="str">
            <v>C</v>
          </cell>
          <cell r="D137" t="str">
            <v>Chi phí phải trả (ngắn hạn)</v>
          </cell>
          <cell r="F137">
            <v>56000000</v>
          </cell>
          <cell r="G137">
            <v>0</v>
          </cell>
          <cell r="H137">
            <v>0</v>
          </cell>
          <cell r="I137">
            <v>0</v>
          </cell>
          <cell r="J137">
            <v>56000000</v>
          </cell>
          <cell r="K137">
            <v>0</v>
          </cell>
          <cell r="L137">
            <v>56000000</v>
          </cell>
          <cell r="M137" t="str">
            <v>300.310.315</v>
          </cell>
          <cell r="N137">
            <v>56000000</v>
          </cell>
          <cell r="O137" t="str">
            <v>300.310.315</v>
          </cell>
          <cell r="P137">
            <v>56000000</v>
          </cell>
          <cell r="Q137" t="str">
            <v xml:space="preserve"> </v>
          </cell>
        </row>
        <row r="138">
          <cell r="B138" t="str">
            <v>3352</v>
          </cell>
          <cell r="C138" t="str">
            <v>C</v>
          </cell>
          <cell r="D138" t="str">
            <v>Chi phí phải trả (dài hạn)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300.330.333</v>
          </cell>
          <cell r="N138">
            <v>0</v>
          </cell>
          <cell r="O138" t="str">
            <v>300.330.333</v>
          </cell>
          <cell r="P138">
            <v>0</v>
          </cell>
          <cell r="Q138" t="str">
            <v xml:space="preserve"> </v>
          </cell>
        </row>
        <row r="139">
          <cell r="B139" t="str">
            <v>3361</v>
          </cell>
          <cell r="C139" t="str">
            <v>C</v>
          </cell>
          <cell r="D139" t="str">
            <v>Phải trả nội bộ về vốn kinh doanh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300.330.334</v>
          </cell>
          <cell r="N139">
            <v>0</v>
          </cell>
          <cell r="O139" t="str">
            <v>300.330.334</v>
          </cell>
          <cell r="P139">
            <v>0</v>
          </cell>
          <cell r="Q139" t="str">
            <v xml:space="preserve"> </v>
          </cell>
        </row>
        <row r="140">
          <cell r="B140" t="str">
            <v>33621</v>
          </cell>
          <cell r="C140" t="str">
            <v>C</v>
          </cell>
          <cell r="D140" t="str">
            <v>Phải trả nội bộ về chênh lệch tỷ giá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 t="str">
            <v>300.310.316</v>
          </cell>
          <cell r="N140">
            <v>0</v>
          </cell>
          <cell r="O140" t="str">
            <v>300.310.316</v>
          </cell>
          <cell r="P140">
            <v>0</v>
          </cell>
          <cell r="Q140" t="str">
            <v xml:space="preserve"> </v>
          </cell>
        </row>
        <row r="141">
          <cell r="B141" t="str">
            <v>33622</v>
          </cell>
          <cell r="C141" t="str">
            <v>C</v>
          </cell>
          <cell r="D141" t="str">
            <v>Phải trả nội bộ về chênh lệch tỷ giá (dài hạn)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 t="str">
            <v>300.330.335</v>
          </cell>
          <cell r="N141">
            <v>0</v>
          </cell>
          <cell r="O141" t="str">
            <v>300.330.335</v>
          </cell>
          <cell r="P141">
            <v>0</v>
          </cell>
          <cell r="Q141" t="str">
            <v xml:space="preserve"> </v>
          </cell>
        </row>
        <row r="142">
          <cell r="B142" t="str">
            <v>33631</v>
          </cell>
          <cell r="C142" t="str">
            <v>C</v>
          </cell>
          <cell r="D142" t="str">
            <v>Phải trả nội bộ về chi phí đi vay đủ điều kiện được vốn hóa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 t="str">
            <v>300.310.316</v>
          </cell>
          <cell r="N142">
            <v>0</v>
          </cell>
          <cell r="O142" t="str">
            <v>300.310.316</v>
          </cell>
          <cell r="P142">
            <v>0</v>
          </cell>
          <cell r="Q142" t="str">
            <v xml:space="preserve"> </v>
          </cell>
        </row>
        <row r="143">
          <cell r="B143" t="str">
            <v>33632</v>
          </cell>
          <cell r="C143" t="str">
            <v>C</v>
          </cell>
          <cell r="D143" t="str">
            <v>Phải trả nội bộ về chi phí đi vay đủ điều kiện được vốn hóa (dài hạn)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 t="str">
            <v>300.330.335</v>
          </cell>
          <cell r="N143">
            <v>0</v>
          </cell>
          <cell r="O143" t="str">
            <v>300.330.335</v>
          </cell>
          <cell r="P143">
            <v>0</v>
          </cell>
          <cell r="Q143" t="str">
            <v xml:space="preserve"> </v>
          </cell>
        </row>
        <row r="144">
          <cell r="B144" t="str">
            <v>33681</v>
          </cell>
          <cell r="C144" t="str">
            <v>C</v>
          </cell>
          <cell r="D144" t="str">
            <v>Phải trả nội bộ khác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 t="str">
            <v>300.310.316</v>
          </cell>
          <cell r="N144">
            <v>0</v>
          </cell>
          <cell r="O144" t="str">
            <v>300.310.316</v>
          </cell>
          <cell r="P144">
            <v>0</v>
          </cell>
          <cell r="Q144" t="str">
            <v xml:space="preserve"> </v>
          </cell>
        </row>
        <row r="145">
          <cell r="B145" t="str">
            <v>33682</v>
          </cell>
          <cell r="C145" t="str">
            <v>C</v>
          </cell>
          <cell r="D145" t="str">
            <v>Phải trả nội bộ khác (dài hạn)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 t="str">
            <v>300.330.335</v>
          </cell>
          <cell r="N145">
            <v>0</v>
          </cell>
          <cell r="O145" t="str">
            <v>300.330.335</v>
          </cell>
          <cell r="P145">
            <v>0</v>
          </cell>
          <cell r="Q145" t="str">
            <v xml:space="preserve"> </v>
          </cell>
        </row>
        <row r="146">
          <cell r="B146" t="str">
            <v>337</v>
          </cell>
          <cell r="C146" t="str">
            <v>C</v>
          </cell>
          <cell r="D146" t="str">
            <v>Thanh toán theo tiến độ kế hoạch hợp đồng xây dựng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 t="str">
            <v>300.310.317</v>
          </cell>
          <cell r="N146">
            <v>0</v>
          </cell>
          <cell r="O146" t="str">
            <v>300.310.317</v>
          </cell>
          <cell r="P146">
            <v>0</v>
          </cell>
          <cell r="Q146" t="str">
            <v xml:space="preserve"> </v>
          </cell>
        </row>
        <row r="147">
          <cell r="B147" t="str">
            <v>3381</v>
          </cell>
          <cell r="C147" t="str">
            <v>C</v>
          </cell>
          <cell r="D147" t="str">
            <v>Tài sản thừa chờ giải quyết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 t="str">
            <v>300.310.319</v>
          </cell>
          <cell r="N147">
            <v>0</v>
          </cell>
          <cell r="O147" t="str">
            <v>300.310.319</v>
          </cell>
          <cell r="P147">
            <v>0</v>
          </cell>
          <cell r="Q147" t="str">
            <v xml:space="preserve"> </v>
          </cell>
        </row>
        <row r="148">
          <cell r="B148" t="str">
            <v>3382</v>
          </cell>
          <cell r="C148" t="str">
            <v>C</v>
          </cell>
          <cell r="D148" t="str">
            <v>Kinh phí công đoàn</v>
          </cell>
          <cell r="F148">
            <v>0</v>
          </cell>
          <cell r="G148">
            <v>0</v>
          </cell>
          <cell r="H148">
            <v>4940000</v>
          </cell>
          <cell r="I148">
            <v>0</v>
          </cell>
          <cell r="J148">
            <v>4940000</v>
          </cell>
          <cell r="K148">
            <v>0</v>
          </cell>
          <cell r="L148">
            <v>0</v>
          </cell>
          <cell r="M148" t="str">
            <v>300.310.319</v>
          </cell>
          <cell r="N148">
            <v>0</v>
          </cell>
          <cell r="O148" t="str">
            <v>300.310.319</v>
          </cell>
          <cell r="P148">
            <v>4940000</v>
          </cell>
          <cell r="Q148" t="str">
            <v xml:space="preserve"> </v>
          </cell>
        </row>
        <row r="149">
          <cell r="B149" t="str">
            <v>3383</v>
          </cell>
          <cell r="C149" t="str">
            <v>C</v>
          </cell>
          <cell r="D149" t="str">
            <v>Bảo hiểm xã hội</v>
          </cell>
          <cell r="F149">
            <v>20000000</v>
          </cell>
          <cell r="G149">
            <v>0</v>
          </cell>
          <cell r="H149">
            <v>39520000</v>
          </cell>
          <cell r="I149">
            <v>0</v>
          </cell>
          <cell r="J149">
            <v>59520000</v>
          </cell>
          <cell r="K149">
            <v>0</v>
          </cell>
          <cell r="L149">
            <v>20000000</v>
          </cell>
          <cell r="M149" t="str">
            <v>300.310.319</v>
          </cell>
          <cell r="N149">
            <v>20000000</v>
          </cell>
          <cell r="O149" t="str">
            <v>300.310.319</v>
          </cell>
          <cell r="P149">
            <v>59520000</v>
          </cell>
          <cell r="Q149" t="str">
            <v xml:space="preserve"> </v>
          </cell>
        </row>
        <row r="150">
          <cell r="B150" t="str">
            <v>3384</v>
          </cell>
          <cell r="C150" t="str">
            <v>C</v>
          </cell>
          <cell r="D150" t="str">
            <v>Bảo hiểm y tế</v>
          </cell>
          <cell r="F150">
            <v>0</v>
          </cell>
          <cell r="G150">
            <v>0</v>
          </cell>
          <cell r="H150">
            <v>7410000</v>
          </cell>
          <cell r="I150">
            <v>0</v>
          </cell>
          <cell r="J150">
            <v>7410000</v>
          </cell>
          <cell r="K150">
            <v>0</v>
          </cell>
          <cell r="L150">
            <v>0</v>
          </cell>
          <cell r="M150" t="str">
            <v>300.310.319</v>
          </cell>
          <cell r="N150">
            <v>0</v>
          </cell>
          <cell r="O150" t="str">
            <v>300.310.319</v>
          </cell>
          <cell r="P150">
            <v>7410000</v>
          </cell>
          <cell r="Q150" t="str">
            <v xml:space="preserve"> </v>
          </cell>
        </row>
        <row r="151">
          <cell r="B151" t="str">
            <v>3385</v>
          </cell>
          <cell r="C151" t="str">
            <v>C</v>
          </cell>
          <cell r="D151" t="str">
            <v>Phải trả về cổ phần hóa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 t="str">
            <v>300.310.319</v>
          </cell>
          <cell r="N151">
            <v>0</v>
          </cell>
          <cell r="O151" t="str">
            <v>300.310.319</v>
          </cell>
          <cell r="P151">
            <v>0</v>
          </cell>
          <cell r="Q151" t="str">
            <v xml:space="preserve"> </v>
          </cell>
        </row>
        <row r="152">
          <cell r="B152" t="str">
            <v>3386</v>
          </cell>
          <cell r="C152" t="str">
            <v>C</v>
          </cell>
          <cell r="D152" t="str">
            <v>Bảo hiểm thất nghiệp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 t="str">
            <v>300.310.319</v>
          </cell>
          <cell r="N152">
            <v>0</v>
          </cell>
          <cell r="O152" t="str">
            <v>300.310.319</v>
          </cell>
          <cell r="P152">
            <v>0</v>
          </cell>
          <cell r="Q152" t="str">
            <v xml:space="preserve"> </v>
          </cell>
        </row>
        <row r="153">
          <cell r="B153" t="str">
            <v>33871</v>
          </cell>
          <cell r="C153" t="str">
            <v>C</v>
          </cell>
          <cell r="D153" t="str">
            <v>Doanh thu chưa thực hiện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 t="str">
            <v>300.310.318</v>
          </cell>
          <cell r="N153">
            <v>0</v>
          </cell>
          <cell r="O153" t="str">
            <v>300.310.318</v>
          </cell>
          <cell r="P153">
            <v>0</v>
          </cell>
          <cell r="Q153" t="str">
            <v xml:space="preserve"> </v>
          </cell>
        </row>
        <row r="154">
          <cell r="B154" t="str">
            <v>33872</v>
          </cell>
          <cell r="C154" t="str">
            <v>C</v>
          </cell>
          <cell r="D154" t="str">
            <v>Doanh thu chưa thực hiện (sau 12 tháng)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 t="str">
            <v>300.330.336</v>
          </cell>
          <cell r="N154">
            <v>0</v>
          </cell>
          <cell r="O154" t="str">
            <v>300.330.336</v>
          </cell>
          <cell r="P154">
            <v>0</v>
          </cell>
          <cell r="Q154" t="str">
            <v xml:space="preserve"> </v>
          </cell>
        </row>
        <row r="155">
          <cell r="B155" t="str">
            <v>3388</v>
          </cell>
          <cell r="C155" t="str">
            <v>C</v>
          </cell>
          <cell r="D155" t="str">
            <v>Phải trả, phải nộp khác</v>
          </cell>
          <cell r="F155">
            <v>38800000</v>
          </cell>
          <cell r="G155">
            <v>0</v>
          </cell>
          <cell r="H155">
            <v>2470000</v>
          </cell>
          <cell r="I155">
            <v>0</v>
          </cell>
          <cell r="J155">
            <v>41270000</v>
          </cell>
          <cell r="K155">
            <v>0</v>
          </cell>
          <cell r="L155">
            <v>38800000</v>
          </cell>
          <cell r="M155" t="str">
            <v>300.310.319</v>
          </cell>
          <cell r="N155">
            <v>38800000</v>
          </cell>
          <cell r="O155" t="str">
            <v>300.310.319</v>
          </cell>
          <cell r="P155">
            <v>41270000</v>
          </cell>
          <cell r="Q155" t="str">
            <v xml:space="preserve"> </v>
          </cell>
        </row>
        <row r="156">
          <cell r="B156" t="str">
            <v>3411</v>
          </cell>
          <cell r="C156" t="str">
            <v>C</v>
          </cell>
          <cell r="D156" t="str">
            <v>Các khoản đi vay</v>
          </cell>
          <cell r="F156">
            <v>385000000</v>
          </cell>
          <cell r="G156">
            <v>0</v>
          </cell>
          <cell r="H156">
            <v>0</v>
          </cell>
          <cell r="J156">
            <v>385000000</v>
          </cell>
          <cell r="K156">
            <v>0</v>
          </cell>
          <cell r="L156">
            <v>385000000</v>
          </cell>
          <cell r="M156" t="str">
            <v>300.310.320</v>
          </cell>
          <cell r="N156">
            <v>385000000</v>
          </cell>
          <cell r="O156" t="str">
            <v>300.310.320</v>
          </cell>
          <cell r="P156">
            <v>385000000</v>
          </cell>
          <cell r="Q156" t="str">
            <v xml:space="preserve"> </v>
          </cell>
        </row>
        <row r="157">
          <cell r="B157" t="str">
            <v>3412</v>
          </cell>
          <cell r="C157" t="str">
            <v>C</v>
          </cell>
          <cell r="D157" t="str">
            <v>Nợ thuê tài chính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 t="str">
            <v>300.310.320</v>
          </cell>
          <cell r="N157">
            <v>0</v>
          </cell>
          <cell r="O157" t="str">
            <v>300.310.320</v>
          </cell>
          <cell r="P157">
            <v>0</v>
          </cell>
          <cell r="Q157" t="str">
            <v xml:space="preserve"> </v>
          </cell>
        </row>
        <row r="158">
          <cell r="B158" t="str">
            <v>34311</v>
          </cell>
          <cell r="C158" t="str">
            <v>C</v>
          </cell>
          <cell r="D158" t="str">
            <v>Mệnh giá trái phiếu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 t="str">
            <v>300.310.320</v>
          </cell>
          <cell r="N158">
            <v>0</v>
          </cell>
          <cell r="O158" t="str">
            <v>300.310.320</v>
          </cell>
          <cell r="P158">
            <v>0</v>
          </cell>
          <cell r="Q158" t="str">
            <v xml:space="preserve"> </v>
          </cell>
        </row>
        <row r="159">
          <cell r="B159" t="str">
            <v>34312</v>
          </cell>
          <cell r="C159" t="str">
            <v>C</v>
          </cell>
          <cell r="D159" t="str">
            <v>Chiết khấu trái phiếu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 t="str">
            <v>300.330.334</v>
          </cell>
          <cell r="N159">
            <v>0</v>
          </cell>
          <cell r="O159" t="str">
            <v>300.330.334</v>
          </cell>
          <cell r="P159">
            <v>0</v>
          </cell>
          <cell r="Q159" t="str">
            <v xml:space="preserve"> </v>
          </cell>
        </row>
        <row r="160">
          <cell r="B160" t="str">
            <v>34313</v>
          </cell>
          <cell r="C160" t="str">
            <v>C</v>
          </cell>
          <cell r="D160" t="str">
            <v>Phụ trội trái phiếu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 t="str">
            <v>300.330.334</v>
          </cell>
          <cell r="N160">
            <v>0</v>
          </cell>
          <cell r="O160" t="str">
            <v>300.330.334</v>
          </cell>
          <cell r="P160">
            <v>0</v>
          </cell>
          <cell r="Q160" t="str">
            <v xml:space="preserve"> </v>
          </cell>
        </row>
        <row r="161">
          <cell r="B161" t="str">
            <v>3432</v>
          </cell>
          <cell r="C161" t="str">
            <v>C</v>
          </cell>
          <cell r="D161" t="str">
            <v>Trái phiếu chuyển đổi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 t="str">
            <v>300.330.339</v>
          </cell>
          <cell r="N161">
            <v>0</v>
          </cell>
          <cell r="O161" t="str">
            <v>300.330.339</v>
          </cell>
          <cell r="P161">
            <v>0</v>
          </cell>
          <cell r="Q161" t="str">
            <v xml:space="preserve"> </v>
          </cell>
        </row>
        <row r="162">
          <cell r="B162" t="str">
            <v>344</v>
          </cell>
          <cell r="C162" t="str">
            <v>C</v>
          </cell>
          <cell r="D162" t="str">
            <v>Nhận ký quỹ, ký cược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 t="str">
            <v>300.330.337</v>
          </cell>
          <cell r="N162">
            <v>0</v>
          </cell>
          <cell r="O162" t="str">
            <v>300.330.337</v>
          </cell>
          <cell r="P162">
            <v>0</v>
          </cell>
          <cell r="Q162" t="str">
            <v xml:space="preserve"> </v>
          </cell>
        </row>
        <row r="163">
          <cell r="B163" t="str">
            <v>347</v>
          </cell>
          <cell r="C163" t="str">
            <v>C</v>
          </cell>
          <cell r="D163" t="str">
            <v>Thuế thu nhập hoãn lại phải trả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 t="str">
            <v>300.330.341</v>
          </cell>
          <cell r="N163">
            <v>0</v>
          </cell>
          <cell r="O163" t="str">
            <v>300.330.341</v>
          </cell>
          <cell r="P163">
            <v>0</v>
          </cell>
          <cell r="Q163" t="str">
            <v xml:space="preserve"> </v>
          </cell>
        </row>
        <row r="164">
          <cell r="B164" t="str">
            <v>3521</v>
          </cell>
          <cell r="C164" t="str">
            <v>C</v>
          </cell>
          <cell r="D164" t="str">
            <v>Dự phòng bảo hành sản phẩm hàng hóa</v>
          </cell>
          <cell r="F164">
            <v>22000000</v>
          </cell>
          <cell r="G164">
            <v>0</v>
          </cell>
          <cell r="H164">
            <v>0</v>
          </cell>
          <cell r="I164">
            <v>0</v>
          </cell>
          <cell r="J164">
            <v>22000000</v>
          </cell>
          <cell r="K164">
            <v>0</v>
          </cell>
          <cell r="L164">
            <v>22000000</v>
          </cell>
          <cell r="M164" t="str">
            <v>300.310.321</v>
          </cell>
          <cell r="N164">
            <v>22000000</v>
          </cell>
          <cell r="O164" t="str">
            <v>300.310.321</v>
          </cell>
          <cell r="P164">
            <v>22000000</v>
          </cell>
          <cell r="Q164" t="str">
            <v xml:space="preserve"> </v>
          </cell>
        </row>
        <row r="165">
          <cell r="B165" t="str">
            <v>3522</v>
          </cell>
          <cell r="C165" t="str">
            <v>C</v>
          </cell>
          <cell r="D165" t="str">
            <v>Dự phòng bảo hành công trình xây dựng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 t="str">
            <v>300.310.321</v>
          </cell>
          <cell r="N165">
            <v>0</v>
          </cell>
          <cell r="O165" t="str">
            <v>300.310.321</v>
          </cell>
          <cell r="P165">
            <v>0</v>
          </cell>
          <cell r="Q165" t="str">
            <v xml:space="preserve"> </v>
          </cell>
        </row>
        <row r="166">
          <cell r="B166" t="str">
            <v>3523</v>
          </cell>
          <cell r="C166" t="str">
            <v>C</v>
          </cell>
          <cell r="D166" t="str">
            <v>Dự phòng tái cơ cấu doanh nghiệp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 t="str">
            <v>300.310.321</v>
          </cell>
          <cell r="N166">
            <v>0</v>
          </cell>
          <cell r="O166" t="str">
            <v>300.310.321</v>
          </cell>
          <cell r="P166">
            <v>0</v>
          </cell>
          <cell r="Q166" t="str">
            <v xml:space="preserve"> </v>
          </cell>
        </row>
        <row r="167">
          <cell r="B167" t="str">
            <v>3524</v>
          </cell>
          <cell r="C167" t="str">
            <v>C</v>
          </cell>
          <cell r="D167" t="str">
            <v>Dự phòng phải trả khác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 t="str">
            <v>300.310.321</v>
          </cell>
          <cell r="N167">
            <v>0</v>
          </cell>
          <cell r="O167" t="str">
            <v>300.310.321</v>
          </cell>
          <cell r="P167">
            <v>0</v>
          </cell>
          <cell r="Q167" t="str">
            <v xml:space="preserve"> </v>
          </cell>
        </row>
        <row r="168">
          <cell r="B168" t="str">
            <v>3531</v>
          </cell>
          <cell r="C168" t="str">
            <v>C</v>
          </cell>
          <cell r="D168" t="str">
            <v>Quỹ khen thưởng</v>
          </cell>
          <cell r="F168">
            <v>37000000</v>
          </cell>
          <cell r="G168">
            <v>0</v>
          </cell>
          <cell r="H168">
            <v>0</v>
          </cell>
          <cell r="I168">
            <v>0</v>
          </cell>
          <cell r="J168">
            <v>37000000</v>
          </cell>
          <cell r="K168">
            <v>0</v>
          </cell>
          <cell r="L168">
            <v>37000000</v>
          </cell>
          <cell r="M168" t="str">
            <v>300.310.322</v>
          </cell>
          <cell r="N168">
            <v>37000000</v>
          </cell>
          <cell r="O168" t="str">
            <v>300.310.322</v>
          </cell>
          <cell r="P168">
            <v>37000000</v>
          </cell>
          <cell r="Q168" t="str">
            <v xml:space="preserve"> </v>
          </cell>
        </row>
        <row r="169">
          <cell r="B169" t="str">
            <v>3532</v>
          </cell>
          <cell r="C169" t="str">
            <v>C</v>
          </cell>
          <cell r="D169" t="str">
            <v>Quỹ phúc lợi</v>
          </cell>
          <cell r="F169">
            <v>26000000</v>
          </cell>
          <cell r="G169">
            <v>0</v>
          </cell>
          <cell r="H169">
            <v>0</v>
          </cell>
          <cell r="I169">
            <v>0</v>
          </cell>
          <cell r="J169">
            <v>26000000</v>
          </cell>
          <cell r="K169">
            <v>0</v>
          </cell>
          <cell r="L169">
            <v>26000000</v>
          </cell>
          <cell r="M169" t="str">
            <v>300.310.322</v>
          </cell>
          <cell r="N169">
            <v>26000000</v>
          </cell>
          <cell r="O169" t="str">
            <v>300.310.322</v>
          </cell>
          <cell r="P169">
            <v>26000000</v>
          </cell>
          <cell r="Q169" t="str">
            <v xml:space="preserve"> </v>
          </cell>
        </row>
        <row r="170">
          <cell r="B170" t="str">
            <v>3533</v>
          </cell>
          <cell r="C170" t="str">
            <v>C</v>
          </cell>
          <cell r="D170" t="str">
            <v>Quỹ phúc lợi đã hình thành TSCĐ</v>
          </cell>
          <cell r="F170">
            <v>20000000</v>
          </cell>
          <cell r="G170">
            <v>0</v>
          </cell>
          <cell r="H170">
            <v>0</v>
          </cell>
          <cell r="I170">
            <v>0</v>
          </cell>
          <cell r="J170">
            <v>20000000</v>
          </cell>
          <cell r="K170">
            <v>0</v>
          </cell>
          <cell r="L170">
            <v>20000000</v>
          </cell>
          <cell r="M170" t="str">
            <v>300.310.322</v>
          </cell>
          <cell r="N170">
            <v>20000000</v>
          </cell>
          <cell r="O170" t="str">
            <v>300.310.322</v>
          </cell>
          <cell r="P170">
            <v>20000000</v>
          </cell>
          <cell r="Q170" t="str">
            <v xml:space="preserve"> </v>
          </cell>
        </row>
        <row r="171">
          <cell r="B171" t="str">
            <v>3534</v>
          </cell>
          <cell r="C171" t="str">
            <v>C</v>
          </cell>
          <cell r="D171" t="str">
            <v>Quỹ thưởng ban điều hành công ty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 t="str">
            <v>300.310.322</v>
          </cell>
          <cell r="N171">
            <v>0</v>
          </cell>
          <cell r="O171" t="str">
            <v>300.310.322</v>
          </cell>
          <cell r="P171">
            <v>0</v>
          </cell>
          <cell r="Q171" t="str">
            <v xml:space="preserve"> </v>
          </cell>
        </row>
        <row r="172">
          <cell r="B172" t="str">
            <v>3561</v>
          </cell>
          <cell r="C172" t="str">
            <v>C</v>
          </cell>
          <cell r="D172" t="str">
            <v>Quỹ phát triển khoa học và công nghệ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 t="str">
            <v>300.330.343</v>
          </cell>
          <cell r="N172">
            <v>0</v>
          </cell>
          <cell r="O172" t="str">
            <v>300.330.343</v>
          </cell>
          <cell r="P172">
            <v>0</v>
          </cell>
          <cell r="Q172" t="str">
            <v xml:space="preserve"> </v>
          </cell>
        </row>
        <row r="173">
          <cell r="B173" t="str">
            <v>3562</v>
          </cell>
          <cell r="C173" t="str">
            <v>C</v>
          </cell>
          <cell r="D173" t="str">
            <v>Quỹ phát triển khoa học và công nghệ đã hình thành TSCĐ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 t="str">
            <v>300.330.343</v>
          </cell>
          <cell r="N173">
            <v>0</v>
          </cell>
          <cell r="O173" t="str">
            <v>300.330.343</v>
          </cell>
          <cell r="P173">
            <v>0</v>
          </cell>
          <cell r="Q173" t="str">
            <v xml:space="preserve"> </v>
          </cell>
        </row>
        <row r="174">
          <cell r="B174" t="str">
            <v>357</v>
          </cell>
          <cell r="C174" t="str">
            <v>C</v>
          </cell>
          <cell r="D174" t="str">
            <v>Quỹ bình ổn giá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 t="str">
            <v>300.310.323</v>
          </cell>
          <cell r="N174">
            <v>0</v>
          </cell>
          <cell r="O174" t="str">
            <v>300.310.323</v>
          </cell>
          <cell r="P174">
            <v>0</v>
          </cell>
          <cell r="Q174" t="str">
            <v xml:space="preserve"> </v>
          </cell>
        </row>
        <row r="175">
          <cell r="B175" t="str">
            <v>41111</v>
          </cell>
          <cell r="C175" t="str">
            <v>C</v>
          </cell>
          <cell r="D175" t="str">
            <v>Cổ phiếu phổ thông có quyền biểu quyết</v>
          </cell>
          <cell r="F175">
            <v>1430000000</v>
          </cell>
          <cell r="G175">
            <v>0</v>
          </cell>
          <cell r="H175">
            <v>0</v>
          </cell>
          <cell r="I175">
            <v>0</v>
          </cell>
          <cell r="J175">
            <v>1430000000</v>
          </cell>
          <cell r="K175">
            <v>0</v>
          </cell>
          <cell r="L175">
            <v>1430000000</v>
          </cell>
          <cell r="M175" t="str">
            <v>400.410.411a</v>
          </cell>
          <cell r="N175">
            <v>1430000000</v>
          </cell>
          <cell r="O175" t="str">
            <v>400.410.411a</v>
          </cell>
          <cell r="P175">
            <v>1430000000</v>
          </cell>
          <cell r="Q175" t="str">
            <v xml:space="preserve"> </v>
          </cell>
        </row>
        <row r="176">
          <cell r="B176" t="str">
            <v>41112</v>
          </cell>
          <cell r="C176" t="str">
            <v>C</v>
          </cell>
          <cell r="D176" t="str">
            <v>Cổ phiếu ưu đãi</v>
          </cell>
          <cell r="F176">
            <v>43641000</v>
          </cell>
          <cell r="G176">
            <v>0</v>
          </cell>
          <cell r="H176">
            <v>0</v>
          </cell>
          <cell r="I176">
            <v>0</v>
          </cell>
          <cell r="J176">
            <v>43641000</v>
          </cell>
          <cell r="K176">
            <v>0</v>
          </cell>
          <cell r="L176">
            <v>43641000</v>
          </cell>
          <cell r="M176" t="str">
            <v>400.410.411b</v>
          </cell>
          <cell r="N176">
            <v>43641000</v>
          </cell>
          <cell r="O176" t="str">
            <v>400.410.411b</v>
          </cell>
          <cell r="P176">
            <v>43641000</v>
          </cell>
          <cell r="Q176" t="str">
            <v xml:space="preserve"> </v>
          </cell>
        </row>
        <row r="177">
          <cell r="B177" t="str">
            <v>4112</v>
          </cell>
          <cell r="C177" t="str">
            <v>C</v>
          </cell>
          <cell r="D177" t="str">
            <v>Thặng dư vốn cổ phần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 t="str">
            <v>400.410.412</v>
          </cell>
          <cell r="N177">
            <v>0</v>
          </cell>
          <cell r="O177" t="str">
            <v>400.410.412</v>
          </cell>
          <cell r="P177">
            <v>0</v>
          </cell>
          <cell r="Q177" t="str">
            <v xml:space="preserve"> </v>
          </cell>
        </row>
        <row r="178">
          <cell r="B178" t="str">
            <v>4113</v>
          </cell>
          <cell r="C178" t="str">
            <v>C</v>
          </cell>
          <cell r="D178" t="str">
            <v>Quyền chọn chuyển đổi trái phiếu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 t="str">
            <v>400.410.413</v>
          </cell>
          <cell r="N178">
            <v>0</v>
          </cell>
          <cell r="O178" t="str">
            <v>400.410.413</v>
          </cell>
          <cell r="P178">
            <v>0</v>
          </cell>
          <cell r="Q178" t="str">
            <v xml:space="preserve"> </v>
          </cell>
        </row>
        <row r="179">
          <cell r="B179" t="str">
            <v>4118</v>
          </cell>
          <cell r="C179" t="str">
            <v>C</v>
          </cell>
          <cell r="D179" t="str">
            <v>Vốn khác</v>
          </cell>
          <cell r="F179">
            <v>18898000</v>
          </cell>
          <cell r="G179">
            <v>0</v>
          </cell>
          <cell r="H179">
            <v>0</v>
          </cell>
          <cell r="I179">
            <v>0</v>
          </cell>
          <cell r="J179">
            <v>18898000</v>
          </cell>
          <cell r="K179">
            <v>0</v>
          </cell>
          <cell r="L179">
            <v>18898000</v>
          </cell>
          <cell r="M179" t="str">
            <v>400.410.414</v>
          </cell>
          <cell r="N179">
            <v>18898000</v>
          </cell>
          <cell r="O179" t="str">
            <v>400.410.414</v>
          </cell>
          <cell r="P179">
            <v>18898000</v>
          </cell>
          <cell r="Q179" t="str">
            <v xml:space="preserve"> </v>
          </cell>
        </row>
        <row r="180">
          <cell r="B180" t="str">
            <v>412</v>
          </cell>
          <cell r="C180" t="str">
            <v>C</v>
          </cell>
          <cell r="D180" t="str">
            <v>Chênh lệch đánh giá lại tài sản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 t="str">
            <v>400.410.416</v>
          </cell>
          <cell r="N180">
            <v>0</v>
          </cell>
          <cell r="O180" t="str">
            <v>400.410.416</v>
          </cell>
          <cell r="P180">
            <v>0</v>
          </cell>
          <cell r="Q180" t="str">
            <v xml:space="preserve"> </v>
          </cell>
        </row>
        <row r="181">
          <cell r="B181" t="str">
            <v>4131</v>
          </cell>
          <cell r="C181" t="str">
            <v>C</v>
          </cell>
          <cell r="D181" t="str">
            <v>Chênh lệch tỷ giá do đánh giá lại các khoản mục tiền tệ có gốc ngoại tệ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 t="str">
            <v>400.410.417</v>
          </cell>
          <cell r="N181">
            <v>0</v>
          </cell>
          <cell r="O181" t="str">
            <v>400.410.417</v>
          </cell>
          <cell r="P181">
            <v>0</v>
          </cell>
          <cell r="Q181" t="str">
            <v xml:space="preserve"> </v>
          </cell>
        </row>
        <row r="182">
          <cell r="B182" t="str">
            <v>4132</v>
          </cell>
          <cell r="C182" t="str">
            <v>C</v>
          </cell>
          <cell r="D182" t="str">
            <v>Chênh lệch tỷ giá hối đoái trong giai đoạn trước hoạt động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 t="str">
            <v>400.410.417</v>
          </cell>
          <cell r="N182">
            <v>0</v>
          </cell>
          <cell r="O182" t="str">
            <v>400.410.417</v>
          </cell>
          <cell r="P182">
            <v>0</v>
          </cell>
          <cell r="Q182" t="str">
            <v xml:space="preserve"> </v>
          </cell>
        </row>
        <row r="183">
          <cell r="B183" t="str">
            <v>414</v>
          </cell>
          <cell r="C183" t="str">
            <v>C</v>
          </cell>
          <cell r="D183" t="str">
            <v>Quỹ đầu tư phát triển</v>
          </cell>
          <cell r="F183">
            <v>120000000</v>
          </cell>
          <cell r="G183">
            <v>0</v>
          </cell>
          <cell r="H183">
            <v>0</v>
          </cell>
          <cell r="I183">
            <v>0</v>
          </cell>
          <cell r="J183">
            <v>120000000</v>
          </cell>
          <cell r="K183">
            <v>0</v>
          </cell>
          <cell r="L183">
            <v>120000000</v>
          </cell>
          <cell r="M183" t="str">
            <v>400.410.418</v>
          </cell>
          <cell r="N183">
            <v>120000000</v>
          </cell>
          <cell r="O183" t="str">
            <v>400.410.418</v>
          </cell>
          <cell r="P183">
            <v>120000000</v>
          </cell>
          <cell r="Q183" t="str">
            <v xml:space="preserve"> </v>
          </cell>
        </row>
        <row r="184">
          <cell r="B184" t="str">
            <v>417</v>
          </cell>
          <cell r="C184" t="str">
            <v>C</v>
          </cell>
          <cell r="D184" t="str">
            <v>Quỹ hỗ trợ sắp xếp doanh nghiệp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 t="str">
            <v>400.410.419</v>
          </cell>
          <cell r="N184">
            <v>0</v>
          </cell>
          <cell r="O184" t="str">
            <v>400.410.419</v>
          </cell>
          <cell r="P184">
            <v>0</v>
          </cell>
          <cell r="Q184" t="str">
            <v xml:space="preserve"> </v>
          </cell>
        </row>
        <row r="185">
          <cell r="B185" t="str">
            <v>418</v>
          </cell>
          <cell r="C185" t="str">
            <v>C</v>
          </cell>
          <cell r="D185" t="str">
            <v>Các quỹ khác thuộc vốn chủ sở hữu</v>
          </cell>
          <cell r="F185">
            <v>130000000</v>
          </cell>
          <cell r="G185">
            <v>0</v>
          </cell>
          <cell r="H185">
            <v>0</v>
          </cell>
          <cell r="I185">
            <v>0</v>
          </cell>
          <cell r="J185">
            <v>130000000</v>
          </cell>
          <cell r="K185">
            <v>0</v>
          </cell>
          <cell r="L185">
            <v>130000000</v>
          </cell>
          <cell r="M185" t="str">
            <v>400.410.420</v>
          </cell>
          <cell r="N185">
            <v>130000000</v>
          </cell>
          <cell r="O185" t="str">
            <v>400.410.420</v>
          </cell>
          <cell r="P185">
            <v>130000000</v>
          </cell>
          <cell r="Q185" t="str">
            <v xml:space="preserve"> </v>
          </cell>
        </row>
        <row r="186">
          <cell r="B186" t="str">
            <v>419</v>
          </cell>
          <cell r="C186" t="str">
            <v>N</v>
          </cell>
          <cell r="D186" t="str">
            <v>Cổ phiếu quỹ</v>
          </cell>
          <cell r="F186">
            <v>9449000</v>
          </cell>
          <cell r="G186">
            <v>0</v>
          </cell>
          <cell r="H186">
            <v>0</v>
          </cell>
          <cell r="I186">
            <v>0</v>
          </cell>
          <cell r="J186">
            <v>9449000</v>
          </cell>
          <cell r="K186">
            <v>9449000</v>
          </cell>
          <cell r="L186">
            <v>0</v>
          </cell>
          <cell r="M186" t="str">
            <v>400.410.415</v>
          </cell>
          <cell r="N186">
            <v>-9449000</v>
          </cell>
          <cell r="O186" t="str">
            <v>400.410.415</v>
          </cell>
          <cell r="P186">
            <v>-9449000</v>
          </cell>
          <cell r="Q186" t="str">
            <v xml:space="preserve"> </v>
          </cell>
        </row>
        <row r="187">
          <cell r="B187" t="str">
            <v>4211</v>
          </cell>
          <cell r="C187" t="str">
            <v>C</v>
          </cell>
          <cell r="D187" t="str">
            <v>Lợi nhuận sau thuế chưa phân phối năm trước</v>
          </cell>
          <cell r="F187">
            <v>204410000</v>
          </cell>
          <cell r="G187">
            <v>0</v>
          </cell>
          <cell r="H187">
            <v>0</v>
          </cell>
          <cell r="I187">
            <v>0</v>
          </cell>
          <cell r="J187">
            <v>204410000</v>
          </cell>
          <cell r="K187">
            <v>0</v>
          </cell>
          <cell r="L187">
            <v>204410000</v>
          </cell>
          <cell r="M187" t="str">
            <v>400.410.421a</v>
          </cell>
          <cell r="N187">
            <v>204410000</v>
          </cell>
          <cell r="O187" t="str">
            <v>400.410.421a</v>
          </cell>
          <cell r="P187">
            <v>204410000</v>
          </cell>
          <cell r="Q187" t="str">
            <v xml:space="preserve"> </v>
          </cell>
        </row>
        <row r="188">
          <cell r="B188" t="str">
            <v>4212</v>
          </cell>
          <cell r="C188" t="str">
            <v>C</v>
          </cell>
          <cell r="D188" t="str">
            <v>Lợi nhuận sau thuế chưa phân phối năm nay</v>
          </cell>
          <cell r="F188">
            <v>0</v>
          </cell>
          <cell r="G188">
            <v>3387852</v>
          </cell>
          <cell r="H188">
            <v>2269619</v>
          </cell>
          <cell r="I188">
            <v>0</v>
          </cell>
          <cell r="J188">
            <v>-1118233</v>
          </cell>
          <cell r="K188">
            <v>0</v>
          </cell>
          <cell r="L188">
            <v>0</v>
          </cell>
          <cell r="M188" t="str">
            <v>400.410.421b</v>
          </cell>
          <cell r="N188">
            <v>0</v>
          </cell>
          <cell r="O188" t="str">
            <v>400.410.421b</v>
          </cell>
          <cell r="P188">
            <v>-1118233</v>
          </cell>
          <cell r="Q188" t="str">
            <v xml:space="preserve"> </v>
          </cell>
        </row>
        <row r="189">
          <cell r="B189" t="str">
            <v>441</v>
          </cell>
          <cell r="C189" t="str">
            <v>C</v>
          </cell>
          <cell r="D189" t="str">
            <v>Nguồn vốn đầu tư xây dựng cơ bản</v>
          </cell>
          <cell r="F189">
            <v>300000000</v>
          </cell>
          <cell r="G189">
            <v>0</v>
          </cell>
          <cell r="H189">
            <v>0</v>
          </cell>
          <cell r="I189">
            <v>0</v>
          </cell>
          <cell r="J189">
            <v>300000000</v>
          </cell>
          <cell r="K189">
            <v>0</v>
          </cell>
          <cell r="L189">
            <v>300000000</v>
          </cell>
          <cell r="M189" t="str">
            <v>400.410.422</v>
          </cell>
          <cell r="N189">
            <v>300000000</v>
          </cell>
          <cell r="O189" t="str">
            <v>400.410.422</v>
          </cell>
          <cell r="P189">
            <v>300000000</v>
          </cell>
          <cell r="Q189" t="str">
            <v xml:space="preserve"> </v>
          </cell>
        </row>
        <row r="190">
          <cell r="B190" t="str">
            <v>461</v>
          </cell>
          <cell r="C190" t="str">
            <v>C</v>
          </cell>
          <cell r="D190" t="str">
            <v>Nguồn kinh phí sự nghiệp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 t="str">
            <v>400.430.431</v>
          </cell>
          <cell r="N190">
            <v>0</v>
          </cell>
          <cell r="O190" t="str">
            <v>400.430.431</v>
          </cell>
          <cell r="P190">
            <v>0</v>
          </cell>
          <cell r="Q190" t="str">
            <v xml:space="preserve"> </v>
          </cell>
        </row>
        <row r="191">
          <cell r="B191" t="str">
            <v>466</v>
          </cell>
          <cell r="C191" t="str">
            <v>C</v>
          </cell>
          <cell r="D191" t="str">
            <v>Nguồn kinh phí đã hình thành TSCĐ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 t="str">
            <v>400.430.432</v>
          </cell>
          <cell r="N191">
            <v>0</v>
          </cell>
          <cell r="O191" t="str">
            <v>400.430.432</v>
          </cell>
          <cell r="P191">
            <v>0</v>
          </cell>
          <cell r="Q191" t="str">
            <v xml:space="preserve"> </v>
          </cell>
        </row>
        <row r="192">
          <cell r="B192" t="str">
            <v>5111</v>
          </cell>
          <cell r="C192" t="str">
            <v>C</v>
          </cell>
          <cell r="D192" t="str">
            <v>Doanh thu bán hàng hóa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Q192" t="str">
            <v xml:space="preserve"> </v>
          </cell>
        </row>
        <row r="193">
          <cell r="B193" t="str">
            <v>5112.0101</v>
          </cell>
          <cell r="C193" t="str">
            <v>C</v>
          </cell>
          <cell r="D193" t="str">
            <v>Doanh thu bán Ghế tay vịn</v>
          </cell>
          <cell r="F193">
            <v>0</v>
          </cell>
          <cell r="G193">
            <v>30000000</v>
          </cell>
          <cell r="H193">
            <v>30000000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Q193" t="str">
            <v xml:space="preserve"> </v>
          </cell>
        </row>
        <row r="194">
          <cell r="B194" t="str">
            <v>5112.0102</v>
          </cell>
          <cell r="C194" t="str">
            <v>C</v>
          </cell>
          <cell r="D194" t="str">
            <v>Doanh thu bán Ghế không tay</v>
          </cell>
          <cell r="F194">
            <v>0</v>
          </cell>
          <cell r="G194">
            <v>28000000</v>
          </cell>
          <cell r="H194">
            <v>28000000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Q194" t="str">
            <v xml:space="preserve"> </v>
          </cell>
        </row>
        <row r="195">
          <cell r="B195" t="str">
            <v>5112.0201</v>
          </cell>
          <cell r="C195" t="str">
            <v>C</v>
          </cell>
          <cell r="D195" t="str">
            <v>Doanh thu bán  Bàn tròn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Q195" t="str">
            <v xml:space="preserve"> </v>
          </cell>
        </row>
        <row r="196">
          <cell r="B196" t="str">
            <v>5112.0202</v>
          </cell>
          <cell r="C196" t="str">
            <v>C</v>
          </cell>
          <cell r="D196" t="str">
            <v>Doanh thu bán Bàn oval</v>
          </cell>
          <cell r="F196">
            <v>0</v>
          </cell>
          <cell r="G196">
            <v>30000000</v>
          </cell>
          <cell r="H196">
            <v>30000000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Q196" t="str">
            <v xml:space="preserve"> </v>
          </cell>
        </row>
        <row r="197">
          <cell r="B197" t="str">
            <v>5112.0203</v>
          </cell>
          <cell r="C197" t="str">
            <v>C</v>
          </cell>
          <cell r="D197" t="str">
            <v>Doanh thu bán Bàn chữ nhật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Q197" t="str">
            <v xml:space="preserve"> </v>
          </cell>
        </row>
        <row r="198">
          <cell r="B198" t="str">
            <v>5113</v>
          </cell>
          <cell r="C198" t="str">
            <v>C</v>
          </cell>
          <cell r="D198" t="str">
            <v>Doanh thu cung cấp dịch vụ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Q198" t="str">
            <v xml:space="preserve"> </v>
          </cell>
        </row>
        <row r="199">
          <cell r="B199" t="str">
            <v>5114</v>
          </cell>
          <cell r="C199" t="str">
            <v>C</v>
          </cell>
          <cell r="D199" t="str">
            <v>Doanh thu trợ cấp, trợ giá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Q199" t="str">
            <v xml:space="preserve"> </v>
          </cell>
        </row>
        <row r="200">
          <cell r="B200" t="str">
            <v>5117</v>
          </cell>
          <cell r="C200" t="str">
            <v>C</v>
          </cell>
          <cell r="D200" t="str">
            <v>Doanh thu kinh doanh bất động sản đầu tư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Q200" t="str">
            <v xml:space="preserve"> </v>
          </cell>
        </row>
        <row r="201">
          <cell r="B201" t="str">
            <v>515</v>
          </cell>
          <cell r="C201" t="str">
            <v>C</v>
          </cell>
          <cell r="D201" t="str">
            <v>Doanh thu hoạt động tài chính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Q201" t="str">
            <v xml:space="preserve"> </v>
          </cell>
        </row>
        <row r="202">
          <cell r="B202" t="str">
            <v>5211</v>
          </cell>
          <cell r="C202" t="str">
            <v>N</v>
          </cell>
          <cell r="D202" t="str">
            <v>Chiết khấu thương mại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Q202" t="str">
            <v xml:space="preserve"> </v>
          </cell>
        </row>
        <row r="203">
          <cell r="B203" t="str">
            <v>5212</v>
          </cell>
          <cell r="C203" t="str">
            <v>N</v>
          </cell>
          <cell r="D203" t="str">
            <v>Giảm giá hàng bán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Q203" t="str">
            <v xml:space="preserve"> </v>
          </cell>
        </row>
        <row r="204">
          <cell r="B204" t="str">
            <v>5213</v>
          </cell>
          <cell r="C204" t="str">
            <v>N</v>
          </cell>
          <cell r="D204" t="str">
            <v>Hàng bán bị trả lại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Q204" t="str">
            <v xml:space="preserve"> </v>
          </cell>
        </row>
        <row r="205">
          <cell r="B205" t="str">
            <v>6111</v>
          </cell>
          <cell r="C205" t="str">
            <v>N</v>
          </cell>
          <cell r="D205" t="str">
            <v>Mua nguyên liệu, vật liệu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Q205" t="str">
            <v xml:space="preserve"> </v>
          </cell>
        </row>
        <row r="206">
          <cell r="B206" t="str">
            <v>6112</v>
          </cell>
          <cell r="C206" t="str">
            <v>N</v>
          </cell>
          <cell r="D206" t="str">
            <v>Mua hàng hóa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Q206" t="str">
            <v xml:space="preserve"> </v>
          </cell>
        </row>
        <row r="207">
          <cell r="B207" t="str">
            <v>6211.01</v>
          </cell>
          <cell r="C207" t="str">
            <v>N</v>
          </cell>
          <cell r="D207" t="str">
            <v>CFNVL Ghế tay vịn</v>
          </cell>
          <cell r="F207">
            <v>0</v>
          </cell>
          <cell r="G207">
            <v>14432200</v>
          </cell>
          <cell r="H207">
            <v>14432200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Q207" t="str">
            <v xml:space="preserve"> </v>
          </cell>
        </row>
        <row r="208">
          <cell r="B208" t="str">
            <v>6211.02</v>
          </cell>
          <cell r="C208" t="str">
            <v>N</v>
          </cell>
          <cell r="D208" t="str">
            <v>CFNVL Ghế không tay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Q208" t="str">
            <v xml:space="preserve"> </v>
          </cell>
        </row>
        <row r="209">
          <cell r="B209" t="str">
            <v>6211.03</v>
          </cell>
          <cell r="C209" t="str">
            <v>N</v>
          </cell>
          <cell r="D209" t="str">
            <v>CFNVL Bàn tròn</v>
          </cell>
          <cell r="F209">
            <v>0</v>
          </cell>
          <cell r="G209">
            <v>3646000</v>
          </cell>
          <cell r="H209">
            <v>3646000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Q209" t="str">
            <v xml:space="preserve"> </v>
          </cell>
        </row>
        <row r="210">
          <cell r="B210" t="str">
            <v>6211.04</v>
          </cell>
          <cell r="C210" t="str">
            <v>N</v>
          </cell>
          <cell r="D210" t="str">
            <v>CFNVL Bàn oval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Q210" t="str">
            <v xml:space="preserve"> </v>
          </cell>
        </row>
        <row r="211">
          <cell r="B211" t="str">
            <v>6211.05</v>
          </cell>
          <cell r="C211" t="str">
            <v>N</v>
          </cell>
          <cell r="D211" t="str">
            <v>CFNVL Bàn chữ nhật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Q211" t="str">
            <v xml:space="preserve"> </v>
          </cell>
        </row>
        <row r="212">
          <cell r="B212" t="str">
            <v>622.01</v>
          </cell>
          <cell r="C212" t="str">
            <v>N</v>
          </cell>
          <cell r="D212" t="str">
            <v>CFNC Ghế tay vịn</v>
          </cell>
          <cell r="F212">
            <v>0</v>
          </cell>
          <cell r="G212">
            <v>48800000</v>
          </cell>
          <cell r="H212">
            <v>48800000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Q212" t="str">
            <v xml:space="preserve"> </v>
          </cell>
        </row>
        <row r="213">
          <cell r="B213" t="str">
            <v>622.02</v>
          </cell>
          <cell r="C213" t="str">
            <v>N</v>
          </cell>
          <cell r="D213" t="str">
            <v>CFNC Ghế không tay</v>
          </cell>
          <cell r="F213">
            <v>0</v>
          </cell>
          <cell r="G213">
            <v>48800000</v>
          </cell>
          <cell r="H213">
            <v>48800000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Q213" t="str">
            <v xml:space="preserve"> </v>
          </cell>
        </row>
        <row r="214">
          <cell r="B214" t="str">
            <v>622.03</v>
          </cell>
          <cell r="C214" t="str">
            <v>N</v>
          </cell>
          <cell r="D214" t="str">
            <v>CFNC Bàn tròn</v>
          </cell>
          <cell r="F214">
            <v>0</v>
          </cell>
          <cell r="G214">
            <v>48800000</v>
          </cell>
          <cell r="H214">
            <v>48800000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Q214" t="str">
            <v xml:space="preserve"> </v>
          </cell>
        </row>
        <row r="215">
          <cell r="B215" t="str">
            <v>622.04</v>
          </cell>
          <cell r="C215" t="str">
            <v>N</v>
          </cell>
          <cell r="D215" t="str">
            <v>CFNCBàn oval</v>
          </cell>
          <cell r="F215">
            <v>0</v>
          </cell>
          <cell r="G215">
            <v>48800000</v>
          </cell>
          <cell r="H215">
            <v>48800000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Q215" t="str">
            <v xml:space="preserve"> </v>
          </cell>
        </row>
        <row r="216">
          <cell r="B216" t="str">
            <v>622.05</v>
          </cell>
          <cell r="C216" t="str">
            <v>N</v>
          </cell>
          <cell r="D216" t="str">
            <v>CFNC Bàn chữ nhật</v>
          </cell>
          <cell r="F216">
            <v>0</v>
          </cell>
          <cell r="G216">
            <v>48800000</v>
          </cell>
          <cell r="H216">
            <v>48800000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Q216" t="str">
            <v xml:space="preserve"> </v>
          </cell>
        </row>
        <row r="217">
          <cell r="B217" t="str">
            <v>6231</v>
          </cell>
          <cell r="C217" t="str">
            <v>N</v>
          </cell>
          <cell r="D217" t="str">
            <v>Chi phí nhân công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Q217" t="str">
            <v xml:space="preserve"> </v>
          </cell>
        </row>
        <row r="218">
          <cell r="B218" t="str">
            <v>6232</v>
          </cell>
          <cell r="C218" t="str">
            <v>N</v>
          </cell>
          <cell r="D218" t="str">
            <v>Chi phí nguyên, vật liệu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Q218" t="str">
            <v xml:space="preserve"> </v>
          </cell>
        </row>
        <row r="219">
          <cell r="B219" t="str">
            <v>6233</v>
          </cell>
          <cell r="C219" t="str">
            <v>N</v>
          </cell>
          <cell r="D219" t="str">
            <v>Chi phí dụng cụ sản xuất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Q219" t="str">
            <v xml:space="preserve"> </v>
          </cell>
        </row>
        <row r="220">
          <cell r="B220" t="str">
            <v>6234</v>
          </cell>
          <cell r="C220" t="str">
            <v>N</v>
          </cell>
          <cell r="D220" t="str">
            <v>Chi phí khấu hao máy thi công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Q220" t="str">
            <v xml:space="preserve"> </v>
          </cell>
        </row>
        <row r="221">
          <cell r="B221" t="str">
            <v>6237</v>
          </cell>
          <cell r="C221" t="str">
            <v>N</v>
          </cell>
          <cell r="D221" t="str">
            <v>Chi phí dịch vụ mua ngoài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Q221" t="str">
            <v xml:space="preserve"> </v>
          </cell>
        </row>
        <row r="222">
          <cell r="B222" t="str">
            <v>6238</v>
          </cell>
          <cell r="C222" t="str">
            <v>N</v>
          </cell>
          <cell r="D222" t="str">
            <v>Chi phí bằng tiền khác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Q222" t="str">
            <v xml:space="preserve"> </v>
          </cell>
        </row>
        <row r="223">
          <cell r="B223" t="str">
            <v>6271</v>
          </cell>
          <cell r="C223" t="str">
            <v>N</v>
          </cell>
          <cell r="D223" t="str">
            <v>Chi phí nhân viên phân xưởng</v>
          </cell>
          <cell r="F223">
            <v>0</v>
          </cell>
          <cell r="G223">
            <v>42700000</v>
          </cell>
          <cell r="H223">
            <v>42700000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Q223" t="str">
            <v xml:space="preserve"> </v>
          </cell>
        </row>
        <row r="224">
          <cell r="B224" t="str">
            <v>6272</v>
          </cell>
          <cell r="C224" t="str">
            <v>N</v>
          </cell>
          <cell r="D224" t="str">
            <v>Chi phí nguyên, vật liệu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Q224" t="str">
            <v xml:space="preserve"> </v>
          </cell>
        </row>
        <row r="225">
          <cell r="B225" t="str">
            <v>6273</v>
          </cell>
          <cell r="C225" t="str">
            <v>N</v>
          </cell>
          <cell r="D225" t="str">
            <v>Chi phí dụng cụ sản xuất</v>
          </cell>
          <cell r="F225">
            <v>0</v>
          </cell>
          <cell r="G225">
            <v>500000</v>
          </cell>
          <cell r="H225">
            <v>500000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Q225" t="str">
            <v xml:space="preserve"> </v>
          </cell>
        </row>
        <row r="226">
          <cell r="B226" t="str">
            <v>6274</v>
          </cell>
          <cell r="C226" t="str">
            <v>N</v>
          </cell>
          <cell r="D226" t="str">
            <v>Chi phí khấu hao TSCĐ</v>
          </cell>
          <cell r="F226">
            <v>0</v>
          </cell>
          <cell r="G226">
            <v>1666666</v>
          </cell>
          <cell r="H226">
            <v>1666666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Q226" t="str">
            <v xml:space="preserve"> </v>
          </cell>
        </row>
        <row r="227">
          <cell r="B227" t="str">
            <v>6277</v>
          </cell>
          <cell r="C227" t="str">
            <v>N</v>
          </cell>
          <cell r="D227" t="str">
            <v>Chi phí dịch vụ mua ngoài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Q227" t="str">
            <v xml:space="preserve"> </v>
          </cell>
        </row>
        <row r="228">
          <cell r="B228" t="str">
            <v>6278</v>
          </cell>
          <cell r="C228" t="str">
            <v>N</v>
          </cell>
          <cell r="D228" t="str">
            <v>Chi phí bằng tiền khác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Q228" t="str">
            <v xml:space="preserve"> </v>
          </cell>
        </row>
        <row r="229">
          <cell r="B229" t="str">
            <v>631</v>
          </cell>
          <cell r="C229" t="str">
            <v>N</v>
          </cell>
          <cell r="D229" t="str">
            <v>Giá thành sản xuất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Q229" t="str">
            <v xml:space="preserve"> </v>
          </cell>
        </row>
        <row r="230">
          <cell r="B230" t="str">
            <v>632.0101</v>
          </cell>
          <cell r="C230" t="str">
            <v>N</v>
          </cell>
          <cell r="D230" t="str">
            <v>GVHB Ghế tay vịn</v>
          </cell>
          <cell r="F230">
            <v>0</v>
          </cell>
          <cell r="G230">
            <v>25123700</v>
          </cell>
          <cell r="H230">
            <v>25123700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Q230" t="str">
            <v xml:space="preserve"> </v>
          </cell>
        </row>
        <row r="231">
          <cell r="B231" t="str">
            <v>632.0102</v>
          </cell>
          <cell r="C231" t="str">
            <v>N</v>
          </cell>
          <cell r="D231" t="str">
            <v>GVHB Ghế không tay</v>
          </cell>
          <cell r="F231">
            <v>0</v>
          </cell>
          <cell r="G231">
            <v>20346200</v>
          </cell>
          <cell r="H231">
            <v>20346200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Q231" t="str">
            <v xml:space="preserve"> </v>
          </cell>
        </row>
        <row r="232">
          <cell r="B232" t="str">
            <v>632.0201</v>
          </cell>
          <cell r="C232" t="str">
            <v>N</v>
          </cell>
          <cell r="D232" t="str">
            <v>GVHB Bàn tròn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Q232" t="str">
            <v xml:space="preserve"> </v>
          </cell>
        </row>
        <row r="233">
          <cell r="B233" t="str">
            <v>632.0202</v>
          </cell>
          <cell r="C233" t="str">
            <v>N</v>
          </cell>
          <cell r="D233" t="str">
            <v>GVHB Bàn oval</v>
          </cell>
          <cell r="F233">
            <v>0</v>
          </cell>
          <cell r="G233">
            <v>25000000</v>
          </cell>
          <cell r="H233">
            <v>25000000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Q233" t="str">
            <v xml:space="preserve"> </v>
          </cell>
        </row>
        <row r="234">
          <cell r="B234" t="str">
            <v>632.0203</v>
          </cell>
          <cell r="C234" t="str">
            <v>N</v>
          </cell>
          <cell r="D234" t="str">
            <v>GVHB Bàn chữ nhật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Q234" t="str">
            <v xml:space="preserve"> </v>
          </cell>
        </row>
        <row r="235">
          <cell r="B235" t="str">
            <v>635</v>
          </cell>
          <cell r="C235" t="str">
            <v>N</v>
          </cell>
          <cell r="D235" t="str">
            <v>Chi phí tài chính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Q235" t="str">
            <v xml:space="preserve"> </v>
          </cell>
        </row>
        <row r="236">
          <cell r="B236" t="str">
            <v>6351</v>
          </cell>
          <cell r="C236" t="str">
            <v>N</v>
          </cell>
          <cell r="D236" t="str">
            <v>Chi phí lãi vay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Q236" t="str">
            <v xml:space="preserve"> </v>
          </cell>
        </row>
        <row r="237">
          <cell r="B237" t="str">
            <v>6411</v>
          </cell>
          <cell r="C237" t="str">
            <v>N</v>
          </cell>
          <cell r="D237" t="str">
            <v xml:space="preserve">Chi phí nhân viên </v>
          </cell>
          <cell r="F237">
            <v>0</v>
          </cell>
          <cell r="G237">
            <v>6100000</v>
          </cell>
          <cell r="H237">
            <v>6100000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Q237" t="str">
            <v xml:space="preserve"> </v>
          </cell>
        </row>
        <row r="238">
          <cell r="B238" t="str">
            <v>6412</v>
          </cell>
          <cell r="C238" t="str">
            <v>N</v>
          </cell>
          <cell r="D238" t="str">
            <v>Chi phí nguyên vật liệu, bao bì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Q238" t="str">
            <v xml:space="preserve"> </v>
          </cell>
        </row>
        <row r="239">
          <cell r="B239" t="str">
            <v>6413</v>
          </cell>
          <cell r="C239" t="str">
            <v>N</v>
          </cell>
          <cell r="D239" t="str">
            <v>Chi phí dụng cụ, đồ dùng</v>
          </cell>
          <cell r="F239">
            <v>0</v>
          </cell>
          <cell r="G239">
            <v>250000</v>
          </cell>
          <cell r="H239">
            <v>250000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Q239" t="str">
            <v xml:space="preserve"> </v>
          </cell>
        </row>
        <row r="240">
          <cell r="B240" t="str">
            <v>6414</v>
          </cell>
          <cell r="C240" t="str">
            <v>N</v>
          </cell>
          <cell r="D240" t="str">
            <v>Chi phí khấu hao TSCĐ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Q240" t="str">
            <v xml:space="preserve"> </v>
          </cell>
        </row>
        <row r="241">
          <cell r="B241" t="str">
            <v>6415</v>
          </cell>
          <cell r="C241" t="str">
            <v>N</v>
          </cell>
          <cell r="D241" t="str">
            <v>Chi phí bảo hành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Q241" t="str">
            <v xml:space="preserve"> </v>
          </cell>
        </row>
        <row r="242">
          <cell r="B242" t="str">
            <v>6417</v>
          </cell>
          <cell r="C242" t="str">
            <v>N</v>
          </cell>
          <cell r="D242" t="str">
            <v>Chi phí dịch vụ mua ngoài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Q242" t="str">
            <v xml:space="preserve"> </v>
          </cell>
        </row>
        <row r="243">
          <cell r="B243" t="str">
            <v>6418</v>
          </cell>
          <cell r="C243" t="str">
            <v>N</v>
          </cell>
          <cell r="D243" t="str">
            <v>Chi phí bằng tiền khác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Q243" t="str">
            <v xml:space="preserve"> </v>
          </cell>
        </row>
        <row r="244">
          <cell r="B244" t="str">
            <v>6421</v>
          </cell>
          <cell r="C244" t="str">
            <v>N</v>
          </cell>
          <cell r="D244" t="str">
            <v>Chi phí nhân viên quản lý</v>
          </cell>
          <cell r="F244">
            <v>0</v>
          </cell>
          <cell r="G244">
            <v>8540000</v>
          </cell>
          <cell r="H244">
            <v>8540000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Q244" t="str">
            <v xml:space="preserve"> </v>
          </cell>
        </row>
        <row r="245">
          <cell r="B245" t="str">
            <v>6422</v>
          </cell>
          <cell r="C245" t="str">
            <v>N</v>
          </cell>
          <cell r="D245" t="str">
            <v>Chi phí vật liệu quản lý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Q245" t="str">
            <v xml:space="preserve"> </v>
          </cell>
        </row>
        <row r="246">
          <cell r="B246" t="str">
            <v>6423</v>
          </cell>
          <cell r="C246" t="str">
            <v>N</v>
          </cell>
          <cell r="D246" t="str">
            <v>Chi phí đồ dùng văn phòng</v>
          </cell>
          <cell r="F246">
            <v>0</v>
          </cell>
          <cell r="G246">
            <v>500000</v>
          </cell>
          <cell r="H246">
            <v>500000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Q246" t="str">
            <v xml:space="preserve"> </v>
          </cell>
        </row>
        <row r="247">
          <cell r="B247" t="str">
            <v>6424</v>
          </cell>
          <cell r="C247" t="str">
            <v>N</v>
          </cell>
          <cell r="D247" t="str">
            <v>Chi phí khấu hao TSCĐ</v>
          </cell>
          <cell r="F247">
            <v>0</v>
          </cell>
          <cell r="G247">
            <v>458333</v>
          </cell>
          <cell r="H247">
            <v>458333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Q247" t="str">
            <v xml:space="preserve"> </v>
          </cell>
        </row>
        <row r="248">
          <cell r="B248" t="str">
            <v>6425</v>
          </cell>
          <cell r="C248" t="str">
            <v>N</v>
          </cell>
          <cell r="D248" t="str">
            <v>Thuế, phí và lệ phí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Q248" t="str">
            <v xml:space="preserve"> </v>
          </cell>
        </row>
        <row r="249">
          <cell r="B249" t="str">
            <v>6426</v>
          </cell>
          <cell r="C249" t="str">
            <v>N</v>
          </cell>
          <cell r="D249" t="str">
            <v>Chi phí dự phòng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Q249" t="str">
            <v xml:space="preserve"> </v>
          </cell>
        </row>
        <row r="250">
          <cell r="B250" t="str">
            <v>6427</v>
          </cell>
          <cell r="C250" t="str">
            <v>N</v>
          </cell>
          <cell r="D250" t="str">
            <v>Chi phí dịch vụ mua ngoài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Q250" t="str">
            <v xml:space="preserve"> </v>
          </cell>
        </row>
        <row r="251">
          <cell r="B251" t="str">
            <v>6428</v>
          </cell>
          <cell r="C251" t="str">
            <v>N</v>
          </cell>
          <cell r="D251" t="str">
            <v>Chi phí bằng tiền khác</v>
          </cell>
          <cell r="F251">
            <v>0</v>
          </cell>
          <cell r="G251">
            <v>2800000</v>
          </cell>
          <cell r="H251">
            <v>2800000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Q251" t="str">
            <v xml:space="preserve"> </v>
          </cell>
        </row>
        <row r="252">
          <cell r="B252" t="str">
            <v>711</v>
          </cell>
          <cell r="C252" t="str">
            <v>C</v>
          </cell>
          <cell r="D252" t="str">
            <v>Thu nhập khác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Q252" t="str">
            <v xml:space="preserve"> </v>
          </cell>
        </row>
        <row r="253">
          <cell r="B253" t="str">
            <v>811</v>
          </cell>
          <cell r="C253" t="str">
            <v>N</v>
          </cell>
          <cell r="D253" t="str">
            <v>Chi phí khác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Q253" t="str">
            <v xml:space="preserve"> </v>
          </cell>
        </row>
        <row r="254">
          <cell r="B254" t="str">
            <v>8211</v>
          </cell>
          <cell r="C254" t="str">
            <v>N</v>
          </cell>
          <cell r="D254" t="str">
            <v>Chi phí thuế TNDN hiện hành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Q254" t="str">
            <v xml:space="preserve"> </v>
          </cell>
        </row>
        <row r="255">
          <cell r="B255" t="str">
            <v>8212</v>
          </cell>
          <cell r="C255" t="str">
            <v>N</v>
          </cell>
          <cell r="D255" t="str">
            <v>Chi phí thuế TNDN hoãn lại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Q255" t="str">
            <v xml:space="preserve"> </v>
          </cell>
        </row>
        <row r="256">
          <cell r="B256" t="str">
            <v>9111.0101</v>
          </cell>
          <cell r="C256" t="str">
            <v>C</v>
          </cell>
          <cell r="D256" t="str">
            <v>Xác định kết quả kinh doanh (GTV)</v>
          </cell>
          <cell r="F256">
            <v>0</v>
          </cell>
          <cell r="G256">
            <v>31772143</v>
          </cell>
          <cell r="H256">
            <v>31772143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Q256" t="str">
            <v xml:space="preserve"> </v>
          </cell>
        </row>
        <row r="257">
          <cell r="B257" t="str">
            <v>9111.0102</v>
          </cell>
          <cell r="C257" t="str">
            <v>C</v>
          </cell>
          <cell r="D257" t="str">
            <v>Xác định kết quả kinh doanh (GKT)</v>
          </cell>
          <cell r="G257">
            <v>28000000</v>
          </cell>
          <cell r="H257">
            <v>28000000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Q257" t="str">
            <v xml:space="preserve"> </v>
          </cell>
        </row>
        <row r="258">
          <cell r="B258" t="str">
            <v>9111.0201</v>
          </cell>
          <cell r="C258" t="str">
            <v>C</v>
          </cell>
          <cell r="D258" t="str">
            <v>Xác định kết quả kinh doanh (BT)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Q258" t="str">
            <v xml:space="preserve"> </v>
          </cell>
        </row>
        <row r="259">
          <cell r="B259" t="str">
            <v>9111.0202</v>
          </cell>
          <cell r="C259" t="str">
            <v>C</v>
          </cell>
          <cell r="D259" t="str">
            <v>Xác định kết quả kinh doanh (BO)</v>
          </cell>
          <cell r="G259">
            <v>31615709</v>
          </cell>
          <cell r="H259">
            <v>31615709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</row>
        <row r="260">
          <cell r="B260" t="str">
            <v>9111.0203</v>
          </cell>
          <cell r="C260" t="str">
            <v>C</v>
          </cell>
          <cell r="D260" t="str">
            <v>Xác định kết quả kinh doanh (BCN)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</row>
        <row r="261">
          <cell r="B261" t="str">
            <v>9111.0303</v>
          </cell>
          <cell r="C261" t="str">
            <v>C</v>
          </cell>
          <cell r="D261" t="str">
            <v>Xác định kết quả kinh doanh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</row>
      </sheetData>
      <sheetData sheetId="2">
        <row r="3">
          <cell r="A3" t="str">
            <v>NGÀY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>
        <row r="5">
          <cell r="A5" t="str">
            <v>111</v>
          </cell>
        </row>
        <row r="6">
          <cell r="A6" t="str">
            <v>1111</v>
          </cell>
        </row>
        <row r="7">
          <cell r="A7" t="str">
            <v>1112</v>
          </cell>
        </row>
        <row r="8">
          <cell r="A8" t="str">
            <v>1113</v>
          </cell>
        </row>
        <row r="9">
          <cell r="A9" t="str">
            <v>112</v>
          </cell>
        </row>
        <row r="10">
          <cell r="A10" t="str">
            <v>1121.01</v>
          </cell>
        </row>
        <row r="11">
          <cell r="A11" t="str">
            <v>1121.02</v>
          </cell>
        </row>
        <row r="12">
          <cell r="A12" t="str">
            <v>1121.03</v>
          </cell>
        </row>
        <row r="13">
          <cell r="A13" t="str">
            <v>1122</v>
          </cell>
        </row>
        <row r="14">
          <cell r="A14" t="str">
            <v>1123</v>
          </cell>
        </row>
        <row r="15">
          <cell r="A15" t="str">
            <v>113</v>
          </cell>
        </row>
        <row r="16">
          <cell r="A16" t="str">
            <v>1131</v>
          </cell>
        </row>
        <row r="17">
          <cell r="A17" t="str">
            <v>1132</v>
          </cell>
        </row>
        <row r="18">
          <cell r="A18" t="str">
            <v>121</v>
          </cell>
        </row>
        <row r="19">
          <cell r="A19" t="str">
            <v>1211</v>
          </cell>
        </row>
        <row r="20">
          <cell r="A20" t="str">
            <v>1212</v>
          </cell>
        </row>
        <row r="21">
          <cell r="A21" t="str">
            <v>128</v>
          </cell>
        </row>
        <row r="22">
          <cell r="A22" t="str">
            <v>12811</v>
          </cell>
        </row>
        <row r="23">
          <cell r="A23" t="str">
            <v>12812</v>
          </cell>
        </row>
        <row r="24">
          <cell r="A24" t="str">
            <v>12831</v>
          </cell>
        </row>
        <row r="25">
          <cell r="A25" t="str">
            <v>12832</v>
          </cell>
        </row>
        <row r="26">
          <cell r="A26" t="str">
            <v>12881</v>
          </cell>
        </row>
        <row r="27">
          <cell r="A27" t="str">
            <v>12882</v>
          </cell>
        </row>
        <row r="28">
          <cell r="A28" t="str">
            <v>131</v>
          </cell>
        </row>
        <row r="29">
          <cell r="A29" t="str">
            <v>1311.01</v>
          </cell>
        </row>
        <row r="30">
          <cell r="A30" t="str">
            <v>1311.02</v>
          </cell>
        </row>
        <row r="31">
          <cell r="A31" t="str">
            <v>1311.03</v>
          </cell>
        </row>
        <row r="32">
          <cell r="A32" t="str">
            <v>1311.04</v>
          </cell>
        </row>
        <row r="33">
          <cell r="A33" t="str">
            <v>1311.05</v>
          </cell>
        </row>
        <row r="34">
          <cell r="A34" t="str">
            <v>1311.06</v>
          </cell>
        </row>
        <row r="35">
          <cell r="A35" t="str">
            <v>133</v>
          </cell>
        </row>
        <row r="36">
          <cell r="A36" t="str">
            <v>1331</v>
          </cell>
        </row>
        <row r="37">
          <cell r="A37" t="str">
            <v>1332</v>
          </cell>
        </row>
        <row r="38">
          <cell r="A38" t="str">
            <v>136</v>
          </cell>
        </row>
        <row r="39">
          <cell r="A39" t="str">
            <v>1361</v>
          </cell>
        </row>
        <row r="40">
          <cell r="A40" t="str">
            <v>13621</v>
          </cell>
        </row>
        <row r="41">
          <cell r="A41" t="str">
            <v>13622</v>
          </cell>
        </row>
        <row r="42">
          <cell r="A42" t="str">
            <v>13631</v>
          </cell>
        </row>
        <row r="43">
          <cell r="A43" t="str">
            <v>13632</v>
          </cell>
        </row>
        <row r="44">
          <cell r="A44" t="str">
            <v>13681</v>
          </cell>
        </row>
        <row r="45">
          <cell r="A45" t="str">
            <v>13682</v>
          </cell>
        </row>
        <row r="46">
          <cell r="A46" t="str">
            <v>138</v>
          </cell>
        </row>
        <row r="47">
          <cell r="A47" t="str">
            <v>1381</v>
          </cell>
        </row>
        <row r="48">
          <cell r="A48" t="str">
            <v>13851</v>
          </cell>
        </row>
        <row r="49">
          <cell r="A49" t="str">
            <v>13852</v>
          </cell>
        </row>
        <row r="50">
          <cell r="A50" t="str">
            <v>13881</v>
          </cell>
        </row>
        <row r="51">
          <cell r="A51" t="str">
            <v>13882</v>
          </cell>
        </row>
        <row r="52">
          <cell r="A52" t="str">
            <v>141</v>
          </cell>
        </row>
        <row r="53">
          <cell r="A53" t="str">
            <v>141.0101</v>
          </cell>
        </row>
        <row r="54">
          <cell r="A54" t="str">
            <v>141.0102</v>
          </cell>
        </row>
        <row r="55">
          <cell r="A55" t="str">
            <v>141.0103</v>
          </cell>
        </row>
        <row r="56">
          <cell r="A56" t="str">
            <v>141.0201</v>
          </cell>
        </row>
        <row r="57">
          <cell r="A57" t="str">
            <v>141.0202</v>
          </cell>
        </row>
        <row r="58">
          <cell r="A58" t="str">
            <v>151</v>
          </cell>
        </row>
        <row r="59">
          <cell r="A59" t="str">
            <v>152</v>
          </cell>
        </row>
        <row r="60">
          <cell r="A60" t="str">
            <v>1521.0101</v>
          </cell>
        </row>
        <row r="61">
          <cell r="A61" t="str">
            <v>1521.0102</v>
          </cell>
        </row>
        <row r="62">
          <cell r="A62" t="str">
            <v>1521.0103</v>
          </cell>
        </row>
        <row r="63">
          <cell r="A63" t="str">
            <v>1521.0201</v>
          </cell>
        </row>
        <row r="64">
          <cell r="A64" t="str">
            <v>1521.0202</v>
          </cell>
        </row>
        <row r="65">
          <cell r="A65" t="str">
            <v>1521.0203</v>
          </cell>
        </row>
        <row r="66">
          <cell r="A66" t="str">
            <v>1521.0301</v>
          </cell>
        </row>
        <row r="67">
          <cell r="A67" t="str">
            <v>1521.0302</v>
          </cell>
        </row>
        <row r="68">
          <cell r="A68" t="str">
            <v>1521.0303</v>
          </cell>
        </row>
        <row r="69">
          <cell r="A69" t="str">
            <v>1521.0401</v>
          </cell>
        </row>
        <row r="70">
          <cell r="A70" t="str">
            <v>1521.0402</v>
          </cell>
        </row>
        <row r="71">
          <cell r="A71" t="str">
            <v>1521.0403</v>
          </cell>
        </row>
        <row r="72">
          <cell r="A72" t="str">
            <v>1522</v>
          </cell>
        </row>
        <row r="73">
          <cell r="A73" t="str">
            <v>153</v>
          </cell>
        </row>
        <row r="74">
          <cell r="A74" t="str">
            <v>1531.01</v>
          </cell>
        </row>
        <row r="75">
          <cell r="A75" t="str">
            <v>1531.02</v>
          </cell>
        </row>
        <row r="76">
          <cell r="A76" t="str">
            <v>1531.03</v>
          </cell>
        </row>
        <row r="77">
          <cell r="A77" t="str">
            <v>1531.04</v>
          </cell>
        </row>
        <row r="78">
          <cell r="A78" t="str">
            <v>1531.05</v>
          </cell>
        </row>
        <row r="79">
          <cell r="A79" t="str">
            <v>154</v>
          </cell>
        </row>
        <row r="80">
          <cell r="A80" t="str">
            <v>154.01</v>
          </cell>
        </row>
        <row r="81">
          <cell r="A81" t="str">
            <v>154.02</v>
          </cell>
        </row>
        <row r="82">
          <cell r="A82" t="str">
            <v>154.03</v>
          </cell>
        </row>
        <row r="83">
          <cell r="A83" t="str">
            <v>154.04</v>
          </cell>
        </row>
        <row r="84">
          <cell r="A84" t="str">
            <v>154.05</v>
          </cell>
        </row>
        <row r="85">
          <cell r="A85" t="str">
            <v>155</v>
          </cell>
        </row>
        <row r="86">
          <cell r="A86" t="str">
            <v>1551.0101</v>
          </cell>
        </row>
        <row r="87">
          <cell r="A87" t="str">
            <v>1551.0102</v>
          </cell>
        </row>
        <row r="88">
          <cell r="A88" t="str">
            <v>1551.0201</v>
          </cell>
        </row>
        <row r="89">
          <cell r="A89" t="str">
            <v>1551.0202</v>
          </cell>
        </row>
        <row r="90">
          <cell r="A90" t="str">
            <v>1551.0203</v>
          </cell>
        </row>
        <row r="91">
          <cell r="A91" t="str">
            <v>156</v>
          </cell>
        </row>
        <row r="92">
          <cell r="A92" t="str">
            <v>1561</v>
          </cell>
        </row>
        <row r="93">
          <cell r="A93" t="str">
            <v>1562</v>
          </cell>
        </row>
        <row r="94">
          <cell r="A94" t="str">
            <v>1567</v>
          </cell>
        </row>
        <row r="95">
          <cell r="A95" t="str">
            <v>157</v>
          </cell>
        </row>
        <row r="96">
          <cell r="A96" t="str">
            <v>158</v>
          </cell>
        </row>
        <row r="97">
          <cell r="A97" t="str">
            <v>161</v>
          </cell>
        </row>
        <row r="98">
          <cell r="A98" t="str">
            <v>1611</v>
          </cell>
        </row>
        <row r="99">
          <cell r="A99" t="str">
            <v>1612</v>
          </cell>
        </row>
        <row r="100">
          <cell r="A100" t="str">
            <v>171</v>
          </cell>
        </row>
        <row r="101">
          <cell r="A101" t="str">
            <v>211</v>
          </cell>
        </row>
        <row r="102">
          <cell r="A102" t="str">
            <v>2111</v>
          </cell>
        </row>
        <row r="103">
          <cell r="A103" t="str">
            <v>2112.02</v>
          </cell>
        </row>
        <row r="104">
          <cell r="A104" t="str">
            <v>2112.03</v>
          </cell>
        </row>
        <row r="105">
          <cell r="A105" t="str">
            <v>2112.04</v>
          </cell>
        </row>
        <row r="106">
          <cell r="A106" t="str">
            <v>2113</v>
          </cell>
        </row>
        <row r="107">
          <cell r="A107" t="str">
            <v>2114.01</v>
          </cell>
        </row>
        <row r="108">
          <cell r="A108" t="str">
            <v>2114.02</v>
          </cell>
        </row>
        <row r="109">
          <cell r="A109" t="str">
            <v>2118</v>
          </cell>
        </row>
        <row r="110">
          <cell r="A110" t="str">
            <v>214</v>
          </cell>
        </row>
        <row r="111">
          <cell r="A111" t="str">
            <v>2141</v>
          </cell>
        </row>
        <row r="112">
          <cell r="A112" t="str">
            <v>2147</v>
          </cell>
        </row>
        <row r="113">
          <cell r="A113" t="str">
            <v>217</v>
          </cell>
        </row>
        <row r="114">
          <cell r="A114" t="str">
            <v>221</v>
          </cell>
        </row>
        <row r="115">
          <cell r="A115" t="str">
            <v>222</v>
          </cell>
        </row>
        <row r="116">
          <cell r="A116" t="str">
            <v>228</v>
          </cell>
        </row>
        <row r="117">
          <cell r="A117" t="str">
            <v>2281</v>
          </cell>
        </row>
        <row r="118">
          <cell r="A118" t="str">
            <v>22881</v>
          </cell>
        </row>
        <row r="119">
          <cell r="A119" t="str">
            <v>229</v>
          </cell>
        </row>
        <row r="120">
          <cell r="A120" t="str">
            <v>2291</v>
          </cell>
        </row>
        <row r="121">
          <cell r="A121" t="str">
            <v>2292</v>
          </cell>
        </row>
        <row r="122">
          <cell r="A122" t="str">
            <v>22931</v>
          </cell>
        </row>
        <row r="123">
          <cell r="A123" t="str">
            <v>22932</v>
          </cell>
        </row>
        <row r="124">
          <cell r="A124" t="str">
            <v>2294</v>
          </cell>
        </row>
        <row r="125">
          <cell r="A125" t="str">
            <v>241</v>
          </cell>
        </row>
        <row r="126">
          <cell r="A126" t="str">
            <v>2411</v>
          </cell>
        </row>
        <row r="127">
          <cell r="A127" t="str">
            <v>2412</v>
          </cell>
        </row>
        <row r="128">
          <cell r="A128" t="str">
            <v>2413</v>
          </cell>
        </row>
        <row r="129">
          <cell r="A129" t="str">
            <v>242</v>
          </cell>
        </row>
        <row r="130">
          <cell r="A130" t="str">
            <v>2421.01</v>
          </cell>
        </row>
        <row r="131">
          <cell r="A131" t="str">
            <v>2421.02</v>
          </cell>
        </row>
        <row r="132">
          <cell r="A132" t="str">
            <v>2422.01</v>
          </cell>
        </row>
        <row r="133">
          <cell r="A133" t="str">
            <v>2422.02</v>
          </cell>
        </row>
        <row r="134">
          <cell r="A134" t="str">
            <v>2422.03</v>
          </cell>
        </row>
        <row r="135">
          <cell r="A135" t="str">
            <v>243</v>
          </cell>
        </row>
        <row r="136">
          <cell r="A136" t="str">
            <v>244</v>
          </cell>
        </row>
        <row r="137">
          <cell r="A137" t="str">
            <v>2441</v>
          </cell>
        </row>
        <row r="138">
          <cell r="A138" t="str">
            <v>2442</v>
          </cell>
        </row>
        <row r="139">
          <cell r="A139" t="str">
            <v>331</v>
          </cell>
        </row>
        <row r="140">
          <cell r="A140" t="str">
            <v>3311.01</v>
          </cell>
        </row>
        <row r="141">
          <cell r="A141" t="str">
            <v>3311.02</v>
          </cell>
        </row>
        <row r="142">
          <cell r="A142" t="str">
            <v>3311.03</v>
          </cell>
        </row>
        <row r="143">
          <cell r="A143" t="str">
            <v>333</v>
          </cell>
        </row>
        <row r="144">
          <cell r="A144" t="str">
            <v>33311</v>
          </cell>
        </row>
        <row r="145">
          <cell r="A145" t="str">
            <v>33312</v>
          </cell>
        </row>
        <row r="146">
          <cell r="A146" t="str">
            <v>3332</v>
          </cell>
        </row>
        <row r="147">
          <cell r="A147" t="str">
            <v>3333</v>
          </cell>
        </row>
        <row r="148">
          <cell r="A148" t="str">
            <v>3334</v>
          </cell>
        </row>
        <row r="149">
          <cell r="A149" t="str">
            <v>3335</v>
          </cell>
        </row>
        <row r="150">
          <cell r="A150" t="str">
            <v>3336</v>
          </cell>
        </row>
        <row r="151">
          <cell r="A151" t="str">
            <v>3337</v>
          </cell>
        </row>
        <row r="152">
          <cell r="A152" t="str">
            <v>3338</v>
          </cell>
        </row>
        <row r="153">
          <cell r="A153" t="str">
            <v>3339</v>
          </cell>
        </row>
        <row r="154">
          <cell r="A154" t="str">
            <v>334</v>
          </cell>
        </row>
        <row r="155">
          <cell r="A155" t="str">
            <v>3341.01</v>
          </cell>
        </row>
        <row r="156">
          <cell r="A156" t="str">
            <v>3341.02</v>
          </cell>
        </row>
        <row r="157">
          <cell r="A157" t="str">
            <v>3341.03</v>
          </cell>
        </row>
        <row r="158">
          <cell r="A158" t="str">
            <v>3341.04</v>
          </cell>
        </row>
        <row r="159">
          <cell r="A159" t="str">
            <v>3341.05</v>
          </cell>
        </row>
        <row r="160">
          <cell r="A160" t="str">
            <v>3348.01</v>
          </cell>
        </row>
        <row r="161">
          <cell r="A161" t="str">
            <v>3348.02</v>
          </cell>
        </row>
        <row r="162">
          <cell r="A162" t="str">
            <v>3348.03</v>
          </cell>
        </row>
        <row r="163">
          <cell r="A163" t="str">
            <v>335</v>
          </cell>
        </row>
        <row r="164">
          <cell r="A164" t="str">
            <v>3351</v>
          </cell>
        </row>
        <row r="165">
          <cell r="A165" t="str">
            <v>3352</v>
          </cell>
        </row>
        <row r="166">
          <cell r="A166" t="str">
            <v>336</v>
          </cell>
        </row>
        <row r="167">
          <cell r="A167" t="str">
            <v>3361</v>
          </cell>
        </row>
        <row r="168">
          <cell r="A168" t="str">
            <v>33621</v>
          </cell>
        </row>
        <row r="169">
          <cell r="A169" t="str">
            <v>33622</v>
          </cell>
        </row>
        <row r="170">
          <cell r="A170" t="str">
            <v>33631</v>
          </cell>
        </row>
        <row r="171">
          <cell r="A171" t="str">
            <v>33632</v>
          </cell>
        </row>
        <row r="172">
          <cell r="A172" t="str">
            <v>33681</v>
          </cell>
        </row>
        <row r="173">
          <cell r="A173" t="str">
            <v>33682</v>
          </cell>
        </row>
        <row r="174">
          <cell r="A174" t="str">
            <v>337</v>
          </cell>
        </row>
        <row r="175">
          <cell r="A175" t="str">
            <v>338</v>
          </cell>
        </row>
        <row r="176">
          <cell r="A176" t="str">
            <v>3381</v>
          </cell>
        </row>
        <row r="177">
          <cell r="A177" t="str">
            <v>3382</v>
          </cell>
        </row>
        <row r="178">
          <cell r="A178" t="str">
            <v>3383</v>
          </cell>
        </row>
        <row r="179">
          <cell r="A179" t="str">
            <v>3384</v>
          </cell>
        </row>
        <row r="180">
          <cell r="A180" t="str">
            <v>3385</v>
          </cell>
        </row>
        <row r="181">
          <cell r="A181" t="str">
            <v>3386</v>
          </cell>
        </row>
        <row r="182">
          <cell r="A182" t="str">
            <v>33871</v>
          </cell>
        </row>
        <row r="183">
          <cell r="A183" t="str">
            <v>33872</v>
          </cell>
        </row>
        <row r="184">
          <cell r="A184" t="str">
            <v>3388</v>
          </cell>
        </row>
        <row r="185">
          <cell r="A185" t="str">
            <v>341</v>
          </cell>
        </row>
        <row r="186">
          <cell r="A186" t="str">
            <v>3411</v>
          </cell>
        </row>
        <row r="187">
          <cell r="A187" t="str">
            <v>3412</v>
          </cell>
        </row>
        <row r="188">
          <cell r="A188" t="str">
            <v>343</v>
          </cell>
        </row>
        <row r="189">
          <cell r="A189" t="str">
            <v>34311</v>
          </cell>
        </row>
        <row r="190">
          <cell r="A190" t="str">
            <v>34312</v>
          </cell>
        </row>
        <row r="191">
          <cell r="A191" t="str">
            <v>34313</v>
          </cell>
        </row>
        <row r="192">
          <cell r="A192" t="str">
            <v>3432</v>
          </cell>
        </row>
        <row r="193">
          <cell r="A193" t="str">
            <v>344</v>
          </cell>
        </row>
        <row r="194">
          <cell r="A194" t="str">
            <v>347</v>
          </cell>
        </row>
        <row r="195">
          <cell r="A195" t="str">
            <v>352</v>
          </cell>
        </row>
        <row r="196">
          <cell r="A196" t="str">
            <v>3521</v>
          </cell>
        </row>
        <row r="197">
          <cell r="A197" t="str">
            <v>3522</v>
          </cell>
        </row>
        <row r="198">
          <cell r="A198" t="str">
            <v>3523</v>
          </cell>
        </row>
        <row r="199">
          <cell r="A199" t="str">
            <v>3524</v>
          </cell>
        </row>
        <row r="200">
          <cell r="A200" t="str">
            <v>353</v>
          </cell>
        </row>
        <row r="201">
          <cell r="A201" t="str">
            <v>3531</v>
          </cell>
        </row>
        <row r="202">
          <cell r="A202" t="str">
            <v>3532</v>
          </cell>
        </row>
        <row r="203">
          <cell r="A203" t="str">
            <v>3533</v>
          </cell>
        </row>
        <row r="204">
          <cell r="A204" t="str">
            <v>3534</v>
          </cell>
        </row>
        <row r="205">
          <cell r="A205" t="str">
            <v>356</v>
          </cell>
        </row>
        <row r="206">
          <cell r="A206" t="str">
            <v>3561</v>
          </cell>
        </row>
        <row r="207">
          <cell r="A207" t="str">
            <v>3562</v>
          </cell>
        </row>
        <row r="208">
          <cell r="A208" t="str">
            <v>357</v>
          </cell>
        </row>
        <row r="209">
          <cell r="A209" t="str">
            <v>411</v>
          </cell>
        </row>
        <row r="210">
          <cell r="A210" t="str">
            <v>41111</v>
          </cell>
        </row>
        <row r="211">
          <cell r="A211" t="str">
            <v>41112</v>
          </cell>
        </row>
        <row r="212">
          <cell r="A212" t="str">
            <v>4112</v>
          </cell>
        </row>
        <row r="213">
          <cell r="A213" t="str">
            <v>4113</v>
          </cell>
        </row>
        <row r="214">
          <cell r="A214" t="str">
            <v>4118</v>
          </cell>
        </row>
        <row r="215">
          <cell r="A215" t="str">
            <v>412</v>
          </cell>
        </row>
        <row r="216">
          <cell r="A216" t="str">
            <v>413</v>
          </cell>
        </row>
        <row r="217">
          <cell r="A217" t="str">
            <v>4131</v>
          </cell>
        </row>
        <row r="218">
          <cell r="A218" t="str">
            <v>4132</v>
          </cell>
        </row>
        <row r="219">
          <cell r="A219" t="str">
            <v>414</v>
          </cell>
        </row>
        <row r="220">
          <cell r="A220" t="str">
            <v>417</v>
          </cell>
        </row>
        <row r="221">
          <cell r="A221" t="str">
            <v>418</v>
          </cell>
        </row>
        <row r="222">
          <cell r="A222" t="str">
            <v>419</v>
          </cell>
        </row>
        <row r="223">
          <cell r="A223" t="str">
            <v>421</v>
          </cell>
        </row>
        <row r="224">
          <cell r="A224" t="str">
            <v>4211</v>
          </cell>
        </row>
        <row r="225">
          <cell r="A225" t="str">
            <v>4212</v>
          </cell>
        </row>
        <row r="226">
          <cell r="A226" t="str">
            <v>441</v>
          </cell>
        </row>
        <row r="227">
          <cell r="A227" t="str">
            <v>461</v>
          </cell>
        </row>
        <row r="228">
          <cell r="A228" t="str">
            <v>466</v>
          </cell>
        </row>
        <row r="229">
          <cell r="A229" t="str">
            <v>511</v>
          </cell>
        </row>
        <row r="230">
          <cell r="A230" t="str">
            <v>5111</v>
          </cell>
        </row>
        <row r="231">
          <cell r="A231" t="str">
            <v>5112.0101</v>
          </cell>
        </row>
        <row r="232">
          <cell r="A232" t="str">
            <v>5112.0102</v>
          </cell>
        </row>
        <row r="233">
          <cell r="A233" t="str">
            <v>5112.0201</v>
          </cell>
        </row>
        <row r="234">
          <cell r="A234" t="str">
            <v>5112.0202</v>
          </cell>
        </row>
        <row r="235">
          <cell r="A235" t="str">
            <v>5112.0203</v>
          </cell>
        </row>
        <row r="236">
          <cell r="A236" t="str">
            <v>5113</v>
          </cell>
        </row>
        <row r="237">
          <cell r="A237" t="str">
            <v>5114</v>
          </cell>
        </row>
        <row r="238">
          <cell r="A238" t="str">
            <v>5117</v>
          </cell>
        </row>
        <row r="239">
          <cell r="A239" t="str">
            <v>515</v>
          </cell>
        </row>
        <row r="240">
          <cell r="A240" t="str">
            <v>521</v>
          </cell>
        </row>
        <row r="241">
          <cell r="A241" t="str">
            <v>5211</v>
          </cell>
        </row>
        <row r="242">
          <cell r="A242" t="str">
            <v>5212</v>
          </cell>
        </row>
        <row r="243">
          <cell r="A243" t="str">
            <v>5213</v>
          </cell>
        </row>
        <row r="244">
          <cell r="A244" t="str">
            <v>611</v>
          </cell>
        </row>
        <row r="245">
          <cell r="A245" t="str">
            <v>6111</v>
          </cell>
        </row>
        <row r="246">
          <cell r="A246" t="str">
            <v>6112</v>
          </cell>
        </row>
        <row r="247">
          <cell r="A247" t="str">
            <v>621</v>
          </cell>
        </row>
        <row r="248">
          <cell r="A248" t="str">
            <v>6211.01</v>
          </cell>
        </row>
        <row r="249">
          <cell r="A249" t="str">
            <v>6211.02</v>
          </cell>
        </row>
        <row r="250">
          <cell r="A250" t="str">
            <v>6211.03</v>
          </cell>
        </row>
        <row r="251">
          <cell r="A251" t="str">
            <v>6211.04</v>
          </cell>
        </row>
        <row r="252">
          <cell r="A252" t="str">
            <v>6211.05</v>
          </cell>
        </row>
        <row r="253">
          <cell r="A253" t="str">
            <v>622</v>
          </cell>
        </row>
        <row r="254">
          <cell r="A254" t="str">
            <v>622.01</v>
          </cell>
        </row>
        <row r="255">
          <cell r="A255" t="str">
            <v>622.02</v>
          </cell>
        </row>
        <row r="256">
          <cell r="A256" t="str">
            <v>622.03</v>
          </cell>
        </row>
        <row r="257">
          <cell r="A257" t="str">
            <v>622.04</v>
          </cell>
        </row>
        <row r="258">
          <cell r="A258" t="str">
            <v>622.05</v>
          </cell>
        </row>
        <row r="259">
          <cell r="A259" t="str">
            <v>623</v>
          </cell>
        </row>
        <row r="260">
          <cell r="A260" t="str">
            <v>6231</v>
          </cell>
        </row>
        <row r="261">
          <cell r="A261" t="str">
            <v>6232</v>
          </cell>
        </row>
        <row r="262">
          <cell r="A262" t="str">
            <v>6233</v>
          </cell>
        </row>
        <row r="263">
          <cell r="A263" t="str">
            <v>6234</v>
          </cell>
        </row>
        <row r="264">
          <cell r="A264" t="str">
            <v>6237</v>
          </cell>
        </row>
        <row r="265">
          <cell r="A265" t="str">
            <v>6238</v>
          </cell>
        </row>
        <row r="266">
          <cell r="A266" t="str">
            <v>627</v>
          </cell>
        </row>
        <row r="267">
          <cell r="A267" t="str">
            <v>6271</v>
          </cell>
        </row>
        <row r="268">
          <cell r="A268" t="str">
            <v>6272</v>
          </cell>
        </row>
        <row r="269">
          <cell r="A269" t="str">
            <v>6273</v>
          </cell>
        </row>
        <row r="270">
          <cell r="A270" t="str">
            <v>6274</v>
          </cell>
        </row>
        <row r="271">
          <cell r="A271" t="str">
            <v>6277</v>
          </cell>
        </row>
        <row r="272">
          <cell r="A272" t="str">
            <v>6278</v>
          </cell>
        </row>
        <row r="273">
          <cell r="A273" t="str">
            <v>631</v>
          </cell>
        </row>
        <row r="274">
          <cell r="A274" t="str">
            <v>632</v>
          </cell>
        </row>
        <row r="275">
          <cell r="A275" t="str">
            <v>632.0101</v>
          </cell>
        </row>
        <row r="276">
          <cell r="A276" t="str">
            <v>632.0102</v>
          </cell>
        </row>
        <row r="277">
          <cell r="A277" t="str">
            <v>632.0201</v>
          </cell>
        </row>
        <row r="278">
          <cell r="A278" t="str">
            <v>632.0202</v>
          </cell>
        </row>
        <row r="279">
          <cell r="A279" t="str">
            <v>632.0203</v>
          </cell>
        </row>
        <row r="280">
          <cell r="A280" t="str">
            <v>635</v>
          </cell>
        </row>
        <row r="281">
          <cell r="A281" t="str">
            <v>6351</v>
          </cell>
        </row>
        <row r="282">
          <cell r="A282" t="str">
            <v>641</v>
          </cell>
        </row>
        <row r="283">
          <cell r="A283" t="str">
            <v>6411</v>
          </cell>
        </row>
        <row r="284">
          <cell r="A284" t="str">
            <v>6412</v>
          </cell>
        </row>
        <row r="285">
          <cell r="A285" t="str">
            <v>6413</v>
          </cell>
        </row>
        <row r="286">
          <cell r="A286" t="str">
            <v>6414</v>
          </cell>
        </row>
        <row r="287">
          <cell r="A287" t="str">
            <v>6415</v>
          </cell>
        </row>
        <row r="288">
          <cell r="A288" t="str">
            <v>6417</v>
          </cell>
        </row>
        <row r="289">
          <cell r="A289" t="str">
            <v>6418</v>
          </cell>
        </row>
        <row r="290">
          <cell r="A290" t="str">
            <v>642</v>
          </cell>
        </row>
        <row r="291">
          <cell r="A291" t="str">
            <v>6421</v>
          </cell>
        </row>
        <row r="292">
          <cell r="A292" t="str">
            <v>6422</v>
          </cell>
        </row>
        <row r="293">
          <cell r="A293" t="str">
            <v>6423</v>
          </cell>
        </row>
        <row r="294">
          <cell r="A294" t="str">
            <v>6424</v>
          </cell>
        </row>
        <row r="295">
          <cell r="A295" t="str">
            <v>6425</v>
          </cell>
        </row>
        <row r="296">
          <cell r="A296" t="str">
            <v>6426</v>
          </cell>
        </row>
        <row r="297">
          <cell r="A297" t="str">
            <v>6427</v>
          </cell>
        </row>
        <row r="298">
          <cell r="A298" t="str">
            <v>6428</v>
          </cell>
        </row>
        <row r="299">
          <cell r="A299" t="str">
            <v>711</v>
          </cell>
        </row>
        <row r="300">
          <cell r="A300" t="str">
            <v>811</v>
          </cell>
        </row>
        <row r="301">
          <cell r="A301" t="str">
            <v>821</v>
          </cell>
        </row>
        <row r="302">
          <cell r="A302" t="str">
            <v>8211</v>
          </cell>
        </row>
        <row r="303">
          <cell r="A303" t="str">
            <v>8212</v>
          </cell>
        </row>
        <row r="304">
          <cell r="A304" t="str">
            <v>911</v>
          </cell>
        </row>
        <row r="305">
          <cell r="A305" t="str">
            <v>9111.0101</v>
          </cell>
        </row>
        <row r="306">
          <cell r="A306" t="str">
            <v>9111.0102</v>
          </cell>
        </row>
        <row r="307">
          <cell r="A307" t="str">
            <v>9111.0201</v>
          </cell>
        </row>
        <row r="308">
          <cell r="A308" t="str">
            <v>9111.0202</v>
          </cell>
        </row>
        <row r="309">
          <cell r="A309" t="str">
            <v>9111.0203</v>
          </cell>
        </row>
        <row r="310">
          <cell r="A310" t="str">
            <v>9111.0303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EE69-4C92-499B-B6EC-274B63ADBF0A}">
  <sheetPr>
    <tabColor theme="1"/>
  </sheetPr>
  <dimension ref="A1:R265"/>
  <sheetViews>
    <sheetView showGridLines="0" topLeftCell="B1" zoomScaleNormal="100" workbookViewId="0">
      <selection activeCell="B5" sqref="B5:B263"/>
    </sheetView>
  </sheetViews>
  <sheetFormatPr defaultColWidth="9.33203125" defaultRowHeight="16.5" customHeight="1" x14ac:dyDescent="0.3"/>
  <cols>
    <col min="1" max="1" width="21.109375" style="3" customWidth="1"/>
    <col min="2" max="2" width="12.44140625" style="3" customWidth="1"/>
    <col min="3" max="3" width="10.44140625" style="3" bestFit="1" customWidth="1"/>
    <col min="4" max="4" width="85.6640625" style="3" bestFit="1" customWidth="1"/>
    <col min="5" max="5" width="11.44140625" style="3" bestFit="1" customWidth="1"/>
    <col min="6" max="6" width="17.109375" style="3" customWidth="1"/>
    <col min="7" max="8" width="16.6640625" style="3" bestFit="1" customWidth="1"/>
    <col min="9" max="9" width="11.33203125" style="3" bestFit="1" customWidth="1"/>
    <col min="10" max="12" width="16.6640625" style="3" bestFit="1" customWidth="1"/>
    <col min="13" max="13" width="16.33203125" style="3" bestFit="1" customWidth="1"/>
    <col min="14" max="14" width="14.77734375" style="3" bestFit="1" customWidth="1"/>
    <col min="15" max="15" width="16.109375" style="3" bestFit="1" customWidth="1"/>
    <col min="16" max="16" width="14.77734375" style="3" bestFit="1" customWidth="1"/>
    <col min="17" max="17" width="6.6640625" style="3" bestFit="1" customWidth="1"/>
    <col min="18" max="16384" width="9.33203125" style="3"/>
  </cols>
  <sheetData>
    <row r="1" spans="1:17" ht="16.5" customHeight="1" x14ac:dyDescent="0.3">
      <c r="A1" s="156" t="s">
        <v>203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</row>
    <row r="2" spans="1:17" ht="16.5" customHeight="1" x14ac:dyDescent="0.3">
      <c r="K2" s="16"/>
      <c r="L2" s="16"/>
    </row>
    <row r="3" spans="1:17" ht="16.5" customHeight="1" x14ac:dyDescent="0.3">
      <c r="A3" s="17" t="s">
        <v>204</v>
      </c>
      <c r="B3" s="18" t="s">
        <v>205</v>
      </c>
      <c r="C3" s="18" t="s">
        <v>206</v>
      </c>
      <c r="D3" s="18" t="s">
        <v>207</v>
      </c>
      <c r="E3" s="19" t="s">
        <v>208</v>
      </c>
      <c r="F3" s="20" t="s">
        <v>209</v>
      </c>
      <c r="G3" s="21" t="s">
        <v>210</v>
      </c>
      <c r="H3" s="20" t="s">
        <v>211</v>
      </c>
      <c r="I3" s="19" t="s">
        <v>212</v>
      </c>
      <c r="J3" s="18" t="s">
        <v>213</v>
      </c>
      <c r="K3" s="20" t="s">
        <v>214</v>
      </c>
      <c r="L3" s="20" t="s">
        <v>215</v>
      </c>
      <c r="M3" s="20" t="s">
        <v>216</v>
      </c>
      <c r="N3" s="20" t="s">
        <v>217</v>
      </c>
      <c r="O3" s="20" t="s">
        <v>218</v>
      </c>
      <c r="P3" s="20" t="s">
        <v>219</v>
      </c>
      <c r="Q3" s="20" t="s">
        <v>220</v>
      </c>
    </row>
    <row r="4" spans="1:17" ht="16.5" customHeight="1" x14ac:dyDescent="0.3">
      <c r="A4" s="22">
        <v>0</v>
      </c>
      <c r="B4" s="22">
        <v>1</v>
      </c>
      <c r="C4" s="22">
        <v>2</v>
      </c>
      <c r="D4" s="22">
        <v>3</v>
      </c>
      <c r="E4" s="22">
        <v>4</v>
      </c>
      <c r="F4" s="22">
        <v>5</v>
      </c>
      <c r="G4" s="22">
        <v>6</v>
      </c>
      <c r="H4" s="22">
        <v>7</v>
      </c>
      <c r="I4" s="22">
        <v>8</v>
      </c>
      <c r="J4" s="22">
        <v>9</v>
      </c>
      <c r="K4" s="22">
        <v>10</v>
      </c>
      <c r="L4" s="22">
        <v>11</v>
      </c>
      <c r="M4" s="22">
        <v>12</v>
      </c>
      <c r="N4" s="22">
        <v>13</v>
      </c>
      <c r="O4" s="22">
        <v>14</v>
      </c>
      <c r="P4" s="22">
        <v>15</v>
      </c>
      <c r="Q4" s="22">
        <v>16</v>
      </c>
    </row>
    <row r="5" spans="1:17" ht="16.5" customHeight="1" x14ac:dyDescent="0.3">
      <c r="A5" s="23" t="s">
        <v>221</v>
      </c>
      <c r="B5" s="24" t="s">
        <v>26</v>
      </c>
      <c r="C5" s="25" t="s">
        <v>222</v>
      </c>
      <c r="D5" s="23" t="s">
        <v>223</v>
      </c>
      <c r="E5" s="26"/>
      <c r="F5" s="13">
        <v>400000000</v>
      </c>
      <c r="G5" s="27">
        <f>SUMIFS(CT!$H$5:$H$143,CT!$D$5:$D$143,DMTK!B5)</f>
        <v>25200000</v>
      </c>
      <c r="H5" s="27">
        <f>SUMIFS(CT!$H$5:$H$143,CT!$E$5:$E$143,DMTK!B5)</f>
        <v>404100000</v>
      </c>
      <c r="I5" s="13">
        <f>IF(OR(LEFT(B5,3)="152",LEFT(B5,3)="153",LEFT(B5,3)="155",LEFT(B5,3)="156",LEFT(B5,3)="157"),E5+SUMIFS(CT!$F$5:$F$143,CT!$D$5:$D$143,DMTK!B5)-SUMIFS(CT!$F$5:$F$143,CT!$E$5:$E$143,DMTK!B5),0)</f>
        <v>0</v>
      </c>
      <c r="J5" s="28">
        <f>IF(C5="N",F5+G5-H5,F5+H5-G5)</f>
        <v>21100000</v>
      </c>
      <c r="K5" s="13">
        <f>IF(OR(AND(C5="N",F5&gt;0),AND(C5="C",F5&lt;0)),ABS(F5),0)</f>
        <v>400000000</v>
      </c>
      <c r="L5" s="13">
        <f>IF(OR(AND(C5="C",F5&gt;0),AND(C5="N",F5&lt;0)),ABS(F5),0)</f>
        <v>0</v>
      </c>
      <c r="M5" s="29"/>
      <c r="N5" s="13"/>
      <c r="O5" s="23"/>
      <c r="P5" s="13"/>
      <c r="Q5" s="23" t="s">
        <v>224</v>
      </c>
    </row>
    <row r="6" spans="1:17" ht="16.5" customHeight="1" x14ac:dyDescent="0.3">
      <c r="A6" s="23" t="s">
        <v>221</v>
      </c>
      <c r="B6" s="24" t="s">
        <v>225</v>
      </c>
      <c r="C6" s="25" t="s">
        <v>222</v>
      </c>
      <c r="D6" s="23" t="s">
        <v>226</v>
      </c>
      <c r="E6" s="26"/>
      <c r="F6" s="13">
        <v>0</v>
      </c>
      <c r="G6" s="27">
        <f>SUMIFS(CT!$H$5:$H$143,CT!$D$5:$D$143,DMTK!B6)</f>
        <v>0</v>
      </c>
      <c r="H6" s="27">
        <f>SUMIFS(CT!$H$5:$H$143,CT!$E$5:$E$143,DMTK!B6)</f>
        <v>0</v>
      </c>
      <c r="I6" s="13">
        <f>IF(OR(LEFT(B6,3)="152",LEFT(B6,3)="153",LEFT(B6,3)="155",LEFT(B6,3)="156",LEFT(B6,3)="157"),E6+SUMIFS(CT!$F$5:$F$143,CT!$D$5:$D$143,DMTK!B6)-SUMIFS(CT!$F$5:$F$143,CT!$E$5:$E$143,DMTK!B6),0)</f>
        <v>0</v>
      </c>
      <c r="J6" s="28">
        <f t="shared" ref="J6:J69" si="0">IF(C6="N",F6+G6-H6,F6+H6-G6)</f>
        <v>0</v>
      </c>
      <c r="K6" s="13">
        <f t="shared" ref="K6:K69" si="1">IF(OR(AND(C6="N",F6&gt;0),AND(C6="C",F6&lt;0)),ABS(F6),0)</f>
        <v>0</v>
      </c>
      <c r="L6" s="13">
        <f t="shared" ref="L6:L69" si="2">IF(OR(AND(C6="C",F6&gt;0),AND(C6="N",F6&lt;0)),ABS(F6),0)</f>
        <v>0</v>
      </c>
      <c r="M6" s="29"/>
      <c r="N6" s="13"/>
      <c r="O6" s="23"/>
      <c r="P6" s="13"/>
      <c r="Q6" s="23" t="s">
        <v>224</v>
      </c>
    </row>
    <row r="7" spans="1:17" ht="18.600000000000001" customHeight="1" x14ac:dyDescent="0.3">
      <c r="A7" s="23" t="s">
        <v>221</v>
      </c>
      <c r="B7" s="24" t="s">
        <v>227</v>
      </c>
      <c r="C7" s="25" t="s">
        <v>222</v>
      </c>
      <c r="D7" s="23" t="s">
        <v>228</v>
      </c>
      <c r="E7" s="26"/>
      <c r="F7" s="13">
        <v>0</v>
      </c>
      <c r="G7" s="27">
        <f>SUMIFS(CT!$H$5:$H$143,CT!$D$5:$D$143,DMTK!B7)</f>
        <v>0</v>
      </c>
      <c r="H7" s="27">
        <f>SUMIFS(CT!$H$5:$H$143,CT!$E$5:$E$143,DMTK!B7)</f>
        <v>0</v>
      </c>
      <c r="I7" s="13">
        <f>IF(OR(LEFT(B7,3)="152",LEFT(B7,3)="153",LEFT(B7,3)="155",LEFT(B7,3)="156",LEFT(B7,3)="157"),E7+SUMIFS(CT!$F$5:$F$143,CT!$D$5:$D$143,DMTK!B7)-SUMIFS(CT!$F$5:$F$143,CT!$E$5:$E$143,DMTK!B7),0)</f>
        <v>0</v>
      </c>
      <c r="J7" s="28">
        <f t="shared" si="0"/>
        <v>0</v>
      </c>
      <c r="K7" s="13">
        <f t="shared" si="1"/>
        <v>0</v>
      </c>
      <c r="L7" s="13">
        <f t="shared" si="2"/>
        <v>0</v>
      </c>
      <c r="M7" s="29"/>
      <c r="N7" s="13"/>
      <c r="O7" s="23"/>
      <c r="P7" s="13"/>
      <c r="Q7" s="23" t="s">
        <v>224</v>
      </c>
    </row>
    <row r="8" spans="1:17" ht="16.5" customHeight="1" x14ac:dyDescent="0.3">
      <c r="A8" s="23" t="s">
        <v>221</v>
      </c>
      <c r="B8" s="24" t="s">
        <v>84</v>
      </c>
      <c r="C8" s="25" t="s">
        <v>222</v>
      </c>
      <c r="D8" s="8" t="s">
        <v>229</v>
      </c>
      <c r="E8" s="26"/>
      <c r="F8" s="13">
        <v>258221000</v>
      </c>
      <c r="G8" s="27">
        <f>SUMIFS(CT!$H$5:$H$143,CT!$D$5:$D$143,DMTK!B8)</f>
        <v>0</v>
      </c>
      <c r="H8" s="27">
        <f>SUMIFS(CT!$H$5:$H$143,CT!$E$5:$E$143,DMTK!B8)</f>
        <v>90000000</v>
      </c>
      <c r="I8" s="13">
        <f>IF(OR(LEFT(B8,3)="152",LEFT(B8,3)="153",LEFT(B8,3)="155",LEFT(B8,3)="156",LEFT(B8,3)="157"),E8+SUMIFS(CT!$F$5:$F$143,CT!$D$5:$D$143,DMTK!B8)-SUMIFS(CT!$F$5:$F$143,CT!$E$5:$E$143,DMTK!B8),0)</f>
        <v>0</v>
      </c>
      <c r="J8" s="28">
        <f t="shared" si="0"/>
        <v>168221000</v>
      </c>
      <c r="K8" s="13">
        <f>IF(OR(AND(C8="N",F8&gt;0),AND(C8="C",F8&lt;0)),ABS(F8),0)</f>
        <v>258221000</v>
      </c>
      <c r="L8" s="13">
        <f t="shared" si="2"/>
        <v>0</v>
      </c>
      <c r="M8" s="29"/>
      <c r="N8" s="13"/>
      <c r="O8" s="23"/>
      <c r="P8" s="13"/>
      <c r="Q8" s="23" t="s">
        <v>224</v>
      </c>
    </row>
    <row r="9" spans="1:17" ht="16.5" customHeight="1" x14ac:dyDescent="0.3">
      <c r="A9" s="23" t="s">
        <v>221</v>
      </c>
      <c r="B9" s="24" t="s">
        <v>69</v>
      </c>
      <c r="C9" s="25" t="s">
        <v>222</v>
      </c>
      <c r="D9" s="8" t="s">
        <v>230</v>
      </c>
      <c r="E9" s="26"/>
      <c r="F9" s="13">
        <v>60000000</v>
      </c>
      <c r="G9" s="27">
        <f>SUMIFS(CT!$H$5:$H$143,CT!$D$5:$D$143,DMTK!B9)</f>
        <v>30000000</v>
      </c>
      <c r="H9" s="27">
        <f>SUMIFS(CT!$H$5:$H$143,CT!$E$5:$E$143,DMTK!B9)</f>
        <v>0</v>
      </c>
      <c r="I9" s="13">
        <f>IF(OR(LEFT(B9,3)="152",LEFT(B9,3)="153",LEFT(B9,3)="155",LEFT(B9,3)="156",LEFT(B9,3)="157"),E9+SUMIFS(CT!$F$5:$F$143,CT!$D$5:$D$143,DMTK!B9)-SUMIFS(CT!$F$5:$F$143,CT!$E$5:$E$143,DMTK!B9),0)</f>
        <v>0</v>
      </c>
      <c r="J9" s="28">
        <f t="shared" si="0"/>
        <v>90000000</v>
      </c>
      <c r="K9" s="13">
        <f t="shared" si="1"/>
        <v>60000000</v>
      </c>
      <c r="L9" s="13">
        <f t="shared" si="2"/>
        <v>0</v>
      </c>
      <c r="M9" s="29"/>
      <c r="N9" s="13"/>
      <c r="O9" s="23"/>
      <c r="P9" s="13"/>
      <c r="Q9" s="23" t="s">
        <v>224</v>
      </c>
    </row>
    <row r="10" spans="1:17" ht="16.5" customHeight="1" x14ac:dyDescent="0.3">
      <c r="A10" s="23" t="s">
        <v>221</v>
      </c>
      <c r="B10" s="24" t="s">
        <v>231</v>
      </c>
      <c r="C10" s="25" t="s">
        <v>222</v>
      </c>
      <c r="D10" s="8" t="s">
        <v>232</v>
      </c>
      <c r="E10" s="26"/>
      <c r="F10" s="13">
        <v>40000000</v>
      </c>
      <c r="G10" s="27">
        <f>SUMIFS(CT!$H$5:$H$143,CT!$D$5:$D$143,DMTK!B10)</f>
        <v>0</v>
      </c>
      <c r="H10" s="27">
        <f>SUMIFS(CT!$H$5:$H$143,CT!$E$5:$E$143,DMTK!B10)</f>
        <v>0</v>
      </c>
      <c r="I10" s="13">
        <f>IF(OR(LEFT(B10,3)="152",LEFT(B10,3)="153",LEFT(B10,3)="155",LEFT(B10,3)="156",LEFT(B10,3)="157"),E10+SUMIFS(CT!$F$5:$F$143,CT!$D$5:$D$143,DMTK!B10)-SUMIFS(CT!$F$5:$F$143,CT!$E$5:$E$143,DMTK!B10),0)</f>
        <v>0</v>
      </c>
      <c r="J10" s="28">
        <f t="shared" si="0"/>
        <v>40000000</v>
      </c>
      <c r="K10" s="13">
        <f t="shared" si="1"/>
        <v>40000000</v>
      </c>
      <c r="L10" s="13">
        <f t="shared" si="2"/>
        <v>0</v>
      </c>
      <c r="M10" s="29"/>
      <c r="N10" s="13"/>
      <c r="O10" s="23"/>
      <c r="P10" s="13"/>
      <c r="Q10" s="23" t="s">
        <v>224</v>
      </c>
    </row>
    <row r="11" spans="1:17" ht="16.5" customHeight="1" x14ac:dyDescent="0.3">
      <c r="A11" s="23" t="s">
        <v>221</v>
      </c>
      <c r="B11" s="24" t="s">
        <v>233</v>
      </c>
      <c r="C11" s="25" t="s">
        <v>222</v>
      </c>
      <c r="D11" s="23" t="s">
        <v>226</v>
      </c>
      <c r="E11" s="26"/>
      <c r="F11" s="13">
        <v>0</v>
      </c>
      <c r="G11" s="27">
        <f>SUMIFS(CT!$H$5:$H$143,CT!$D$5:$D$143,DMTK!B11)</f>
        <v>0</v>
      </c>
      <c r="H11" s="27">
        <f>SUMIFS(CT!$H$5:$H$143,CT!$E$5:$E$143,DMTK!B11)</f>
        <v>0</v>
      </c>
      <c r="I11" s="13">
        <f>IF(OR(LEFT(B11,3)="152",LEFT(B11,3)="153",LEFT(B11,3)="155",LEFT(B11,3)="156",LEFT(B11,3)="157"),E11+SUMIFS(CT!$F$5:$F$143,CT!$D$5:$D$143,DMTK!B11)-SUMIFS(CT!$F$5:$F$143,CT!$E$5:$E$143,DMTK!B11),0)</f>
        <v>0</v>
      </c>
      <c r="J11" s="28">
        <f t="shared" si="0"/>
        <v>0</v>
      </c>
      <c r="K11" s="13">
        <f t="shared" si="1"/>
        <v>0</v>
      </c>
      <c r="L11" s="13">
        <f t="shared" si="2"/>
        <v>0</v>
      </c>
      <c r="M11" s="29"/>
      <c r="N11" s="13"/>
      <c r="O11" s="23"/>
      <c r="P11" s="13"/>
      <c r="Q11" s="23" t="s">
        <v>224</v>
      </c>
    </row>
    <row r="12" spans="1:17" ht="16.5" customHeight="1" x14ac:dyDescent="0.3">
      <c r="A12" s="23" t="s">
        <v>221</v>
      </c>
      <c r="B12" s="24" t="s">
        <v>234</v>
      </c>
      <c r="C12" s="25" t="s">
        <v>222</v>
      </c>
      <c r="D12" s="23" t="s">
        <v>228</v>
      </c>
      <c r="E12" s="26"/>
      <c r="F12" s="13">
        <v>0</v>
      </c>
      <c r="G12" s="27">
        <f>SUMIFS(CT!$H$5:$H$143,CT!$D$5:$D$143,DMTK!B12)</f>
        <v>0</v>
      </c>
      <c r="H12" s="27">
        <f>SUMIFS(CT!$H$5:$H$143,CT!$E$5:$E$143,DMTK!B12)</f>
        <v>0</v>
      </c>
      <c r="I12" s="13">
        <f>IF(OR(LEFT(B12,3)="152",LEFT(B12,3)="153",LEFT(B12,3)="155",LEFT(B12,3)="156",LEFT(B12,3)="157"),E12+SUMIFS(CT!$F$5:$F$143,CT!$D$5:$D$143,DMTK!B12)-SUMIFS(CT!$F$5:$F$143,CT!$E$5:$E$143,DMTK!B12),0)</f>
        <v>0</v>
      </c>
      <c r="J12" s="28">
        <f t="shared" si="0"/>
        <v>0</v>
      </c>
      <c r="K12" s="13">
        <f t="shared" si="1"/>
        <v>0</v>
      </c>
      <c r="L12" s="13">
        <f t="shared" si="2"/>
        <v>0</v>
      </c>
      <c r="M12" s="29"/>
      <c r="N12" s="13"/>
      <c r="O12" s="23"/>
      <c r="P12" s="13"/>
      <c r="Q12" s="23" t="s">
        <v>224</v>
      </c>
    </row>
    <row r="13" spans="1:17" ht="16.5" customHeight="1" x14ac:dyDescent="0.3">
      <c r="A13" s="23" t="s">
        <v>221</v>
      </c>
      <c r="B13" s="24" t="s">
        <v>235</v>
      </c>
      <c r="C13" s="25" t="s">
        <v>222</v>
      </c>
      <c r="D13" s="23" t="s">
        <v>223</v>
      </c>
      <c r="E13" s="26"/>
      <c r="F13" s="13">
        <v>0</v>
      </c>
      <c r="G13" s="27">
        <f>SUMIFS(CT!$H$5:$H$143,CT!$D$5:$D$143,DMTK!B13)</f>
        <v>0</v>
      </c>
      <c r="H13" s="27">
        <f>SUMIFS(CT!$H$5:$H$143,CT!$E$5:$E$143,DMTK!B13)</f>
        <v>0</v>
      </c>
      <c r="I13" s="13">
        <f>IF(OR(LEFT(B13,3)="152",LEFT(B13,3)="153",LEFT(B13,3)="155",LEFT(B13,3)="156",LEFT(B13,3)="157"),E13+SUMIFS(CT!$F$5:$F$143,CT!$D$5:$D$143,DMTK!B13)-SUMIFS(CT!$F$5:$F$143,CT!$E$5:$E$143,DMTK!B13),0)</f>
        <v>0</v>
      </c>
      <c r="J13" s="28">
        <f t="shared" si="0"/>
        <v>0</v>
      </c>
      <c r="K13" s="13">
        <f t="shared" si="1"/>
        <v>0</v>
      </c>
      <c r="L13" s="13">
        <f t="shared" si="2"/>
        <v>0</v>
      </c>
      <c r="M13" s="29"/>
      <c r="N13" s="13"/>
      <c r="O13" s="23"/>
      <c r="P13" s="13"/>
      <c r="Q13" s="23" t="s">
        <v>224</v>
      </c>
    </row>
    <row r="14" spans="1:17" ht="16.5" customHeight="1" x14ac:dyDescent="0.3">
      <c r="A14" s="23" t="s">
        <v>221</v>
      </c>
      <c r="B14" s="24" t="s">
        <v>236</v>
      </c>
      <c r="C14" s="25" t="s">
        <v>222</v>
      </c>
      <c r="D14" s="23" t="s">
        <v>226</v>
      </c>
      <c r="E14" s="26"/>
      <c r="F14" s="13"/>
      <c r="G14" s="27">
        <f>SUMIFS(CT!$H$5:$H$143,CT!$D$5:$D$143,DMTK!B14)</f>
        <v>0</v>
      </c>
      <c r="H14" s="27">
        <f>SUMIFS(CT!$H$5:$H$143,CT!$E$5:$E$143,DMTK!B14)</f>
        <v>0</v>
      </c>
      <c r="I14" s="13">
        <f>IF(OR(LEFT(B14,3)="152",LEFT(B14,3)="153",LEFT(B14,3)="155",LEFT(B14,3)="156",LEFT(B14,3)="157"),E14+SUMIFS(CT!$F$5:$F$143,CT!$D$5:$D$143,DMTK!B14)-SUMIFS(CT!$F$5:$F$143,CT!$E$5:$E$143,DMTK!B14),0)</f>
        <v>0</v>
      </c>
      <c r="J14" s="28">
        <f t="shared" si="0"/>
        <v>0</v>
      </c>
      <c r="K14" s="13">
        <f t="shared" si="1"/>
        <v>0</v>
      </c>
      <c r="L14" s="13">
        <f t="shared" si="2"/>
        <v>0</v>
      </c>
      <c r="M14" s="29"/>
      <c r="N14" s="13"/>
      <c r="O14" s="23"/>
      <c r="P14" s="13"/>
      <c r="Q14" s="23" t="s">
        <v>224</v>
      </c>
    </row>
    <row r="15" spans="1:17" ht="16.5" customHeight="1" x14ac:dyDescent="0.3">
      <c r="A15" s="23" t="s">
        <v>237</v>
      </c>
      <c r="B15" s="24" t="s">
        <v>238</v>
      </c>
      <c r="C15" s="25" t="s">
        <v>222</v>
      </c>
      <c r="D15" s="8" t="s">
        <v>239</v>
      </c>
      <c r="E15" s="26"/>
      <c r="F15" s="13">
        <v>0</v>
      </c>
      <c r="G15" s="27">
        <f>SUMIFS(CT!$H$5:$H$143,CT!$D$5:$D$143,DMTK!B15)</f>
        <v>0</v>
      </c>
      <c r="H15" s="27">
        <f>SUMIFS(CT!$H$5:$H$143,CT!$E$5:$E$143,DMTK!B15)</f>
        <v>0</v>
      </c>
      <c r="I15" s="13">
        <f>IF(OR(LEFT(B15,3)="152",LEFT(B15,3)="153",LEFT(B15,3)="155",LEFT(B15,3)="156",LEFT(B15,3)="157"),E15+SUMIFS(CT!$F$5:$F$143,CT!$D$5:$D$143,DMTK!B15)-SUMIFS(CT!$F$5:$F$143,CT!$E$5:$E$143,DMTK!B15),0)</f>
        <v>0</v>
      </c>
      <c r="J15" s="28">
        <f t="shared" si="0"/>
        <v>0</v>
      </c>
      <c r="K15" s="13">
        <f t="shared" si="1"/>
        <v>0</v>
      </c>
      <c r="L15" s="13">
        <f t="shared" si="2"/>
        <v>0</v>
      </c>
      <c r="M15" s="29"/>
      <c r="N15" s="13"/>
      <c r="O15" s="23"/>
      <c r="P15" s="13"/>
      <c r="Q15" s="23" t="s">
        <v>224</v>
      </c>
    </row>
    <row r="16" spans="1:17" ht="16.5" customHeight="1" x14ac:dyDescent="0.3">
      <c r="A16" s="23" t="s">
        <v>237</v>
      </c>
      <c r="B16" s="24" t="s">
        <v>240</v>
      </c>
      <c r="C16" s="25" t="s">
        <v>222</v>
      </c>
      <c r="D16" s="8" t="s">
        <v>241</v>
      </c>
      <c r="E16" s="26"/>
      <c r="F16" s="13">
        <v>0</v>
      </c>
      <c r="G16" s="27">
        <f>SUMIFS(CT!$H$5:$H$143,CT!$D$5:$D$143,DMTK!B16)</f>
        <v>0</v>
      </c>
      <c r="H16" s="27">
        <f>SUMIFS(CT!$H$5:$H$143,CT!$E$5:$E$143,DMTK!B16)</f>
        <v>0</v>
      </c>
      <c r="I16" s="13">
        <f>IF(OR(LEFT(B16,3)="152",LEFT(B16,3)="153",LEFT(B16,3)="155",LEFT(B16,3)="156",LEFT(B16,3)="157"),E16+SUMIFS(CT!$F$5:$F$143,CT!$D$5:$D$143,DMTK!B16)-SUMIFS(CT!$F$5:$F$143,CT!$E$5:$E$143,DMTK!B16),0)</f>
        <v>0</v>
      </c>
      <c r="J16" s="28">
        <f t="shared" si="0"/>
        <v>0</v>
      </c>
      <c r="K16" s="13">
        <f t="shared" si="1"/>
        <v>0</v>
      </c>
      <c r="L16" s="13">
        <f t="shared" si="2"/>
        <v>0</v>
      </c>
      <c r="M16" s="29"/>
      <c r="N16" s="13"/>
      <c r="O16" s="23"/>
      <c r="P16" s="13"/>
      <c r="Q16" s="23" t="s">
        <v>224</v>
      </c>
    </row>
    <row r="17" spans="1:17" ht="16.5" customHeight="1" x14ac:dyDescent="0.3">
      <c r="A17" s="23" t="s">
        <v>242</v>
      </c>
      <c r="B17" s="24" t="s">
        <v>243</v>
      </c>
      <c r="C17" s="25" t="s">
        <v>222</v>
      </c>
      <c r="D17" s="23" t="s">
        <v>244</v>
      </c>
      <c r="E17" s="26"/>
      <c r="F17" s="13">
        <v>100000000</v>
      </c>
      <c r="G17" s="27">
        <f>SUMIFS(CT!$H$5:$H$143,CT!$D$5:$D$143,DMTK!B17)</f>
        <v>0</v>
      </c>
      <c r="H17" s="27">
        <f>SUMIFS(CT!$H$5:$H$143,CT!$E$5:$E$143,DMTK!B17)</f>
        <v>0</v>
      </c>
      <c r="I17" s="13">
        <f>IF(OR(LEFT(B17,3)="152",LEFT(B17,3)="153",LEFT(B17,3)="155",LEFT(B17,3)="156",LEFT(B17,3)="157"),E17+SUMIFS(CT!$F$5:$F$143,CT!$D$5:$D$143,DMTK!B17)-SUMIFS(CT!$F$5:$F$143,CT!$E$5:$E$143,DMTK!B17),0)</f>
        <v>0</v>
      </c>
      <c r="J17" s="28">
        <f t="shared" si="0"/>
        <v>100000000</v>
      </c>
      <c r="K17" s="13">
        <f t="shared" si="1"/>
        <v>100000000</v>
      </c>
      <c r="L17" s="13">
        <f t="shared" si="2"/>
        <v>0</v>
      </c>
      <c r="M17" s="29"/>
      <c r="N17" s="13"/>
      <c r="O17" s="23"/>
      <c r="P17" s="13"/>
      <c r="Q17" s="23" t="s">
        <v>224</v>
      </c>
    </row>
    <row r="18" spans="1:17" ht="16.5" customHeight="1" x14ac:dyDescent="0.3">
      <c r="A18" s="23" t="s">
        <v>245</v>
      </c>
      <c r="B18" s="24" t="s">
        <v>246</v>
      </c>
      <c r="C18" s="25" t="s">
        <v>222</v>
      </c>
      <c r="D18" s="23" t="s">
        <v>247</v>
      </c>
      <c r="E18" s="26"/>
      <c r="F18" s="13"/>
      <c r="G18" s="27">
        <f>SUMIFS(CT!$H$5:$H$143,CT!$D$5:$D$143,DMTK!B18)</f>
        <v>0</v>
      </c>
      <c r="H18" s="27">
        <f>SUMIFS(CT!$H$5:$H$143,CT!$E$5:$E$143,DMTK!B18)</f>
        <v>0</v>
      </c>
      <c r="I18" s="13">
        <f>IF(OR(LEFT(B18,3)="152",LEFT(B18,3)="153",LEFT(B18,3)="155",LEFT(B18,3)="156",LEFT(B18,3)="157"),E18+SUMIFS(CT!$F$5:$F$143,CT!$D$5:$D$143,DMTK!B18)-SUMIFS(CT!$F$5:$F$143,CT!$E$5:$E$143,DMTK!B18),0)</f>
        <v>0</v>
      </c>
      <c r="J18" s="28">
        <f t="shared" si="0"/>
        <v>0</v>
      </c>
      <c r="K18" s="13">
        <f t="shared" si="1"/>
        <v>0</v>
      </c>
      <c r="L18" s="13">
        <f t="shared" si="2"/>
        <v>0</v>
      </c>
      <c r="M18" s="29"/>
      <c r="N18" s="13"/>
      <c r="O18" s="23"/>
      <c r="P18" s="13"/>
      <c r="Q18" s="23" t="s">
        <v>224</v>
      </c>
    </row>
    <row r="19" spans="1:17" ht="16.5" customHeight="1" x14ac:dyDescent="0.3">
      <c r="A19" s="23" t="s">
        <v>248</v>
      </c>
      <c r="B19" s="24" t="s">
        <v>249</v>
      </c>
      <c r="C19" s="25" t="s">
        <v>222</v>
      </c>
      <c r="D19" s="23" t="s">
        <v>250</v>
      </c>
      <c r="E19" s="26"/>
      <c r="F19" s="13"/>
      <c r="G19" s="27">
        <f>SUMIFS(CT!$H$5:$H$143,CT!$D$5:$D$143,DMTK!B19)</f>
        <v>0</v>
      </c>
      <c r="H19" s="27">
        <f>SUMIFS(CT!$H$5:$H$143,CT!$E$5:$E$143,DMTK!B19)</f>
        <v>0</v>
      </c>
      <c r="I19" s="13">
        <f>IF(OR(LEFT(B19,3)="152",LEFT(B19,3)="153",LEFT(B19,3)="155",LEFT(B19,3)="156",LEFT(B19,3)="157"),E19+SUMIFS(CT!$F$5:$F$143,CT!$D$5:$D$143,DMTK!B19)-SUMIFS(CT!$F$5:$F$143,CT!$E$5:$E$143,DMTK!B19),0)</f>
        <v>0</v>
      </c>
      <c r="J19" s="28">
        <f t="shared" si="0"/>
        <v>0</v>
      </c>
      <c r="K19" s="13">
        <f t="shared" si="1"/>
        <v>0</v>
      </c>
      <c r="L19" s="13">
        <f t="shared" si="2"/>
        <v>0</v>
      </c>
      <c r="M19" s="29"/>
      <c r="N19" s="13"/>
      <c r="O19" s="23"/>
      <c r="P19" s="13"/>
      <c r="Q19" s="23" t="s">
        <v>224</v>
      </c>
    </row>
    <row r="20" spans="1:17" ht="16.5" customHeight="1" x14ac:dyDescent="0.3">
      <c r="A20" s="23" t="s">
        <v>251</v>
      </c>
      <c r="B20" s="24" t="s">
        <v>252</v>
      </c>
      <c r="C20" s="25" t="s">
        <v>222</v>
      </c>
      <c r="D20" s="23" t="s">
        <v>253</v>
      </c>
      <c r="E20" s="26"/>
      <c r="F20" s="13"/>
      <c r="G20" s="27">
        <f>SUMIFS(CT!$H$5:$H$143,CT!$D$5:$D$143,DMTK!B20)</f>
        <v>0</v>
      </c>
      <c r="H20" s="27">
        <f>SUMIFS(CT!$H$5:$H$143,CT!$E$5:$E$143,DMTK!B20)</f>
        <v>0</v>
      </c>
      <c r="I20" s="13">
        <f>IF(OR(LEFT(B20,3)="152",LEFT(B20,3)="153",LEFT(B20,3)="155",LEFT(B20,3)="156",LEFT(B20,3)="157"),E20+SUMIFS(CT!$F$5:$F$143,CT!$D$5:$D$143,DMTK!B20)-SUMIFS(CT!$F$5:$F$143,CT!$E$5:$E$143,DMTK!B20),0)</f>
        <v>0</v>
      </c>
      <c r="J20" s="28">
        <f t="shared" si="0"/>
        <v>0</v>
      </c>
      <c r="K20" s="13">
        <f t="shared" si="1"/>
        <v>0</v>
      </c>
      <c r="L20" s="13">
        <f t="shared" si="2"/>
        <v>0</v>
      </c>
      <c r="M20" s="29"/>
      <c r="N20" s="13"/>
      <c r="O20" s="23"/>
      <c r="P20" s="13"/>
      <c r="Q20" s="23" t="s">
        <v>224</v>
      </c>
    </row>
    <row r="21" spans="1:17" ht="16.5" customHeight="1" x14ac:dyDescent="0.3">
      <c r="A21" s="23" t="s">
        <v>242</v>
      </c>
      <c r="B21" s="24" t="s">
        <v>254</v>
      </c>
      <c r="C21" s="25" t="s">
        <v>222</v>
      </c>
      <c r="D21" s="30" t="s">
        <v>255</v>
      </c>
      <c r="E21" s="26"/>
      <c r="F21" s="13">
        <v>0</v>
      </c>
      <c r="G21" s="27">
        <f>SUMIFS(CT!$H$5:$H$143,CT!$D$5:$D$143,DMTK!B21)</f>
        <v>0</v>
      </c>
      <c r="H21" s="27">
        <f>SUMIFS(CT!$H$5:$H$143,CT!$E$5:$E$143,DMTK!B21)</f>
        <v>0</v>
      </c>
      <c r="I21" s="13">
        <f>IF(OR(LEFT(B21,3)="152",LEFT(B21,3)="153",LEFT(B21,3)="155",LEFT(B21,3)="156",LEFT(B21,3)="157"),E21+SUMIFS(CT!$F$5:$F$143,CT!$D$5:$D$143,DMTK!B21)-SUMIFS(CT!$F$5:$F$143,CT!$E$5:$E$143,DMTK!B21),0)</f>
        <v>0</v>
      </c>
      <c r="J21" s="28">
        <f t="shared" si="0"/>
        <v>0</v>
      </c>
      <c r="K21" s="13">
        <f t="shared" si="1"/>
        <v>0</v>
      </c>
      <c r="L21" s="13">
        <f t="shared" si="2"/>
        <v>0</v>
      </c>
      <c r="M21" s="29"/>
      <c r="N21" s="13"/>
      <c r="O21" s="23"/>
      <c r="P21" s="13"/>
      <c r="Q21" s="23" t="s">
        <v>224</v>
      </c>
    </row>
    <row r="22" spans="1:17" ht="16.5" customHeight="1" x14ac:dyDescent="0.3">
      <c r="A22" s="23" t="s">
        <v>245</v>
      </c>
      <c r="B22" s="24" t="s">
        <v>256</v>
      </c>
      <c r="C22" s="25" t="s">
        <v>222</v>
      </c>
      <c r="D22" s="30" t="s">
        <v>257</v>
      </c>
      <c r="E22" s="26"/>
      <c r="F22" s="13"/>
      <c r="G22" s="27">
        <f>SUMIFS(CT!$H$5:$H$143,CT!$D$5:$D$143,DMTK!B22)</f>
        <v>0</v>
      </c>
      <c r="H22" s="27">
        <f>SUMIFS(CT!$H$5:$H$143,CT!$E$5:$E$143,DMTK!B22)</f>
        <v>0</v>
      </c>
      <c r="I22" s="13">
        <f>IF(OR(LEFT(B22,3)="152",LEFT(B22,3)="153",LEFT(B22,3)="155",LEFT(B22,3)="156",LEFT(B22,3)="157"),E22+SUMIFS(CT!$F$5:$F$143,CT!$D$5:$D$143,DMTK!B22)-SUMIFS(CT!$F$5:$F$143,CT!$E$5:$E$143,DMTK!B22),0)</f>
        <v>0</v>
      </c>
      <c r="J22" s="28">
        <f t="shared" si="0"/>
        <v>0</v>
      </c>
      <c r="K22" s="13">
        <f t="shared" si="1"/>
        <v>0</v>
      </c>
      <c r="L22" s="13">
        <f t="shared" si="2"/>
        <v>0</v>
      </c>
      <c r="M22" s="29"/>
      <c r="N22" s="13"/>
      <c r="O22" s="23"/>
      <c r="P22" s="13"/>
      <c r="Q22" s="23" t="s">
        <v>224</v>
      </c>
    </row>
    <row r="23" spans="1:17" ht="16.5" customHeight="1" x14ac:dyDescent="0.3">
      <c r="A23" s="23" t="s">
        <v>258</v>
      </c>
      <c r="B23" s="24" t="s">
        <v>30</v>
      </c>
      <c r="C23" s="25" t="s">
        <v>222</v>
      </c>
      <c r="D23" s="8" t="s">
        <v>259</v>
      </c>
      <c r="E23" s="26"/>
      <c r="F23" s="13">
        <v>100000000</v>
      </c>
      <c r="G23" s="27">
        <f>SUMIFS(CT!$H$5:$H$143,CT!$D$5:$D$143,DMTK!B23)</f>
        <v>0</v>
      </c>
      <c r="H23" s="27">
        <f>SUMIFS(CT!$H$5:$H$143,CT!$E$5:$E$143,DMTK!B23)</f>
        <v>20000000</v>
      </c>
      <c r="I23" s="13">
        <f>IF(OR(LEFT(B23,3)="152",LEFT(B23,3)="153",LEFT(B23,3)="155",LEFT(B23,3)="156",LEFT(B23,3)="157"),E23+SUMIFS(CT!$F$5:$F$143,CT!$D$5:$D$143,DMTK!B23)-SUMIFS(CT!$F$5:$F$143,CT!$E$5:$E$143,DMTK!B23),0)</f>
        <v>0</v>
      </c>
      <c r="J23" s="28">
        <f t="shared" si="0"/>
        <v>80000000</v>
      </c>
      <c r="K23" s="13">
        <f t="shared" si="1"/>
        <v>100000000</v>
      </c>
      <c r="L23" s="13">
        <f t="shared" si="2"/>
        <v>0</v>
      </c>
      <c r="M23" s="29"/>
      <c r="N23" s="13"/>
      <c r="O23" s="23"/>
      <c r="P23" s="13"/>
      <c r="Q23" s="23" t="s">
        <v>224</v>
      </c>
    </row>
    <row r="24" spans="1:17" ht="16.5" customHeight="1" x14ac:dyDescent="0.3">
      <c r="A24" s="23" t="s">
        <v>258</v>
      </c>
      <c r="B24" s="24" t="s">
        <v>70</v>
      </c>
      <c r="C24" s="25" t="s">
        <v>222</v>
      </c>
      <c r="D24" s="8" t="s">
        <v>260</v>
      </c>
      <c r="E24" s="26"/>
      <c r="F24" s="13">
        <v>70000000</v>
      </c>
      <c r="G24" s="27">
        <f>SUMIFS(CT!$H$5:$H$143,CT!$D$5:$D$143,DMTK!B24)</f>
        <v>0</v>
      </c>
      <c r="H24" s="27">
        <f>SUMIFS(CT!$H$5:$H$143,CT!$E$5:$E$143,DMTK!B24)</f>
        <v>30000000</v>
      </c>
      <c r="I24" s="13">
        <f>IF(OR(LEFT(B24,3)="152",LEFT(B24,3)="153",LEFT(B24,3)="155",LEFT(B24,3)="156",LEFT(B24,3)="157"),E24+SUMIFS(CT!$F$5:$F$143,CT!$D$5:$D$143,DMTK!B24)-SUMIFS(CT!$F$5:$F$143,CT!$E$5:$E$143,DMTK!B24),0)</f>
        <v>0</v>
      </c>
      <c r="J24" s="28">
        <f t="shared" si="0"/>
        <v>40000000</v>
      </c>
      <c r="K24" s="13">
        <f t="shared" si="1"/>
        <v>70000000</v>
      </c>
      <c r="L24" s="13">
        <f t="shared" si="2"/>
        <v>0</v>
      </c>
      <c r="M24" s="29"/>
      <c r="N24" s="13"/>
      <c r="O24" s="23"/>
      <c r="P24" s="13"/>
      <c r="Q24" s="23" t="s">
        <v>224</v>
      </c>
    </row>
    <row r="25" spans="1:17" ht="16.5" customHeight="1" x14ac:dyDescent="0.3">
      <c r="A25" s="23" t="s">
        <v>258</v>
      </c>
      <c r="B25" s="24" t="s">
        <v>27</v>
      </c>
      <c r="C25" s="25" t="s">
        <v>222</v>
      </c>
      <c r="D25" s="8" t="s">
        <v>261</v>
      </c>
      <c r="E25" s="26"/>
      <c r="F25" s="13">
        <v>57000000</v>
      </c>
      <c r="G25" s="27">
        <f>SUMIFS(CT!$H$5:$H$143,CT!$D$5:$D$143,DMTK!B25)</f>
        <v>0</v>
      </c>
      <c r="H25" s="27">
        <f>SUMIFS(CT!$H$5:$H$143,CT!$E$5:$E$143,DMTK!B25)</f>
        <v>5000000</v>
      </c>
      <c r="I25" s="13">
        <f>IF(OR(LEFT(B25,3)="152",LEFT(B25,3)="153",LEFT(B25,3)="155",LEFT(B25,3)="156",LEFT(B25,3)="157"),E25+SUMIFS(CT!$F$5:$F$143,CT!$D$5:$D$143,DMTK!B25)-SUMIFS(CT!$F$5:$F$143,CT!$E$5:$E$143,DMTK!B25),0)</f>
        <v>0</v>
      </c>
      <c r="J25" s="28">
        <f t="shared" si="0"/>
        <v>52000000</v>
      </c>
      <c r="K25" s="13">
        <f t="shared" si="1"/>
        <v>57000000</v>
      </c>
      <c r="L25" s="13">
        <f t="shared" si="2"/>
        <v>0</v>
      </c>
      <c r="M25" s="29"/>
      <c r="N25" s="13"/>
      <c r="O25" s="23"/>
      <c r="P25" s="13"/>
      <c r="Q25" s="23" t="s">
        <v>224</v>
      </c>
    </row>
    <row r="26" spans="1:17" ht="16.5" customHeight="1" x14ac:dyDescent="0.3">
      <c r="A26" s="23" t="s">
        <v>258</v>
      </c>
      <c r="B26" s="24" t="s">
        <v>262</v>
      </c>
      <c r="C26" s="25" t="s">
        <v>222</v>
      </c>
      <c r="D26" s="8" t="s">
        <v>263</v>
      </c>
      <c r="E26" s="26"/>
      <c r="F26" s="13">
        <v>-52000000</v>
      </c>
      <c r="G26" s="27">
        <f>SUMIFS(CT!$H$5:$H$143,CT!$D$5:$D$143,DMTK!B26)</f>
        <v>0</v>
      </c>
      <c r="H26" s="27">
        <f>SUMIFS(CT!$H$5:$H$143,CT!$E$5:$E$143,DMTK!B26)</f>
        <v>0</v>
      </c>
      <c r="I26" s="13">
        <f>IF(OR(LEFT(B26,3)="152",LEFT(B26,3)="153",LEFT(B26,3)="155",LEFT(B26,3)="156",LEFT(B26,3)="157"),E26+SUMIFS(CT!$F$5:$F$143,CT!$D$5:$D$143,DMTK!B26)-SUMIFS(CT!$F$5:$F$143,CT!$E$5:$E$143,DMTK!B26),0)</f>
        <v>0</v>
      </c>
      <c r="J26" s="28">
        <f t="shared" si="0"/>
        <v>-52000000</v>
      </c>
      <c r="K26" s="13">
        <f t="shared" si="1"/>
        <v>0</v>
      </c>
      <c r="L26" s="13">
        <f t="shared" si="2"/>
        <v>52000000</v>
      </c>
      <c r="M26" s="29"/>
      <c r="N26" s="13"/>
      <c r="O26" s="23"/>
      <c r="P26" s="13"/>
      <c r="Q26" s="23" t="s">
        <v>224</v>
      </c>
    </row>
    <row r="27" spans="1:17" ht="16.5" customHeight="1" x14ac:dyDescent="0.3">
      <c r="A27" s="23" t="s">
        <v>258</v>
      </c>
      <c r="B27" s="24" t="s">
        <v>129</v>
      </c>
      <c r="C27" s="25" t="s">
        <v>222</v>
      </c>
      <c r="D27" s="8" t="s">
        <v>264</v>
      </c>
      <c r="E27" s="26"/>
      <c r="F27" s="13"/>
      <c r="G27" s="27">
        <f>SUMIFS(CT!$H$5:$H$143,CT!$D$5:$D$143,DMTK!B27)</f>
        <v>30150000</v>
      </c>
      <c r="H27" s="27">
        <f>SUMIFS(CT!$H$5:$H$143,CT!$E$5:$E$143,DMTK!B27)</f>
        <v>0</v>
      </c>
      <c r="I27" s="13">
        <f>IF(OR(LEFT(B27,3)="152",LEFT(B27,3)="153",LEFT(B27,3)="155",LEFT(B27,3)="156",LEFT(B27,3)="157"),E27+SUMIFS(CT!$F$5:$F$143,CT!$D$5:$D$143,DMTK!B27)-SUMIFS(CT!$F$5:$F$143,CT!$E$5:$E$143,DMTK!B27),0)</f>
        <v>0</v>
      </c>
      <c r="J27" s="28">
        <f t="shared" si="0"/>
        <v>30150000</v>
      </c>
      <c r="K27" s="13">
        <f t="shared" si="1"/>
        <v>0</v>
      </c>
      <c r="L27" s="13">
        <f t="shared" si="2"/>
        <v>0</v>
      </c>
      <c r="M27" s="29"/>
      <c r="N27" s="13"/>
      <c r="O27" s="23"/>
      <c r="P27" s="13"/>
      <c r="Q27" s="23" t="s">
        <v>224</v>
      </c>
    </row>
    <row r="28" spans="1:17" ht="16.5" customHeight="1" x14ac:dyDescent="0.3">
      <c r="A28" s="23" t="s">
        <v>258</v>
      </c>
      <c r="B28" s="24" t="s">
        <v>125</v>
      </c>
      <c r="C28" s="25" t="s">
        <v>222</v>
      </c>
      <c r="D28" s="8" t="s">
        <v>265</v>
      </c>
      <c r="E28" s="26"/>
      <c r="F28" s="13">
        <v>0</v>
      </c>
      <c r="G28" s="27">
        <f>SUMIFS(CT!$H$5:$H$143,CT!$D$5:$D$143,DMTK!B28)</f>
        <v>61007500</v>
      </c>
      <c r="H28" s="27">
        <f>SUMIFS(CT!$H$5:$H$143,CT!$E$5:$E$143,DMTK!B28)</f>
        <v>0</v>
      </c>
      <c r="I28" s="13">
        <f>IF(OR(LEFT(B28,3)="152",LEFT(B28,3)="153",LEFT(B28,3)="155",LEFT(B28,3)="156",LEFT(B28,3)="157"),E28+SUMIFS(CT!$F$5:$F$143,CT!$D$5:$D$143,DMTK!B28)-SUMIFS(CT!$F$5:$F$143,CT!$E$5:$E$143,DMTK!B28),0)</f>
        <v>0</v>
      </c>
      <c r="J28" s="28">
        <f t="shared" si="0"/>
        <v>61007500</v>
      </c>
      <c r="K28" s="13">
        <f t="shared" si="1"/>
        <v>0</v>
      </c>
      <c r="L28" s="13">
        <f t="shared" si="2"/>
        <v>0</v>
      </c>
      <c r="M28" s="29"/>
      <c r="N28" s="13"/>
      <c r="O28" s="23"/>
      <c r="P28" s="13"/>
      <c r="Q28" s="23" t="s">
        <v>224</v>
      </c>
    </row>
    <row r="29" spans="1:17" ht="16.5" customHeight="1" x14ac:dyDescent="0.3">
      <c r="A29" s="23" t="s">
        <v>266</v>
      </c>
      <c r="B29" s="24" t="s">
        <v>36</v>
      </c>
      <c r="C29" s="25" t="s">
        <v>222</v>
      </c>
      <c r="D29" s="8" t="s">
        <v>267</v>
      </c>
      <c r="E29" s="26"/>
      <c r="F29" s="13">
        <v>0</v>
      </c>
      <c r="G29" s="27">
        <f>SUMIFS(CT!$H$5:$H$143,CT!$D$5:$D$143,DMTK!B29)</f>
        <v>1655000</v>
      </c>
      <c r="H29" s="27">
        <f>SUMIFS(CT!$H$5:$H$143,CT!$E$5:$E$143,DMTK!B29)</f>
        <v>0</v>
      </c>
      <c r="I29" s="13">
        <f>IF(OR(LEFT(B29,3)="152",LEFT(B29,3)="153",LEFT(B29,3)="155",LEFT(B29,3)="156",LEFT(B29,3)="157"),E29+SUMIFS(CT!$F$5:$F$143,CT!$D$5:$D$143,DMTK!B29)-SUMIFS(CT!$F$5:$F$143,CT!$E$5:$E$143,DMTK!B29),0)</f>
        <v>0</v>
      </c>
      <c r="J29" s="28">
        <f t="shared" si="0"/>
        <v>1655000</v>
      </c>
      <c r="K29" s="13">
        <f t="shared" si="1"/>
        <v>0</v>
      </c>
      <c r="L29" s="13">
        <f t="shared" si="2"/>
        <v>0</v>
      </c>
      <c r="M29" s="29"/>
      <c r="N29" s="13"/>
      <c r="O29" s="23"/>
      <c r="P29" s="13"/>
      <c r="Q29" s="23" t="s">
        <v>224</v>
      </c>
    </row>
    <row r="30" spans="1:17" ht="16.5" customHeight="1" x14ac:dyDescent="0.3">
      <c r="A30" s="23" t="s">
        <v>266</v>
      </c>
      <c r="B30" s="24" t="s">
        <v>145</v>
      </c>
      <c r="C30" s="25" t="s">
        <v>222</v>
      </c>
      <c r="D30" s="8" t="s">
        <v>268</v>
      </c>
      <c r="E30" s="26"/>
      <c r="F30" s="13">
        <v>0</v>
      </c>
      <c r="G30" s="27">
        <f>SUMIFS(CT!$H$5:$H$143,CT!$D$5:$D$143,DMTK!B30)</f>
        <v>14000000</v>
      </c>
      <c r="H30" s="27">
        <f>SUMIFS(CT!$H$5:$H$143,CT!$E$5:$E$143,DMTK!B30)</f>
        <v>0</v>
      </c>
      <c r="I30" s="13">
        <f>IF(OR(LEFT(B30,3)="152",LEFT(B30,3)="153",LEFT(B30,3)="155",LEFT(B30,3)="156",LEFT(B30,3)="157"),E30+SUMIFS(CT!$F$5:$F$143,CT!$D$5:$D$143,DMTK!B30)-SUMIFS(CT!$F$5:$F$143,CT!$E$5:$E$143,DMTK!B30),0)</f>
        <v>0</v>
      </c>
      <c r="J30" s="28">
        <f t="shared" si="0"/>
        <v>14000000</v>
      </c>
      <c r="K30" s="13">
        <f t="shared" si="1"/>
        <v>0</v>
      </c>
      <c r="L30" s="13">
        <f t="shared" si="2"/>
        <v>0</v>
      </c>
      <c r="M30" s="29"/>
      <c r="N30" s="13"/>
      <c r="O30" s="23"/>
      <c r="P30" s="13"/>
      <c r="Q30" s="23" t="s">
        <v>224</v>
      </c>
    </row>
    <row r="31" spans="1:17" ht="16.5" customHeight="1" x14ac:dyDescent="0.3">
      <c r="A31" s="23" t="s">
        <v>269</v>
      </c>
      <c r="B31" s="24" t="s">
        <v>270</v>
      </c>
      <c r="C31" s="25" t="s">
        <v>222</v>
      </c>
      <c r="D31" s="8" t="s">
        <v>271</v>
      </c>
      <c r="E31" s="26"/>
      <c r="F31" s="13"/>
      <c r="G31" s="27">
        <f>SUMIFS(CT!$H$5:$H$143,CT!$D$5:$D$143,DMTK!B31)</f>
        <v>0</v>
      </c>
      <c r="H31" s="27">
        <f>SUMIFS(CT!$H$5:$H$143,CT!$E$5:$E$143,DMTK!B31)</f>
        <v>0</v>
      </c>
      <c r="I31" s="13">
        <f>IF(OR(LEFT(B31,3)="152",LEFT(B31,3)="153",LEFT(B31,3)="155",LEFT(B31,3)="156",LEFT(B31,3)="157"),E31+SUMIFS(CT!$F$5:$F$143,CT!$D$5:$D$143,DMTK!B31)-SUMIFS(CT!$F$5:$F$143,CT!$E$5:$E$143,DMTK!B31),0)</f>
        <v>0</v>
      </c>
      <c r="J31" s="28">
        <f t="shared" si="0"/>
        <v>0</v>
      </c>
      <c r="K31" s="13">
        <f t="shared" si="1"/>
        <v>0</v>
      </c>
      <c r="L31" s="13">
        <f t="shared" si="2"/>
        <v>0</v>
      </c>
      <c r="M31" s="29"/>
      <c r="N31" s="13"/>
      <c r="O31" s="23"/>
      <c r="P31" s="13"/>
      <c r="Q31" s="23" t="s">
        <v>224</v>
      </c>
    </row>
    <row r="32" spans="1:17" ht="16.5" customHeight="1" x14ac:dyDescent="0.3">
      <c r="A32" s="31" t="s">
        <v>272</v>
      </c>
      <c r="B32" s="24" t="s">
        <v>273</v>
      </c>
      <c r="C32" s="25" t="s">
        <v>222</v>
      </c>
      <c r="D32" s="23" t="s">
        <v>274</v>
      </c>
      <c r="E32" s="26"/>
      <c r="F32" s="13"/>
      <c r="G32" s="27">
        <f>SUMIFS(CT!$H$5:$H$143,CT!$D$5:$D$143,DMTK!B32)</f>
        <v>0</v>
      </c>
      <c r="H32" s="27">
        <f>SUMIFS(CT!$H$5:$H$143,CT!$E$5:$E$143,DMTK!B32)</f>
        <v>0</v>
      </c>
      <c r="I32" s="13">
        <f>IF(OR(LEFT(B32,3)="152",LEFT(B32,3)="153",LEFT(B32,3)="155",LEFT(B32,3)="156",LEFT(B32,3)="157"),E32+SUMIFS(CT!$F$5:$F$143,CT!$D$5:$D$143,DMTK!B32)-SUMIFS(CT!$F$5:$F$143,CT!$E$5:$E$143,DMTK!B32),0)</f>
        <v>0</v>
      </c>
      <c r="J32" s="28">
        <f t="shared" si="0"/>
        <v>0</v>
      </c>
      <c r="K32" s="13">
        <f t="shared" si="1"/>
        <v>0</v>
      </c>
      <c r="L32" s="13">
        <f t="shared" si="2"/>
        <v>0</v>
      </c>
      <c r="M32" s="29"/>
      <c r="N32" s="13"/>
      <c r="O32" s="23"/>
      <c r="P32" s="13"/>
      <c r="Q32" s="23" t="s">
        <v>224</v>
      </c>
    </row>
    <row r="33" spans="1:17" ht="16.5" customHeight="1" x14ac:dyDescent="0.3">
      <c r="A33" s="31" t="s">
        <v>275</v>
      </c>
      <c r="B33" s="24" t="s">
        <v>276</v>
      </c>
      <c r="C33" s="25" t="s">
        <v>222</v>
      </c>
      <c r="D33" s="23" t="s">
        <v>277</v>
      </c>
      <c r="E33" s="26"/>
      <c r="F33" s="13"/>
      <c r="G33" s="27">
        <f>SUMIFS(CT!$H$5:$H$143,CT!$D$5:$D$143,DMTK!B33)</f>
        <v>0</v>
      </c>
      <c r="H33" s="27">
        <f>SUMIFS(CT!$H$5:$H$143,CT!$E$5:$E$143,DMTK!B33)</f>
        <v>0</v>
      </c>
      <c r="I33" s="13">
        <f>IF(OR(LEFT(B33,3)="152",LEFT(B33,3)="153",LEFT(B33,3)="155",LEFT(B33,3)="156",LEFT(B33,3)="157"),E33+SUMIFS(CT!$F$5:$F$143,CT!$D$5:$D$143,DMTK!B33)-SUMIFS(CT!$F$5:$F$143,CT!$E$5:$E$143,DMTK!B33),0)</f>
        <v>0</v>
      </c>
      <c r="J33" s="28">
        <f t="shared" si="0"/>
        <v>0</v>
      </c>
      <c r="K33" s="13">
        <f t="shared" si="1"/>
        <v>0</v>
      </c>
      <c r="L33" s="13">
        <f t="shared" si="2"/>
        <v>0</v>
      </c>
      <c r="M33" s="29"/>
      <c r="N33" s="13"/>
      <c r="O33" s="23"/>
      <c r="P33" s="13"/>
      <c r="Q33" s="23" t="s">
        <v>224</v>
      </c>
    </row>
    <row r="34" spans="1:17" ht="16.5" customHeight="1" x14ac:dyDescent="0.3">
      <c r="A34" s="31" t="s">
        <v>272</v>
      </c>
      <c r="B34" s="32" t="s">
        <v>278</v>
      </c>
      <c r="C34" s="25" t="s">
        <v>222</v>
      </c>
      <c r="D34" s="23" t="s">
        <v>279</v>
      </c>
      <c r="E34" s="26"/>
      <c r="F34" s="13">
        <v>0</v>
      </c>
      <c r="G34" s="27">
        <f>SUMIFS(CT!$H$5:$H$143,CT!$D$5:$D$143,DMTK!B34)</f>
        <v>0</v>
      </c>
      <c r="H34" s="27">
        <f>SUMIFS(CT!$H$5:$H$143,CT!$E$5:$E$143,DMTK!B34)</f>
        <v>0</v>
      </c>
      <c r="I34" s="13">
        <f>IF(OR(LEFT(B34,3)="152",LEFT(B34,3)="153",LEFT(B34,3)="155",LEFT(B34,3)="156",LEFT(B34,3)="157"),E34+SUMIFS(CT!$F$5:$F$143,CT!$D$5:$D$143,DMTK!B34)-SUMIFS(CT!$F$5:$F$143,CT!$E$5:$E$143,DMTK!B34),0)</f>
        <v>0</v>
      </c>
      <c r="J34" s="28">
        <f t="shared" si="0"/>
        <v>0</v>
      </c>
      <c r="K34" s="13">
        <f t="shared" si="1"/>
        <v>0</v>
      </c>
      <c r="L34" s="13">
        <f t="shared" si="2"/>
        <v>0</v>
      </c>
      <c r="M34" s="29"/>
      <c r="N34" s="13"/>
      <c r="O34" s="23"/>
      <c r="P34" s="13"/>
      <c r="Q34" s="23" t="s">
        <v>224</v>
      </c>
    </row>
    <row r="35" spans="1:17" ht="16.5" customHeight="1" x14ac:dyDescent="0.3">
      <c r="A35" s="31" t="s">
        <v>275</v>
      </c>
      <c r="B35" s="32" t="s">
        <v>280</v>
      </c>
      <c r="C35" s="25" t="s">
        <v>222</v>
      </c>
      <c r="D35" s="23" t="s">
        <v>281</v>
      </c>
      <c r="E35" s="26"/>
      <c r="F35" s="13"/>
      <c r="G35" s="27">
        <f>SUMIFS(CT!$H$5:$H$143,CT!$D$5:$D$143,DMTK!B35)</f>
        <v>0</v>
      </c>
      <c r="H35" s="27">
        <f>SUMIFS(CT!$H$5:$H$143,CT!$E$5:$E$143,DMTK!B35)</f>
        <v>0</v>
      </c>
      <c r="I35" s="13">
        <f>IF(OR(LEFT(B35,3)="152",LEFT(B35,3)="153",LEFT(B35,3)="155",LEFT(B35,3)="156",LEFT(B35,3)="157"),E35+SUMIFS(CT!$F$5:$F$143,CT!$D$5:$D$143,DMTK!B35)-SUMIFS(CT!$F$5:$F$143,CT!$E$5:$E$143,DMTK!B35),0)</f>
        <v>0</v>
      </c>
      <c r="J35" s="28">
        <f t="shared" si="0"/>
        <v>0</v>
      </c>
      <c r="K35" s="13">
        <f t="shared" si="1"/>
        <v>0</v>
      </c>
      <c r="L35" s="13">
        <f t="shared" si="2"/>
        <v>0</v>
      </c>
      <c r="M35" s="29"/>
      <c r="N35" s="13"/>
      <c r="O35" s="23"/>
      <c r="P35" s="13"/>
      <c r="Q35" s="23" t="s">
        <v>224</v>
      </c>
    </row>
    <row r="36" spans="1:17" ht="16.5" customHeight="1" x14ac:dyDescent="0.3">
      <c r="A36" s="31" t="s">
        <v>272</v>
      </c>
      <c r="B36" s="24" t="s">
        <v>282</v>
      </c>
      <c r="C36" s="25" t="s">
        <v>222</v>
      </c>
      <c r="D36" s="23" t="s">
        <v>283</v>
      </c>
      <c r="E36" s="26"/>
      <c r="F36" s="13"/>
      <c r="G36" s="27">
        <f>SUMIFS(CT!$H$5:$H$143,CT!$D$5:$D$143,DMTK!B36)</f>
        <v>0</v>
      </c>
      <c r="H36" s="27">
        <f>SUMIFS(CT!$H$5:$H$143,CT!$E$5:$E$143,DMTK!B36)</f>
        <v>0</v>
      </c>
      <c r="I36" s="13">
        <f>IF(OR(LEFT(B36,3)="152",LEFT(B36,3)="153",LEFT(B36,3)="155",LEFT(B36,3)="156",LEFT(B36,3)="157"),E36+SUMIFS(CT!$F$5:$F$143,CT!$D$5:$D$143,DMTK!B36)-SUMIFS(CT!$F$5:$F$143,CT!$E$5:$E$143,DMTK!B36),0)</f>
        <v>0</v>
      </c>
      <c r="J36" s="28">
        <f t="shared" si="0"/>
        <v>0</v>
      </c>
      <c r="K36" s="13">
        <f t="shared" si="1"/>
        <v>0</v>
      </c>
      <c r="L36" s="13">
        <f t="shared" si="2"/>
        <v>0</v>
      </c>
      <c r="M36" s="29"/>
      <c r="N36" s="13"/>
      <c r="O36" s="23"/>
      <c r="P36" s="13"/>
      <c r="Q36" s="23" t="s">
        <v>224</v>
      </c>
    </row>
    <row r="37" spans="1:17" ht="16.5" customHeight="1" x14ac:dyDescent="0.3">
      <c r="A37" s="31" t="s">
        <v>275</v>
      </c>
      <c r="B37" s="24" t="s">
        <v>284</v>
      </c>
      <c r="C37" s="25" t="s">
        <v>222</v>
      </c>
      <c r="D37" s="23" t="s">
        <v>285</v>
      </c>
      <c r="E37" s="26"/>
      <c r="F37" s="13"/>
      <c r="G37" s="27">
        <f>SUMIFS(CT!$H$5:$H$143,CT!$D$5:$D$143,DMTK!B37)</f>
        <v>0</v>
      </c>
      <c r="H37" s="27">
        <f>SUMIFS(CT!$H$5:$H$143,CT!$E$5:$E$143,DMTK!B37)</f>
        <v>0</v>
      </c>
      <c r="I37" s="13">
        <f>IF(OR(LEFT(B37,3)="152",LEFT(B37,3)="153",LEFT(B37,3)="155",LEFT(B37,3)="156",LEFT(B37,3)="157"),E37+SUMIFS(CT!$F$5:$F$143,CT!$D$5:$D$143,DMTK!B37)-SUMIFS(CT!$F$5:$F$143,CT!$E$5:$E$143,DMTK!B37),0)</f>
        <v>0</v>
      </c>
      <c r="J37" s="28">
        <f t="shared" si="0"/>
        <v>0</v>
      </c>
      <c r="K37" s="13">
        <f t="shared" si="1"/>
        <v>0</v>
      </c>
      <c r="L37" s="13">
        <f t="shared" si="2"/>
        <v>0</v>
      </c>
      <c r="M37" s="29"/>
      <c r="N37" s="13"/>
      <c r="O37" s="23"/>
      <c r="P37" s="13"/>
      <c r="Q37" s="23" t="s">
        <v>224</v>
      </c>
    </row>
    <row r="38" spans="1:17" ht="16.5" customHeight="1" x14ac:dyDescent="0.3">
      <c r="A38" s="31" t="s">
        <v>286</v>
      </c>
      <c r="B38" s="24" t="s">
        <v>287</v>
      </c>
      <c r="C38" s="25" t="s">
        <v>222</v>
      </c>
      <c r="D38" s="8" t="s">
        <v>288</v>
      </c>
      <c r="E38" s="26"/>
      <c r="F38" s="13"/>
      <c r="G38" s="27">
        <f>SUMIFS(CT!$H$5:$H$143,CT!$D$5:$D$143,DMTK!B38)</f>
        <v>0</v>
      </c>
      <c r="H38" s="27">
        <f>SUMIFS(CT!$H$5:$H$143,CT!$E$5:$E$143,DMTK!B38)</f>
        <v>0</v>
      </c>
      <c r="I38" s="13">
        <f>IF(OR(LEFT(B38,3)="152",LEFT(B38,3)="153",LEFT(B38,3)="155",LEFT(B38,3)="156",LEFT(B38,3)="157"),E38+SUMIFS(CT!$F$5:$F$143,CT!$D$5:$D$143,DMTK!B38)-SUMIFS(CT!$F$5:$F$143,CT!$E$5:$E$143,DMTK!B38),0)</f>
        <v>0</v>
      </c>
      <c r="J38" s="28">
        <f t="shared" si="0"/>
        <v>0</v>
      </c>
      <c r="K38" s="13">
        <f t="shared" si="1"/>
        <v>0</v>
      </c>
      <c r="L38" s="13">
        <f t="shared" si="2"/>
        <v>0</v>
      </c>
      <c r="M38" s="29"/>
      <c r="N38" s="13"/>
      <c r="O38" s="23"/>
      <c r="P38" s="13"/>
      <c r="Q38" s="23" t="s">
        <v>224</v>
      </c>
    </row>
    <row r="39" spans="1:17" ht="16.5" customHeight="1" x14ac:dyDescent="0.3">
      <c r="A39" s="23" t="s">
        <v>289</v>
      </c>
      <c r="B39" s="24" t="s">
        <v>290</v>
      </c>
      <c r="C39" s="25" t="s">
        <v>222</v>
      </c>
      <c r="D39" s="23" t="s">
        <v>291</v>
      </c>
      <c r="E39" s="26"/>
      <c r="F39" s="13"/>
      <c r="G39" s="27">
        <f>SUMIFS(CT!$H$5:$H$143,CT!$D$5:$D$143,DMTK!B39)</f>
        <v>0</v>
      </c>
      <c r="H39" s="27">
        <f>SUMIFS(CT!$H$5:$H$143,CT!$E$5:$E$143,DMTK!B39)</f>
        <v>0</v>
      </c>
      <c r="I39" s="13">
        <f>IF(OR(LEFT(B39,3)="152",LEFT(B39,3)="153",LEFT(B39,3)="155",LEFT(B39,3)="156",LEFT(B39,3)="157"),E39+SUMIFS(CT!$F$5:$F$143,CT!$D$5:$D$143,DMTK!B39)-SUMIFS(CT!$F$5:$F$143,CT!$E$5:$E$143,DMTK!B39),0)</f>
        <v>0</v>
      </c>
      <c r="J39" s="28">
        <f t="shared" si="0"/>
        <v>0</v>
      </c>
      <c r="K39" s="13">
        <f t="shared" si="1"/>
        <v>0</v>
      </c>
      <c r="L39" s="13">
        <f t="shared" si="2"/>
        <v>0</v>
      </c>
      <c r="M39" s="29"/>
      <c r="N39" s="13"/>
      <c r="O39" s="23"/>
      <c r="P39" s="13"/>
      <c r="Q39" s="23" t="s">
        <v>224</v>
      </c>
    </row>
    <row r="40" spans="1:17" ht="16.5" customHeight="1" x14ac:dyDescent="0.3">
      <c r="A40" s="23" t="s">
        <v>292</v>
      </c>
      <c r="B40" s="24" t="s">
        <v>293</v>
      </c>
      <c r="C40" s="25" t="s">
        <v>222</v>
      </c>
      <c r="D40" s="23" t="s">
        <v>294</v>
      </c>
      <c r="E40" s="26"/>
      <c r="F40" s="13">
        <v>0</v>
      </c>
      <c r="G40" s="27">
        <f>SUMIFS(CT!$H$5:$H$143,CT!$D$5:$D$143,DMTK!B40)</f>
        <v>0</v>
      </c>
      <c r="H40" s="27">
        <f>SUMIFS(CT!$H$5:$H$143,CT!$E$5:$E$143,DMTK!B40)</f>
        <v>0</v>
      </c>
      <c r="I40" s="13">
        <f>IF(OR(LEFT(B40,3)="152",LEFT(B40,3)="153",LEFT(B40,3)="155",LEFT(B40,3)="156",LEFT(B40,3)="157"),E40+SUMIFS(CT!$F$5:$F$143,CT!$D$5:$D$143,DMTK!B40)-SUMIFS(CT!$F$5:$F$143,CT!$E$5:$E$143,DMTK!B40),0)</f>
        <v>0</v>
      </c>
      <c r="J40" s="28">
        <f t="shared" si="0"/>
        <v>0</v>
      </c>
      <c r="K40" s="13">
        <f t="shared" si="1"/>
        <v>0</v>
      </c>
      <c r="L40" s="13">
        <f t="shared" si="2"/>
        <v>0</v>
      </c>
      <c r="M40" s="29"/>
      <c r="N40" s="13"/>
      <c r="O40" s="23"/>
      <c r="P40" s="13"/>
      <c r="Q40" s="23" t="s">
        <v>224</v>
      </c>
    </row>
    <row r="41" spans="1:17" ht="16.5" customHeight="1" x14ac:dyDescent="0.3">
      <c r="A41" s="23" t="s">
        <v>289</v>
      </c>
      <c r="B41" s="24" t="s">
        <v>295</v>
      </c>
      <c r="C41" s="25" t="s">
        <v>222</v>
      </c>
      <c r="D41" s="8" t="s">
        <v>296</v>
      </c>
      <c r="E41" s="26"/>
      <c r="F41" s="13">
        <v>52200000</v>
      </c>
      <c r="G41" s="27">
        <f>SUMIFS(CT!$H$5:$H$143,CT!$D$5:$D$143,DMTK!B41)</f>
        <v>0</v>
      </c>
      <c r="H41" s="27">
        <f>SUMIFS(CT!$H$5:$H$143,CT!$E$5:$E$143,DMTK!B41)</f>
        <v>0</v>
      </c>
      <c r="I41" s="13">
        <f>IF(OR(LEFT(B41,3)="152",LEFT(B41,3)="153",LEFT(B41,3)="155",LEFT(B41,3)="156",LEFT(B41,3)="157"),E41+SUMIFS(CT!$F$5:$F$143,CT!$D$5:$D$143,DMTK!B41)-SUMIFS(CT!$F$5:$F$143,CT!$E$5:$E$143,DMTK!B41),0)</f>
        <v>0</v>
      </c>
      <c r="J41" s="28">
        <f t="shared" si="0"/>
        <v>52200000</v>
      </c>
      <c r="K41" s="13">
        <f t="shared" si="1"/>
        <v>52200000</v>
      </c>
      <c r="L41" s="13">
        <f t="shared" si="2"/>
        <v>0</v>
      </c>
      <c r="M41" s="29"/>
      <c r="N41" s="13"/>
      <c r="O41" s="23"/>
      <c r="P41" s="13"/>
      <c r="Q41" s="23" t="s">
        <v>224</v>
      </c>
    </row>
    <row r="42" spans="1:17" ht="16.5" customHeight="1" x14ac:dyDescent="0.3">
      <c r="A42" s="23" t="s">
        <v>292</v>
      </c>
      <c r="B42" s="24" t="s">
        <v>297</v>
      </c>
      <c r="C42" s="25" t="s">
        <v>222</v>
      </c>
      <c r="D42" s="8" t="s">
        <v>298</v>
      </c>
      <c r="E42" s="26"/>
      <c r="F42" s="13"/>
      <c r="G42" s="27">
        <f>SUMIFS(CT!$H$5:$H$143,CT!$D$5:$D$143,DMTK!B42)</f>
        <v>0</v>
      </c>
      <c r="H42" s="27">
        <f>SUMIFS(CT!$H$5:$H$143,CT!$E$5:$E$143,DMTK!B42)</f>
        <v>0</v>
      </c>
      <c r="I42" s="13">
        <f>IF(OR(LEFT(B42,3)="152",LEFT(B42,3)="153",LEFT(B42,3)="155",LEFT(B42,3)="156",LEFT(B42,3)="157"),E42+SUMIFS(CT!$F$5:$F$143,CT!$D$5:$D$143,DMTK!B42)-SUMIFS(CT!$F$5:$F$143,CT!$E$5:$E$143,DMTK!B42),0)</f>
        <v>0</v>
      </c>
      <c r="J42" s="28">
        <f t="shared" si="0"/>
        <v>0</v>
      </c>
      <c r="K42" s="13">
        <f t="shared" si="1"/>
        <v>0</v>
      </c>
      <c r="L42" s="13">
        <f t="shared" si="2"/>
        <v>0</v>
      </c>
      <c r="M42" s="29"/>
      <c r="N42" s="13"/>
      <c r="O42" s="23"/>
      <c r="P42" s="13"/>
      <c r="Q42" s="23" t="s">
        <v>224</v>
      </c>
    </row>
    <row r="43" spans="1:17" ht="16.5" customHeight="1" x14ac:dyDescent="0.3">
      <c r="A43" s="23" t="s">
        <v>289</v>
      </c>
      <c r="B43" s="24" t="s">
        <v>299</v>
      </c>
      <c r="C43" s="25" t="s">
        <v>222</v>
      </c>
      <c r="D43" s="8" t="s">
        <v>300</v>
      </c>
      <c r="E43" s="26"/>
      <c r="F43" s="13">
        <v>200000</v>
      </c>
      <c r="G43" s="27">
        <f>SUMIFS(CT!$H$5:$H$143,CT!$D$5:$D$143,DMTK!B43)</f>
        <v>0</v>
      </c>
      <c r="H43" s="27">
        <f>SUMIFS(CT!$H$5:$H$143,CT!$E$5:$E$143,DMTK!B43)</f>
        <v>0</v>
      </c>
      <c r="I43" s="13">
        <f>IF(OR(LEFT(B43,3)="152",LEFT(B43,3)="153",LEFT(B43,3)="155",LEFT(B43,3)="156",LEFT(B43,3)="157"),E43+SUMIFS(CT!$F$5:$F$143,CT!$D$5:$D$143,DMTK!B43)-SUMIFS(CT!$F$5:$F$143,CT!$E$5:$E$143,DMTK!B43),0)</f>
        <v>0</v>
      </c>
      <c r="J43" s="28">
        <f t="shared" si="0"/>
        <v>200000</v>
      </c>
      <c r="K43" s="13">
        <f t="shared" si="1"/>
        <v>200000</v>
      </c>
      <c r="L43" s="13">
        <f t="shared" si="2"/>
        <v>0</v>
      </c>
      <c r="M43" s="29"/>
      <c r="N43" s="13"/>
      <c r="O43" s="23"/>
      <c r="P43" s="13"/>
      <c r="Q43" s="23" t="s">
        <v>224</v>
      </c>
    </row>
    <row r="44" spans="1:17" ht="16.5" customHeight="1" x14ac:dyDescent="0.3">
      <c r="A44" s="23" t="s">
        <v>289</v>
      </c>
      <c r="B44" s="24" t="s">
        <v>33</v>
      </c>
      <c r="C44" s="25" t="s">
        <v>222</v>
      </c>
      <c r="D44" s="8" t="s">
        <v>301</v>
      </c>
      <c r="E44" s="26"/>
      <c r="F44" s="13">
        <v>1000000</v>
      </c>
      <c r="G44" s="27">
        <f>SUMIFS(CT!$H$5:$H$143,CT!$D$5:$D$143,DMTK!B44)</f>
        <v>2000000</v>
      </c>
      <c r="H44" s="27">
        <f>SUMIFS(CT!$H$5:$H$143,CT!$E$5:$E$143,DMTK!B44)</f>
        <v>2000000</v>
      </c>
      <c r="I44" s="13">
        <f>IF(OR(LEFT(B44,3)="152",LEFT(B44,3)="153",LEFT(B44,3)="155",LEFT(B44,3)="156",LEFT(B44,3)="157"),E44+SUMIFS(CT!$F$5:$F$143,CT!$D$5:$D$143,DMTK!B44)-SUMIFS(CT!$F$5:$F$143,CT!$E$5:$E$143,DMTK!B44),0)</f>
        <v>0</v>
      </c>
      <c r="J44" s="28">
        <f t="shared" si="0"/>
        <v>1000000</v>
      </c>
      <c r="K44" s="13">
        <f t="shared" si="1"/>
        <v>1000000</v>
      </c>
      <c r="L44" s="13">
        <f t="shared" si="2"/>
        <v>0</v>
      </c>
      <c r="M44" s="29"/>
      <c r="N44" s="13"/>
      <c r="O44" s="23"/>
      <c r="P44" s="13"/>
      <c r="Q44" s="23" t="s">
        <v>224</v>
      </c>
    </row>
    <row r="45" spans="1:17" ht="16.5" customHeight="1" x14ac:dyDescent="0.3">
      <c r="A45" s="23" t="s">
        <v>289</v>
      </c>
      <c r="B45" s="24" t="s">
        <v>302</v>
      </c>
      <c r="C45" s="25" t="s">
        <v>222</v>
      </c>
      <c r="D45" s="8" t="s">
        <v>303</v>
      </c>
      <c r="E45" s="26"/>
      <c r="F45" s="13">
        <v>300000</v>
      </c>
      <c r="G45" s="27">
        <f>SUMIFS(CT!$H$5:$H$143,CT!$D$5:$D$143,DMTK!B45)</f>
        <v>0</v>
      </c>
      <c r="H45" s="27">
        <f>SUMIFS(CT!$H$5:$H$143,CT!$E$5:$E$143,DMTK!B45)</f>
        <v>0</v>
      </c>
      <c r="I45" s="13">
        <f>IF(OR(LEFT(B45,3)="152",LEFT(B45,3)="153",LEFT(B45,3)="155",LEFT(B45,3)="156",LEFT(B45,3)="157"),E45+SUMIFS(CT!$F$5:$F$143,CT!$D$5:$D$143,DMTK!B45)-SUMIFS(CT!$F$5:$F$143,CT!$E$5:$E$143,DMTK!B45),0)</f>
        <v>0</v>
      </c>
      <c r="J45" s="28">
        <f t="shared" si="0"/>
        <v>300000</v>
      </c>
      <c r="K45" s="13">
        <f t="shared" si="1"/>
        <v>300000</v>
      </c>
      <c r="L45" s="13">
        <f t="shared" si="2"/>
        <v>0</v>
      </c>
      <c r="M45" s="29"/>
      <c r="N45" s="13"/>
      <c r="O45" s="23"/>
      <c r="P45" s="13"/>
      <c r="Q45" s="23" t="s">
        <v>224</v>
      </c>
    </row>
    <row r="46" spans="1:17" ht="16.5" customHeight="1" x14ac:dyDescent="0.3">
      <c r="A46" s="23" t="s">
        <v>289</v>
      </c>
      <c r="B46" s="24" t="s">
        <v>304</v>
      </c>
      <c r="C46" s="25" t="s">
        <v>222</v>
      </c>
      <c r="D46" s="8" t="s">
        <v>305</v>
      </c>
      <c r="E46" s="26"/>
      <c r="F46" s="13">
        <v>1500000</v>
      </c>
      <c r="G46" s="27">
        <f>SUMIFS(CT!$H$5:$H$143,CT!$D$5:$D$143,DMTK!B46)</f>
        <v>0</v>
      </c>
      <c r="H46" s="27">
        <f>SUMIFS(CT!$H$5:$H$143,CT!$E$5:$E$143,DMTK!B46)</f>
        <v>0</v>
      </c>
      <c r="I46" s="13">
        <f>IF(OR(LEFT(B46,3)="152",LEFT(B46,3)="153",LEFT(B46,3)="155",LEFT(B46,3)="156",LEFT(B46,3)="157"),E46+SUMIFS(CT!$F$5:$F$143,CT!$D$5:$D$143,DMTK!B46)-SUMIFS(CT!$F$5:$F$143,CT!$E$5:$E$143,DMTK!B46),0)</f>
        <v>0</v>
      </c>
      <c r="J46" s="28">
        <f t="shared" si="0"/>
        <v>1500000</v>
      </c>
      <c r="K46" s="13">
        <f t="shared" si="1"/>
        <v>1500000</v>
      </c>
      <c r="L46" s="13">
        <f t="shared" si="2"/>
        <v>0</v>
      </c>
      <c r="M46" s="29"/>
      <c r="N46" s="13"/>
      <c r="O46" s="23"/>
      <c r="P46" s="13"/>
      <c r="Q46" s="23" t="s">
        <v>224</v>
      </c>
    </row>
    <row r="47" spans="1:17" ht="16.5" customHeight="1" x14ac:dyDescent="0.3">
      <c r="A47" s="23" t="s">
        <v>289</v>
      </c>
      <c r="B47" s="24" t="s">
        <v>306</v>
      </c>
      <c r="C47" s="25" t="s">
        <v>222</v>
      </c>
      <c r="D47" s="8" t="s">
        <v>307</v>
      </c>
      <c r="E47" s="26"/>
      <c r="F47" s="13">
        <v>500000</v>
      </c>
      <c r="G47" s="27">
        <f>SUMIFS(CT!$H$5:$H$143,CT!$D$5:$D$143,DMTK!B47)</f>
        <v>0</v>
      </c>
      <c r="H47" s="27">
        <f>SUMIFS(CT!$H$5:$H$143,CT!$E$5:$E$143,DMTK!B47)</f>
        <v>0</v>
      </c>
      <c r="I47" s="13">
        <f>IF(OR(LEFT(B47,3)="152",LEFT(B47,3)="153",LEFT(B47,3)="155",LEFT(B47,3)="156",LEFT(B47,3)="157"),E47+SUMIFS(CT!$F$5:$F$143,CT!$D$5:$D$143,DMTK!B47)-SUMIFS(CT!$F$5:$F$143,CT!$E$5:$E$143,DMTK!B47),0)</f>
        <v>0</v>
      </c>
      <c r="J47" s="28">
        <f t="shared" si="0"/>
        <v>500000</v>
      </c>
      <c r="K47" s="13">
        <f t="shared" si="1"/>
        <v>500000</v>
      </c>
      <c r="L47" s="13">
        <f t="shared" si="2"/>
        <v>0</v>
      </c>
      <c r="M47" s="29"/>
      <c r="N47" s="13"/>
      <c r="O47" s="23"/>
      <c r="P47" s="13"/>
      <c r="Q47" s="23" t="s">
        <v>224</v>
      </c>
    </row>
    <row r="48" spans="1:17" ht="16.5" customHeight="1" x14ac:dyDescent="0.3">
      <c r="A48" s="23" t="s">
        <v>308</v>
      </c>
      <c r="B48" s="24" t="s">
        <v>309</v>
      </c>
      <c r="C48" s="25" t="s">
        <v>222</v>
      </c>
      <c r="D48" s="23" t="s">
        <v>310</v>
      </c>
      <c r="E48" s="26"/>
      <c r="F48" s="13">
        <v>0</v>
      </c>
      <c r="G48" s="27">
        <f>SUMIFS(CT!$H$5:$H$143,CT!$D$5:$D$143,DMTK!B48)</f>
        <v>0</v>
      </c>
      <c r="H48" s="27">
        <f>SUMIFS(CT!$H$5:$H$143,CT!$E$5:$E$143,DMTK!B48)</f>
        <v>0</v>
      </c>
      <c r="I48" s="13">
        <f>IF(OR(LEFT(B48,3)="152",LEFT(B48,3)="153",LEFT(B48,3)="155",LEFT(B48,3)="156",LEFT(B48,3)="157"),E48+SUMIFS(CT!$F$5:$F$143,CT!$D$5:$D$143,DMTK!B48)-SUMIFS(CT!$F$5:$F$143,CT!$E$5:$E$143,DMTK!B48),0)</f>
        <v>0</v>
      </c>
      <c r="J48" s="28">
        <f t="shared" si="0"/>
        <v>0</v>
      </c>
      <c r="K48" s="13">
        <f t="shared" si="1"/>
        <v>0</v>
      </c>
      <c r="L48" s="13">
        <f t="shared" si="2"/>
        <v>0</v>
      </c>
      <c r="M48" s="29"/>
      <c r="N48" s="13"/>
      <c r="O48" s="23"/>
      <c r="P48" s="13"/>
      <c r="Q48" s="23" t="s">
        <v>224</v>
      </c>
    </row>
    <row r="49" spans="1:17" ht="16.5" customHeight="1" x14ac:dyDescent="0.3">
      <c r="A49" s="23" t="s">
        <v>308</v>
      </c>
      <c r="B49" s="24" t="s">
        <v>66</v>
      </c>
      <c r="C49" s="25" t="s">
        <v>222</v>
      </c>
      <c r="D49" s="23" t="s">
        <v>311</v>
      </c>
      <c r="E49" s="26">
        <v>10</v>
      </c>
      <c r="F49" s="13">
        <v>33000000</v>
      </c>
      <c r="G49" s="27">
        <f>SUMIFS(CT!$H$5:$H$143,CT!$D$5:$D$143,DMTK!B49)</f>
        <v>0</v>
      </c>
      <c r="H49" s="27">
        <f>SUMIFS(CT!$H$5:$H$143,CT!$E$5:$E$143,DMTK!B49)</f>
        <v>13200000</v>
      </c>
      <c r="I49" s="13">
        <f>IF(OR(LEFT(B49,3)="152",LEFT(B49,3)="153",LEFT(B49,3)="155",LEFT(B49,3)="156",LEFT(B49,3)="157"),E49+SUMIFS(CT!$F$5:$F$143,CT!$D$5:$D$143,DMTK!B49)-SUMIFS(CT!$F$5:$F$143,CT!$E$5:$E$143,DMTK!B49),0)</f>
        <v>6</v>
      </c>
      <c r="J49" s="28">
        <f t="shared" si="0"/>
        <v>19800000</v>
      </c>
      <c r="K49" s="13">
        <f t="shared" si="1"/>
        <v>33000000</v>
      </c>
      <c r="L49" s="13">
        <f t="shared" si="2"/>
        <v>0</v>
      </c>
      <c r="M49" s="29"/>
      <c r="N49" s="13"/>
      <c r="O49" s="23"/>
      <c r="P49" s="13"/>
      <c r="Q49" s="23" t="s">
        <v>312</v>
      </c>
    </row>
    <row r="50" spans="1:17" ht="16.5" customHeight="1" x14ac:dyDescent="0.3">
      <c r="A50" s="23" t="s">
        <v>308</v>
      </c>
      <c r="B50" s="24" t="s">
        <v>39</v>
      </c>
      <c r="C50" s="25" t="s">
        <v>222</v>
      </c>
      <c r="D50" s="23" t="s">
        <v>313</v>
      </c>
      <c r="E50" s="26">
        <v>5</v>
      </c>
      <c r="F50" s="13">
        <v>22000000</v>
      </c>
      <c r="G50" s="27">
        <f>SUMIFS(CT!$H$5:$H$143,CT!$D$5:$D$143,DMTK!B50)</f>
        <v>22500000</v>
      </c>
      <c r="H50" s="27">
        <f>SUMIFS(CT!$H$5:$H$143,CT!$E$5:$E$143,DMTK!B50)</f>
        <v>0</v>
      </c>
      <c r="I50" s="13">
        <f>IF(OR(LEFT(B50,3)="152",LEFT(B50,3)="153",LEFT(B50,3)="155",LEFT(B50,3)="156",LEFT(B50,3)="157"),E50+SUMIFS(CT!$F$5:$F$143,CT!$D$5:$D$143,DMTK!B50)-SUMIFS(CT!$F$5:$F$143,CT!$E$5:$E$143,DMTK!B50),0)</f>
        <v>10</v>
      </c>
      <c r="J50" s="28">
        <f t="shared" si="0"/>
        <v>44500000</v>
      </c>
      <c r="K50" s="13">
        <f t="shared" si="1"/>
        <v>22000000</v>
      </c>
      <c r="L50" s="13">
        <f t="shared" si="2"/>
        <v>0</v>
      </c>
      <c r="M50" s="29"/>
      <c r="N50" s="13"/>
      <c r="O50" s="23"/>
      <c r="P50" s="13"/>
      <c r="Q50" s="23" t="s">
        <v>312</v>
      </c>
    </row>
    <row r="51" spans="1:17" ht="16.5" customHeight="1" x14ac:dyDescent="0.3">
      <c r="A51" s="23" t="s">
        <v>308</v>
      </c>
      <c r="B51" s="24" t="s">
        <v>314</v>
      </c>
      <c r="C51" s="25" t="s">
        <v>222</v>
      </c>
      <c r="D51" s="23" t="s">
        <v>315</v>
      </c>
      <c r="E51" s="26">
        <v>4</v>
      </c>
      <c r="F51" s="13">
        <v>14400000</v>
      </c>
      <c r="G51" s="27">
        <f>SUMIFS(CT!$H$5:$H$143,CT!$D$5:$D$143,DMTK!B51)</f>
        <v>0</v>
      </c>
      <c r="H51" s="27">
        <f>SUMIFS(CT!$H$5:$H$143,CT!$E$5:$E$143,DMTK!B51)</f>
        <v>0</v>
      </c>
      <c r="I51" s="13">
        <f>IF(OR(LEFT(B51,3)="152",LEFT(B51,3)="153",LEFT(B51,3)="155",LEFT(B51,3)="156",LEFT(B51,3)="157"),E51+SUMIFS(CT!$F$5:$F$143,CT!$D$5:$D$143,DMTK!B51)-SUMIFS(CT!$F$5:$F$143,CT!$E$5:$E$143,DMTK!B51),0)</f>
        <v>4</v>
      </c>
      <c r="J51" s="28">
        <f t="shared" si="0"/>
        <v>14400000</v>
      </c>
      <c r="K51" s="13">
        <f t="shared" si="1"/>
        <v>14400000</v>
      </c>
      <c r="L51" s="13">
        <f t="shared" si="2"/>
        <v>0</v>
      </c>
      <c r="M51" s="29"/>
      <c r="N51" s="13"/>
      <c r="O51" s="23"/>
      <c r="P51" s="13"/>
      <c r="Q51" s="23" t="s">
        <v>312</v>
      </c>
    </row>
    <row r="52" spans="1:17" ht="16.5" customHeight="1" x14ac:dyDescent="0.3">
      <c r="A52" s="23" t="s">
        <v>308</v>
      </c>
      <c r="B52" s="24" t="s">
        <v>95</v>
      </c>
      <c r="C52" s="25" t="s">
        <v>222</v>
      </c>
      <c r="D52" s="23" t="s">
        <v>316</v>
      </c>
      <c r="E52" s="26">
        <v>200</v>
      </c>
      <c r="F52" s="13">
        <v>24000000</v>
      </c>
      <c r="G52" s="27">
        <f>SUMIFS(CT!$H$5:$H$143,CT!$D$5:$D$143,DMTK!B52)</f>
        <v>0</v>
      </c>
      <c r="H52" s="27">
        <f>SUMIFS(CT!$H$5:$H$143,CT!$E$5:$E$143,DMTK!B52)</f>
        <v>3600000</v>
      </c>
      <c r="I52" s="13">
        <f>IF(OR(LEFT(B52,3)="152",LEFT(B52,3)="153",LEFT(B52,3)="155",LEFT(B52,3)="156",LEFT(B52,3)="157"),E52+SUMIFS(CT!$F$5:$F$143,CT!$D$5:$D$143,DMTK!B52)-SUMIFS(CT!$F$5:$F$143,CT!$E$5:$E$143,DMTK!B52),0)</f>
        <v>170</v>
      </c>
      <c r="J52" s="28">
        <f t="shared" si="0"/>
        <v>20400000</v>
      </c>
      <c r="K52" s="13">
        <f t="shared" si="1"/>
        <v>24000000</v>
      </c>
      <c r="L52" s="13">
        <f t="shared" si="2"/>
        <v>0</v>
      </c>
      <c r="M52" s="29"/>
      <c r="N52" s="13"/>
      <c r="O52" s="23"/>
      <c r="P52" s="13"/>
      <c r="Q52" s="23" t="s">
        <v>317</v>
      </c>
    </row>
    <row r="53" spans="1:17" ht="16.5" customHeight="1" x14ac:dyDescent="0.3">
      <c r="A53" s="23" t="s">
        <v>308</v>
      </c>
      <c r="B53" s="24" t="s">
        <v>318</v>
      </c>
      <c r="C53" s="25" t="s">
        <v>222</v>
      </c>
      <c r="D53" s="23" t="s">
        <v>319</v>
      </c>
      <c r="E53" s="26">
        <v>300</v>
      </c>
      <c r="F53" s="13">
        <v>31200000</v>
      </c>
      <c r="G53" s="27">
        <f>SUMIFS(CT!$H$5:$H$143,CT!$D$5:$D$143,DMTK!B53)</f>
        <v>0</v>
      </c>
      <c r="H53" s="27">
        <f>SUMIFS(CT!$H$5:$H$143,CT!$E$5:$E$143,DMTK!B53)</f>
        <v>0</v>
      </c>
      <c r="I53" s="13">
        <f>IF(OR(LEFT(B53,3)="152",LEFT(B53,3)="153",LEFT(B53,3)="155",LEFT(B53,3)="156",LEFT(B53,3)="157"),E53+SUMIFS(CT!$F$5:$F$143,CT!$D$5:$D$143,DMTK!B53)-SUMIFS(CT!$F$5:$F$143,CT!$E$5:$E$143,DMTK!B53),0)</f>
        <v>300</v>
      </c>
      <c r="J53" s="28">
        <f t="shared" si="0"/>
        <v>31200000</v>
      </c>
      <c r="K53" s="13">
        <f t="shared" si="1"/>
        <v>31200000</v>
      </c>
      <c r="L53" s="13">
        <f t="shared" si="2"/>
        <v>0</v>
      </c>
      <c r="M53" s="29"/>
      <c r="N53" s="13"/>
      <c r="O53" s="23"/>
      <c r="P53" s="13"/>
      <c r="Q53" s="23" t="s">
        <v>317</v>
      </c>
    </row>
    <row r="54" spans="1:17" ht="16.5" customHeight="1" x14ac:dyDescent="0.3">
      <c r="A54" s="23" t="s">
        <v>308</v>
      </c>
      <c r="B54" s="24" t="s">
        <v>320</v>
      </c>
      <c r="C54" s="25" t="s">
        <v>222</v>
      </c>
      <c r="D54" s="23" t="s">
        <v>321</v>
      </c>
      <c r="E54" s="26">
        <v>100</v>
      </c>
      <c r="F54" s="13">
        <v>10000000</v>
      </c>
      <c r="G54" s="27">
        <f>SUMIFS(CT!$H$5:$H$143,CT!$D$5:$D$143,DMTK!B54)</f>
        <v>0</v>
      </c>
      <c r="H54" s="27">
        <f>SUMIFS(CT!$H$5:$H$143,CT!$E$5:$E$143,DMTK!B54)</f>
        <v>0</v>
      </c>
      <c r="I54" s="13">
        <f>IF(OR(LEFT(B54,3)="152",LEFT(B54,3)="153",LEFT(B54,3)="155",LEFT(B54,3)="156",LEFT(B54,3)="157"),E54+SUMIFS(CT!$F$5:$F$143,CT!$D$5:$D$143,DMTK!B54)-SUMIFS(CT!$F$5:$F$143,CT!$E$5:$E$143,DMTK!B54),0)</f>
        <v>100</v>
      </c>
      <c r="J54" s="28">
        <f t="shared" si="0"/>
        <v>10000000</v>
      </c>
      <c r="K54" s="13">
        <f t="shared" si="1"/>
        <v>10000000</v>
      </c>
      <c r="L54" s="13">
        <f t="shared" si="2"/>
        <v>0</v>
      </c>
      <c r="M54" s="29"/>
      <c r="N54" s="13"/>
      <c r="O54" s="23"/>
      <c r="P54" s="13"/>
      <c r="Q54" s="23" t="s">
        <v>317</v>
      </c>
    </row>
    <row r="55" spans="1:17" ht="16.5" customHeight="1" x14ac:dyDescent="0.3">
      <c r="A55" s="23" t="s">
        <v>308</v>
      </c>
      <c r="B55" s="24" t="s">
        <v>55</v>
      </c>
      <c r="C55" s="25" t="s">
        <v>222</v>
      </c>
      <c r="D55" s="23" t="s">
        <v>322</v>
      </c>
      <c r="E55" s="26">
        <v>50</v>
      </c>
      <c r="F55" s="13">
        <v>1200000</v>
      </c>
      <c r="G55" s="27">
        <f>SUMIFS(CT!$H$5:$H$143,CT!$D$5:$D$143,DMTK!B55)</f>
        <v>5000000</v>
      </c>
      <c r="H55" s="27">
        <f>SUMIFS(CT!$H$5:$H$143,CT!$E$5:$E$143,DMTK!B55)</f>
        <v>0</v>
      </c>
      <c r="I55" s="13">
        <f>IF(OR(LEFT(B55,3)="152",LEFT(B55,3)="153",LEFT(B55,3)="155",LEFT(B55,3)="156",LEFT(B55,3)="157"),E55+SUMIFS(CT!$F$5:$F$143,CT!$D$5:$D$143,DMTK!B55)-SUMIFS(CT!$F$5:$F$143,CT!$E$5:$E$143,DMTK!B55),0)</f>
        <v>250</v>
      </c>
      <c r="J55" s="28">
        <f t="shared" si="0"/>
        <v>6200000</v>
      </c>
      <c r="K55" s="13">
        <f t="shared" si="1"/>
        <v>1200000</v>
      </c>
      <c r="L55" s="13">
        <f t="shared" si="2"/>
        <v>0</v>
      </c>
      <c r="M55" s="29"/>
      <c r="N55" s="13"/>
      <c r="O55" s="23"/>
      <c r="P55" s="13"/>
      <c r="Q55" s="23" t="s">
        <v>323</v>
      </c>
    </row>
    <row r="56" spans="1:17" ht="16.5" customHeight="1" x14ac:dyDescent="0.3">
      <c r="A56" s="23" t="s">
        <v>308</v>
      </c>
      <c r="B56" s="24" t="s">
        <v>59</v>
      </c>
      <c r="C56" s="25" t="s">
        <v>222</v>
      </c>
      <c r="D56" s="23" t="s">
        <v>324</v>
      </c>
      <c r="E56" s="26">
        <v>150</v>
      </c>
      <c r="F56" s="13">
        <v>7200000</v>
      </c>
      <c r="G56" s="27">
        <f>SUMIFS(CT!$H$5:$H$143,CT!$D$5:$D$143,DMTK!B56)</f>
        <v>0</v>
      </c>
      <c r="H56" s="27">
        <f>SUMIFS(CT!$H$5:$H$143,CT!$E$5:$E$143,DMTK!B56)</f>
        <v>480000</v>
      </c>
      <c r="I56" s="13">
        <f>IF(OR(LEFT(B56,3)="152",LEFT(B56,3)="153",LEFT(B56,3)="155",LEFT(B56,3)="156",LEFT(B56,3)="157"),E56+SUMIFS(CT!$F$5:$F$143,CT!$D$5:$D$143,DMTK!B56)-SUMIFS(CT!$F$5:$F$143,CT!$E$5:$E$143,DMTK!B56),0)</f>
        <v>140</v>
      </c>
      <c r="J56" s="28">
        <f t="shared" si="0"/>
        <v>6720000</v>
      </c>
      <c r="K56" s="13">
        <f t="shared" si="1"/>
        <v>7200000</v>
      </c>
      <c r="L56" s="13">
        <f t="shared" si="2"/>
        <v>0</v>
      </c>
      <c r="M56" s="29"/>
      <c r="N56" s="13"/>
      <c r="O56" s="23"/>
      <c r="P56" s="13"/>
      <c r="Q56" s="23" t="s">
        <v>323</v>
      </c>
    </row>
    <row r="57" spans="1:17" ht="16.5" customHeight="1" x14ac:dyDescent="0.3">
      <c r="A57" s="23" t="s">
        <v>308</v>
      </c>
      <c r="B57" s="24" t="s">
        <v>90</v>
      </c>
      <c r="C57" s="25" t="s">
        <v>222</v>
      </c>
      <c r="D57" s="23" t="s">
        <v>325</v>
      </c>
      <c r="E57" s="26">
        <v>500</v>
      </c>
      <c r="F57" s="13">
        <v>1150000</v>
      </c>
      <c r="G57" s="27">
        <f>SUMIFS(CT!$H$5:$H$143,CT!$D$5:$D$143,DMTK!B57)</f>
        <v>0</v>
      </c>
      <c r="H57" s="27">
        <f>SUMIFS(CT!$H$5:$H$143,CT!$E$5:$E$143,DMTK!B57)</f>
        <v>46000</v>
      </c>
      <c r="I57" s="13">
        <f>IF(OR(LEFT(B57,3)="152",LEFT(B57,3)="153",LEFT(B57,3)="155",LEFT(B57,3)="156",LEFT(B57,3)="157"),E57+SUMIFS(CT!$F$5:$F$143,CT!$D$5:$D$143,DMTK!B57)-SUMIFS(CT!$F$5:$F$143,CT!$E$5:$E$143,DMTK!B57),0)</f>
        <v>480</v>
      </c>
      <c r="J57" s="28">
        <f t="shared" si="0"/>
        <v>1104000</v>
      </c>
      <c r="K57" s="13">
        <f t="shared" si="1"/>
        <v>1150000</v>
      </c>
      <c r="L57" s="13">
        <f t="shared" si="2"/>
        <v>0</v>
      </c>
      <c r="M57" s="29"/>
      <c r="N57" s="13"/>
      <c r="O57" s="23"/>
      <c r="P57" s="13"/>
      <c r="Q57" s="23" t="s">
        <v>326</v>
      </c>
    </row>
    <row r="58" spans="1:17" ht="16.5" customHeight="1" x14ac:dyDescent="0.3">
      <c r="A58" s="23" t="s">
        <v>308</v>
      </c>
      <c r="B58" s="24" t="s">
        <v>50</v>
      </c>
      <c r="C58" s="25" t="s">
        <v>222</v>
      </c>
      <c r="D58" s="23" t="s">
        <v>327</v>
      </c>
      <c r="E58" s="26">
        <v>100</v>
      </c>
      <c r="F58" s="13">
        <v>1500000</v>
      </c>
      <c r="G58" s="27">
        <f>SUMIFS(CT!$H$5:$H$143,CT!$D$5:$D$143,DMTK!B58)</f>
        <v>3200000</v>
      </c>
      <c r="H58" s="27">
        <f>SUMIFS(CT!$H$5:$H$143,CT!$E$5:$E$143,DMTK!B58)</f>
        <v>469980</v>
      </c>
      <c r="I58" s="13">
        <f>IF(OR(LEFT(B58,3)="152",LEFT(B58,3)="153",LEFT(B58,3)="155",LEFT(B58,3)="156",LEFT(B58,3)="157"),E58+SUMIFS(CT!$F$5:$F$143,CT!$D$5:$D$143,DMTK!B58)-SUMIFS(CT!$F$5:$F$143,CT!$E$5:$E$143,DMTK!B58),0)</f>
        <v>270</v>
      </c>
      <c r="J58" s="28">
        <f t="shared" si="0"/>
        <v>4230020</v>
      </c>
      <c r="K58" s="13">
        <f t="shared" si="1"/>
        <v>1500000</v>
      </c>
      <c r="L58" s="13">
        <f t="shared" si="2"/>
        <v>0</v>
      </c>
      <c r="M58" s="29"/>
      <c r="N58" s="13"/>
      <c r="O58" s="23"/>
      <c r="P58" s="13"/>
      <c r="Q58" s="23" t="s">
        <v>326</v>
      </c>
    </row>
    <row r="59" spans="1:17" ht="16.5" customHeight="1" x14ac:dyDescent="0.3">
      <c r="A59" s="23" t="s">
        <v>308</v>
      </c>
      <c r="B59" s="24" t="s">
        <v>328</v>
      </c>
      <c r="C59" s="25" t="s">
        <v>222</v>
      </c>
      <c r="D59" s="23" t="s">
        <v>329</v>
      </c>
      <c r="E59" s="26">
        <v>50</v>
      </c>
      <c r="F59" s="13">
        <v>850000</v>
      </c>
      <c r="G59" s="27">
        <f>SUMIFS(CT!$H$5:$H$143,CT!$D$5:$D$143,DMTK!B59)</f>
        <v>0</v>
      </c>
      <c r="H59" s="27">
        <f>SUMIFS(CT!$H$5:$H$143,CT!$E$5:$E$143,DMTK!B59)</f>
        <v>0</v>
      </c>
      <c r="I59" s="13">
        <f>IF(OR(LEFT(B59,3)="152",LEFT(B59,3)="153",LEFT(B59,3)="155",LEFT(B59,3)="156",LEFT(B59,3)="157"),E59+SUMIFS(CT!$F$5:$F$143,CT!$D$5:$D$143,DMTK!B59)-SUMIFS(CT!$F$5:$F$143,CT!$E$5:$E$143,DMTK!B59),0)</f>
        <v>50</v>
      </c>
      <c r="J59" s="28">
        <f t="shared" si="0"/>
        <v>850000</v>
      </c>
      <c r="K59" s="13">
        <f t="shared" si="1"/>
        <v>850000</v>
      </c>
      <c r="L59" s="13">
        <f t="shared" si="2"/>
        <v>0</v>
      </c>
      <c r="M59" s="29"/>
      <c r="N59" s="13"/>
      <c r="O59" s="23"/>
      <c r="P59" s="13"/>
      <c r="Q59" s="23" t="s">
        <v>326</v>
      </c>
    </row>
    <row r="60" spans="1:17" ht="16.5" customHeight="1" x14ac:dyDescent="0.3">
      <c r="A60" s="23" t="s">
        <v>308</v>
      </c>
      <c r="B60" s="24" t="s">
        <v>48</v>
      </c>
      <c r="C60" s="25" t="s">
        <v>222</v>
      </c>
      <c r="D60" s="23" t="s">
        <v>330</v>
      </c>
      <c r="E60" s="26">
        <v>80</v>
      </c>
      <c r="F60" s="13">
        <v>1040000</v>
      </c>
      <c r="G60" s="27">
        <f>SUMIFS(CT!$H$5:$H$143,CT!$D$5:$D$143,DMTK!B60)</f>
        <v>1500000</v>
      </c>
      <c r="H60" s="27">
        <f>SUMIFS(CT!$H$5:$H$143,CT!$E$5:$E$143,DMTK!B60)</f>
        <v>282220</v>
      </c>
      <c r="I60" s="13">
        <f>IF(OR(LEFT(B60,3)="152",LEFT(B60,3)="153",LEFT(B60,3)="155",LEFT(B60,3)="156",LEFT(B60,3)="157"),E60+SUMIFS(CT!$F$5:$F$143,CT!$D$5:$D$143,DMTK!B60)-SUMIFS(CT!$F$5:$F$143,CT!$E$5:$E$143,DMTK!B60),0)</f>
        <v>160</v>
      </c>
      <c r="J60" s="28">
        <f t="shared" si="0"/>
        <v>2257780</v>
      </c>
      <c r="K60" s="13">
        <f t="shared" si="1"/>
        <v>1040000</v>
      </c>
      <c r="L60" s="13">
        <f t="shared" si="2"/>
        <v>0</v>
      </c>
      <c r="M60" s="29"/>
      <c r="N60" s="13"/>
      <c r="O60" s="23"/>
      <c r="P60" s="13"/>
      <c r="Q60" s="23" t="s">
        <v>326</v>
      </c>
    </row>
    <row r="61" spans="1:17" ht="16.5" customHeight="1" x14ac:dyDescent="0.3">
      <c r="A61" s="23" t="s">
        <v>308</v>
      </c>
      <c r="B61" s="24" t="s">
        <v>331</v>
      </c>
      <c r="C61" s="25" t="s">
        <v>222</v>
      </c>
      <c r="D61" s="23" t="s">
        <v>332</v>
      </c>
      <c r="E61" s="26"/>
      <c r="F61" s="13">
        <v>0</v>
      </c>
      <c r="G61" s="27">
        <f>SUMIFS(CT!$H$5:$H$143,CT!$D$5:$D$143,DMTK!B61)</f>
        <v>0</v>
      </c>
      <c r="H61" s="27">
        <f>SUMIFS(CT!$H$5:$H$143,CT!$E$5:$E$143,DMTK!B61)</f>
        <v>0</v>
      </c>
      <c r="I61" s="13">
        <f>IF(OR(LEFT(B61,3)="152",LEFT(B61,3)="153",LEFT(B61,3)="155",LEFT(B61,3)="156",LEFT(B61,3)="157"),E61+SUMIFS(CT!$F$5:$F$143,CT!$D$5:$D$143,DMTK!B61)-SUMIFS(CT!$F$5:$F$143,CT!$E$5:$E$143,DMTK!B61),0)</f>
        <v>0</v>
      </c>
      <c r="J61" s="28">
        <f t="shared" si="0"/>
        <v>0</v>
      </c>
      <c r="K61" s="13">
        <f t="shared" si="1"/>
        <v>0</v>
      </c>
      <c r="L61" s="13">
        <f t="shared" si="2"/>
        <v>0</v>
      </c>
      <c r="M61" s="29"/>
      <c r="N61" s="13"/>
      <c r="O61" s="23"/>
      <c r="P61" s="13"/>
      <c r="Q61" s="23" t="s">
        <v>224</v>
      </c>
    </row>
    <row r="62" spans="1:17" ht="16.5" customHeight="1" x14ac:dyDescent="0.3">
      <c r="A62" s="23" t="s">
        <v>308</v>
      </c>
      <c r="B62" s="24" t="s">
        <v>102</v>
      </c>
      <c r="C62" s="25" t="s">
        <v>222</v>
      </c>
      <c r="D62" s="23" t="s">
        <v>333</v>
      </c>
      <c r="E62" s="26">
        <v>15</v>
      </c>
      <c r="F62" s="13">
        <v>7500000</v>
      </c>
      <c r="G62" s="27">
        <f>SUMIFS(CT!$H$5:$H$143,CT!$D$5:$D$143,DMTK!B62)</f>
        <v>0</v>
      </c>
      <c r="H62" s="27">
        <f>SUMIFS(CT!$H$5:$H$143,CT!$E$5:$E$143,DMTK!B62)</f>
        <v>2500000</v>
      </c>
      <c r="I62" s="13">
        <f>IF(OR(LEFT(B62,3)="152",LEFT(B62,3)="153",LEFT(B62,3)="155",LEFT(B62,3)="156",LEFT(B62,3)="157"),E62+SUMIFS(CT!$F$5:$F$143,CT!$D$5:$D$143,DMTK!B62)-SUMIFS(CT!$F$5:$F$143,CT!$E$5:$E$143,DMTK!B62),0)</f>
        <v>10</v>
      </c>
      <c r="J62" s="28">
        <f t="shared" si="0"/>
        <v>5000000</v>
      </c>
      <c r="K62" s="13">
        <f t="shared" si="1"/>
        <v>7500000</v>
      </c>
      <c r="L62" s="13">
        <f t="shared" si="2"/>
        <v>0</v>
      </c>
      <c r="M62" s="29"/>
      <c r="N62" s="13"/>
      <c r="O62" s="23"/>
      <c r="P62" s="13"/>
      <c r="Q62" s="23" t="s">
        <v>334</v>
      </c>
    </row>
    <row r="63" spans="1:17" ht="16.5" customHeight="1" x14ac:dyDescent="0.3">
      <c r="A63" s="23" t="s">
        <v>308</v>
      </c>
      <c r="B63" s="24" t="s">
        <v>99</v>
      </c>
      <c r="C63" s="25" t="s">
        <v>222</v>
      </c>
      <c r="D63" s="23" t="s">
        <v>335</v>
      </c>
      <c r="E63" s="26">
        <v>20</v>
      </c>
      <c r="F63" s="13">
        <v>5000000</v>
      </c>
      <c r="G63" s="27">
        <f>SUMIFS(CT!$H$5:$H$143,CT!$D$5:$D$143,DMTK!B63)</f>
        <v>0</v>
      </c>
      <c r="H63" s="27">
        <f>SUMIFS(CT!$H$5:$H$143,CT!$E$5:$E$143,DMTK!B63)</f>
        <v>1000000</v>
      </c>
      <c r="I63" s="13">
        <f>IF(OR(LEFT(B63,3)="152",LEFT(B63,3)="153",LEFT(B63,3)="155",LEFT(B63,3)="156",LEFT(B63,3)="157"),E63+SUMIFS(CT!$F$5:$F$143,CT!$D$5:$D$143,DMTK!B63)-SUMIFS(CT!$F$5:$F$143,CT!$E$5:$E$143,DMTK!B63),0)</f>
        <v>16</v>
      </c>
      <c r="J63" s="28">
        <f t="shared" si="0"/>
        <v>4000000</v>
      </c>
      <c r="K63" s="13">
        <f t="shared" si="1"/>
        <v>5000000</v>
      </c>
      <c r="L63" s="13">
        <f t="shared" si="2"/>
        <v>0</v>
      </c>
      <c r="M63" s="29"/>
      <c r="N63" s="13"/>
      <c r="O63" s="23"/>
      <c r="P63" s="13"/>
      <c r="Q63" s="23" t="s">
        <v>334</v>
      </c>
    </row>
    <row r="64" spans="1:17" ht="16.5" customHeight="1" x14ac:dyDescent="0.3">
      <c r="A64" s="23" t="s">
        <v>308</v>
      </c>
      <c r="B64" s="24" t="s">
        <v>106</v>
      </c>
      <c r="C64" s="25" t="s">
        <v>222</v>
      </c>
      <c r="D64" s="23" t="s">
        <v>336</v>
      </c>
      <c r="E64" s="26">
        <v>100</v>
      </c>
      <c r="F64" s="13">
        <v>1000000</v>
      </c>
      <c r="G64" s="27">
        <f>SUMIFS(CT!$H$5:$H$143,CT!$D$5:$D$143,DMTK!B64)</f>
        <v>0</v>
      </c>
      <c r="H64" s="27">
        <f>SUMIFS(CT!$H$5:$H$143,CT!$E$5:$E$143,DMTK!B64)</f>
        <v>100000</v>
      </c>
      <c r="I64" s="13">
        <f>IF(OR(LEFT(B64,3)="152",LEFT(B64,3)="153",LEFT(B64,3)="155",LEFT(B64,3)="156",LEFT(B64,3)="157"),E64+SUMIFS(CT!$F$5:$F$143,CT!$D$5:$D$143,DMTK!B64)-SUMIFS(CT!$F$5:$F$143,CT!$E$5:$E$143,DMTK!B64),0)</f>
        <v>90</v>
      </c>
      <c r="J64" s="28">
        <f t="shared" si="0"/>
        <v>900000</v>
      </c>
      <c r="K64" s="13">
        <f t="shared" si="1"/>
        <v>1000000</v>
      </c>
      <c r="L64" s="13">
        <f t="shared" si="2"/>
        <v>0</v>
      </c>
      <c r="M64" s="29"/>
      <c r="N64" s="13"/>
      <c r="O64" s="23"/>
      <c r="P64" s="13"/>
      <c r="Q64" s="23" t="s">
        <v>337</v>
      </c>
    </row>
    <row r="65" spans="1:17" ht="16.5" customHeight="1" x14ac:dyDescent="0.3">
      <c r="A65" s="23" t="s">
        <v>308</v>
      </c>
      <c r="B65" s="24" t="s">
        <v>108</v>
      </c>
      <c r="C65" s="25" t="s">
        <v>222</v>
      </c>
      <c r="D65" s="23" t="s">
        <v>338</v>
      </c>
      <c r="E65" s="26">
        <v>400</v>
      </c>
      <c r="F65" s="13">
        <v>2000000</v>
      </c>
      <c r="G65" s="27">
        <f>SUMIFS(CT!$H$5:$H$143,CT!$D$5:$D$143,DMTK!B65)</f>
        <v>0</v>
      </c>
      <c r="H65" s="27">
        <f>SUMIFS(CT!$H$5:$H$143,CT!$E$5:$E$143,DMTK!B65)</f>
        <v>100000</v>
      </c>
      <c r="I65" s="13">
        <f>IF(OR(LEFT(B65,3)="152",LEFT(B65,3)="153",LEFT(B65,3)="155",LEFT(B65,3)="156",LEFT(B65,3)="157"),E65+SUMIFS(CT!$F$5:$F$143,CT!$D$5:$D$143,DMTK!B65)-SUMIFS(CT!$F$5:$F$143,CT!$E$5:$E$143,DMTK!B65),0)</f>
        <v>380</v>
      </c>
      <c r="J65" s="28">
        <f t="shared" si="0"/>
        <v>1900000</v>
      </c>
      <c r="K65" s="13">
        <f t="shared" si="1"/>
        <v>2000000</v>
      </c>
      <c r="L65" s="13">
        <f t="shared" si="2"/>
        <v>0</v>
      </c>
      <c r="M65" s="29"/>
      <c r="N65" s="13"/>
      <c r="O65" s="23"/>
      <c r="P65" s="13"/>
      <c r="Q65" s="23" t="s">
        <v>337</v>
      </c>
    </row>
    <row r="66" spans="1:17" ht="16.5" customHeight="1" x14ac:dyDescent="0.3">
      <c r="A66" s="23" t="s">
        <v>308</v>
      </c>
      <c r="B66" s="24" t="s">
        <v>110</v>
      </c>
      <c r="C66" s="25" t="s">
        <v>222</v>
      </c>
      <c r="D66" s="23" t="s">
        <v>339</v>
      </c>
      <c r="E66" s="26">
        <v>100</v>
      </c>
      <c r="F66" s="13">
        <v>1000000</v>
      </c>
      <c r="G66" s="27">
        <f>SUMIFS(CT!$H$5:$H$143,CT!$D$5:$D$143,DMTK!B66)</f>
        <v>0</v>
      </c>
      <c r="H66" s="27">
        <f>SUMIFS(CT!$H$5:$H$143,CT!$E$5:$E$143,DMTK!B66)</f>
        <v>300000</v>
      </c>
      <c r="I66" s="13">
        <f>IF(OR(LEFT(B66,3)="152",LEFT(B66,3)="153",LEFT(B66,3)="155",LEFT(B66,3)="156",LEFT(B66,3)="157"),E66+SUMIFS(CT!$F$5:$F$143,CT!$D$5:$D$143,DMTK!B66)-SUMIFS(CT!$F$5:$F$143,CT!$E$5:$E$143,DMTK!B66),0)</f>
        <v>70</v>
      </c>
      <c r="J66" s="28">
        <f t="shared" si="0"/>
        <v>700000</v>
      </c>
      <c r="K66" s="13">
        <f t="shared" si="1"/>
        <v>1000000</v>
      </c>
      <c r="L66" s="13">
        <f t="shared" si="2"/>
        <v>0</v>
      </c>
      <c r="M66" s="29"/>
      <c r="N66" s="13"/>
      <c r="O66" s="23"/>
      <c r="P66" s="13"/>
      <c r="Q66" s="23" t="s">
        <v>337</v>
      </c>
    </row>
    <row r="67" spans="1:17" ht="16.5" customHeight="1" x14ac:dyDescent="0.3">
      <c r="A67" s="23" t="s">
        <v>340</v>
      </c>
      <c r="B67" s="24" t="s">
        <v>118</v>
      </c>
      <c r="C67" s="25" t="s">
        <v>222</v>
      </c>
      <c r="D67" s="8" t="s">
        <v>341</v>
      </c>
      <c r="E67" s="26"/>
      <c r="F67" s="13">
        <v>70000000</v>
      </c>
      <c r="G67" s="27">
        <f>SUMIFS(CT!$H$5:$H$143,CT!$D$5:$D$143,DMTK!B67)</f>
        <v>99050185</v>
      </c>
      <c r="H67" s="27">
        <f>SUMIFS(CT!$H$5:$H$143,CT!$E$5:$E$143,DMTK!B67)</f>
        <v>102060000</v>
      </c>
      <c r="I67" s="13">
        <f>IF(OR(LEFT(B67,3)="152",LEFT(B67,3)="153",LEFT(B67,3)="155",LEFT(B67,3)="156",LEFT(B67,3)="157"),E67+SUMIFS(CT!$F$5:$F$143,CT!$D$5:$D$143,DMTK!B67)-SUMIFS(CT!$F$5:$F$143,CT!$E$5:$E$143,DMTK!B67),0)</f>
        <v>0</v>
      </c>
      <c r="J67" s="28">
        <f t="shared" si="0"/>
        <v>66990185</v>
      </c>
      <c r="K67" s="13">
        <f t="shared" si="1"/>
        <v>70000000</v>
      </c>
      <c r="L67" s="13">
        <f t="shared" si="2"/>
        <v>0</v>
      </c>
      <c r="M67" s="29"/>
      <c r="N67" s="13"/>
      <c r="O67" s="23"/>
      <c r="P67" s="13"/>
      <c r="Q67" s="23" t="s">
        <v>224</v>
      </c>
    </row>
    <row r="68" spans="1:17" ht="16.5" customHeight="1" x14ac:dyDescent="0.3">
      <c r="A68" s="23" t="s">
        <v>340</v>
      </c>
      <c r="B68" s="24" t="s">
        <v>122</v>
      </c>
      <c r="C68" s="25" t="s">
        <v>222</v>
      </c>
      <c r="D68" s="8" t="s">
        <v>342</v>
      </c>
      <c r="E68" s="26"/>
      <c r="F68" s="13">
        <v>80000000</v>
      </c>
      <c r="G68" s="27">
        <f>SUMIFS(CT!$H$5:$H$143,CT!$D$5:$D$143,DMTK!B68)</f>
        <v>48800000</v>
      </c>
      <c r="H68" s="27">
        <f>SUMIFS(CT!$H$5:$H$143,CT!$E$5:$E$143,DMTK!B68)</f>
        <v>61800000</v>
      </c>
      <c r="I68" s="13">
        <f>IF(OR(LEFT(B68,3)="152",LEFT(B68,3)="153",LEFT(B68,3)="155",LEFT(B68,3)="156",LEFT(B68,3)="157"),E68+SUMIFS(CT!$F$5:$F$143,CT!$D$5:$D$143,DMTK!B68)-SUMIFS(CT!$F$5:$F$143,CT!$E$5:$E$143,DMTK!B68),0)</f>
        <v>0</v>
      </c>
      <c r="J68" s="28">
        <f t="shared" si="0"/>
        <v>67000000</v>
      </c>
      <c r="K68" s="13">
        <f t="shared" si="1"/>
        <v>80000000</v>
      </c>
      <c r="L68" s="13">
        <f t="shared" si="2"/>
        <v>0</v>
      </c>
      <c r="M68" s="29"/>
      <c r="N68" s="13"/>
      <c r="O68" s="23"/>
      <c r="P68" s="13"/>
      <c r="Q68" s="23" t="s">
        <v>224</v>
      </c>
    </row>
    <row r="69" spans="1:17" ht="16.5" customHeight="1" x14ac:dyDescent="0.3">
      <c r="A69" s="23" t="s">
        <v>340</v>
      </c>
      <c r="B69" s="24" t="s">
        <v>114</v>
      </c>
      <c r="C69" s="25" t="s">
        <v>222</v>
      </c>
      <c r="D69" s="8" t="s">
        <v>343</v>
      </c>
      <c r="E69" s="26"/>
      <c r="F69" s="13">
        <v>7000000</v>
      </c>
      <c r="G69" s="27">
        <f>SUMIFS(CT!$H$5:$H$143,CT!$D$5:$D$143,DMTK!B69)</f>
        <v>61494681</v>
      </c>
      <c r="H69" s="27">
        <f>SUMIFS(CT!$H$5:$H$143,CT!$E$5:$E$143,DMTK!B69)</f>
        <v>61500000</v>
      </c>
      <c r="I69" s="13">
        <f>IF(OR(LEFT(B69,3)="152",LEFT(B69,3)="153",LEFT(B69,3)="155",LEFT(B69,3)="156",LEFT(B69,3)="157"),E69+SUMIFS(CT!$F$5:$F$143,CT!$D$5:$D$143,DMTK!B69)-SUMIFS(CT!$F$5:$F$143,CT!$E$5:$E$143,DMTK!B69),0)</f>
        <v>0</v>
      </c>
      <c r="J69" s="28">
        <f t="shared" si="0"/>
        <v>6994681</v>
      </c>
      <c r="K69" s="13">
        <f t="shared" si="1"/>
        <v>7000000</v>
      </c>
      <c r="L69" s="13">
        <f t="shared" si="2"/>
        <v>0</v>
      </c>
      <c r="M69" s="29"/>
      <c r="N69" s="13"/>
      <c r="O69" s="23"/>
      <c r="P69" s="13"/>
      <c r="Q69" s="23" t="s">
        <v>224</v>
      </c>
    </row>
    <row r="70" spans="1:17" ht="16.5" customHeight="1" x14ac:dyDescent="0.3">
      <c r="A70" s="23" t="s">
        <v>340</v>
      </c>
      <c r="B70" s="24" t="s">
        <v>201</v>
      </c>
      <c r="C70" s="25" t="s">
        <v>222</v>
      </c>
      <c r="D70" s="8" t="s">
        <v>344</v>
      </c>
      <c r="E70" s="26"/>
      <c r="F70" s="13">
        <v>43000000</v>
      </c>
      <c r="G70" s="27">
        <f>SUMIFS(CT!$H$5:$H$143,CT!$D$5:$D$143,DMTK!B70)</f>
        <v>48800000</v>
      </c>
      <c r="H70" s="27">
        <f>SUMIFS(CT!$H$5:$H$143,CT!$E$5:$E$143,DMTK!B70)</f>
        <v>0</v>
      </c>
      <c r="I70" s="13">
        <f>IF(OR(LEFT(B70,3)="152",LEFT(B70,3)="153",LEFT(B70,3)="155",LEFT(B70,3)="156",LEFT(B70,3)="157"),E70+SUMIFS(CT!$F$5:$F$143,CT!$D$5:$D$143,DMTK!B70)-SUMIFS(CT!$F$5:$F$143,CT!$E$5:$E$143,DMTK!B70),0)</f>
        <v>0</v>
      </c>
      <c r="J70" s="28">
        <f t="shared" ref="J70:J133" si="3">IF(C70="N",F70+G70-H70,F70+H70-G70)</f>
        <v>91800000</v>
      </c>
      <c r="K70" s="13">
        <f t="shared" ref="K70:K133" si="4">IF(OR(AND(C70="N",F70&gt;0),AND(C70="C",F70&lt;0)),ABS(F70),0)</f>
        <v>43000000</v>
      </c>
      <c r="L70" s="13">
        <f t="shared" ref="L70:L133" si="5">IF(OR(AND(C70="C",F70&gt;0),AND(C70="N",F70&lt;0)),ABS(F70),0)</f>
        <v>0</v>
      </c>
      <c r="M70" s="29"/>
      <c r="N70" s="13"/>
      <c r="O70" s="23"/>
      <c r="P70" s="13"/>
      <c r="Q70" s="23" t="s">
        <v>224</v>
      </c>
    </row>
    <row r="71" spans="1:17" ht="16.5" customHeight="1" x14ac:dyDescent="0.3">
      <c r="A71" s="23" t="s">
        <v>340</v>
      </c>
      <c r="B71" s="24" t="s">
        <v>202</v>
      </c>
      <c r="C71" s="25" t="s">
        <v>222</v>
      </c>
      <c r="D71" s="8" t="s">
        <v>345</v>
      </c>
      <c r="E71" s="26"/>
      <c r="F71" s="13">
        <v>22000000</v>
      </c>
      <c r="G71" s="27">
        <f>SUMIFS(CT!$H$5:$H$143,CT!$D$5:$D$143,DMTK!B71)</f>
        <v>48800000</v>
      </c>
      <c r="H71" s="27">
        <f>SUMIFS(CT!$H$5:$H$143,CT!$E$5:$E$143,DMTK!B71)</f>
        <v>0</v>
      </c>
      <c r="I71" s="13">
        <f>IF(OR(LEFT(B71,3)="152",LEFT(B71,3)="153",LEFT(B71,3)="155",LEFT(B71,3)="156",LEFT(B71,3)="157"),E71+SUMIFS(CT!$F$5:$F$143,CT!$D$5:$D$143,DMTK!B71)-SUMIFS(CT!$F$5:$F$143,CT!$E$5:$E$143,DMTK!B71),0)</f>
        <v>0</v>
      </c>
      <c r="J71" s="28">
        <f t="shared" si="3"/>
        <v>70800000</v>
      </c>
      <c r="K71" s="13">
        <f t="shared" si="4"/>
        <v>22000000</v>
      </c>
      <c r="L71" s="13">
        <f t="shared" si="5"/>
        <v>0</v>
      </c>
      <c r="M71" s="29"/>
      <c r="N71" s="13"/>
      <c r="O71" s="23"/>
      <c r="P71" s="13"/>
      <c r="Q71" s="23" t="s">
        <v>224</v>
      </c>
    </row>
    <row r="72" spans="1:17" ht="16.5" customHeight="1" x14ac:dyDescent="0.3">
      <c r="A72" s="23" t="s">
        <v>308</v>
      </c>
      <c r="B72" s="24" t="s">
        <v>117</v>
      </c>
      <c r="C72" s="25" t="s">
        <v>222</v>
      </c>
      <c r="D72" s="8" t="s">
        <v>341</v>
      </c>
      <c r="E72" s="26">
        <v>250</v>
      </c>
      <c r="F72" s="13">
        <v>62500000</v>
      </c>
      <c r="G72" s="27">
        <f>SUMIFS(CT!$H$5:$H$143,CT!$D$5:$D$143,DMTK!B72)</f>
        <v>102060000</v>
      </c>
      <c r="H72" s="27">
        <f>SUMIFS(CT!$H$5:$H$143,CT!$E$5:$E$143,DMTK!B72)</f>
        <v>25123700</v>
      </c>
      <c r="I72" s="13">
        <f>IF(OR(LEFT(B72,3)="152",LEFT(B72,3)="153",LEFT(B72,3)="155",LEFT(B72,3)="156",LEFT(B72,3)="157"),E72+SUMIFS(CT!$F$5:$F$143,CT!$D$5:$D$143,DMTK!B72)-SUMIFS(CT!$F$5:$F$143,CT!$E$5:$E$143,DMTK!B72),0)</f>
        <v>555</v>
      </c>
      <c r="J72" s="28">
        <f t="shared" si="3"/>
        <v>139436300</v>
      </c>
      <c r="K72" s="13">
        <f t="shared" si="4"/>
        <v>62500000</v>
      </c>
      <c r="L72" s="13">
        <f t="shared" si="5"/>
        <v>0</v>
      </c>
      <c r="M72" s="29"/>
      <c r="N72" s="13"/>
      <c r="O72" s="23"/>
      <c r="P72" s="13"/>
      <c r="Q72" s="23" t="s">
        <v>334</v>
      </c>
    </row>
    <row r="73" spans="1:17" ht="16.5" customHeight="1" x14ac:dyDescent="0.3">
      <c r="A73" s="23" t="s">
        <v>308</v>
      </c>
      <c r="B73" s="24" t="s">
        <v>121</v>
      </c>
      <c r="C73" s="25" t="s">
        <v>222</v>
      </c>
      <c r="D73" s="8" t="s">
        <v>342</v>
      </c>
      <c r="E73" s="26">
        <v>220</v>
      </c>
      <c r="F73" s="13">
        <v>44000000</v>
      </c>
      <c r="G73" s="27">
        <f>SUMIFS(CT!$H$5:$H$143,CT!$D$5:$D$143,DMTK!B73)</f>
        <v>61800000</v>
      </c>
      <c r="H73" s="27">
        <f>SUMIFS(CT!$H$5:$H$143,CT!$E$5:$E$143,DMTK!B73)</f>
        <v>20346200</v>
      </c>
      <c r="I73" s="13">
        <f>IF(OR(LEFT(B73,3)="152",LEFT(B73,3)="153",LEFT(B73,3)="155",LEFT(B73,3)="156",LEFT(B73,3)="157"),E73+SUMIFS(CT!$F$5:$F$143,CT!$D$5:$D$143,DMTK!B73)-SUMIFS(CT!$F$5:$F$143,CT!$E$5:$E$143,DMTK!B73),0)</f>
        <v>420</v>
      </c>
      <c r="J73" s="28">
        <f t="shared" si="3"/>
        <v>85453800</v>
      </c>
      <c r="K73" s="13">
        <f t="shared" si="4"/>
        <v>44000000</v>
      </c>
      <c r="L73" s="13">
        <f t="shared" si="5"/>
        <v>0</v>
      </c>
      <c r="M73" s="29"/>
      <c r="N73" s="13"/>
      <c r="O73" s="23"/>
      <c r="P73" s="13"/>
      <c r="Q73" s="23" t="s">
        <v>334</v>
      </c>
    </row>
    <row r="74" spans="1:17" ht="16.5" customHeight="1" x14ac:dyDescent="0.3">
      <c r="A74" s="23" t="s">
        <v>308</v>
      </c>
      <c r="B74" s="24" t="s">
        <v>113</v>
      </c>
      <c r="C74" s="25" t="s">
        <v>222</v>
      </c>
      <c r="D74" s="8" t="s">
        <v>343</v>
      </c>
      <c r="E74" s="26">
        <v>150</v>
      </c>
      <c r="F74" s="13">
        <v>45000000</v>
      </c>
      <c r="G74" s="27">
        <f>SUMIFS(CT!$H$5:$H$143,CT!$D$5:$D$143,DMTK!B74)</f>
        <v>61500000</v>
      </c>
      <c r="H74" s="27">
        <f>SUMIFS(CT!$H$5:$H$143,CT!$E$5:$E$143,DMTK!B74)</f>
        <v>0</v>
      </c>
      <c r="I74" s="13">
        <f>IF(OR(LEFT(B74,3)="152",LEFT(B74,3)="153",LEFT(B74,3)="155",LEFT(B74,3)="156",LEFT(B74,3)="157"),E74+SUMIFS(CT!$F$5:$F$143,CT!$D$5:$D$143,DMTK!B74)-SUMIFS(CT!$F$5:$F$143,CT!$E$5:$E$143,DMTK!B74),0)</f>
        <v>350</v>
      </c>
      <c r="J74" s="28">
        <f t="shared" si="3"/>
        <v>106500000</v>
      </c>
      <c r="K74" s="13">
        <f t="shared" si="4"/>
        <v>45000000</v>
      </c>
      <c r="L74" s="13">
        <f t="shared" si="5"/>
        <v>0</v>
      </c>
      <c r="M74" s="29"/>
      <c r="N74" s="13"/>
      <c r="O74" s="23"/>
      <c r="P74" s="13"/>
      <c r="Q74" s="23" t="s">
        <v>334</v>
      </c>
    </row>
    <row r="75" spans="1:17" ht="16.5" customHeight="1" x14ac:dyDescent="0.3">
      <c r="A75" s="23" t="s">
        <v>308</v>
      </c>
      <c r="B75" s="24" t="s">
        <v>137</v>
      </c>
      <c r="C75" s="25" t="s">
        <v>222</v>
      </c>
      <c r="D75" s="8" t="s">
        <v>344</v>
      </c>
      <c r="E75" s="26">
        <v>50</v>
      </c>
      <c r="F75" s="13">
        <v>25000000</v>
      </c>
      <c r="G75" s="27">
        <f>SUMIFS(CT!$H$5:$H$143,CT!$D$5:$D$143,DMTK!B75)</f>
        <v>0</v>
      </c>
      <c r="H75" s="27">
        <f>SUMIFS(CT!$H$5:$H$143,CT!$E$5:$E$143,DMTK!B75)</f>
        <v>25000000</v>
      </c>
      <c r="I75" s="13">
        <f>IF(OR(LEFT(B75,3)="152",LEFT(B75,3)="153",LEFT(B75,3)="155",LEFT(B75,3)="156",LEFT(B75,3)="157"),E75+SUMIFS(CT!$F$5:$F$143,CT!$D$5:$D$143,DMTK!B75)-SUMIFS(CT!$F$5:$F$143,CT!$E$5:$E$143,DMTK!B75),0)</f>
        <v>0</v>
      </c>
      <c r="J75" s="28">
        <f t="shared" si="3"/>
        <v>0</v>
      </c>
      <c r="K75" s="13">
        <f t="shared" si="4"/>
        <v>25000000</v>
      </c>
      <c r="L75" s="13">
        <f t="shared" si="5"/>
        <v>0</v>
      </c>
      <c r="M75" s="29"/>
      <c r="N75" s="13"/>
      <c r="O75" s="23"/>
      <c r="P75" s="13"/>
      <c r="Q75" s="23" t="s">
        <v>334</v>
      </c>
    </row>
    <row r="76" spans="1:17" ht="16.5" customHeight="1" x14ac:dyDescent="0.3">
      <c r="A76" s="23" t="s">
        <v>308</v>
      </c>
      <c r="B76" s="24" t="s">
        <v>346</v>
      </c>
      <c r="C76" s="25" t="s">
        <v>222</v>
      </c>
      <c r="D76" s="8" t="s">
        <v>345</v>
      </c>
      <c r="E76" s="26">
        <v>100</v>
      </c>
      <c r="F76" s="13">
        <v>70000000</v>
      </c>
      <c r="G76" s="27">
        <f>SUMIFS(CT!$H$5:$H$143,CT!$D$5:$D$143,DMTK!B76)</f>
        <v>0</v>
      </c>
      <c r="H76" s="27">
        <f>SUMIFS(CT!$H$5:$H$143,CT!$E$5:$E$143,DMTK!B76)</f>
        <v>0</v>
      </c>
      <c r="I76" s="13">
        <f>IF(OR(LEFT(B76,3)="152",LEFT(B76,3)="153",LEFT(B76,3)="155",LEFT(B76,3)="156",LEFT(B76,3)="157"),E76+SUMIFS(CT!$F$5:$F$143,CT!$D$5:$D$143,DMTK!B76)-SUMIFS(CT!$F$5:$F$143,CT!$E$5:$E$143,DMTK!B76),0)</f>
        <v>100</v>
      </c>
      <c r="J76" s="28">
        <f t="shared" si="3"/>
        <v>70000000</v>
      </c>
      <c r="K76" s="13">
        <f t="shared" si="4"/>
        <v>70000000</v>
      </c>
      <c r="L76" s="13">
        <f t="shared" si="5"/>
        <v>0</v>
      </c>
      <c r="M76" s="29"/>
      <c r="N76" s="13"/>
      <c r="O76" s="23"/>
      <c r="P76" s="13"/>
      <c r="Q76" s="23" t="s">
        <v>334</v>
      </c>
    </row>
    <row r="77" spans="1:17" ht="16.5" customHeight="1" x14ac:dyDescent="0.3">
      <c r="A77" s="23" t="s">
        <v>308</v>
      </c>
      <c r="B77" s="24" t="s">
        <v>347</v>
      </c>
      <c r="C77" s="25" t="s">
        <v>222</v>
      </c>
      <c r="D77" s="8" t="s">
        <v>348</v>
      </c>
      <c r="E77" s="26"/>
      <c r="F77" s="13">
        <v>0</v>
      </c>
      <c r="G77" s="27">
        <f>SUMIFS(CT!$H$5:$H$143,CT!$D$5:$D$143,DMTK!B77)</f>
        <v>0</v>
      </c>
      <c r="H77" s="27">
        <f>SUMIFS(CT!$H$5:$H$143,CT!$E$5:$E$143,DMTK!B77)</f>
        <v>0</v>
      </c>
      <c r="I77" s="13">
        <f>IF(OR(LEFT(B77,3)="152",LEFT(B77,3)="153",LEFT(B77,3)="155",LEFT(B77,3)="156",LEFT(B77,3)="157"),E77+SUMIFS(CT!$F$5:$F$143,CT!$D$5:$D$143,DMTK!B77)-SUMIFS(CT!$F$5:$F$143,CT!$E$5:$E$143,DMTK!B77),0)</f>
        <v>0</v>
      </c>
      <c r="J77" s="28">
        <f t="shared" si="3"/>
        <v>0</v>
      </c>
      <c r="K77" s="13">
        <f t="shared" si="4"/>
        <v>0</v>
      </c>
      <c r="L77" s="13">
        <f t="shared" si="5"/>
        <v>0</v>
      </c>
      <c r="M77" s="29"/>
      <c r="N77" s="13"/>
      <c r="O77" s="23"/>
      <c r="P77" s="13"/>
      <c r="Q77" s="23" t="s">
        <v>224</v>
      </c>
    </row>
    <row r="78" spans="1:17" ht="16.5" customHeight="1" x14ac:dyDescent="0.3">
      <c r="A78" s="23" t="s">
        <v>308</v>
      </c>
      <c r="B78" s="24" t="s">
        <v>349</v>
      </c>
      <c r="C78" s="25" t="s">
        <v>222</v>
      </c>
      <c r="D78" s="23" t="s">
        <v>350</v>
      </c>
      <c r="E78" s="26"/>
      <c r="F78" s="13">
        <v>0</v>
      </c>
      <c r="G78" s="27">
        <f>SUMIFS(CT!$H$5:$H$143,CT!$D$5:$D$143,DMTK!B78)</f>
        <v>0</v>
      </c>
      <c r="H78" s="27">
        <f>SUMIFS(CT!$H$5:$H$143,CT!$E$5:$E$143,DMTK!B78)</f>
        <v>0</v>
      </c>
      <c r="I78" s="13">
        <f>IF(OR(LEFT(B78,3)="152",LEFT(B78,3)="153",LEFT(B78,3)="155",LEFT(B78,3)="156",LEFT(B78,3)="157"),E78+SUMIFS(CT!$F$5:$F$143,CT!$D$5:$D$143,DMTK!B78)-SUMIFS(CT!$F$5:$F$143,CT!$E$5:$E$143,DMTK!B78),0)</f>
        <v>0</v>
      </c>
      <c r="J78" s="28">
        <f t="shared" si="3"/>
        <v>0</v>
      </c>
      <c r="K78" s="13">
        <f t="shared" si="4"/>
        <v>0</v>
      </c>
      <c r="L78" s="13">
        <f t="shared" si="5"/>
        <v>0</v>
      </c>
      <c r="M78" s="29"/>
      <c r="N78" s="13"/>
      <c r="O78" s="23"/>
      <c r="P78" s="13"/>
      <c r="Q78" s="23" t="s">
        <v>224</v>
      </c>
    </row>
    <row r="79" spans="1:17" ht="16.5" customHeight="1" x14ac:dyDescent="0.3">
      <c r="A79" s="23" t="s">
        <v>308</v>
      </c>
      <c r="B79" s="24" t="s">
        <v>351</v>
      </c>
      <c r="C79" s="25" t="s">
        <v>222</v>
      </c>
      <c r="D79" s="8" t="s">
        <v>352</v>
      </c>
      <c r="E79" s="26"/>
      <c r="F79" s="13">
        <v>0</v>
      </c>
      <c r="G79" s="27">
        <f>SUMIFS(CT!$H$5:$H$143,CT!$D$5:$D$143,DMTK!B79)</f>
        <v>0</v>
      </c>
      <c r="H79" s="27">
        <f>SUMIFS(CT!$H$5:$H$143,CT!$E$5:$E$143,DMTK!B79)</f>
        <v>0</v>
      </c>
      <c r="I79" s="13">
        <f>IF(OR(LEFT(B79,3)="152",LEFT(B79,3)="153",LEFT(B79,3)="155",LEFT(B79,3)="156",LEFT(B79,3)="157"),E79+SUMIFS(CT!$F$5:$F$143,CT!$D$5:$D$143,DMTK!B79)-SUMIFS(CT!$F$5:$F$143,CT!$E$5:$E$143,DMTK!B79),0)</f>
        <v>0</v>
      </c>
      <c r="J79" s="28">
        <f t="shared" si="3"/>
        <v>0</v>
      </c>
      <c r="K79" s="13">
        <f t="shared" si="4"/>
        <v>0</v>
      </c>
      <c r="L79" s="13">
        <f t="shared" si="5"/>
        <v>0</v>
      </c>
      <c r="M79" s="29"/>
      <c r="N79" s="13"/>
      <c r="O79" s="23"/>
      <c r="P79" s="13"/>
      <c r="Q79" s="23" t="s">
        <v>224</v>
      </c>
    </row>
    <row r="80" spans="1:17" ht="16.5" customHeight="1" x14ac:dyDescent="0.3">
      <c r="A80" s="23" t="s">
        <v>308</v>
      </c>
      <c r="B80" s="24" t="s">
        <v>353</v>
      </c>
      <c r="C80" s="25" t="s">
        <v>222</v>
      </c>
      <c r="D80" s="23" t="s">
        <v>354</v>
      </c>
      <c r="E80" s="26"/>
      <c r="F80" s="13">
        <v>0</v>
      </c>
      <c r="G80" s="27">
        <f>SUMIFS(CT!$H$5:$H$143,CT!$D$5:$D$143,DMTK!B80)</f>
        <v>0</v>
      </c>
      <c r="H80" s="27">
        <f>SUMIFS(CT!$H$5:$H$143,CT!$E$5:$E$143,DMTK!B80)</f>
        <v>0</v>
      </c>
      <c r="I80" s="13">
        <f>IF(OR(LEFT(B80,3)="152",LEFT(B80,3)="153",LEFT(B80,3)="155",LEFT(B80,3)="156",LEFT(B80,3)="157"),E80+SUMIFS(CT!$F$5:$F$143,CT!$D$5:$D$143,DMTK!B80)-SUMIFS(CT!$F$5:$F$143,CT!$E$5:$E$143,DMTK!B80),0)</f>
        <v>0</v>
      </c>
      <c r="J80" s="28">
        <f t="shared" si="3"/>
        <v>0</v>
      </c>
      <c r="K80" s="13">
        <f t="shared" si="4"/>
        <v>0</v>
      </c>
      <c r="L80" s="13">
        <f t="shared" si="5"/>
        <v>0</v>
      </c>
      <c r="M80" s="29"/>
      <c r="N80" s="13"/>
      <c r="O80" s="23"/>
      <c r="P80" s="13"/>
      <c r="Q80" s="23" t="s">
        <v>224</v>
      </c>
    </row>
    <row r="81" spans="1:17" ht="16.5" customHeight="1" x14ac:dyDescent="0.3">
      <c r="A81" s="33" t="s">
        <v>308</v>
      </c>
      <c r="B81" s="24" t="s">
        <v>355</v>
      </c>
      <c r="C81" s="25" t="s">
        <v>222</v>
      </c>
      <c r="D81" s="8" t="s">
        <v>356</v>
      </c>
      <c r="E81" s="26"/>
      <c r="F81" s="13"/>
      <c r="G81" s="27">
        <f>SUMIFS(CT!$H$5:$H$143,CT!$D$5:$D$143,DMTK!B81)</f>
        <v>0</v>
      </c>
      <c r="H81" s="27">
        <f>SUMIFS(CT!$H$5:$H$143,CT!$E$5:$E$143,DMTK!B81)</f>
        <v>0</v>
      </c>
      <c r="I81" s="13">
        <f>IF(OR(LEFT(B81,3)="152",LEFT(B81,3)="153",LEFT(B81,3)="155",LEFT(B81,3)="156",LEFT(B81,3)="157"),E81+SUMIFS(CT!$F$5:$F$143,CT!$D$5:$D$143,DMTK!B81)-SUMIFS(CT!$F$5:$F$143,CT!$E$5:$E$143,DMTK!B81),0)</f>
        <v>0</v>
      </c>
      <c r="J81" s="28">
        <f t="shared" si="3"/>
        <v>0</v>
      </c>
      <c r="K81" s="13">
        <f t="shared" si="4"/>
        <v>0</v>
      </c>
      <c r="L81" s="13">
        <f t="shared" si="5"/>
        <v>0</v>
      </c>
      <c r="M81" s="29"/>
      <c r="N81" s="13"/>
      <c r="O81" s="23"/>
      <c r="P81" s="13"/>
      <c r="Q81" s="23" t="s">
        <v>224</v>
      </c>
    </row>
    <row r="82" spans="1:17" ht="16.5" customHeight="1" x14ac:dyDescent="0.3">
      <c r="A82" s="33" t="s">
        <v>357</v>
      </c>
      <c r="B82" s="24" t="s">
        <v>358</v>
      </c>
      <c r="C82" s="25" t="s">
        <v>222</v>
      </c>
      <c r="D82" s="8" t="s">
        <v>359</v>
      </c>
      <c r="E82" s="26"/>
      <c r="F82" s="13">
        <v>0</v>
      </c>
      <c r="G82" s="27">
        <f>SUMIFS(CT!$H$5:$H$143,CT!$D$5:$D$143,DMTK!B82)</f>
        <v>0</v>
      </c>
      <c r="H82" s="27">
        <f>SUMIFS(CT!$H$5:$H$143,CT!$E$5:$E$143,DMTK!B82)</f>
        <v>0</v>
      </c>
      <c r="I82" s="13">
        <f>IF(OR(LEFT(B82,3)="152",LEFT(B82,3)="153",LEFT(B82,3)="155",LEFT(B82,3)="156",LEFT(B82,3)="157"),E82+SUMIFS(CT!$F$5:$F$143,CT!$D$5:$D$143,DMTK!B82)-SUMIFS(CT!$F$5:$F$143,CT!$E$5:$E$143,DMTK!B82),0)</f>
        <v>0</v>
      </c>
      <c r="J82" s="28">
        <f t="shared" si="3"/>
        <v>0</v>
      </c>
      <c r="K82" s="13">
        <f t="shared" si="4"/>
        <v>0</v>
      </c>
      <c r="L82" s="13">
        <f t="shared" si="5"/>
        <v>0</v>
      </c>
      <c r="M82" s="29"/>
      <c r="N82" s="13"/>
      <c r="O82" s="23"/>
      <c r="P82" s="13"/>
      <c r="Q82" s="23" t="s">
        <v>224</v>
      </c>
    </row>
    <row r="83" spans="1:17" ht="16.5" customHeight="1" x14ac:dyDescent="0.3">
      <c r="A83" s="33" t="s">
        <v>357</v>
      </c>
      <c r="B83" s="24" t="s">
        <v>360</v>
      </c>
      <c r="C83" s="25" t="s">
        <v>222</v>
      </c>
      <c r="D83" s="23" t="s">
        <v>361</v>
      </c>
      <c r="E83" s="26"/>
      <c r="F83" s="13">
        <v>0</v>
      </c>
      <c r="G83" s="27">
        <f>SUMIFS(CT!$H$5:$H$143,CT!$D$5:$D$143,DMTK!B83)</f>
        <v>0</v>
      </c>
      <c r="H83" s="27">
        <f>SUMIFS(CT!$H$5:$H$143,CT!$E$5:$E$143,DMTK!B83)</f>
        <v>0</v>
      </c>
      <c r="I83" s="13">
        <f>IF(OR(LEFT(B83,3)="152",LEFT(B83,3)="153",LEFT(B83,3)="155",LEFT(B83,3)="156",LEFT(B83,3)="157"),E83+SUMIFS(CT!$F$5:$F$143,CT!$D$5:$D$143,DMTK!B83)-SUMIFS(CT!$F$5:$F$143,CT!$E$5:$E$143,DMTK!B83),0)</f>
        <v>0</v>
      </c>
      <c r="J83" s="28">
        <f t="shared" si="3"/>
        <v>0</v>
      </c>
      <c r="K83" s="13">
        <f t="shared" si="4"/>
        <v>0</v>
      </c>
      <c r="L83" s="13">
        <f t="shared" si="5"/>
        <v>0</v>
      </c>
      <c r="M83" s="29"/>
      <c r="N83" s="13"/>
      <c r="O83" s="23"/>
      <c r="P83" s="13"/>
      <c r="Q83" s="23" t="s">
        <v>224</v>
      </c>
    </row>
    <row r="84" spans="1:17" ht="16.5" customHeight="1" x14ac:dyDescent="0.3">
      <c r="A84" s="33" t="s">
        <v>362</v>
      </c>
      <c r="B84" s="24" t="s">
        <v>363</v>
      </c>
      <c r="C84" s="25" t="s">
        <v>222</v>
      </c>
      <c r="D84" s="23" t="s">
        <v>364</v>
      </c>
      <c r="E84" s="26"/>
      <c r="F84" s="13"/>
      <c r="G84" s="27">
        <f>SUMIFS(CT!$H$5:$H$143,CT!$D$5:$D$143,DMTK!B84)</f>
        <v>0</v>
      </c>
      <c r="H84" s="27">
        <f>SUMIFS(CT!$H$5:$H$143,CT!$E$5:$E$143,DMTK!B84)</f>
        <v>0</v>
      </c>
      <c r="I84" s="13">
        <f>IF(OR(LEFT(B84,3)="152",LEFT(B84,3)="153",LEFT(B84,3)="155",LEFT(B84,3)="156",LEFT(B84,3)="157"),E84+SUMIFS(CT!$F$5:$F$143,CT!$D$5:$D$143,DMTK!B84)-SUMIFS(CT!$F$5:$F$143,CT!$E$5:$E$143,DMTK!B84),0)</f>
        <v>0</v>
      </c>
      <c r="J84" s="28">
        <f t="shared" si="3"/>
        <v>0</v>
      </c>
      <c r="K84" s="13">
        <f t="shared" si="4"/>
        <v>0</v>
      </c>
      <c r="L84" s="13">
        <f t="shared" si="5"/>
        <v>0</v>
      </c>
      <c r="M84" s="29"/>
      <c r="N84" s="13"/>
      <c r="O84" s="23"/>
      <c r="P84" s="13"/>
      <c r="Q84" s="23" t="s">
        <v>224</v>
      </c>
    </row>
    <row r="85" spans="1:17" ht="16.5" customHeight="1" x14ac:dyDescent="0.3">
      <c r="A85" s="23" t="s">
        <v>365</v>
      </c>
      <c r="B85" s="24" t="s">
        <v>366</v>
      </c>
      <c r="C85" s="25" t="s">
        <v>222</v>
      </c>
      <c r="D85" s="23" t="s">
        <v>367</v>
      </c>
      <c r="E85" s="26"/>
      <c r="F85" s="13">
        <v>200000000</v>
      </c>
      <c r="G85" s="27">
        <f>SUMIFS(CT!$H$5:$H$143,CT!$D$5:$D$143,DMTK!B85)</f>
        <v>0</v>
      </c>
      <c r="H85" s="27">
        <f>SUMIFS(CT!$H$5:$H$143,CT!$E$5:$E$143,DMTK!B85)</f>
        <v>0</v>
      </c>
      <c r="I85" s="13">
        <f>IF(OR(LEFT(B85,3)="152",LEFT(B85,3)="153",LEFT(B85,3)="155",LEFT(B85,3)="156",LEFT(B85,3)="157"),E85+SUMIFS(CT!$F$5:$F$143,CT!$D$5:$D$143,DMTK!B85)-SUMIFS(CT!$F$5:$F$143,CT!$E$5:$E$143,DMTK!B85),0)</f>
        <v>0</v>
      </c>
      <c r="J85" s="28">
        <f t="shared" si="3"/>
        <v>200000000</v>
      </c>
      <c r="K85" s="13">
        <f t="shared" si="4"/>
        <v>200000000</v>
      </c>
      <c r="L85" s="13">
        <f t="shared" si="5"/>
        <v>0</v>
      </c>
      <c r="M85" s="29"/>
      <c r="N85" s="13"/>
      <c r="O85" s="23"/>
      <c r="P85" s="13"/>
      <c r="Q85" s="23" t="s">
        <v>224</v>
      </c>
    </row>
    <row r="86" spans="1:17" ht="16.5" customHeight="1" x14ac:dyDescent="0.3">
      <c r="A86" s="23" t="s">
        <v>365</v>
      </c>
      <c r="B86" s="24" t="s">
        <v>368</v>
      </c>
      <c r="C86" s="25" t="s">
        <v>222</v>
      </c>
      <c r="D86" s="23" t="s">
        <v>369</v>
      </c>
      <c r="E86" s="26"/>
      <c r="F86" s="13">
        <v>188000000</v>
      </c>
      <c r="G86" s="27">
        <f>SUMIFS(CT!$H$5:$H$143,CT!$D$5:$D$143,DMTK!B86)</f>
        <v>0</v>
      </c>
      <c r="H86" s="27">
        <f>SUMIFS(CT!$H$5:$H$143,CT!$E$5:$E$143,DMTK!B86)</f>
        <v>0</v>
      </c>
      <c r="I86" s="13">
        <f>IF(OR(LEFT(B86,3)="152",LEFT(B86,3)="153",LEFT(B86,3)="155",LEFT(B86,3)="156",LEFT(B86,3)="157"),E86+SUMIFS(CT!$F$5:$F$143,CT!$D$5:$D$143,DMTK!B86)-SUMIFS(CT!$F$5:$F$143,CT!$E$5:$E$143,DMTK!B86),0)</f>
        <v>0</v>
      </c>
      <c r="J86" s="28">
        <f t="shared" si="3"/>
        <v>188000000</v>
      </c>
      <c r="K86" s="13">
        <f t="shared" si="4"/>
        <v>188000000</v>
      </c>
      <c r="L86" s="13">
        <f t="shared" si="5"/>
        <v>0</v>
      </c>
      <c r="M86" s="29"/>
      <c r="N86" s="13"/>
      <c r="O86" s="23"/>
      <c r="P86" s="13"/>
      <c r="Q86" s="23" t="s">
        <v>224</v>
      </c>
    </row>
    <row r="87" spans="1:17" ht="16.5" customHeight="1" x14ac:dyDescent="0.3">
      <c r="A87" s="23" t="s">
        <v>365</v>
      </c>
      <c r="B87" s="24" t="s">
        <v>370</v>
      </c>
      <c r="C87" s="25" t="s">
        <v>222</v>
      </c>
      <c r="D87" s="23" t="s">
        <v>371</v>
      </c>
      <c r="E87" s="26"/>
      <c r="F87" s="13">
        <v>150000000</v>
      </c>
      <c r="G87" s="27">
        <f>SUMIFS(CT!$H$5:$H$143,CT!$D$5:$D$143,DMTK!B87)</f>
        <v>0</v>
      </c>
      <c r="H87" s="27">
        <f>SUMIFS(CT!$H$5:$H$143,CT!$E$5:$E$143,DMTK!B87)</f>
        <v>0</v>
      </c>
      <c r="I87" s="13">
        <f>IF(OR(LEFT(B87,3)="152",LEFT(B87,3)="153",LEFT(B87,3)="155",LEFT(B87,3)="156",LEFT(B87,3)="157"),E87+SUMIFS(CT!$F$5:$F$143,CT!$D$5:$D$143,DMTK!B87)-SUMIFS(CT!$F$5:$F$143,CT!$E$5:$E$143,DMTK!B87),0)</f>
        <v>0</v>
      </c>
      <c r="J87" s="28">
        <f t="shared" si="3"/>
        <v>150000000</v>
      </c>
      <c r="K87" s="13">
        <f t="shared" si="4"/>
        <v>150000000</v>
      </c>
      <c r="L87" s="13">
        <f t="shared" si="5"/>
        <v>0</v>
      </c>
      <c r="M87" s="29"/>
      <c r="N87" s="13"/>
      <c r="O87" s="23"/>
      <c r="P87" s="13"/>
      <c r="Q87" s="23" t="s">
        <v>224</v>
      </c>
    </row>
    <row r="88" spans="1:17" ht="16.5" customHeight="1" x14ac:dyDescent="0.3">
      <c r="A88" s="23" t="s">
        <v>365</v>
      </c>
      <c r="B88" s="24" t="s">
        <v>147</v>
      </c>
      <c r="C88" s="25" t="s">
        <v>222</v>
      </c>
      <c r="D88" s="23" t="s">
        <v>372</v>
      </c>
      <c r="E88" s="26"/>
      <c r="F88" s="13">
        <v>0</v>
      </c>
      <c r="G88" s="27">
        <f>SUMIFS(CT!$H$5:$H$143,CT!$D$5:$D$143,DMTK!B88)</f>
        <v>140000000</v>
      </c>
      <c r="H88" s="27">
        <f>SUMIFS(CT!$H$5:$H$143,CT!$E$5:$E$143,DMTK!B88)</f>
        <v>0</v>
      </c>
      <c r="I88" s="13">
        <f>IF(OR(LEFT(B88,3)="152",LEFT(B88,3)="153",LEFT(B88,3)="155",LEFT(B88,3)="156",LEFT(B88,3)="157"),E88+SUMIFS(CT!$F$5:$F$143,CT!$D$5:$D$143,DMTK!B88)-SUMIFS(CT!$F$5:$F$143,CT!$E$5:$E$143,DMTK!B88),0)</f>
        <v>0</v>
      </c>
      <c r="J88" s="28">
        <f t="shared" si="3"/>
        <v>140000000</v>
      </c>
      <c r="K88" s="13">
        <f t="shared" si="4"/>
        <v>0</v>
      </c>
      <c r="L88" s="13">
        <f t="shared" si="5"/>
        <v>0</v>
      </c>
      <c r="M88" s="29"/>
      <c r="N88" s="13"/>
      <c r="O88" s="23"/>
      <c r="P88" s="13"/>
      <c r="Q88" s="23" t="s">
        <v>224</v>
      </c>
    </row>
    <row r="89" spans="1:17" ht="16.5" customHeight="1" x14ac:dyDescent="0.3">
      <c r="A89" s="23" t="s">
        <v>365</v>
      </c>
      <c r="B89" s="24" t="s">
        <v>373</v>
      </c>
      <c r="C89" s="25" t="s">
        <v>222</v>
      </c>
      <c r="D89" s="23" t="s">
        <v>374</v>
      </c>
      <c r="E89" s="26"/>
      <c r="F89" s="13">
        <v>220000000</v>
      </c>
      <c r="G89" s="27">
        <f>SUMIFS(CT!$H$5:$H$143,CT!$D$5:$D$143,DMTK!B89)</f>
        <v>0</v>
      </c>
      <c r="H89" s="27">
        <f>SUMIFS(CT!$H$5:$H$143,CT!$E$5:$E$143,DMTK!B89)</f>
        <v>0</v>
      </c>
      <c r="I89" s="13">
        <f>IF(OR(LEFT(B89,3)="152",LEFT(B89,3)="153",LEFT(B89,3)="155",LEFT(B89,3)="156",LEFT(B89,3)="157"),E89+SUMIFS(CT!$F$5:$F$143,CT!$D$5:$D$143,DMTK!B89)-SUMIFS(CT!$F$5:$F$143,CT!$E$5:$E$143,DMTK!B89),0)</f>
        <v>0</v>
      </c>
      <c r="J89" s="28">
        <f t="shared" si="3"/>
        <v>220000000</v>
      </c>
      <c r="K89" s="13">
        <f t="shared" si="4"/>
        <v>220000000</v>
      </c>
      <c r="L89" s="13">
        <f t="shared" si="5"/>
        <v>0</v>
      </c>
      <c r="M89" s="29"/>
      <c r="N89" s="13"/>
      <c r="O89" s="23"/>
      <c r="P89" s="13"/>
      <c r="Q89" s="23" t="s">
        <v>224</v>
      </c>
    </row>
    <row r="90" spans="1:17" ht="16.5" customHeight="1" x14ac:dyDescent="0.3">
      <c r="A90" s="23" t="s">
        <v>365</v>
      </c>
      <c r="B90" s="24" t="s">
        <v>375</v>
      </c>
      <c r="C90" s="25" t="s">
        <v>222</v>
      </c>
      <c r="D90" s="23" t="s">
        <v>376</v>
      </c>
      <c r="E90" s="26"/>
      <c r="F90" s="13">
        <v>50779000</v>
      </c>
      <c r="G90" s="27">
        <f>SUMIFS(CT!$H$5:$H$143,CT!$D$5:$D$143,DMTK!B90)</f>
        <v>0</v>
      </c>
      <c r="H90" s="27">
        <f>SUMIFS(CT!$H$5:$H$143,CT!$E$5:$E$143,DMTK!B90)</f>
        <v>0</v>
      </c>
      <c r="I90" s="13">
        <f>IF(OR(LEFT(B90,3)="152",LEFT(B90,3)="153",LEFT(B90,3)="155",LEFT(B90,3)="156",LEFT(B90,3)="157"),E90+SUMIFS(CT!$F$5:$F$143,CT!$D$5:$D$143,DMTK!B90)-SUMIFS(CT!$F$5:$F$143,CT!$E$5:$E$143,DMTK!B90),0)</f>
        <v>0</v>
      </c>
      <c r="J90" s="28">
        <f t="shared" si="3"/>
        <v>50779000</v>
      </c>
      <c r="K90" s="13">
        <f t="shared" si="4"/>
        <v>50779000</v>
      </c>
      <c r="L90" s="13">
        <f t="shared" si="5"/>
        <v>0</v>
      </c>
      <c r="M90" s="29"/>
      <c r="N90" s="13"/>
      <c r="O90" s="23"/>
      <c r="P90" s="13"/>
      <c r="Q90" s="23" t="s">
        <v>224</v>
      </c>
    </row>
    <row r="91" spans="1:17" ht="16.5" customHeight="1" x14ac:dyDescent="0.3">
      <c r="A91" s="23" t="s">
        <v>365</v>
      </c>
      <c r="B91" s="24" t="s">
        <v>377</v>
      </c>
      <c r="C91" s="25" t="s">
        <v>222</v>
      </c>
      <c r="D91" s="23" t="s">
        <v>378</v>
      </c>
      <c r="E91" s="26"/>
      <c r="F91" s="13">
        <v>125000000</v>
      </c>
      <c r="G91" s="27">
        <f>SUMIFS(CT!$H$5:$H$143,CT!$D$5:$D$143,DMTK!B91)</f>
        <v>0</v>
      </c>
      <c r="H91" s="27">
        <f>SUMIFS(CT!$H$5:$H$143,CT!$E$5:$E$143,DMTK!B91)</f>
        <v>0</v>
      </c>
      <c r="I91" s="13">
        <f>IF(OR(LEFT(B91,3)="152",LEFT(B91,3)="153",LEFT(B91,3)="155",LEFT(B91,3)="156",LEFT(B91,3)="157"),E91+SUMIFS(CT!$F$5:$F$143,CT!$D$5:$D$143,DMTK!B91)-SUMIFS(CT!$F$5:$F$143,CT!$E$5:$E$143,DMTK!B91),0)</f>
        <v>0</v>
      </c>
      <c r="J91" s="28">
        <f t="shared" si="3"/>
        <v>125000000</v>
      </c>
      <c r="K91" s="13">
        <f t="shared" si="4"/>
        <v>125000000</v>
      </c>
      <c r="L91" s="13">
        <f t="shared" si="5"/>
        <v>0</v>
      </c>
      <c r="M91" s="29"/>
      <c r="N91" s="13"/>
      <c r="O91" s="23"/>
      <c r="P91" s="13"/>
      <c r="Q91" s="23" t="s">
        <v>224</v>
      </c>
    </row>
    <row r="92" spans="1:17" ht="16.5" customHeight="1" x14ac:dyDescent="0.3">
      <c r="A92" s="23" t="s">
        <v>365</v>
      </c>
      <c r="B92" s="24" t="s">
        <v>379</v>
      </c>
      <c r="C92" s="25" t="s">
        <v>222</v>
      </c>
      <c r="D92" s="23" t="s">
        <v>380</v>
      </c>
      <c r="E92" s="26"/>
      <c r="F92" s="13">
        <v>0</v>
      </c>
      <c r="G92" s="27">
        <f>SUMIFS(CT!$H$5:$H$143,CT!$D$5:$D$143,DMTK!B92)</f>
        <v>0</v>
      </c>
      <c r="H92" s="27">
        <f>SUMIFS(CT!$H$5:$H$143,CT!$E$5:$E$143,DMTK!B92)</f>
        <v>0</v>
      </c>
      <c r="I92" s="13">
        <f>IF(OR(LEFT(B92,3)="152",LEFT(B92,3)="153",LEFT(B92,3)="155",LEFT(B92,3)="156",LEFT(B92,3)="157"),E92+SUMIFS(CT!$F$5:$F$143,CT!$D$5:$D$143,DMTK!B92)-SUMIFS(CT!$F$5:$F$143,CT!$E$5:$E$143,DMTK!B92),0)</f>
        <v>0</v>
      </c>
      <c r="J92" s="28">
        <f t="shared" si="3"/>
        <v>0</v>
      </c>
      <c r="K92" s="13">
        <f t="shared" si="4"/>
        <v>0</v>
      </c>
      <c r="L92" s="13">
        <f t="shared" si="5"/>
        <v>0</v>
      </c>
      <c r="M92" s="29"/>
      <c r="N92" s="13"/>
      <c r="O92" s="23"/>
      <c r="P92" s="13"/>
      <c r="Q92" s="23" t="s">
        <v>224</v>
      </c>
    </row>
    <row r="93" spans="1:17" ht="16.5" customHeight="1" x14ac:dyDescent="0.3">
      <c r="A93" s="23" t="s">
        <v>365</v>
      </c>
      <c r="B93" s="24" t="s">
        <v>381</v>
      </c>
      <c r="C93" s="25" t="s">
        <v>222</v>
      </c>
      <c r="D93" s="23"/>
      <c r="E93" s="26"/>
      <c r="F93" s="13"/>
      <c r="G93" s="27">
        <f>SUMIFS(CT!$H$5:$H$143,CT!$D$5:$D$143,DMTK!B93)</f>
        <v>0</v>
      </c>
      <c r="H93" s="27">
        <f>SUMIFS(CT!$H$5:$H$143,CT!$E$5:$E$143,DMTK!B93)</f>
        <v>0</v>
      </c>
      <c r="I93" s="13">
        <f>IF(OR(LEFT(B93,3)="152",LEFT(B93,3)="153",LEFT(B93,3)="155",LEFT(B93,3)="156",LEFT(B93,3)="157"),E93+SUMIFS(CT!$F$5:$F$143,CT!$D$5:$D$143,DMTK!B93)-SUMIFS(CT!$F$5:$F$143,CT!$E$5:$E$143,DMTK!B93),0)</f>
        <v>0</v>
      </c>
      <c r="J93" s="28">
        <f t="shared" si="3"/>
        <v>0</v>
      </c>
      <c r="K93" s="13">
        <f t="shared" si="4"/>
        <v>0</v>
      </c>
      <c r="L93" s="13">
        <f t="shared" si="5"/>
        <v>0</v>
      </c>
      <c r="M93" s="29"/>
      <c r="N93" s="13"/>
      <c r="O93" s="23"/>
      <c r="P93" s="13"/>
      <c r="Q93" s="23"/>
    </row>
    <row r="94" spans="1:17" ht="16.5" customHeight="1" x14ac:dyDescent="0.3">
      <c r="A94" s="23" t="s">
        <v>365</v>
      </c>
      <c r="B94" s="24" t="s">
        <v>382</v>
      </c>
      <c r="C94" s="25" t="s">
        <v>222</v>
      </c>
      <c r="D94" s="23"/>
      <c r="E94" s="26"/>
      <c r="F94" s="13"/>
      <c r="G94" s="27">
        <f>SUMIFS(CT!$H$5:$H$143,CT!$D$5:$D$143,DMTK!B94)</f>
        <v>0</v>
      </c>
      <c r="H94" s="27">
        <f>SUMIFS(CT!$H$5:$H$143,CT!$E$5:$E$143,DMTK!B94)</f>
        <v>0</v>
      </c>
      <c r="I94" s="13">
        <f>IF(OR(LEFT(B94,3)="152",LEFT(B94,3)="153",LEFT(B94,3)="155",LEFT(B94,3)="156",LEFT(B94,3)="157"),E94+SUMIFS(CT!$F$5:$F$143,CT!$D$5:$D$143,DMTK!B94)-SUMIFS(CT!$F$5:$F$143,CT!$E$5:$E$143,DMTK!B94),0)</f>
        <v>0</v>
      </c>
      <c r="J94" s="28">
        <f t="shared" si="3"/>
        <v>0</v>
      </c>
      <c r="K94" s="13">
        <f t="shared" si="4"/>
        <v>0</v>
      </c>
      <c r="L94" s="13">
        <f t="shared" si="5"/>
        <v>0</v>
      </c>
      <c r="M94" s="29"/>
      <c r="N94" s="13"/>
      <c r="O94" s="23"/>
      <c r="P94" s="13"/>
      <c r="Q94" s="23"/>
    </row>
    <row r="95" spans="1:17" ht="16.5" customHeight="1" x14ac:dyDescent="0.3">
      <c r="A95" s="23" t="s">
        <v>383</v>
      </c>
      <c r="B95" s="24" t="s">
        <v>180</v>
      </c>
      <c r="C95" s="25" t="s">
        <v>384</v>
      </c>
      <c r="D95" s="23" t="s">
        <v>385</v>
      </c>
      <c r="E95" s="26"/>
      <c r="F95" s="13">
        <v>90000000</v>
      </c>
      <c r="G95" s="27">
        <f>SUMIFS(CT!$H$5:$H$143,CT!$D$5:$D$143,DMTK!B95)</f>
        <v>0</v>
      </c>
      <c r="H95" s="27">
        <f>SUMIFS(CT!$H$5:$H$143,CT!$E$5:$E$143,DMTK!B95)</f>
        <v>2124999</v>
      </c>
      <c r="I95" s="13">
        <f>IF(OR(LEFT(B95,3)="152",LEFT(B95,3)="153",LEFT(B95,3)="155",LEFT(B95,3)="156",LEFT(B95,3)="157"),E95+SUMIFS(CT!$F$5:$F$143,CT!$D$5:$D$143,DMTK!B95)-SUMIFS(CT!$F$5:$F$143,CT!$E$5:$E$143,DMTK!B95),0)</f>
        <v>0</v>
      </c>
      <c r="J95" s="28">
        <f t="shared" si="3"/>
        <v>92124999</v>
      </c>
      <c r="K95" s="13">
        <f t="shared" si="4"/>
        <v>0</v>
      </c>
      <c r="L95" s="13">
        <f t="shared" si="5"/>
        <v>90000000</v>
      </c>
      <c r="M95" s="29"/>
      <c r="N95" s="13"/>
      <c r="O95" s="23"/>
      <c r="P95" s="13"/>
      <c r="Q95" s="23" t="s">
        <v>224</v>
      </c>
    </row>
    <row r="96" spans="1:17" ht="16.5" customHeight="1" x14ac:dyDescent="0.3">
      <c r="A96" s="23" t="s">
        <v>386</v>
      </c>
      <c r="B96" s="24" t="s">
        <v>387</v>
      </c>
      <c r="C96" s="25" t="s">
        <v>384</v>
      </c>
      <c r="D96" s="8" t="s">
        <v>388</v>
      </c>
      <c r="E96" s="26"/>
      <c r="F96" s="13"/>
      <c r="G96" s="27">
        <f>SUMIFS(CT!$H$5:$H$143,CT!$D$5:$D$143,DMTK!B96)</f>
        <v>0</v>
      </c>
      <c r="H96" s="27">
        <f>SUMIFS(CT!$H$5:$H$143,CT!$E$5:$E$143,DMTK!B96)</f>
        <v>0</v>
      </c>
      <c r="I96" s="13">
        <f>IF(OR(LEFT(B96,3)="152",LEFT(B96,3)="153",LEFT(B96,3)="155",LEFT(B96,3)="156",LEFT(B96,3)="157"),E96+SUMIFS(CT!$F$5:$F$143,CT!$D$5:$D$143,DMTK!B96)-SUMIFS(CT!$F$5:$F$143,CT!$E$5:$E$143,DMTK!B96),0)</f>
        <v>0</v>
      </c>
      <c r="J96" s="28">
        <f t="shared" si="3"/>
        <v>0</v>
      </c>
      <c r="K96" s="13">
        <f t="shared" si="4"/>
        <v>0</v>
      </c>
      <c r="L96" s="13">
        <f t="shared" si="5"/>
        <v>0</v>
      </c>
      <c r="M96" s="29"/>
      <c r="N96" s="13"/>
      <c r="O96" s="23"/>
      <c r="P96" s="13"/>
      <c r="Q96" s="23" t="s">
        <v>224</v>
      </c>
    </row>
    <row r="97" spans="1:17" ht="16.5" customHeight="1" x14ac:dyDescent="0.3">
      <c r="A97" s="23" t="s">
        <v>389</v>
      </c>
      <c r="B97" s="24" t="s">
        <v>390</v>
      </c>
      <c r="C97" s="25" t="s">
        <v>222</v>
      </c>
      <c r="D97" s="8" t="s">
        <v>391</v>
      </c>
      <c r="E97" s="26"/>
      <c r="F97" s="13">
        <v>0</v>
      </c>
      <c r="G97" s="27">
        <f>SUMIFS(CT!$H$5:$H$143,CT!$D$5:$D$143,DMTK!B97)</f>
        <v>0</v>
      </c>
      <c r="H97" s="27">
        <f>SUMIFS(CT!$H$5:$H$143,CT!$E$5:$E$143,DMTK!B97)</f>
        <v>0</v>
      </c>
      <c r="I97" s="13">
        <f>IF(OR(LEFT(B97,3)="152",LEFT(B97,3)="153",LEFT(B97,3)="155",LEFT(B97,3)="156",LEFT(B97,3)="157"),E97+SUMIFS(CT!$F$5:$F$143,CT!$D$5:$D$143,DMTK!B97)-SUMIFS(CT!$F$5:$F$143,CT!$E$5:$E$143,DMTK!B97),0)</f>
        <v>0</v>
      </c>
      <c r="J97" s="28">
        <f t="shared" si="3"/>
        <v>0</v>
      </c>
      <c r="K97" s="13">
        <f t="shared" si="4"/>
        <v>0</v>
      </c>
      <c r="L97" s="13">
        <f t="shared" si="5"/>
        <v>0</v>
      </c>
      <c r="M97" s="29"/>
      <c r="N97" s="13"/>
      <c r="O97" s="23"/>
      <c r="P97" s="13"/>
      <c r="Q97" s="23" t="s">
        <v>224</v>
      </c>
    </row>
    <row r="98" spans="1:17" ht="16.5" customHeight="1" x14ac:dyDescent="0.3">
      <c r="A98" s="23" t="s">
        <v>392</v>
      </c>
      <c r="B98" s="24" t="s">
        <v>393</v>
      </c>
      <c r="C98" s="25" t="s">
        <v>222</v>
      </c>
      <c r="D98" s="8" t="s">
        <v>394</v>
      </c>
      <c r="E98" s="26"/>
      <c r="F98" s="13">
        <v>0</v>
      </c>
      <c r="G98" s="27">
        <f>SUMIFS(CT!$H$5:$H$143,CT!$D$5:$D$143,DMTK!B98)</f>
        <v>0</v>
      </c>
      <c r="H98" s="27">
        <f>SUMIFS(CT!$H$5:$H$143,CT!$E$5:$E$143,DMTK!B98)</f>
        <v>0</v>
      </c>
      <c r="I98" s="13">
        <f>IF(OR(LEFT(B98,3)="152",LEFT(B98,3)="153",LEFT(B98,3)="155",LEFT(B98,3)="156",LEFT(B98,3)="157"),E98+SUMIFS(CT!$F$5:$F$143,CT!$D$5:$D$143,DMTK!B98)-SUMIFS(CT!$F$5:$F$143,CT!$E$5:$E$143,DMTK!B98),0)</f>
        <v>0</v>
      </c>
      <c r="J98" s="28">
        <f t="shared" si="3"/>
        <v>0</v>
      </c>
      <c r="K98" s="13">
        <f t="shared" si="4"/>
        <v>0</v>
      </c>
      <c r="L98" s="13">
        <f t="shared" si="5"/>
        <v>0</v>
      </c>
      <c r="M98" s="29"/>
      <c r="N98" s="13"/>
      <c r="O98" s="23"/>
      <c r="P98" s="13"/>
      <c r="Q98" s="23" t="s">
        <v>224</v>
      </c>
    </row>
    <row r="99" spans="1:17" ht="16.5" customHeight="1" x14ac:dyDescent="0.3">
      <c r="A99" s="23" t="s">
        <v>395</v>
      </c>
      <c r="B99" s="24" t="s">
        <v>396</v>
      </c>
      <c r="C99" s="25" t="s">
        <v>222</v>
      </c>
      <c r="D99" s="30" t="s">
        <v>397</v>
      </c>
      <c r="E99" s="26"/>
      <c r="F99" s="13">
        <v>26000000</v>
      </c>
      <c r="G99" s="27">
        <f>SUMIFS(CT!$H$5:$H$143,CT!$D$5:$D$143,DMTK!B99)</f>
        <v>0</v>
      </c>
      <c r="H99" s="27">
        <f>SUMIFS(CT!$H$5:$H$143,CT!$E$5:$E$143,DMTK!B99)</f>
        <v>0</v>
      </c>
      <c r="I99" s="13">
        <f>IF(OR(LEFT(B99,3)="152",LEFT(B99,3)="153",LEFT(B99,3)="155",LEFT(B99,3)="156",LEFT(B99,3)="157"),E99+SUMIFS(CT!$F$5:$F$143,CT!$D$5:$D$143,DMTK!B99)-SUMIFS(CT!$F$5:$F$143,CT!$E$5:$E$143,DMTK!B99),0)</f>
        <v>0</v>
      </c>
      <c r="J99" s="28">
        <f t="shared" si="3"/>
        <v>26000000</v>
      </c>
      <c r="K99" s="13">
        <f t="shared" si="4"/>
        <v>26000000</v>
      </c>
      <c r="L99" s="13">
        <f t="shared" si="5"/>
        <v>0</v>
      </c>
      <c r="M99" s="29"/>
      <c r="N99" s="13"/>
      <c r="O99" s="23"/>
      <c r="P99" s="13"/>
      <c r="Q99" s="23" t="s">
        <v>224</v>
      </c>
    </row>
    <row r="100" spans="1:17" ht="16.5" customHeight="1" x14ac:dyDescent="0.3">
      <c r="A100" s="23" t="s">
        <v>398</v>
      </c>
      <c r="B100" s="24" t="s">
        <v>399</v>
      </c>
      <c r="C100" s="25" t="s">
        <v>222</v>
      </c>
      <c r="D100" s="30" t="s">
        <v>400</v>
      </c>
      <c r="E100" s="26"/>
      <c r="F100" s="13">
        <v>80000000</v>
      </c>
      <c r="G100" s="27">
        <f>SUMIFS(CT!$H$5:$H$143,CT!$D$5:$D$143,DMTK!B100)</f>
        <v>0</v>
      </c>
      <c r="H100" s="27">
        <f>SUMIFS(CT!$H$5:$H$143,CT!$E$5:$E$143,DMTK!B100)</f>
        <v>0</v>
      </c>
      <c r="I100" s="13">
        <f>IF(OR(LEFT(B100,3)="152",LEFT(B100,3)="153",LEFT(B100,3)="155",LEFT(B100,3)="156",LEFT(B100,3)="157"),E100+SUMIFS(CT!$F$5:$F$143,CT!$D$5:$D$143,DMTK!B100)-SUMIFS(CT!$F$5:$F$143,CT!$E$5:$E$143,DMTK!B100),0)</f>
        <v>0</v>
      </c>
      <c r="J100" s="28">
        <f t="shared" si="3"/>
        <v>80000000</v>
      </c>
      <c r="K100" s="13">
        <f t="shared" si="4"/>
        <v>80000000</v>
      </c>
      <c r="L100" s="13">
        <f t="shared" si="5"/>
        <v>0</v>
      </c>
      <c r="M100" s="29"/>
      <c r="N100" s="13"/>
      <c r="O100" s="23"/>
      <c r="P100" s="13"/>
      <c r="Q100" s="23" t="s">
        <v>224</v>
      </c>
    </row>
    <row r="101" spans="1:17" ht="16.5" customHeight="1" x14ac:dyDescent="0.3">
      <c r="A101" s="23" t="s">
        <v>401</v>
      </c>
      <c r="B101" s="24" t="s">
        <v>402</v>
      </c>
      <c r="C101" s="25" t="s">
        <v>222</v>
      </c>
      <c r="D101" s="8" t="s">
        <v>403</v>
      </c>
      <c r="E101" s="26"/>
      <c r="F101" s="13">
        <v>30000000</v>
      </c>
      <c r="G101" s="27">
        <f>SUMIFS(CT!$H$5:$H$143,CT!$D$5:$D$143,DMTK!B101)</f>
        <v>0</v>
      </c>
      <c r="H101" s="27">
        <f>SUMIFS(CT!$H$5:$H$143,CT!$E$5:$E$143,DMTK!B101)</f>
        <v>0</v>
      </c>
      <c r="I101" s="13">
        <f>IF(OR(LEFT(B101,3)="152",LEFT(B101,3)="153",LEFT(B101,3)="155",LEFT(B101,3)="156",LEFT(B101,3)="157"),E101+SUMIFS(CT!$F$5:$F$143,CT!$D$5:$D$143,DMTK!B101)-SUMIFS(CT!$F$5:$F$143,CT!$E$5:$E$143,DMTK!B101),0)</f>
        <v>0</v>
      </c>
      <c r="J101" s="28">
        <f t="shared" si="3"/>
        <v>30000000</v>
      </c>
      <c r="K101" s="13">
        <f t="shared" si="4"/>
        <v>30000000</v>
      </c>
      <c r="L101" s="13">
        <f t="shared" si="5"/>
        <v>0</v>
      </c>
      <c r="M101" s="29"/>
      <c r="N101" s="13"/>
      <c r="O101" s="23"/>
      <c r="P101" s="13"/>
      <c r="Q101" s="23" t="s">
        <v>224</v>
      </c>
    </row>
    <row r="102" spans="1:17" ht="16.5" customHeight="1" x14ac:dyDescent="0.3">
      <c r="A102" s="23" t="s">
        <v>404</v>
      </c>
      <c r="B102" s="24" t="s">
        <v>405</v>
      </c>
      <c r="C102" s="25" t="s">
        <v>384</v>
      </c>
      <c r="D102" s="30" t="s">
        <v>406</v>
      </c>
      <c r="E102" s="26"/>
      <c r="F102" s="13"/>
      <c r="G102" s="27">
        <f>SUMIFS(CT!$H$5:$H$143,CT!$D$5:$D$143,DMTK!B102)</f>
        <v>0</v>
      </c>
      <c r="H102" s="27">
        <f>SUMIFS(CT!$H$5:$H$143,CT!$E$5:$E$143,DMTK!B102)</f>
        <v>0</v>
      </c>
      <c r="I102" s="13">
        <f>IF(OR(LEFT(B102,3)="152",LEFT(B102,3)="153",LEFT(B102,3)="155",LEFT(B102,3)="156",LEFT(B102,3)="157"),E102+SUMIFS(CT!$F$5:$F$143,CT!$D$5:$D$143,DMTK!B102)-SUMIFS(CT!$F$5:$F$143,CT!$E$5:$E$143,DMTK!B102),0)</f>
        <v>0</v>
      </c>
      <c r="J102" s="28">
        <f t="shared" si="3"/>
        <v>0</v>
      </c>
      <c r="K102" s="13">
        <f t="shared" si="4"/>
        <v>0</v>
      </c>
      <c r="L102" s="13">
        <f t="shared" si="5"/>
        <v>0</v>
      </c>
      <c r="M102" s="29"/>
      <c r="N102" s="13"/>
      <c r="O102" s="23"/>
      <c r="P102" s="13"/>
      <c r="Q102" s="23" t="s">
        <v>224</v>
      </c>
    </row>
    <row r="103" spans="1:17" ht="16.5" customHeight="1" x14ac:dyDescent="0.3">
      <c r="A103" s="23" t="s">
        <v>407</v>
      </c>
      <c r="B103" s="24" t="s">
        <v>408</v>
      </c>
      <c r="C103" s="25" t="s">
        <v>384</v>
      </c>
      <c r="D103" s="30" t="s">
        <v>409</v>
      </c>
      <c r="E103" s="26"/>
      <c r="F103" s="13"/>
      <c r="G103" s="27">
        <f>SUMIFS(CT!$H$5:$H$143,CT!$D$5:$D$143,DMTK!B103)</f>
        <v>0</v>
      </c>
      <c r="H103" s="27">
        <f>SUMIFS(CT!$H$5:$H$143,CT!$E$5:$E$143,DMTK!B103)</f>
        <v>0</v>
      </c>
      <c r="I103" s="13">
        <f>IF(OR(LEFT(B103,3)="152",LEFT(B103,3)="153",LEFT(B103,3)="155",LEFT(B103,3)="156",LEFT(B103,3)="157"),E103+SUMIFS(CT!$F$5:$F$143,CT!$D$5:$D$143,DMTK!B103)-SUMIFS(CT!$F$5:$F$143,CT!$E$5:$E$143,DMTK!B103),0)</f>
        <v>0</v>
      </c>
      <c r="J103" s="28">
        <f t="shared" si="3"/>
        <v>0</v>
      </c>
      <c r="K103" s="13">
        <f t="shared" si="4"/>
        <v>0</v>
      </c>
      <c r="L103" s="13">
        <f t="shared" si="5"/>
        <v>0</v>
      </c>
      <c r="M103" s="29"/>
      <c r="N103" s="13"/>
      <c r="O103" s="23"/>
      <c r="P103" s="13"/>
      <c r="Q103" s="23" t="s">
        <v>224</v>
      </c>
    </row>
    <row r="104" spans="1:17" ht="16.5" customHeight="1" x14ac:dyDescent="0.3">
      <c r="A104" s="23" t="s">
        <v>410</v>
      </c>
      <c r="B104" s="24" t="s">
        <v>411</v>
      </c>
      <c r="C104" s="25" t="s">
        <v>384</v>
      </c>
      <c r="D104" s="30" t="s">
        <v>412</v>
      </c>
      <c r="E104" s="26"/>
      <c r="F104" s="13">
        <v>30000000</v>
      </c>
      <c r="G104" s="27">
        <f>SUMIFS(CT!$H$5:$H$143,CT!$D$5:$D$143,DMTK!B104)</f>
        <v>0</v>
      </c>
      <c r="H104" s="27">
        <f>SUMIFS(CT!$H$5:$H$143,CT!$E$5:$E$143,DMTK!B104)</f>
        <v>0</v>
      </c>
      <c r="I104" s="13">
        <f>IF(OR(LEFT(B104,3)="152",LEFT(B104,3)="153",LEFT(B104,3)="155",LEFT(B104,3)="156",LEFT(B104,3)="157"),E104+SUMIFS(CT!$F$5:$F$143,CT!$D$5:$D$143,DMTK!B104)-SUMIFS(CT!$F$5:$F$143,CT!$E$5:$E$143,DMTK!B104),0)</f>
        <v>0</v>
      </c>
      <c r="J104" s="28">
        <f t="shared" si="3"/>
        <v>30000000</v>
      </c>
      <c r="K104" s="13">
        <f t="shared" si="4"/>
        <v>0</v>
      </c>
      <c r="L104" s="13">
        <f t="shared" si="5"/>
        <v>30000000</v>
      </c>
      <c r="M104" s="29"/>
      <c r="N104" s="13"/>
      <c r="O104" s="23"/>
      <c r="P104" s="13"/>
      <c r="Q104" s="23" t="s">
        <v>224</v>
      </c>
    </row>
    <row r="105" spans="1:17" ht="16.5" customHeight="1" x14ac:dyDescent="0.3">
      <c r="A105" s="23" t="s">
        <v>413</v>
      </c>
      <c r="B105" s="24" t="s">
        <v>414</v>
      </c>
      <c r="C105" s="25" t="s">
        <v>384</v>
      </c>
      <c r="D105" s="30" t="s">
        <v>415</v>
      </c>
      <c r="E105" s="26"/>
      <c r="G105" s="27">
        <f>SUMIFS(CT!$H$5:$H$143,CT!$D$5:$D$143,DMTK!B105)</f>
        <v>0</v>
      </c>
      <c r="H105" s="27">
        <f>SUMIFS(CT!$H$5:$H$143,CT!$E$5:$E$143,DMTK!B105)</f>
        <v>0</v>
      </c>
      <c r="I105" s="13">
        <f>IF(OR(LEFT(B105,3)="152",LEFT(B105,3)="153",LEFT(B105,3)="155",LEFT(B105,3)="156",LEFT(B105,3)="157"),E105+SUMIFS(CT!$F$5:$F$143,CT!$D$5:$D$143,DMTK!B105)-SUMIFS(CT!$F$5:$F$143,CT!$E$5:$E$143,DMTK!B105),0)</f>
        <v>0</v>
      </c>
      <c r="J105" s="28">
        <f t="shared" si="3"/>
        <v>0</v>
      </c>
      <c r="K105" s="13">
        <f t="shared" si="4"/>
        <v>0</v>
      </c>
      <c r="L105" s="13">
        <f t="shared" si="5"/>
        <v>0</v>
      </c>
      <c r="M105" s="29"/>
      <c r="N105" s="13"/>
      <c r="O105" s="23"/>
      <c r="P105" s="13"/>
      <c r="Q105" s="23" t="s">
        <v>224</v>
      </c>
    </row>
    <row r="106" spans="1:17" ht="16.5" customHeight="1" x14ac:dyDescent="0.3">
      <c r="A106" s="23" t="s">
        <v>416</v>
      </c>
      <c r="B106" s="24" t="s">
        <v>417</v>
      </c>
      <c r="C106" s="25" t="s">
        <v>384</v>
      </c>
      <c r="D106" s="30" t="s">
        <v>418</v>
      </c>
      <c r="E106" s="26"/>
      <c r="F106" s="13">
        <v>80000000</v>
      </c>
      <c r="G106" s="27">
        <f>SUMIFS(CT!$H$5:$H$143,CT!$D$5:$D$143,DMTK!B106)</f>
        <v>0</v>
      </c>
      <c r="H106" s="27">
        <f>SUMIFS(CT!$H$5:$H$143,CT!$E$5:$E$143,DMTK!B106)</f>
        <v>0</v>
      </c>
      <c r="I106" s="13">
        <f>IF(OR(LEFT(B106,3)="152",LEFT(B106,3)="153",LEFT(B106,3)="155",LEFT(B106,3)="156",LEFT(B106,3)="157"),E106+SUMIFS(CT!$F$5:$F$143,CT!$D$5:$D$143,DMTK!B106)-SUMIFS(CT!$F$5:$F$143,CT!$E$5:$E$143,DMTK!B106),0)</f>
        <v>0</v>
      </c>
      <c r="J106" s="28">
        <f t="shared" si="3"/>
        <v>80000000</v>
      </c>
      <c r="K106" s="13">
        <f t="shared" si="4"/>
        <v>0</v>
      </c>
      <c r="L106" s="13">
        <f t="shared" si="5"/>
        <v>80000000</v>
      </c>
      <c r="M106" s="29"/>
      <c r="N106" s="13"/>
      <c r="O106" s="23"/>
      <c r="P106" s="13"/>
      <c r="Q106" s="23" t="s">
        <v>224</v>
      </c>
    </row>
    <row r="107" spans="1:17" ht="16.5" customHeight="1" x14ac:dyDescent="0.3">
      <c r="A107" s="23" t="s">
        <v>419</v>
      </c>
      <c r="B107" s="24" t="s">
        <v>420</v>
      </c>
      <c r="C107" s="25" t="s">
        <v>222</v>
      </c>
      <c r="D107" s="8" t="s">
        <v>421</v>
      </c>
      <c r="E107" s="26"/>
      <c r="F107" s="13">
        <v>250000000</v>
      </c>
      <c r="G107" s="27">
        <f>SUMIFS(CT!$H$5:$H$143,CT!$D$5:$D$143,DMTK!B107)</f>
        <v>0</v>
      </c>
      <c r="H107" s="27">
        <f>SUMIFS(CT!$H$5:$H$143,CT!$E$5:$E$143,DMTK!B107)</f>
        <v>0</v>
      </c>
      <c r="I107" s="13">
        <f>IF(OR(LEFT(B107,3)="152",LEFT(B107,3)="153",LEFT(B107,3)="155",LEFT(B107,3)="156",LEFT(B107,3)="157"),E107+SUMIFS(CT!$F$5:$F$143,CT!$D$5:$D$143,DMTK!B107)-SUMIFS(CT!$F$5:$F$143,CT!$E$5:$E$143,DMTK!B107),0)</f>
        <v>0</v>
      </c>
      <c r="J107" s="28">
        <f t="shared" si="3"/>
        <v>250000000</v>
      </c>
      <c r="K107" s="13">
        <f t="shared" si="4"/>
        <v>250000000</v>
      </c>
      <c r="L107" s="13">
        <f t="shared" si="5"/>
        <v>0</v>
      </c>
      <c r="M107" s="29"/>
      <c r="N107" s="13"/>
      <c r="O107" s="23"/>
      <c r="P107" s="13"/>
      <c r="Q107" s="23" t="s">
        <v>224</v>
      </c>
    </row>
    <row r="108" spans="1:17" ht="16.5" customHeight="1" x14ac:dyDescent="0.3">
      <c r="A108" s="23" t="s">
        <v>419</v>
      </c>
      <c r="B108" s="24" t="s">
        <v>422</v>
      </c>
      <c r="C108" s="25" t="s">
        <v>222</v>
      </c>
      <c r="D108" s="8" t="s">
        <v>423</v>
      </c>
      <c r="E108" s="26"/>
      <c r="F108" s="13">
        <v>213760000</v>
      </c>
      <c r="G108" s="27">
        <f>SUMIFS(CT!$H$5:$H$143,CT!$D$5:$D$143,DMTK!B108)</f>
        <v>0</v>
      </c>
      <c r="H108" s="27">
        <f>SUMIFS(CT!$H$5:$H$143,CT!$E$5:$E$143,DMTK!B108)</f>
        <v>0</v>
      </c>
      <c r="I108" s="13">
        <f>IF(OR(LEFT(B108,3)="152",LEFT(B108,3)="153",LEFT(B108,3)="155",LEFT(B108,3)="156",LEFT(B108,3)="157"),E108+SUMIFS(CT!$F$5:$F$143,CT!$D$5:$D$143,DMTK!B108)-SUMIFS(CT!$F$5:$F$143,CT!$E$5:$E$143,DMTK!B108),0)</f>
        <v>0</v>
      </c>
      <c r="J108" s="28">
        <f t="shared" si="3"/>
        <v>213760000</v>
      </c>
      <c r="K108" s="13">
        <f t="shared" si="4"/>
        <v>213760000</v>
      </c>
      <c r="L108" s="13">
        <f t="shared" si="5"/>
        <v>0</v>
      </c>
      <c r="M108" s="29"/>
      <c r="N108" s="13"/>
      <c r="O108" s="23"/>
      <c r="P108" s="13"/>
      <c r="Q108" s="23" t="s">
        <v>224</v>
      </c>
    </row>
    <row r="109" spans="1:17" ht="16.5" customHeight="1" x14ac:dyDescent="0.3">
      <c r="A109" s="23" t="s">
        <v>419</v>
      </c>
      <c r="B109" s="24" t="s">
        <v>424</v>
      </c>
      <c r="C109" s="25" t="s">
        <v>222</v>
      </c>
      <c r="D109" s="8" t="s">
        <v>425</v>
      </c>
      <c r="E109" s="26"/>
      <c r="F109" s="13">
        <v>0</v>
      </c>
      <c r="G109" s="27">
        <f>SUMIFS(CT!$H$5:$H$143,CT!$D$5:$D$143,DMTK!B109)</f>
        <v>0</v>
      </c>
      <c r="H109" s="27">
        <f>SUMIFS(CT!$H$5:$H$143,CT!$E$5:$E$143,DMTK!B109)</f>
        <v>0</v>
      </c>
      <c r="I109" s="13">
        <f>IF(OR(LEFT(B109,3)="152",LEFT(B109,3)="153",LEFT(B109,3)="155",LEFT(B109,3)="156",LEFT(B109,3)="157"),E109+SUMIFS(CT!$F$5:$F$143,CT!$D$5:$D$143,DMTK!B109)-SUMIFS(CT!$F$5:$F$143,CT!$E$5:$E$143,DMTK!B109),0)</f>
        <v>0</v>
      </c>
      <c r="J109" s="28">
        <f t="shared" si="3"/>
        <v>0</v>
      </c>
      <c r="K109" s="13">
        <f t="shared" si="4"/>
        <v>0</v>
      </c>
      <c r="L109" s="13">
        <f t="shared" si="5"/>
        <v>0</v>
      </c>
      <c r="M109" s="29"/>
      <c r="N109" s="13"/>
      <c r="O109" s="23"/>
      <c r="P109" s="13"/>
      <c r="Q109" s="23" t="s">
        <v>224</v>
      </c>
    </row>
    <row r="110" spans="1:17" ht="16.5" customHeight="1" x14ac:dyDescent="0.3">
      <c r="A110" s="23" t="s">
        <v>426</v>
      </c>
      <c r="B110" s="24" t="s">
        <v>101</v>
      </c>
      <c r="C110" s="25" t="s">
        <v>222</v>
      </c>
      <c r="D110" s="8" t="s">
        <v>427</v>
      </c>
      <c r="E110" s="26"/>
      <c r="F110" s="13">
        <v>5000000</v>
      </c>
      <c r="G110" s="27">
        <f>SUMIFS(CT!$H$5:$H$143,CT!$D$5:$D$143,DMTK!B110)</f>
        <v>2500000</v>
      </c>
      <c r="H110" s="27">
        <f>SUMIFS(CT!$H$5:$H$143,CT!$E$5:$E$143,DMTK!B110)</f>
        <v>500000</v>
      </c>
      <c r="I110" s="13">
        <f>IF(OR(LEFT(B110,3)="152",LEFT(B110,3)="153",LEFT(B110,3)="155",LEFT(B110,3)="156",LEFT(B110,3)="157"),E110+SUMIFS(CT!$F$5:$F$143,CT!$D$5:$D$143,DMTK!B110)-SUMIFS(CT!$F$5:$F$143,CT!$E$5:$E$143,DMTK!B110),0)</f>
        <v>0</v>
      </c>
      <c r="J110" s="28">
        <f t="shared" si="3"/>
        <v>7000000</v>
      </c>
      <c r="K110" s="13">
        <f t="shared" si="4"/>
        <v>5000000</v>
      </c>
      <c r="L110" s="13">
        <f t="shared" si="5"/>
        <v>0</v>
      </c>
      <c r="M110" s="29"/>
      <c r="N110" s="13"/>
      <c r="O110" s="23"/>
      <c r="P110" s="13"/>
      <c r="Q110" s="23" t="s">
        <v>224</v>
      </c>
    </row>
    <row r="111" spans="1:17" ht="16.5" customHeight="1" x14ac:dyDescent="0.3">
      <c r="A111" s="23" t="s">
        <v>426</v>
      </c>
      <c r="B111" s="24" t="s">
        <v>98</v>
      </c>
      <c r="C111" s="25" t="s">
        <v>222</v>
      </c>
      <c r="D111" s="8" t="s">
        <v>428</v>
      </c>
      <c r="E111" s="26"/>
      <c r="F111" s="13">
        <v>8000000</v>
      </c>
      <c r="G111" s="27">
        <f>SUMIFS(CT!$H$5:$H$143,CT!$D$5:$D$143,DMTK!B111)</f>
        <v>1000000</v>
      </c>
      <c r="H111" s="27">
        <f>SUMIFS(CT!$H$5:$H$143,CT!$E$5:$E$143,DMTK!B111)</f>
        <v>250000</v>
      </c>
      <c r="I111" s="13">
        <f>IF(OR(LEFT(B111,3)="152",LEFT(B111,3)="153",LEFT(B111,3)="155",LEFT(B111,3)="156",LEFT(B111,3)="157"),E111+SUMIFS(CT!$F$5:$F$143,CT!$D$5:$D$143,DMTK!B111)-SUMIFS(CT!$F$5:$F$143,CT!$E$5:$E$143,DMTK!B111),0)</f>
        <v>0</v>
      </c>
      <c r="J111" s="28">
        <f t="shared" si="3"/>
        <v>8750000</v>
      </c>
      <c r="K111" s="13">
        <f t="shared" si="4"/>
        <v>8000000</v>
      </c>
      <c r="L111" s="13">
        <f t="shared" si="5"/>
        <v>0</v>
      </c>
      <c r="M111" s="29"/>
      <c r="N111" s="13"/>
      <c r="O111" s="23"/>
      <c r="P111" s="13"/>
      <c r="Q111" s="23" t="s">
        <v>224</v>
      </c>
    </row>
    <row r="112" spans="1:17" ht="16.5" customHeight="1" x14ac:dyDescent="0.3">
      <c r="A112" s="23" t="s">
        <v>429</v>
      </c>
      <c r="B112" s="24" t="s">
        <v>430</v>
      </c>
      <c r="C112" s="25" t="s">
        <v>222</v>
      </c>
      <c r="D112" s="8" t="s">
        <v>431</v>
      </c>
      <c r="E112" s="26"/>
      <c r="F112" s="13">
        <v>0</v>
      </c>
      <c r="G112" s="27">
        <f>SUMIFS(CT!$H$5:$H$143,CT!$D$5:$D$143,DMTK!B112)</f>
        <v>0</v>
      </c>
      <c r="H112" s="27">
        <f>SUMIFS(CT!$H$5:$H$143,CT!$E$5:$E$143,DMTK!B112)</f>
        <v>0</v>
      </c>
      <c r="I112" s="13">
        <f>IF(OR(LEFT(B112,3)="152",LEFT(B112,3)="153",LEFT(B112,3)="155",LEFT(B112,3)="156",LEFT(B112,3)="157"),E112+SUMIFS(CT!$F$5:$F$143,CT!$D$5:$D$143,DMTK!B112)-SUMIFS(CT!$F$5:$F$143,CT!$E$5:$E$143,DMTK!B112),0)</f>
        <v>0</v>
      </c>
      <c r="J112" s="28">
        <f t="shared" si="3"/>
        <v>0</v>
      </c>
      <c r="K112" s="13">
        <f t="shared" si="4"/>
        <v>0</v>
      </c>
      <c r="L112" s="13">
        <f t="shared" si="5"/>
        <v>0</v>
      </c>
      <c r="M112" s="29"/>
      <c r="N112" s="13"/>
      <c r="O112" s="23"/>
      <c r="P112" s="13"/>
      <c r="Q112" s="23" t="s">
        <v>224</v>
      </c>
    </row>
    <row r="113" spans="1:17" ht="16.5" customHeight="1" x14ac:dyDescent="0.3">
      <c r="A113" s="23" t="s">
        <v>429</v>
      </c>
      <c r="B113" s="24" t="s">
        <v>432</v>
      </c>
      <c r="C113" s="25" t="s">
        <v>222</v>
      </c>
      <c r="D113" s="8" t="s">
        <v>433</v>
      </c>
      <c r="E113" s="26"/>
      <c r="F113" s="13">
        <v>0</v>
      </c>
      <c r="G113" s="27">
        <f>SUMIFS(CT!$H$5:$H$143,CT!$D$5:$D$143,DMTK!B113)</f>
        <v>0</v>
      </c>
      <c r="H113" s="27">
        <f>SUMIFS(CT!$H$5:$H$143,CT!$E$5:$E$143,DMTK!B113)</f>
        <v>0</v>
      </c>
      <c r="I113" s="13">
        <f>IF(OR(LEFT(B113,3)="152",LEFT(B113,3)="153",LEFT(B113,3)="155",LEFT(B113,3)="156",LEFT(B113,3)="157"),E113+SUMIFS(CT!$F$5:$F$143,CT!$D$5:$D$143,DMTK!B113)-SUMIFS(CT!$F$5:$F$143,CT!$E$5:$E$143,DMTK!B113),0)</f>
        <v>0</v>
      </c>
      <c r="J113" s="28">
        <f t="shared" si="3"/>
        <v>0</v>
      </c>
      <c r="K113" s="13">
        <f t="shared" si="4"/>
        <v>0</v>
      </c>
      <c r="L113" s="13">
        <f t="shared" si="5"/>
        <v>0</v>
      </c>
      <c r="M113" s="29"/>
      <c r="N113" s="13"/>
      <c r="O113" s="23"/>
      <c r="P113" s="13"/>
      <c r="Q113" s="23" t="s">
        <v>224</v>
      </c>
    </row>
    <row r="114" spans="1:17" ht="16.5" customHeight="1" x14ac:dyDescent="0.3">
      <c r="A114" s="23" t="s">
        <v>429</v>
      </c>
      <c r="B114" s="24" t="s">
        <v>434</v>
      </c>
      <c r="C114" s="25" t="s">
        <v>222</v>
      </c>
      <c r="D114" s="8" t="s">
        <v>435</v>
      </c>
      <c r="E114" s="26"/>
      <c r="F114" s="13"/>
      <c r="G114" s="27">
        <f>SUMIFS(CT!$H$5:$H$143,CT!$D$5:$D$143,DMTK!B114)</f>
        <v>0</v>
      </c>
      <c r="H114" s="27">
        <f>SUMIFS(CT!$H$5:$H$143,CT!$E$5:$E$143,DMTK!B114)</f>
        <v>0</v>
      </c>
      <c r="I114" s="13">
        <f>IF(OR(LEFT(B114,3)="152",LEFT(B114,3)="153",LEFT(B114,3)="155",LEFT(B114,3)="156",LEFT(B114,3)="157"),E114+SUMIFS(CT!$F$5:$F$143,CT!$D$5:$D$143,DMTK!B114)-SUMIFS(CT!$F$5:$F$143,CT!$E$5:$E$143,DMTK!B114),0)</f>
        <v>0</v>
      </c>
      <c r="J114" s="28">
        <f t="shared" si="3"/>
        <v>0</v>
      </c>
      <c r="K114" s="13">
        <f t="shared" si="4"/>
        <v>0</v>
      </c>
      <c r="L114" s="13">
        <f t="shared" si="5"/>
        <v>0</v>
      </c>
      <c r="M114" s="29"/>
      <c r="N114" s="13"/>
      <c r="O114" s="23"/>
      <c r="P114" s="13"/>
      <c r="Q114" s="23" t="s">
        <v>224</v>
      </c>
    </row>
    <row r="115" spans="1:17" ht="16.5" customHeight="1" x14ac:dyDescent="0.3">
      <c r="A115" s="23" t="s">
        <v>436</v>
      </c>
      <c r="B115" s="24" t="s">
        <v>437</v>
      </c>
      <c r="C115" s="25" t="s">
        <v>222</v>
      </c>
      <c r="D115" s="23" t="s">
        <v>438</v>
      </c>
      <c r="E115" s="26"/>
      <c r="F115" s="13">
        <v>0</v>
      </c>
      <c r="G115" s="27">
        <f>SUMIFS(CT!$H$5:$H$143,CT!$D$5:$D$143,DMTK!B115)</f>
        <v>0</v>
      </c>
      <c r="H115" s="27">
        <f>SUMIFS(CT!$H$5:$H$143,CT!$E$5:$E$143,DMTK!B115)</f>
        <v>0</v>
      </c>
      <c r="I115" s="13">
        <f>IF(OR(LEFT(B115,3)="152",LEFT(B115,3)="153",LEFT(B115,3)="155",LEFT(B115,3)="156",LEFT(B115,3)="157"),E115+SUMIFS(CT!$F$5:$F$143,CT!$D$5:$D$143,DMTK!B115)-SUMIFS(CT!$F$5:$F$143,CT!$E$5:$E$143,DMTK!B115),0)</f>
        <v>0</v>
      </c>
      <c r="J115" s="28">
        <f t="shared" si="3"/>
        <v>0</v>
      </c>
      <c r="K115" s="13">
        <f t="shared" si="4"/>
        <v>0</v>
      </c>
      <c r="L115" s="13">
        <f t="shared" si="5"/>
        <v>0</v>
      </c>
      <c r="M115" s="29"/>
      <c r="N115" s="13"/>
      <c r="O115" s="23"/>
      <c r="P115" s="13"/>
      <c r="Q115" s="23" t="s">
        <v>224</v>
      </c>
    </row>
    <row r="116" spans="1:17" ht="16.5" customHeight="1" x14ac:dyDescent="0.3">
      <c r="A116" s="23" t="s">
        <v>289</v>
      </c>
      <c r="B116" s="24" t="s">
        <v>439</v>
      </c>
      <c r="C116" s="25" t="s">
        <v>222</v>
      </c>
      <c r="D116" s="23" t="s">
        <v>440</v>
      </c>
      <c r="E116" s="26"/>
      <c r="F116" s="13">
        <v>130000000</v>
      </c>
      <c r="G116" s="27">
        <f>SUMIFS(CT!$H$5:$H$143,CT!$D$5:$D$143,DMTK!B116)</f>
        <v>0</v>
      </c>
      <c r="H116" s="27">
        <f>SUMIFS(CT!$H$5:$H$143,CT!$E$5:$E$143,DMTK!B116)</f>
        <v>0</v>
      </c>
      <c r="I116" s="13">
        <f>IF(OR(LEFT(B116,3)="152",LEFT(B116,3)="153",LEFT(B116,3)="155",LEFT(B116,3)="156",LEFT(B116,3)="157"),E116+SUMIFS(CT!$F$5:$F$143,CT!$D$5:$D$143,DMTK!B116)-SUMIFS(CT!$F$5:$F$143,CT!$E$5:$E$143,DMTK!B116),0)</f>
        <v>0</v>
      </c>
      <c r="J116" s="28">
        <f t="shared" si="3"/>
        <v>130000000</v>
      </c>
      <c r="K116" s="13">
        <f t="shared" si="4"/>
        <v>130000000</v>
      </c>
      <c r="L116" s="13">
        <f t="shared" si="5"/>
        <v>0</v>
      </c>
      <c r="M116" s="29"/>
      <c r="N116" s="13"/>
      <c r="O116" s="23"/>
      <c r="P116" s="13"/>
      <c r="Q116" s="23" t="s">
        <v>224</v>
      </c>
    </row>
    <row r="117" spans="1:17" ht="16.5" customHeight="1" x14ac:dyDescent="0.3">
      <c r="A117" s="23" t="s">
        <v>292</v>
      </c>
      <c r="B117" s="24" t="s">
        <v>441</v>
      </c>
      <c r="C117" s="25" t="s">
        <v>222</v>
      </c>
      <c r="D117" s="23" t="s">
        <v>442</v>
      </c>
      <c r="E117" s="26"/>
      <c r="F117" s="13">
        <v>0</v>
      </c>
      <c r="G117" s="27">
        <f>SUMIFS(CT!$H$5:$H$143,CT!$D$5:$D$143,DMTK!B117)</f>
        <v>0</v>
      </c>
      <c r="H117" s="27">
        <f>SUMIFS(CT!$H$5:$H$143,CT!$E$5:$E$143,DMTK!B117)</f>
        <v>0</v>
      </c>
      <c r="I117" s="13">
        <f>IF(OR(LEFT(B117,3)="152",LEFT(B117,3)="153",LEFT(B117,3)="155",LEFT(B117,3)="156",LEFT(B117,3)="157"),E117+SUMIFS(CT!$F$5:$F$143,CT!$D$5:$D$143,DMTK!B117)-SUMIFS(CT!$F$5:$F$143,CT!$E$5:$E$143,DMTK!B117),0)</f>
        <v>0</v>
      </c>
      <c r="J117" s="28">
        <f t="shared" si="3"/>
        <v>0</v>
      </c>
      <c r="K117" s="13">
        <f t="shared" si="4"/>
        <v>0</v>
      </c>
      <c r="L117" s="13">
        <f t="shared" si="5"/>
        <v>0</v>
      </c>
      <c r="M117" s="29"/>
      <c r="N117" s="13"/>
      <c r="O117" s="23"/>
      <c r="P117" s="13"/>
      <c r="Q117" s="23" t="s">
        <v>224</v>
      </c>
    </row>
    <row r="118" spans="1:17" ht="16.5" customHeight="1" x14ac:dyDescent="0.3">
      <c r="A118" s="23" t="s">
        <v>443</v>
      </c>
      <c r="B118" s="24" t="s">
        <v>46</v>
      </c>
      <c r="C118" s="25" t="s">
        <v>384</v>
      </c>
      <c r="D118" s="8" t="s">
        <v>444</v>
      </c>
      <c r="E118" s="26"/>
      <c r="F118" s="13">
        <v>139000000</v>
      </c>
      <c r="G118" s="27">
        <f>SUMIFS(CT!$H$5:$H$143,CT!$D$5:$D$143,DMTK!B118)</f>
        <v>40000000</v>
      </c>
      <c r="H118" s="27">
        <f>SUMIFS(CT!$H$5:$H$143,CT!$E$5:$E$143,DMTK!B118)</f>
        <v>4755000</v>
      </c>
      <c r="I118" s="13">
        <f>IF(OR(LEFT(B118,3)="152",LEFT(B118,3)="153",LEFT(B118,3)="155",LEFT(B118,3)="156",LEFT(B118,3)="157"),E118+SUMIFS(CT!$F$5:$F$143,CT!$D$5:$D$143,DMTK!B118)-SUMIFS(CT!$F$5:$F$143,CT!$E$5:$E$143,DMTK!B118),0)</f>
        <v>0</v>
      </c>
      <c r="J118" s="28">
        <f t="shared" si="3"/>
        <v>103755000</v>
      </c>
      <c r="K118" s="13">
        <f t="shared" si="4"/>
        <v>0</v>
      </c>
      <c r="L118" s="13">
        <f t="shared" si="5"/>
        <v>139000000</v>
      </c>
      <c r="M118" s="29"/>
      <c r="N118" s="13"/>
      <c r="O118" s="23"/>
      <c r="P118" s="13"/>
      <c r="Q118" s="23" t="s">
        <v>224</v>
      </c>
    </row>
    <row r="119" spans="1:17" ht="16.5" customHeight="1" x14ac:dyDescent="0.3">
      <c r="A119" s="23" t="s">
        <v>443</v>
      </c>
      <c r="B119" s="24" t="s">
        <v>37</v>
      </c>
      <c r="C119" s="25" t="s">
        <v>384</v>
      </c>
      <c r="D119" s="8" t="s">
        <v>445</v>
      </c>
      <c r="E119" s="26"/>
      <c r="F119" s="13">
        <v>73000000</v>
      </c>
      <c r="G119" s="27">
        <f>SUMIFS(CT!$H$5:$H$143,CT!$D$5:$D$143,DMTK!B119)</f>
        <v>0</v>
      </c>
      <c r="H119" s="27">
        <f>SUMIFS(CT!$H$5:$H$143,CT!$E$5:$E$143,DMTK!B119)</f>
        <v>23500000</v>
      </c>
      <c r="I119" s="13">
        <f>IF(OR(LEFT(B119,3)="152",LEFT(B119,3)="153",LEFT(B119,3)="155",LEFT(B119,3)="156",LEFT(B119,3)="157"),E119+SUMIFS(CT!$F$5:$F$143,CT!$D$5:$D$143,DMTK!B119)-SUMIFS(CT!$F$5:$F$143,CT!$E$5:$E$143,DMTK!B119),0)</f>
        <v>0</v>
      </c>
      <c r="J119" s="28">
        <f t="shared" si="3"/>
        <v>96500000</v>
      </c>
      <c r="K119" s="13">
        <f t="shared" si="4"/>
        <v>0</v>
      </c>
      <c r="L119" s="13">
        <f t="shared" si="5"/>
        <v>73000000</v>
      </c>
      <c r="M119" s="29"/>
      <c r="N119" s="13"/>
      <c r="O119" s="23"/>
      <c r="P119" s="13"/>
      <c r="Q119" s="23" t="s">
        <v>224</v>
      </c>
    </row>
    <row r="120" spans="1:17" ht="16.5" customHeight="1" x14ac:dyDescent="0.3">
      <c r="A120" s="23" t="s">
        <v>443</v>
      </c>
      <c r="B120" s="24" t="s">
        <v>53</v>
      </c>
      <c r="C120" s="25" t="s">
        <v>384</v>
      </c>
      <c r="D120" s="8" t="s">
        <v>446</v>
      </c>
      <c r="E120" s="26"/>
      <c r="F120" s="13"/>
      <c r="G120" s="27">
        <f>SUMIFS(CT!$H$5:$H$143,CT!$D$5:$D$143,DMTK!B120)</f>
        <v>50000000</v>
      </c>
      <c r="H120" s="27">
        <f>SUMIFS(CT!$H$5:$H$143,CT!$E$5:$E$143,DMTK!B120)</f>
        <v>5500000</v>
      </c>
      <c r="I120" s="13">
        <f>IF(OR(LEFT(B120,3)="152",LEFT(B120,3)="153",LEFT(B120,3)="155",LEFT(B120,3)="156",LEFT(B120,3)="157"),E120+SUMIFS(CT!$F$5:$F$143,CT!$D$5:$D$143,DMTK!B120)-SUMIFS(CT!$F$5:$F$143,CT!$E$5:$E$143,DMTK!B120),0)</f>
        <v>0</v>
      </c>
      <c r="J120" s="28">
        <f t="shared" si="3"/>
        <v>-44500000</v>
      </c>
      <c r="K120" s="13">
        <f t="shared" si="4"/>
        <v>0</v>
      </c>
      <c r="L120" s="13">
        <f t="shared" si="5"/>
        <v>0</v>
      </c>
      <c r="M120" s="29"/>
      <c r="N120" s="13"/>
      <c r="O120" s="23"/>
      <c r="P120" s="13"/>
      <c r="Q120" s="23" t="s">
        <v>224</v>
      </c>
    </row>
    <row r="121" spans="1:17" ht="16.5" customHeight="1" x14ac:dyDescent="0.3">
      <c r="A121" s="23" t="s">
        <v>447</v>
      </c>
      <c r="B121" s="24" t="s">
        <v>126</v>
      </c>
      <c r="C121" s="25" t="s">
        <v>384</v>
      </c>
      <c r="D121" s="8" t="s">
        <v>448</v>
      </c>
      <c r="E121" s="26"/>
      <c r="F121" s="13">
        <v>14200000</v>
      </c>
      <c r="G121" s="27">
        <f>SUMIFS(CT!$H$5:$H$143,CT!$D$5:$D$143,DMTK!B121)</f>
        <v>0</v>
      </c>
      <c r="H121" s="27">
        <f>SUMIFS(CT!$H$5:$H$143,CT!$E$5:$E$143,DMTK!B121)</f>
        <v>3157500</v>
      </c>
      <c r="I121" s="13">
        <f>IF(OR(LEFT(B121,3)="152",LEFT(B121,3)="153",LEFT(B121,3)="155",LEFT(B121,3)="156",LEFT(B121,3)="157"),E121+SUMIFS(CT!$F$5:$F$143,CT!$D$5:$D$143,DMTK!B121)-SUMIFS(CT!$F$5:$F$143,CT!$E$5:$E$143,DMTK!B121),0)</f>
        <v>0</v>
      </c>
      <c r="J121" s="28">
        <f t="shared" si="3"/>
        <v>17357500</v>
      </c>
      <c r="K121" s="13">
        <f t="shared" si="4"/>
        <v>0</v>
      </c>
      <c r="L121" s="13">
        <f t="shared" si="5"/>
        <v>14200000</v>
      </c>
      <c r="M121" s="29"/>
      <c r="N121" s="13"/>
      <c r="O121" s="23"/>
      <c r="P121" s="13"/>
      <c r="Q121" s="23" t="s">
        <v>224</v>
      </c>
    </row>
    <row r="122" spans="1:17" ht="16.5" customHeight="1" x14ac:dyDescent="0.3">
      <c r="A122" s="23" t="s">
        <v>447</v>
      </c>
      <c r="B122" s="24" t="s">
        <v>449</v>
      </c>
      <c r="C122" s="25" t="s">
        <v>384</v>
      </c>
      <c r="D122" s="8" t="s">
        <v>450</v>
      </c>
      <c r="E122" s="26"/>
      <c r="F122" s="13">
        <v>8000000</v>
      </c>
      <c r="G122" s="27">
        <f>SUMIFS(CT!$H$5:$H$143,CT!$D$5:$D$143,DMTK!B122)</f>
        <v>0</v>
      </c>
      <c r="H122" s="27">
        <f>SUMIFS(CT!$H$5:$H$143,CT!$E$5:$E$143,DMTK!B122)</f>
        <v>0</v>
      </c>
      <c r="I122" s="13">
        <f>IF(OR(LEFT(B122,3)="152",LEFT(B122,3)="153",LEFT(B122,3)="155",LEFT(B122,3)="156",LEFT(B122,3)="157"),E122+SUMIFS(CT!$F$5:$F$143,CT!$D$5:$D$143,DMTK!B122)-SUMIFS(CT!$F$5:$F$143,CT!$E$5:$E$143,DMTK!B122),0)</f>
        <v>0</v>
      </c>
      <c r="J122" s="28">
        <f t="shared" si="3"/>
        <v>8000000</v>
      </c>
      <c r="K122" s="13">
        <f t="shared" si="4"/>
        <v>0</v>
      </c>
      <c r="L122" s="13">
        <f t="shared" si="5"/>
        <v>8000000</v>
      </c>
      <c r="M122" s="29"/>
      <c r="N122" s="13"/>
      <c r="O122" s="23"/>
      <c r="P122" s="13"/>
      <c r="Q122" s="23" t="s">
        <v>224</v>
      </c>
    </row>
    <row r="123" spans="1:17" ht="16.5" customHeight="1" x14ac:dyDescent="0.3">
      <c r="A123" s="23" t="s">
        <v>447</v>
      </c>
      <c r="B123" s="24" t="s">
        <v>451</v>
      </c>
      <c r="C123" s="25" t="s">
        <v>384</v>
      </c>
      <c r="D123" s="8" t="s">
        <v>452</v>
      </c>
      <c r="E123" s="26"/>
      <c r="F123" s="13">
        <v>0</v>
      </c>
      <c r="G123" s="27">
        <f>SUMIFS(CT!$H$5:$H$143,CT!$D$5:$D$143,DMTK!B123)</f>
        <v>0</v>
      </c>
      <c r="H123" s="27">
        <f>SUMIFS(CT!$H$5:$H$143,CT!$E$5:$E$143,DMTK!B123)</f>
        <v>0</v>
      </c>
      <c r="I123" s="13">
        <f>IF(OR(LEFT(B123,3)="152",LEFT(B123,3)="153",LEFT(B123,3)="155",LEFT(B123,3)="156",LEFT(B123,3)="157"),E123+SUMIFS(CT!$F$5:$F$143,CT!$D$5:$D$143,DMTK!B123)-SUMIFS(CT!$F$5:$F$143,CT!$E$5:$E$143,DMTK!B123),0)</f>
        <v>0</v>
      </c>
      <c r="J123" s="28">
        <f t="shared" si="3"/>
        <v>0</v>
      </c>
      <c r="K123" s="13">
        <f t="shared" si="4"/>
        <v>0</v>
      </c>
      <c r="L123" s="13">
        <f t="shared" si="5"/>
        <v>0</v>
      </c>
      <c r="M123" s="29"/>
      <c r="N123" s="13"/>
      <c r="O123" s="23"/>
      <c r="P123" s="13"/>
      <c r="Q123" s="23" t="s">
        <v>224</v>
      </c>
    </row>
    <row r="124" spans="1:17" ht="16.5" customHeight="1" x14ac:dyDescent="0.3">
      <c r="A124" s="23" t="s">
        <v>447</v>
      </c>
      <c r="B124" s="24" t="s">
        <v>453</v>
      </c>
      <c r="C124" s="25" t="s">
        <v>384</v>
      </c>
      <c r="D124" s="8" t="s">
        <v>454</v>
      </c>
      <c r="E124" s="26"/>
      <c r="F124" s="13">
        <v>0</v>
      </c>
      <c r="G124" s="27">
        <f>SUMIFS(CT!$H$5:$H$143,CT!$D$5:$D$143,DMTK!B124)</f>
        <v>0</v>
      </c>
      <c r="H124" s="27">
        <f>SUMIFS(CT!$H$5:$H$143,CT!$E$5:$E$143,DMTK!B124)</f>
        <v>0</v>
      </c>
      <c r="I124" s="13">
        <f>IF(OR(LEFT(B124,3)="152",LEFT(B124,3)="153",LEFT(B124,3)="155",LEFT(B124,3)="156",LEFT(B124,3)="157"),E124+SUMIFS(CT!$F$5:$F$143,CT!$D$5:$D$143,DMTK!B124)-SUMIFS(CT!$F$5:$F$143,CT!$E$5:$E$143,DMTK!B124),0)</f>
        <v>0</v>
      </c>
      <c r="J124" s="28">
        <f t="shared" si="3"/>
        <v>0</v>
      </c>
      <c r="K124" s="13">
        <f t="shared" si="4"/>
        <v>0</v>
      </c>
      <c r="L124" s="13">
        <f t="shared" si="5"/>
        <v>0</v>
      </c>
      <c r="M124" s="29"/>
      <c r="N124" s="13"/>
      <c r="O124" s="23"/>
      <c r="P124" s="13"/>
      <c r="Q124" s="23" t="s">
        <v>224</v>
      </c>
    </row>
    <row r="125" spans="1:17" ht="16.5" customHeight="1" x14ac:dyDescent="0.3">
      <c r="A125" s="23" t="s">
        <v>447</v>
      </c>
      <c r="B125" s="24" t="s">
        <v>455</v>
      </c>
      <c r="C125" s="25" t="s">
        <v>384</v>
      </c>
      <c r="D125" s="8" t="s">
        <v>456</v>
      </c>
      <c r="E125" s="26"/>
      <c r="F125" s="13">
        <v>12000000</v>
      </c>
      <c r="G125" s="27">
        <f>SUMIFS(CT!$H$5:$H$143,CT!$D$5:$D$143,DMTK!B125)</f>
        <v>0</v>
      </c>
      <c r="H125" s="27">
        <f>SUMIFS(CT!$H$5:$H$143,CT!$E$5:$E$143,DMTK!B125)</f>
        <v>0</v>
      </c>
      <c r="I125" s="13">
        <f>IF(OR(LEFT(B125,3)="152",LEFT(B125,3)="153",LEFT(B125,3)="155",LEFT(B125,3)="156",LEFT(B125,3)="157"),E125+SUMIFS(CT!$F$5:$F$143,CT!$D$5:$D$143,DMTK!B125)-SUMIFS(CT!$F$5:$F$143,CT!$E$5:$E$143,DMTK!B125),0)</f>
        <v>0</v>
      </c>
      <c r="J125" s="28">
        <f t="shared" si="3"/>
        <v>12000000</v>
      </c>
      <c r="K125" s="13">
        <f t="shared" si="4"/>
        <v>0</v>
      </c>
      <c r="L125" s="13">
        <f t="shared" si="5"/>
        <v>12000000</v>
      </c>
      <c r="M125" s="29"/>
      <c r="N125" s="13"/>
      <c r="O125" s="23"/>
      <c r="P125" s="13"/>
      <c r="Q125" s="23" t="s">
        <v>224</v>
      </c>
    </row>
    <row r="126" spans="1:17" ht="16.5" customHeight="1" x14ac:dyDescent="0.3">
      <c r="A126" s="23" t="s">
        <v>447</v>
      </c>
      <c r="B126" s="24" t="s">
        <v>457</v>
      </c>
      <c r="C126" s="25" t="s">
        <v>384</v>
      </c>
      <c r="D126" s="8" t="s">
        <v>458</v>
      </c>
      <c r="E126" s="26"/>
      <c r="F126" s="13">
        <v>0</v>
      </c>
      <c r="G126" s="27">
        <f>SUMIFS(CT!$H$5:$H$143,CT!$D$5:$D$143,DMTK!B126)</f>
        <v>0</v>
      </c>
      <c r="H126" s="27">
        <f>SUMIFS(CT!$H$5:$H$143,CT!$E$5:$E$143,DMTK!B126)</f>
        <v>0</v>
      </c>
      <c r="I126" s="13">
        <f>IF(OR(LEFT(B126,3)="152",LEFT(B126,3)="153",LEFT(B126,3)="155",LEFT(B126,3)="156",LEFT(B126,3)="157"),E126+SUMIFS(CT!$F$5:$F$143,CT!$D$5:$D$143,DMTK!B126)-SUMIFS(CT!$F$5:$F$143,CT!$E$5:$E$143,DMTK!B126),0)</f>
        <v>0</v>
      </c>
      <c r="J126" s="28">
        <f t="shared" si="3"/>
        <v>0</v>
      </c>
      <c r="K126" s="13">
        <f t="shared" si="4"/>
        <v>0</v>
      </c>
      <c r="L126" s="13">
        <f t="shared" si="5"/>
        <v>0</v>
      </c>
      <c r="M126" s="29"/>
      <c r="N126" s="13"/>
      <c r="O126" s="23"/>
      <c r="P126" s="13"/>
      <c r="Q126" s="23" t="s">
        <v>224</v>
      </c>
    </row>
    <row r="127" spans="1:17" ht="16.5" customHeight="1" x14ac:dyDescent="0.3">
      <c r="A127" s="23" t="s">
        <v>447</v>
      </c>
      <c r="B127" s="24" t="s">
        <v>459</v>
      </c>
      <c r="C127" s="25" t="s">
        <v>384</v>
      </c>
      <c r="D127" s="8" t="s">
        <v>460</v>
      </c>
      <c r="E127" s="26"/>
      <c r="F127" s="13">
        <v>0</v>
      </c>
      <c r="G127" s="27">
        <f>SUMIFS(CT!$H$5:$H$143,CT!$D$5:$D$143,DMTK!B127)</f>
        <v>0</v>
      </c>
      <c r="H127" s="27">
        <f>SUMIFS(CT!$H$5:$H$143,CT!$E$5:$E$143,DMTK!B127)</f>
        <v>0</v>
      </c>
      <c r="I127" s="13">
        <f>IF(OR(LEFT(B127,3)="152",LEFT(B127,3)="153",LEFT(B127,3)="155",LEFT(B127,3)="156",LEFT(B127,3)="157"),E127+SUMIFS(CT!$F$5:$F$143,CT!$D$5:$D$143,DMTK!B127)-SUMIFS(CT!$F$5:$F$143,CT!$E$5:$E$143,DMTK!B127),0)</f>
        <v>0</v>
      </c>
      <c r="J127" s="28">
        <f t="shared" si="3"/>
        <v>0</v>
      </c>
      <c r="K127" s="13">
        <f t="shared" si="4"/>
        <v>0</v>
      </c>
      <c r="L127" s="13">
        <f t="shared" si="5"/>
        <v>0</v>
      </c>
      <c r="M127" s="29"/>
      <c r="N127" s="13"/>
      <c r="O127" s="23"/>
      <c r="P127" s="13"/>
      <c r="Q127" s="23" t="s">
        <v>224</v>
      </c>
    </row>
    <row r="128" spans="1:17" ht="16.5" customHeight="1" x14ac:dyDescent="0.3">
      <c r="A128" s="23" t="s">
        <v>447</v>
      </c>
      <c r="B128" s="24" t="s">
        <v>461</v>
      </c>
      <c r="C128" s="25" t="s">
        <v>384</v>
      </c>
      <c r="D128" s="8" t="s">
        <v>462</v>
      </c>
      <c r="E128" s="26"/>
      <c r="F128" s="13">
        <v>0</v>
      </c>
      <c r="G128" s="27">
        <f>SUMIFS(CT!$H$5:$H$143,CT!$D$5:$D$143,DMTK!B128)</f>
        <v>0</v>
      </c>
      <c r="H128" s="27">
        <f>SUMIFS(CT!$H$5:$H$143,CT!$E$5:$E$143,DMTK!B128)</f>
        <v>0</v>
      </c>
      <c r="I128" s="13">
        <f>IF(OR(LEFT(B128,3)="152",LEFT(B128,3)="153",LEFT(B128,3)="155",LEFT(B128,3)="156",LEFT(B128,3)="157"),E128+SUMIFS(CT!$F$5:$F$143,CT!$D$5:$D$143,DMTK!B128)-SUMIFS(CT!$F$5:$F$143,CT!$E$5:$E$143,DMTK!B128),0)</f>
        <v>0</v>
      </c>
      <c r="J128" s="28">
        <f t="shared" si="3"/>
        <v>0</v>
      </c>
      <c r="K128" s="13">
        <f t="shared" si="4"/>
        <v>0</v>
      </c>
      <c r="L128" s="13">
        <f t="shared" si="5"/>
        <v>0</v>
      </c>
      <c r="M128" s="29"/>
      <c r="N128" s="13"/>
      <c r="O128" s="23"/>
      <c r="P128" s="13"/>
      <c r="Q128" s="23" t="s">
        <v>224</v>
      </c>
    </row>
    <row r="129" spans="1:17" ht="16.5" customHeight="1" x14ac:dyDescent="0.3">
      <c r="A129" s="23" t="s">
        <v>447</v>
      </c>
      <c r="B129" s="24" t="s">
        <v>463</v>
      </c>
      <c r="C129" s="25" t="s">
        <v>384</v>
      </c>
      <c r="D129" s="30" t="s">
        <v>464</v>
      </c>
      <c r="E129" s="26"/>
      <c r="F129" s="13">
        <v>0</v>
      </c>
      <c r="G129" s="27">
        <f>SUMIFS(CT!$H$5:$H$143,CT!$D$5:$D$143,DMTK!B129)</f>
        <v>0</v>
      </c>
      <c r="H129" s="27">
        <f>SUMIFS(CT!$H$5:$H$143,CT!$E$5:$E$143,DMTK!B129)</f>
        <v>0</v>
      </c>
      <c r="I129" s="13">
        <f>IF(OR(LEFT(B129,3)="152",LEFT(B129,3)="153",LEFT(B129,3)="155",LEFT(B129,3)="156",LEFT(B129,3)="157"),E129+SUMIFS(CT!$F$5:$F$143,CT!$D$5:$D$143,DMTK!B129)-SUMIFS(CT!$F$5:$F$143,CT!$E$5:$E$143,DMTK!B129),0)</f>
        <v>0</v>
      </c>
      <c r="J129" s="28">
        <f t="shared" si="3"/>
        <v>0</v>
      </c>
      <c r="K129" s="13">
        <f t="shared" si="4"/>
        <v>0</v>
      </c>
      <c r="L129" s="13">
        <f t="shared" si="5"/>
        <v>0</v>
      </c>
      <c r="M129" s="29"/>
      <c r="N129" s="13"/>
      <c r="O129" s="23"/>
      <c r="P129" s="13"/>
      <c r="Q129" s="23" t="s">
        <v>224</v>
      </c>
    </row>
    <row r="130" spans="1:17" ht="16.5" customHeight="1" x14ac:dyDescent="0.3">
      <c r="A130" s="23" t="s">
        <v>447</v>
      </c>
      <c r="B130" s="24" t="s">
        <v>465</v>
      </c>
      <c r="C130" s="25" t="s">
        <v>384</v>
      </c>
      <c r="D130" s="23" t="s">
        <v>466</v>
      </c>
      <c r="E130" s="26"/>
      <c r="F130" s="13">
        <v>0</v>
      </c>
      <c r="G130" s="27">
        <f>SUMIFS(CT!$H$5:$H$143,CT!$D$5:$D$143,DMTK!B130)</f>
        <v>0</v>
      </c>
      <c r="H130" s="27">
        <f>SUMIFS(CT!$H$5:$H$143,CT!$E$5:$E$143,DMTK!B130)</f>
        <v>0</v>
      </c>
      <c r="I130" s="13">
        <f>IF(OR(LEFT(B130,3)="152",LEFT(B130,3)="153",LEFT(B130,3)="155",LEFT(B130,3)="156",LEFT(B130,3)="157"),E130+SUMIFS(CT!$F$5:$F$143,CT!$D$5:$D$143,DMTK!B130)-SUMIFS(CT!$F$5:$F$143,CT!$E$5:$E$143,DMTK!B130),0)</f>
        <v>0</v>
      </c>
      <c r="J130" s="28">
        <f t="shared" si="3"/>
        <v>0</v>
      </c>
      <c r="K130" s="13">
        <f t="shared" si="4"/>
        <v>0</v>
      </c>
      <c r="L130" s="13">
        <f t="shared" si="5"/>
        <v>0</v>
      </c>
      <c r="M130" s="29"/>
      <c r="N130" s="13"/>
      <c r="O130" s="23"/>
      <c r="P130" s="13"/>
      <c r="Q130" s="23" t="s">
        <v>224</v>
      </c>
    </row>
    <row r="131" spans="1:17" ht="16.5" customHeight="1" x14ac:dyDescent="0.3">
      <c r="A131" s="23" t="s">
        <v>467</v>
      </c>
      <c r="B131" s="24" t="s">
        <v>74</v>
      </c>
      <c r="C131" s="25" t="s">
        <v>384</v>
      </c>
      <c r="D131" s="8" t="s">
        <v>468</v>
      </c>
      <c r="E131" s="26"/>
      <c r="F131" s="13">
        <v>12000000</v>
      </c>
      <c r="G131" s="27">
        <f>SUMIFS(CT!$H$5:$H$143,CT!$D$5:$D$143,DMTK!B131)</f>
        <v>40000000</v>
      </c>
      <c r="H131" s="27">
        <f>SUMIFS(CT!$H$5:$H$143,CT!$E$5:$E$143,DMTK!B131)</f>
        <v>40000000</v>
      </c>
      <c r="I131" s="13">
        <f>IF(OR(LEFT(B131,3)="152",LEFT(B131,3)="153",LEFT(B131,3)="155",LEFT(B131,3)="156",LEFT(B131,3)="157"),E131+SUMIFS(CT!$F$5:$F$143,CT!$D$5:$D$143,DMTK!B131)-SUMIFS(CT!$F$5:$F$143,CT!$E$5:$E$143,DMTK!B131),0)</f>
        <v>0</v>
      </c>
      <c r="J131" s="28">
        <f t="shared" si="3"/>
        <v>12000000</v>
      </c>
      <c r="K131" s="13">
        <f t="shared" si="4"/>
        <v>0</v>
      </c>
      <c r="L131" s="13">
        <f t="shared" si="5"/>
        <v>12000000</v>
      </c>
      <c r="M131" s="29"/>
      <c r="N131" s="13"/>
      <c r="O131" s="23"/>
      <c r="P131" s="13"/>
      <c r="Q131" s="23" t="s">
        <v>224</v>
      </c>
    </row>
    <row r="132" spans="1:17" ht="16.5" customHeight="1" x14ac:dyDescent="0.3">
      <c r="A132" s="23" t="s">
        <v>467</v>
      </c>
      <c r="B132" s="24" t="s">
        <v>76</v>
      </c>
      <c r="C132" s="25" t="s">
        <v>384</v>
      </c>
      <c r="D132" s="8" t="s">
        <v>469</v>
      </c>
      <c r="E132" s="26"/>
      <c r="F132" s="13">
        <v>8000000</v>
      </c>
      <c r="G132" s="27">
        <f>SUMIFS(CT!$H$5:$H$143,CT!$D$5:$D$143,DMTK!B132)</f>
        <v>40000000</v>
      </c>
      <c r="H132" s="27">
        <f>SUMIFS(CT!$H$5:$H$143,CT!$E$5:$E$143,DMTK!B132)</f>
        <v>40000000</v>
      </c>
      <c r="I132" s="13">
        <f>IF(OR(LEFT(B132,3)="152",LEFT(B132,3)="153",LEFT(B132,3)="155",LEFT(B132,3)="156",LEFT(B132,3)="157"),E132+SUMIFS(CT!$F$5:$F$143,CT!$D$5:$D$143,DMTK!B132)-SUMIFS(CT!$F$5:$F$143,CT!$E$5:$E$143,DMTK!B132),0)</f>
        <v>0</v>
      </c>
      <c r="J132" s="28">
        <f t="shared" si="3"/>
        <v>8000000</v>
      </c>
      <c r="K132" s="13">
        <f t="shared" si="4"/>
        <v>0</v>
      </c>
      <c r="L132" s="13">
        <f t="shared" si="5"/>
        <v>8000000</v>
      </c>
      <c r="M132" s="29"/>
      <c r="N132" s="13"/>
      <c r="O132" s="23"/>
      <c r="P132" s="13"/>
      <c r="Q132" s="23" t="s">
        <v>224</v>
      </c>
    </row>
    <row r="133" spans="1:17" ht="16.5" customHeight="1" x14ac:dyDescent="0.3">
      <c r="A133" s="23" t="s">
        <v>467</v>
      </c>
      <c r="B133" s="24" t="s">
        <v>77</v>
      </c>
      <c r="C133" s="25" t="s">
        <v>384</v>
      </c>
      <c r="D133" s="8" t="s">
        <v>470</v>
      </c>
      <c r="E133" s="26"/>
      <c r="F133" s="13">
        <v>10000000</v>
      </c>
      <c r="G133" s="27">
        <f>SUMIFS(CT!$H$5:$H$143,CT!$D$5:$D$143,DMTK!B133)</f>
        <v>40000000</v>
      </c>
      <c r="H133" s="27">
        <f>SUMIFS(CT!$H$5:$H$143,CT!$E$5:$E$143,DMTK!B133)</f>
        <v>40000000</v>
      </c>
      <c r="I133" s="13">
        <f>IF(OR(LEFT(B133,3)="152",LEFT(B133,3)="153",LEFT(B133,3)="155",LEFT(B133,3)="156",LEFT(B133,3)="157"),E133+SUMIFS(CT!$F$5:$F$143,CT!$D$5:$D$143,DMTK!B133)-SUMIFS(CT!$F$5:$F$143,CT!$E$5:$E$143,DMTK!B133),0)</f>
        <v>0</v>
      </c>
      <c r="J133" s="28">
        <f t="shared" si="3"/>
        <v>10000000</v>
      </c>
      <c r="K133" s="13">
        <f t="shared" si="4"/>
        <v>0</v>
      </c>
      <c r="L133" s="13">
        <f t="shared" si="5"/>
        <v>10000000</v>
      </c>
      <c r="M133" s="29"/>
      <c r="N133" s="13"/>
      <c r="O133" s="23"/>
      <c r="P133" s="13"/>
      <c r="Q133" s="23" t="s">
        <v>224</v>
      </c>
    </row>
    <row r="134" spans="1:17" ht="16.5" customHeight="1" x14ac:dyDescent="0.3">
      <c r="A134" s="23" t="s">
        <v>467</v>
      </c>
      <c r="B134" s="24" t="s">
        <v>79</v>
      </c>
      <c r="C134" s="25" t="s">
        <v>384</v>
      </c>
      <c r="D134" s="8" t="s">
        <v>471</v>
      </c>
      <c r="E134" s="26"/>
      <c r="F134" s="13">
        <v>12000000</v>
      </c>
      <c r="G134" s="27">
        <f>SUMIFS(CT!$H$5:$H$143,CT!$D$5:$D$143,DMTK!B134)</f>
        <v>40000000</v>
      </c>
      <c r="H134" s="27">
        <f>SUMIFS(CT!$H$5:$H$143,CT!$E$5:$E$143,DMTK!B134)</f>
        <v>40000000</v>
      </c>
      <c r="I134" s="13">
        <f>IF(OR(LEFT(B134,3)="152",LEFT(B134,3)="153",LEFT(B134,3)="155",LEFT(B134,3)="156",LEFT(B134,3)="157"),E134+SUMIFS(CT!$F$5:$F$143,CT!$D$5:$D$143,DMTK!B134)-SUMIFS(CT!$F$5:$F$143,CT!$E$5:$E$143,DMTK!B134),0)</f>
        <v>0</v>
      </c>
      <c r="J134" s="28">
        <f t="shared" ref="J134:J197" si="6">IF(C134="N",F134+G134-H134,F134+H134-G134)</f>
        <v>12000000</v>
      </c>
      <c r="K134" s="13">
        <f t="shared" ref="K134:K197" si="7">IF(OR(AND(C134="N",F134&gt;0),AND(C134="C",F134&lt;0)),ABS(F134),0)</f>
        <v>0</v>
      </c>
      <c r="L134" s="13">
        <f t="shared" ref="L134:L197" si="8">IF(OR(AND(C134="C",F134&gt;0),AND(C134="N",F134&lt;0)),ABS(F134),0)</f>
        <v>12000000</v>
      </c>
      <c r="M134" s="29"/>
      <c r="N134" s="13"/>
      <c r="O134" s="23"/>
      <c r="P134" s="13"/>
      <c r="Q134" s="23" t="s">
        <v>224</v>
      </c>
    </row>
    <row r="135" spans="1:17" ht="16.5" customHeight="1" x14ac:dyDescent="0.3">
      <c r="A135" s="23" t="s">
        <v>467</v>
      </c>
      <c r="B135" s="24" t="s">
        <v>81</v>
      </c>
      <c r="C135" s="25" t="s">
        <v>384</v>
      </c>
      <c r="D135" s="8" t="s">
        <v>472</v>
      </c>
      <c r="E135" s="26"/>
      <c r="F135" s="13">
        <v>10000000</v>
      </c>
      <c r="G135" s="27">
        <f>SUMIFS(CT!$H$5:$H$143,CT!$D$5:$D$143,DMTK!B135)</f>
        <v>40000000</v>
      </c>
      <c r="H135" s="27">
        <f>SUMIFS(CT!$H$5:$H$143,CT!$E$5:$E$143,DMTK!B135)</f>
        <v>40000000</v>
      </c>
      <c r="I135" s="13">
        <f>IF(OR(LEFT(B135,3)="152",LEFT(B135,3)="153",LEFT(B135,3)="155",LEFT(B135,3)="156",LEFT(B135,3)="157"),E135+SUMIFS(CT!$F$5:$F$143,CT!$D$5:$D$143,DMTK!B135)-SUMIFS(CT!$F$5:$F$143,CT!$E$5:$E$143,DMTK!B135),0)</f>
        <v>0</v>
      </c>
      <c r="J135" s="28">
        <f t="shared" si="6"/>
        <v>10000000</v>
      </c>
      <c r="K135" s="13">
        <f t="shared" si="7"/>
        <v>0</v>
      </c>
      <c r="L135" s="13">
        <f t="shared" si="8"/>
        <v>10000000</v>
      </c>
      <c r="M135" s="29"/>
      <c r="N135" s="13"/>
      <c r="O135" s="23"/>
      <c r="P135" s="13"/>
      <c r="Q135" s="23" t="s">
        <v>224</v>
      </c>
    </row>
    <row r="136" spans="1:17" ht="16.5" customHeight="1" x14ac:dyDescent="0.3">
      <c r="A136" s="23" t="s">
        <v>467</v>
      </c>
      <c r="B136" s="24" t="s">
        <v>72</v>
      </c>
      <c r="C136" s="25" t="s">
        <v>384</v>
      </c>
      <c r="D136" s="8" t="s">
        <v>473</v>
      </c>
      <c r="E136" s="26"/>
      <c r="F136" s="13">
        <v>53000000</v>
      </c>
      <c r="G136" s="27">
        <f>SUMIFS(CT!$H$5:$H$143,CT!$D$5:$D$143,DMTK!B136)</f>
        <v>35000000</v>
      </c>
      <c r="H136" s="27">
        <f>SUMIFS(CT!$H$5:$H$143,CT!$E$5:$E$143,DMTK!B136)</f>
        <v>35000000</v>
      </c>
      <c r="I136" s="13">
        <f>IF(OR(LEFT(B136,3)="152",LEFT(B136,3)="153",LEFT(B136,3)="155",LEFT(B136,3)="156",LEFT(B136,3)="157"),E136+SUMIFS(CT!$F$5:$F$143,CT!$D$5:$D$143,DMTK!B136)-SUMIFS(CT!$F$5:$F$143,CT!$E$5:$E$143,DMTK!B136),0)</f>
        <v>0</v>
      </c>
      <c r="J136" s="28">
        <f t="shared" si="6"/>
        <v>53000000</v>
      </c>
      <c r="K136" s="13">
        <f t="shared" si="7"/>
        <v>0</v>
      </c>
      <c r="L136" s="13">
        <f t="shared" si="8"/>
        <v>53000000</v>
      </c>
      <c r="M136" s="29"/>
      <c r="N136" s="13"/>
      <c r="O136" s="23"/>
      <c r="P136" s="13"/>
      <c r="Q136" s="23" t="s">
        <v>224</v>
      </c>
    </row>
    <row r="137" spans="1:17" ht="16.5" customHeight="1" x14ac:dyDescent="0.3">
      <c r="A137" s="23" t="s">
        <v>467</v>
      </c>
      <c r="B137" s="24" t="s">
        <v>62</v>
      </c>
      <c r="C137" s="25" t="s">
        <v>384</v>
      </c>
      <c r="D137" s="8" t="s">
        <v>474</v>
      </c>
      <c r="E137" s="26"/>
      <c r="F137" s="13">
        <v>3000000</v>
      </c>
      <c r="G137" s="27">
        <f>SUMIFS(CT!$H$5:$H$143,CT!$D$5:$D$143,DMTK!B137)</f>
        <v>5000000</v>
      </c>
      <c r="H137" s="27">
        <f>SUMIFS(CT!$H$5:$H$143,CT!$E$5:$E$143,DMTK!B137)</f>
        <v>5000000</v>
      </c>
      <c r="I137" s="13">
        <f>IF(OR(LEFT(B137,3)="152",LEFT(B137,3)="153",LEFT(B137,3)="155",LEFT(B137,3)="156",LEFT(B137,3)="157"),E137+SUMIFS(CT!$F$5:$F$143,CT!$D$5:$D$143,DMTK!B137)-SUMIFS(CT!$F$5:$F$143,CT!$E$5:$E$143,DMTK!B137),0)</f>
        <v>0</v>
      </c>
      <c r="J137" s="28">
        <f t="shared" si="6"/>
        <v>3000000</v>
      </c>
      <c r="K137" s="13">
        <f t="shared" si="7"/>
        <v>0</v>
      </c>
      <c r="L137" s="13">
        <f t="shared" si="8"/>
        <v>3000000</v>
      </c>
      <c r="M137" s="29"/>
      <c r="N137" s="13"/>
      <c r="O137" s="23"/>
      <c r="P137" s="13"/>
      <c r="Q137" s="23" t="s">
        <v>224</v>
      </c>
    </row>
    <row r="138" spans="1:17" ht="16.5" customHeight="1" x14ac:dyDescent="0.3">
      <c r="A138" s="23" t="s">
        <v>467</v>
      </c>
      <c r="B138" s="24" t="s">
        <v>64</v>
      </c>
      <c r="C138" s="25" t="s">
        <v>384</v>
      </c>
      <c r="D138" s="8" t="s">
        <v>475</v>
      </c>
      <c r="E138" s="26"/>
      <c r="F138" s="13">
        <v>1500000</v>
      </c>
      <c r="G138" s="27">
        <f>SUMIFS(CT!$H$5:$H$143,CT!$D$5:$D$143,DMTK!B138)</f>
        <v>7000000</v>
      </c>
      <c r="H138" s="27">
        <f>SUMIFS(CT!$H$5:$H$143,CT!$E$5:$E$143,DMTK!B138)</f>
        <v>7000000</v>
      </c>
      <c r="I138" s="13">
        <f>IF(OR(LEFT(B138,3)="152",LEFT(B138,3)="153",LEFT(B138,3)="155",LEFT(B138,3)="156",LEFT(B138,3)="157"),E138+SUMIFS(CT!$F$5:$F$143,CT!$D$5:$D$143,DMTK!B138)-SUMIFS(CT!$F$5:$F$143,CT!$E$5:$E$143,DMTK!B138),0)</f>
        <v>0</v>
      </c>
      <c r="J138" s="28">
        <f t="shared" si="6"/>
        <v>1500000</v>
      </c>
      <c r="K138" s="13">
        <f t="shared" si="7"/>
        <v>0</v>
      </c>
      <c r="L138" s="13">
        <f t="shared" si="8"/>
        <v>1500000</v>
      </c>
      <c r="M138" s="29"/>
      <c r="N138" s="13"/>
      <c r="O138" s="23"/>
      <c r="P138" s="13"/>
      <c r="Q138" s="23" t="s">
        <v>224</v>
      </c>
    </row>
    <row r="139" spans="1:17" ht="16.5" customHeight="1" x14ac:dyDescent="0.3">
      <c r="A139" s="23" t="s">
        <v>476</v>
      </c>
      <c r="B139" s="24" t="s">
        <v>477</v>
      </c>
      <c r="C139" s="25" t="s">
        <v>384</v>
      </c>
      <c r="D139" s="8" t="s">
        <v>478</v>
      </c>
      <c r="E139" s="26"/>
      <c r="F139" s="13">
        <v>56000000</v>
      </c>
      <c r="G139" s="27">
        <f>SUMIFS(CT!$H$5:$H$143,CT!$D$5:$D$143,DMTK!B139)</f>
        <v>0</v>
      </c>
      <c r="H139" s="27">
        <f>SUMIFS(CT!$H$5:$H$143,CT!$E$5:$E$143,DMTK!B139)</f>
        <v>0</v>
      </c>
      <c r="I139" s="13">
        <f>IF(OR(LEFT(B139,3)="152",LEFT(B139,3)="153",LEFT(B139,3)="155",LEFT(B139,3)="156",LEFT(B139,3)="157"),E139+SUMIFS(CT!$F$5:$F$143,CT!$D$5:$D$143,DMTK!B139)-SUMIFS(CT!$F$5:$F$143,CT!$E$5:$E$143,DMTK!B139),0)</f>
        <v>0</v>
      </c>
      <c r="J139" s="28">
        <f t="shared" si="6"/>
        <v>56000000</v>
      </c>
      <c r="K139" s="13">
        <f t="shared" si="7"/>
        <v>0</v>
      </c>
      <c r="L139" s="13">
        <f t="shared" si="8"/>
        <v>56000000</v>
      </c>
      <c r="M139" s="29"/>
      <c r="N139" s="13"/>
      <c r="O139" s="23"/>
      <c r="P139" s="13"/>
      <c r="Q139" s="23" t="s">
        <v>224</v>
      </c>
    </row>
    <row r="140" spans="1:17" ht="16.5" customHeight="1" x14ac:dyDescent="0.3">
      <c r="A140" s="23" t="s">
        <v>479</v>
      </c>
      <c r="B140" s="24" t="s">
        <v>480</v>
      </c>
      <c r="C140" s="25" t="s">
        <v>384</v>
      </c>
      <c r="D140" s="8" t="s">
        <v>481</v>
      </c>
      <c r="E140" s="26"/>
      <c r="F140" s="13"/>
      <c r="G140" s="27">
        <f>SUMIFS(CT!$H$5:$H$143,CT!$D$5:$D$143,DMTK!B140)</f>
        <v>0</v>
      </c>
      <c r="H140" s="27">
        <f>SUMIFS(CT!$H$5:$H$143,CT!$E$5:$E$143,DMTK!B140)</f>
        <v>0</v>
      </c>
      <c r="I140" s="13">
        <f>IF(OR(LEFT(B140,3)="152",LEFT(B140,3)="153",LEFT(B140,3)="155",LEFT(B140,3)="156",LEFT(B140,3)="157"),E140+SUMIFS(CT!$F$5:$F$143,CT!$D$5:$D$143,DMTK!B140)-SUMIFS(CT!$F$5:$F$143,CT!$E$5:$E$143,DMTK!B140),0)</f>
        <v>0</v>
      </c>
      <c r="J140" s="28">
        <f t="shared" si="6"/>
        <v>0</v>
      </c>
      <c r="K140" s="13">
        <f t="shared" si="7"/>
        <v>0</v>
      </c>
      <c r="L140" s="13">
        <f t="shared" si="8"/>
        <v>0</v>
      </c>
      <c r="M140" s="29"/>
      <c r="N140" s="13"/>
      <c r="O140" s="23"/>
      <c r="P140" s="13"/>
      <c r="Q140" s="23" t="s">
        <v>224</v>
      </c>
    </row>
    <row r="141" spans="1:17" ht="16.5" customHeight="1" x14ac:dyDescent="0.3">
      <c r="A141" s="23" t="s">
        <v>482</v>
      </c>
      <c r="B141" s="24" t="s">
        <v>483</v>
      </c>
      <c r="C141" s="25" t="s">
        <v>384</v>
      </c>
      <c r="D141" s="8" t="s">
        <v>484</v>
      </c>
      <c r="E141" s="26"/>
      <c r="F141" s="13">
        <v>0</v>
      </c>
      <c r="G141" s="27">
        <f>SUMIFS(CT!$H$5:$H$143,CT!$D$5:$D$143,DMTK!B141)</f>
        <v>0</v>
      </c>
      <c r="H141" s="27">
        <f>SUMIFS(CT!$H$5:$H$143,CT!$E$5:$E$143,DMTK!B141)</f>
        <v>0</v>
      </c>
      <c r="I141" s="13">
        <f>IF(OR(LEFT(B141,3)="152",LEFT(B141,3)="153",LEFT(B141,3)="155",LEFT(B141,3)="156",LEFT(B141,3)="157"),E141+SUMIFS(CT!$F$5:$F$143,CT!$D$5:$D$143,DMTK!B141)-SUMIFS(CT!$F$5:$F$143,CT!$E$5:$E$143,DMTK!B141),0)</f>
        <v>0</v>
      </c>
      <c r="J141" s="28">
        <f t="shared" si="6"/>
        <v>0</v>
      </c>
      <c r="K141" s="13">
        <f t="shared" si="7"/>
        <v>0</v>
      </c>
      <c r="L141" s="13">
        <f t="shared" si="8"/>
        <v>0</v>
      </c>
      <c r="M141" s="29"/>
      <c r="N141" s="13"/>
      <c r="O141" s="23"/>
      <c r="P141" s="13"/>
      <c r="Q141" s="23" t="s">
        <v>224</v>
      </c>
    </row>
    <row r="142" spans="1:17" ht="16.5" customHeight="1" x14ac:dyDescent="0.3">
      <c r="A142" s="23" t="s">
        <v>485</v>
      </c>
      <c r="B142" s="24" t="s">
        <v>486</v>
      </c>
      <c r="C142" s="25" t="s">
        <v>384</v>
      </c>
      <c r="D142" s="8" t="s">
        <v>487</v>
      </c>
      <c r="E142" s="26"/>
      <c r="F142" s="13">
        <v>0</v>
      </c>
      <c r="G142" s="27">
        <f>SUMIFS(CT!$H$5:$H$143,CT!$D$5:$D$143,DMTK!B142)</f>
        <v>0</v>
      </c>
      <c r="H142" s="27">
        <f>SUMIFS(CT!$H$5:$H$143,CT!$E$5:$E$143,DMTK!B142)</f>
        <v>0</v>
      </c>
      <c r="I142" s="13">
        <f>IF(OR(LEFT(B142,3)="152",LEFT(B142,3)="153",LEFT(B142,3)="155",LEFT(B142,3)="156",LEFT(B142,3)="157"),E142+SUMIFS(CT!$F$5:$F$143,CT!$D$5:$D$143,DMTK!B142)-SUMIFS(CT!$F$5:$F$143,CT!$E$5:$E$143,DMTK!B142),0)</f>
        <v>0</v>
      </c>
      <c r="J142" s="28">
        <f t="shared" si="6"/>
        <v>0</v>
      </c>
      <c r="K142" s="13">
        <f t="shared" si="7"/>
        <v>0</v>
      </c>
      <c r="L142" s="13">
        <f t="shared" si="8"/>
        <v>0</v>
      </c>
      <c r="M142" s="29"/>
      <c r="N142" s="13"/>
      <c r="O142" s="23"/>
      <c r="P142" s="13"/>
      <c r="Q142" s="23" t="s">
        <v>224</v>
      </c>
    </row>
    <row r="143" spans="1:17" ht="16.5" customHeight="1" x14ac:dyDescent="0.3">
      <c r="A143" s="23" t="s">
        <v>488</v>
      </c>
      <c r="B143" s="24" t="s">
        <v>489</v>
      </c>
      <c r="C143" s="25" t="s">
        <v>384</v>
      </c>
      <c r="D143" s="8" t="s">
        <v>490</v>
      </c>
      <c r="E143" s="26"/>
      <c r="F143" s="13"/>
      <c r="G143" s="27">
        <f>SUMIFS(CT!$H$5:$H$143,CT!$D$5:$D$143,DMTK!B143)</f>
        <v>0</v>
      </c>
      <c r="H143" s="27">
        <f>SUMIFS(CT!$H$5:$H$143,CT!$E$5:$E$143,DMTK!B143)</f>
        <v>0</v>
      </c>
      <c r="I143" s="13">
        <f>IF(OR(LEFT(B143,3)="152",LEFT(B143,3)="153",LEFT(B143,3)="155",LEFT(B143,3)="156",LEFT(B143,3)="157"),E143+SUMIFS(CT!$F$5:$F$143,CT!$D$5:$D$143,DMTK!B143)-SUMIFS(CT!$F$5:$F$143,CT!$E$5:$E$143,DMTK!B143),0)</f>
        <v>0</v>
      </c>
      <c r="J143" s="28">
        <f t="shared" si="6"/>
        <v>0</v>
      </c>
      <c r="K143" s="13">
        <f t="shared" si="7"/>
        <v>0</v>
      </c>
      <c r="L143" s="13">
        <f t="shared" si="8"/>
        <v>0</v>
      </c>
      <c r="M143" s="29"/>
      <c r="N143" s="13"/>
      <c r="O143" s="23"/>
      <c r="P143" s="13"/>
      <c r="Q143" s="23" t="s">
        <v>224</v>
      </c>
    </row>
    <row r="144" spans="1:17" ht="16.5" customHeight="1" x14ac:dyDescent="0.3">
      <c r="A144" s="23" t="s">
        <v>485</v>
      </c>
      <c r="B144" s="24" t="s">
        <v>491</v>
      </c>
      <c r="C144" s="25" t="s">
        <v>384</v>
      </c>
      <c r="D144" s="8" t="s">
        <v>492</v>
      </c>
      <c r="E144" s="26"/>
      <c r="F144" s="13"/>
      <c r="G144" s="27">
        <f>SUMIFS(CT!$H$5:$H$143,CT!$D$5:$D$143,DMTK!B144)</f>
        <v>0</v>
      </c>
      <c r="H144" s="27">
        <f>SUMIFS(CT!$H$5:$H$143,CT!$E$5:$E$143,DMTK!B144)</f>
        <v>0</v>
      </c>
      <c r="I144" s="13">
        <f>IF(OR(LEFT(B144,3)="152",LEFT(B144,3)="153",LEFT(B144,3)="155",LEFT(B144,3)="156",LEFT(B144,3)="157"),E144+SUMIFS(CT!$F$5:$F$143,CT!$D$5:$D$143,DMTK!B144)-SUMIFS(CT!$F$5:$F$143,CT!$E$5:$E$143,DMTK!B144),0)</f>
        <v>0</v>
      </c>
      <c r="J144" s="28">
        <f t="shared" si="6"/>
        <v>0</v>
      </c>
      <c r="K144" s="13">
        <f t="shared" si="7"/>
        <v>0</v>
      </c>
      <c r="L144" s="13">
        <f t="shared" si="8"/>
        <v>0</v>
      </c>
      <c r="M144" s="29"/>
      <c r="N144" s="13"/>
      <c r="O144" s="23"/>
      <c r="P144" s="13"/>
      <c r="Q144" s="23" t="s">
        <v>224</v>
      </c>
    </row>
    <row r="145" spans="1:17" ht="16.5" customHeight="1" x14ac:dyDescent="0.3">
      <c r="A145" s="23" t="s">
        <v>488</v>
      </c>
      <c r="B145" s="24" t="s">
        <v>493</v>
      </c>
      <c r="C145" s="25" t="s">
        <v>384</v>
      </c>
      <c r="D145" s="8" t="s">
        <v>494</v>
      </c>
      <c r="E145" s="26"/>
      <c r="F145" s="13"/>
      <c r="G145" s="27">
        <f>SUMIFS(CT!$H$5:$H$143,CT!$D$5:$D$143,DMTK!B145)</f>
        <v>0</v>
      </c>
      <c r="H145" s="27">
        <f>SUMIFS(CT!$H$5:$H$143,CT!$E$5:$E$143,DMTK!B145)</f>
        <v>0</v>
      </c>
      <c r="I145" s="13">
        <f>IF(OR(LEFT(B145,3)="152",LEFT(B145,3)="153",LEFT(B145,3)="155",LEFT(B145,3)="156",LEFT(B145,3)="157"),E145+SUMIFS(CT!$F$5:$F$143,CT!$D$5:$D$143,DMTK!B145)-SUMIFS(CT!$F$5:$F$143,CT!$E$5:$E$143,DMTK!B145),0)</f>
        <v>0</v>
      </c>
      <c r="J145" s="28">
        <f t="shared" si="6"/>
        <v>0</v>
      </c>
      <c r="K145" s="13">
        <f t="shared" si="7"/>
        <v>0</v>
      </c>
      <c r="L145" s="13">
        <f t="shared" si="8"/>
        <v>0</v>
      </c>
      <c r="M145" s="29"/>
      <c r="N145" s="13"/>
      <c r="O145" s="23"/>
      <c r="P145" s="13"/>
      <c r="Q145" s="23" t="s">
        <v>224</v>
      </c>
    </row>
    <row r="146" spans="1:17" ht="16.5" customHeight="1" x14ac:dyDescent="0.3">
      <c r="A146" s="23" t="s">
        <v>485</v>
      </c>
      <c r="B146" s="24" t="s">
        <v>495</v>
      </c>
      <c r="C146" s="25" t="s">
        <v>384</v>
      </c>
      <c r="D146" s="8" t="s">
        <v>496</v>
      </c>
      <c r="E146" s="26"/>
      <c r="F146" s="13"/>
      <c r="G146" s="27">
        <f>SUMIFS(CT!$H$5:$H$143,CT!$D$5:$D$143,DMTK!B146)</f>
        <v>0</v>
      </c>
      <c r="H146" s="27">
        <f>SUMIFS(CT!$H$5:$H$143,CT!$E$5:$E$143,DMTK!B146)</f>
        <v>0</v>
      </c>
      <c r="I146" s="13">
        <f>IF(OR(LEFT(B146,3)="152",LEFT(B146,3)="153",LEFT(B146,3)="155",LEFT(B146,3)="156",LEFT(B146,3)="157"),E146+SUMIFS(CT!$F$5:$F$143,CT!$D$5:$D$143,DMTK!B146)-SUMIFS(CT!$F$5:$F$143,CT!$E$5:$E$143,DMTK!B146),0)</f>
        <v>0</v>
      </c>
      <c r="J146" s="28">
        <f t="shared" si="6"/>
        <v>0</v>
      </c>
      <c r="K146" s="13">
        <f t="shared" si="7"/>
        <v>0</v>
      </c>
      <c r="L146" s="13">
        <f t="shared" si="8"/>
        <v>0</v>
      </c>
      <c r="M146" s="29"/>
      <c r="N146" s="13"/>
      <c r="O146" s="23"/>
      <c r="P146" s="13"/>
      <c r="Q146" s="23" t="s">
        <v>224</v>
      </c>
    </row>
    <row r="147" spans="1:17" ht="16.5" customHeight="1" x14ac:dyDescent="0.3">
      <c r="A147" s="23" t="s">
        <v>488</v>
      </c>
      <c r="B147" s="24" t="s">
        <v>497</v>
      </c>
      <c r="C147" s="25" t="s">
        <v>384</v>
      </c>
      <c r="D147" s="8" t="s">
        <v>498</v>
      </c>
      <c r="E147" s="26"/>
      <c r="F147" s="13"/>
      <c r="G147" s="27">
        <f>SUMIFS(CT!$H$5:$H$143,CT!$D$5:$D$143,DMTK!B147)</f>
        <v>0</v>
      </c>
      <c r="H147" s="27">
        <f>SUMIFS(CT!$H$5:$H$143,CT!$E$5:$E$143,DMTK!B147)</f>
        <v>0</v>
      </c>
      <c r="I147" s="13">
        <f>IF(OR(LEFT(B147,3)="152",LEFT(B147,3)="153",LEFT(B147,3)="155",LEFT(B147,3)="156",LEFT(B147,3)="157"),E147+SUMIFS(CT!$F$5:$F$143,CT!$D$5:$D$143,DMTK!B147)-SUMIFS(CT!$F$5:$F$143,CT!$E$5:$E$143,DMTK!B147),0)</f>
        <v>0</v>
      </c>
      <c r="J147" s="28">
        <f t="shared" si="6"/>
        <v>0</v>
      </c>
      <c r="K147" s="13">
        <f t="shared" si="7"/>
        <v>0</v>
      </c>
      <c r="L147" s="13">
        <f t="shared" si="8"/>
        <v>0</v>
      </c>
      <c r="M147" s="29"/>
      <c r="N147" s="13"/>
      <c r="O147" s="23"/>
      <c r="P147" s="13"/>
      <c r="Q147" s="23" t="s">
        <v>224</v>
      </c>
    </row>
    <row r="148" spans="1:17" ht="16.5" customHeight="1" x14ac:dyDescent="0.3">
      <c r="A148" s="23" t="s">
        <v>499</v>
      </c>
      <c r="B148" s="24" t="s">
        <v>500</v>
      </c>
      <c r="C148" s="25" t="s">
        <v>384</v>
      </c>
      <c r="D148" s="23" t="s">
        <v>501</v>
      </c>
      <c r="E148" s="26"/>
      <c r="F148" s="13">
        <v>0</v>
      </c>
      <c r="G148" s="27">
        <f>SUMIFS(CT!$H$5:$H$143,CT!$D$5:$D$143,DMTK!B148)</f>
        <v>0</v>
      </c>
      <c r="H148" s="27">
        <f>SUMIFS(CT!$H$5:$H$143,CT!$E$5:$E$143,DMTK!B148)</f>
        <v>0</v>
      </c>
      <c r="I148" s="13">
        <f>IF(OR(LEFT(B148,3)="152",LEFT(B148,3)="153",LEFT(B148,3)="155",LEFT(B148,3)="156",LEFT(B148,3)="157"),E148+SUMIFS(CT!$F$5:$F$143,CT!$D$5:$D$143,DMTK!B148)-SUMIFS(CT!$F$5:$F$143,CT!$E$5:$E$143,DMTK!B148),0)</f>
        <v>0</v>
      </c>
      <c r="J148" s="28">
        <f t="shared" si="6"/>
        <v>0</v>
      </c>
      <c r="K148" s="13">
        <f t="shared" si="7"/>
        <v>0</v>
      </c>
      <c r="L148" s="13">
        <f t="shared" si="8"/>
        <v>0</v>
      </c>
      <c r="M148" s="29"/>
      <c r="N148" s="13"/>
      <c r="O148" s="23"/>
      <c r="P148" s="13"/>
      <c r="Q148" s="23" t="s">
        <v>224</v>
      </c>
    </row>
    <row r="149" spans="1:17" ht="16.5" customHeight="1" x14ac:dyDescent="0.3">
      <c r="A149" s="23" t="s">
        <v>502</v>
      </c>
      <c r="B149" s="24" t="s">
        <v>503</v>
      </c>
      <c r="C149" s="25" t="s">
        <v>384</v>
      </c>
      <c r="D149" s="23" t="s">
        <v>504</v>
      </c>
      <c r="E149" s="26"/>
      <c r="F149" s="13">
        <v>0</v>
      </c>
      <c r="G149" s="27">
        <f>SUMIFS(CT!$H$5:$H$143,CT!$D$5:$D$143,DMTK!B149)</f>
        <v>0</v>
      </c>
      <c r="H149" s="27">
        <f>SUMIFS(CT!$H$5:$H$143,CT!$E$5:$E$143,DMTK!B149)</f>
        <v>0</v>
      </c>
      <c r="I149" s="13">
        <f>IF(OR(LEFT(B149,3)="152",LEFT(B149,3)="153",LEFT(B149,3)="155",LEFT(B149,3)="156",LEFT(B149,3)="157"),E149+SUMIFS(CT!$F$5:$F$143,CT!$D$5:$D$143,DMTK!B149)-SUMIFS(CT!$F$5:$F$143,CT!$E$5:$E$143,DMTK!B149),0)</f>
        <v>0</v>
      </c>
      <c r="J149" s="28">
        <f t="shared" si="6"/>
        <v>0</v>
      </c>
      <c r="K149" s="13">
        <f t="shared" si="7"/>
        <v>0</v>
      </c>
      <c r="L149" s="13">
        <f t="shared" si="8"/>
        <v>0</v>
      </c>
      <c r="M149" s="29"/>
      <c r="N149" s="13"/>
      <c r="O149" s="23"/>
      <c r="P149" s="13"/>
      <c r="Q149" s="23" t="s">
        <v>224</v>
      </c>
    </row>
    <row r="150" spans="1:17" ht="16.5" customHeight="1" x14ac:dyDescent="0.3">
      <c r="A150" s="23" t="s">
        <v>502</v>
      </c>
      <c r="B150" s="24" t="s">
        <v>159</v>
      </c>
      <c r="C150" s="25" t="s">
        <v>384</v>
      </c>
      <c r="D150" s="23" t="s">
        <v>505</v>
      </c>
      <c r="E150" s="26"/>
      <c r="F150" s="13">
        <v>0</v>
      </c>
      <c r="G150" s="27">
        <f>SUMIFS(CT!$H$5:$H$143,CT!$D$5:$D$143,DMTK!B150)</f>
        <v>0</v>
      </c>
      <c r="H150" s="27">
        <f>SUMIFS(CT!$H$5:$H$143,CT!$E$5:$E$143,DMTK!B150)</f>
        <v>4940000</v>
      </c>
      <c r="I150" s="13">
        <f>IF(OR(LEFT(B150,3)="152",LEFT(B150,3)="153",LEFT(B150,3)="155",LEFT(B150,3)="156",LEFT(B150,3)="157"),E150+SUMIFS(CT!$F$5:$F$143,CT!$D$5:$D$143,DMTK!B150)-SUMIFS(CT!$F$5:$F$143,CT!$E$5:$E$143,DMTK!B150),0)</f>
        <v>0</v>
      </c>
      <c r="J150" s="28">
        <f t="shared" si="6"/>
        <v>4940000</v>
      </c>
      <c r="K150" s="13">
        <f t="shared" si="7"/>
        <v>0</v>
      </c>
      <c r="L150" s="13">
        <f t="shared" si="8"/>
        <v>0</v>
      </c>
      <c r="M150" s="29"/>
      <c r="N150" s="13"/>
      <c r="O150" s="23"/>
      <c r="P150" s="13"/>
      <c r="Q150" s="23" t="s">
        <v>224</v>
      </c>
    </row>
    <row r="151" spans="1:17" ht="16.5" customHeight="1" x14ac:dyDescent="0.3">
      <c r="A151" s="23" t="s">
        <v>502</v>
      </c>
      <c r="B151" s="24" t="s">
        <v>181</v>
      </c>
      <c r="C151" s="25" t="s">
        <v>384</v>
      </c>
      <c r="D151" s="23" t="s">
        <v>506</v>
      </c>
      <c r="E151" s="26"/>
      <c r="F151" s="13">
        <v>20000000</v>
      </c>
      <c r="G151" s="27">
        <f>SUMIFS(CT!$H$5:$H$143,CT!$D$5:$D$143,DMTK!B151)</f>
        <v>0</v>
      </c>
      <c r="H151" s="27">
        <f>SUMIFS(CT!$H$5:$H$143,CT!$E$5:$E$143,DMTK!B151)</f>
        <v>39520000</v>
      </c>
      <c r="I151" s="13">
        <f>IF(OR(LEFT(B151,3)="152",LEFT(B151,3)="153",LEFT(B151,3)="155",LEFT(B151,3)="156",LEFT(B151,3)="157"),E151+SUMIFS(CT!$F$5:$F$143,CT!$D$5:$D$143,DMTK!B151)-SUMIFS(CT!$F$5:$F$143,CT!$E$5:$E$143,DMTK!B151),0)</f>
        <v>0</v>
      </c>
      <c r="J151" s="28">
        <f t="shared" si="6"/>
        <v>59520000</v>
      </c>
      <c r="K151" s="13">
        <f t="shared" si="7"/>
        <v>0</v>
      </c>
      <c r="L151" s="13">
        <f t="shared" si="8"/>
        <v>20000000</v>
      </c>
      <c r="M151" s="29"/>
      <c r="N151" s="13"/>
      <c r="O151" s="23"/>
      <c r="P151" s="13"/>
      <c r="Q151" s="23" t="s">
        <v>224</v>
      </c>
    </row>
    <row r="152" spans="1:17" ht="16.5" customHeight="1" x14ac:dyDescent="0.3">
      <c r="A152" s="23" t="s">
        <v>502</v>
      </c>
      <c r="B152" s="24" t="s">
        <v>168</v>
      </c>
      <c r="C152" s="25" t="s">
        <v>384</v>
      </c>
      <c r="D152" s="8" t="s">
        <v>507</v>
      </c>
      <c r="E152" s="26"/>
      <c r="F152" s="13">
        <v>0</v>
      </c>
      <c r="G152" s="27">
        <f>SUMIFS(CT!$H$5:$H$143,CT!$D$5:$D$143,DMTK!B152)</f>
        <v>0</v>
      </c>
      <c r="H152" s="27">
        <f>SUMIFS(CT!$H$5:$H$143,CT!$E$5:$E$143,DMTK!B152)</f>
        <v>7410000</v>
      </c>
      <c r="I152" s="13">
        <f>IF(OR(LEFT(B152,3)="152",LEFT(B152,3)="153",LEFT(B152,3)="155",LEFT(B152,3)="156",LEFT(B152,3)="157"),E152+SUMIFS(CT!$F$5:$F$143,CT!$D$5:$D$143,DMTK!B152)-SUMIFS(CT!$F$5:$F$143,CT!$E$5:$E$143,DMTK!B152),0)</f>
        <v>0</v>
      </c>
      <c r="J152" s="28">
        <f t="shared" si="6"/>
        <v>7410000</v>
      </c>
      <c r="K152" s="13">
        <f t="shared" si="7"/>
        <v>0</v>
      </c>
      <c r="L152" s="13">
        <f t="shared" si="8"/>
        <v>0</v>
      </c>
      <c r="M152" s="29"/>
      <c r="N152" s="13"/>
      <c r="O152" s="23"/>
      <c r="P152" s="13"/>
      <c r="Q152" s="23" t="s">
        <v>224</v>
      </c>
    </row>
    <row r="153" spans="1:17" ht="16.5" customHeight="1" x14ac:dyDescent="0.3">
      <c r="A153" s="23" t="s">
        <v>502</v>
      </c>
      <c r="B153" s="24" t="s">
        <v>508</v>
      </c>
      <c r="C153" s="25" t="s">
        <v>384</v>
      </c>
      <c r="D153" s="8" t="s">
        <v>509</v>
      </c>
      <c r="E153" s="26"/>
      <c r="F153" s="13">
        <v>0</v>
      </c>
      <c r="G153" s="27">
        <f>SUMIFS(CT!$H$5:$H$143,CT!$D$5:$D$143,DMTK!B153)</f>
        <v>0</v>
      </c>
      <c r="H153" s="27">
        <f>SUMIFS(CT!$H$5:$H$143,CT!$E$5:$E$143,DMTK!B153)</f>
        <v>0</v>
      </c>
      <c r="I153" s="13">
        <f>IF(OR(LEFT(B153,3)="152",LEFT(B153,3)="153",LEFT(B153,3)="155",LEFT(B153,3)="156",LEFT(B153,3)="157"),E153+SUMIFS(CT!$F$5:$F$143,CT!$D$5:$D$143,DMTK!B153)-SUMIFS(CT!$F$5:$F$143,CT!$E$5:$E$143,DMTK!B153),0)</f>
        <v>0</v>
      </c>
      <c r="J153" s="28">
        <f t="shared" si="6"/>
        <v>0</v>
      </c>
      <c r="K153" s="13">
        <f t="shared" si="7"/>
        <v>0</v>
      </c>
      <c r="L153" s="13">
        <f t="shared" si="8"/>
        <v>0</v>
      </c>
      <c r="M153" s="29"/>
      <c r="N153" s="13"/>
      <c r="O153" s="23"/>
      <c r="P153" s="13"/>
      <c r="Q153" s="23" t="s">
        <v>224</v>
      </c>
    </row>
    <row r="154" spans="1:17" ht="16.5" customHeight="1" x14ac:dyDescent="0.3">
      <c r="A154" s="23" t="s">
        <v>502</v>
      </c>
      <c r="B154" s="24" t="s">
        <v>510</v>
      </c>
      <c r="C154" s="25" t="s">
        <v>384</v>
      </c>
      <c r="D154" s="23" t="s">
        <v>511</v>
      </c>
      <c r="E154" s="26"/>
      <c r="F154" s="13">
        <v>0</v>
      </c>
      <c r="G154" s="27">
        <f>SUMIFS(CT!$H$5:$H$143,CT!$D$5:$D$143,DMTK!B154)</f>
        <v>0</v>
      </c>
      <c r="H154" s="27">
        <f>SUMIFS(CT!$H$5:$H$143,CT!$E$5:$E$143,DMTK!B154)</f>
        <v>0</v>
      </c>
      <c r="I154" s="13">
        <f>IF(OR(LEFT(B154,3)="152",LEFT(B154,3)="153",LEFT(B154,3)="155",LEFT(B154,3)="156",LEFT(B154,3)="157"),E154+SUMIFS(CT!$F$5:$F$143,CT!$D$5:$D$143,DMTK!B154)-SUMIFS(CT!$F$5:$F$143,CT!$E$5:$E$143,DMTK!B154),0)</f>
        <v>0</v>
      </c>
      <c r="J154" s="28">
        <f t="shared" si="6"/>
        <v>0</v>
      </c>
      <c r="K154" s="13">
        <f t="shared" si="7"/>
        <v>0</v>
      </c>
      <c r="L154" s="13">
        <f t="shared" si="8"/>
        <v>0</v>
      </c>
      <c r="M154" s="29"/>
      <c r="N154" s="13"/>
      <c r="O154" s="23"/>
      <c r="P154" s="13"/>
      <c r="Q154" s="23" t="s">
        <v>224</v>
      </c>
    </row>
    <row r="155" spans="1:17" ht="16.5" customHeight="1" x14ac:dyDescent="0.3">
      <c r="A155" s="23" t="s">
        <v>512</v>
      </c>
      <c r="B155" s="24" t="s">
        <v>513</v>
      </c>
      <c r="C155" s="25" t="s">
        <v>384</v>
      </c>
      <c r="D155" s="23" t="s">
        <v>514</v>
      </c>
      <c r="E155" s="26"/>
      <c r="F155" s="13">
        <v>0</v>
      </c>
      <c r="G155" s="27">
        <f>SUMIFS(CT!$H$5:$H$143,CT!$D$5:$D$143,DMTK!B155)</f>
        <v>0</v>
      </c>
      <c r="H155" s="27">
        <f>SUMIFS(CT!$H$5:$H$143,CT!$E$5:$E$143,DMTK!B155)</f>
        <v>0</v>
      </c>
      <c r="I155" s="13">
        <f>IF(OR(LEFT(B155,3)="152",LEFT(B155,3)="153",LEFT(B155,3)="155",LEFT(B155,3)="156",LEFT(B155,3)="157"),E155+SUMIFS(CT!$F$5:$F$143,CT!$D$5:$D$143,DMTK!B155)-SUMIFS(CT!$F$5:$F$143,CT!$E$5:$E$143,DMTK!B155),0)</f>
        <v>0</v>
      </c>
      <c r="J155" s="28">
        <f t="shared" si="6"/>
        <v>0</v>
      </c>
      <c r="K155" s="13">
        <f t="shared" si="7"/>
        <v>0</v>
      </c>
      <c r="L155" s="13">
        <f t="shared" si="8"/>
        <v>0</v>
      </c>
      <c r="M155" s="29"/>
      <c r="N155" s="13"/>
      <c r="O155" s="23"/>
      <c r="P155" s="13"/>
      <c r="Q155" s="23" t="s">
        <v>224</v>
      </c>
    </row>
    <row r="156" spans="1:17" ht="16.5" customHeight="1" x14ac:dyDescent="0.3">
      <c r="A156" s="23" t="s">
        <v>515</v>
      </c>
      <c r="B156" s="24" t="s">
        <v>516</v>
      </c>
      <c r="C156" s="25" t="s">
        <v>384</v>
      </c>
      <c r="D156" s="23" t="s">
        <v>517</v>
      </c>
      <c r="E156" s="26"/>
      <c r="F156" s="13"/>
      <c r="G156" s="27">
        <f>SUMIFS(CT!$H$5:$H$143,CT!$D$5:$D$143,DMTK!B156)</f>
        <v>0</v>
      </c>
      <c r="H156" s="27">
        <f>SUMIFS(CT!$H$5:$H$143,CT!$E$5:$E$143,DMTK!B156)</f>
        <v>0</v>
      </c>
      <c r="I156" s="13">
        <f>IF(OR(LEFT(B156,3)="152",LEFT(B156,3)="153",LEFT(B156,3)="155",LEFT(B156,3)="156",LEFT(B156,3)="157"),E156+SUMIFS(CT!$F$5:$F$143,CT!$D$5:$D$143,DMTK!B156)-SUMIFS(CT!$F$5:$F$143,CT!$E$5:$E$143,DMTK!B156),0)</f>
        <v>0</v>
      </c>
      <c r="J156" s="28">
        <f t="shared" si="6"/>
        <v>0</v>
      </c>
      <c r="K156" s="13">
        <f t="shared" si="7"/>
        <v>0</v>
      </c>
      <c r="L156" s="13">
        <f t="shared" si="8"/>
        <v>0</v>
      </c>
      <c r="M156" s="29"/>
      <c r="N156" s="13"/>
      <c r="O156" s="23"/>
      <c r="P156" s="13"/>
      <c r="Q156" s="23" t="s">
        <v>224</v>
      </c>
    </row>
    <row r="157" spans="1:17" ht="16.5" customHeight="1" x14ac:dyDescent="0.3">
      <c r="A157" s="23" t="s">
        <v>502</v>
      </c>
      <c r="B157" s="24" t="s">
        <v>151</v>
      </c>
      <c r="C157" s="25" t="s">
        <v>384</v>
      </c>
      <c r="D157" s="8" t="s">
        <v>518</v>
      </c>
      <c r="E157" s="26"/>
      <c r="F157" s="13">
        <v>38800000</v>
      </c>
      <c r="G157" s="27">
        <f>SUMIFS(CT!$H$5:$H$143,CT!$D$5:$D$143,DMTK!B157)</f>
        <v>0</v>
      </c>
      <c r="H157" s="27">
        <f>SUMIFS(CT!$H$5:$H$143,CT!$E$5:$E$143,DMTK!B157)</f>
        <v>2470000</v>
      </c>
      <c r="I157" s="13">
        <f>IF(OR(LEFT(B157,3)="152",LEFT(B157,3)="153",LEFT(B157,3)="155",LEFT(B157,3)="156",LEFT(B157,3)="157"),E157+SUMIFS(CT!$F$5:$F$143,CT!$D$5:$D$143,DMTK!B157)-SUMIFS(CT!$F$5:$F$143,CT!$E$5:$E$143,DMTK!B157),0)</f>
        <v>0</v>
      </c>
      <c r="J157" s="28">
        <f t="shared" si="6"/>
        <v>41270000</v>
      </c>
      <c r="K157" s="13">
        <f t="shared" si="7"/>
        <v>0</v>
      </c>
      <c r="L157" s="13">
        <f t="shared" si="8"/>
        <v>38800000</v>
      </c>
      <c r="M157" s="29"/>
      <c r="N157" s="13"/>
      <c r="O157" s="23"/>
      <c r="P157" s="13"/>
      <c r="Q157" s="23" t="s">
        <v>224</v>
      </c>
    </row>
    <row r="158" spans="1:17" ht="16.5" customHeight="1" x14ac:dyDescent="0.3">
      <c r="A158" s="23" t="s">
        <v>519</v>
      </c>
      <c r="B158" s="24" t="s">
        <v>520</v>
      </c>
      <c r="C158" s="25" t="s">
        <v>384</v>
      </c>
      <c r="D158" s="30" t="s">
        <v>521</v>
      </c>
      <c r="E158" s="26"/>
      <c r="F158" s="13">
        <v>385000000</v>
      </c>
      <c r="G158" s="27">
        <f>SUMIFS(CT!$H$5:$H$143,CT!$D$5:$D$143,DMTK!B158)</f>
        <v>0</v>
      </c>
      <c r="H158" s="27">
        <f>SUMIFS(CT!$H$5:$H$143,CT!$E$5:$E$143,DMTK!B158)</f>
        <v>0</v>
      </c>
      <c r="I158" s="13">
        <f>IF(OR(LEFT(B158,3)="152",LEFT(B158,3)="153",LEFT(B158,3)="155",LEFT(B158,3)="156",LEFT(B158,3)="157"),E158+SUMIFS(CT!$F$5:$F$143,CT!$D$5:$D$143,DMTK!B158)-SUMIFS(CT!$F$5:$F$143,CT!$E$5:$E$143,DMTK!B158),0)</f>
        <v>0</v>
      </c>
      <c r="J158" s="28">
        <f t="shared" si="6"/>
        <v>385000000</v>
      </c>
      <c r="K158" s="13">
        <f t="shared" si="7"/>
        <v>0</v>
      </c>
      <c r="L158" s="13">
        <f t="shared" si="8"/>
        <v>385000000</v>
      </c>
      <c r="M158" s="29"/>
      <c r="N158" s="13"/>
      <c r="O158" s="23"/>
      <c r="P158" s="13"/>
      <c r="Q158" s="23" t="s">
        <v>224</v>
      </c>
    </row>
    <row r="159" spans="1:17" ht="16.5" customHeight="1" x14ac:dyDescent="0.3">
      <c r="A159" s="23" t="s">
        <v>519</v>
      </c>
      <c r="B159" s="24" t="s">
        <v>522</v>
      </c>
      <c r="C159" s="25" t="s">
        <v>384</v>
      </c>
      <c r="D159" s="30" t="s">
        <v>523</v>
      </c>
      <c r="E159" s="26"/>
      <c r="F159" s="13"/>
      <c r="G159" s="27">
        <f>SUMIFS(CT!$H$5:$H$143,CT!$D$5:$D$143,DMTK!B159)</f>
        <v>0</v>
      </c>
      <c r="H159" s="27">
        <f>SUMIFS(CT!$H$5:$H$143,CT!$E$5:$E$143,DMTK!B159)</f>
        <v>0</v>
      </c>
      <c r="I159" s="13">
        <f>IF(OR(LEFT(B159,3)="152",LEFT(B159,3)="153",LEFT(B159,3)="155",LEFT(B159,3)="156",LEFT(B159,3)="157"),E159+SUMIFS(CT!$F$5:$F$143,CT!$D$5:$D$143,DMTK!B159)-SUMIFS(CT!$F$5:$F$143,CT!$E$5:$E$143,DMTK!B159),0)</f>
        <v>0</v>
      </c>
      <c r="J159" s="28">
        <f t="shared" si="6"/>
        <v>0</v>
      </c>
      <c r="K159" s="13">
        <f t="shared" si="7"/>
        <v>0</v>
      </c>
      <c r="L159" s="13">
        <f t="shared" si="8"/>
        <v>0</v>
      </c>
      <c r="M159" s="29"/>
      <c r="N159" s="13"/>
      <c r="O159" s="23"/>
      <c r="P159" s="13"/>
      <c r="Q159" s="23" t="s">
        <v>224</v>
      </c>
    </row>
    <row r="160" spans="1:17" ht="16.5" customHeight="1" x14ac:dyDescent="0.3">
      <c r="A160" s="23" t="s">
        <v>519</v>
      </c>
      <c r="B160" s="24" t="s">
        <v>524</v>
      </c>
      <c r="C160" s="25" t="s">
        <v>384</v>
      </c>
      <c r="D160" s="8" t="s">
        <v>525</v>
      </c>
      <c r="E160" s="26"/>
      <c r="F160" s="13">
        <v>0</v>
      </c>
      <c r="G160" s="27">
        <f>SUMIFS(CT!$H$5:$H$143,CT!$D$5:$D$143,DMTK!B160)</f>
        <v>0</v>
      </c>
      <c r="H160" s="27">
        <f>SUMIFS(CT!$H$5:$H$143,CT!$E$5:$E$143,DMTK!B160)</f>
        <v>0</v>
      </c>
      <c r="I160" s="13">
        <f>IF(OR(LEFT(B160,3)="152",LEFT(B160,3)="153",LEFT(B160,3)="155",LEFT(B160,3)="156",LEFT(B160,3)="157"),E160+SUMIFS(CT!$F$5:$F$143,CT!$D$5:$D$143,DMTK!B160)-SUMIFS(CT!$F$5:$F$143,CT!$E$5:$E$143,DMTK!B160),0)</f>
        <v>0</v>
      </c>
      <c r="J160" s="28">
        <f t="shared" si="6"/>
        <v>0</v>
      </c>
      <c r="K160" s="13">
        <f t="shared" si="7"/>
        <v>0</v>
      </c>
      <c r="L160" s="13">
        <f t="shared" si="8"/>
        <v>0</v>
      </c>
      <c r="M160" s="29"/>
      <c r="N160" s="13"/>
      <c r="O160" s="23"/>
      <c r="P160" s="13"/>
      <c r="Q160" s="23" t="s">
        <v>224</v>
      </c>
    </row>
    <row r="161" spans="1:17" ht="16.5" customHeight="1" x14ac:dyDescent="0.3">
      <c r="A161" s="23" t="s">
        <v>482</v>
      </c>
      <c r="B161" s="24" t="s">
        <v>526</v>
      </c>
      <c r="C161" s="25" t="s">
        <v>384</v>
      </c>
      <c r="D161" s="8" t="s">
        <v>527</v>
      </c>
      <c r="E161" s="26"/>
      <c r="F161" s="13">
        <v>0</v>
      </c>
      <c r="G161" s="27">
        <f>SUMIFS(CT!$H$5:$H$143,CT!$D$5:$D$143,DMTK!B161)</f>
        <v>0</v>
      </c>
      <c r="H161" s="27">
        <f>SUMIFS(CT!$H$5:$H$143,CT!$E$5:$E$143,DMTK!B161)</f>
        <v>0</v>
      </c>
      <c r="I161" s="13">
        <f>IF(OR(LEFT(B161,3)="152",LEFT(B161,3)="153",LEFT(B161,3)="155",LEFT(B161,3)="156",LEFT(B161,3)="157"),E161+SUMIFS(CT!$F$5:$F$143,CT!$D$5:$D$143,DMTK!B161)-SUMIFS(CT!$F$5:$F$143,CT!$E$5:$E$143,DMTK!B161),0)</f>
        <v>0</v>
      </c>
      <c r="J161" s="28">
        <f t="shared" si="6"/>
        <v>0</v>
      </c>
      <c r="K161" s="13">
        <f t="shared" si="7"/>
        <v>0</v>
      </c>
      <c r="L161" s="13">
        <f t="shared" si="8"/>
        <v>0</v>
      </c>
      <c r="M161" s="29"/>
      <c r="N161" s="13"/>
      <c r="O161" s="23"/>
      <c r="P161" s="13"/>
      <c r="Q161" s="23" t="s">
        <v>224</v>
      </c>
    </row>
    <row r="162" spans="1:17" ht="16.5" customHeight="1" x14ac:dyDescent="0.3">
      <c r="A162" s="23" t="s">
        <v>482</v>
      </c>
      <c r="B162" s="24" t="s">
        <v>528</v>
      </c>
      <c r="C162" s="25" t="s">
        <v>384</v>
      </c>
      <c r="D162" s="8" t="s">
        <v>529</v>
      </c>
      <c r="E162" s="26"/>
      <c r="F162" s="13">
        <v>0</v>
      </c>
      <c r="G162" s="27">
        <f>SUMIFS(CT!$H$5:$H$143,CT!$D$5:$D$143,DMTK!B162)</f>
        <v>0</v>
      </c>
      <c r="H162" s="27">
        <f>SUMIFS(CT!$H$5:$H$143,CT!$E$5:$E$143,DMTK!B162)</f>
        <v>0</v>
      </c>
      <c r="I162" s="13">
        <f>IF(OR(LEFT(B162,3)="152",LEFT(B162,3)="153",LEFT(B162,3)="155",LEFT(B162,3)="156",LEFT(B162,3)="157"),E162+SUMIFS(CT!$F$5:$F$143,CT!$D$5:$D$143,DMTK!B162)-SUMIFS(CT!$F$5:$F$143,CT!$E$5:$E$143,DMTK!B162),0)</f>
        <v>0</v>
      </c>
      <c r="J162" s="28">
        <f t="shared" si="6"/>
        <v>0</v>
      </c>
      <c r="K162" s="13">
        <f t="shared" si="7"/>
        <v>0</v>
      </c>
      <c r="L162" s="13">
        <f t="shared" si="8"/>
        <v>0</v>
      </c>
      <c r="M162" s="29"/>
      <c r="N162" s="13"/>
      <c r="O162" s="23"/>
      <c r="P162" s="13"/>
      <c r="Q162" s="23" t="s">
        <v>224</v>
      </c>
    </row>
    <row r="163" spans="1:17" ht="16.5" customHeight="1" x14ac:dyDescent="0.3">
      <c r="A163" s="23" t="s">
        <v>530</v>
      </c>
      <c r="B163" s="24" t="s">
        <v>531</v>
      </c>
      <c r="C163" s="25" t="s">
        <v>384</v>
      </c>
      <c r="D163" s="8" t="s">
        <v>532</v>
      </c>
      <c r="E163" s="26"/>
      <c r="F163" s="13"/>
      <c r="G163" s="27">
        <f>SUMIFS(CT!$H$5:$H$143,CT!$D$5:$D$143,DMTK!B163)</f>
        <v>0</v>
      </c>
      <c r="H163" s="27">
        <f>SUMIFS(CT!$H$5:$H$143,CT!$E$5:$E$143,DMTK!B163)</f>
        <v>0</v>
      </c>
      <c r="I163" s="13">
        <f>IF(OR(LEFT(B163,3)="152",LEFT(B163,3)="153",LEFT(B163,3)="155",LEFT(B163,3)="156",LEFT(B163,3)="157"),E163+SUMIFS(CT!$F$5:$F$143,CT!$D$5:$D$143,DMTK!B163)-SUMIFS(CT!$F$5:$F$143,CT!$E$5:$E$143,DMTK!B163),0)</f>
        <v>0</v>
      </c>
      <c r="J163" s="28">
        <f t="shared" si="6"/>
        <v>0</v>
      </c>
      <c r="K163" s="13">
        <f t="shared" si="7"/>
        <v>0</v>
      </c>
      <c r="L163" s="13">
        <f t="shared" si="8"/>
        <v>0</v>
      </c>
      <c r="M163" s="29"/>
      <c r="N163" s="13"/>
      <c r="O163" s="23"/>
      <c r="P163" s="13"/>
      <c r="Q163" s="23" t="s">
        <v>224</v>
      </c>
    </row>
    <row r="164" spans="1:17" ht="16.5" customHeight="1" x14ac:dyDescent="0.3">
      <c r="A164" s="23" t="s">
        <v>533</v>
      </c>
      <c r="B164" s="24" t="s">
        <v>534</v>
      </c>
      <c r="C164" s="25" t="s">
        <v>384</v>
      </c>
      <c r="D164" s="8" t="s">
        <v>535</v>
      </c>
      <c r="E164" s="26"/>
      <c r="F164" s="13">
        <v>0</v>
      </c>
      <c r="G164" s="27">
        <f>SUMIFS(CT!$H$5:$H$143,CT!$D$5:$D$143,DMTK!B164)</f>
        <v>0</v>
      </c>
      <c r="H164" s="27">
        <f>SUMIFS(CT!$H$5:$H$143,CT!$E$5:$E$143,DMTK!B164)</f>
        <v>0</v>
      </c>
      <c r="I164" s="13">
        <f>IF(OR(LEFT(B164,3)="152",LEFT(B164,3)="153",LEFT(B164,3)="155",LEFT(B164,3)="156",LEFT(B164,3)="157"),E164+SUMIFS(CT!$F$5:$F$143,CT!$D$5:$D$143,DMTK!B164)-SUMIFS(CT!$F$5:$F$143,CT!$E$5:$E$143,DMTK!B164),0)</f>
        <v>0</v>
      </c>
      <c r="J164" s="28">
        <f t="shared" si="6"/>
        <v>0</v>
      </c>
      <c r="K164" s="13">
        <f t="shared" si="7"/>
        <v>0</v>
      </c>
      <c r="L164" s="13">
        <f t="shared" si="8"/>
        <v>0</v>
      </c>
      <c r="M164" s="29"/>
      <c r="N164" s="13"/>
      <c r="O164" s="23"/>
      <c r="P164" s="13"/>
      <c r="Q164" s="23" t="s">
        <v>224</v>
      </c>
    </row>
    <row r="165" spans="1:17" ht="16.5" customHeight="1" x14ac:dyDescent="0.3">
      <c r="A165" s="23" t="s">
        <v>536</v>
      </c>
      <c r="B165" s="24" t="s">
        <v>537</v>
      </c>
      <c r="C165" s="25" t="s">
        <v>384</v>
      </c>
      <c r="D165" s="8" t="s">
        <v>538</v>
      </c>
      <c r="E165" s="26"/>
      <c r="F165" s="13">
        <v>0</v>
      </c>
      <c r="G165" s="27">
        <f>SUMIFS(CT!$H$5:$H$143,CT!$D$5:$D$143,DMTK!B165)</f>
        <v>0</v>
      </c>
      <c r="H165" s="27">
        <f>SUMIFS(CT!$H$5:$H$143,CT!$E$5:$E$143,DMTK!B165)</f>
        <v>0</v>
      </c>
      <c r="I165" s="13">
        <f>IF(OR(LEFT(B165,3)="152",LEFT(B165,3)="153",LEFT(B165,3)="155",LEFT(B165,3)="156",LEFT(B165,3)="157"),E165+SUMIFS(CT!$F$5:$F$143,CT!$D$5:$D$143,DMTK!B165)-SUMIFS(CT!$F$5:$F$143,CT!$E$5:$E$143,DMTK!B165),0)</f>
        <v>0</v>
      </c>
      <c r="J165" s="28">
        <f t="shared" si="6"/>
        <v>0</v>
      </c>
      <c r="K165" s="13">
        <f t="shared" si="7"/>
        <v>0</v>
      </c>
      <c r="L165" s="13">
        <f t="shared" si="8"/>
        <v>0</v>
      </c>
      <c r="M165" s="29"/>
      <c r="N165" s="13"/>
      <c r="O165" s="23"/>
      <c r="P165" s="13"/>
      <c r="Q165" s="23" t="s">
        <v>224</v>
      </c>
    </row>
    <row r="166" spans="1:17" ht="16.5" customHeight="1" x14ac:dyDescent="0.3">
      <c r="A166" s="23" t="s">
        <v>539</v>
      </c>
      <c r="B166" s="24" t="s">
        <v>540</v>
      </c>
      <c r="C166" s="25" t="s">
        <v>384</v>
      </c>
      <c r="D166" s="8" t="s">
        <v>541</v>
      </c>
      <c r="E166" s="26"/>
      <c r="F166" s="13">
        <v>22000000</v>
      </c>
      <c r="G166" s="27">
        <f>SUMIFS(CT!$H$5:$H$143,CT!$D$5:$D$143,DMTK!B166)</f>
        <v>0</v>
      </c>
      <c r="H166" s="27">
        <f>SUMIFS(CT!$H$5:$H$143,CT!$E$5:$E$143,DMTK!B166)</f>
        <v>0</v>
      </c>
      <c r="I166" s="13">
        <f>IF(OR(LEFT(B166,3)="152",LEFT(B166,3)="153",LEFT(B166,3)="155",LEFT(B166,3)="156",LEFT(B166,3)="157"),E166+SUMIFS(CT!$F$5:$F$143,CT!$D$5:$D$143,DMTK!B166)-SUMIFS(CT!$F$5:$F$143,CT!$E$5:$E$143,DMTK!B166),0)</f>
        <v>0</v>
      </c>
      <c r="J166" s="28">
        <f t="shared" si="6"/>
        <v>22000000</v>
      </c>
      <c r="K166" s="13">
        <f t="shared" si="7"/>
        <v>0</v>
      </c>
      <c r="L166" s="13">
        <f t="shared" si="8"/>
        <v>22000000</v>
      </c>
      <c r="M166" s="29"/>
      <c r="N166" s="13"/>
      <c r="O166" s="23"/>
      <c r="P166" s="13"/>
      <c r="Q166" s="23" t="s">
        <v>224</v>
      </c>
    </row>
    <row r="167" spans="1:17" ht="16.5" customHeight="1" x14ac:dyDescent="0.3">
      <c r="A167" s="23" t="s">
        <v>539</v>
      </c>
      <c r="B167" s="24" t="s">
        <v>542</v>
      </c>
      <c r="C167" s="25" t="s">
        <v>384</v>
      </c>
      <c r="D167" s="8" t="s">
        <v>543</v>
      </c>
      <c r="E167" s="26"/>
      <c r="F167" s="13"/>
      <c r="G167" s="27">
        <f>SUMIFS(CT!$H$5:$H$143,CT!$D$5:$D$143,DMTK!B167)</f>
        <v>0</v>
      </c>
      <c r="H167" s="27">
        <f>SUMIFS(CT!$H$5:$H$143,CT!$E$5:$E$143,DMTK!B167)</f>
        <v>0</v>
      </c>
      <c r="I167" s="13">
        <f>IF(OR(LEFT(B167,3)="152",LEFT(B167,3)="153",LEFT(B167,3)="155",LEFT(B167,3)="156",LEFT(B167,3)="157"),E167+SUMIFS(CT!$F$5:$F$143,CT!$D$5:$D$143,DMTK!B167)-SUMIFS(CT!$F$5:$F$143,CT!$E$5:$E$143,DMTK!B167),0)</f>
        <v>0</v>
      </c>
      <c r="J167" s="28">
        <f t="shared" si="6"/>
        <v>0</v>
      </c>
      <c r="K167" s="13">
        <f t="shared" si="7"/>
        <v>0</v>
      </c>
      <c r="L167" s="13">
        <f t="shared" si="8"/>
        <v>0</v>
      </c>
      <c r="M167" s="29"/>
      <c r="N167" s="13"/>
      <c r="O167" s="23"/>
      <c r="P167" s="13"/>
      <c r="Q167" s="23" t="s">
        <v>224</v>
      </c>
    </row>
    <row r="168" spans="1:17" ht="16.5" customHeight="1" x14ac:dyDescent="0.3">
      <c r="A168" s="23" t="s">
        <v>539</v>
      </c>
      <c r="B168" s="24" t="s">
        <v>544</v>
      </c>
      <c r="C168" s="25" t="s">
        <v>384</v>
      </c>
      <c r="D168" s="8" t="s">
        <v>545</v>
      </c>
      <c r="E168" s="26"/>
      <c r="F168" s="13"/>
      <c r="G168" s="27">
        <f>SUMIFS(CT!$H$5:$H$143,CT!$D$5:$D$143,DMTK!B168)</f>
        <v>0</v>
      </c>
      <c r="H168" s="27">
        <f>SUMIFS(CT!$H$5:$H$143,CT!$E$5:$E$143,DMTK!B168)</f>
        <v>0</v>
      </c>
      <c r="I168" s="13">
        <f>IF(OR(LEFT(B168,3)="152",LEFT(B168,3)="153",LEFT(B168,3)="155",LEFT(B168,3)="156",LEFT(B168,3)="157"),E168+SUMIFS(CT!$F$5:$F$143,CT!$D$5:$D$143,DMTK!B168)-SUMIFS(CT!$F$5:$F$143,CT!$E$5:$E$143,DMTK!B168),0)</f>
        <v>0</v>
      </c>
      <c r="J168" s="28">
        <f t="shared" si="6"/>
        <v>0</v>
      </c>
      <c r="K168" s="13">
        <f t="shared" si="7"/>
        <v>0</v>
      </c>
      <c r="L168" s="13">
        <f t="shared" si="8"/>
        <v>0</v>
      </c>
      <c r="M168" s="29"/>
      <c r="N168" s="13"/>
      <c r="O168" s="23"/>
      <c r="P168" s="13"/>
      <c r="Q168" s="23" t="s">
        <v>224</v>
      </c>
    </row>
    <row r="169" spans="1:17" ht="16.5" customHeight="1" x14ac:dyDescent="0.3">
      <c r="A169" s="23" t="s">
        <v>539</v>
      </c>
      <c r="B169" s="24" t="s">
        <v>546</v>
      </c>
      <c r="C169" s="25" t="s">
        <v>384</v>
      </c>
      <c r="D169" s="8" t="s">
        <v>547</v>
      </c>
      <c r="E169" s="26"/>
      <c r="F169" s="13"/>
      <c r="G169" s="27">
        <f>SUMIFS(CT!$H$5:$H$143,CT!$D$5:$D$143,DMTK!B169)</f>
        <v>0</v>
      </c>
      <c r="H169" s="27">
        <f>SUMIFS(CT!$H$5:$H$143,CT!$E$5:$E$143,DMTK!B169)</f>
        <v>0</v>
      </c>
      <c r="I169" s="13">
        <f>IF(OR(LEFT(B169,3)="152",LEFT(B169,3)="153",LEFT(B169,3)="155",LEFT(B169,3)="156",LEFT(B169,3)="157"),E169+SUMIFS(CT!$F$5:$F$143,CT!$D$5:$D$143,DMTK!B169)-SUMIFS(CT!$F$5:$F$143,CT!$E$5:$E$143,DMTK!B169),0)</f>
        <v>0</v>
      </c>
      <c r="J169" s="28">
        <f t="shared" si="6"/>
        <v>0</v>
      </c>
      <c r="K169" s="13">
        <f t="shared" si="7"/>
        <v>0</v>
      </c>
      <c r="L169" s="13">
        <f t="shared" si="8"/>
        <v>0</v>
      </c>
      <c r="M169" s="29"/>
      <c r="N169" s="13"/>
      <c r="O169" s="23"/>
      <c r="P169" s="13"/>
      <c r="Q169" s="23" t="s">
        <v>224</v>
      </c>
    </row>
    <row r="170" spans="1:17" ht="16.5" customHeight="1" x14ac:dyDescent="0.3">
      <c r="A170" s="33" t="s">
        <v>548</v>
      </c>
      <c r="B170" s="24" t="s">
        <v>549</v>
      </c>
      <c r="C170" s="25" t="s">
        <v>384</v>
      </c>
      <c r="D170" s="8" t="s">
        <v>550</v>
      </c>
      <c r="E170" s="26"/>
      <c r="F170" s="13">
        <v>37000000</v>
      </c>
      <c r="G170" s="27">
        <f>SUMIFS(CT!$H$5:$H$143,CT!$D$5:$D$143,DMTK!B170)</f>
        <v>0</v>
      </c>
      <c r="H170" s="27">
        <f>SUMIFS(CT!$H$5:$H$143,CT!$E$5:$E$143,DMTK!B170)</f>
        <v>0</v>
      </c>
      <c r="I170" s="13">
        <f>IF(OR(LEFT(B170,3)="152",LEFT(B170,3)="153",LEFT(B170,3)="155",LEFT(B170,3)="156",LEFT(B170,3)="157"),E170+SUMIFS(CT!$F$5:$F$143,CT!$D$5:$D$143,DMTK!B170)-SUMIFS(CT!$F$5:$F$143,CT!$E$5:$E$143,DMTK!B170),0)</f>
        <v>0</v>
      </c>
      <c r="J170" s="28">
        <f t="shared" si="6"/>
        <v>37000000</v>
      </c>
      <c r="K170" s="13">
        <f t="shared" si="7"/>
        <v>0</v>
      </c>
      <c r="L170" s="13">
        <f t="shared" si="8"/>
        <v>37000000</v>
      </c>
      <c r="M170" s="29"/>
      <c r="N170" s="13"/>
      <c r="O170" s="23"/>
      <c r="P170" s="13"/>
      <c r="Q170" s="23" t="s">
        <v>224</v>
      </c>
    </row>
    <row r="171" spans="1:17" ht="16.5" customHeight="1" x14ac:dyDescent="0.3">
      <c r="A171" s="33" t="s">
        <v>548</v>
      </c>
      <c r="B171" s="24" t="s">
        <v>551</v>
      </c>
      <c r="C171" s="25" t="s">
        <v>384</v>
      </c>
      <c r="D171" s="8" t="s">
        <v>552</v>
      </c>
      <c r="E171" s="26"/>
      <c r="F171" s="13">
        <v>26000000</v>
      </c>
      <c r="G171" s="27">
        <f>SUMIFS(CT!$H$5:$H$143,CT!$D$5:$D$143,DMTK!B171)</f>
        <v>0</v>
      </c>
      <c r="H171" s="27">
        <f>SUMIFS(CT!$H$5:$H$143,CT!$E$5:$E$143,DMTK!B171)</f>
        <v>0</v>
      </c>
      <c r="I171" s="13">
        <f>IF(OR(LEFT(B171,3)="152",LEFT(B171,3)="153",LEFT(B171,3)="155",LEFT(B171,3)="156",LEFT(B171,3)="157"),E171+SUMIFS(CT!$F$5:$F$143,CT!$D$5:$D$143,DMTK!B171)-SUMIFS(CT!$F$5:$F$143,CT!$E$5:$E$143,DMTK!B171),0)</f>
        <v>0</v>
      </c>
      <c r="J171" s="28">
        <f t="shared" si="6"/>
        <v>26000000</v>
      </c>
      <c r="K171" s="13">
        <f t="shared" si="7"/>
        <v>0</v>
      </c>
      <c r="L171" s="13">
        <f t="shared" si="8"/>
        <v>26000000</v>
      </c>
      <c r="M171" s="29"/>
      <c r="N171" s="13"/>
      <c r="O171" s="23"/>
      <c r="P171" s="13"/>
      <c r="Q171" s="23" t="s">
        <v>224</v>
      </c>
    </row>
    <row r="172" spans="1:17" ht="16.5" customHeight="1" x14ac:dyDescent="0.3">
      <c r="A172" s="33" t="s">
        <v>548</v>
      </c>
      <c r="B172" s="24" t="s">
        <v>553</v>
      </c>
      <c r="C172" s="25" t="s">
        <v>384</v>
      </c>
      <c r="D172" s="8" t="s">
        <v>554</v>
      </c>
      <c r="E172" s="26"/>
      <c r="F172" s="13">
        <v>20000000</v>
      </c>
      <c r="G172" s="27">
        <f>SUMIFS(CT!$H$5:$H$143,CT!$D$5:$D$143,DMTK!B172)</f>
        <v>0</v>
      </c>
      <c r="H172" s="27">
        <f>SUMIFS(CT!$H$5:$H$143,CT!$E$5:$E$143,DMTK!B172)</f>
        <v>0</v>
      </c>
      <c r="I172" s="13">
        <f>IF(OR(LEFT(B172,3)="152",LEFT(B172,3)="153",LEFT(B172,3)="155",LEFT(B172,3)="156",LEFT(B172,3)="157"),E172+SUMIFS(CT!$F$5:$F$143,CT!$D$5:$D$143,DMTK!B172)-SUMIFS(CT!$F$5:$F$143,CT!$E$5:$E$143,DMTK!B172),0)</f>
        <v>0</v>
      </c>
      <c r="J172" s="28">
        <f t="shared" si="6"/>
        <v>20000000</v>
      </c>
      <c r="K172" s="13">
        <f t="shared" si="7"/>
        <v>0</v>
      </c>
      <c r="L172" s="13">
        <f t="shared" si="8"/>
        <v>20000000</v>
      </c>
      <c r="M172" s="29"/>
      <c r="N172" s="13"/>
      <c r="O172" s="23"/>
      <c r="P172" s="13"/>
      <c r="Q172" s="23" t="s">
        <v>224</v>
      </c>
    </row>
    <row r="173" spans="1:17" ht="16.5" customHeight="1" x14ac:dyDescent="0.3">
      <c r="A173" s="33" t="s">
        <v>548</v>
      </c>
      <c r="B173" s="24" t="s">
        <v>555</v>
      </c>
      <c r="C173" s="25" t="s">
        <v>384</v>
      </c>
      <c r="D173" s="8" t="s">
        <v>556</v>
      </c>
      <c r="E173" s="26"/>
      <c r="F173" s="13"/>
      <c r="G173" s="27">
        <f>SUMIFS(CT!$H$5:$H$143,CT!$D$5:$D$143,DMTK!B173)</f>
        <v>0</v>
      </c>
      <c r="H173" s="27">
        <f>SUMIFS(CT!$H$5:$H$143,CT!$E$5:$E$143,DMTK!B173)</f>
        <v>0</v>
      </c>
      <c r="I173" s="13">
        <f>IF(OR(LEFT(B173,3)="152",LEFT(B173,3)="153",LEFT(B173,3)="155",LEFT(B173,3)="156",LEFT(B173,3)="157"),E173+SUMIFS(CT!$F$5:$F$143,CT!$D$5:$D$143,DMTK!B173)-SUMIFS(CT!$F$5:$F$143,CT!$E$5:$E$143,DMTK!B173),0)</f>
        <v>0</v>
      </c>
      <c r="J173" s="28">
        <f t="shared" si="6"/>
        <v>0</v>
      </c>
      <c r="K173" s="13">
        <f t="shared" si="7"/>
        <v>0</v>
      </c>
      <c r="L173" s="13">
        <f t="shared" si="8"/>
        <v>0</v>
      </c>
      <c r="M173" s="29"/>
      <c r="N173" s="13"/>
      <c r="O173" s="23"/>
      <c r="P173" s="13"/>
      <c r="Q173" s="23" t="s">
        <v>224</v>
      </c>
    </row>
    <row r="174" spans="1:17" ht="16.5" customHeight="1" x14ac:dyDescent="0.3">
      <c r="A174" s="33" t="s">
        <v>557</v>
      </c>
      <c r="B174" s="24" t="s">
        <v>558</v>
      </c>
      <c r="C174" s="25" t="s">
        <v>384</v>
      </c>
      <c r="D174" s="8" t="s">
        <v>559</v>
      </c>
      <c r="E174" s="26"/>
      <c r="F174" s="13"/>
      <c r="G174" s="27">
        <f>SUMIFS(CT!$H$5:$H$143,CT!$D$5:$D$143,DMTK!B174)</f>
        <v>0</v>
      </c>
      <c r="H174" s="27">
        <f>SUMIFS(CT!$H$5:$H$143,CT!$E$5:$E$143,DMTK!B174)</f>
        <v>0</v>
      </c>
      <c r="I174" s="13">
        <f>IF(OR(LEFT(B174,3)="152",LEFT(B174,3)="153",LEFT(B174,3)="155",LEFT(B174,3)="156",LEFT(B174,3)="157"),E174+SUMIFS(CT!$F$5:$F$143,CT!$D$5:$D$143,DMTK!B174)-SUMIFS(CT!$F$5:$F$143,CT!$E$5:$E$143,DMTK!B174),0)</f>
        <v>0</v>
      </c>
      <c r="J174" s="28">
        <f t="shared" si="6"/>
        <v>0</v>
      </c>
      <c r="K174" s="13">
        <f t="shared" si="7"/>
        <v>0</v>
      </c>
      <c r="L174" s="13">
        <f t="shared" si="8"/>
        <v>0</v>
      </c>
      <c r="M174" s="29"/>
      <c r="N174" s="13"/>
      <c r="O174" s="23"/>
      <c r="P174" s="13"/>
      <c r="Q174" s="23" t="s">
        <v>224</v>
      </c>
    </row>
    <row r="175" spans="1:17" ht="16.5" customHeight="1" x14ac:dyDescent="0.3">
      <c r="A175" s="33" t="s">
        <v>557</v>
      </c>
      <c r="B175" s="24" t="s">
        <v>560</v>
      </c>
      <c r="C175" s="25" t="s">
        <v>384</v>
      </c>
      <c r="D175" s="8" t="s">
        <v>561</v>
      </c>
      <c r="E175" s="26"/>
      <c r="F175" s="13"/>
      <c r="G175" s="27">
        <f>SUMIFS(CT!$H$5:$H$143,CT!$D$5:$D$143,DMTK!B175)</f>
        <v>0</v>
      </c>
      <c r="H175" s="27">
        <f>SUMIFS(CT!$H$5:$H$143,CT!$E$5:$E$143,DMTK!B175)</f>
        <v>0</v>
      </c>
      <c r="I175" s="13">
        <f>IF(OR(LEFT(B175,3)="152",LEFT(B175,3)="153",LEFT(B175,3)="155",LEFT(B175,3)="156",LEFT(B175,3)="157"),E175+SUMIFS(CT!$F$5:$F$143,CT!$D$5:$D$143,DMTK!B175)-SUMIFS(CT!$F$5:$F$143,CT!$E$5:$E$143,DMTK!B175),0)</f>
        <v>0</v>
      </c>
      <c r="J175" s="28">
        <f t="shared" si="6"/>
        <v>0</v>
      </c>
      <c r="K175" s="13">
        <f t="shared" si="7"/>
        <v>0</v>
      </c>
      <c r="L175" s="13">
        <f t="shared" si="8"/>
        <v>0</v>
      </c>
      <c r="M175" s="29"/>
      <c r="N175" s="13"/>
      <c r="O175" s="23"/>
      <c r="P175" s="13"/>
      <c r="Q175" s="23" t="s">
        <v>224</v>
      </c>
    </row>
    <row r="176" spans="1:17" ht="16.5" customHeight="1" x14ac:dyDescent="0.3">
      <c r="A176" s="33" t="s">
        <v>562</v>
      </c>
      <c r="B176" s="24" t="s">
        <v>563</v>
      </c>
      <c r="C176" s="25" t="s">
        <v>384</v>
      </c>
      <c r="D176" s="8" t="s">
        <v>564</v>
      </c>
      <c r="E176" s="26"/>
      <c r="F176" s="13"/>
      <c r="G176" s="27">
        <f>SUMIFS(CT!$H$5:$H$143,CT!$D$5:$D$143,DMTK!B176)</f>
        <v>0</v>
      </c>
      <c r="H176" s="27">
        <f>SUMIFS(CT!$H$5:$H$143,CT!$E$5:$E$143,DMTK!B176)</f>
        <v>0</v>
      </c>
      <c r="I176" s="13">
        <f>IF(OR(LEFT(B176,3)="152",LEFT(B176,3)="153",LEFT(B176,3)="155",LEFT(B176,3)="156",LEFT(B176,3)="157"),E176+SUMIFS(CT!$F$5:$F$143,CT!$D$5:$D$143,DMTK!B176)-SUMIFS(CT!$F$5:$F$143,CT!$E$5:$E$143,DMTK!B176),0)</f>
        <v>0</v>
      </c>
      <c r="J176" s="28">
        <f t="shared" si="6"/>
        <v>0</v>
      </c>
      <c r="K176" s="13">
        <f t="shared" si="7"/>
        <v>0</v>
      </c>
      <c r="L176" s="13">
        <f t="shared" si="8"/>
        <v>0</v>
      </c>
      <c r="M176" s="29"/>
      <c r="N176" s="13"/>
      <c r="O176" s="23"/>
      <c r="P176" s="13"/>
      <c r="Q176" s="23" t="s">
        <v>224</v>
      </c>
    </row>
    <row r="177" spans="1:17" ht="16.5" customHeight="1" x14ac:dyDescent="0.3">
      <c r="A177" s="23" t="s">
        <v>565</v>
      </c>
      <c r="B177" s="24" t="s">
        <v>566</v>
      </c>
      <c r="C177" s="25" t="s">
        <v>384</v>
      </c>
      <c r="D177" s="30" t="s">
        <v>567</v>
      </c>
      <c r="E177" s="26"/>
      <c r="F177" s="13">
        <v>1430000000</v>
      </c>
      <c r="G177" s="27">
        <f>SUMIFS(CT!$H$5:$H$143,CT!$D$5:$D$143,DMTK!B177)</f>
        <v>0</v>
      </c>
      <c r="H177" s="27">
        <f>SUMIFS(CT!$H$5:$H$143,CT!$E$5:$E$143,DMTK!B177)</f>
        <v>0</v>
      </c>
      <c r="I177" s="13">
        <f>IF(OR(LEFT(B177,3)="152",LEFT(B177,3)="153",LEFT(B177,3)="155",LEFT(B177,3)="156",LEFT(B177,3)="157"),E177+SUMIFS(CT!$F$5:$F$143,CT!$D$5:$D$143,DMTK!B177)-SUMIFS(CT!$F$5:$F$143,CT!$E$5:$E$143,DMTK!B177),0)</f>
        <v>0</v>
      </c>
      <c r="J177" s="28">
        <f t="shared" si="6"/>
        <v>1430000000</v>
      </c>
      <c r="K177" s="13">
        <f t="shared" si="7"/>
        <v>0</v>
      </c>
      <c r="L177" s="13">
        <f t="shared" si="8"/>
        <v>1430000000</v>
      </c>
      <c r="M177" s="29"/>
      <c r="N177" s="13"/>
      <c r="O177" s="23"/>
      <c r="P177" s="13"/>
      <c r="Q177" s="23" t="s">
        <v>224</v>
      </c>
    </row>
    <row r="178" spans="1:17" ht="16.5" customHeight="1" x14ac:dyDescent="0.3">
      <c r="A178" s="23" t="s">
        <v>568</v>
      </c>
      <c r="B178" s="24" t="s">
        <v>569</v>
      </c>
      <c r="C178" s="25" t="s">
        <v>384</v>
      </c>
      <c r="D178" s="30" t="s">
        <v>570</v>
      </c>
      <c r="E178" s="26"/>
      <c r="F178" s="13">
        <v>43641000</v>
      </c>
      <c r="G178" s="27">
        <f>SUMIFS(CT!$H$5:$H$143,CT!$D$5:$D$143,DMTK!B178)</f>
        <v>0</v>
      </c>
      <c r="H178" s="27">
        <f>SUMIFS(CT!$H$5:$H$143,CT!$E$5:$E$143,DMTK!B178)</f>
        <v>0</v>
      </c>
      <c r="I178" s="13">
        <f>IF(OR(LEFT(B178,3)="152",LEFT(B178,3)="153",LEFT(B178,3)="155",LEFT(B178,3)="156",LEFT(B178,3)="157"),E178+SUMIFS(CT!$F$5:$F$143,CT!$D$5:$D$143,DMTK!B178)-SUMIFS(CT!$F$5:$F$143,CT!$E$5:$E$143,DMTK!B178),0)</f>
        <v>0</v>
      </c>
      <c r="J178" s="28">
        <f t="shared" si="6"/>
        <v>43641000</v>
      </c>
      <c r="K178" s="13">
        <f t="shared" si="7"/>
        <v>0</v>
      </c>
      <c r="L178" s="13">
        <f t="shared" si="8"/>
        <v>43641000</v>
      </c>
      <c r="M178" s="29"/>
      <c r="N178" s="13"/>
      <c r="O178" s="23"/>
      <c r="P178" s="13"/>
      <c r="Q178" s="23" t="s">
        <v>224</v>
      </c>
    </row>
    <row r="179" spans="1:17" ht="16.5" customHeight="1" x14ac:dyDescent="0.3">
      <c r="A179" s="23" t="s">
        <v>571</v>
      </c>
      <c r="B179" s="24" t="s">
        <v>572</v>
      </c>
      <c r="C179" s="25" t="s">
        <v>384</v>
      </c>
      <c r="D179" s="8" t="s">
        <v>573</v>
      </c>
      <c r="E179" s="26"/>
      <c r="F179" s="13">
        <v>0</v>
      </c>
      <c r="G179" s="27">
        <f>SUMIFS(CT!$H$5:$H$143,CT!$D$5:$D$143,DMTK!B179)</f>
        <v>0</v>
      </c>
      <c r="H179" s="27">
        <f>SUMIFS(CT!$H$5:$H$143,CT!$E$5:$E$143,DMTK!B179)</f>
        <v>0</v>
      </c>
      <c r="I179" s="13">
        <f>IF(OR(LEFT(B179,3)="152",LEFT(B179,3)="153",LEFT(B179,3)="155",LEFT(B179,3)="156",LEFT(B179,3)="157"),E179+SUMIFS(CT!$F$5:$F$143,CT!$D$5:$D$143,DMTK!B179)-SUMIFS(CT!$F$5:$F$143,CT!$E$5:$E$143,DMTK!B179),0)</f>
        <v>0</v>
      </c>
      <c r="J179" s="28">
        <f t="shared" si="6"/>
        <v>0</v>
      </c>
      <c r="K179" s="13">
        <f t="shared" si="7"/>
        <v>0</v>
      </c>
      <c r="L179" s="13">
        <f t="shared" si="8"/>
        <v>0</v>
      </c>
      <c r="M179" s="29"/>
      <c r="N179" s="13"/>
      <c r="O179" s="23"/>
      <c r="P179" s="13"/>
      <c r="Q179" s="23" t="s">
        <v>224</v>
      </c>
    </row>
    <row r="180" spans="1:17" ht="16.5" customHeight="1" x14ac:dyDescent="0.3">
      <c r="A180" s="23" t="s">
        <v>574</v>
      </c>
      <c r="B180" s="24" t="s">
        <v>575</v>
      </c>
      <c r="C180" s="25" t="s">
        <v>384</v>
      </c>
      <c r="D180" s="8" t="s">
        <v>576</v>
      </c>
      <c r="E180" s="26"/>
      <c r="F180" s="13"/>
      <c r="G180" s="27">
        <f>SUMIFS(CT!$H$5:$H$143,CT!$D$5:$D$143,DMTK!B180)</f>
        <v>0</v>
      </c>
      <c r="H180" s="27">
        <f>SUMIFS(CT!$H$5:$H$143,CT!$E$5:$E$143,DMTK!B180)</f>
        <v>0</v>
      </c>
      <c r="I180" s="13">
        <f>IF(OR(LEFT(B180,3)="152",LEFT(B180,3)="153",LEFT(B180,3)="155",LEFT(B180,3)="156",LEFT(B180,3)="157"),E180+SUMIFS(CT!$F$5:$F$143,CT!$D$5:$D$143,DMTK!B180)-SUMIFS(CT!$F$5:$F$143,CT!$E$5:$E$143,DMTK!B180),0)</f>
        <v>0</v>
      </c>
      <c r="J180" s="28">
        <f t="shared" si="6"/>
        <v>0</v>
      </c>
      <c r="K180" s="13">
        <f t="shared" si="7"/>
        <v>0</v>
      </c>
      <c r="L180" s="13">
        <f t="shared" si="8"/>
        <v>0</v>
      </c>
      <c r="M180" s="29"/>
      <c r="N180" s="13"/>
      <c r="O180" s="23"/>
      <c r="P180" s="13"/>
      <c r="Q180" s="23" t="s">
        <v>224</v>
      </c>
    </row>
    <row r="181" spans="1:17" ht="16.5" customHeight="1" x14ac:dyDescent="0.3">
      <c r="A181" s="23" t="s">
        <v>577</v>
      </c>
      <c r="B181" s="24" t="s">
        <v>578</v>
      </c>
      <c r="C181" s="25" t="s">
        <v>384</v>
      </c>
      <c r="D181" s="23" t="s">
        <v>579</v>
      </c>
      <c r="E181" s="26"/>
      <c r="F181" s="13">
        <v>18898000</v>
      </c>
      <c r="G181" s="27">
        <f>SUMIFS(CT!$H$5:$H$143,CT!$D$5:$D$143,DMTK!B181)</f>
        <v>0</v>
      </c>
      <c r="H181" s="27">
        <f>SUMIFS(CT!$H$5:$H$143,CT!$E$5:$E$143,DMTK!B181)</f>
        <v>0</v>
      </c>
      <c r="I181" s="13">
        <f>IF(OR(LEFT(B181,3)="152",LEFT(B181,3)="153",LEFT(B181,3)="155",LEFT(B181,3)="156",LEFT(B181,3)="157"),E181+SUMIFS(CT!$F$5:$F$143,CT!$D$5:$D$143,DMTK!B181)-SUMIFS(CT!$F$5:$F$143,CT!$E$5:$E$143,DMTK!B181),0)</f>
        <v>0</v>
      </c>
      <c r="J181" s="28">
        <f t="shared" si="6"/>
        <v>18898000</v>
      </c>
      <c r="K181" s="13">
        <f t="shared" si="7"/>
        <v>0</v>
      </c>
      <c r="L181" s="13">
        <f t="shared" si="8"/>
        <v>18898000</v>
      </c>
      <c r="M181" s="29"/>
      <c r="N181" s="13"/>
      <c r="O181" s="23"/>
      <c r="P181" s="13"/>
      <c r="Q181" s="23" t="s">
        <v>224</v>
      </c>
    </row>
    <row r="182" spans="1:17" ht="16.5" customHeight="1" x14ac:dyDescent="0.3">
      <c r="A182" s="23" t="s">
        <v>580</v>
      </c>
      <c r="B182" s="24" t="s">
        <v>581</v>
      </c>
      <c r="C182" s="25" t="s">
        <v>384</v>
      </c>
      <c r="D182" s="30" t="s">
        <v>582</v>
      </c>
      <c r="E182" s="26"/>
      <c r="F182" s="13">
        <v>0</v>
      </c>
      <c r="G182" s="27">
        <f>SUMIFS(CT!$H$5:$H$143,CT!$D$5:$D$143,DMTK!B182)</f>
        <v>0</v>
      </c>
      <c r="H182" s="27">
        <f>SUMIFS(CT!$H$5:$H$143,CT!$E$5:$E$143,DMTK!B182)</f>
        <v>0</v>
      </c>
      <c r="I182" s="13">
        <f>IF(OR(LEFT(B182,3)="152",LEFT(B182,3)="153",LEFT(B182,3)="155",LEFT(B182,3)="156",LEFT(B182,3)="157"),E182+SUMIFS(CT!$F$5:$F$143,CT!$D$5:$D$143,DMTK!B182)-SUMIFS(CT!$F$5:$F$143,CT!$E$5:$E$143,DMTK!B182),0)</f>
        <v>0</v>
      </c>
      <c r="J182" s="28">
        <f t="shared" si="6"/>
        <v>0</v>
      </c>
      <c r="K182" s="13">
        <f t="shared" si="7"/>
        <v>0</v>
      </c>
      <c r="L182" s="13">
        <f t="shared" si="8"/>
        <v>0</v>
      </c>
      <c r="M182" s="29"/>
      <c r="N182" s="13"/>
      <c r="O182" s="23"/>
      <c r="P182" s="13"/>
      <c r="Q182" s="23" t="s">
        <v>224</v>
      </c>
    </row>
    <row r="183" spans="1:17" ht="16.5" customHeight="1" x14ac:dyDescent="0.3">
      <c r="A183" s="23" t="s">
        <v>583</v>
      </c>
      <c r="B183" s="24" t="s">
        <v>584</v>
      </c>
      <c r="C183" s="25" t="s">
        <v>384</v>
      </c>
      <c r="D183" s="23" t="s">
        <v>585</v>
      </c>
      <c r="E183" s="26"/>
      <c r="F183" s="13">
        <v>0</v>
      </c>
      <c r="G183" s="27">
        <f>SUMIFS(CT!$H$5:$H$143,CT!$D$5:$D$143,DMTK!B183)</f>
        <v>0</v>
      </c>
      <c r="H183" s="27">
        <f>SUMIFS(CT!$H$5:$H$143,CT!$E$5:$E$143,DMTK!B183)</f>
        <v>0</v>
      </c>
      <c r="I183" s="13">
        <f>IF(OR(LEFT(B183,3)="152",LEFT(B183,3)="153",LEFT(B183,3)="155",LEFT(B183,3)="156",LEFT(B183,3)="157"),E183+SUMIFS(CT!$F$5:$F$143,CT!$D$5:$D$143,DMTK!B183)-SUMIFS(CT!$F$5:$F$143,CT!$E$5:$E$143,DMTK!B183),0)</f>
        <v>0</v>
      </c>
      <c r="J183" s="28">
        <f t="shared" si="6"/>
        <v>0</v>
      </c>
      <c r="K183" s="13">
        <f t="shared" si="7"/>
        <v>0</v>
      </c>
      <c r="L183" s="13">
        <f t="shared" si="8"/>
        <v>0</v>
      </c>
      <c r="M183" s="29"/>
      <c r="N183" s="13"/>
      <c r="O183" s="23"/>
      <c r="P183" s="13"/>
      <c r="Q183" s="23" t="s">
        <v>224</v>
      </c>
    </row>
    <row r="184" spans="1:17" ht="16.5" customHeight="1" x14ac:dyDescent="0.3">
      <c r="A184" s="23" t="s">
        <v>583</v>
      </c>
      <c r="B184" s="24" t="s">
        <v>586</v>
      </c>
      <c r="C184" s="25" t="s">
        <v>384</v>
      </c>
      <c r="D184" s="23" t="s">
        <v>587</v>
      </c>
      <c r="E184" s="26"/>
      <c r="F184" s="13">
        <v>0</v>
      </c>
      <c r="G184" s="27">
        <f>SUMIFS(CT!$H$5:$H$143,CT!$D$5:$D$143,DMTK!B184)</f>
        <v>0</v>
      </c>
      <c r="H184" s="27">
        <f>SUMIFS(CT!$H$5:$H$143,CT!$E$5:$E$143,DMTK!B184)</f>
        <v>0</v>
      </c>
      <c r="I184" s="13">
        <f>IF(OR(LEFT(B184,3)="152",LEFT(B184,3)="153",LEFT(B184,3)="155",LEFT(B184,3)="156",LEFT(B184,3)="157"),E184+SUMIFS(CT!$F$5:$F$143,CT!$D$5:$D$143,DMTK!B184)-SUMIFS(CT!$F$5:$F$143,CT!$E$5:$E$143,DMTK!B184),0)</f>
        <v>0</v>
      </c>
      <c r="J184" s="28">
        <f t="shared" si="6"/>
        <v>0</v>
      </c>
      <c r="K184" s="13">
        <f t="shared" si="7"/>
        <v>0</v>
      </c>
      <c r="L184" s="13">
        <f t="shared" si="8"/>
        <v>0</v>
      </c>
      <c r="M184" s="29"/>
      <c r="N184" s="13"/>
      <c r="O184" s="23"/>
      <c r="P184" s="13"/>
      <c r="Q184" s="23" t="s">
        <v>224</v>
      </c>
    </row>
    <row r="185" spans="1:17" ht="16.5" customHeight="1" x14ac:dyDescent="0.3">
      <c r="A185" s="23" t="s">
        <v>588</v>
      </c>
      <c r="B185" s="24" t="s">
        <v>589</v>
      </c>
      <c r="C185" s="25" t="s">
        <v>384</v>
      </c>
      <c r="D185" s="8" t="s">
        <v>590</v>
      </c>
      <c r="E185" s="26"/>
      <c r="F185" s="13">
        <v>120000000</v>
      </c>
      <c r="G185" s="27">
        <f>SUMIFS(CT!$H$5:$H$143,CT!$D$5:$D$143,DMTK!B185)</f>
        <v>0</v>
      </c>
      <c r="H185" s="27">
        <f>SUMIFS(CT!$H$5:$H$143,CT!$E$5:$E$143,DMTK!B185)</f>
        <v>0</v>
      </c>
      <c r="I185" s="13">
        <f>IF(OR(LEFT(B185,3)="152",LEFT(B185,3)="153",LEFT(B185,3)="155",LEFT(B185,3)="156",LEFT(B185,3)="157"),E185+SUMIFS(CT!$F$5:$F$143,CT!$D$5:$D$143,DMTK!B185)-SUMIFS(CT!$F$5:$F$143,CT!$E$5:$E$143,DMTK!B185),0)</f>
        <v>0</v>
      </c>
      <c r="J185" s="28">
        <f t="shared" si="6"/>
        <v>120000000</v>
      </c>
      <c r="K185" s="13">
        <f t="shared" si="7"/>
        <v>0</v>
      </c>
      <c r="L185" s="13">
        <f t="shared" si="8"/>
        <v>120000000</v>
      </c>
      <c r="M185" s="29"/>
      <c r="N185" s="13"/>
      <c r="O185" s="23"/>
      <c r="P185" s="13"/>
      <c r="Q185" s="23" t="s">
        <v>224</v>
      </c>
    </row>
    <row r="186" spans="1:17" ht="16.5" customHeight="1" x14ac:dyDescent="0.3">
      <c r="A186" s="23" t="s">
        <v>591</v>
      </c>
      <c r="B186" s="24" t="s">
        <v>592</v>
      </c>
      <c r="C186" s="25" t="s">
        <v>384</v>
      </c>
      <c r="D186" s="30" t="s">
        <v>593</v>
      </c>
      <c r="E186" s="26"/>
      <c r="F186" s="13">
        <v>0</v>
      </c>
      <c r="G186" s="27">
        <f>SUMIFS(CT!$H$5:$H$143,CT!$D$5:$D$143,DMTK!B186)</f>
        <v>0</v>
      </c>
      <c r="H186" s="27">
        <f>SUMIFS(CT!$H$5:$H$143,CT!$E$5:$E$143,DMTK!B186)</f>
        <v>0</v>
      </c>
      <c r="I186" s="13">
        <f>IF(OR(LEFT(B186,3)="152",LEFT(B186,3)="153",LEFT(B186,3)="155",LEFT(B186,3)="156",LEFT(B186,3)="157"),E186+SUMIFS(CT!$F$5:$F$143,CT!$D$5:$D$143,DMTK!B186)-SUMIFS(CT!$F$5:$F$143,CT!$E$5:$E$143,DMTK!B186),0)</f>
        <v>0</v>
      </c>
      <c r="J186" s="28">
        <f t="shared" si="6"/>
        <v>0</v>
      </c>
      <c r="K186" s="13">
        <f t="shared" si="7"/>
        <v>0</v>
      </c>
      <c r="L186" s="13">
        <f t="shared" si="8"/>
        <v>0</v>
      </c>
      <c r="M186" s="29"/>
      <c r="N186" s="13"/>
      <c r="O186" s="23"/>
      <c r="P186" s="13"/>
      <c r="Q186" s="23" t="s">
        <v>224</v>
      </c>
    </row>
    <row r="187" spans="1:17" ht="16.5" customHeight="1" x14ac:dyDescent="0.3">
      <c r="A187" s="23" t="s">
        <v>594</v>
      </c>
      <c r="B187" s="24" t="s">
        <v>595</v>
      </c>
      <c r="C187" s="25" t="s">
        <v>384</v>
      </c>
      <c r="D187" s="8" t="s">
        <v>596</v>
      </c>
      <c r="E187" s="26"/>
      <c r="F187" s="13">
        <v>130000000</v>
      </c>
      <c r="G187" s="27">
        <f>SUMIFS(CT!$H$5:$H$143,CT!$D$5:$D$143,DMTK!B187)</f>
        <v>0</v>
      </c>
      <c r="H187" s="27">
        <f>SUMIFS(CT!$H$5:$H$143,CT!$E$5:$E$143,DMTK!B187)</f>
        <v>0</v>
      </c>
      <c r="I187" s="13">
        <f>IF(OR(LEFT(B187,3)="152",LEFT(B187,3)="153",LEFT(B187,3)="155",LEFT(B187,3)="156",LEFT(B187,3)="157"),E187+SUMIFS(CT!$F$5:$F$143,CT!$D$5:$D$143,DMTK!B187)-SUMIFS(CT!$F$5:$F$143,CT!$E$5:$E$143,DMTK!B187),0)</f>
        <v>0</v>
      </c>
      <c r="J187" s="28">
        <f t="shared" si="6"/>
        <v>130000000</v>
      </c>
      <c r="K187" s="13">
        <f t="shared" si="7"/>
        <v>0</v>
      </c>
      <c r="L187" s="13">
        <f t="shared" si="8"/>
        <v>130000000</v>
      </c>
      <c r="M187" s="29"/>
      <c r="N187" s="13"/>
      <c r="O187" s="23"/>
      <c r="P187" s="13"/>
      <c r="Q187" s="23" t="s">
        <v>224</v>
      </c>
    </row>
    <row r="188" spans="1:17" ht="16.5" customHeight="1" x14ac:dyDescent="0.3">
      <c r="A188" s="23" t="s">
        <v>597</v>
      </c>
      <c r="B188" s="24" t="s">
        <v>598</v>
      </c>
      <c r="C188" s="25" t="s">
        <v>222</v>
      </c>
      <c r="D188" s="8" t="s">
        <v>599</v>
      </c>
      <c r="E188" s="26"/>
      <c r="F188" s="13">
        <v>9449000</v>
      </c>
      <c r="G188" s="27">
        <f>SUMIFS(CT!$H$5:$H$143,CT!$D$5:$D$143,DMTK!B188)</f>
        <v>0</v>
      </c>
      <c r="H188" s="27">
        <f>SUMIFS(CT!$H$5:$H$143,CT!$E$5:$E$143,DMTK!B188)</f>
        <v>0</v>
      </c>
      <c r="I188" s="13">
        <f>IF(OR(LEFT(B188,3)="152",LEFT(B188,3)="153",LEFT(B188,3)="155",LEFT(B188,3)="156",LEFT(B188,3)="157"),E188+SUMIFS(CT!$F$5:$F$143,CT!$D$5:$D$143,DMTK!B188)-SUMIFS(CT!$F$5:$F$143,CT!$E$5:$E$143,DMTK!B188),0)</f>
        <v>0</v>
      </c>
      <c r="J188" s="28">
        <f t="shared" si="6"/>
        <v>9449000</v>
      </c>
      <c r="K188" s="13">
        <f t="shared" si="7"/>
        <v>9449000</v>
      </c>
      <c r="L188" s="13">
        <f t="shared" si="8"/>
        <v>0</v>
      </c>
      <c r="M188" s="29"/>
      <c r="N188" s="13"/>
      <c r="O188" s="23"/>
      <c r="P188" s="13"/>
      <c r="Q188" s="23" t="s">
        <v>224</v>
      </c>
    </row>
    <row r="189" spans="1:17" ht="16.5" customHeight="1" x14ac:dyDescent="0.3">
      <c r="A189" s="33" t="s">
        <v>600</v>
      </c>
      <c r="B189" s="24" t="s">
        <v>601</v>
      </c>
      <c r="C189" s="25" t="s">
        <v>384</v>
      </c>
      <c r="D189" s="23" t="s">
        <v>602</v>
      </c>
      <c r="E189" s="26"/>
      <c r="F189" s="13">
        <v>204410000</v>
      </c>
      <c r="G189" s="27">
        <f>SUMIFS(CT!$H$5:$H$143,CT!$D$5:$D$143,DMTK!B189)</f>
        <v>0</v>
      </c>
      <c r="H189" s="27">
        <f>SUMIFS(CT!$H$5:$H$143,CT!$E$5:$E$143,DMTK!B189)</f>
        <v>0</v>
      </c>
      <c r="I189" s="13">
        <f>IF(OR(LEFT(B189,3)="152",LEFT(B189,3)="153",LEFT(B189,3)="155",LEFT(B189,3)="156",LEFT(B189,3)="157"),E189+SUMIFS(CT!$F$5:$F$143,CT!$D$5:$D$143,DMTK!B189)-SUMIFS(CT!$F$5:$F$143,CT!$E$5:$E$143,DMTK!B189),0)</f>
        <v>0</v>
      </c>
      <c r="J189" s="28">
        <f t="shared" si="6"/>
        <v>204410000</v>
      </c>
      <c r="K189" s="13">
        <f t="shared" si="7"/>
        <v>0</v>
      </c>
      <c r="L189" s="13">
        <f t="shared" si="8"/>
        <v>204410000</v>
      </c>
      <c r="M189" s="29"/>
      <c r="N189" s="13"/>
      <c r="O189" s="23"/>
      <c r="P189" s="13"/>
      <c r="Q189" s="23" t="s">
        <v>224</v>
      </c>
    </row>
    <row r="190" spans="1:17" ht="16.5" customHeight="1" x14ac:dyDescent="0.3">
      <c r="A190" s="33" t="s">
        <v>603</v>
      </c>
      <c r="B190" s="24" t="s">
        <v>187</v>
      </c>
      <c r="C190" s="25" t="s">
        <v>384</v>
      </c>
      <c r="D190" s="30" t="s">
        <v>604</v>
      </c>
      <c r="E190" s="26"/>
      <c r="F190" s="13">
        <v>0</v>
      </c>
      <c r="G190" s="27">
        <f>SUMIFS(CT!$H$5:$H$143,CT!$D$5:$D$143,DMTK!B190)</f>
        <v>3387852</v>
      </c>
      <c r="H190" s="27">
        <f>SUMIFS(CT!$H$5:$H$143,CT!$E$5:$E$143,DMTK!B190)</f>
        <v>2269619</v>
      </c>
      <c r="I190" s="13">
        <f>IF(OR(LEFT(B190,3)="152",LEFT(B190,3)="153",LEFT(B190,3)="155",LEFT(B190,3)="156",LEFT(B190,3)="157"),E190+SUMIFS(CT!$F$5:$F$143,CT!$D$5:$D$143,DMTK!B190)-SUMIFS(CT!$F$5:$F$143,CT!$E$5:$E$143,DMTK!B190),0)</f>
        <v>0</v>
      </c>
      <c r="J190" s="28">
        <f t="shared" si="6"/>
        <v>-1118233</v>
      </c>
      <c r="K190" s="13">
        <f t="shared" si="7"/>
        <v>0</v>
      </c>
      <c r="L190" s="13">
        <f t="shared" si="8"/>
        <v>0</v>
      </c>
      <c r="M190" s="29"/>
      <c r="N190" s="13"/>
      <c r="O190" s="23"/>
      <c r="P190" s="13"/>
      <c r="Q190" s="23" t="s">
        <v>224</v>
      </c>
    </row>
    <row r="191" spans="1:17" ht="16.5" customHeight="1" x14ac:dyDescent="0.3">
      <c r="A191" s="33" t="s">
        <v>605</v>
      </c>
      <c r="B191" s="24" t="s">
        <v>606</v>
      </c>
      <c r="C191" s="25" t="s">
        <v>384</v>
      </c>
      <c r="D191" s="30" t="s">
        <v>607</v>
      </c>
      <c r="E191" s="26"/>
      <c r="F191" s="13">
        <v>300000000</v>
      </c>
      <c r="G191" s="27">
        <f>SUMIFS(CT!$H$5:$H$143,CT!$D$5:$D$143,DMTK!B191)</f>
        <v>0</v>
      </c>
      <c r="H191" s="27">
        <f>SUMIFS(CT!$H$5:$H$143,CT!$E$5:$E$143,DMTK!B191)</f>
        <v>0</v>
      </c>
      <c r="I191" s="13">
        <f>IF(OR(LEFT(B191,3)="152",LEFT(B191,3)="153",LEFT(B191,3)="155",LEFT(B191,3)="156",LEFT(B191,3)="157"),E191+SUMIFS(CT!$F$5:$F$143,CT!$D$5:$D$143,DMTK!B191)-SUMIFS(CT!$F$5:$F$143,CT!$E$5:$E$143,DMTK!B191),0)</f>
        <v>0</v>
      </c>
      <c r="J191" s="28">
        <f t="shared" si="6"/>
        <v>300000000</v>
      </c>
      <c r="K191" s="13">
        <f t="shared" si="7"/>
        <v>0</v>
      </c>
      <c r="L191" s="13">
        <f t="shared" si="8"/>
        <v>300000000</v>
      </c>
      <c r="M191" s="29"/>
      <c r="N191" s="13"/>
      <c r="O191" s="23"/>
      <c r="P191" s="13"/>
      <c r="Q191" s="23" t="s">
        <v>224</v>
      </c>
    </row>
    <row r="192" spans="1:17" ht="16.5" customHeight="1" x14ac:dyDescent="0.3">
      <c r="A192" s="23" t="s">
        <v>608</v>
      </c>
      <c r="B192" s="24" t="s">
        <v>609</v>
      </c>
      <c r="C192" s="25" t="s">
        <v>384</v>
      </c>
      <c r="D192" s="8" t="s">
        <v>610</v>
      </c>
      <c r="E192" s="26"/>
      <c r="F192" s="13"/>
      <c r="G192" s="27">
        <f>SUMIFS(CT!$H$5:$H$143,CT!$D$5:$D$143,DMTK!B192)</f>
        <v>0</v>
      </c>
      <c r="H192" s="27">
        <f>SUMIFS(CT!$H$5:$H$143,CT!$E$5:$E$143,DMTK!B192)</f>
        <v>0</v>
      </c>
      <c r="I192" s="13">
        <f>IF(OR(LEFT(B192,3)="152",LEFT(B192,3)="153",LEFT(B192,3)="155",LEFT(B192,3)="156",LEFT(B192,3)="157"),E192+SUMIFS(CT!$F$5:$F$143,CT!$D$5:$D$143,DMTK!B192)-SUMIFS(CT!$F$5:$F$143,CT!$E$5:$E$143,DMTK!B192),0)</f>
        <v>0</v>
      </c>
      <c r="J192" s="28">
        <f t="shared" si="6"/>
        <v>0</v>
      </c>
      <c r="K192" s="13">
        <f t="shared" si="7"/>
        <v>0</v>
      </c>
      <c r="L192" s="13">
        <f t="shared" si="8"/>
        <v>0</v>
      </c>
      <c r="M192" s="29"/>
      <c r="N192" s="13"/>
      <c r="O192" s="23"/>
      <c r="P192" s="13"/>
      <c r="Q192" s="23" t="s">
        <v>224</v>
      </c>
    </row>
    <row r="193" spans="1:17" ht="16.5" customHeight="1" x14ac:dyDescent="0.3">
      <c r="A193" s="33" t="s">
        <v>357</v>
      </c>
      <c r="B193" s="24" t="s">
        <v>611</v>
      </c>
      <c r="C193" s="25" t="s">
        <v>384</v>
      </c>
      <c r="D193" s="8" t="s">
        <v>612</v>
      </c>
      <c r="E193" s="26"/>
      <c r="F193" s="13">
        <v>0</v>
      </c>
      <c r="G193" s="27">
        <f>SUMIFS(CT!$H$5:$H$143,CT!$D$5:$D$143,DMTK!B193)</f>
        <v>0</v>
      </c>
      <c r="H193" s="27">
        <f>SUMIFS(CT!$H$5:$H$143,CT!$E$5:$E$143,DMTK!B193)</f>
        <v>0</v>
      </c>
      <c r="I193" s="13">
        <f>IF(OR(LEFT(B193,3)="152",LEFT(B193,3)="153",LEFT(B193,3)="155",LEFT(B193,3)="156",LEFT(B193,3)="157"),E193+SUMIFS(CT!$F$5:$F$143,CT!$D$5:$D$143,DMTK!B193)-SUMIFS(CT!$F$5:$F$143,CT!$E$5:$E$143,DMTK!B193),0)</f>
        <v>0</v>
      </c>
      <c r="J193" s="28">
        <f t="shared" si="6"/>
        <v>0</v>
      </c>
      <c r="K193" s="13">
        <f t="shared" si="7"/>
        <v>0</v>
      </c>
      <c r="L193" s="13">
        <f t="shared" si="8"/>
        <v>0</v>
      </c>
      <c r="M193" s="29"/>
      <c r="N193" s="13"/>
      <c r="O193" s="23"/>
      <c r="P193" s="13"/>
      <c r="Q193" s="23" t="s">
        <v>224</v>
      </c>
    </row>
    <row r="194" spans="1:17" ht="16.5" customHeight="1" x14ac:dyDescent="0.3">
      <c r="A194" s="23"/>
      <c r="B194" s="24" t="s">
        <v>613</v>
      </c>
      <c r="C194" s="25" t="s">
        <v>384</v>
      </c>
      <c r="D194" s="23" t="s">
        <v>614</v>
      </c>
      <c r="E194" s="26"/>
      <c r="F194" s="13">
        <v>0</v>
      </c>
      <c r="G194" s="27">
        <f>SUMIFS(CT!$H$5:$H$143,CT!$D$5:$D$143,DMTK!B194)</f>
        <v>0</v>
      </c>
      <c r="H194" s="27">
        <f>SUMIFS(CT!$H$5:$H$143,CT!$E$5:$E$143,DMTK!B194)</f>
        <v>0</v>
      </c>
      <c r="I194" s="13">
        <f>IF(OR(LEFT(B194,3)="152",LEFT(B194,3)="153",LEFT(B194,3)="155",LEFT(B194,3)="156",LEFT(B194,3)="157"),E194+SUMIFS(CT!$F$5:$F$143,CT!$D$5:$D$143,DMTK!B194)-SUMIFS(CT!$F$5:$F$143,CT!$E$5:$E$143,DMTK!B194),0)</f>
        <v>0</v>
      </c>
      <c r="J194" s="28">
        <f t="shared" si="6"/>
        <v>0</v>
      </c>
      <c r="K194" s="13">
        <f t="shared" si="7"/>
        <v>0</v>
      </c>
      <c r="L194" s="13">
        <f t="shared" si="8"/>
        <v>0</v>
      </c>
      <c r="M194" s="29"/>
      <c r="N194" s="13"/>
      <c r="O194" s="23"/>
      <c r="P194" s="13"/>
      <c r="Q194" s="23" t="s">
        <v>224</v>
      </c>
    </row>
    <row r="195" spans="1:17" ht="16.5" customHeight="1" x14ac:dyDescent="0.3">
      <c r="A195" s="23"/>
      <c r="B195" s="24" t="s">
        <v>139</v>
      </c>
      <c r="C195" s="25" t="s">
        <v>384</v>
      </c>
      <c r="D195" s="8" t="s">
        <v>615</v>
      </c>
      <c r="E195" s="26"/>
      <c r="F195" s="13">
        <v>0</v>
      </c>
      <c r="G195" s="27">
        <f>SUMIFS(CT!$H$5:$H$143,CT!$D$5:$D$143,DMTK!B195)</f>
        <v>30000000</v>
      </c>
      <c r="H195" s="27">
        <f>SUMIFS(CT!$H$5:$H$143,CT!$E$5:$E$143,DMTK!B195)</f>
        <v>30000000</v>
      </c>
      <c r="I195" s="13">
        <f>IF(OR(LEFT(B195,3)="152",LEFT(B195,3)="153",LEFT(B195,3)="155",LEFT(B195,3)="156",LEFT(B195,3)="157"),E195+SUMIFS(CT!$F$5:$F$143,CT!$D$5:$D$143,DMTK!B195)-SUMIFS(CT!$F$5:$F$143,CT!$E$5:$E$143,DMTK!B195),0)</f>
        <v>0</v>
      </c>
      <c r="J195" s="28">
        <f t="shared" si="6"/>
        <v>0</v>
      </c>
      <c r="K195" s="13">
        <f t="shared" si="7"/>
        <v>0</v>
      </c>
      <c r="L195" s="13">
        <f t="shared" si="8"/>
        <v>0</v>
      </c>
      <c r="M195" s="29"/>
      <c r="N195" s="13"/>
      <c r="O195" s="23"/>
      <c r="P195" s="13"/>
      <c r="Q195" s="23" t="s">
        <v>224</v>
      </c>
    </row>
    <row r="196" spans="1:17" ht="16.5" customHeight="1" x14ac:dyDescent="0.3">
      <c r="A196" s="23"/>
      <c r="B196" s="24" t="s">
        <v>138</v>
      </c>
      <c r="C196" s="25" t="s">
        <v>384</v>
      </c>
      <c r="D196" s="8" t="s">
        <v>616</v>
      </c>
      <c r="E196" s="26"/>
      <c r="F196" s="13">
        <v>0</v>
      </c>
      <c r="G196" s="27">
        <f>SUMIFS(CT!$H$5:$H$143,CT!$D$5:$D$143,DMTK!B196)</f>
        <v>28000000</v>
      </c>
      <c r="H196" s="27">
        <f>SUMIFS(CT!$H$5:$H$143,CT!$E$5:$E$143,DMTK!B196)</f>
        <v>28000000</v>
      </c>
      <c r="I196" s="13">
        <f>IF(OR(LEFT(B196,3)="152",LEFT(B196,3)="153",LEFT(B196,3)="155",LEFT(B196,3)="156",LEFT(B196,3)="157"),E196+SUMIFS(CT!$F$5:$F$143,CT!$D$5:$D$143,DMTK!B196)-SUMIFS(CT!$F$5:$F$143,CT!$E$5:$E$143,DMTK!B196),0)</f>
        <v>0</v>
      </c>
      <c r="J196" s="28">
        <f t="shared" si="6"/>
        <v>0</v>
      </c>
      <c r="K196" s="13">
        <f t="shared" si="7"/>
        <v>0</v>
      </c>
      <c r="L196" s="13">
        <f t="shared" si="8"/>
        <v>0</v>
      </c>
      <c r="M196" s="29"/>
      <c r="N196" s="13"/>
      <c r="O196" s="23"/>
      <c r="P196" s="13"/>
      <c r="Q196" s="23" t="s">
        <v>224</v>
      </c>
    </row>
    <row r="197" spans="1:17" ht="16.5" customHeight="1" x14ac:dyDescent="0.3">
      <c r="A197" s="23"/>
      <c r="B197" s="24" t="s">
        <v>617</v>
      </c>
      <c r="C197" s="25" t="s">
        <v>384</v>
      </c>
      <c r="D197" s="8" t="s">
        <v>618</v>
      </c>
      <c r="E197" s="26"/>
      <c r="F197" s="13">
        <v>0</v>
      </c>
      <c r="G197" s="27">
        <f>SUMIFS(CT!$H$5:$H$143,CT!$D$5:$D$143,DMTK!B197)</f>
        <v>0</v>
      </c>
      <c r="H197" s="27">
        <f>SUMIFS(CT!$H$5:$H$143,CT!$E$5:$E$143,DMTK!B197)</f>
        <v>0</v>
      </c>
      <c r="I197" s="13">
        <f>IF(OR(LEFT(B197,3)="152",LEFT(B197,3)="153",LEFT(B197,3)="155",LEFT(B197,3)="156",LEFT(B197,3)="157"),E197+SUMIFS(CT!$F$5:$F$143,CT!$D$5:$D$143,DMTK!B197)-SUMIFS(CT!$F$5:$F$143,CT!$E$5:$E$143,DMTK!B197),0)</f>
        <v>0</v>
      </c>
      <c r="J197" s="28">
        <f t="shared" si="6"/>
        <v>0</v>
      </c>
      <c r="K197" s="13">
        <f t="shared" si="7"/>
        <v>0</v>
      </c>
      <c r="L197" s="13">
        <f t="shared" si="8"/>
        <v>0</v>
      </c>
      <c r="M197" s="29"/>
      <c r="N197" s="13"/>
      <c r="O197" s="23"/>
      <c r="P197" s="13"/>
      <c r="Q197" s="23" t="s">
        <v>224</v>
      </c>
    </row>
    <row r="198" spans="1:17" ht="16.5" customHeight="1" x14ac:dyDescent="0.3">
      <c r="A198" s="23"/>
      <c r="B198" s="24" t="s">
        <v>140</v>
      </c>
      <c r="C198" s="25" t="s">
        <v>384</v>
      </c>
      <c r="D198" s="8" t="s">
        <v>619</v>
      </c>
      <c r="E198" s="26"/>
      <c r="F198" s="13">
        <v>0</v>
      </c>
      <c r="G198" s="27">
        <f>SUMIFS(CT!$H$5:$H$143,CT!$D$5:$D$143,DMTK!B198)</f>
        <v>30000000</v>
      </c>
      <c r="H198" s="27">
        <f>SUMIFS(CT!$H$5:$H$143,CT!$E$5:$E$143,DMTK!B198)</f>
        <v>30000000</v>
      </c>
      <c r="I198" s="13">
        <f>IF(OR(LEFT(B198,3)="152",LEFT(B198,3)="153",LEFT(B198,3)="155",LEFT(B198,3)="156",LEFT(B198,3)="157"),E198+SUMIFS(CT!$F$5:$F$143,CT!$D$5:$D$143,DMTK!B198)-SUMIFS(CT!$F$5:$F$143,CT!$E$5:$E$143,DMTK!B198),0)</f>
        <v>0</v>
      </c>
      <c r="J198" s="28">
        <f t="shared" ref="J198:J261" si="9">IF(C198="N",F198+G198-H198,F198+H198-G198)</f>
        <v>0</v>
      </c>
      <c r="K198" s="13">
        <f t="shared" ref="K198:K261" si="10">IF(OR(AND(C198="N",F198&gt;0),AND(C198="C",F198&lt;0)),ABS(F198),0)</f>
        <v>0</v>
      </c>
      <c r="L198" s="13">
        <f t="shared" ref="L198:L261" si="11">IF(OR(AND(C198="C",F198&gt;0),AND(C198="N",F198&lt;0)),ABS(F198),0)</f>
        <v>0</v>
      </c>
      <c r="M198" s="29"/>
      <c r="N198" s="13"/>
      <c r="O198" s="23"/>
      <c r="P198" s="13"/>
      <c r="Q198" s="23" t="s">
        <v>224</v>
      </c>
    </row>
    <row r="199" spans="1:17" ht="16.5" customHeight="1" x14ac:dyDescent="0.3">
      <c r="A199" s="23"/>
      <c r="B199" s="24" t="s">
        <v>620</v>
      </c>
      <c r="C199" s="25" t="s">
        <v>384</v>
      </c>
      <c r="D199" s="8" t="s">
        <v>621</v>
      </c>
      <c r="E199" s="26"/>
      <c r="F199" s="13">
        <v>0</v>
      </c>
      <c r="G199" s="27">
        <f>SUMIFS(CT!$H$5:$H$143,CT!$D$5:$D$143,DMTK!B199)</f>
        <v>0</v>
      </c>
      <c r="H199" s="27">
        <f>SUMIFS(CT!$H$5:$H$143,CT!$E$5:$E$143,DMTK!B199)</f>
        <v>0</v>
      </c>
      <c r="I199" s="13">
        <f>IF(OR(LEFT(B199,3)="152",LEFT(B199,3)="153",LEFT(B199,3)="155",LEFT(B199,3)="156",LEFT(B199,3)="157"),E199+SUMIFS(CT!$F$5:$F$143,CT!$D$5:$D$143,DMTK!B199)-SUMIFS(CT!$F$5:$F$143,CT!$E$5:$E$143,DMTK!B199),0)</f>
        <v>0</v>
      </c>
      <c r="J199" s="28">
        <f t="shared" si="9"/>
        <v>0</v>
      </c>
      <c r="K199" s="13">
        <f t="shared" si="10"/>
        <v>0</v>
      </c>
      <c r="L199" s="13">
        <f t="shared" si="11"/>
        <v>0</v>
      </c>
      <c r="M199" s="29"/>
      <c r="N199" s="13"/>
      <c r="O199" s="23"/>
      <c r="P199" s="13"/>
      <c r="Q199" s="23" t="s">
        <v>224</v>
      </c>
    </row>
    <row r="200" spans="1:17" ht="16.5" customHeight="1" x14ac:dyDescent="0.3">
      <c r="A200" s="23"/>
      <c r="B200" s="24" t="s">
        <v>622</v>
      </c>
      <c r="C200" s="25" t="s">
        <v>384</v>
      </c>
      <c r="D200" s="8" t="s">
        <v>623</v>
      </c>
      <c r="E200" s="26"/>
      <c r="F200" s="13">
        <v>0</v>
      </c>
      <c r="G200" s="27">
        <f>SUMIFS(CT!$H$5:$H$143,CT!$D$5:$D$143,DMTK!B200)</f>
        <v>0</v>
      </c>
      <c r="H200" s="27">
        <f>SUMIFS(CT!$H$5:$H$143,CT!$E$5:$E$143,DMTK!B200)</f>
        <v>0</v>
      </c>
      <c r="I200" s="13">
        <f>IF(OR(LEFT(B200,3)="152",LEFT(B200,3)="153",LEFT(B200,3)="155",LEFT(B200,3)="156",LEFT(B200,3)="157"),E200+SUMIFS(CT!$F$5:$F$143,CT!$D$5:$D$143,DMTK!B200)-SUMIFS(CT!$F$5:$F$143,CT!$E$5:$E$143,DMTK!B200),0)</f>
        <v>0</v>
      </c>
      <c r="J200" s="28">
        <f t="shared" si="9"/>
        <v>0</v>
      </c>
      <c r="K200" s="13">
        <f t="shared" si="10"/>
        <v>0</v>
      </c>
      <c r="L200" s="13">
        <f t="shared" si="11"/>
        <v>0</v>
      </c>
      <c r="M200" s="29"/>
      <c r="N200" s="13"/>
      <c r="O200" s="23"/>
      <c r="P200" s="13"/>
      <c r="Q200" s="23" t="s">
        <v>224</v>
      </c>
    </row>
    <row r="201" spans="1:17" ht="16.5" customHeight="1" x14ac:dyDescent="0.3">
      <c r="A201" s="23"/>
      <c r="B201" s="24" t="s">
        <v>624</v>
      </c>
      <c r="C201" s="25" t="s">
        <v>384</v>
      </c>
      <c r="D201" s="8" t="s">
        <v>625</v>
      </c>
      <c r="E201" s="26"/>
      <c r="F201" s="13">
        <v>0</v>
      </c>
      <c r="G201" s="27">
        <f>SUMIFS(CT!$H$5:$H$143,CT!$D$5:$D$143,DMTK!B201)</f>
        <v>0</v>
      </c>
      <c r="H201" s="27">
        <f>SUMIFS(CT!$H$5:$H$143,CT!$E$5:$E$143,DMTK!B201)</f>
        <v>0</v>
      </c>
      <c r="I201" s="13">
        <f>IF(OR(LEFT(B201,3)="152",LEFT(B201,3)="153",LEFT(B201,3)="155",LEFT(B201,3)="156",LEFT(B201,3)="157"),E201+SUMIFS(CT!$F$5:$F$143,CT!$D$5:$D$143,DMTK!B201)-SUMIFS(CT!$F$5:$F$143,CT!$E$5:$E$143,DMTK!B201),0)</f>
        <v>0</v>
      </c>
      <c r="J201" s="28">
        <f t="shared" si="9"/>
        <v>0</v>
      </c>
      <c r="K201" s="13">
        <f t="shared" si="10"/>
        <v>0</v>
      </c>
      <c r="L201" s="13">
        <f t="shared" si="11"/>
        <v>0</v>
      </c>
      <c r="M201" s="29"/>
      <c r="N201" s="13"/>
      <c r="O201" s="23"/>
      <c r="P201" s="13"/>
      <c r="Q201" s="23" t="s">
        <v>224</v>
      </c>
    </row>
    <row r="202" spans="1:17" ht="16.5" customHeight="1" x14ac:dyDescent="0.3">
      <c r="A202" s="23"/>
      <c r="B202" s="24" t="s">
        <v>626</v>
      </c>
      <c r="C202" s="25" t="s">
        <v>384</v>
      </c>
      <c r="D202" s="8" t="s">
        <v>627</v>
      </c>
      <c r="E202" s="26"/>
      <c r="F202" s="13">
        <v>0</v>
      </c>
      <c r="G202" s="27">
        <f>SUMIFS(CT!$H$5:$H$143,CT!$D$5:$D$143,DMTK!B202)</f>
        <v>0</v>
      </c>
      <c r="H202" s="27">
        <f>SUMIFS(CT!$H$5:$H$143,CT!$E$5:$E$143,DMTK!B202)</f>
        <v>0</v>
      </c>
      <c r="I202" s="13">
        <f>IF(OR(LEFT(B202,3)="152",LEFT(B202,3)="153",LEFT(B202,3)="155",LEFT(B202,3)="156",LEFT(B202,3)="157"),E202+SUMIFS(CT!$F$5:$F$143,CT!$D$5:$D$143,DMTK!B202)-SUMIFS(CT!$F$5:$F$143,CT!$E$5:$E$143,DMTK!B202),0)</f>
        <v>0</v>
      </c>
      <c r="J202" s="28">
        <f t="shared" si="9"/>
        <v>0</v>
      </c>
      <c r="K202" s="13">
        <f t="shared" si="10"/>
        <v>0</v>
      </c>
      <c r="L202" s="13">
        <f t="shared" si="11"/>
        <v>0</v>
      </c>
      <c r="M202" s="29"/>
      <c r="N202" s="13"/>
      <c r="O202" s="23"/>
      <c r="P202" s="13"/>
      <c r="Q202" s="23" t="s">
        <v>224</v>
      </c>
    </row>
    <row r="203" spans="1:17" ht="16.5" customHeight="1" x14ac:dyDescent="0.3">
      <c r="A203" s="23"/>
      <c r="B203" s="24" t="s">
        <v>628</v>
      </c>
      <c r="C203" s="25" t="s">
        <v>384</v>
      </c>
      <c r="D203" s="8" t="s">
        <v>629</v>
      </c>
      <c r="E203" s="26"/>
      <c r="F203" s="13">
        <v>0</v>
      </c>
      <c r="G203" s="27">
        <f>SUMIFS(CT!$H$5:$H$143,CT!$D$5:$D$143,DMTK!B203)</f>
        <v>0</v>
      </c>
      <c r="H203" s="27">
        <f>SUMIFS(CT!$H$5:$H$143,CT!$E$5:$E$143,DMTK!B203)</f>
        <v>0</v>
      </c>
      <c r="I203" s="13">
        <f>IF(OR(LEFT(B203,3)="152",LEFT(B203,3)="153",LEFT(B203,3)="155",LEFT(B203,3)="156",LEFT(B203,3)="157"),E203+SUMIFS(CT!$F$5:$F$143,CT!$D$5:$D$143,DMTK!B203)-SUMIFS(CT!$F$5:$F$143,CT!$E$5:$E$143,DMTK!B203),0)</f>
        <v>0</v>
      </c>
      <c r="J203" s="28">
        <f t="shared" si="9"/>
        <v>0</v>
      </c>
      <c r="K203" s="13">
        <f t="shared" si="10"/>
        <v>0</v>
      </c>
      <c r="L203" s="13">
        <f t="shared" si="11"/>
        <v>0</v>
      </c>
      <c r="M203" s="29"/>
      <c r="N203" s="13"/>
      <c r="O203" s="23"/>
      <c r="P203" s="13"/>
      <c r="Q203" s="23" t="s">
        <v>224</v>
      </c>
    </row>
    <row r="204" spans="1:17" ht="16.5" customHeight="1" x14ac:dyDescent="0.3">
      <c r="A204" s="23"/>
      <c r="B204" s="24" t="s">
        <v>630</v>
      </c>
      <c r="C204" s="25" t="s">
        <v>222</v>
      </c>
      <c r="D204" s="8" t="s">
        <v>631</v>
      </c>
      <c r="E204" s="26"/>
      <c r="F204" s="13">
        <v>0</v>
      </c>
      <c r="G204" s="27">
        <f>SUMIFS(CT!$H$5:$H$143,CT!$D$5:$D$143,DMTK!B204)</f>
        <v>0</v>
      </c>
      <c r="H204" s="27">
        <f>SUMIFS(CT!$H$5:$H$143,CT!$E$5:$E$143,DMTK!B204)</f>
        <v>0</v>
      </c>
      <c r="I204" s="13">
        <f>IF(OR(LEFT(B204,3)="152",LEFT(B204,3)="153",LEFT(B204,3)="155",LEFT(B204,3)="156",LEFT(B204,3)="157"),E204+SUMIFS(CT!$F$5:$F$143,CT!$D$5:$D$143,DMTK!B204)-SUMIFS(CT!$F$5:$F$143,CT!$E$5:$E$143,DMTK!B204),0)</f>
        <v>0</v>
      </c>
      <c r="J204" s="28">
        <f t="shared" si="9"/>
        <v>0</v>
      </c>
      <c r="K204" s="13">
        <f t="shared" si="10"/>
        <v>0</v>
      </c>
      <c r="L204" s="13">
        <f t="shared" si="11"/>
        <v>0</v>
      </c>
      <c r="M204" s="29"/>
      <c r="N204" s="13"/>
      <c r="O204" s="23"/>
      <c r="P204" s="13"/>
      <c r="Q204" s="23" t="s">
        <v>224</v>
      </c>
    </row>
    <row r="205" spans="1:17" ht="16.5" customHeight="1" x14ac:dyDescent="0.3">
      <c r="A205" s="23"/>
      <c r="B205" s="24" t="s">
        <v>632</v>
      </c>
      <c r="C205" s="25" t="s">
        <v>222</v>
      </c>
      <c r="D205" s="23" t="s">
        <v>633</v>
      </c>
      <c r="E205" s="26"/>
      <c r="F205" s="13">
        <v>0</v>
      </c>
      <c r="G205" s="27">
        <f>SUMIFS(CT!$H$5:$H$143,CT!$D$5:$D$143,DMTK!B205)</f>
        <v>0</v>
      </c>
      <c r="H205" s="27">
        <f>SUMIFS(CT!$H$5:$H$143,CT!$E$5:$E$143,DMTK!B205)</f>
        <v>0</v>
      </c>
      <c r="I205" s="13">
        <f>IF(OR(LEFT(B205,3)="152",LEFT(B205,3)="153",LEFT(B205,3)="155",LEFT(B205,3)="156",LEFT(B205,3)="157"),E205+SUMIFS(CT!$F$5:$F$143,CT!$D$5:$D$143,DMTK!B205)-SUMIFS(CT!$F$5:$F$143,CT!$E$5:$E$143,DMTK!B205),0)</f>
        <v>0</v>
      </c>
      <c r="J205" s="28">
        <f t="shared" si="9"/>
        <v>0</v>
      </c>
      <c r="K205" s="13">
        <f t="shared" si="10"/>
        <v>0</v>
      </c>
      <c r="L205" s="13">
        <f t="shared" si="11"/>
        <v>0</v>
      </c>
      <c r="M205" s="29"/>
      <c r="N205" s="13"/>
      <c r="O205" s="23"/>
      <c r="P205" s="13"/>
      <c r="Q205" s="23" t="s">
        <v>224</v>
      </c>
    </row>
    <row r="206" spans="1:17" ht="16.5" customHeight="1" x14ac:dyDescent="0.3">
      <c r="A206" s="23"/>
      <c r="B206" s="24" t="s">
        <v>634</v>
      </c>
      <c r="C206" s="25" t="s">
        <v>222</v>
      </c>
      <c r="D206" s="23" t="s">
        <v>635</v>
      </c>
      <c r="E206" s="26"/>
      <c r="F206" s="13">
        <v>0</v>
      </c>
      <c r="G206" s="27">
        <f>SUMIFS(CT!$H$5:$H$143,CT!$D$5:$D$143,DMTK!B206)</f>
        <v>0</v>
      </c>
      <c r="H206" s="27">
        <f>SUMIFS(CT!$H$5:$H$143,CT!$E$5:$E$143,DMTK!B206)</f>
        <v>0</v>
      </c>
      <c r="I206" s="13">
        <f>IF(OR(LEFT(B206,3)="152",LEFT(B206,3)="153",LEFT(B206,3)="155",LEFT(B206,3)="156",LEFT(B206,3)="157"),E206+SUMIFS(CT!$F$5:$F$143,CT!$D$5:$D$143,DMTK!B206)-SUMIFS(CT!$F$5:$F$143,CT!$E$5:$E$143,DMTK!B206),0)</f>
        <v>0</v>
      </c>
      <c r="J206" s="28">
        <f t="shared" si="9"/>
        <v>0</v>
      </c>
      <c r="K206" s="13">
        <f t="shared" si="10"/>
        <v>0</v>
      </c>
      <c r="L206" s="13">
        <f t="shared" si="11"/>
        <v>0</v>
      </c>
      <c r="M206" s="29"/>
      <c r="N206" s="13"/>
      <c r="O206" s="23"/>
      <c r="P206" s="13"/>
      <c r="Q206" s="23" t="s">
        <v>224</v>
      </c>
    </row>
    <row r="207" spans="1:17" ht="16.5" customHeight="1" x14ac:dyDescent="0.3">
      <c r="A207" s="23"/>
      <c r="B207" s="24" t="s">
        <v>636</v>
      </c>
      <c r="C207" s="25" t="s">
        <v>222</v>
      </c>
      <c r="D207" s="8" t="s">
        <v>637</v>
      </c>
      <c r="E207" s="26"/>
      <c r="F207" s="13">
        <v>0</v>
      </c>
      <c r="G207" s="27">
        <f>SUMIFS(CT!$H$5:$H$143,CT!$D$5:$D$143,DMTK!B207)</f>
        <v>0</v>
      </c>
      <c r="H207" s="27">
        <f>SUMIFS(CT!$H$5:$H$143,CT!$E$5:$E$143,DMTK!B207)</f>
        <v>0</v>
      </c>
      <c r="I207" s="13">
        <f>IF(OR(LEFT(B207,3)="152",LEFT(B207,3)="153",LEFT(B207,3)="155",LEFT(B207,3)="156",LEFT(B207,3)="157"),E207+SUMIFS(CT!$F$5:$F$143,CT!$D$5:$D$143,DMTK!B207)-SUMIFS(CT!$F$5:$F$143,CT!$E$5:$E$143,DMTK!B207),0)</f>
        <v>0</v>
      </c>
      <c r="J207" s="28">
        <f t="shared" si="9"/>
        <v>0</v>
      </c>
      <c r="K207" s="13">
        <f t="shared" si="10"/>
        <v>0</v>
      </c>
      <c r="L207" s="13">
        <f t="shared" si="11"/>
        <v>0</v>
      </c>
      <c r="M207" s="29"/>
      <c r="N207" s="13"/>
      <c r="O207" s="23"/>
      <c r="P207" s="13"/>
      <c r="Q207" s="23" t="s">
        <v>224</v>
      </c>
    </row>
    <row r="208" spans="1:17" ht="16.5" customHeight="1" x14ac:dyDescent="0.3">
      <c r="A208" s="23"/>
      <c r="B208" s="24" t="s">
        <v>638</v>
      </c>
      <c r="C208" s="25" t="s">
        <v>222</v>
      </c>
      <c r="D208" s="8" t="s">
        <v>639</v>
      </c>
      <c r="E208" s="26"/>
      <c r="F208" s="13">
        <v>0</v>
      </c>
      <c r="G208" s="27">
        <f>SUMIFS(CT!$H$5:$H$143,CT!$D$5:$D$143,DMTK!B208)</f>
        <v>0</v>
      </c>
      <c r="H208" s="27">
        <f>SUMIFS(CT!$H$5:$H$143,CT!$E$5:$E$143,DMTK!B208)</f>
        <v>0</v>
      </c>
      <c r="I208" s="13">
        <f>IF(OR(LEFT(B208,3)="152",LEFT(B208,3)="153",LEFT(B208,3)="155",LEFT(B208,3)="156",LEFT(B208,3)="157"),E208+SUMIFS(CT!$F$5:$F$143,CT!$D$5:$D$143,DMTK!B208)-SUMIFS(CT!$F$5:$F$143,CT!$E$5:$E$143,DMTK!B208),0)</f>
        <v>0</v>
      </c>
      <c r="J208" s="28">
        <f t="shared" si="9"/>
        <v>0</v>
      </c>
      <c r="K208" s="13">
        <f t="shared" si="10"/>
        <v>0</v>
      </c>
      <c r="L208" s="13">
        <f t="shared" si="11"/>
        <v>0</v>
      </c>
      <c r="M208" s="29"/>
      <c r="N208" s="13"/>
      <c r="O208" s="23"/>
      <c r="P208" s="13"/>
      <c r="Q208" s="23" t="s">
        <v>224</v>
      </c>
    </row>
    <row r="209" spans="1:17" ht="16.5" customHeight="1" x14ac:dyDescent="0.3">
      <c r="A209" s="23"/>
      <c r="B209" s="24" t="s">
        <v>58</v>
      </c>
      <c r="C209" s="25" t="s">
        <v>222</v>
      </c>
      <c r="D209" s="8" t="s">
        <v>640</v>
      </c>
      <c r="E209" s="26"/>
      <c r="F209" s="13">
        <v>0</v>
      </c>
      <c r="G209" s="27">
        <f>SUMIFS(CT!$H$5:$H$143,CT!$D$5:$D$143,DMTK!B209)</f>
        <v>14432200</v>
      </c>
      <c r="H209" s="27">
        <f>SUMIFS(CT!$H$5:$H$143,CT!$E$5:$E$143,DMTK!B209)</f>
        <v>14432200</v>
      </c>
      <c r="I209" s="13">
        <f>IF(OR(LEFT(B209,3)="152",LEFT(B209,3)="153",LEFT(B209,3)="155",LEFT(B209,3)="156",LEFT(B209,3)="157"),E209+SUMIFS(CT!$F$5:$F$143,CT!$D$5:$D$143,DMTK!B209)-SUMIFS(CT!$F$5:$F$143,CT!$E$5:$E$143,DMTK!B209),0)</f>
        <v>0</v>
      </c>
      <c r="J209" s="28">
        <f t="shared" si="9"/>
        <v>0</v>
      </c>
      <c r="K209" s="13">
        <f t="shared" si="10"/>
        <v>0</v>
      </c>
      <c r="L209" s="13">
        <f t="shared" si="11"/>
        <v>0</v>
      </c>
      <c r="M209" s="29"/>
      <c r="N209" s="13"/>
      <c r="O209" s="23"/>
      <c r="P209" s="13"/>
      <c r="Q209" s="23" t="s">
        <v>224</v>
      </c>
    </row>
    <row r="210" spans="1:17" ht="16.5" customHeight="1" x14ac:dyDescent="0.3">
      <c r="A210" s="23"/>
      <c r="B210" s="24" t="s">
        <v>641</v>
      </c>
      <c r="C210" s="25" t="s">
        <v>222</v>
      </c>
      <c r="D210" s="8" t="s">
        <v>642</v>
      </c>
      <c r="E210" s="26"/>
      <c r="F210" s="13">
        <v>0</v>
      </c>
      <c r="G210" s="27">
        <f>SUMIFS(CT!$H$5:$H$143,CT!$D$5:$D$143,DMTK!B210)</f>
        <v>0</v>
      </c>
      <c r="H210" s="27">
        <f>SUMIFS(CT!$H$5:$H$143,CT!$E$5:$E$143,DMTK!B210)</f>
        <v>0</v>
      </c>
      <c r="I210" s="13">
        <f>IF(OR(LEFT(B210,3)="152",LEFT(B210,3)="153",LEFT(B210,3)="155",LEFT(B210,3)="156",LEFT(B210,3)="157"),E210+SUMIFS(CT!$F$5:$F$143,CT!$D$5:$D$143,DMTK!B210)-SUMIFS(CT!$F$5:$F$143,CT!$E$5:$E$143,DMTK!B210),0)</f>
        <v>0</v>
      </c>
      <c r="J210" s="28">
        <f t="shared" si="9"/>
        <v>0</v>
      </c>
      <c r="K210" s="13">
        <f t="shared" si="10"/>
        <v>0</v>
      </c>
      <c r="L210" s="13">
        <f t="shared" si="11"/>
        <v>0</v>
      </c>
      <c r="M210" s="29"/>
      <c r="N210" s="13"/>
      <c r="O210" s="23"/>
      <c r="P210" s="13"/>
      <c r="Q210" s="23" t="s">
        <v>224</v>
      </c>
    </row>
    <row r="211" spans="1:17" ht="16.5" customHeight="1" x14ac:dyDescent="0.3">
      <c r="A211" s="23"/>
      <c r="B211" s="24" t="s">
        <v>89</v>
      </c>
      <c r="C211" s="25" t="s">
        <v>222</v>
      </c>
      <c r="D211" s="8" t="s">
        <v>643</v>
      </c>
      <c r="E211" s="26"/>
      <c r="F211" s="13">
        <v>0</v>
      </c>
      <c r="G211" s="27">
        <f>SUMIFS(CT!$H$5:$H$143,CT!$D$5:$D$143,DMTK!B211)</f>
        <v>3646000</v>
      </c>
      <c r="H211" s="27">
        <f>SUMIFS(CT!$H$5:$H$143,CT!$E$5:$E$143,DMTK!B211)</f>
        <v>3646000</v>
      </c>
      <c r="I211" s="13">
        <f>IF(OR(LEFT(B211,3)="152",LEFT(B211,3)="153",LEFT(B211,3)="155",LEFT(B211,3)="156",LEFT(B211,3)="157"),E211+SUMIFS(CT!$F$5:$F$143,CT!$D$5:$D$143,DMTK!B211)-SUMIFS(CT!$F$5:$F$143,CT!$E$5:$E$143,DMTK!B211),0)</f>
        <v>0</v>
      </c>
      <c r="J211" s="28">
        <f t="shared" si="9"/>
        <v>0</v>
      </c>
      <c r="K211" s="13">
        <f t="shared" si="10"/>
        <v>0</v>
      </c>
      <c r="L211" s="13">
        <f t="shared" si="11"/>
        <v>0</v>
      </c>
      <c r="M211" s="29"/>
      <c r="N211" s="13"/>
      <c r="O211" s="23"/>
      <c r="P211" s="13"/>
      <c r="Q211" s="23" t="s">
        <v>224</v>
      </c>
    </row>
    <row r="212" spans="1:17" ht="16.5" customHeight="1" x14ac:dyDescent="0.3">
      <c r="A212" s="23"/>
      <c r="B212" s="24" t="s">
        <v>644</v>
      </c>
      <c r="C212" s="25" t="s">
        <v>222</v>
      </c>
      <c r="D212" s="8" t="s">
        <v>645</v>
      </c>
      <c r="E212" s="26"/>
      <c r="F212" s="13">
        <v>0</v>
      </c>
      <c r="G212" s="27">
        <f>SUMIFS(CT!$H$5:$H$143,CT!$D$5:$D$143,DMTK!B212)</f>
        <v>0</v>
      </c>
      <c r="H212" s="27">
        <f>SUMIFS(CT!$H$5:$H$143,CT!$E$5:$E$143,DMTK!B212)</f>
        <v>0</v>
      </c>
      <c r="I212" s="13">
        <f>IF(OR(LEFT(B212,3)="152",LEFT(B212,3)="153",LEFT(B212,3)="155",LEFT(B212,3)="156",LEFT(B212,3)="157"),E212+SUMIFS(CT!$F$5:$F$143,CT!$D$5:$D$143,DMTK!B212)-SUMIFS(CT!$F$5:$F$143,CT!$E$5:$E$143,DMTK!B212),0)</f>
        <v>0</v>
      </c>
      <c r="J212" s="28">
        <f t="shared" si="9"/>
        <v>0</v>
      </c>
      <c r="K212" s="13">
        <f t="shared" si="10"/>
        <v>0</v>
      </c>
      <c r="L212" s="13">
        <f t="shared" si="11"/>
        <v>0</v>
      </c>
      <c r="M212" s="29"/>
      <c r="N212" s="13"/>
      <c r="O212" s="23"/>
      <c r="P212" s="13"/>
      <c r="Q212" s="23" t="s">
        <v>224</v>
      </c>
    </row>
    <row r="213" spans="1:17" ht="16.5" customHeight="1" x14ac:dyDescent="0.3">
      <c r="A213" s="23"/>
      <c r="B213" s="24" t="s">
        <v>646</v>
      </c>
      <c r="C213" s="25" t="s">
        <v>222</v>
      </c>
      <c r="D213" s="8" t="s">
        <v>647</v>
      </c>
      <c r="E213" s="26"/>
      <c r="F213" s="13">
        <v>0</v>
      </c>
      <c r="G213" s="27">
        <f>SUMIFS(CT!$H$5:$H$143,CT!$D$5:$D$143,DMTK!B213)</f>
        <v>0</v>
      </c>
      <c r="H213" s="27">
        <f>SUMIFS(CT!$H$5:$H$143,CT!$E$5:$E$143,DMTK!B213)</f>
        <v>0</v>
      </c>
      <c r="I213" s="13">
        <f>IF(OR(LEFT(B213,3)="152",LEFT(B213,3)="153",LEFT(B213,3)="155",LEFT(B213,3)="156",LEFT(B213,3)="157"),E213+SUMIFS(CT!$F$5:$F$143,CT!$D$5:$D$143,DMTK!B213)-SUMIFS(CT!$F$5:$F$143,CT!$E$5:$E$143,DMTK!B213),0)</f>
        <v>0</v>
      </c>
      <c r="J213" s="28">
        <f t="shared" si="9"/>
        <v>0</v>
      </c>
      <c r="K213" s="13">
        <f t="shared" si="10"/>
        <v>0</v>
      </c>
      <c r="L213" s="13">
        <f t="shared" si="11"/>
        <v>0</v>
      </c>
      <c r="M213" s="29"/>
      <c r="N213" s="13"/>
      <c r="O213" s="23"/>
      <c r="P213" s="13"/>
      <c r="Q213" s="23" t="s">
        <v>224</v>
      </c>
    </row>
    <row r="214" spans="1:17" ht="16.5" customHeight="1" x14ac:dyDescent="0.3">
      <c r="A214" s="23"/>
      <c r="B214" s="24" t="s">
        <v>173</v>
      </c>
      <c r="C214" s="25" t="s">
        <v>222</v>
      </c>
      <c r="D214" s="8" t="s">
        <v>648</v>
      </c>
      <c r="E214" s="26"/>
      <c r="F214" s="13">
        <v>0</v>
      </c>
      <c r="G214" s="27">
        <f>SUMIFS(CT!$H$5:$H$143,CT!$D$5:$D$143,DMTK!B214)</f>
        <v>48800000</v>
      </c>
      <c r="H214" s="27">
        <f>SUMIFS(CT!$H$5:$H$143,CT!$E$5:$E$143,DMTK!B214)</f>
        <v>48800000</v>
      </c>
      <c r="I214" s="13">
        <f>IF(OR(LEFT(B214,3)="152",LEFT(B214,3)="153",LEFT(B214,3)="155",LEFT(B214,3)="156",LEFT(B214,3)="157"),E214+SUMIFS(CT!$F$5:$F$143,CT!$D$5:$D$143,DMTK!B214)-SUMIFS(CT!$F$5:$F$143,CT!$E$5:$E$143,DMTK!B214),0)</f>
        <v>0</v>
      </c>
      <c r="J214" s="28">
        <f t="shared" si="9"/>
        <v>0</v>
      </c>
      <c r="K214" s="13">
        <f t="shared" si="10"/>
        <v>0</v>
      </c>
      <c r="L214" s="13">
        <f t="shared" si="11"/>
        <v>0</v>
      </c>
      <c r="M214" s="29"/>
      <c r="N214" s="13"/>
      <c r="O214" s="23"/>
      <c r="P214" s="13"/>
      <c r="Q214" s="23" t="s">
        <v>224</v>
      </c>
    </row>
    <row r="215" spans="1:17" ht="16.5" customHeight="1" x14ac:dyDescent="0.3">
      <c r="A215" s="23"/>
      <c r="B215" s="24" t="s">
        <v>174</v>
      </c>
      <c r="C215" s="25" t="s">
        <v>222</v>
      </c>
      <c r="D215" s="8" t="s">
        <v>649</v>
      </c>
      <c r="E215" s="26"/>
      <c r="F215" s="13">
        <v>0</v>
      </c>
      <c r="G215" s="27">
        <f>SUMIFS(CT!$H$5:$H$143,CT!$D$5:$D$143,DMTK!B215)</f>
        <v>48800000</v>
      </c>
      <c r="H215" s="27">
        <f>SUMIFS(CT!$H$5:$H$143,CT!$E$5:$E$143,DMTK!B215)</f>
        <v>48800000</v>
      </c>
      <c r="I215" s="13">
        <f>IF(OR(LEFT(B215,3)="152",LEFT(B215,3)="153",LEFT(B215,3)="155",LEFT(B215,3)="156",LEFT(B215,3)="157"),E215+SUMIFS(CT!$F$5:$F$143,CT!$D$5:$D$143,DMTK!B215)-SUMIFS(CT!$F$5:$F$143,CT!$E$5:$E$143,DMTK!B215),0)</f>
        <v>0</v>
      </c>
      <c r="J215" s="28">
        <f t="shared" si="9"/>
        <v>0</v>
      </c>
      <c r="K215" s="13">
        <f t="shared" si="10"/>
        <v>0</v>
      </c>
      <c r="L215" s="13">
        <f t="shared" si="11"/>
        <v>0</v>
      </c>
      <c r="M215" s="29"/>
      <c r="N215" s="13"/>
      <c r="O215" s="23"/>
      <c r="P215" s="13"/>
      <c r="Q215" s="23" t="s">
        <v>224</v>
      </c>
    </row>
    <row r="216" spans="1:17" ht="16.5" customHeight="1" x14ac:dyDescent="0.3">
      <c r="A216" s="23"/>
      <c r="B216" s="24" t="s">
        <v>175</v>
      </c>
      <c r="C216" s="25" t="s">
        <v>222</v>
      </c>
      <c r="D216" s="8" t="s">
        <v>650</v>
      </c>
      <c r="E216" s="26"/>
      <c r="F216" s="13">
        <v>0</v>
      </c>
      <c r="G216" s="27">
        <f>SUMIFS(CT!$H$5:$H$143,CT!$D$5:$D$143,DMTK!B216)</f>
        <v>48800000</v>
      </c>
      <c r="H216" s="27">
        <f>SUMIFS(CT!$H$5:$H$143,CT!$E$5:$E$143,DMTK!B216)</f>
        <v>48800000</v>
      </c>
      <c r="I216" s="13">
        <f>IF(OR(LEFT(B216,3)="152",LEFT(B216,3)="153",LEFT(B216,3)="155",LEFT(B216,3)="156",LEFT(B216,3)="157"),E216+SUMIFS(CT!$F$5:$F$143,CT!$D$5:$D$143,DMTK!B216)-SUMIFS(CT!$F$5:$F$143,CT!$E$5:$E$143,DMTK!B216),0)</f>
        <v>0</v>
      </c>
      <c r="J216" s="28">
        <f t="shared" si="9"/>
        <v>0</v>
      </c>
      <c r="K216" s="13">
        <f t="shared" si="10"/>
        <v>0</v>
      </c>
      <c r="L216" s="13">
        <f t="shared" si="11"/>
        <v>0</v>
      </c>
      <c r="M216" s="29"/>
      <c r="N216" s="13"/>
      <c r="O216" s="23"/>
      <c r="P216" s="13"/>
      <c r="Q216" s="23" t="s">
        <v>224</v>
      </c>
    </row>
    <row r="217" spans="1:17" ht="16.5" customHeight="1" x14ac:dyDescent="0.3">
      <c r="A217" s="23"/>
      <c r="B217" s="24" t="s">
        <v>176</v>
      </c>
      <c r="C217" s="25" t="s">
        <v>222</v>
      </c>
      <c r="D217" s="8" t="s">
        <v>651</v>
      </c>
      <c r="E217" s="26"/>
      <c r="F217" s="13">
        <v>0</v>
      </c>
      <c r="G217" s="27">
        <f>SUMIFS(CT!$H$5:$H$143,CT!$D$5:$D$143,DMTK!B217)</f>
        <v>48800000</v>
      </c>
      <c r="H217" s="27">
        <f>SUMIFS(CT!$H$5:$H$143,CT!$E$5:$E$143,DMTK!B217)</f>
        <v>48800000</v>
      </c>
      <c r="I217" s="13">
        <f>IF(OR(LEFT(B217,3)="152",LEFT(B217,3)="153",LEFT(B217,3)="155",LEFT(B217,3)="156",LEFT(B217,3)="157"),E217+SUMIFS(CT!$F$5:$F$143,CT!$D$5:$D$143,DMTK!B217)-SUMIFS(CT!$F$5:$F$143,CT!$E$5:$E$143,DMTK!B217),0)</f>
        <v>0</v>
      </c>
      <c r="J217" s="28">
        <f t="shared" si="9"/>
        <v>0</v>
      </c>
      <c r="K217" s="13">
        <f t="shared" si="10"/>
        <v>0</v>
      </c>
      <c r="L217" s="13">
        <f t="shared" si="11"/>
        <v>0</v>
      </c>
      <c r="M217" s="29"/>
      <c r="N217" s="13"/>
      <c r="O217" s="23"/>
      <c r="P217" s="13"/>
      <c r="Q217" s="23" t="s">
        <v>224</v>
      </c>
    </row>
    <row r="218" spans="1:17" ht="16.5" customHeight="1" x14ac:dyDescent="0.3">
      <c r="A218" s="23"/>
      <c r="B218" s="24" t="s">
        <v>177</v>
      </c>
      <c r="C218" s="25" t="s">
        <v>222</v>
      </c>
      <c r="D218" s="8" t="s">
        <v>652</v>
      </c>
      <c r="E218" s="26"/>
      <c r="F218" s="13">
        <v>0</v>
      </c>
      <c r="G218" s="27">
        <f>SUMIFS(CT!$H$5:$H$143,CT!$D$5:$D$143,DMTK!B218)</f>
        <v>48800000</v>
      </c>
      <c r="H218" s="27">
        <f>SUMIFS(CT!$H$5:$H$143,CT!$E$5:$E$143,DMTK!B218)</f>
        <v>48800000</v>
      </c>
      <c r="I218" s="13">
        <f>IF(OR(LEFT(B218,3)="152",LEFT(B218,3)="153",LEFT(B218,3)="155",LEFT(B218,3)="156",LEFT(B218,3)="157"),E218+SUMIFS(CT!$F$5:$F$143,CT!$D$5:$D$143,DMTK!B218)-SUMIFS(CT!$F$5:$F$143,CT!$E$5:$E$143,DMTK!B218),0)</f>
        <v>0</v>
      </c>
      <c r="J218" s="28">
        <f t="shared" si="9"/>
        <v>0</v>
      </c>
      <c r="K218" s="13">
        <f t="shared" si="10"/>
        <v>0</v>
      </c>
      <c r="L218" s="13">
        <f t="shared" si="11"/>
        <v>0</v>
      </c>
      <c r="M218" s="29"/>
      <c r="N218" s="13"/>
      <c r="O218" s="23"/>
      <c r="P218" s="13"/>
      <c r="Q218" s="23" t="s">
        <v>224</v>
      </c>
    </row>
    <row r="219" spans="1:17" ht="16.5" customHeight="1" x14ac:dyDescent="0.3">
      <c r="A219" s="23"/>
      <c r="B219" s="24" t="s">
        <v>653</v>
      </c>
      <c r="C219" s="25" t="s">
        <v>222</v>
      </c>
      <c r="D219" s="8" t="s">
        <v>654</v>
      </c>
      <c r="E219" s="26"/>
      <c r="F219" s="13">
        <v>0</v>
      </c>
      <c r="G219" s="27">
        <f>SUMIFS(CT!$H$5:$H$143,CT!$D$5:$D$143,DMTK!B219)</f>
        <v>0</v>
      </c>
      <c r="H219" s="27">
        <f>SUMIFS(CT!$H$5:$H$143,CT!$E$5:$E$143,DMTK!B219)</f>
        <v>0</v>
      </c>
      <c r="I219" s="13">
        <f>IF(OR(LEFT(B219,3)="152",LEFT(B219,3)="153",LEFT(B219,3)="155",LEFT(B219,3)="156",LEFT(B219,3)="157"),E219+SUMIFS(CT!$F$5:$F$143,CT!$D$5:$D$143,DMTK!B219)-SUMIFS(CT!$F$5:$F$143,CT!$E$5:$E$143,DMTK!B219),0)</f>
        <v>0</v>
      </c>
      <c r="J219" s="28">
        <f t="shared" si="9"/>
        <v>0</v>
      </c>
      <c r="K219" s="13">
        <f t="shared" si="10"/>
        <v>0</v>
      </c>
      <c r="L219" s="13">
        <f t="shared" si="11"/>
        <v>0</v>
      </c>
      <c r="M219" s="29"/>
      <c r="N219" s="13"/>
      <c r="O219" s="23"/>
      <c r="P219" s="13"/>
      <c r="Q219" s="23" t="s">
        <v>224</v>
      </c>
    </row>
    <row r="220" spans="1:17" ht="16.5" customHeight="1" x14ac:dyDescent="0.3">
      <c r="A220" s="23"/>
      <c r="B220" s="24" t="s">
        <v>655</v>
      </c>
      <c r="C220" s="25" t="s">
        <v>222</v>
      </c>
      <c r="D220" s="23" t="s">
        <v>656</v>
      </c>
      <c r="E220" s="26"/>
      <c r="F220" s="13">
        <v>0</v>
      </c>
      <c r="G220" s="27">
        <f>SUMIFS(CT!$H$5:$H$143,CT!$D$5:$D$143,DMTK!B220)</f>
        <v>0</v>
      </c>
      <c r="H220" s="27">
        <f>SUMIFS(CT!$H$5:$H$143,CT!$E$5:$E$143,DMTK!B220)</f>
        <v>0</v>
      </c>
      <c r="I220" s="13">
        <f>IF(OR(LEFT(B220,3)="152",LEFT(B220,3)="153",LEFT(B220,3)="155",LEFT(B220,3)="156",LEFT(B220,3)="157"),E220+SUMIFS(CT!$F$5:$F$143,CT!$D$5:$D$143,DMTK!B220)-SUMIFS(CT!$F$5:$F$143,CT!$E$5:$E$143,DMTK!B220),0)</f>
        <v>0</v>
      </c>
      <c r="J220" s="28">
        <f t="shared" si="9"/>
        <v>0</v>
      </c>
      <c r="K220" s="13">
        <f t="shared" si="10"/>
        <v>0</v>
      </c>
      <c r="L220" s="13">
        <f t="shared" si="11"/>
        <v>0</v>
      </c>
      <c r="M220" s="29"/>
      <c r="N220" s="13"/>
      <c r="O220" s="23"/>
      <c r="P220" s="13"/>
      <c r="Q220" s="23" t="s">
        <v>224</v>
      </c>
    </row>
    <row r="221" spans="1:17" ht="16.5" customHeight="1" x14ac:dyDescent="0.3">
      <c r="A221" s="23"/>
      <c r="B221" s="24" t="s">
        <v>657</v>
      </c>
      <c r="C221" s="25" t="s">
        <v>222</v>
      </c>
      <c r="D221" s="23" t="s">
        <v>658</v>
      </c>
      <c r="E221" s="26"/>
      <c r="F221" s="13">
        <v>0</v>
      </c>
      <c r="G221" s="27">
        <f>SUMIFS(CT!$H$5:$H$143,CT!$D$5:$D$143,DMTK!B221)</f>
        <v>0</v>
      </c>
      <c r="H221" s="27">
        <f>SUMIFS(CT!$H$5:$H$143,CT!$E$5:$E$143,DMTK!B221)</f>
        <v>0</v>
      </c>
      <c r="I221" s="13">
        <f>IF(OR(LEFT(B221,3)="152",LEFT(B221,3)="153",LEFT(B221,3)="155",LEFT(B221,3)="156",LEFT(B221,3)="157"),E221+SUMIFS(CT!$F$5:$F$143,CT!$D$5:$D$143,DMTK!B221)-SUMIFS(CT!$F$5:$F$143,CT!$E$5:$E$143,DMTK!B221),0)</f>
        <v>0</v>
      </c>
      <c r="J221" s="28">
        <f t="shared" si="9"/>
        <v>0</v>
      </c>
      <c r="K221" s="13">
        <f t="shared" si="10"/>
        <v>0</v>
      </c>
      <c r="L221" s="13">
        <f t="shared" si="11"/>
        <v>0</v>
      </c>
      <c r="M221" s="29"/>
      <c r="N221" s="13"/>
      <c r="O221" s="23"/>
      <c r="P221" s="13"/>
      <c r="Q221" s="23" t="s">
        <v>224</v>
      </c>
    </row>
    <row r="222" spans="1:17" ht="16.5" customHeight="1" x14ac:dyDescent="0.3">
      <c r="A222" s="23"/>
      <c r="B222" s="24" t="s">
        <v>659</v>
      </c>
      <c r="C222" s="25" t="s">
        <v>222</v>
      </c>
      <c r="D222" s="8" t="s">
        <v>660</v>
      </c>
      <c r="E222" s="26"/>
      <c r="F222" s="13">
        <v>0</v>
      </c>
      <c r="G222" s="27">
        <f>SUMIFS(CT!$H$5:$H$143,CT!$D$5:$D$143,DMTK!B222)</f>
        <v>0</v>
      </c>
      <c r="H222" s="27">
        <f>SUMIFS(CT!$H$5:$H$143,CT!$E$5:$E$143,DMTK!B222)</f>
        <v>0</v>
      </c>
      <c r="I222" s="13">
        <f>IF(OR(LEFT(B222,3)="152",LEFT(B222,3)="153",LEFT(B222,3)="155",LEFT(B222,3)="156",LEFT(B222,3)="157"),E222+SUMIFS(CT!$F$5:$F$143,CT!$D$5:$D$143,DMTK!B222)-SUMIFS(CT!$F$5:$F$143,CT!$E$5:$E$143,DMTK!B222),0)</f>
        <v>0</v>
      </c>
      <c r="J222" s="28">
        <f t="shared" si="9"/>
        <v>0</v>
      </c>
      <c r="K222" s="13">
        <f t="shared" si="10"/>
        <v>0</v>
      </c>
      <c r="L222" s="13">
        <f t="shared" si="11"/>
        <v>0</v>
      </c>
      <c r="M222" s="29"/>
      <c r="N222" s="13"/>
      <c r="O222" s="23"/>
      <c r="P222" s="13"/>
      <c r="Q222" s="23" t="s">
        <v>224</v>
      </c>
    </row>
    <row r="223" spans="1:17" ht="16.5" customHeight="1" x14ac:dyDescent="0.3">
      <c r="A223" s="23"/>
      <c r="B223" s="24" t="s">
        <v>661</v>
      </c>
      <c r="C223" s="25" t="s">
        <v>222</v>
      </c>
      <c r="D223" s="8" t="s">
        <v>662</v>
      </c>
      <c r="E223" s="26"/>
      <c r="F223" s="13">
        <v>0</v>
      </c>
      <c r="G223" s="27">
        <f>SUMIFS(CT!$H$5:$H$143,CT!$D$5:$D$143,DMTK!B223)</f>
        <v>0</v>
      </c>
      <c r="H223" s="27">
        <f>SUMIFS(CT!$H$5:$H$143,CT!$E$5:$E$143,DMTK!B223)</f>
        <v>0</v>
      </c>
      <c r="I223" s="13">
        <f>IF(OR(LEFT(B223,3)="152",LEFT(B223,3)="153",LEFT(B223,3)="155",LEFT(B223,3)="156",LEFT(B223,3)="157"),E223+SUMIFS(CT!$F$5:$F$143,CT!$D$5:$D$143,DMTK!B223)-SUMIFS(CT!$F$5:$F$143,CT!$E$5:$E$143,DMTK!B223),0)</f>
        <v>0</v>
      </c>
      <c r="J223" s="28">
        <f t="shared" si="9"/>
        <v>0</v>
      </c>
      <c r="K223" s="13">
        <f t="shared" si="10"/>
        <v>0</v>
      </c>
      <c r="L223" s="13">
        <f t="shared" si="11"/>
        <v>0</v>
      </c>
      <c r="M223" s="29"/>
      <c r="N223" s="13"/>
      <c r="O223" s="23"/>
      <c r="P223" s="13"/>
      <c r="Q223" s="23" t="s">
        <v>224</v>
      </c>
    </row>
    <row r="224" spans="1:17" ht="16.5" customHeight="1" x14ac:dyDescent="0.3">
      <c r="A224" s="23"/>
      <c r="B224" s="24" t="s">
        <v>663</v>
      </c>
      <c r="C224" s="25" t="s">
        <v>222</v>
      </c>
      <c r="D224" s="8" t="s">
        <v>664</v>
      </c>
      <c r="E224" s="26"/>
      <c r="F224" s="13">
        <v>0</v>
      </c>
      <c r="G224" s="27">
        <f>SUMIFS(CT!$H$5:$H$143,CT!$D$5:$D$143,DMTK!B224)</f>
        <v>0</v>
      </c>
      <c r="H224" s="27">
        <f>SUMIFS(CT!$H$5:$H$143,CT!$E$5:$E$143,DMTK!B224)</f>
        <v>0</v>
      </c>
      <c r="I224" s="13">
        <f>IF(OR(LEFT(B224,3)="152",LEFT(B224,3)="153",LEFT(B224,3)="155",LEFT(B224,3)="156",LEFT(B224,3)="157"),E224+SUMIFS(CT!$F$5:$F$143,CT!$D$5:$D$143,DMTK!B224)-SUMIFS(CT!$F$5:$F$143,CT!$E$5:$E$143,DMTK!B224),0)</f>
        <v>0</v>
      </c>
      <c r="J224" s="28">
        <f t="shared" si="9"/>
        <v>0</v>
      </c>
      <c r="K224" s="13">
        <f t="shared" si="10"/>
        <v>0</v>
      </c>
      <c r="L224" s="13">
        <f t="shared" si="11"/>
        <v>0</v>
      </c>
      <c r="M224" s="29"/>
      <c r="N224" s="13"/>
      <c r="O224" s="23"/>
      <c r="P224" s="13"/>
      <c r="Q224" s="23" t="s">
        <v>224</v>
      </c>
    </row>
    <row r="225" spans="1:17" ht="16.5" customHeight="1" x14ac:dyDescent="0.3">
      <c r="A225" s="23"/>
      <c r="B225" s="24" t="s">
        <v>172</v>
      </c>
      <c r="C225" s="25" t="s">
        <v>222</v>
      </c>
      <c r="D225" s="8" t="s">
        <v>665</v>
      </c>
      <c r="E225" s="26"/>
      <c r="F225" s="13">
        <v>0</v>
      </c>
      <c r="G225" s="27">
        <f>SUMIFS(CT!$H$5:$H$143,CT!$D$5:$D$143,DMTK!B225)</f>
        <v>42700000</v>
      </c>
      <c r="H225" s="27">
        <f>SUMIFS(CT!$H$5:$H$143,CT!$E$5:$E$143,DMTK!B225)</f>
        <v>42700000</v>
      </c>
      <c r="I225" s="13">
        <f>IF(OR(LEFT(B225,3)="152",LEFT(B225,3)="153",LEFT(B225,3)="155",LEFT(B225,3)="156",LEFT(B225,3)="157"),E225+SUMIFS(CT!$F$5:$F$143,CT!$D$5:$D$143,DMTK!B225)-SUMIFS(CT!$F$5:$F$143,CT!$E$5:$E$143,DMTK!B225),0)</f>
        <v>0</v>
      </c>
      <c r="J225" s="28">
        <f t="shared" si="9"/>
        <v>0</v>
      </c>
      <c r="K225" s="13">
        <f t="shared" si="10"/>
        <v>0</v>
      </c>
      <c r="L225" s="13">
        <f t="shared" si="11"/>
        <v>0</v>
      </c>
      <c r="M225" s="29"/>
      <c r="N225" s="13"/>
      <c r="O225" s="23"/>
      <c r="P225" s="13"/>
      <c r="Q225" s="23" t="s">
        <v>224</v>
      </c>
    </row>
    <row r="226" spans="1:17" ht="16.5" customHeight="1" x14ac:dyDescent="0.3">
      <c r="A226" s="23"/>
      <c r="B226" s="24" t="s">
        <v>666</v>
      </c>
      <c r="C226" s="25" t="s">
        <v>222</v>
      </c>
      <c r="D226" s="23" t="s">
        <v>656</v>
      </c>
      <c r="E226" s="26"/>
      <c r="F226" s="13">
        <v>0</v>
      </c>
      <c r="G226" s="27">
        <f>SUMIFS(CT!$H$5:$H$143,CT!$D$5:$D$143,DMTK!B226)</f>
        <v>0</v>
      </c>
      <c r="H226" s="27">
        <f>SUMIFS(CT!$H$5:$H$143,CT!$E$5:$E$143,DMTK!B226)</f>
        <v>0</v>
      </c>
      <c r="I226" s="13">
        <f>IF(OR(LEFT(B226,3)="152",LEFT(B226,3)="153",LEFT(B226,3)="155",LEFT(B226,3)="156",LEFT(B226,3)="157"),E226+SUMIFS(CT!$F$5:$F$143,CT!$D$5:$D$143,DMTK!B226)-SUMIFS(CT!$F$5:$F$143,CT!$E$5:$E$143,DMTK!B226),0)</f>
        <v>0</v>
      </c>
      <c r="J226" s="28">
        <f t="shared" si="9"/>
        <v>0</v>
      </c>
      <c r="K226" s="13">
        <f t="shared" si="10"/>
        <v>0</v>
      </c>
      <c r="L226" s="13">
        <f t="shared" si="11"/>
        <v>0</v>
      </c>
      <c r="M226" s="29"/>
      <c r="N226" s="13"/>
      <c r="O226" s="23"/>
      <c r="P226" s="13"/>
      <c r="Q226" s="23" t="s">
        <v>224</v>
      </c>
    </row>
    <row r="227" spans="1:17" ht="16.5" customHeight="1" x14ac:dyDescent="0.3">
      <c r="A227" s="23"/>
      <c r="B227" s="24" t="s">
        <v>105</v>
      </c>
      <c r="C227" s="25" t="s">
        <v>222</v>
      </c>
      <c r="D227" s="8" t="s">
        <v>658</v>
      </c>
      <c r="E227" s="26"/>
      <c r="F227" s="13">
        <v>0</v>
      </c>
      <c r="G227" s="27">
        <f>SUMIFS(CT!$H$5:$H$143,CT!$D$5:$D$143,DMTK!B227)</f>
        <v>500000</v>
      </c>
      <c r="H227" s="27">
        <f>SUMIFS(CT!$H$5:$H$143,CT!$E$5:$E$143,DMTK!B227)</f>
        <v>500000</v>
      </c>
      <c r="I227" s="13">
        <f>IF(OR(LEFT(B227,3)="152",LEFT(B227,3)="153",LEFT(B227,3)="155",LEFT(B227,3)="156",LEFT(B227,3)="157"),E227+SUMIFS(CT!$F$5:$F$143,CT!$D$5:$D$143,DMTK!B227)-SUMIFS(CT!$F$5:$F$143,CT!$E$5:$E$143,DMTK!B227),0)</f>
        <v>0</v>
      </c>
      <c r="J227" s="28">
        <f t="shared" si="9"/>
        <v>0</v>
      </c>
      <c r="K227" s="13">
        <f t="shared" si="10"/>
        <v>0</v>
      </c>
      <c r="L227" s="13">
        <f t="shared" si="11"/>
        <v>0</v>
      </c>
      <c r="M227" s="29"/>
      <c r="N227" s="13"/>
      <c r="O227" s="23"/>
      <c r="P227" s="13"/>
      <c r="Q227" s="23" t="s">
        <v>224</v>
      </c>
    </row>
    <row r="228" spans="1:17" ht="16.5" customHeight="1" x14ac:dyDescent="0.3">
      <c r="A228" s="23"/>
      <c r="B228" s="24" t="s">
        <v>171</v>
      </c>
      <c r="C228" s="25" t="s">
        <v>222</v>
      </c>
      <c r="D228" s="8" t="s">
        <v>667</v>
      </c>
      <c r="E228" s="26"/>
      <c r="F228" s="13">
        <v>0</v>
      </c>
      <c r="G228" s="27">
        <f>SUMIFS(CT!$H$5:$H$143,CT!$D$5:$D$143,DMTK!B228)</f>
        <v>1666666</v>
      </c>
      <c r="H228" s="27">
        <f>SUMIFS(CT!$H$5:$H$143,CT!$E$5:$E$143,DMTK!B228)</f>
        <v>1666666</v>
      </c>
      <c r="I228" s="13">
        <f>IF(OR(LEFT(B228,3)="152",LEFT(B228,3)="153",LEFT(B228,3)="155",LEFT(B228,3)="156",LEFT(B228,3)="157"),E228+SUMIFS(CT!$F$5:$F$143,CT!$D$5:$D$143,DMTK!B228)-SUMIFS(CT!$F$5:$F$143,CT!$E$5:$E$143,DMTK!B228),0)</f>
        <v>0</v>
      </c>
      <c r="J228" s="28">
        <f t="shared" si="9"/>
        <v>0</v>
      </c>
      <c r="K228" s="13">
        <f t="shared" si="10"/>
        <v>0</v>
      </c>
      <c r="L228" s="13">
        <f t="shared" si="11"/>
        <v>0</v>
      </c>
      <c r="M228" s="29"/>
      <c r="N228" s="13"/>
      <c r="O228" s="23"/>
      <c r="P228" s="13"/>
      <c r="Q228" s="23" t="s">
        <v>224</v>
      </c>
    </row>
    <row r="229" spans="1:17" ht="16.5" customHeight="1" x14ac:dyDescent="0.3">
      <c r="A229" s="23"/>
      <c r="B229" s="24" t="s">
        <v>668</v>
      </c>
      <c r="C229" s="25" t="s">
        <v>222</v>
      </c>
      <c r="D229" s="8" t="s">
        <v>662</v>
      </c>
      <c r="E229" s="26"/>
      <c r="F229" s="13">
        <v>0</v>
      </c>
      <c r="G229" s="27">
        <f>SUMIFS(CT!$H$5:$H$143,CT!$D$5:$D$143,DMTK!B229)</f>
        <v>0</v>
      </c>
      <c r="H229" s="27">
        <f>SUMIFS(CT!$H$5:$H$143,CT!$E$5:$E$143,DMTK!B229)</f>
        <v>0</v>
      </c>
      <c r="I229" s="13">
        <f>IF(OR(LEFT(B229,3)="152",LEFT(B229,3)="153",LEFT(B229,3)="155",LEFT(B229,3)="156",LEFT(B229,3)="157"),E229+SUMIFS(CT!$F$5:$F$143,CT!$D$5:$D$143,DMTK!B229)-SUMIFS(CT!$F$5:$F$143,CT!$E$5:$E$143,DMTK!B229),0)</f>
        <v>0</v>
      </c>
      <c r="J229" s="28">
        <f t="shared" si="9"/>
        <v>0</v>
      </c>
      <c r="K229" s="13">
        <f t="shared" si="10"/>
        <v>0</v>
      </c>
      <c r="L229" s="13">
        <f t="shared" si="11"/>
        <v>0</v>
      </c>
      <c r="M229" s="29"/>
      <c r="N229" s="13"/>
      <c r="O229" s="23"/>
      <c r="P229" s="13"/>
      <c r="Q229" s="23" t="s">
        <v>224</v>
      </c>
    </row>
    <row r="230" spans="1:17" ht="16.5" customHeight="1" x14ac:dyDescent="0.3">
      <c r="A230" s="23"/>
      <c r="B230" s="24" t="s">
        <v>669</v>
      </c>
      <c r="C230" s="25" t="s">
        <v>222</v>
      </c>
      <c r="D230" s="8" t="s">
        <v>664</v>
      </c>
      <c r="E230" s="26"/>
      <c r="F230" s="13">
        <v>0</v>
      </c>
      <c r="G230" s="27">
        <f>SUMIFS(CT!$H$5:$H$143,CT!$D$5:$D$143,DMTK!B230)</f>
        <v>0</v>
      </c>
      <c r="H230" s="27">
        <f>SUMIFS(CT!$H$5:$H$143,CT!$E$5:$E$143,DMTK!B230)</f>
        <v>0</v>
      </c>
      <c r="I230" s="13">
        <f>IF(OR(LEFT(B230,3)="152",LEFT(B230,3)="153",LEFT(B230,3)="155",LEFT(B230,3)="156",LEFT(B230,3)="157"),E230+SUMIFS(CT!$F$5:$F$143,CT!$D$5:$D$143,DMTK!B230)-SUMIFS(CT!$F$5:$F$143,CT!$E$5:$E$143,DMTK!B230),0)</f>
        <v>0</v>
      </c>
      <c r="J230" s="28">
        <f t="shared" si="9"/>
        <v>0</v>
      </c>
      <c r="K230" s="13">
        <f t="shared" si="10"/>
        <v>0</v>
      </c>
      <c r="L230" s="13">
        <f t="shared" si="11"/>
        <v>0</v>
      </c>
      <c r="M230" s="29"/>
      <c r="N230" s="13"/>
      <c r="O230" s="23"/>
      <c r="P230" s="13"/>
      <c r="Q230" s="23" t="s">
        <v>224</v>
      </c>
    </row>
    <row r="231" spans="1:17" ht="16.5" customHeight="1" x14ac:dyDescent="0.3">
      <c r="A231" s="23"/>
      <c r="B231" s="24" t="s">
        <v>670</v>
      </c>
      <c r="C231" s="25" t="s">
        <v>222</v>
      </c>
      <c r="D231" s="8" t="s">
        <v>671</v>
      </c>
      <c r="E231" s="26"/>
      <c r="F231" s="13">
        <v>0</v>
      </c>
      <c r="G231" s="27">
        <f>SUMIFS(CT!$H$5:$H$143,CT!$D$5:$D$143,DMTK!B231)</f>
        <v>0</v>
      </c>
      <c r="H231" s="27">
        <f>SUMIFS(CT!$H$5:$H$143,CT!$E$5:$E$143,DMTK!B231)</f>
        <v>0</v>
      </c>
      <c r="I231" s="13">
        <f>IF(OR(LEFT(B231,3)="152",LEFT(B231,3)="153",LEFT(B231,3)="155",LEFT(B231,3)="156",LEFT(B231,3)="157"),E231+SUMIFS(CT!$F$5:$F$143,CT!$D$5:$D$143,DMTK!B231)-SUMIFS(CT!$F$5:$F$143,CT!$E$5:$E$143,DMTK!B231),0)</f>
        <v>0</v>
      </c>
      <c r="J231" s="28">
        <f t="shared" si="9"/>
        <v>0</v>
      </c>
      <c r="K231" s="13">
        <f t="shared" si="10"/>
        <v>0</v>
      </c>
      <c r="L231" s="13">
        <f t="shared" si="11"/>
        <v>0</v>
      </c>
      <c r="M231" s="29"/>
      <c r="N231" s="13"/>
      <c r="O231" s="23"/>
      <c r="P231" s="13"/>
      <c r="Q231" s="23" t="s">
        <v>224</v>
      </c>
    </row>
    <row r="232" spans="1:17" ht="16.5" customHeight="1" x14ac:dyDescent="0.3">
      <c r="A232" s="23"/>
      <c r="B232" s="24" t="s">
        <v>134</v>
      </c>
      <c r="C232" s="25" t="s">
        <v>222</v>
      </c>
      <c r="D232" s="8" t="s">
        <v>672</v>
      </c>
      <c r="E232" s="26"/>
      <c r="F232" s="13">
        <v>0</v>
      </c>
      <c r="G232" s="27">
        <f>SUMIFS(CT!$H$5:$H$143,CT!$D$5:$D$143,DMTK!B232)</f>
        <v>25123700</v>
      </c>
      <c r="H232" s="27">
        <f>SUMIFS(CT!$H$5:$H$143,CT!$E$5:$E$143,DMTK!B232)</f>
        <v>25123700</v>
      </c>
      <c r="I232" s="13">
        <f>IF(OR(LEFT(B232,3)="152",LEFT(B232,3)="153",LEFT(B232,3)="155",LEFT(B232,3)="156",LEFT(B232,3)="157"),E232+SUMIFS(CT!$F$5:$F$143,CT!$D$5:$D$143,DMTK!B232)-SUMIFS(CT!$F$5:$F$143,CT!$E$5:$E$143,DMTK!B232),0)</f>
        <v>0</v>
      </c>
      <c r="J232" s="28">
        <f t="shared" si="9"/>
        <v>0</v>
      </c>
      <c r="K232" s="13">
        <f t="shared" si="10"/>
        <v>0</v>
      </c>
      <c r="L232" s="13">
        <f t="shared" si="11"/>
        <v>0</v>
      </c>
      <c r="M232" s="29"/>
      <c r="N232" s="13"/>
      <c r="O232" s="23"/>
      <c r="P232" s="13"/>
      <c r="Q232" s="23" t="s">
        <v>224</v>
      </c>
    </row>
    <row r="233" spans="1:17" ht="16.5" customHeight="1" x14ac:dyDescent="0.3">
      <c r="A233" s="23"/>
      <c r="B233" s="24" t="s">
        <v>132</v>
      </c>
      <c r="C233" s="25" t="s">
        <v>222</v>
      </c>
      <c r="D233" s="8" t="s">
        <v>673</v>
      </c>
      <c r="E233" s="26"/>
      <c r="F233" s="13">
        <v>0</v>
      </c>
      <c r="G233" s="27">
        <f>SUMIFS(CT!$H$5:$H$143,CT!$D$5:$D$143,DMTK!B233)</f>
        <v>20346200</v>
      </c>
      <c r="H233" s="27">
        <f>SUMIFS(CT!$H$5:$H$143,CT!$E$5:$E$143,DMTK!B233)</f>
        <v>20346200</v>
      </c>
      <c r="I233" s="13">
        <f>IF(OR(LEFT(B233,3)="152",LEFT(B233,3)="153",LEFT(B233,3)="155",LEFT(B233,3)="156",LEFT(B233,3)="157"),E233+SUMIFS(CT!$F$5:$F$143,CT!$D$5:$D$143,DMTK!B233)-SUMIFS(CT!$F$5:$F$143,CT!$E$5:$E$143,DMTK!B233),0)</f>
        <v>0</v>
      </c>
      <c r="J233" s="28">
        <f t="shared" si="9"/>
        <v>0</v>
      </c>
      <c r="K233" s="13">
        <f t="shared" si="10"/>
        <v>0</v>
      </c>
      <c r="L233" s="13">
        <f t="shared" si="11"/>
        <v>0</v>
      </c>
      <c r="M233" s="29"/>
      <c r="N233" s="13"/>
      <c r="O233" s="23"/>
      <c r="P233" s="13"/>
      <c r="Q233" s="23" t="s">
        <v>224</v>
      </c>
    </row>
    <row r="234" spans="1:17" ht="16.5" customHeight="1" x14ac:dyDescent="0.3">
      <c r="A234" s="23"/>
      <c r="B234" s="24" t="s">
        <v>674</v>
      </c>
      <c r="C234" s="25" t="s">
        <v>222</v>
      </c>
      <c r="D234" s="8" t="s">
        <v>675</v>
      </c>
      <c r="E234" s="26"/>
      <c r="F234" s="13">
        <v>0</v>
      </c>
      <c r="G234" s="27">
        <f>SUMIFS(CT!$H$5:$H$143,CT!$D$5:$D$143,DMTK!B234)</f>
        <v>0</v>
      </c>
      <c r="H234" s="27">
        <f>SUMIFS(CT!$H$5:$H$143,CT!$E$5:$E$143,DMTK!B234)</f>
        <v>0</v>
      </c>
      <c r="I234" s="13">
        <f>IF(OR(LEFT(B234,3)="152",LEFT(B234,3)="153",LEFT(B234,3)="155",LEFT(B234,3)="156",LEFT(B234,3)="157"),E234+SUMIFS(CT!$F$5:$F$143,CT!$D$5:$D$143,DMTK!B234)-SUMIFS(CT!$F$5:$F$143,CT!$E$5:$E$143,DMTK!B234),0)</f>
        <v>0</v>
      </c>
      <c r="J234" s="28">
        <f t="shared" si="9"/>
        <v>0</v>
      </c>
      <c r="K234" s="13">
        <f t="shared" si="10"/>
        <v>0</v>
      </c>
      <c r="L234" s="13">
        <f t="shared" si="11"/>
        <v>0</v>
      </c>
      <c r="M234" s="29"/>
      <c r="N234" s="13"/>
      <c r="O234" s="23"/>
      <c r="P234" s="13"/>
      <c r="Q234" s="23" t="s">
        <v>224</v>
      </c>
    </row>
    <row r="235" spans="1:17" ht="16.5" customHeight="1" x14ac:dyDescent="0.3">
      <c r="A235" s="23"/>
      <c r="B235" s="24" t="s">
        <v>136</v>
      </c>
      <c r="C235" s="25" t="s">
        <v>222</v>
      </c>
      <c r="D235" s="8" t="s">
        <v>676</v>
      </c>
      <c r="E235" s="26"/>
      <c r="F235" s="13">
        <v>0</v>
      </c>
      <c r="G235" s="27">
        <f>SUMIFS(CT!$H$5:$H$143,CT!$D$5:$D$143,DMTK!B235)</f>
        <v>25000000</v>
      </c>
      <c r="H235" s="27">
        <f>SUMIFS(CT!$H$5:$H$143,CT!$E$5:$E$143,DMTK!B235)</f>
        <v>25000000</v>
      </c>
      <c r="I235" s="13">
        <f>IF(OR(LEFT(B235,3)="152",LEFT(B235,3)="153",LEFT(B235,3)="155",LEFT(B235,3)="156",LEFT(B235,3)="157"),E235+SUMIFS(CT!$F$5:$F$143,CT!$D$5:$D$143,DMTK!B235)-SUMIFS(CT!$F$5:$F$143,CT!$E$5:$E$143,DMTK!B235),0)</f>
        <v>0</v>
      </c>
      <c r="J235" s="28">
        <f t="shared" si="9"/>
        <v>0</v>
      </c>
      <c r="K235" s="13">
        <f t="shared" si="10"/>
        <v>0</v>
      </c>
      <c r="L235" s="13">
        <f t="shared" si="11"/>
        <v>0</v>
      </c>
      <c r="M235" s="29"/>
      <c r="N235" s="13"/>
      <c r="O235" s="23"/>
      <c r="P235" s="13"/>
      <c r="Q235" s="23" t="s">
        <v>224</v>
      </c>
    </row>
    <row r="236" spans="1:17" ht="16.5" customHeight="1" x14ac:dyDescent="0.3">
      <c r="A236" s="23"/>
      <c r="B236" s="24" t="s">
        <v>677</v>
      </c>
      <c r="C236" s="25" t="s">
        <v>222</v>
      </c>
      <c r="D236" s="8" t="s">
        <v>678</v>
      </c>
      <c r="E236" s="26"/>
      <c r="F236" s="13">
        <v>0</v>
      </c>
      <c r="G236" s="27">
        <f>SUMIFS(CT!$H$5:$H$143,CT!$D$5:$D$143,DMTK!B236)</f>
        <v>0</v>
      </c>
      <c r="H236" s="27">
        <f>SUMIFS(CT!$H$5:$H$143,CT!$E$5:$E$143,DMTK!B236)</f>
        <v>0</v>
      </c>
      <c r="I236" s="13">
        <f>IF(OR(LEFT(B236,3)="152",LEFT(B236,3)="153",LEFT(B236,3)="155",LEFT(B236,3)="156",LEFT(B236,3)="157"),E236+SUMIFS(CT!$F$5:$F$143,CT!$D$5:$D$143,DMTK!B236)-SUMIFS(CT!$F$5:$F$143,CT!$E$5:$E$143,DMTK!B236),0)</f>
        <v>0</v>
      </c>
      <c r="J236" s="28">
        <f t="shared" si="9"/>
        <v>0</v>
      </c>
      <c r="K236" s="13">
        <f t="shared" si="10"/>
        <v>0</v>
      </c>
      <c r="L236" s="13">
        <f t="shared" si="11"/>
        <v>0</v>
      </c>
      <c r="M236" s="29"/>
      <c r="N236" s="13"/>
      <c r="O236" s="23"/>
      <c r="P236" s="13"/>
      <c r="Q236" s="23" t="s">
        <v>224</v>
      </c>
    </row>
    <row r="237" spans="1:17" ht="16.5" customHeight="1" x14ac:dyDescent="0.3">
      <c r="A237" s="23"/>
      <c r="B237" s="24" t="s">
        <v>679</v>
      </c>
      <c r="C237" s="25" t="s">
        <v>222</v>
      </c>
      <c r="D237" s="8" t="s">
        <v>680</v>
      </c>
      <c r="E237" s="26"/>
      <c r="F237" s="13">
        <v>0</v>
      </c>
      <c r="G237" s="27">
        <f>SUMIFS(CT!$H$5:$H$143,CT!$D$5:$D$143,DMTK!B237)</f>
        <v>0</v>
      </c>
      <c r="H237" s="27">
        <f>SUMIFS(CT!$H$5:$H$143,CT!$E$5:$E$143,DMTK!B237)</f>
        <v>0</v>
      </c>
      <c r="I237" s="13">
        <f>IF(OR(LEFT(B237,3)="152",LEFT(B237,3)="153",LEFT(B237,3)="155",LEFT(B237,3)="156",LEFT(B237,3)="157"),E237+SUMIFS(CT!$F$5:$F$143,CT!$D$5:$D$143,DMTK!B237)-SUMIFS(CT!$F$5:$F$143,CT!$E$5:$E$143,DMTK!B237),0)</f>
        <v>0</v>
      </c>
      <c r="J237" s="28">
        <f t="shared" si="9"/>
        <v>0</v>
      </c>
      <c r="K237" s="13">
        <f t="shared" si="10"/>
        <v>0</v>
      </c>
      <c r="L237" s="13">
        <f t="shared" si="11"/>
        <v>0</v>
      </c>
      <c r="M237" s="29"/>
      <c r="N237" s="13"/>
      <c r="O237" s="23"/>
      <c r="P237" s="13"/>
      <c r="Q237" s="23" t="s">
        <v>224</v>
      </c>
    </row>
    <row r="238" spans="1:17" ht="16.5" customHeight="1" x14ac:dyDescent="0.3">
      <c r="A238" s="23"/>
      <c r="B238" s="24" t="s">
        <v>681</v>
      </c>
      <c r="C238" s="25" t="s">
        <v>222</v>
      </c>
      <c r="D238" s="8" t="s">
        <v>682</v>
      </c>
      <c r="E238" s="26"/>
      <c r="F238" s="13">
        <v>0</v>
      </c>
      <c r="G238" s="27">
        <f>SUMIFS(CT!$H$5:$H$143,CT!$D$5:$D$143,DMTK!B238)</f>
        <v>0</v>
      </c>
      <c r="H238" s="27">
        <f>SUMIFS(CT!$H$5:$H$143,CT!$E$5:$E$143,DMTK!B238)</f>
        <v>0</v>
      </c>
      <c r="I238" s="13">
        <f>IF(OR(LEFT(B238,3)="152",LEFT(B238,3)="153",LEFT(B238,3)="155",LEFT(B238,3)="156",LEFT(B238,3)="157"),E238+SUMIFS(CT!$F$5:$F$143,CT!$D$5:$D$143,DMTK!B238)-SUMIFS(CT!$F$5:$F$143,CT!$E$5:$E$143,DMTK!B238),0)</f>
        <v>0</v>
      </c>
      <c r="J238" s="28">
        <f t="shared" si="9"/>
        <v>0</v>
      </c>
      <c r="K238" s="13">
        <f t="shared" si="10"/>
        <v>0</v>
      </c>
      <c r="L238" s="13">
        <f t="shared" si="11"/>
        <v>0</v>
      </c>
      <c r="M238" s="29"/>
      <c r="N238" s="13"/>
      <c r="O238" s="23"/>
      <c r="P238" s="13"/>
      <c r="Q238" s="23" t="s">
        <v>224</v>
      </c>
    </row>
    <row r="239" spans="1:17" ht="16.5" customHeight="1" x14ac:dyDescent="0.3">
      <c r="A239" s="23"/>
      <c r="B239" s="24" t="s">
        <v>150</v>
      </c>
      <c r="C239" s="25" t="s">
        <v>222</v>
      </c>
      <c r="D239" s="23" t="s">
        <v>683</v>
      </c>
      <c r="E239" s="26"/>
      <c r="F239" s="13">
        <v>0</v>
      </c>
      <c r="G239" s="27">
        <f>SUMIFS(CT!$H$5:$H$143,CT!$D$5:$D$143,DMTK!B239)</f>
        <v>6100000</v>
      </c>
      <c r="H239" s="27">
        <f>SUMIFS(CT!$H$5:$H$143,CT!$E$5:$E$143,DMTK!B239)</f>
        <v>6100000</v>
      </c>
      <c r="I239" s="13">
        <f>IF(OR(LEFT(B239,3)="152",LEFT(B239,3)="153",LEFT(B239,3)="155",LEFT(B239,3)="156",LEFT(B239,3)="157"),E239+SUMIFS(CT!$F$5:$F$143,CT!$D$5:$D$143,DMTK!B239)-SUMIFS(CT!$F$5:$F$143,CT!$E$5:$E$143,DMTK!B239),0)</f>
        <v>0</v>
      </c>
      <c r="J239" s="28">
        <f t="shared" si="9"/>
        <v>0</v>
      </c>
      <c r="K239" s="13">
        <f t="shared" si="10"/>
        <v>0</v>
      </c>
      <c r="L239" s="13">
        <f t="shared" si="11"/>
        <v>0</v>
      </c>
      <c r="M239" s="29"/>
      <c r="N239" s="13"/>
      <c r="O239" s="23"/>
      <c r="P239" s="13"/>
      <c r="Q239" s="23" t="s">
        <v>224</v>
      </c>
    </row>
    <row r="240" spans="1:17" ht="16.5" customHeight="1" x14ac:dyDescent="0.3">
      <c r="A240" s="23"/>
      <c r="B240" s="24" t="s">
        <v>684</v>
      </c>
      <c r="C240" s="25" t="s">
        <v>222</v>
      </c>
      <c r="D240" s="23" t="s">
        <v>685</v>
      </c>
      <c r="E240" s="26"/>
      <c r="F240" s="13">
        <v>0</v>
      </c>
      <c r="G240" s="27">
        <f>SUMIFS(CT!$H$5:$H$143,CT!$D$5:$D$143,DMTK!B240)</f>
        <v>0</v>
      </c>
      <c r="H240" s="27">
        <f>SUMIFS(CT!$H$5:$H$143,CT!$E$5:$E$143,DMTK!B240)</f>
        <v>0</v>
      </c>
      <c r="I240" s="13">
        <f>IF(OR(LEFT(B240,3)="152",LEFT(B240,3)="153",LEFT(B240,3)="155",LEFT(B240,3)="156",LEFT(B240,3)="157"),E240+SUMIFS(CT!$F$5:$F$143,CT!$D$5:$D$143,DMTK!B240)-SUMIFS(CT!$F$5:$F$143,CT!$E$5:$E$143,DMTK!B240),0)</f>
        <v>0</v>
      </c>
      <c r="J240" s="28">
        <f t="shared" si="9"/>
        <v>0</v>
      </c>
      <c r="K240" s="13">
        <f t="shared" si="10"/>
        <v>0</v>
      </c>
      <c r="L240" s="13">
        <f t="shared" si="11"/>
        <v>0</v>
      </c>
      <c r="M240" s="29"/>
      <c r="N240" s="13"/>
      <c r="O240" s="23"/>
      <c r="P240" s="13"/>
      <c r="Q240" s="23" t="s">
        <v>224</v>
      </c>
    </row>
    <row r="241" spans="1:17" ht="16.5" customHeight="1" x14ac:dyDescent="0.3">
      <c r="A241" s="23"/>
      <c r="B241" s="24" t="s">
        <v>156</v>
      </c>
      <c r="C241" s="25" t="s">
        <v>222</v>
      </c>
      <c r="D241" s="10" t="s">
        <v>686</v>
      </c>
      <c r="E241" s="26"/>
      <c r="F241" s="13">
        <v>0</v>
      </c>
      <c r="G241" s="27">
        <f>SUMIFS(CT!$H$5:$H$143,CT!$D$5:$D$143,DMTK!B241)</f>
        <v>250000</v>
      </c>
      <c r="H241" s="27">
        <f>SUMIFS(CT!$H$5:$H$143,CT!$E$5:$E$143,DMTK!B241)</f>
        <v>250000</v>
      </c>
      <c r="I241" s="13">
        <f>IF(OR(LEFT(B241,3)="152",LEFT(B241,3)="153",LEFT(B241,3)="155",LEFT(B241,3)="156",LEFT(B241,3)="157"),E241+SUMIFS(CT!$F$5:$F$143,CT!$D$5:$D$143,DMTK!B241)-SUMIFS(CT!$F$5:$F$143,CT!$E$5:$E$143,DMTK!B241),0)</f>
        <v>0</v>
      </c>
      <c r="J241" s="28">
        <f t="shared" si="9"/>
        <v>0</v>
      </c>
      <c r="K241" s="13">
        <f t="shared" si="10"/>
        <v>0</v>
      </c>
      <c r="L241" s="13">
        <f t="shared" si="11"/>
        <v>0</v>
      </c>
      <c r="M241" s="29"/>
      <c r="N241" s="13"/>
      <c r="O241" s="23"/>
      <c r="P241" s="13"/>
      <c r="Q241" s="23" t="s">
        <v>224</v>
      </c>
    </row>
    <row r="242" spans="1:17" ht="16.5" customHeight="1" x14ac:dyDescent="0.3">
      <c r="A242" s="23"/>
      <c r="B242" s="24" t="s">
        <v>687</v>
      </c>
      <c r="C242" s="25" t="s">
        <v>222</v>
      </c>
      <c r="D242" s="8" t="s">
        <v>667</v>
      </c>
      <c r="E242" s="26"/>
      <c r="F242" s="13">
        <v>0</v>
      </c>
      <c r="G242" s="27">
        <f>SUMIFS(CT!$H$5:$H$143,CT!$D$5:$D$143,DMTK!B242)</f>
        <v>0</v>
      </c>
      <c r="H242" s="27">
        <f>SUMIFS(CT!$H$5:$H$143,CT!$E$5:$E$143,DMTK!B242)</f>
        <v>0</v>
      </c>
      <c r="I242" s="13">
        <f>IF(OR(LEFT(B242,3)="152",LEFT(B242,3)="153",LEFT(B242,3)="155",LEFT(B242,3)="156",LEFT(B242,3)="157"),E242+SUMIFS(CT!$F$5:$F$143,CT!$D$5:$D$143,DMTK!B242)-SUMIFS(CT!$F$5:$F$143,CT!$E$5:$E$143,DMTK!B242),0)</f>
        <v>0</v>
      </c>
      <c r="J242" s="28">
        <f t="shared" si="9"/>
        <v>0</v>
      </c>
      <c r="K242" s="13">
        <f t="shared" si="10"/>
        <v>0</v>
      </c>
      <c r="L242" s="13">
        <f t="shared" si="11"/>
        <v>0</v>
      </c>
      <c r="M242" s="29"/>
      <c r="N242" s="13"/>
      <c r="O242" s="23"/>
      <c r="P242" s="13"/>
      <c r="Q242" s="23" t="s">
        <v>224</v>
      </c>
    </row>
    <row r="243" spans="1:17" ht="16.5" customHeight="1" x14ac:dyDescent="0.3">
      <c r="A243" s="23"/>
      <c r="B243" s="24" t="s">
        <v>688</v>
      </c>
      <c r="C243" s="25" t="s">
        <v>222</v>
      </c>
      <c r="D243" s="8" t="s">
        <v>689</v>
      </c>
      <c r="E243" s="26"/>
      <c r="F243" s="13">
        <v>0</v>
      </c>
      <c r="G243" s="27">
        <f>SUMIFS(CT!$H$5:$H$143,CT!$D$5:$D$143,DMTK!B243)</f>
        <v>0</v>
      </c>
      <c r="H243" s="27">
        <f>SUMIFS(CT!$H$5:$H$143,CT!$E$5:$E$143,DMTK!B243)</f>
        <v>0</v>
      </c>
      <c r="I243" s="13">
        <f>IF(OR(LEFT(B243,3)="152",LEFT(B243,3)="153",LEFT(B243,3)="155",LEFT(B243,3)="156",LEFT(B243,3)="157"),E243+SUMIFS(CT!$F$5:$F$143,CT!$D$5:$D$143,DMTK!B243)-SUMIFS(CT!$F$5:$F$143,CT!$E$5:$E$143,DMTK!B243),0)</f>
        <v>0</v>
      </c>
      <c r="J243" s="28">
        <f t="shared" si="9"/>
        <v>0</v>
      </c>
      <c r="K243" s="13">
        <f t="shared" si="10"/>
        <v>0</v>
      </c>
      <c r="L243" s="13">
        <f t="shared" si="11"/>
        <v>0</v>
      </c>
      <c r="M243" s="29"/>
      <c r="N243" s="13"/>
      <c r="O243" s="23"/>
      <c r="P243" s="13"/>
      <c r="Q243" s="23" t="s">
        <v>224</v>
      </c>
    </row>
    <row r="244" spans="1:17" ht="16.5" customHeight="1" x14ac:dyDescent="0.3">
      <c r="A244" s="23"/>
      <c r="B244" s="24" t="s">
        <v>690</v>
      </c>
      <c r="C244" s="25" t="s">
        <v>222</v>
      </c>
      <c r="D244" s="8" t="s">
        <v>662</v>
      </c>
      <c r="E244" s="26"/>
      <c r="F244" s="13">
        <v>0</v>
      </c>
      <c r="G244" s="27">
        <f>SUMIFS(CT!$H$5:$H$143,CT!$D$5:$D$143,DMTK!B244)</f>
        <v>0</v>
      </c>
      <c r="H244" s="27">
        <f>SUMIFS(CT!$H$5:$H$143,CT!$E$5:$E$143,DMTK!B244)</f>
        <v>0</v>
      </c>
      <c r="I244" s="13">
        <f>IF(OR(LEFT(B244,3)="152",LEFT(B244,3)="153",LEFT(B244,3)="155",LEFT(B244,3)="156",LEFT(B244,3)="157"),E244+SUMIFS(CT!$F$5:$F$143,CT!$D$5:$D$143,DMTK!B244)-SUMIFS(CT!$F$5:$F$143,CT!$E$5:$E$143,DMTK!B244),0)</f>
        <v>0</v>
      </c>
      <c r="J244" s="28">
        <f t="shared" si="9"/>
        <v>0</v>
      </c>
      <c r="K244" s="13">
        <f t="shared" si="10"/>
        <v>0</v>
      </c>
      <c r="L244" s="13">
        <f t="shared" si="11"/>
        <v>0</v>
      </c>
      <c r="M244" s="29"/>
      <c r="N244" s="13"/>
      <c r="O244" s="23"/>
      <c r="P244" s="13"/>
      <c r="Q244" s="23" t="s">
        <v>224</v>
      </c>
    </row>
    <row r="245" spans="1:17" ht="16.5" customHeight="1" x14ac:dyDescent="0.3">
      <c r="A245" s="23"/>
      <c r="B245" s="24" t="s">
        <v>691</v>
      </c>
      <c r="C245" s="25" t="s">
        <v>222</v>
      </c>
      <c r="D245" s="8" t="s">
        <v>664</v>
      </c>
      <c r="E245" s="26"/>
      <c r="F245" s="13">
        <v>0</v>
      </c>
      <c r="G245" s="27">
        <f>SUMIFS(CT!$H$5:$H$143,CT!$D$5:$D$143,DMTK!B245)</f>
        <v>0</v>
      </c>
      <c r="H245" s="27">
        <f>SUMIFS(CT!$H$5:$H$143,CT!$E$5:$E$143,DMTK!B245)</f>
        <v>0</v>
      </c>
      <c r="I245" s="13">
        <f>IF(OR(LEFT(B245,3)="152",LEFT(B245,3)="153",LEFT(B245,3)="155",LEFT(B245,3)="156",LEFT(B245,3)="157"),E245+SUMIFS(CT!$F$5:$F$143,CT!$D$5:$D$143,DMTK!B245)-SUMIFS(CT!$F$5:$F$143,CT!$E$5:$E$143,DMTK!B245),0)</f>
        <v>0</v>
      </c>
      <c r="J245" s="28">
        <f t="shared" si="9"/>
        <v>0</v>
      </c>
      <c r="K245" s="13">
        <f t="shared" si="10"/>
        <v>0</v>
      </c>
      <c r="L245" s="13">
        <f t="shared" si="11"/>
        <v>0</v>
      </c>
      <c r="M245" s="29"/>
      <c r="N245" s="13"/>
      <c r="O245" s="23"/>
      <c r="P245" s="13"/>
      <c r="Q245" s="23" t="s">
        <v>224</v>
      </c>
    </row>
    <row r="246" spans="1:17" ht="16.5" customHeight="1" x14ac:dyDescent="0.3">
      <c r="A246" s="23"/>
      <c r="B246" s="24" t="s">
        <v>152</v>
      </c>
      <c r="C246" s="25" t="s">
        <v>222</v>
      </c>
      <c r="D246" s="8" t="s">
        <v>692</v>
      </c>
      <c r="E246" s="26"/>
      <c r="F246" s="13">
        <v>0</v>
      </c>
      <c r="G246" s="27">
        <f>SUMIFS(CT!$H$5:$H$143,CT!$D$5:$D$143,DMTK!B246)</f>
        <v>8540000</v>
      </c>
      <c r="H246" s="27">
        <f>SUMIFS(CT!$H$5:$H$143,CT!$E$5:$E$143,DMTK!B246)</f>
        <v>8540000</v>
      </c>
      <c r="I246" s="13">
        <f>IF(OR(LEFT(B246,3)="152",LEFT(B246,3)="153",LEFT(B246,3)="155",LEFT(B246,3)="156",LEFT(B246,3)="157"),E246+SUMIFS(CT!$F$5:$F$143,CT!$D$5:$D$143,DMTK!B246)-SUMIFS(CT!$F$5:$F$143,CT!$E$5:$E$143,DMTK!B246),0)</f>
        <v>0</v>
      </c>
      <c r="J246" s="28">
        <f t="shared" si="9"/>
        <v>0</v>
      </c>
      <c r="K246" s="13">
        <f t="shared" si="10"/>
        <v>0</v>
      </c>
      <c r="L246" s="13">
        <f t="shared" si="11"/>
        <v>0</v>
      </c>
      <c r="M246" s="29"/>
      <c r="N246" s="13"/>
      <c r="O246" s="23"/>
      <c r="P246" s="13"/>
      <c r="Q246" s="23" t="s">
        <v>224</v>
      </c>
    </row>
    <row r="247" spans="1:17" ht="16.5" customHeight="1" x14ac:dyDescent="0.3">
      <c r="A247" s="23"/>
      <c r="B247" s="24" t="s">
        <v>693</v>
      </c>
      <c r="C247" s="25" t="s">
        <v>222</v>
      </c>
      <c r="D247" s="8" t="s">
        <v>694</v>
      </c>
      <c r="E247" s="26"/>
      <c r="F247" s="13">
        <v>0</v>
      </c>
      <c r="G247" s="27">
        <f>SUMIFS(CT!$H$5:$H$143,CT!$D$5:$D$143,DMTK!B247)</f>
        <v>0</v>
      </c>
      <c r="H247" s="27">
        <f>SUMIFS(CT!$H$5:$H$143,CT!$E$5:$E$143,DMTK!B247)</f>
        <v>0</v>
      </c>
      <c r="I247" s="13">
        <f>IF(OR(LEFT(B247,3)="152",LEFT(B247,3)="153",LEFT(B247,3)="155",LEFT(B247,3)="156",LEFT(B247,3)="157"),E247+SUMIFS(CT!$F$5:$F$143,CT!$D$5:$D$143,DMTK!B247)-SUMIFS(CT!$F$5:$F$143,CT!$E$5:$E$143,DMTK!B247),0)</f>
        <v>0</v>
      </c>
      <c r="J247" s="28">
        <f t="shared" si="9"/>
        <v>0</v>
      </c>
      <c r="K247" s="13">
        <f t="shared" si="10"/>
        <v>0</v>
      </c>
      <c r="L247" s="13">
        <f t="shared" si="11"/>
        <v>0</v>
      </c>
      <c r="M247" s="29"/>
      <c r="N247" s="13"/>
      <c r="O247" s="23"/>
      <c r="P247" s="13"/>
      <c r="Q247" s="23" t="s">
        <v>224</v>
      </c>
    </row>
    <row r="248" spans="1:17" ht="16.5" customHeight="1" x14ac:dyDescent="0.3">
      <c r="A248" s="23"/>
      <c r="B248" s="24" t="s">
        <v>167</v>
      </c>
      <c r="C248" s="25" t="s">
        <v>222</v>
      </c>
      <c r="D248" s="8" t="s">
        <v>695</v>
      </c>
      <c r="E248" s="26"/>
      <c r="F248" s="13">
        <v>0</v>
      </c>
      <c r="G248" s="27">
        <f>SUMIFS(CT!$H$5:$H$143,CT!$D$5:$D$143,DMTK!B248)</f>
        <v>500000</v>
      </c>
      <c r="H248" s="27">
        <f>SUMIFS(CT!$H$5:$H$143,CT!$E$5:$E$143,DMTK!B248)</f>
        <v>500000</v>
      </c>
      <c r="I248" s="13">
        <f>IF(OR(LEFT(B248,3)="152",LEFT(B248,3)="153",LEFT(B248,3)="155",LEFT(B248,3)="156",LEFT(B248,3)="157"),E248+SUMIFS(CT!$F$5:$F$143,CT!$D$5:$D$143,DMTK!B248)-SUMIFS(CT!$F$5:$F$143,CT!$E$5:$E$143,DMTK!B248),0)</f>
        <v>0</v>
      </c>
      <c r="J248" s="28">
        <f t="shared" si="9"/>
        <v>0</v>
      </c>
      <c r="K248" s="13">
        <f t="shared" si="10"/>
        <v>0</v>
      </c>
      <c r="L248" s="13">
        <f t="shared" si="11"/>
        <v>0</v>
      </c>
      <c r="M248" s="29"/>
      <c r="N248" s="13"/>
      <c r="O248" s="23"/>
      <c r="P248" s="13"/>
      <c r="Q248" s="23" t="s">
        <v>224</v>
      </c>
    </row>
    <row r="249" spans="1:17" ht="16.5" customHeight="1" x14ac:dyDescent="0.3">
      <c r="A249" s="23"/>
      <c r="B249" s="24" t="s">
        <v>166</v>
      </c>
      <c r="C249" s="25" t="s">
        <v>222</v>
      </c>
      <c r="D249" s="8" t="s">
        <v>667</v>
      </c>
      <c r="E249" s="26"/>
      <c r="F249" s="13">
        <v>0</v>
      </c>
      <c r="G249" s="27">
        <f>SUMIFS(CT!$H$5:$H$143,CT!$D$5:$D$143,DMTK!B249)</f>
        <v>458333</v>
      </c>
      <c r="H249" s="27">
        <f>SUMIFS(CT!$H$5:$H$143,CT!$E$5:$E$143,DMTK!B249)</f>
        <v>458333</v>
      </c>
      <c r="I249" s="13">
        <f>IF(OR(LEFT(B249,3)="152",LEFT(B249,3)="153",LEFT(B249,3)="155",LEFT(B249,3)="156",LEFT(B249,3)="157"),E249+SUMIFS(CT!$F$5:$F$143,CT!$D$5:$D$143,DMTK!B249)-SUMIFS(CT!$F$5:$F$143,CT!$E$5:$E$143,DMTK!B249),0)</f>
        <v>0</v>
      </c>
      <c r="J249" s="28">
        <f t="shared" si="9"/>
        <v>0</v>
      </c>
      <c r="K249" s="13">
        <f t="shared" si="10"/>
        <v>0</v>
      </c>
      <c r="L249" s="13">
        <f t="shared" si="11"/>
        <v>0</v>
      </c>
      <c r="M249" s="29"/>
      <c r="N249" s="13"/>
      <c r="O249" s="23"/>
      <c r="P249" s="13"/>
      <c r="Q249" s="23" t="s">
        <v>224</v>
      </c>
    </row>
    <row r="250" spans="1:17" ht="16.5" customHeight="1" x14ac:dyDescent="0.3">
      <c r="A250" s="23"/>
      <c r="B250" s="24" t="s">
        <v>696</v>
      </c>
      <c r="C250" s="25" t="s">
        <v>222</v>
      </c>
      <c r="D250" s="8" t="s">
        <v>697</v>
      </c>
      <c r="E250" s="26"/>
      <c r="F250" s="13">
        <v>0</v>
      </c>
      <c r="G250" s="27">
        <f>SUMIFS(CT!$H$5:$H$143,CT!$D$5:$D$143,DMTK!B250)</f>
        <v>0</v>
      </c>
      <c r="H250" s="27">
        <f>SUMIFS(CT!$H$5:$H$143,CT!$E$5:$E$143,DMTK!B250)</f>
        <v>0</v>
      </c>
      <c r="I250" s="13">
        <f>IF(OR(LEFT(B250,3)="152",LEFT(B250,3)="153",LEFT(B250,3)="155",LEFT(B250,3)="156",LEFT(B250,3)="157"),E250+SUMIFS(CT!$F$5:$F$143,CT!$D$5:$D$143,DMTK!B250)-SUMIFS(CT!$F$5:$F$143,CT!$E$5:$E$143,DMTK!B250),0)</f>
        <v>0</v>
      </c>
      <c r="J250" s="28">
        <f t="shared" si="9"/>
        <v>0</v>
      </c>
      <c r="K250" s="13">
        <f t="shared" si="10"/>
        <v>0</v>
      </c>
      <c r="L250" s="13">
        <f t="shared" si="11"/>
        <v>0</v>
      </c>
      <c r="M250" s="29"/>
      <c r="N250" s="13"/>
      <c r="O250" s="23"/>
      <c r="P250" s="13"/>
      <c r="Q250" s="23" t="s">
        <v>224</v>
      </c>
    </row>
    <row r="251" spans="1:17" ht="16.5" customHeight="1" x14ac:dyDescent="0.3">
      <c r="A251" s="23"/>
      <c r="B251" s="24" t="s">
        <v>698</v>
      </c>
      <c r="C251" s="25" t="s">
        <v>222</v>
      </c>
      <c r="D251" s="8" t="s">
        <v>699</v>
      </c>
      <c r="E251" s="26"/>
      <c r="F251" s="13">
        <v>0</v>
      </c>
      <c r="G251" s="27">
        <f>SUMIFS(CT!$H$5:$H$143,CT!$D$5:$D$143,DMTK!B251)</f>
        <v>0</v>
      </c>
      <c r="H251" s="27">
        <f>SUMIFS(CT!$H$5:$H$143,CT!$E$5:$E$143,DMTK!B251)</f>
        <v>0</v>
      </c>
      <c r="I251" s="13">
        <f>IF(OR(LEFT(B251,3)="152",LEFT(B251,3)="153",LEFT(B251,3)="155",LEFT(B251,3)="156",LEFT(B251,3)="157"),E251+SUMIFS(CT!$F$5:$F$143,CT!$D$5:$D$143,DMTK!B251)-SUMIFS(CT!$F$5:$F$143,CT!$E$5:$E$143,DMTK!B251),0)</f>
        <v>0</v>
      </c>
      <c r="J251" s="28">
        <f t="shared" si="9"/>
        <v>0</v>
      </c>
      <c r="K251" s="13">
        <f t="shared" si="10"/>
        <v>0</v>
      </c>
      <c r="L251" s="13">
        <f t="shared" si="11"/>
        <v>0</v>
      </c>
      <c r="M251" s="29"/>
      <c r="N251" s="13"/>
      <c r="O251" s="23"/>
      <c r="P251" s="13"/>
      <c r="Q251" s="23" t="s">
        <v>224</v>
      </c>
    </row>
    <row r="252" spans="1:17" ht="16.5" customHeight="1" x14ac:dyDescent="0.3">
      <c r="A252" s="23"/>
      <c r="B252" s="24" t="s">
        <v>700</v>
      </c>
      <c r="C252" s="25" t="s">
        <v>222</v>
      </c>
      <c r="D252" s="8" t="s">
        <v>662</v>
      </c>
      <c r="E252" s="26"/>
      <c r="F252" s="13">
        <v>0</v>
      </c>
      <c r="G252" s="27">
        <f>SUMIFS(CT!$H$5:$H$143,CT!$D$5:$D$143,DMTK!B252)</f>
        <v>0</v>
      </c>
      <c r="H252" s="27">
        <f>SUMIFS(CT!$H$5:$H$143,CT!$E$5:$E$143,DMTK!B252)</f>
        <v>0</v>
      </c>
      <c r="I252" s="13">
        <f>IF(OR(LEFT(B252,3)="152",LEFT(B252,3)="153",LEFT(B252,3)="155",LEFT(B252,3)="156",LEFT(B252,3)="157"),E252+SUMIFS(CT!$F$5:$F$143,CT!$D$5:$D$143,DMTK!B252)-SUMIFS(CT!$F$5:$F$143,CT!$E$5:$E$143,DMTK!B252),0)</f>
        <v>0</v>
      </c>
      <c r="J252" s="28">
        <f t="shared" si="9"/>
        <v>0</v>
      </c>
      <c r="K252" s="13">
        <f t="shared" si="10"/>
        <v>0</v>
      </c>
      <c r="L252" s="13">
        <f t="shared" si="11"/>
        <v>0</v>
      </c>
      <c r="M252" s="29"/>
      <c r="N252" s="13"/>
      <c r="O252" s="23"/>
      <c r="P252" s="13"/>
      <c r="Q252" s="23" t="s">
        <v>224</v>
      </c>
    </row>
    <row r="253" spans="1:17" ht="16.5" customHeight="1" x14ac:dyDescent="0.3">
      <c r="A253" s="23"/>
      <c r="B253" s="24" t="s">
        <v>43</v>
      </c>
      <c r="C253" s="25" t="s">
        <v>222</v>
      </c>
      <c r="D253" s="8" t="s">
        <v>664</v>
      </c>
      <c r="E253" s="26"/>
      <c r="F253" s="13">
        <v>0</v>
      </c>
      <c r="G253" s="27">
        <f>SUMIFS(CT!$H$5:$H$143,CT!$D$5:$D$143,DMTK!B253)</f>
        <v>2800000</v>
      </c>
      <c r="H253" s="27">
        <f>SUMIFS(CT!$H$5:$H$143,CT!$E$5:$E$143,DMTK!B253)</f>
        <v>2800000</v>
      </c>
      <c r="I253" s="13">
        <f>IF(OR(LEFT(B253,3)="152",LEFT(B253,3)="153",LEFT(B253,3)="155",LEFT(B253,3)="156",LEFT(B253,3)="157"),E253+SUMIFS(CT!$F$5:$F$143,CT!$D$5:$D$143,DMTK!B253)-SUMIFS(CT!$F$5:$F$143,CT!$E$5:$E$143,DMTK!B253),0)</f>
        <v>0</v>
      </c>
      <c r="J253" s="28">
        <f t="shared" si="9"/>
        <v>0</v>
      </c>
      <c r="K253" s="13">
        <f t="shared" si="10"/>
        <v>0</v>
      </c>
      <c r="L253" s="13">
        <f t="shared" si="11"/>
        <v>0</v>
      </c>
      <c r="M253" s="29"/>
      <c r="N253" s="13"/>
      <c r="O253" s="23"/>
      <c r="P253" s="13"/>
      <c r="Q253" s="23" t="s">
        <v>224</v>
      </c>
    </row>
    <row r="254" spans="1:17" ht="16.5" customHeight="1" x14ac:dyDescent="0.3">
      <c r="A254" s="23"/>
      <c r="B254" s="24" t="s">
        <v>701</v>
      </c>
      <c r="C254" s="25" t="s">
        <v>384</v>
      </c>
      <c r="D254" s="8" t="s">
        <v>702</v>
      </c>
      <c r="E254" s="26"/>
      <c r="F254" s="13">
        <v>0</v>
      </c>
      <c r="G254" s="27">
        <f>SUMIFS(CT!$H$5:$H$143,CT!$D$5:$D$143,DMTK!B254)</f>
        <v>0</v>
      </c>
      <c r="H254" s="27">
        <f>SUMIFS(CT!$H$5:$H$143,CT!$E$5:$E$143,DMTK!B254)</f>
        <v>0</v>
      </c>
      <c r="I254" s="13">
        <f>IF(OR(LEFT(B254,3)="152",LEFT(B254,3)="153",LEFT(B254,3)="155",LEFT(B254,3)="156",LEFT(B254,3)="157"),E254+SUMIFS(CT!$F$5:$F$143,CT!$D$5:$D$143,DMTK!B254)-SUMIFS(CT!$F$5:$F$143,CT!$E$5:$E$143,DMTK!B254),0)</f>
        <v>0</v>
      </c>
      <c r="J254" s="28">
        <f t="shared" si="9"/>
        <v>0</v>
      </c>
      <c r="K254" s="13">
        <f t="shared" si="10"/>
        <v>0</v>
      </c>
      <c r="L254" s="13">
        <f t="shared" si="11"/>
        <v>0</v>
      </c>
      <c r="M254" s="29"/>
      <c r="N254" s="13"/>
      <c r="O254" s="23"/>
      <c r="P254" s="13"/>
      <c r="Q254" s="23" t="s">
        <v>224</v>
      </c>
    </row>
    <row r="255" spans="1:17" ht="16.5" customHeight="1" x14ac:dyDescent="0.3">
      <c r="A255" s="23"/>
      <c r="B255" s="24" t="s">
        <v>703</v>
      </c>
      <c r="C255" s="25" t="s">
        <v>222</v>
      </c>
      <c r="D255" s="8" t="s">
        <v>704</v>
      </c>
      <c r="E255" s="26"/>
      <c r="F255" s="13">
        <v>0</v>
      </c>
      <c r="G255" s="27">
        <f>SUMIFS(CT!$H$5:$H$143,CT!$D$5:$D$143,DMTK!B255)</f>
        <v>0</v>
      </c>
      <c r="H255" s="27">
        <f>SUMIFS(CT!$H$5:$H$143,CT!$E$5:$E$143,DMTK!B255)</f>
        <v>0</v>
      </c>
      <c r="I255" s="13">
        <f>IF(OR(LEFT(B255,3)="152",LEFT(B255,3)="153",LEFT(B255,3)="155",LEFT(B255,3)="156",LEFT(B255,3)="157"),E255+SUMIFS(CT!$F$5:$F$143,CT!$D$5:$D$143,DMTK!B255)-SUMIFS(CT!$F$5:$F$143,CT!$E$5:$E$143,DMTK!B255),0)</f>
        <v>0</v>
      </c>
      <c r="J255" s="28">
        <f t="shared" si="9"/>
        <v>0</v>
      </c>
      <c r="K255" s="13">
        <f t="shared" si="10"/>
        <v>0</v>
      </c>
      <c r="L255" s="13">
        <f t="shared" si="11"/>
        <v>0</v>
      </c>
      <c r="M255" s="29"/>
      <c r="N255" s="13"/>
      <c r="O255" s="23"/>
      <c r="P255" s="13"/>
      <c r="Q255" s="23" t="s">
        <v>224</v>
      </c>
    </row>
    <row r="256" spans="1:17" ht="16.5" customHeight="1" x14ac:dyDescent="0.3">
      <c r="A256" s="23"/>
      <c r="B256" s="24" t="s">
        <v>705</v>
      </c>
      <c r="C256" s="25" t="s">
        <v>222</v>
      </c>
      <c r="D256" s="23" t="s">
        <v>706</v>
      </c>
      <c r="E256" s="26"/>
      <c r="F256" s="13">
        <v>0</v>
      </c>
      <c r="G256" s="27">
        <f>SUMIFS(CT!$H$5:$H$143,CT!$D$5:$D$143,DMTK!B256)</f>
        <v>0</v>
      </c>
      <c r="H256" s="27">
        <f>SUMIFS(CT!$H$5:$H$143,CT!$E$5:$E$143,DMTK!B256)</f>
        <v>0</v>
      </c>
      <c r="I256" s="13">
        <f>IF(OR(LEFT(B256,3)="152",LEFT(B256,3)="153",LEFT(B256,3)="155",LEFT(B256,3)="156",LEFT(B256,3)="157"),E256+SUMIFS(CT!$F$5:$F$143,CT!$D$5:$D$143,DMTK!B256)-SUMIFS(CT!$F$5:$F$143,CT!$E$5:$E$143,DMTK!B256),0)</f>
        <v>0</v>
      </c>
      <c r="J256" s="28">
        <f t="shared" si="9"/>
        <v>0</v>
      </c>
      <c r="K256" s="13">
        <f t="shared" si="10"/>
        <v>0</v>
      </c>
      <c r="L256" s="13">
        <f t="shared" si="11"/>
        <v>0</v>
      </c>
      <c r="M256" s="29"/>
      <c r="N256" s="13"/>
      <c r="O256" s="23"/>
      <c r="P256" s="13"/>
      <c r="Q256" s="23" t="s">
        <v>224</v>
      </c>
    </row>
    <row r="257" spans="1:18" ht="16.5" customHeight="1" x14ac:dyDescent="0.3">
      <c r="A257" s="23"/>
      <c r="B257" s="24" t="s">
        <v>707</v>
      </c>
      <c r="C257" s="34" t="s">
        <v>222</v>
      </c>
      <c r="D257" s="23" t="s">
        <v>708</v>
      </c>
      <c r="E257" s="26"/>
      <c r="F257" s="13">
        <v>0</v>
      </c>
      <c r="G257" s="27">
        <f>SUMIFS(CT!$H$5:$H$143,CT!$D$5:$D$143,DMTK!B257)</f>
        <v>0</v>
      </c>
      <c r="H257" s="27">
        <f>SUMIFS(CT!$H$5:$H$143,CT!$E$5:$E$143,DMTK!B257)</f>
        <v>0</v>
      </c>
      <c r="I257" s="13">
        <f>IF(OR(LEFT(B257,3)="152",LEFT(B257,3)="153",LEFT(B257,3)="155",LEFT(B257,3)="156",LEFT(B257,3)="157"),E257+SUMIFS(CT!$F$5:$F$143,CT!$D$5:$D$143,DMTK!B257)-SUMIFS(CT!$F$5:$F$143,CT!$E$5:$E$143,DMTK!B257),0)</f>
        <v>0</v>
      </c>
      <c r="J257" s="28">
        <f t="shared" si="9"/>
        <v>0</v>
      </c>
      <c r="K257" s="13">
        <f t="shared" si="10"/>
        <v>0</v>
      </c>
      <c r="L257" s="13">
        <f t="shared" si="11"/>
        <v>0</v>
      </c>
      <c r="M257" s="29"/>
      <c r="N257" s="13"/>
      <c r="O257" s="23"/>
      <c r="P257" s="13"/>
      <c r="Q257" s="23" t="s">
        <v>224</v>
      </c>
    </row>
    <row r="258" spans="1:18" ht="16.5" customHeight="1" x14ac:dyDescent="0.3">
      <c r="A258" s="23"/>
      <c r="B258" s="24" t="s">
        <v>158</v>
      </c>
      <c r="C258" s="34" t="s">
        <v>384</v>
      </c>
      <c r="D258" s="23" t="s">
        <v>709</v>
      </c>
      <c r="E258" s="26"/>
      <c r="F258" s="13">
        <v>0</v>
      </c>
      <c r="G258" s="27">
        <f>SUMIFS(CT!$H$5:$H$143,CT!$D$5:$D$143,DMTK!B258)</f>
        <v>31772143</v>
      </c>
      <c r="H258" s="27">
        <f>SUMIFS(CT!$H$5:$H$143,CT!$E$5:$E$143,DMTK!B258)</f>
        <v>31772143</v>
      </c>
      <c r="I258" s="13">
        <f>IF(OR(LEFT(B258,3)="152",LEFT(B258,3)="153",LEFT(B258,3)="155",LEFT(B258,3)="156",LEFT(B258,3)="157"),E258+SUMIFS(CT!$F$5:$F$143,CT!$D$5:$D$143,DMTK!B258)-SUMIFS(CT!$F$5:$F$143,CT!$E$5:$E$143,DMTK!B258),0)</f>
        <v>0</v>
      </c>
      <c r="J258" s="28">
        <f t="shared" si="9"/>
        <v>0</v>
      </c>
      <c r="K258" s="13">
        <f t="shared" si="10"/>
        <v>0</v>
      </c>
      <c r="L258" s="13">
        <f t="shared" si="11"/>
        <v>0</v>
      </c>
      <c r="M258" s="29"/>
      <c r="N258" s="13"/>
      <c r="O258" s="23"/>
      <c r="P258" s="13"/>
      <c r="Q258" s="23" t="s">
        <v>224</v>
      </c>
    </row>
    <row r="259" spans="1:18" ht="16.5" customHeight="1" x14ac:dyDescent="0.3">
      <c r="A259" s="23"/>
      <c r="B259" s="24" t="s">
        <v>155</v>
      </c>
      <c r="C259" s="34" t="s">
        <v>384</v>
      </c>
      <c r="D259" s="23" t="s">
        <v>710</v>
      </c>
      <c r="E259" s="26"/>
      <c r="F259" s="13"/>
      <c r="G259" s="27">
        <f>SUMIFS(CT!$H$5:$H$143,CT!$D$5:$D$143,DMTK!B259)</f>
        <v>28000000</v>
      </c>
      <c r="H259" s="27">
        <f>SUMIFS(CT!$H$5:$H$143,CT!$E$5:$E$143,DMTK!B259)</f>
        <v>28000000</v>
      </c>
      <c r="I259" s="13">
        <f>IF(OR(LEFT(B259,3)="152",LEFT(B259,3)="153",LEFT(B259,3)="155",LEFT(B259,3)="156",LEFT(B259,3)="157"),E259+SUMIFS(CT!$F$5:$F$143,CT!$D$5:$D$143,DMTK!B259)-SUMIFS(CT!$F$5:$F$143,CT!$E$5:$E$143,DMTK!B259),0)</f>
        <v>0</v>
      </c>
      <c r="J259" s="28">
        <f t="shared" si="9"/>
        <v>0</v>
      </c>
      <c r="K259" s="13">
        <f t="shared" si="10"/>
        <v>0</v>
      </c>
      <c r="L259" s="13">
        <f t="shared" si="11"/>
        <v>0</v>
      </c>
      <c r="M259" s="29"/>
      <c r="N259" s="13"/>
      <c r="O259" s="23"/>
      <c r="P259" s="13"/>
      <c r="Q259" s="23" t="s">
        <v>224</v>
      </c>
    </row>
    <row r="260" spans="1:18" ht="16.5" customHeight="1" x14ac:dyDescent="0.3">
      <c r="A260" s="23"/>
      <c r="B260" s="24" t="s">
        <v>711</v>
      </c>
      <c r="C260" s="34" t="s">
        <v>384</v>
      </c>
      <c r="D260" s="23" t="s">
        <v>712</v>
      </c>
      <c r="E260" s="26"/>
      <c r="F260" s="13"/>
      <c r="G260" s="27">
        <f>SUMIFS(CT!$H$5:$H$143,CT!$D$5:$D$143,DMTK!B260)</f>
        <v>0</v>
      </c>
      <c r="H260" s="27">
        <f>SUMIFS(CT!$H$5:$H$143,CT!$E$5:$E$143,DMTK!B260)</f>
        <v>0</v>
      </c>
      <c r="I260" s="13">
        <f>IF(OR(LEFT(B260,3)="152",LEFT(B260,3)="153",LEFT(B260,3)="155",LEFT(B260,3)="156",LEFT(B260,3)="157"),E260+SUMIFS(CT!$F$5:$F$143,CT!$D$5:$D$143,DMTK!B260)-SUMIFS(CT!$F$5:$F$143,CT!$E$5:$E$143,DMTK!B260),0)</f>
        <v>0</v>
      </c>
      <c r="J260" s="28">
        <f t="shared" si="9"/>
        <v>0</v>
      </c>
      <c r="K260" s="13">
        <f t="shared" si="10"/>
        <v>0</v>
      </c>
      <c r="L260" s="13">
        <f t="shared" si="11"/>
        <v>0</v>
      </c>
      <c r="M260" s="29"/>
      <c r="N260" s="13"/>
      <c r="O260" s="23"/>
      <c r="P260" s="13"/>
      <c r="Q260" s="23" t="s">
        <v>224</v>
      </c>
      <c r="R260" s="35"/>
    </row>
    <row r="261" spans="1:18" s="35" customFormat="1" ht="16.5" customHeight="1" x14ac:dyDescent="0.3">
      <c r="A261" s="23"/>
      <c r="B261" s="24" t="s">
        <v>157</v>
      </c>
      <c r="C261" s="34" t="s">
        <v>384</v>
      </c>
      <c r="D261" s="23" t="s">
        <v>713</v>
      </c>
      <c r="E261" s="26"/>
      <c r="F261" s="13"/>
      <c r="G261" s="27">
        <f>SUMIFS(CT!$H$5:$H$143,CT!$D$5:$D$143,DMTK!B261)</f>
        <v>31615709</v>
      </c>
      <c r="H261" s="27">
        <f>SUMIFS(CT!$H$5:$H$143,CT!$E$5:$E$143,DMTK!B261)</f>
        <v>31615709</v>
      </c>
      <c r="I261" s="13">
        <f>IF(OR(LEFT(B261,3)="152",LEFT(B261,3)="153",LEFT(B261,3)="155",LEFT(B261,3)="156",LEFT(B261,3)="157"),E261+SUMIFS(CT!$F$5:$F$143,CT!$D$5:$D$143,DMTK!B261)-SUMIFS(CT!$F$5:$F$143,CT!$E$5:$E$143,DMTK!B261),0)</f>
        <v>0</v>
      </c>
      <c r="J261" s="28">
        <f t="shared" si="9"/>
        <v>0</v>
      </c>
      <c r="K261" s="13">
        <f t="shared" si="10"/>
        <v>0</v>
      </c>
      <c r="L261" s="13">
        <f t="shared" si="11"/>
        <v>0</v>
      </c>
      <c r="M261" s="29"/>
      <c r="N261" s="13"/>
      <c r="O261" s="23"/>
      <c r="P261" s="13"/>
      <c r="Q261" s="23" t="s">
        <v>224</v>
      </c>
      <c r="R261" s="3"/>
    </row>
    <row r="262" spans="1:18" ht="16.5" customHeight="1" x14ac:dyDescent="0.3">
      <c r="A262" s="23"/>
      <c r="B262" s="24" t="s">
        <v>714</v>
      </c>
      <c r="C262" s="34" t="s">
        <v>384</v>
      </c>
      <c r="D262" s="23" t="s">
        <v>715</v>
      </c>
      <c r="E262" s="26"/>
      <c r="F262" s="13"/>
      <c r="G262" s="27">
        <f>SUMIFS(CT!$H$5:$H$143,CT!$D$5:$D$143,DMTK!B262)</f>
        <v>0</v>
      </c>
      <c r="H262" s="27">
        <f>SUMIFS(CT!$H$5:$H$143,CT!$E$5:$E$143,DMTK!B262)</f>
        <v>0</v>
      </c>
      <c r="I262" s="13">
        <f>IF(OR(LEFT(B262,3)="152",LEFT(B262,3)="153",LEFT(B262,3)="155",LEFT(B262,3)="156",LEFT(B262,3)="157"),E262+SUMIFS(CT!$F$5:$F$143,CT!$D$5:$D$143,DMTK!B262)-SUMIFS(CT!$F$5:$F$143,CT!$E$5:$E$143,DMTK!B262),0)</f>
        <v>0</v>
      </c>
      <c r="J262" s="28">
        <f t="shared" ref="J262:J265" si="12">IF(C262="N",F262+G262-H262,F262+H262-G262)</f>
        <v>0</v>
      </c>
      <c r="K262" s="13">
        <f t="shared" ref="K262:K265" si="13">IF(OR(AND(C262="N",F262&gt;0),AND(C262="C",F262&lt;0)),ABS(F262),0)</f>
        <v>0</v>
      </c>
      <c r="L262" s="13">
        <f t="shared" ref="L262:L265" si="14">IF(OR(AND(C262="C",F262&gt;0),AND(C262="N",F262&lt;0)),ABS(F262),0)</f>
        <v>0</v>
      </c>
      <c r="M262" s="29"/>
      <c r="N262" s="13"/>
      <c r="O262" s="23"/>
      <c r="P262" s="13"/>
      <c r="Q262" s="23" t="s">
        <v>224</v>
      </c>
    </row>
    <row r="263" spans="1:18" ht="16.5" customHeight="1" x14ac:dyDescent="0.3">
      <c r="A263" s="23"/>
      <c r="B263" s="24" t="s">
        <v>716</v>
      </c>
      <c r="C263" s="34" t="s">
        <v>384</v>
      </c>
      <c r="D263" s="23" t="s">
        <v>717</v>
      </c>
      <c r="E263" s="26"/>
      <c r="F263" s="13"/>
      <c r="G263" s="27">
        <f>SUMIFS(CT!$H$5:$H$143,CT!$D$5:$D$143,DMTK!B263)</f>
        <v>0</v>
      </c>
      <c r="H263" s="27">
        <f>SUMIFS(CT!$H$5:$H$143,CT!$E$5:$E$143,DMTK!B263)</f>
        <v>0</v>
      </c>
      <c r="I263" s="13">
        <f>IF(OR(LEFT(B263,3)="152",LEFT(B263,3)="153",LEFT(B263,3)="155",LEFT(B263,3)="156",LEFT(B263,3)="157"),E263+SUMIFS(CT!$F$5:$F$143,CT!$D$5:$D$143,DMTK!B263)-SUMIFS(CT!$F$5:$F$143,CT!$E$5:$E$143,DMTK!B263),0)</f>
        <v>0</v>
      </c>
      <c r="J263" s="28">
        <f t="shared" si="12"/>
        <v>0</v>
      </c>
      <c r="K263" s="13">
        <f t="shared" si="13"/>
        <v>0</v>
      </c>
      <c r="L263" s="13">
        <f t="shared" si="14"/>
        <v>0</v>
      </c>
      <c r="M263" s="29"/>
      <c r="N263" s="13"/>
      <c r="O263" s="23"/>
      <c r="P263" s="13"/>
      <c r="Q263" s="23" t="s">
        <v>224</v>
      </c>
    </row>
    <row r="264" spans="1:18" s="35" customFormat="1" ht="16.5" customHeight="1" x14ac:dyDescent="0.3">
      <c r="G264" s="36">
        <f>SUM(G5:G263)</f>
        <v>1787856169</v>
      </c>
      <c r="H264" s="36">
        <f>SUM(H5:H263)</f>
        <v>1787856169</v>
      </c>
      <c r="I264" s="13"/>
      <c r="J264" s="28">
        <f t="shared" si="12"/>
        <v>0</v>
      </c>
      <c r="K264" s="13">
        <f t="shared" si="13"/>
        <v>0</v>
      </c>
      <c r="L264" s="13">
        <f t="shared" si="14"/>
        <v>0</v>
      </c>
      <c r="M264" s="36"/>
    </row>
    <row r="265" spans="1:18" ht="16.5" customHeight="1" x14ac:dyDescent="0.3">
      <c r="G265" s="37">
        <f>G264-H264</f>
        <v>0</v>
      </c>
      <c r="I265" s="13">
        <f>IF(OR(LEFT(B265,3)="152",LEFT(B265,3)="153",LEFT(B265,3)="155",LEFT(B265,3)="156",LEFT(B265,3)="157"),E265+SUMIFS(CT!$F$5:$F$143,CT!$D$5:$D$143,DMTK!B265)-SUMIFS(CT!$F$5:$F$143,CT!$E$5:$E$143,DMTK!B265),0)</f>
        <v>0</v>
      </c>
      <c r="J265" s="28">
        <f t="shared" si="12"/>
        <v>0</v>
      </c>
      <c r="K265" s="13">
        <f t="shared" si="13"/>
        <v>0</v>
      </c>
      <c r="L265" s="13">
        <f t="shared" si="14"/>
        <v>0</v>
      </c>
    </row>
  </sheetData>
  <mergeCells count="1">
    <mergeCell ref="A1:Q1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B23A-25EA-40B7-89D8-E1E844AA62E6}">
  <sheetPr>
    <tabColor indexed="10"/>
  </sheetPr>
  <dimension ref="A1:S1006"/>
  <sheetViews>
    <sheetView showGridLines="0" zoomScale="85" zoomScaleNormal="85" workbookViewId="0">
      <selection activeCell="R28" sqref="R28"/>
    </sheetView>
  </sheetViews>
  <sheetFormatPr defaultColWidth="9.33203125" defaultRowHeight="15.6" x14ac:dyDescent="0.3"/>
  <cols>
    <col min="1" max="1" width="13.33203125" style="3" bestFit="1" customWidth="1"/>
    <col min="2" max="2" width="11.33203125" style="3" bestFit="1" customWidth="1"/>
    <col min="3" max="3" width="44.109375" style="3" customWidth="1"/>
    <col min="4" max="5" width="12.44140625" style="3" bestFit="1" customWidth="1"/>
    <col min="6" max="6" width="13.109375" style="3" customWidth="1"/>
    <col min="7" max="7" width="12.109375" style="3" bestFit="1" customWidth="1"/>
    <col min="8" max="8" width="16.6640625" style="3" bestFit="1" customWidth="1"/>
    <col min="9" max="9" width="12.33203125" style="46" bestFit="1" customWidth="1"/>
    <col min="10" max="11" width="13" style="46" bestFit="1" customWidth="1"/>
    <col min="12" max="12" width="52.6640625" style="46" bestFit="1" customWidth="1"/>
    <col min="13" max="13" width="46.33203125" style="46" bestFit="1" customWidth="1"/>
    <col min="14" max="14" width="16.44140625" style="46" bestFit="1" customWidth="1"/>
    <col min="15" max="15" width="9.109375" style="3" bestFit="1" customWidth="1"/>
    <col min="16" max="17" width="9.33203125" style="3"/>
    <col min="18" max="18" width="11.77734375" style="3" bestFit="1" customWidth="1"/>
    <col min="19" max="19" width="11.33203125" style="3" bestFit="1" customWidth="1"/>
    <col min="20" max="16384" width="9.33203125" style="3"/>
  </cols>
  <sheetData>
    <row r="1" spans="1:19" ht="20.399999999999999" x14ac:dyDescent="0.35">
      <c r="A1" s="155" t="s">
        <v>0</v>
      </c>
      <c r="B1" s="155"/>
      <c r="C1" s="155"/>
      <c r="D1" s="155"/>
      <c r="E1" s="155"/>
      <c r="F1" s="155"/>
      <c r="G1" s="155"/>
      <c r="H1" s="155"/>
      <c r="I1" s="3"/>
      <c r="J1" s="3"/>
      <c r="K1" s="3"/>
      <c r="L1" s="3"/>
      <c r="M1" s="3"/>
      <c r="N1" s="3"/>
    </row>
    <row r="2" spans="1:19" ht="20.399999999999999" x14ac:dyDescent="0.35">
      <c r="B2" s="38"/>
      <c r="C2" s="38"/>
      <c r="D2" s="38"/>
      <c r="E2" s="38"/>
      <c r="F2" s="38"/>
      <c r="G2" s="38"/>
      <c r="H2" s="38"/>
      <c r="I2" s="3"/>
      <c r="J2" s="3"/>
      <c r="K2" s="3"/>
      <c r="L2" s="3"/>
      <c r="M2" s="3"/>
      <c r="N2" s="3"/>
    </row>
    <row r="3" spans="1:19" x14ac:dyDescent="0.3">
      <c r="A3" s="39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40" t="s">
        <v>8</v>
      </c>
      <c r="I3" s="40" t="s">
        <v>9</v>
      </c>
      <c r="J3" s="40" t="s">
        <v>10</v>
      </c>
      <c r="K3" s="40" t="s">
        <v>11</v>
      </c>
      <c r="L3" s="40" t="s">
        <v>12</v>
      </c>
      <c r="M3" s="40" t="s">
        <v>13</v>
      </c>
      <c r="N3" s="40" t="s">
        <v>14</v>
      </c>
      <c r="O3" s="40" t="s">
        <v>15</v>
      </c>
    </row>
    <row r="4" spans="1:19" x14ac:dyDescent="0.3">
      <c r="A4" s="41" t="s">
        <v>16</v>
      </c>
      <c r="B4" s="42" t="s">
        <v>17</v>
      </c>
      <c r="C4" s="42" t="s">
        <v>18</v>
      </c>
      <c r="D4" s="42" t="s">
        <v>19</v>
      </c>
      <c r="E4" s="42" t="s">
        <v>20</v>
      </c>
      <c r="F4" s="43" t="s">
        <v>21</v>
      </c>
      <c r="G4" s="42" t="s">
        <v>22</v>
      </c>
      <c r="H4" s="44" t="s">
        <v>23</v>
      </c>
      <c r="I4" s="45">
        <v>9</v>
      </c>
      <c r="J4" s="45">
        <v>10</v>
      </c>
      <c r="K4" s="45">
        <v>11</v>
      </c>
      <c r="L4" s="45">
        <v>12</v>
      </c>
      <c r="M4" s="45">
        <v>13</v>
      </c>
      <c r="N4" s="45">
        <v>14</v>
      </c>
      <c r="O4" s="45">
        <v>15</v>
      </c>
    </row>
    <row r="5" spans="1:19" x14ac:dyDescent="0.3">
      <c r="A5" s="63">
        <v>45293</v>
      </c>
      <c r="B5" s="23" t="s">
        <v>24</v>
      </c>
      <c r="C5" s="23" t="s">
        <v>25</v>
      </c>
      <c r="D5" s="24" t="s">
        <v>26</v>
      </c>
      <c r="E5" s="7" t="s">
        <v>27</v>
      </c>
      <c r="F5" s="59"/>
      <c r="G5" s="59"/>
      <c r="H5" s="59">
        <v>5000000</v>
      </c>
      <c r="I5" s="59"/>
      <c r="J5" s="23" t="str">
        <f>IF(ISNA(VLOOKUP(D5,DMTK!$B$5:$B$263,1,0)),"Sai","Đúng")</f>
        <v>Đúng</v>
      </c>
      <c r="K5" s="23" t="str">
        <f>IF(ISNA(VLOOKUP(E5,DMTK!$B$5:$B$263,1,0)),"Sai","Đúng")</f>
        <v>Đúng</v>
      </c>
      <c r="L5" s="23" t="str">
        <f>VLOOKUP(D5,DMTK!$B$5:$D$263,3,0)</f>
        <v>Tiền Việt Nam</v>
      </c>
      <c r="M5" s="23" t="str">
        <f>VLOOKUP(E5,DMTK!$B$5:$D$263,3,0)</f>
        <v>Cty TNHH Phương Nam (ngắn hạn)</v>
      </c>
      <c r="N5" s="75" t="str">
        <f>IF(OR(LEFT($D5,3)="111",AND(LEFT(CT!$D5,3)="131",LEFT(CT!$E5,3)="511"),LEFT(CT!$E5,3)="111",LEFT(CT!$E5,3)="331"),"No","Yes")</f>
        <v>No</v>
      </c>
      <c r="O5" s="23"/>
      <c r="P5" s="58" t="str">
        <f>IF(LEN(D5)&gt;3,"TKCT","TKTH")</f>
        <v>TKCT</v>
      </c>
      <c r="Q5" s="58" t="str">
        <f>IF(LEN(E5)&gt;3,"TKCT","TKTH")</f>
        <v>TKCT</v>
      </c>
      <c r="R5" s="58"/>
      <c r="S5" s="58"/>
    </row>
    <row r="6" spans="1:19" x14ac:dyDescent="0.3">
      <c r="A6" s="63">
        <v>45293</v>
      </c>
      <c r="B6" s="23" t="s">
        <v>28</v>
      </c>
      <c r="C6" s="23" t="s">
        <v>29</v>
      </c>
      <c r="D6" s="24" t="s">
        <v>26</v>
      </c>
      <c r="E6" s="7" t="s">
        <v>30</v>
      </c>
      <c r="F6" s="59"/>
      <c r="G6" s="59"/>
      <c r="H6" s="59">
        <v>20000000</v>
      </c>
      <c r="I6" s="59"/>
      <c r="J6" s="23" t="str">
        <f>IF(ISNA(VLOOKUP(D6,DMTK!$B$5:$B$263,1,0)),"Sai","Đúng")</f>
        <v>Đúng</v>
      </c>
      <c r="K6" s="23" t="str">
        <f>IF(ISNA(VLOOKUP(E6,DMTK!$B$5:$B$263,1,0)),"Sai","Đúng")</f>
        <v>Đúng</v>
      </c>
      <c r="L6" s="23" t="str">
        <f>VLOOKUP(D6,DMTK!$B$5:$D$263,3,0)</f>
        <v>Tiền Việt Nam</v>
      </c>
      <c r="M6" s="23" t="str">
        <f>VLOOKUP(E6,DMTK!$B$5:$D$263,3,0)</f>
        <v>Công ty Quang Minh (ngắn hạn)</v>
      </c>
      <c r="N6" s="75" t="str">
        <f>IF(OR(LEFT($D6,3)="111",AND(LEFT(CT!$D6,3)="131",LEFT(CT!$E6,3)="511"),LEFT(CT!$E6,3)="111",LEFT(CT!$E6,3)="331"),"No","Yes")</f>
        <v>No</v>
      </c>
      <c r="O6" s="23"/>
      <c r="P6" s="58" t="str">
        <f t="shared" ref="P6:P69" si="0">IF(LEN(D6)&gt;3,"TKCT","TKTH")</f>
        <v>TKCT</v>
      </c>
      <c r="Q6" s="58" t="str">
        <f t="shared" ref="Q6:Q69" si="1">IF(LEN(E6)&gt;3,"TKCT","TKTH")</f>
        <v>TKCT</v>
      </c>
      <c r="R6" s="58">
        <f>SUMIFS($H$5:$H$143,$D$5:$D$143,1111)</f>
        <v>25200000</v>
      </c>
      <c r="S6" s="58">
        <f>COUNTIFS($D$5:$D$143,1111)</f>
        <v>3</v>
      </c>
    </row>
    <row r="7" spans="1:19" x14ac:dyDescent="0.3">
      <c r="A7" s="63">
        <v>45295</v>
      </c>
      <c r="B7" s="23" t="s">
        <v>31</v>
      </c>
      <c r="C7" s="23" t="s">
        <v>32</v>
      </c>
      <c r="D7" s="24" t="s">
        <v>33</v>
      </c>
      <c r="E7" s="7" t="s">
        <v>26</v>
      </c>
      <c r="F7" s="59"/>
      <c r="G7" s="59"/>
      <c r="H7" s="59">
        <v>2000000</v>
      </c>
      <c r="I7" s="59"/>
      <c r="J7" s="23" t="str">
        <f>IF(ISNA(VLOOKUP(D7,DMTK!$B$5:$B$263,1,0)),"Sai","Đúng")</f>
        <v>Đúng</v>
      </c>
      <c r="K7" s="23" t="str">
        <f>IF(ISNA(VLOOKUP(E7,DMTK!$B$5:$B$263,1,0)),"Sai","Đúng")</f>
        <v>Đúng</v>
      </c>
      <c r="L7" s="23" t="str">
        <f>VLOOKUP(D7,DMTK!$B$5:$D$263,3,0)</f>
        <v>Hồ Sĩ Nhật</v>
      </c>
      <c r="M7" s="23" t="str">
        <f>VLOOKUP(E7,DMTK!$B$5:$D$263,3,0)</f>
        <v>Tiền Việt Nam</v>
      </c>
      <c r="N7" s="75" t="str">
        <f>IF(OR(LEFT($D7,3)="111",AND(LEFT(CT!$D7,3)="131",LEFT(CT!$E7,3)="511"),LEFT(CT!$E7,3)="111",LEFT(CT!$E7,3)="331"),"No","Yes")</f>
        <v>No</v>
      </c>
      <c r="O7" s="23"/>
      <c r="P7" s="58" t="str">
        <f t="shared" si="0"/>
        <v>TKCT</v>
      </c>
      <c r="Q7" s="58" t="str">
        <f t="shared" si="1"/>
        <v>TKCT</v>
      </c>
      <c r="R7" s="58"/>
      <c r="S7" s="58"/>
    </row>
    <row r="8" spans="1:19" x14ac:dyDescent="0.3">
      <c r="A8" s="63">
        <v>45295</v>
      </c>
      <c r="B8" s="23" t="s">
        <v>34</v>
      </c>
      <c r="C8" s="23" t="s">
        <v>35</v>
      </c>
      <c r="D8" s="7" t="s">
        <v>36</v>
      </c>
      <c r="E8" s="7" t="s">
        <v>37</v>
      </c>
      <c r="F8" s="59"/>
      <c r="G8" s="59"/>
      <c r="H8" s="59">
        <f>H6*5%</f>
        <v>1000000</v>
      </c>
      <c r="I8" s="59"/>
      <c r="J8" s="23" t="str">
        <f>IF(ISNA(VLOOKUP(D8,DMTK!$B$5:$B$263,1,0)),"Sai","Đúng")</f>
        <v>Đúng</v>
      </c>
      <c r="K8" s="23" t="str">
        <f>IF(ISNA(VLOOKUP(E8,DMTK!$B$5:$B$263,1,0)),"Sai","Đúng")</f>
        <v>Đúng</v>
      </c>
      <c r="L8" s="23" t="str">
        <f>VLOOKUP(D8,DMTK!$B$5:$D$263,3,0)</f>
        <v>Thuế GTGT được khấu trừ của hàng hóa, dịch vụ</v>
      </c>
      <c r="M8" s="23" t="str">
        <f>VLOOKUP(E8,DMTK!$B$5:$D$263,3,0)</f>
        <v>Cty TNHH Cường Phát</v>
      </c>
      <c r="N8" s="75" t="str">
        <f>IF(OR(LEFT($D8,3)="111",AND(LEFT(CT!$D8,3)="131",LEFT(CT!$E8,3)="511"),LEFT(CT!$E8,3)="111",LEFT(CT!$E8,3)="331"),"No","Yes")</f>
        <v>No</v>
      </c>
      <c r="O8" s="23"/>
      <c r="P8" s="58" t="str">
        <f t="shared" si="0"/>
        <v>TKCT</v>
      </c>
      <c r="Q8" s="58" t="str">
        <f t="shared" si="1"/>
        <v>TKCT</v>
      </c>
      <c r="R8" s="58"/>
      <c r="S8" s="58"/>
    </row>
    <row r="9" spans="1:19" x14ac:dyDescent="0.3">
      <c r="A9" s="63">
        <v>45295</v>
      </c>
      <c r="B9" s="23" t="s">
        <v>34</v>
      </c>
      <c r="C9" s="23" t="s">
        <v>38</v>
      </c>
      <c r="D9" s="7" t="s">
        <v>39</v>
      </c>
      <c r="E9" s="7" t="s">
        <v>37</v>
      </c>
      <c r="F9" s="59">
        <v>5</v>
      </c>
      <c r="G9" s="59">
        <v>4500000</v>
      </c>
      <c r="H9" s="59">
        <f>F9*G9</f>
        <v>22500000</v>
      </c>
      <c r="I9" s="59"/>
      <c r="J9" s="23" t="str">
        <f>IF(ISNA(VLOOKUP(D9,DMTK!$B$5:$B$263,1,0)),"Sai","Đúng")</f>
        <v>Đúng</v>
      </c>
      <c r="K9" s="23" t="str">
        <f>IF(ISNA(VLOOKUP(E9,DMTK!$B$5:$B$263,1,0)),"Sai","Đúng")</f>
        <v>Đúng</v>
      </c>
      <c r="L9" s="23" t="str">
        <f>VLOOKUP(D9,DMTK!$B$5:$D$263,3,0)</f>
        <v>Gỗ tràm bông vàng</v>
      </c>
      <c r="M9" s="23" t="str">
        <f>VLOOKUP(E9,DMTK!$B$5:$D$263,3,0)</f>
        <v>Cty TNHH Cường Phát</v>
      </c>
      <c r="N9" s="75" t="str">
        <f>IF(OR(LEFT($D9,3)="111",AND(LEFT(CT!$D9,3)="131",LEFT(CT!$E9,3)="511"),LEFT(CT!$E9,3)="111",LEFT(CT!$E9,3)="331"),"No","Yes")</f>
        <v>No</v>
      </c>
      <c r="O9" s="23"/>
      <c r="P9" s="58" t="str">
        <f t="shared" si="0"/>
        <v>TKCT</v>
      </c>
      <c r="Q9" s="58" t="str">
        <f t="shared" si="1"/>
        <v>TKCT</v>
      </c>
      <c r="R9" s="58"/>
      <c r="S9" s="58"/>
    </row>
    <row r="10" spans="1:19" x14ac:dyDescent="0.3">
      <c r="A10" s="63">
        <v>45296</v>
      </c>
      <c r="B10" s="23" t="s">
        <v>40</v>
      </c>
      <c r="C10" s="23" t="s">
        <v>41</v>
      </c>
      <c r="D10" s="7" t="s">
        <v>36</v>
      </c>
      <c r="E10" s="7" t="s">
        <v>26</v>
      </c>
      <c r="F10" s="59"/>
      <c r="G10" s="59"/>
      <c r="H10" s="59">
        <v>100000</v>
      </c>
      <c r="I10" s="59"/>
      <c r="J10" s="23" t="str">
        <f>IF(ISNA(VLOOKUP(D10,DMTK!$B$5:$B$263,1,0)),"Sai","Đúng")</f>
        <v>Đúng</v>
      </c>
      <c r="K10" s="23" t="str">
        <f>IF(ISNA(VLOOKUP(E10,DMTK!$B$5:$B$263,1,0)),"Sai","Đúng")</f>
        <v>Đúng</v>
      </c>
      <c r="L10" s="23" t="str">
        <f>VLOOKUP(D10,DMTK!$B$5:$D$263,3,0)</f>
        <v>Thuế GTGT được khấu trừ của hàng hóa, dịch vụ</v>
      </c>
      <c r="M10" s="23" t="str">
        <f>VLOOKUP(E10,DMTK!$B$5:$D$263,3,0)</f>
        <v>Tiền Việt Nam</v>
      </c>
      <c r="N10" s="75" t="str">
        <f>IF(OR(LEFT($D10,3)="111",AND(LEFT(CT!$D10,3)="131",LEFT(CT!$E10,3)="511"),LEFT(CT!$E10,3)="111",LEFT(CT!$E10,3)="331"),"No","Yes")</f>
        <v>No</v>
      </c>
      <c r="O10" s="23"/>
      <c r="P10" s="58" t="str">
        <f t="shared" si="0"/>
        <v>TKCT</v>
      </c>
      <c r="Q10" s="58" t="str">
        <f t="shared" si="1"/>
        <v>TKCT</v>
      </c>
      <c r="R10" s="58"/>
      <c r="S10" s="58"/>
    </row>
    <row r="11" spans="1:19" x14ac:dyDescent="0.3">
      <c r="A11" s="63">
        <v>45296</v>
      </c>
      <c r="B11" s="23" t="s">
        <v>40</v>
      </c>
      <c r="C11" s="23" t="s">
        <v>42</v>
      </c>
      <c r="D11" s="7" t="s">
        <v>43</v>
      </c>
      <c r="E11" s="7" t="s">
        <v>26</v>
      </c>
      <c r="F11" s="59"/>
      <c r="G11" s="59"/>
      <c r="H11" s="59">
        <v>1000000</v>
      </c>
      <c r="I11" s="59"/>
      <c r="J11" s="23" t="str">
        <f>IF(ISNA(VLOOKUP(D11,DMTK!$B$5:$B$263,1,0)),"Sai","Đúng")</f>
        <v>Đúng</v>
      </c>
      <c r="K11" s="23" t="str">
        <f>IF(ISNA(VLOOKUP(E11,DMTK!$B$5:$B$263,1,0)),"Sai","Đúng")</f>
        <v>Đúng</v>
      </c>
      <c r="L11" s="23" t="str">
        <f>VLOOKUP(D11,DMTK!$B$5:$D$263,3,0)</f>
        <v>Chi phí bằng tiền khác</v>
      </c>
      <c r="M11" s="23" t="str">
        <f>VLOOKUP(E11,DMTK!$B$5:$D$263,3,0)</f>
        <v>Tiền Việt Nam</v>
      </c>
      <c r="N11" s="75" t="str">
        <f>IF(OR(LEFT($D11,3)="111",AND(LEFT(CT!$D11,3)="131",LEFT(CT!$E11,3)="511"),LEFT(CT!$E11,3)="111",LEFT(CT!$E11,3)="331"),"No","Yes")</f>
        <v>No</v>
      </c>
      <c r="O11" s="23"/>
      <c r="P11" s="58" t="str">
        <f t="shared" si="0"/>
        <v>TKCT</v>
      </c>
      <c r="Q11" s="58" t="str">
        <f t="shared" si="1"/>
        <v>TKCT</v>
      </c>
      <c r="R11" s="58"/>
      <c r="S11" s="58"/>
    </row>
    <row r="12" spans="1:19" x14ac:dyDescent="0.3">
      <c r="A12" s="63">
        <v>45301</v>
      </c>
      <c r="B12" s="23" t="s">
        <v>44</v>
      </c>
      <c r="C12" s="23" t="s">
        <v>45</v>
      </c>
      <c r="D12" s="7" t="s">
        <v>36</v>
      </c>
      <c r="E12" s="7" t="s">
        <v>46</v>
      </c>
      <c r="F12" s="59"/>
      <c r="G12" s="59"/>
      <c r="H12" s="59">
        <f>5%*(H10+H11)</f>
        <v>55000</v>
      </c>
      <c r="I12" s="59"/>
      <c r="J12" s="23" t="str">
        <f>IF(ISNA(VLOOKUP(D12,DMTK!$B$5:$B$263,1,0)),"Sai","Đúng")</f>
        <v>Đúng</v>
      </c>
      <c r="K12" s="23" t="str">
        <f>IF(ISNA(VLOOKUP(E12,DMTK!$B$5:$B$263,1,0)),"Sai","Đúng")</f>
        <v>Đúng</v>
      </c>
      <c r="L12" s="23" t="str">
        <f>VLOOKUP(D12,DMTK!$B$5:$D$263,3,0)</f>
        <v>Thuế GTGT được khấu trừ của hàng hóa, dịch vụ</v>
      </c>
      <c r="M12" s="23" t="str">
        <f>VLOOKUP(E12,DMTK!$B$5:$D$263,3,0)</f>
        <v>Cty CP Mai Lan</v>
      </c>
      <c r="N12" s="75" t="str">
        <f>IF(OR(LEFT($D12,3)="111",AND(LEFT(CT!$D12,3)="131",LEFT(CT!$E12,3)="511"),LEFT(CT!$E12,3)="111",LEFT(CT!$E12,3)="331"),"No","Yes")</f>
        <v>No</v>
      </c>
      <c r="O12" s="23"/>
      <c r="P12" s="58" t="str">
        <f t="shared" si="0"/>
        <v>TKCT</v>
      </c>
      <c r="Q12" s="58" t="str">
        <f t="shared" si="1"/>
        <v>TKCT</v>
      </c>
      <c r="R12" s="58"/>
      <c r="S12" s="58"/>
    </row>
    <row r="13" spans="1:19" x14ac:dyDescent="0.3">
      <c r="A13" s="63">
        <v>45301</v>
      </c>
      <c r="B13" s="23" t="s">
        <v>44</v>
      </c>
      <c r="C13" s="23" t="s">
        <v>47</v>
      </c>
      <c r="D13" s="24" t="s">
        <v>48</v>
      </c>
      <c r="E13" s="7" t="s">
        <v>46</v>
      </c>
      <c r="F13" s="59">
        <v>100</v>
      </c>
      <c r="G13" s="59">
        <v>15000</v>
      </c>
      <c r="H13" s="59">
        <f>F13*G13</f>
        <v>1500000</v>
      </c>
      <c r="I13" s="59"/>
      <c r="J13" s="23" t="str">
        <f>IF(ISNA(VLOOKUP(D13,DMTK!$B$5:$B$263,1,0)),"Sai","Đúng")</f>
        <v>Đúng</v>
      </c>
      <c r="K13" s="23" t="str">
        <f>IF(ISNA(VLOOKUP(E13,DMTK!$B$5:$B$263,1,0)),"Sai","Đúng")</f>
        <v>Đúng</v>
      </c>
      <c r="L13" s="23" t="str">
        <f>VLOOKUP(D13,DMTK!$B$5:$D$263,3,0)</f>
        <v>Dầu thông</v>
      </c>
      <c r="M13" s="23" t="str">
        <f>VLOOKUP(E13,DMTK!$B$5:$D$263,3,0)</f>
        <v>Cty CP Mai Lan</v>
      </c>
      <c r="N13" s="75" t="str">
        <f>IF(OR(LEFT($D13,3)="111",AND(LEFT(CT!$D13,3)="131",LEFT(CT!$E13,3)="511"),LEFT(CT!$E13,3)="111",LEFT(CT!$E13,3)="331"),"No","Yes")</f>
        <v>No</v>
      </c>
      <c r="O13" s="23"/>
      <c r="P13" s="58" t="str">
        <f t="shared" si="0"/>
        <v>TKCT</v>
      </c>
      <c r="Q13" s="58" t="str">
        <f t="shared" si="1"/>
        <v>TKCT</v>
      </c>
      <c r="R13" s="58"/>
      <c r="S13" s="58"/>
    </row>
    <row r="14" spans="1:19" x14ac:dyDescent="0.3">
      <c r="A14" s="63">
        <v>45301</v>
      </c>
      <c r="B14" s="23" t="s">
        <v>44</v>
      </c>
      <c r="C14" s="23" t="s">
        <v>49</v>
      </c>
      <c r="D14" s="7" t="s">
        <v>50</v>
      </c>
      <c r="E14" s="7" t="s">
        <v>46</v>
      </c>
      <c r="F14" s="59">
        <v>200</v>
      </c>
      <c r="G14" s="59">
        <v>16000</v>
      </c>
      <c r="H14" s="59">
        <f>F14*G14</f>
        <v>3200000</v>
      </c>
      <c r="I14" s="59"/>
      <c r="J14" s="23" t="str">
        <f>IF(ISNA(VLOOKUP(D14,DMTK!$B$5:$B$263,1,0)),"Sai","Đúng")</f>
        <v>Đúng</v>
      </c>
      <c r="K14" s="23" t="str">
        <f>IF(ISNA(VLOOKUP(E14,DMTK!$B$5:$B$263,1,0)),"Sai","Đúng")</f>
        <v>Đúng</v>
      </c>
      <c r="L14" s="23" t="str">
        <f>VLOOKUP(D14,DMTK!$B$5:$D$263,3,0)</f>
        <v>AC chuối</v>
      </c>
      <c r="M14" s="23" t="str">
        <f>VLOOKUP(E14,DMTK!$B$5:$D$263,3,0)</f>
        <v>Cty CP Mai Lan</v>
      </c>
      <c r="N14" s="75" t="str">
        <f>IF(OR(LEFT($D14,3)="111",AND(LEFT(CT!$D14,3)="131",LEFT(CT!$E14,3)="511"),LEFT(CT!$E14,3)="111",LEFT(CT!$E14,3)="331"),"No","Yes")</f>
        <v>No</v>
      </c>
      <c r="O14" s="23"/>
      <c r="P14" s="58" t="str">
        <f t="shared" si="0"/>
        <v>TKCT</v>
      </c>
      <c r="Q14" s="58" t="str">
        <f t="shared" si="1"/>
        <v>TKCT</v>
      </c>
      <c r="R14" s="58"/>
      <c r="S14" s="58"/>
    </row>
    <row r="15" spans="1:19" x14ac:dyDescent="0.3">
      <c r="A15" s="63">
        <v>45302</v>
      </c>
      <c r="B15" s="23" t="s">
        <v>51</v>
      </c>
      <c r="C15" s="23" t="s">
        <v>52</v>
      </c>
      <c r="D15" s="7" t="s">
        <v>36</v>
      </c>
      <c r="E15" s="7" t="s">
        <v>53</v>
      </c>
      <c r="F15" s="59"/>
      <c r="G15" s="59"/>
      <c r="H15" s="59">
        <v>500000</v>
      </c>
      <c r="I15" s="59"/>
      <c r="J15" s="23" t="str">
        <f>IF(ISNA(VLOOKUP(D15,DMTK!$B$5:$B$263,1,0)),"Sai","Đúng")</f>
        <v>Đúng</v>
      </c>
      <c r="K15" s="23" t="str">
        <f>IF(ISNA(VLOOKUP(E15,DMTK!$B$5:$B$263,1,0)),"Sai","Đúng")</f>
        <v>Đúng</v>
      </c>
      <c r="L15" s="23" t="str">
        <f>VLOOKUP(D15,DMTK!$B$5:$D$263,3,0)</f>
        <v>Thuế GTGT được khấu trừ của hàng hóa, dịch vụ</v>
      </c>
      <c r="M15" s="23" t="str">
        <f>VLOOKUP(E15,DMTK!$B$5:$D$263,3,0)</f>
        <v>Cty TNHH Minh Gia Phát</v>
      </c>
      <c r="N15" s="75" t="str">
        <f>IF(OR(LEFT($D15,3)="111",AND(LEFT(CT!$D15,3)="131",LEFT(CT!$E15,3)="511"),LEFT(CT!$E15,3)="111",LEFT(CT!$E15,3)="331"),"No","Yes")</f>
        <v>No</v>
      </c>
      <c r="O15" s="23"/>
      <c r="P15" s="58" t="str">
        <f t="shared" si="0"/>
        <v>TKCT</v>
      </c>
      <c r="Q15" s="58" t="str">
        <f t="shared" si="1"/>
        <v>TKCT</v>
      </c>
      <c r="R15" s="58"/>
      <c r="S15" s="58"/>
    </row>
    <row r="16" spans="1:19" x14ac:dyDescent="0.3">
      <c r="A16" s="63">
        <v>45302</v>
      </c>
      <c r="B16" s="23" t="s">
        <v>51</v>
      </c>
      <c r="C16" s="23" t="s">
        <v>54</v>
      </c>
      <c r="D16" s="7" t="s">
        <v>55</v>
      </c>
      <c r="E16" s="7" t="s">
        <v>53</v>
      </c>
      <c r="F16" s="59">
        <v>200</v>
      </c>
      <c r="G16" s="59">
        <v>25000</v>
      </c>
      <c r="H16" s="59">
        <v>5000000</v>
      </c>
      <c r="I16" s="59"/>
      <c r="J16" s="23" t="str">
        <f>IF(ISNA(VLOOKUP(D16,DMTK!$B$5:$B$263,1,0)),"Sai","Đúng")</f>
        <v>Đúng</v>
      </c>
      <c r="K16" s="23" t="str">
        <f>IF(ISNA(VLOOKUP(E16,DMTK!$B$5:$B$263,1,0)),"Sai","Đúng")</f>
        <v>Đúng</v>
      </c>
      <c r="L16" s="23" t="str">
        <f>VLOOKUP(D16,DMTK!$B$5:$D$263,3,0)</f>
        <v>Keo AB</v>
      </c>
      <c r="M16" s="23" t="str">
        <f>VLOOKUP(E16,DMTK!$B$5:$D$263,3,0)</f>
        <v>Cty TNHH Minh Gia Phát</v>
      </c>
      <c r="N16" s="75" t="str">
        <f>IF(OR(LEFT($D16,3)="111",AND(LEFT(CT!$D16,3)="131",LEFT(CT!$E16,3)="511"),LEFT(CT!$E16,3)="111",LEFT(CT!$E16,3)="331"),"No","Yes")</f>
        <v>No</v>
      </c>
      <c r="O16" s="23"/>
      <c r="P16" s="58" t="str">
        <f t="shared" si="0"/>
        <v>TKCT</v>
      </c>
      <c r="Q16" s="58" t="str">
        <f t="shared" si="1"/>
        <v>TKCT</v>
      </c>
      <c r="R16" s="58"/>
      <c r="S16" s="58"/>
    </row>
    <row r="17" spans="1:19" x14ac:dyDescent="0.3">
      <c r="A17" s="63">
        <v>45306</v>
      </c>
      <c r="B17" s="23" t="s">
        <v>56</v>
      </c>
      <c r="C17" s="23" t="s">
        <v>57</v>
      </c>
      <c r="D17" s="7" t="s">
        <v>58</v>
      </c>
      <c r="E17" s="7" t="s">
        <v>59</v>
      </c>
      <c r="F17" s="59">
        <v>10</v>
      </c>
      <c r="G17" s="59">
        <v>48000</v>
      </c>
      <c r="H17" s="59">
        <f>F17*G17</f>
        <v>480000</v>
      </c>
      <c r="I17" s="59"/>
      <c r="J17" s="23" t="str">
        <f>IF(ISNA(VLOOKUP(D17,DMTK!$B$5:$B$263,1,0)),"Sai","Đúng")</f>
        <v>Đúng</v>
      </c>
      <c r="K17" s="23" t="str">
        <f>IF(ISNA(VLOOKUP(E17,DMTK!$B$5:$B$263,1,0)),"Sai","Đúng")</f>
        <v>Đúng</v>
      </c>
      <c r="L17" s="23" t="str">
        <f>VLOOKUP(D17,DMTK!$B$5:$D$263,3,0)</f>
        <v>CFNVL Ghế tay vịn</v>
      </c>
      <c r="M17" s="23" t="str">
        <f>VLOOKUP(E17,DMTK!$B$5:$D$263,3,0)</f>
        <v>Keo ghép</v>
      </c>
      <c r="N17" s="75" t="str">
        <f>IF(OR(LEFT($D17,3)="111",AND(LEFT(CT!$D17,3)="131",LEFT(CT!$E17,3)="511"),LEFT(CT!$E17,3)="111",LEFT(CT!$E17,3)="331"),"No","Yes")</f>
        <v>Yes</v>
      </c>
      <c r="O17" s="23"/>
      <c r="P17" s="58" t="str">
        <f t="shared" si="0"/>
        <v>TKCT</v>
      </c>
      <c r="Q17" s="58" t="str">
        <f t="shared" si="1"/>
        <v>TKCT</v>
      </c>
      <c r="R17" s="58"/>
      <c r="S17" s="58"/>
    </row>
    <row r="18" spans="1:19" x14ac:dyDescent="0.3">
      <c r="A18" s="63">
        <v>45306</v>
      </c>
      <c r="B18" s="23" t="s">
        <v>60</v>
      </c>
      <c r="C18" s="23" t="s">
        <v>61</v>
      </c>
      <c r="D18" s="7" t="s">
        <v>62</v>
      </c>
      <c r="E18" s="7" t="s">
        <v>26</v>
      </c>
      <c r="F18" s="59"/>
      <c r="G18" s="59"/>
      <c r="H18" s="59">
        <v>5000000</v>
      </c>
      <c r="I18" s="59"/>
      <c r="J18" s="23" t="str">
        <f>IF(ISNA(VLOOKUP(D18,DMTK!$B$5:$B$263,1,0)),"Sai","Đúng")</f>
        <v>Đúng</v>
      </c>
      <c r="K18" s="23" t="str">
        <f>IF(ISNA(VLOOKUP(E18,DMTK!$B$5:$B$263,1,0)),"Sai","Đúng")</f>
        <v>Đúng</v>
      </c>
      <c r="L18" s="23" t="str">
        <f>VLOOKUP(D18,DMTK!$B$5:$D$263,3,0)</f>
        <v>Lương NV bán hàng</v>
      </c>
      <c r="M18" s="23" t="str">
        <f>VLOOKUP(E18,DMTK!$B$5:$D$263,3,0)</f>
        <v>Tiền Việt Nam</v>
      </c>
      <c r="N18" s="75" t="str">
        <f>IF(OR(LEFT($D18,3)="111",AND(LEFT(CT!$D18,3)="131",LEFT(CT!$E18,3)="511"),LEFT(CT!$E18,3)="111",LEFT(CT!$E18,3)="331"),"No","Yes")</f>
        <v>No</v>
      </c>
      <c r="O18" s="23"/>
      <c r="P18" s="58" t="str">
        <f t="shared" si="0"/>
        <v>TKCT</v>
      </c>
      <c r="Q18" s="58" t="str">
        <f t="shared" si="1"/>
        <v>TKCT</v>
      </c>
      <c r="R18" s="58"/>
      <c r="S18" s="58"/>
    </row>
    <row r="19" spans="1:19" x14ac:dyDescent="0.3">
      <c r="A19" s="63">
        <v>45306</v>
      </c>
      <c r="B19" s="23" t="s">
        <v>60</v>
      </c>
      <c r="C19" s="23" t="s">
        <v>63</v>
      </c>
      <c r="D19" s="7" t="s">
        <v>64</v>
      </c>
      <c r="E19" s="7" t="s">
        <v>26</v>
      </c>
      <c r="F19" s="59"/>
      <c r="G19" s="59"/>
      <c r="H19" s="59">
        <v>7000000</v>
      </c>
      <c r="I19" s="59"/>
      <c r="J19" s="23" t="str">
        <f>IF(ISNA(VLOOKUP(D19,DMTK!$B$5:$B$263,1,0)),"Sai","Đúng")</f>
        <v>Đúng</v>
      </c>
      <c r="K19" s="23" t="str">
        <f>IF(ISNA(VLOOKUP(E19,DMTK!$B$5:$B$263,1,0)),"Sai","Đúng")</f>
        <v>Đúng</v>
      </c>
      <c r="L19" s="23" t="str">
        <f>VLOOKUP(D19,DMTK!$B$5:$D$263,3,0)</f>
        <v>Lương CB QLDN</v>
      </c>
      <c r="M19" s="23" t="str">
        <f>VLOOKUP(E19,DMTK!$B$5:$D$263,3,0)</f>
        <v>Tiền Việt Nam</v>
      </c>
      <c r="N19" s="75" t="str">
        <f>IF(OR(LEFT($D19,3)="111",AND(LEFT(CT!$D19,3)="131",LEFT(CT!$E19,3)="511"),LEFT(CT!$E19,3)="111",LEFT(CT!$E19,3)="331"),"No","Yes")</f>
        <v>No</v>
      </c>
      <c r="O19" s="23"/>
      <c r="P19" s="58" t="str">
        <f t="shared" si="0"/>
        <v>TKCT</v>
      </c>
      <c r="Q19" s="58" t="str">
        <f t="shared" si="1"/>
        <v>TKCT</v>
      </c>
      <c r="R19" s="58"/>
      <c r="S19" s="58"/>
    </row>
    <row r="20" spans="1:19" x14ac:dyDescent="0.3">
      <c r="A20" s="63">
        <v>45306</v>
      </c>
      <c r="B20" s="23" t="s">
        <v>56</v>
      </c>
      <c r="C20" s="23" t="s">
        <v>65</v>
      </c>
      <c r="D20" s="7" t="s">
        <v>58</v>
      </c>
      <c r="E20" s="7" t="s">
        <v>66</v>
      </c>
      <c r="F20" s="59">
        <v>4</v>
      </c>
      <c r="G20" s="59">
        <v>3300000</v>
      </c>
      <c r="H20" s="59">
        <f>F20*G20</f>
        <v>13200000</v>
      </c>
      <c r="I20" s="59"/>
      <c r="J20" s="23" t="str">
        <f>IF(ISNA(VLOOKUP(D20,DMTK!$B$5:$B$263,1,0)),"Sai","Đúng")</f>
        <v>Đúng</v>
      </c>
      <c r="K20" s="23" t="str">
        <f>IF(ISNA(VLOOKUP(E20,DMTK!$B$5:$B$263,1,0)),"Sai","Đúng")</f>
        <v>Đúng</v>
      </c>
      <c r="L20" s="23" t="str">
        <f>VLOOKUP(D20,DMTK!$B$5:$D$263,3,0)</f>
        <v>CFNVL Ghế tay vịn</v>
      </c>
      <c r="M20" s="23" t="str">
        <f>VLOOKUP(E20,DMTK!$B$5:$D$263,3,0)</f>
        <v>Gỗ cao su</v>
      </c>
      <c r="N20" s="75" t="str">
        <f>IF(OR(LEFT($D20,3)="111",AND(LEFT(CT!$D20,3)="131",LEFT(CT!$E20,3)="511"),LEFT(CT!$E20,3)="111",LEFT(CT!$E20,3)="331"),"No","Yes")</f>
        <v>Yes</v>
      </c>
      <c r="O20" s="23"/>
      <c r="P20" s="58" t="str">
        <f t="shared" si="0"/>
        <v>TKCT</v>
      </c>
      <c r="Q20" s="58" t="str">
        <f t="shared" si="1"/>
        <v>TKCT</v>
      </c>
      <c r="R20" s="58"/>
      <c r="S20" s="58"/>
    </row>
    <row r="21" spans="1:19" x14ac:dyDescent="0.3">
      <c r="A21" s="63">
        <v>45306</v>
      </c>
      <c r="B21" s="23" t="s">
        <v>67</v>
      </c>
      <c r="C21" s="23" t="s">
        <v>68</v>
      </c>
      <c r="D21" s="7" t="s">
        <v>69</v>
      </c>
      <c r="E21" s="7" t="s">
        <v>70</v>
      </c>
      <c r="F21" s="59"/>
      <c r="G21" s="59"/>
      <c r="H21" s="59">
        <v>30000000</v>
      </c>
      <c r="I21" s="59"/>
      <c r="J21" s="23" t="str">
        <f>IF(ISNA(VLOOKUP(D21,DMTK!$B$5:$B$263,1,0)),"Sai","Đúng")</f>
        <v>Đúng</v>
      </c>
      <c r="K21" s="23" t="str">
        <f>IF(ISNA(VLOOKUP(E21,DMTK!$B$5:$B$263,1,0)),"Sai","Đúng")</f>
        <v>Đúng</v>
      </c>
      <c r="L21" s="23" t="str">
        <f>VLOOKUP(D21,DMTK!$B$5:$D$263,3,0)</f>
        <v>Tiền Việt Nam NH Đông Á</v>
      </c>
      <c r="M21" s="23" t="str">
        <f>VLOOKUP(E21,DMTK!$B$5:$D$263,3,0)</f>
        <v>Cty TNHH TMDV Mai Anh (ngắn hạn)</v>
      </c>
      <c r="N21" s="75" t="str">
        <f>IF(OR(LEFT($D21,3)="111",AND(LEFT(CT!$D21,3)="131",LEFT(CT!$E21,3)="511"),LEFT(CT!$E21,3)="111",LEFT(CT!$E21,3)="331"),"No","Yes")</f>
        <v>Yes</v>
      </c>
      <c r="O21" s="23"/>
      <c r="P21" s="58" t="str">
        <f t="shared" si="0"/>
        <v>TKCT</v>
      </c>
      <c r="Q21" s="58" t="str">
        <f t="shared" si="1"/>
        <v>TKCT</v>
      </c>
      <c r="R21" s="58"/>
      <c r="S21" s="58"/>
    </row>
    <row r="22" spans="1:19" x14ac:dyDescent="0.3">
      <c r="A22" s="63">
        <v>45306</v>
      </c>
      <c r="B22" s="23" t="s">
        <v>60</v>
      </c>
      <c r="C22" s="23" t="s">
        <v>71</v>
      </c>
      <c r="D22" s="7" t="s">
        <v>72</v>
      </c>
      <c r="E22" s="7" t="s">
        <v>26</v>
      </c>
      <c r="F22" s="59"/>
      <c r="G22" s="59"/>
      <c r="H22" s="59">
        <v>35000000</v>
      </c>
      <c r="I22" s="59"/>
      <c r="J22" s="23" t="str">
        <f>IF(ISNA(VLOOKUP(D22,DMTK!$B$5:$B$263,1,0)),"Sai","Đúng")</f>
        <v>Đúng</v>
      </c>
      <c r="K22" s="23" t="str">
        <f>IF(ISNA(VLOOKUP(E22,DMTK!$B$5:$B$263,1,0)),"Sai","Đúng")</f>
        <v>Đúng</v>
      </c>
      <c r="L22" s="23" t="str">
        <f>VLOOKUP(D22,DMTK!$B$5:$D$263,3,0)</f>
        <v>Lương NV QLPX</v>
      </c>
      <c r="M22" s="23" t="str">
        <f>VLOOKUP(E22,DMTK!$B$5:$D$263,3,0)</f>
        <v>Tiền Việt Nam</v>
      </c>
      <c r="N22" s="75" t="str">
        <f>IF(OR(LEFT($D22,3)="111",AND(LEFT(CT!$D22,3)="131",LEFT(CT!$E22,3)="511"),LEFT(CT!$E22,3)="111",LEFT(CT!$E22,3)="331"),"No","Yes")</f>
        <v>No</v>
      </c>
      <c r="O22" s="23"/>
      <c r="P22" s="58" t="str">
        <f t="shared" si="0"/>
        <v>TKCT</v>
      </c>
      <c r="Q22" s="58" t="str">
        <f t="shared" si="1"/>
        <v>TKCT</v>
      </c>
      <c r="R22" s="58"/>
      <c r="S22" s="58"/>
    </row>
    <row r="23" spans="1:19" x14ac:dyDescent="0.3">
      <c r="A23" s="63">
        <v>45306</v>
      </c>
      <c r="B23" s="23" t="s">
        <v>60</v>
      </c>
      <c r="C23" s="23" t="s">
        <v>73</v>
      </c>
      <c r="D23" s="7" t="s">
        <v>74</v>
      </c>
      <c r="E23" s="7" t="s">
        <v>26</v>
      </c>
      <c r="F23" s="59"/>
      <c r="G23" s="59"/>
      <c r="H23" s="59">
        <v>40000000</v>
      </c>
      <c r="I23" s="59"/>
      <c r="J23" s="23" t="str">
        <f>IF(ISNA(VLOOKUP(D23,DMTK!$B$5:$B$263,1,0)),"Sai","Đúng")</f>
        <v>Đúng</v>
      </c>
      <c r="K23" s="23" t="str">
        <f>IF(ISNA(VLOOKUP(E23,DMTK!$B$5:$B$263,1,0)),"Sai","Đúng")</f>
        <v>Đúng</v>
      </c>
      <c r="L23" s="23" t="str">
        <f>VLOOKUP(D23,DMTK!$B$5:$D$263,3,0)</f>
        <v>Lương CNSX Ghế tay vịn</v>
      </c>
      <c r="M23" s="23" t="str">
        <f>VLOOKUP(E23,DMTK!$B$5:$D$263,3,0)</f>
        <v>Tiền Việt Nam</v>
      </c>
      <c r="N23" s="75" t="str">
        <f>IF(OR(LEFT($D23,3)="111",AND(LEFT(CT!$D23,3)="131",LEFT(CT!$E23,3)="511"),LEFT(CT!$E23,3)="111",LEFT(CT!$E23,3)="331"),"No","Yes")</f>
        <v>No</v>
      </c>
      <c r="O23" s="23"/>
      <c r="P23" s="58" t="str">
        <f t="shared" si="0"/>
        <v>TKCT</v>
      </c>
      <c r="Q23" s="58" t="str">
        <f t="shared" si="1"/>
        <v>TKCT</v>
      </c>
      <c r="R23" s="58"/>
      <c r="S23" s="58"/>
    </row>
    <row r="24" spans="1:19" x14ac:dyDescent="0.3">
      <c r="A24" s="63">
        <v>45306</v>
      </c>
      <c r="B24" s="23" t="s">
        <v>60</v>
      </c>
      <c r="C24" s="23" t="s">
        <v>75</v>
      </c>
      <c r="D24" s="7" t="s">
        <v>76</v>
      </c>
      <c r="E24" s="7" t="s">
        <v>26</v>
      </c>
      <c r="F24" s="59"/>
      <c r="G24" s="59"/>
      <c r="H24" s="59">
        <v>40000000</v>
      </c>
      <c r="I24" s="59"/>
      <c r="J24" s="23" t="str">
        <f>IF(ISNA(VLOOKUP(D24,DMTK!$B$5:$B$263,1,0)),"Sai","Đúng")</f>
        <v>Đúng</v>
      </c>
      <c r="K24" s="23" t="str">
        <f>IF(ISNA(VLOOKUP(E24,DMTK!$B$5:$B$263,1,0)),"Sai","Đúng")</f>
        <v>Đúng</v>
      </c>
      <c r="L24" s="23" t="str">
        <f>VLOOKUP(D24,DMTK!$B$5:$D$263,3,0)</f>
        <v>Lương CNSX Ghế không tay</v>
      </c>
      <c r="M24" s="23" t="str">
        <f>VLOOKUP(E24,DMTK!$B$5:$D$263,3,0)</f>
        <v>Tiền Việt Nam</v>
      </c>
      <c r="N24" s="75" t="str">
        <f>IF(OR(LEFT($D24,3)="111",AND(LEFT(CT!$D24,3)="131",LEFT(CT!$E24,3)="511"),LEFT(CT!$E24,3)="111",LEFT(CT!$E24,3)="331"),"No","Yes")</f>
        <v>No</v>
      </c>
      <c r="O24" s="23"/>
      <c r="P24" s="58" t="str">
        <f t="shared" si="0"/>
        <v>TKCT</v>
      </c>
      <c r="Q24" s="58" t="str">
        <f t="shared" si="1"/>
        <v>TKCT</v>
      </c>
      <c r="R24" s="58"/>
      <c r="S24" s="58"/>
    </row>
    <row r="25" spans="1:19" x14ac:dyDescent="0.3">
      <c r="A25" s="63">
        <v>45306</v>
      </c>
      <c r="B25" s="23" t="s">
        <v>60</v>
      </c>
      <c r="C25" s="23" t="s">
        <v>73</v>
      </c>
      <c r="D25" s="7" t="s">
        <v>77</v>
      </c>
      <c r="E25" s="7" t="s">
        <v>26</v>
      </c>
      <c r="F25" s="59"/>
      <c r="G25" s="59"/>
      <c r="H25" s="59">
        <v>40000000</v>
      </c>
      <c r="I25" s="59"/>
      <c r="J25" s="23" t="str">
        <f>IF(ISNA(VLOOKUP(D25,DMTK!$B$5:$B$263,1,0)),"Sai","Đúng")</f>
        <v>Đúng</v>
      </c>
      <c r="K25" s="23" t="str">
        <f>IF(ISNA(VLOOKUP(E25,DMTK!$B$5:$B$263,1,0)),"Sai","Đúng")</f>
        <v>Đúng</v>
      </c>
      <c r="L25" s="23" t="str">
        <f>VLOOKUP(D25,DMTK!$B$5:$D$263,3,0)</f>
        <v>Lương CNSX Bàn tròn</v>
      </c>
      <c r="M25" s="23" t="str">
        <f>VLOOKUP(E25,DMTK!$B$5:$D$263,3,0)</f>
        <v>Tiền Việt Nam</v>
      </c>
      <c r="N25" s="75" t="str">
        <f>IF(OR(LEFT($D25,3)="111",AND(LEFT(CT!$D25,3)="131",LEFT(CT!$E25,3)="511"),LEFT(CT!$E25,3)="111",LEFT(CT!$E25,3)="331"),"No","Yes")</f>
        <v>No</v>
      </c>
      <c r="O25" s="23"/>
      <c r="P25" s="58" t="str">
        <f t="shared" si="0"/>
        <v>TKCT</v>
      </c>
      <c r="Q25" s="58" t="str">
        <f t="shared" si="1"/>
        <v>TKCT</v>
      </c>
      <c r="R25" s="58"/>
      <c r="S25" s="58"/>
    </row>
    <row r="26" spans="1:19" x14ac:dyDescent="0.3">
      <c r="A26" s="63">
        <v>45306</v>
      </c>
      <c r="B26" s="23" t="s">
        <v>60</v>
      </c>
      <c r="C26" s="23" t="s">
        <v>78</v>
      </c>
      <c r="D26" s="7" t="s">
        <v>79</v>
      </c>
      <c r="E26" s="7" t="s">
        <v>26</v>
      </c>
      <c r="F26" s="59"/>
      <c r="G26" s="59"/>
      <c r="H26" s="59">
        <v>40000000</v>
      </c>
      <c r="I26" s="59"/>
      <c r="J26" s="23" t="str">
        <f>IF(ISNA(VLOOKUP(D26,DMTK!$B$5:$B$263,1,0)),"Sai","Đúng")</f>
        <v>Đúng</v>
      </c>
      <c r="K26" s="23" t="str">
        <f>IF(ISNA(VLOOKUP(E26,DMTK!$B$5:$B$263,1,0)),"Sai","Đúng")</f>
        <v>Đúng</v>
      </c>
      <c r="L26" s="23" t="str">
        <f>VLOOKUP(D26,DMTK!$B$5:$D$263,3,0)</f>
        <v>Lương CNSX Bàn oval</v>
      </c>
      <c r="M26" s="23" t="str">
        <f>VLOOKUP(E26,DMTK!$B$5:$D$263,3,0)</f>
        <v>Tiền Việt Nam</v>
      </c>
      <c r="N26" s="75" t="str">
        <f>IF(OR(LEFT($D26,3)="111",AND(LEFT(CT!$D26,3)="131",LEFT(CT!$E26,3)="511"),LEFT(CT!$E26,3)="111",LEFT(CT!$E26,3)="331"),"No","Yes")</f>
        <v>No</v>
      </c>
      <c r="O26" s="23"/>
      <c r="P26" s="58" t="str">
        <f t="shared" si="0"/>
        <v>TKCT</v>
      </c>
      <c r="Q26" s="58" t="str">
        <f t="shared" si="1"/>
        <v>TKCT</v>
      </c>
      <c r="R26" s="58"/>
      <c r="S26" s="58"/>
    </row>
    <row r="27" spans="1:19" x14ac:dyDescent="0.3">
      <c r="A27" s="63">
        <v>45306</v>
      </c>
      <c r="B27" s="23" t="s">
        <v>60</v>
      </c>
      <c r="C27" s="23" t="s">
        <v>80</v>
      </c>
      <c r="D27" s="7" t="s">
        <v>81</v>
      </c>
      <c r="E27" s="7" t="s">
        <v>26</v>
      </c>
      <c r="F27" s="59"/>
      <c r="G27" s="59"/>
      <c r="H27" s="59">
        <v>40000000</v>
      </c>
      <c r="I27" s="59"/>
      <c r="J27" s="23" t="str">
        <f>IF(ISNA(VLOOKUP(D27,DMTK!$B$5:$B$263,1,0)),"Sai","Đúng")</f>
        <v>Đúng</v>
      </c>
      <c r="K27" s="23" t="str">
        <f>IF(ISNA(VLOOKUP(E27,DMTK!$B$5:$B$263,1,0)),"Sai","Đúng")</f>
        <v>Đúng</v>
      </c>
      <c r="L27" s="23" t="str">
        <f>VLOOKUP(D27,DMTK!$B$5:$D$263,3,0)</f>
        <v>Lương CNSX Bàn chữ nhật</v>
      </c>
      <c r="M27" s="23" t="str">
        <f>VLOOKUP(E27,DMTK!$B$5:$D$263,3,0)</f>
        <v>Tiền Việt Nam</v>
      </c>
      <c r="N27" s="75" t="str">
        <f>IF(OR(LEFT($D27,3)="111",AND(LEFT(CT!$D27,3)="131",LEFT(CT!$E27,3)="511"),LEFT(CT!$E27,3)="111",LEFT(CT!$E27,3)="331"),"No","Yes")</f>
        <v>No</v>
      </c>
      <c r="O27" s="23"/>
      <c r="P27" s="58" t="str">
        <f t="shared" si="0"/>
        <v>TKCT</v>
      </c>
      <c r="Q27" s="58" t="str">
        <f t="shared" si="1"/>
        <v>TKCT</v>
      </c>
      <c r="R27" s="58"/>
      <c r="S27" s="58"/>
    </row>
    <row r="28" spans="1:19" x14ac:dyDescent="0.3">
      <c r="A28" s="63">
        <v>45307</v>
      </c>
      <c r="B28" s="23" t="s">
        <v>82</v>
      </c>
      <c r="C28" s="23" t="s">
        <v>83</v>
      </c>
      <c r="D28" s="24" t="s">
        <v>46</v>
      </c>
      <c r="E28" s="24" t="s">
        <v>84</v>
      </c>
      <c r="F28" s="59"/>
      <c r="G28" s="59"/>
      <c r="H28" s="59">
        <v>40000000</v>
      </c>
      <c r="I28" s="59"/>
      <c r="J28" s="23" t="str">
        <f>IF(ISNA(VLOOKUP(D28,DMTK!$B$5:$B$263,1,0)),"Sai","Đúng")</f>
        <v>Đúng</v>
      </c>
      <c r="K28" s="23" t="str">
        <f>IF(ISNA(VLOOKUP(E28,DMTK!$B$5:$B$263,1,0)),"Sai","Đúng")</f>
        <v>Đúng</v>
      </c>
      <c r="L28" s="23" t="str">
        <f>VLOOKUP(D28,DMTK!$B$5:$D$263,3,0)</f>
        <v>Cty CP Mai Lan</v>
      </c>
      <c r="M28" s="23" t="str">
        <f>VLOOKUP(E28,DMTK!$B$5:$D$263,3,0)</f>
        <v>Tiền Việt Nam NH Ngoại Thương</v>
      </c>
      <c r="N28" s="75" t="str">
        <f>IF(OR(LEFT($D28,3)="111",AND(LEFT(CT!$D28,3)="131",LEFT(CT!$E28,3)="511"),LEFT(CT!$E28,3)="111",LEFT(CT!$E28,3)="331"),"No","Yes")</f>
        <v>Yes</v>
      </c>
      <c r="O28" s="23"/>
      <c r="P28" s="58" t="str">
        <f t="shared" si="0"/>
        <v>TKCT</v>
      </c>
      <c r="Q28" s="58" t="str">
        <f t="shared" si="1"/>
        <v>TKCT</v>
      </c>
      <c r="R28" s="58"/>
      <c r="S28" s="58"/>
    </row>
    <row r="29" spans="1:19" x14ac:dyDescent="0.3">
      <c r="A29" s="63">
        <v>45307</v>
      </c>
      <c r="B29" s="23" t="s">
        <v>85</v>
      </c>
      <c r="C29" s="23" t="s">
        <v>86</v>
      </c>
      <c r="D29" s="24" t="s">
        <v>53</v>
      </c>
      <c r="E29" s="24" t="s">
        <v>84</v>
      </c>
      <c r="F29" s="59"/>
      <c r="G29" s="59"/>
      <c r="H29" s="59">
        <v>50000000</v>
      </c>
      <c r="I29" s="59"/>
      <c r="J29" s="23" t="str">
        <f>IF(ISNA(VLOOKUP(D29,DMTK!$B$5:$B$263,1,0)),"Sai","Đúng")</f>
        <v>Đúng</v>
      </c>
      <c r="K29" s="23" t="str">
        <f>IF(ISNA(VLOOKUP(E29,DMTK!$B$5:$B$263,1,0)),"Sai","Đúng")</f>
        <v>Đúng</v>
      </c>
      <c r="L29" s="23" t="str">
        <f>VLOOKUP(D29,DMTK!$B$5:$D$263,3,0)</f>
        <v>Cty TNHH Minh Gia Phát</v>
      </c>
      <c r="M29" s="23" t="str">
        <f>VLOOKUP(E29,DMTK!$B$5:$D$263,3,0)</f>
        <v>Tiền Việt Nam NH Ngoại Thương</v>
      </c>
      <c r="N29" s="75" t="str">
        <f>IF(OR(LEFT($D29,3)="111",AND(LEFT(CT!$D29,3)="131",LEFT(CT!$E29,3)="511"),LEFT(CT!$E29,3)="111",LEFT(CT!$E29,3)="331"),"No","Yes")</f>
        <v>Yes</v>
      </c>
      <c r="O29" s="23"/>
      <c r="P29" s="58" t="str">
        <f t="shared" si="0"/>
        <v>TKCT</v>
      </c>
      <c r="Q29" s="58" t="str">
        <f t="shared" si="1"/>
        <v>TKCT</v>
      </c>
      <c r="R29" s="58"/>
      <c r="S29" s="58"/>
    </row>
    <row r="30" spans="1:19" x14ac:dyDescent="0.3">
      <c r="A30" s="63">
        <v>45308</v>
      </c>
      <c r="B30" s="23" t="s">
        <v>87</v>
      </c>
      <c r="C30" s="23" t="s">
        <v>88</v>
      </c>
      <c r="D30" s="7" t="s">
        <v>89</v>
      </c>
      <c r="E30" s="7" t="s">
        <v>90</v>
      </c>
      <c r="F30" s="59">
        <v>20</v>
      </c>
      <c r="G30" s="59">
        <v>2300</v>
      </c>
      <c r="H30" s="59">
        <f t="shared" ref="H30:H38" si="2">F30*G30</f>
        <v>46000</v>
      </c>
      <c r="I30" s="59"/>
      <c r="J30" s="23" t="str">
        <f>IF(ISNA(VLOOKUP(D30,DMTK!$B$5:$B$263,1,0)),"Sai","Đúng")</f>
        <v>Đúng</v>
      </c>
      <c r="K30" s="23" t="str">
        <f>IF(ISNA(VLOOKUP(E30,DMTK!$B$5:$B$263,1,0)),"Sai","Đúng")</f>
        <v>Đúng</v>
      </c>
      <c r="L30" s="23" t="str">
        <f>VLOOKUP(D30,DMTK!$B$5:$D$263,3,0)</f>
        <v>CFNVL Bàn tròn</v>
      </c>
      <c r="M30" s="23" t="str">
        <f>VLOOKUP(E30,DMTK!$B$5:$D$263,3,0)</f>
        <v>Keo 502</v>
      </c>
      <c r="N30" s="75" t="str">
        <f>IF(OR(LEFT($D30,3)="111",AND(LEFT(CT!$D30,3)="131",LEFT(CT!$E30,3)="511"),LEFT(CT!$E30,3)="111",LEFT(CT!$E30,3)="331"),"No","Yes")</f>
        <v>Yes</v>
      </c>
      <c r="O30" s="23"/>
      <c r="P30" s="58" t="str">
        <f t="shared" si="0"/>
        <v>TKCT</v>
      </c>
      <c r="Q30" s="58" t="str">
        <f t="shared" si="1"/>
        <v>TKCT</v>
      </c>
      <c r="R30" s="58"/>
      <c r="S30" s="58"/>
    </row>
    <row r="31" spans="1:19" x14ac:dyDescent="0.3">
      <c r="A31" s="63">
        <v>45308</v>
      </c>
      <c r="B31" s="23" t="s">
        <v>91</v>
      </c>
      <c r="C31" s="23" t="s">
        <v>92</v>
      </c>
      <c r="D31" s="7" t="s">
        <v>58</v>
      </c>
      <c r="E31" s="7" t="s">
        <v>48</v>
      </c>
      <c r="F31" s="59">
        <v>20</v>
      </c>
      <c r="G31" s="59">
        <v>14111</v>
      </c>
      <c r="H31" s="59">
        <f t="shared" si="2"/>
        <v>282220</v>
      </c>
      <c r="I31" s="59"/>
      <c r="J31" s="23" t="str">
        <f>IF(ISNA(VLOOKUP(D31,DMTK!$B$5:$B$263,1,0)),"Sai","Đúng")</f>
        <v>Đúng</v>
      </c>
      <c r="K31" s="23" t="str">
        <f>IF(ISNA(VLOOKUP(E31,DMTK!$B$5:$B$263,1,0)),"Sai","Đúng")</f>
        <v>Đúng</v>
      </c>
      <c r="L31" s="23" t="str">
        <f>VLOOKUP(D31,DMTK!$B$5:$D$263,3,0)</f>
        <v>CFNVL Ghế tay vịn</v>
      </c>
      <c r="M31" s="23" t="str">
        <f>VLOOKUP(E31,DMTK!$B$5:$D$263,3,0)</f>
        <v>Dầu thông</v>
      </c>
      <c r="N31" s="75" t="str">
        <f>IF(OR(LEFT($D31,3)="111",AND(LEFT(CT!$D31,3)="131",LEFT(CT!$E31,3)="511"),LEFT(CT!$E31,3)="111",LEFT(CT!$E31,3)="331"),"No","Yes")</f>
        <v>Yes</v>
      </c>
      <c r="O31" s="23"/>
      <c r="P31" s="58" t="str">
        <f t="shared" si="0"/>
        <v>TKCT</v>
      </c>
      <c r="Q31" s="58" t="str">
        <f t="shared" si="1"/>
        <v>TKCT</v>
      </c>
      <c r="R31" s="58"/>
      <c r="S31" s="58"/>
    </row>
    <row r="32" spans="1:19" x14ac:dyDescent="0.3">
      <c r="A32" s="63">
        <v>45308</v>
      </c>
      <c r="B32" s="23" t="s">
        <v>91</v>
      </c>
      <c r="C32" s="23" t="s">
        <v>93</v>
      </c>
      <c r="D32" s="7" t="s">
        <v>58</v>
      </c>
      <c r="E32" s="7" t="s">
        <v>50</v>
      </c>
      <c r="F32" s="59">
        <v>30</v>
      </c>
      <c r="G32" s="59">
        <v>15666</v>
      </c>
      <c r="H32" s="59">
        <f t="shared" si="2"/>
        <v>469980</v>
      </c>
      <c r="I32" s="59"/>
      <c r="J32" s="23" t="str">
        <f>IF(ISNA(VLOOKUP(D32,DMTK!$B$5:$B$263,1,0)),"Sai","Đúng")</f>
        <v>Đúng</v>
      </c>
      <c r="K32" s="23" t="str">
        <f>IF(ISNA(VLOOKUP(E32,DMTK!$B$5:$B$263,1,0)),"Sai","Đúng")</f>
        <v>Đúng</v>
      </c>
      <c r="L32" s="23" t="str">
        <f>VLOOKUP(D32,DMTK!$B$5:$D$263,3,0)</f>
        <v>CFNVL Ghế tay vịn</v>
      </c>
      <c r="M32" s="23" t="str">
        <f>VLOOKUP(E32,DMTK!$B$5:$D$263,3,0)</f>
        <v>AC chuối</v>
      </c>
      <c r="N32" s="75" t="str">
        <f>IF(OR(LEFT($D32,3)="111",AND(LEFT(CT!$D32,3)="131",LEFT(CT!$E32,3)="511"),LEFT(CT!$E32,3)="111",LEFT(CT!$E32,3)="331"),"No","Yes")</f>
        <v>Yes</v>
      </c>
      <c r="O32" s="23"/>
      <c r="P32" s="58" t="str">
        <f t="shared" si="0"/>
        <v>TKCT</v>
      </c>
      <c r="Q32" s="58" t="str">
        <f t="shared" si="1"/>
        <v>TKCT</v>
      </c>
      <c r="R32" s="58"/>
      <c r="S32" s="58"/>
    </row>
    <row r="33" spans="1:19" x14ac:dyDescent="0.3">
      <c r="A33" s="63">
        <v>45308</v>
      </c>
      <c r="B33" s="23" t="s">
        <v>87</v>
      </c>
      <c r="C33" s="23" t="s">
        <v>94</v>
      </c>
      <c r="D33" s="7" t="s">
        <v>89</v>
      </c>
      <c r="E33" s="7" t="s">
        <v>95</v>
      </c>
      <c r="F33" s="59">
        <v>30</v>
      </c>
      <c r="G33" s="59">
        <v>120000</v>
      </c>
      <c r="H33" s="59">
        <f t="shared" si="2"/>
        <v>3600000</v>
      </c>
      <c r="I33" s="59"/>
      <c r="J33" s="23" t="str">
        <f>IF(ISNA(VLOOKUP(D33,DMTK!$B$5:$B$263,1,0)),"Sai","Đúng")</f>
        <v>Đúng</v>
      </c>
      <c r="K33" s="23" t="str">
        <f>IF(ISNA(VLOOKUP(E33,DMTK!$B$5:$B$263,1,0)),"Sai","Đúng")</f>
        <v>Đúng</v>
      </c>
      <c r="L33" s="23" t="str">
        <f>VLOOKUP(D33,DMTK!$B$5:$D$263,3,0)</f>
        <v>CFNVL Bàn tròn</v>
      </c>
      <c r="M33" s="23" t="str">
        <f>VLOOKUP(E33,DMTK!$B$5:$D$263,3,0)</f>
        <v>Ván MDF 9x6x8</v>
      </c>
      <c r="N33" s="75" t="str">
        <f>IF(OR(LEFT($D33,3)="111",AND(LEFT(CT!$D33,3)="131",LEFT(CT!$E33,3)="511"),LEFT(CT!$E33,3)="111",LEFT(CT!$E33,3)="331"),"No","Yes")</f>
        <v>Yes</v>
      </c>
      <c r="O33" s="23"/>
      <c r="P33" s="58" t="str">
        <f t="shared" si="0"/>
        <v>TKCT</v>
      </c>
      <c r="Q33" s="58" t="str">
        <f t="shared" si="1"/>
        <v>TKCT</v>
      </c>
      <c r="R33" s="58"/>
      <c r="S33" s="58"/>
    </row>
    <row r="34" spans="1:19" x14ac:dyDescent="0.3">
      <c r="A34" s="63">
        <v>45309</v>
      </c>
      <c r="B34" s="23" t="s">
        <v>96</v>
      </c>
      <c r="C34" s="23" t="s">
        <v>97</v>
      </c>
      <c r="D34" s="7" t="s">
        <v>98</v>
      </c>
      <c r="E34" s="7" t="s">
        <v>99</v>
      </c>
      <c r="F34" s="59">
        <v>4</v>
      </c>
      <c r="G34" s="59">
        <v>250000</v>
      </c>
      <c r="H34" s="59">
        <f t="shared" si="2"/>
        <v>1000000</v>
      </c>
      <c r="I34" s="59"/>
      <c r="J34" s="23" t="str">
        <f>IF(ISNA(VLOOKUP(D34,DMTK!$B$5:$B$263,1,0)),"Sai","Đúng")</f>
        <v>Đúng</v>
      </c>
      <c r="K34" s="23" t="str">
        <f>IF(ISNA(VLOOKUP(E34,DMTK!$B$5:$B$263,1,0)),"Sai","Đúng")</f>
        <v>Đúng</v>
      </c>
      <c r="L34" s="23" t="str">
        <f>VLOOKUP(D34,DMTK!$B$5:$D$263,3,0)</f>
        <v>Kệ tủ (không quá 12 tháng)</v>
      </c>
      <c r="M34" s="23" t="str">
        <f>VLOOKUP(E34,DMTK!$B$5:$D$263,3,0)</f>
        <v>Kệ tủ</v>
      </c>
      <c r="N34" s="75" t="str">
        <f>IF(OR(LEFT($D34,3)="111",AND(LEFT(CT!$D34,3)="131",LEFT(CT!$E34,3)="511"),LEFT(CT!$E34,3)="111",LEFT(CT!$E34,3)="331"),"No","Yes")</f>
        <v>Yes</v>
      </c>
      <c r="O34" s="23"/>
      <c r="P34" s="58" t="str">
        <f t="shared" si="0"/>
        <v>TKCT</v>
      </c>
      <c r="Q34" s="58" t="str">
        <f t="shared" si="1"/>
        <v>TKCT</v>
      </c>
      <c r="R34" s="58"/>
      <c r="S34" s="58"/>
    </row>
    <row r="35" spans="1:19" x14ac:dyDescent="0.3">
      <c r="A35" s="63">
        <v>45309</v>
      </c>
      <c r="B35" s="23" t="s">
        <v>96</v>
      </c>
      <c r="C35" s="23" t="s">
        <v>100</v>
      </c>
      <c r="D35" s="7" t="s">
        <v>101</v>
      </c>
      <c r="E35" s="7" t="s">
        <v>102</v>
      </c>
      <c r="F35" s="59">
        <v>5</v>
      </c>
      <c r="G35" s="59">
        <v>500000</v>
      </c>
      <c r="H35" s="59">
        <f t="shared" si="2"/>
        <v>2500000</v>
      </c>
      <c r="I35" s="59"/>
      <c r="J35" s="23" t="str">
        <f>IF(ISNA(VLOOKUP(D35,DMTK!$B$5:$B$263,1,0)),"Sai","Đúng")</f>
        <v>Đúng</v>
      </c>
      <c r="K35" s="23" t="str">
        <f>IF(ISNA(VLOOKUP(E35,DMTK!$B$5:$B$263,1,0)),"Sai","Đúng")</f>
        <v>Đúng</v>
      </c>
      <c r="L35" s="23" t="str">
        <f>VLOOKUP(D35,DMTK!$B$5:$D$263,3,0)</f>
        <v>Máy tính Casio (không quá 12 tháng)</v>
      </c>
      <c r="M35" s="23" t="str">
        <f>VLOOKUP(E35,DMTK!$B$5:$D$263,3,0)</f>
        <v>Máy tính Casio</v>
      </c>
      <c r="N35" s="75" t="str">
        <f>IF(OR(LEFT($D35,3)="111",AND(LEFT(CT!$D35,3)="131",LEFT(CT!$E35,3)="511"),LEFT(CT!$E35,3)="111",LEFT(CT!$E35,3)="331"),"No","Yes")</f>
        <v>Yes</v>
      </c>
      <c r="O35" s="23"/>
      <c r="P35" s="58" t="str">
        <f t="shared" si="0"/>
        <v>TKCT</v>
      </c>
      <c r="Q35" s="58" t="str">
        <f t="shared" si="1"/>
        <v>TKCT</v>
      </c>
      <c r="R35" s="58"/>
      <c r="S35" s="58"/>
    </row>
    <row r="36" spans="1:19" x14ac:dyDescent="0.3">
      <c r="A36" s="63">
        <v>45310</v>
      </c>
      <c r="B36" s="23" t="s">
        <v>103</v>
      </c>
      <c r="C36" s="23" t="s">
        <v>104</v>
      </c>
      <c r="D36" s="7" t="s">
        <v>105</v>
      </c>
      <c r="E36" s="7" t="s">
        <v>106</v>
      </c>
      <c r="F36" s="59">
        <v>10</v>
      </c>
      <c r="G36" s="59">
        <v>10000</v>
      </c>
      <c r="H36" s="59">
        <f t="shared" si="2"/>
        <v>100000</v>
      </c>
      <c r="I36" s="59"/>
      <c r="J36" s="23" t="str">
        <f>IF(ISNA(VLOOKUP(D36,DMTK!$B$5:$B$263,1,0)),"Sai","Đúng")</f>
        <v>Đúng</v>
      </c>
      <c r="K36" s="23" t="str">
        <f>IF(ISNA(VLOOKUP(E36,DMTK!$B$5:$B$263,1,0)),"Sai","Đúng")</f>
        <v>Đúng</v>
      </c>
      <c r="L36" s="23" t="str">
        <f>VLOOKUP(D36,DMTK!$B$5:$D$263,3,0)</f>
        <v>Chi phí dụng cụ sản xuất</v>
      </c>
      <c r="M36" s="23" t="str">
        <f>VLOOKUP(E36,DMTK!$B$5:$D$263,3,0)</f>
        <v>Lưỡi cưa</v>
      </c>
      <c r="N36" s="75" t="str">
        <f>IF(OR(LEFT($D36,3)="111",AND(LEFT(CT!$D36,3)="131",LEFT(CT!$E36,3)="511"),LEFT(CT!$E36,3)="111",LEFT(CT!$E36,3)="331"),"No","Yes")</f>
        <v>Yes</v>
      </c>
      <c r="O36" s="23"/>
      <c r="P36" s="58" t="str">
        <f t="shared" si="0"/>
        <v>TKCT</v>
      </c>
      <c r="Q36" s="58" t="str">
        <f t="shared" si="1"/>
        <v>TKCT</v>
      </c>
      <c r="R36" s="58"/>
      <c r="S36" s="58"/>
    </row>
    <row r="37" spans="1:19" x14ac:dyDescent="0.3">
      <c r="A37" s="63">
        <v>45310</v>
      </c>
      <c r="B37" s="23" t="s">
        <v>103</v>
      </c>
      <c r="C37" s="23" t="s">
        <v>107</v>
      </c>
      <c r="D37" s="7" t="s">
        <v>105</v>
      </c>
      <c r="E37" s="7" t="s">
        <v>108</v>
      </c>
      <c r="F37" s="59">
        <v>20</v>
      </c>
      <c r="G37" s="59">
        <v>5000</v>
      </c>
      <c r="H37" s="59">
        <f t="shared" si="2"/>
        <v>100000</v>
      </c>
      <c r="I37" s="59"/>
      <c r="J37" s="23" t="str">
        <f>IF(ISNA(VLOOKUP(D37,DMTK!$B$5:$B$263,1,0)),"Sai","Đúng")</f>
        <v>Đúng</v>
      </c>
      <c r="K37" s="23" t="str">
        <f>IF(ISNA(VLOOKUP(E37,DMTK!$B$5:$B$263,1,0)),"Sai","Đúng")</f>
        <v>Đúng</v>
      </c>
      <c r="L37" s="23" t="str">
        <f>VLOOKUP(D37,DMTK!$B$5:$D$263,3,0)</f>
        <v>Chi phí dụng cụ sản xuất</v>
      </c>
      <c r="M37" s="23" t="str">
        <f>VLOOKUP(E37,DMTK!$B$5:$D$263,3,0)</f>
        <v>Mũi khoan</v>
      </c>
      <c r="N37" s="75" t="str">
        <f>IF(OR(LEFT($D37,3)="111",AND(LEFT(CT!$D37,3)="131",LEFT(CT!$E37,3)="511"),LEFT(CT!$E37,3)="111",LEFT(CT!$E37,3)="331"),"No","Yes")</f>
        <v>Yes</v>
      </c>
      <c r="O37" s="23"/>
      <c r="P37" s="58" t="str">
        <f t="shared" si="0"/>
        <v>TKCT</v>
      </c>
      <c r="Q37" s="58" t="str">
        <f t="shared" si="1"/>
        <v>TKCT</v>
      </c>
      <c r="R37" s="58"/>
      <c r="S37" s="58"/>
    </row>
    <row r="38" spans="1:19" x14ac:dyDescent="0.3">
      <c r="A38" s="63">
        <v>45310</v>
      </c>
      <c r="B38" s="23" t="s">
        <v>103</v>
      </c>
      <c r="C38" s="23" t="s">
        <v>109</v>
      </c>
      <c r="D38" s="7" t="s">
        <v>105</v>
      </c>
      <c r="E38" s="7" t="s">
        <v>110</v>
      </c>
      <c r="F38" s="59">
        <v>30</v>
      </c>
      <c r="G38" s="59">
        <v>10000</v>
      </c>
      <c r="H38" s="59">
        <f t="shared" si="2"/>
        <v>300000</v>
      </c>
      <c r="I38" s="59"/>
      <c r="J38" s="23" t="str">
        <f>IF(ISNA(VLOOKUP(D38,DMTK!$B$5:$B$263,1,0)),"Sai","Đúng")</f>
        <v>Đúng</v>
      </c>
      <c r="K38" s="23" t="str">
        <f>IF(ISNA(VLOOKUP(E38,DMTK!$B$5:$B$263,1,0)),"Sai","Đúng")</f>
        <v>Đúng</v>
      </c>
      <c r="L38" s="23" t="str">
        <f>VLOOKUP(D38,DMTK!$B$5:$D$263,3,0)</f>
        <v>Chi phí dụng cụ sản xuất</v>
      </c>
      <c r="M38" s="23" t="str">
        <f>VLOOKUP(E38,DMTK!$B$5:$D$263,3,0)</f>
        <v>Dao thép</v>
      </c>
      <c r="N38" s="75" t="str">
        <f>IF(OR(LEFT($D38,3)="111",AND(LEFT(CT!$D38,3)="131",LEFT(CT!$E38,3)="511"),LEFT(CT!$E38,3)="111",LEFT(CT!$E38,3)="331"),"No","Yes")</f>
        <v>Yes</v>
      </c>
      <c r="O38" s="23"/>
      <c r="P38" s="58" t="str">
        <f t="shared" si="0"/>
        <v>TKCT</v>
      </c>
      <c r="Q38" s="58" t="str">
        <f t="shared" si="1"/>
        <v>TKCT</v>
      </c>
      <c r="R38" s="58"/>
      <c r="S38" s="58"/>
    </row>
    <row r="39" spans="1:19" x14ac:dyDescent="0.3">
      <c r="A39" s="63">
        <v>45314</v>
      </c>
      <c r="B39" s="23" t="s">
        <v>111</v>
      </c>
      <c r="C39" s="23" t="s">
        <v>112</v>
      </c>
      <c r="D39" s="7" t="s">
        <v>113</v>
      </c>
      <c r="E39" s="7" t="s">
        <v>114</v>
      </c>
      <c r="F39" s="59">
        <v>200</v>
      </c>
      <c r="G39" s="59">
        <v>300000</v>
      </c>
      <c r="H39" s="59">
        <v>60000000</v>
      </c>
      <c r="I39" s="59"/>
      <c r="J39" s="23" t="str">
        <f>IF(ISNA(VLOOKUP(D39,DMTK!$B$5:$B$263,1,0)),"Sai","Đúng")</f>
        <v>Đúng</v>
      </c>
      <c r="K39" s="23" t="str">
        <f>IF(ISNA(VLOOKUP(E39,DMTK!$B$5:$B$263,1,0)),"Sai","Đúng")</f>
        <v>Đúng</v>
      </c>
      <c r="L39" s="23" t="str">
        <f>VLOOKUP(D39,DMTK!$B$5:$D$263,3,0)</f>
        <v>Bàn tròn</v>
      </c>
      <c r="M39" s="23" t="str">
        <f>VLOOKUP(E39,DMTK!$B$5:$D$263,3,0)</f>
        <v>Bàn tròn</v>
      </c>
      <c r="N39" s="75" t="str">
        <f>IF(OR(LEFT($D39,3)="111",AND(LEFT(CT!$D39,3)="131",LEFT(CT!$E39,3)="511"),LEFT(CT!$E39,3)="111",LEFT(CT!$E39,3)="331"),"No","Yes")</f>
        <v>Yes</v>
      </c>
      <c r="O39" s="23"/>
      <c r="P39" s="58" t="str">
        <f t="shared" si="0"/>
        <v>TKCT</v>
      </c>
      <c r="Q39" s="58" t="str">
        <f t="shared" si="1"/>
        <v>TKCT</v>
      </c>
      <c r="R39" s="58"/>
      <c r="S39" s="58"/>
    </row>
    <row r="40" spans="1:19" x14ac:dyDescent="0.3">
      <c r="A40" s="63">
        <v>45314</v>
      </c>
      <c r="B40" s="23" t="s">
        <v>115</v>
      </c>
      <c r="C40" s="23" t="s">
        <v>116</v>
      </c>
      <c r="D40" s="7" t="s">
        <v>117</v>
      </c>
      <c r="E40" s="7" t="s">
        <v>118</v>
      </c>
      <c r="F40" s="59">
        <v>405</v>
      </c>
      <c r="G40" s="59">
        <v>250000</v>
      </c>
      <c r="H40" s="59">
        <v>101250000</v>
      </c>
      <c r="I40" s="59"/>
      <c r="J40" s="23" t="str">
        <f>IF(ISNA(VLOOKUP(D40,DMTK!$B$5:$B$263,1,0)),"Sai","Đúng")</f>
        <v>Đúng</v>
      </c>
      <c r="K40" s="23" t="str">
        <f>IF(ISNA(VLOOKUP(E40,DMTK!$B$5:$B$263,1,0)),"Sai","Đúng")</f>
        <v>Đúng</v>
      </c>
      <c r="L40" s="23" t="str">
        <f>VLOOKUP(D40,DMTK!$B$5:$D$263,3,0)</f>
        <v>Ghế tay vịn</v>
      </c>
      <c r="M40" s="23" t="str">
        <f>VLOOKUP(E40,DMTK!$B$5:$D$263,3,0)</f>
        <v>Ghế tay vịn</v>
      </c>
      <c r="N40" s="75" t="str">
        <f>IF(OR(LEFT($D40,3)="111",AND(LEFT(CT!$D40,3)="131",LEFT(CT!$E40,3)="511"),LEFT(CT!$E40,3)="111",LEFT(CT!$E40,3)="331"),"No","Yes")</f>
        <v>Yes</v>
      </c>
      <c r="O40" s="23"/>
      <c r="P40" s="58" t="str">
        <f t="shared" si="0"/>
        <v>TKCT</v>
      </c>
      <c r="Q40" s="58" t="str">
        <f t="shared" si="1"/>
        <v>TKCT</v>
      </c>
      <c r="R40" s="58"/>
      <c r="S40" s="58"/>
    </row>
    <row r="41" spans="1:19" x14ac:dyDescent="0.3">
      <c r="A41" s="63">
        <v>45315</v>
      </c>
      <c r="B41" s="23" t="s">
        <v>119</v>
      </c>
      <c r="C41" s="23" t="s">
        <v>120</v>
      </c>
      <c r="D41" s="7" t="s">
        <v>121</v>
      </c>
      <c r="E41" s="7" t="s">
        <v>122</v>
      </c>
      <c r="F41" s="59">
        <v>300</v>
      </c>
      <c r="G41" s="59">
        <v>200000</v>
      </c>
      <c r="H41" s="59">
        <v>60000000</v>
      </c>
      <c r="I41" s="59"/>
      <c r="J41" s="23" t="str">
        <f>IF(ISNA(VLOOKUP(D41,DMTK!$B$5:$B$263,1,0)),"Sai","Đúng")</f>
        <v>Đúng</v>
      </c>
      <c r="K41" s="23" t="str">
        <f>IF(ISNA(VLOOKUP(E41,DMTK!$B$5:$B$263,1,0)),"Sai","Đúng")</f>
        <v>Đúng</v>
      </c>
      <c r="L41" s="23" t="str">
        <f>VLOOKUP(D41,DMTK!$B$5:$D$263,3,0)</f>
        <v>Ghế không tay</v>
      </c>
      <c r="M41" s="23" t="str">
        <f>VLOOKUP(E41,DMTK!$B$5:$D$263,3,0)</f>
        <v>Ghế không tay</v>
      </c>
      <c r="N41" s="75" t="str">
        <f>IF(OR(LEFT($D41,3)="111",AND(LEFT(CT!$D41,3)="131",LEFT(CT!$E41,3)="511"),LEFT(CT!$E41,3)="111",LEFT(CT!$E41,3)="331"),"No","Yes")</f>
        <v>Yes</v>
      </c>
      <c r="O41" s="23"/>
      <c r="P41" s="58" t="str">
        <f t="shared" si="0"/>
        <v>TKCT</v>
      </c>
      <c r="Q41" s="58" t="str">
        <f t="shared" si="1"/>
        <v>TKCT</v>
      </c>
      <c r="R41" s="58"/>
      <c r="S41" s="58"/>
    </row>
    <row r="42" spans="1:19" x14ac:dyDescent="0.3">
      <c r="A42" s="63">
        <v>45316</v>
      </c>
      <c r="B42" s="23" t="s">
        <v>123</v>
      </c>
      <c r="C42" s="23" t="s">
        <v>124</v>
      </c>
      <c r="D42" s="24" t="s">
        <v>125</v>
      </c>
      <c r="E42" s="7" t="s">
        <v>126</v>
      </c>
      <c r="F42" s="59"/>
      <c r="G42" s="59"/>
      <c r="H42" s="59">
        <f>H41*5%</f>
        <v>3000000</v>
      </c>
      <c r="I42" s="59"/>
      <c r="J42" s="23" t="str">
        <f>IF(ISNA(VLOOKUP(D42,DMTK!$B$5:$B$263,1,0)),"Sai","Đúng")</f>
        <v>Đúng</v>
      </c>
      <c r="K42" s="23" t="str">
        <f>IF(ISNA(VLOOKUP(E42,DMTK!$B$5:$B$263,1,0)),"Sai","Đúng")</f>
        <v>Đúng</v>
      </c>
      <c r="L42" s="23" t="str">
        <f>VLOOKUP(D42,DMTK!$B$5:$D$263,3,0)</f>
        <v>Cty XNK Vật Tư (ngắn hạn)</v>
      </c>
      <c r="M42" s="23" t="str">
        <f>VLOOKUP(E42,DMTK!$B$5:$D$263,3,0)</f>
        <v>Thuế GTGT đầu ra</v>
      </c>
      <c r="N42" s="75" t="str">
        <f>IF(OR(LEFT($D42,3)="111",AND(LEFT(CT!$D42,3)="131",LEFT(CT!$E42,3)="511"),LEFT(CT!$E42,3)="111",LEFT(CT!$E42,3)="331"),"No","Yes")</f>
        <v>Yes</v>
      </c>
      <c r="O42" s="23"/>
      <c r="P42" s="58" t="str">
        <f t="shared" si="0"/>
        <v>TKCT</v>
      </c>
      <c r="Q42" s="58" t="str">
        <f t="shared" si="1"/>
        <v>TKCT</v>
      </c>
      <c r="R42" s="58"/>
      <c r="S42" s="58"/>
    </row>
    <row r="43" spans="1:19" x14ac:dyDescent="0.3">
      <c r="A43" s="63">
        <v>45316</v>
      </c>
      <c r="B43" s="23" t="s">
        <v>127</v>
      </c>
      <c r="C43" s="23" t="s">
        <v>128</v>
      </c>
      <c r="D43" s="7" t="s">
        <v>129</v>
      </c>
      <c r="E43" s="7" t="s">
        <v>126</v>
      </c>
      <c r="F43" s="59"/>
      <c r="G43" s="59"/>
      <c r="H43" s="59">
        <f>H42*5%</f>
        <v>150000</v>
      </c>
      <c r="I43" s="59"/>
      <c r="J43" s="23" t="str">
        <f>IF(ISNA(VLOOKUP(D43,DMTK!$B$5:$B$263,1,0)),"Sai","Đúng")</f>
        <v>Đúng</v>
      </c>
      <c r="K43" s="23" t="str">
        <f>IF(ISNA(VLOOKUP(E43,DMTK!$B$5:$B$263,1,0)),"Sai","Đúng")</f>
        <v>Đúng</v>
      </c>
      <c r="L43" s="23" t="str">
        <f>VLOOKUP(D43,DMTK!$B$5:$D$263,3,0)</f>
        <v>Cty TNHH Nam Việt (ngắn hạn)</v>
      </c>
      <c r="M43" s="23" t="str">
        <f>VLOOKUP(E43,DMTK!$B$5:$D$263,3,0)</f>
        <v>Thuế GTGT đầu ra</v>
      </c>
      <c r="N43" s="75" t="str">
        <f>IF(OR(LEFT($D43,3)="111",AND(LEFT(CT!$D43,3)="131",LEFT(CT!$E43,3)="511"),LEFT(CT!$E43,3)="111",LEFT(CT!$E43,3)="331"),"No","Yes")</f>
        <v>Yes</v>
      </c>
      <c r="O43" s="23"/>
      <c r="P43" s="58" t="str">
        <f t="shared" si="0"/>
        <v>TKCT</v>
      </c>
      <c r="Q43" s="58" t="str">
        <f t="shared" si="1"/>
        <v>TKCT</v>
      </c>
      <c r="R43" s="58"/>
      <c r="S43" s="58"/>
    </row>
    <row r="44" spans="1:19" x14ac:dyDescent="0.3">
      <c r="A44" s="63">
        <v>45316</v>
      </c>
      <c r="B44" s="23" t="s">
        <v>123</v>
      </c>
      <c r="C44" s="23" t="s">
        <v>130</v>
      </c>
      <c r="D44" s="24" t="s">
        <v>125</v>
      </c>
      <c r="E44" s="7" t="s">
        <v>126</v>
      </c>
      <c r="F44" s="59"/>
      <c r="G44" s="59"/>
      <c r="H44" s="59">
        <f>H43*5%</f>
        <v>7500</v>
      </c>
      <c r="I44" s="59"/>
      <c r="J44" s="23" t="str">
        <f>IF(ISNA(VLOOKUP(D44,DMTK!$B$5:$B$263,1,0)),"Sai","Đúng")</f>
        <v>Đúng</v>
      </c>
      <c r="K44" s="23" t="str">
        <f>IF(ISNA(VLOOKUP(E44,DMTK!$B$5:$B$263,1,0)),"Sai","Đúng")</f>
        <v>Đúng</v>
      </c>
      <c r="L44" s="23" t="str">
        <f>VLOOKUP(D44,DMTK!$B$5:$D$263,3,0)</f>
        <v>Cty XNK Vật Tư (ngắn hạn)</v>
      </c>
      <c r="M44" s="23" t="str">
        <f>VLOOKUP(E44,DMTK!$B$5:$D$263,3,0)</f>
        <v>Thuế GTGT đầu ra</v>
      </c>
      <c r="N44" s="75" t="str">
        <f>IF(OR(LEFT($D44,3)="111",AND(LEFT(CT!$D44,3)="131",LEFT(CT!$E44,3)="511"),LEFT(CT!$E44,3)="111",LEFT(CT!$E44,3)="331"),"No","Yes")</f>
        <v>Yes</v>
      </c>
      <c r="O44" s="23"/>
      <c r="P44" s="58" t="str">
        <f t="shared" si="0"/>
        <v>TKCT</v>
      </c>
      <c r="Q44" s="58" t="str">
        <f t="shared" si="1"/>
        <v>TKCT</v>
      </c>
      <c r="R44" s="58"/>
      <c r="S44" s="58"/>
    </row>
    <row r="45" spans="1:19" x14ac:dyDescent="0.3">
      <c r="A45" s="63">
        <v>45316</v>
      </c>
      <c r="B45" s="23" t="s">
        <v>123</v>
      </c>
      <c r="C45" s="23" t="s">
        <v>131</v>
      </c>
      <c r="D45" s="7" t="s">
        <v>132</v>
      </c>
      <c r="E45" s="7" t="s">
        <v>121</v>
      </c>
      <c r="F45" s="59">
        <v>100</v>
      </c>
      <c r="G45" s="59">
        <v>200000</v>
      </c>
      <c r="H45" s="59">
        <f t="shared" ref="H45:H50" si="3">F45*G45</f>
        <v>20000000</v>
      </c>
      <c r="I45" s="59"/>
      <c r="J45" s="23" t="str">
        <f>IF(ISNA(VLOOKUP(D45,DMTK!$B$5:$B$263,1,0)),"Sai","Đúng")</f>
        <v>Đúng</v>
      </c>
      <c r="K45" s="23" t="str">
        <f>IF(ISNA(VLOOKUP(E45,DMTK!$B$5:$B$263,1,0)),"Sai","Đúng")</f>
        <v>Đúng</v>
      </c>
      <c r="L45" s="23" t="str">
        <f>VLOOKUP(D45,DMTK!$B$5:$D$263,3,0)</f>
        <v>GVHB Ghế không tay</v>
      </c>
      <c r="M45" s="23" t="str">
        <f>VLOOKUP(E45,DMTK!$B$5:$D$263,3,0)</f>
        <v>Ghế không tay</v>
      </c>
      <c r="N45" s="75" t="str">
        <f>IF(OR(LEFT($D45,3)="111",AND(LEFT(CT!$D45,3)="131",LEFT(CT!$E45,3)="511"),LEFT(CT!$E45,3)="111",LEFT(CT!$E45,3)="331"),"No","Yes")</f>
        <v>Yes</v>
      </c>
      <c r="O45" s="23"/>
      <c r="P45" s="58" t="str">
        <f t="shared" si="0"/>
        <v>TKCT</v>
      </c>
      <c r="Q45" s="58" t="str">
        <f t="shared" si="1"/>
        <v>TKCT</v>
      </c>
      <c r="R45" s="58"/>
      <c r="S45" s="58"/>
    </row>
    <row r="46" spans="1:19" x14ac:dyDescent="0.3">
      <c r="A46" s="63">
        <v>45316</v>
      </c>
      <c r="B46" s="23" t="s">
        <v>127</v>
      </c>
      <c r="C46" s="23" t="s">
        <v>133</v>
      </c>
      <c r="D46" s="7" t="s">
        <v>134</v>
      </c>
      <c r="E46" s="7" t="s">
        <v>117</v>
      </c>
      <c r="F46" s="59">
        <v>100</v>
      </c>
      <c r="G46" s="59">
        <v>250000</v>
      </c>
      <c r="H46" s="59">
        <f t="shared" si="3"/>
        <v>25000000</v>
      </c>
      <c r="I46" s="59"/>
      <c r="J46" s="23" t="str">
        <f>IF(ISNA(VLOOKUP(D46,DMTK!$B$5:$B$263,1,0)),"Sai","Đúng")</f>
        <v>Đúng</v>
      </c>
      <c r="K46" s="23" t="str">
        <f>IF(ISNA(VLOOKUP(E46,DMTK!$B$5:$B$263,1,0)),"Sai","Đúng")</f>
        <v>Đúng</v>
      </c>
      <c r="L46" s="23" t="str">
        <f>VLOOKUP(D46,DMTK!$B$5:$D$263,3,0)</f>
        <v>GVHB Ghế tay vịn</v>
      </c>
      <c r="M46" s="23" t="str">
        <f>VLOOKUP(E46,DMTK!$B$5:$D$263,3,0)</f>
        <v>Ghế tay vịn</v>
      </c>
      <c r="N46" s="75" t="str">
        <f>IF(OR(LEFT($D46,3)="111",AND(LEFT(CT!$D46,3)="131",LEFT(CT!$E46,3)="511"),LEFT(CT!$E46,3)="111",LEFT(CT!$E46,3)="331"),"No","Yes")</f>
        <v>Yes</v>
      </c>
      <c r="O46" s="23"/>
      <c r="P46" s="58" t="str">
        <f t="shared" si="0"/>
        <v>TKCT</v>
      </c>
      <c r="Q46" s="58" t="str">
        <f t="shared" si="1"/>
        <v>TKCT</v>
      </c>
      <c r="R46" s="58"/>
      <c r="S46" s="58"/>
    </row>
    <row r="47" spans="1:19" x14ac:dyDescent="0.3">
      <c r="A47" s="63">
        <v>45316</v>
      </c>
      <c r="B47" s="23" t="s">
        <v>123</v>
      </c>
      <c r="C47" s="23" t="s">
        <v>135</v>
      </c>
      <c r="D47" s="7" t="s">
        <v>136</v>
      </c>
      <c r="E47" s="7" t="s">
        <v>137</v>
      </c>
      <c r="F47" s="59">
        <v>50</v>
      </c>
      <c r="G47" s="59">
        <v>500000</v>
      </c>
      <c r="H47" s="59">
        <f t="shared" si="3"/>
        <v>25000000</v>
      </c>
      <c r="I47" s="59"/>
      <c r="J47" s="23" t="str">
        <f>IF(ISNA(VLOOKUP(D47,DMTK!$B$5:$B$263,1,0)),"Sai","Đúng")</f>
        <v>Đúng</v>
      </c>
      <c r="K47" s="23" t="str">
        <f>IF(ISNA(VLOOKUP(E47,DMTK!$B$5:$B$263,1,0)),"Sai","Đúng")</f>
        <v>Đúng</v>
      </c>
      <c r="L47" s="23" t="str">
        <f>VLOOKUP(D47,DMTK!$B$5:$D$263,3,0)</f>
        <v>GVHB Bàn oval</v>
      </c>
      <c r="M47" s="23" t="str">
        <f>VLOOKUP(E47,DMTK!$B$5:$D$263,3,0)</f>
        <v>Bàn oval</v>
      </c>
      <c r="N47" s="75" t="str">
        <f>IF(OR(LEFT($D47,3)="111",AND(LEFT(CT!$D47,3)="131",LEFT(CT!$E47,3)="511"),LEFT(CT!$E47,3)="111",LEFT(CT!$E47,3)="331"),"No","Yes")</f>
        <v>Yes</v>
      </c>
      <c r="O47" s="23"/>
      <c r="P47" s="58" t="str">
        <f t="shared" si="0"/>
        <v>TKCT</v>
      </c>
      <c r="Q47" s="58" t="str">
        <f t="shared" si="1"/>
        <v>TKCT</v>
      </c>
      <c r="R47" s="58"/>
      <c r="S47" s="58"/>
    </row>
    <row r="48" spans="1:19" x14ac:dyDescent="0.3">
      <c r="A48" s="63">
        <v>45316</v>
      </c>
      <c r="B48" s="23" t="s">
        <v>123</v>
      </c>
      <c r="C48" s="23" t="s">
        <v>131</v>
      </c>
      <c r="D48" s="24" t="s">
        <v>125</v>
      </c>
      <c r="E48" s="7" t="s">
        <v>138</v>
      </c>
      <c r="F48" s="59">
        <v>100</v>
      </c>
      <c r="G48" s="59">
        <v>280000</v>
      </c>
      <c r="H48" s="59">
        <f t="shared" si="3"/>
        <v>28000000</v>
      </c>
      <c r="I48" s="59"/>
      <c r="J48" s="23" t="str">
        <f>IF(ISNA(VLOOKUP(D48,DMTK!$B$5:$B$263,1,0)),"Sai","Đúng")</f>
        <v>Đúng</v>
      </c>
      <c r="K48" s="23" t="str">
        <f>IF(ISNA(VLOOKUP(E48,DMTK!$B$5:$B$263,1,0)),"Sai","Đúng")</f>
        <v>Đúng</v>
      </c>
      <c r="L48" s="23" t="str">
        <f>VLOOKUP(D48,DMTK!$B$5:$D$263,3,0)</f>
        <v>Cty XNK Vật Tư (ngắn hạn)</v>
      </c>
      <c r="M48" s="23" t="str">
        <f>VLOOKUP(E48,DMTK!$B$5:$D$263,3,0)</f>
        <v>Doanh thu bán Ghế không tay</v>
      </c>
      <c r="N48" s="75" t="str">
        <f>IF(OR(LEFT($D48,3)="111",AND(LEFT(CT!$D48,3)="131",LEFT(CT!$E48,3)="511"),LEFT(CT!$E48,3)="111",LEFT(CT!$E48,3)="331"),"No","Yes")</f>
        <v>No</v>
      </c>
      <c r="O48" s="23"/>
      <c r="P48" s="58" t="str">
        <f t="shared" si="0"/>
        <v>TKCT</v>
      </c>
      <c r="Q48" s="58" t="str">
        <f t="shared" si="1"/>
        <v>TKCT</v>
      </c>
      <c r="R48" s="58"/>
      <c r="S48" s="58"/>
    </row>
    <row r="49" spans="1:19" x14ac:dyDescent="0.3">
      <c r="A49" s="63">
        <v>45316</v>
      </c>
      <c r="B49" s="23" t="s">
        <v>127</v>
      </c>
      <c r="C49" s="23" t="s">
        <v>133</v>
      </c>
      <c r="D49" s="7" t="s">
        <v>129</v>
      </c>
      <c r="E49" s="7" t="s">
        <v>139</v>
      </c>
      <c r="F49" s="59">
        <v>100</v>
      </c>
      <c r="G49" s="59">
        <v>300000</v>
      </c>
      <c r="H49" s="59">
        <f t="shared" si="3"/>
        <v>30000000</v>
      </c>
      <c r="I49" s="59"/>
      <c r="J49" s="23" t="str">
        <f>IF(ISNA(VLOOKUP(D49,DMTK!$B$5:$B$263,1,0)),"Sai","Đúng")</f>
        <v>Đúng</v>
      </c>
      <c r="K49" s="23" t="str">
        <f>IF(ISNA(VLOOKUP(E49,DMTK!$B$5:$B$263,1,0)),"Sai","Đúng")</f>
        <v>Đúng</v>
      </c>
      <c r="L49" s="23" t="str">
        <f>VLOOKUP(D49,DMTK!$B$5:$D$263,3,0)</f>
        <v>Cty TNHH Nam Việt (ngắn hạn)</v>
      </c>
      <c r="M49" s="23" t="str">
        <f>VLOOKUP(E49,DMTK!$B$5:$D$263,3,0)</f>
        <v>Doanh thu bán Ghế tay vịn</v>
      </c>
      <c r="N49" s="75" t="str">
        <f>IF(OR(LEFT($D49,3)="111",AND(LEFT(CT!$D49,3)="131",LEFT(CT!$E49,3)="511"),LEFT(CT!$E49,3)="111",LEFT(CT!$E49,3)="331"),"No","Yes")</f>
        <v>No</v>
      </c>
      <c r="O49" s="23"/>
      <c r="P49" s="58" t="str">
        <f t="shared" si="0"/>
        <v>TKCT</v>
      </c>
      <c r="Q49" s="58" t="str">
        <f t="shared" si="1"/>
        <v>TKCT</v>
      </c>
      <c r="R49" s="58"/>
      <c r="S49" s="58"/>
    </row>
    <row r="50" spans="1:19" x14ac:dyDescent="0.3">
      <c r="A50" s="63">
        <v>45316</v>
      </c>
      <c r="B50" s="23" t="s">
        <v>123</v>
      </c>
      <c r="C50" s="23" t="s">
        <v>135</v>
      </c>
      <c r="D50" s="24" t="s">
        <v>125</v>
      </c>
      <c r="E50" s="7" t="s">
        <v>140</v>
      </c>
      <c r="F50" s="59">
        <v>50</v>
      </c>
      <c r="G50" s="59">
        <v>600000</v>
      </c>
      <c r="H50" s="59">
        <f t="shared" si="3"/>
        <v>30000000</v>
      </c>
      <c r="I50" s="59"/>
      <c r="J50" s="23" t="str">
        <f>IF(ISNA(VLOOKUP(D50,DMTK!$B$5:$B$263,1,0)),"Sai","Đúng")</f>
        <v>Đúng</v>
      </c>
      <c r="K50" s="23" t="str">
        <f>IF(ISNA(VLOOKUP(E50,DMTK!$B$5:$B$263,1,0)),"Sai","Đúng")</f>
        <v>Đúng</v>
      </c>
      <c r="L50" s="23" t="str">
        <f>VLOOKUP(D50,DMTK!$B$5:$D$263,3,0)</f>
        <v>Cty XNK Vật Tư (ngắn hạn)</v>
      </c>
      <c r="M50" s="23" t="str">
        <f>VLOOKUP(E50,DMTK!$B$5:$D$263,3,0)</f>
        <v>Doanh thu bán Bàn oval</v>
      </c>
      <c r="N50" s="75" t="str">
        <f>IF(OR(LEFT($D50,3)="111",AND(LEFT(CT!$D50,3)="131",LEFT(CT!$E50,3)="511"),LEFT(CT!$E50,3)="111",LEFT(CT!$E50,3)="331"),"No","Yes")</f>
        <v>No</v>
      </c>
      <c r="O50" s="23"/>
      <c r="P50" s="58" t="str">
        <f t="shared" si="0"/>
        <v>TKCT</v>
      </c>
      <c r="Q50" s="58" t="str">
        <f t="shared" si="1"/>
        <v>TKCT</v>
      </c>
      <c r="R50" s="58"/>
      <c r="S50" s="58"/>
    </row>
    <row r="51" spans="1:19" x14ac:dyDescent="0.3">
      <c r="A51" s="63">
        <v>45319</v>
      </c>
      <c r="B51" s="23" t="s">
        <v>141</v>
      </c>
      <c r="C51" s="23" t="s">
        <v>142</v>
      </c>
      <c r="D51" s="7" t="s">
        <v>26</v>
      </c>
      <c r="E51" s="7" t="s">
        <v>33</v>
      </c>
      <c r="F51" s="59"/>
      <c r="G51" s="59"/>
      <c r="H51" s="59">
        <v>200000</v>
      </c>
      <c r="I51" s="59"/>
      <c r="J51" s="23" t="str">
        <f>IF(ISNA(VLOOKUP(D51,DMTK!$B$5:$B$263,1,0)),"Sai","Đúng")</f>
        <v>Đúng</v>
      </c>
      <c r="K51" s="23" t="str">
        <f>IF(ISNA(VLOOKUP(E51,DMTK!$B$5:$B$263,1,0)),"Sai","Đúng")</f>
        <v>Đúng</v>
      </c>
      <c r="L51" s="23" t="str">
        <f>VLOOKUP(D51,DMTK!$B$5:$D$263,3,0)</f>
        <v>Tiền Việt Nam</v>
      </c>
      <c r="M51" s="23" t="str">
        <f>VLOOKUP(E51,DMTK!$B$5:$D$263,3,0)</f>
        <v>Hồ Sĩ Nhật</v>
      </c>
      <c r="N51" s="75" t="str">
        <f>IF(OR(LEFT($D51,3)="111",AND(LEFT(CT!$D51,3)="131",LEFT(CT!$E51,3)="511"),LEFT(CT!$E51,3)="111",LEFT(CT!$E51,3)="331"),"No","Yes")</f>
        <v>No</v>
      </c>
      <c r="O51" s="23"/>
      <c r="P51" s="58" t="str">
        <f t="shared" si="0"/>
        <v>TKCT</v>
      </c>
      <c r="Q51" s="58" t="str">
        <f t="shared" si="1"/>
        <v>TKCT</v>
      </c>
      <c r="R51" s="58"/>
      <c r="S51" s="58"/>
    </row>
    <row r="52" spans="1:19" x14ac:dyDescent="0.3">
      <c r="A52" s="63">
        <v>45319</v>
      </c>
      <c r="B52" s="23" t="s">
        <v>141</v>
      </c>
      <c r="C52" s="23" t="s">
        <v>142</v>
      </c>
      <c r="D52" s="7" t="s">
        <v>43</v>
      </c>
      <c r="E52" s="7" t="s">
        <v>33</v>
      </c>
      <c r="F52" s="59"/>
      <c r="G52" s="59"/>
      <c r="H52" s="59">
        <v>1800000</v>
      </c>
      <c r="I52" s="59"/>
      <c r="J52" s="23" t="str">
        <f>IF(ISNA(VLOOKUP(D52,DMTK!$B$5:$B$263,1,0)),"Sai","Đúng")</f>
        <v>Đúng</v>
      </c>
      <c r="K52" s="23" t="str">
        <f>IF(ISNA(VLOOKUP(E52,DMTK!$B$5:$B$263,1,0)),"Sai","Đúng")</f>
        <v>Đúng</v>
      </c>
      <c r="L52" s="23" t="str">
        <f>VLOOKUP(D52,DMTK!$B$5:$D$263,3,0)</f>
        <v>Chi phí bằng tiền khác</v>
      </c>
      <c r="M52" s="23" t="str">
        <f>VLOOKUP(E52,DMTK!$B$5:$D$263,3,0)</f>
        <v>Hồ Sĩ Nhật</v>
      </c>
      <c r="N52" s="75" t="str">
        <f>IF(OR(LEFT($D52,3)="111",AND(LEFT(CT!$D52,3)="131",LEFT(CT!$E52,3)="511"),LEFT(CT!$E52,3)="111",LEFT(CT!$E52,3)="331"),"No","Yes")</f>
        <v>Yes</v>
      </c>
      <c r="O52" s="23"/>
      <c r="P52" s="58" t="str">
        <f t="shared" si="0"/>
        <v>TKCT</v>
      </c>
      <c r="Q52" s="58" t="str">
        <f t="shared" si="1"/>
        <v>TKCT</v>
      </c>
      <c r="R52" s="58"/>
      <c r="S52" s="58"/>
    </row>
    <row r="53" spans="1:19" x14ac:dyDescent="0.3">
      <c r="A53" s="63">
        <v>45319</v>
      </c>
      <c r="B53" s="23" t="s">
        <v>143</v>
      </c>
      <c r="C53" s="23" t="s">
        <v>144</v>
      </c>
      <c r="D53" s="7" t="s">
        <v>145</v>
      </c>
      <c r="E53" s="7" t="s">
        <v>26</v>
      </c>
      <c r="F53" s="59"/>
      <c r="G53" s="59"/>
      <c r="H53" s="59">
        <v>14000000</v>
      </c>
      <c r="I53" s="59"/>
      <c r="J53" s="23" t="str">
        <f>IF(ISNA(VLOOKUP(D53,DMTK!$B$5:$B$263,1,0)),"Sai","Đúng")</f>
        <v>Đúng</v>
      </c>
      <c r="K53" s="23" t="str">
        <f>IF(ISNA(VLOOKUP(E53,DMTK!$B$5:$B$263,1,0)),"Sai","Đúng")</f>
        <v>Đúng</v>
      </c>
      <c r="L53" s="23" t="str">
        <f>VLOOKUP(D53,DMTK!$B$5:$D$263,3,0)</f>
        <v>Thuế GTGT được khấu trừ của TSCĐ</v>
      </c>
      <c r="M53" s="23" t="str">
        <f>VLOOKUP(E53,DMTK!$B$5:$D$263,3,0)</f>
        <v>Tiền Việt Nam</v>
      </c>
      <c r="N53" s="75" t="str">
        <f>IF(OR(LEFT($D53,3)="111",AND(LEFT(CT!$D53,3)="131",LEFT(CT!$E53,3)="511"),LEFT(CT!$E53,3)="111",LEFT(CT!$E53,3)="331"),"No","Yes")</f>
        <v>No</v>
      </c>
      <c r="O53" s="23"/>
      <c r="P53" s="58" t="str">
        <f t="shared" si="0"/>
        <v>TKCT</v>
      </c>
      <c r="Q53" s="58" t="str">
        <f t="shared" si="1"/>
        <v>TKCT</v>
      </c>
      <c r="R53" s="58"/>
      <c r="S53" s="58"/>
    </row>
    <row r="54" spans="1:19" x14ac:dyDescent="0.3">
      <c r="A54" s="63">
        <v>45319</v>
      </c>
      <c r="B54" s="23" t="s">
        <v>143</v>
      </c>
      <c r="C54" s="23" t="s">
        <v>146</v>
      </c>
      <c r="D54" s="7" t="s">
        <v>147</v>
      </c>
      <c r="E54" s="7" t="s">
        <v>26</v>
      </c>
      <c r="F54" s="59"/>
      <c r="G54" s="59"/>
      <c r="H54" s="59">
        <v>140000000</v>
      </c>
      <c r="I54" s="59"/>
      <c r="J54" s="23" t="str">
        <f>IF(ISNA(VLOOKUP(D54,DMTK!$B$5:$B$263,1,0)),"Sai","Đúng")</f>
        <v>Đúng</v>
      </c>
      <c r="K54" s="23" t="str">
        <f>IF(ISNA(VLOOKUP(E54,DMTK!$B$5:$B$263,1,0)),"Sai","Đúng")</f>
        <v>Đúng</v>
      </c>
      <c r="L54" s="23" t="str">
        <f>VLOOKUP(D54,DMTK!$B$5:$D$263,3,0)</f>
        <v>Máy xẻ gỗ</v>
      </c>
      <c r="M54" s="23" t="str">
        <f>VLOOKUP(E54,DMTK!$B$5:$D$263,3,0)</f>
        <v>Tiền Việt Nam</v>
      </c>
      <c r="N54" s="75" t="str">
        <f>IF(OR(LEFT($D54,3)="111",AND(LEFT(CT!$D54,3)="131",LEFT(CT!$E54,3)="511"),LEFT(CT!$E54,3)="111",LEFT(CT!$E54,3)="331"),"No","Yes")</f>
        <v>No</v>
      </c>
      <c r="O54" s="23"/>
      <c r="P54" s="58" t="str">
        <f t="shared" si="0"/>
        <v>TKCT</v>
      </c>
      <c r="Q54" s="58" t="str">
        <f t="shared" si="1"/>
        <v>TKCT</v>
      </c>
      <c r="R54" s="58"/>
      <c r="S54" s="58"/>
    </row>
    <row r="55" spans="1:19" ht="1.5" customHeight="1" x14ac:dyDescent="0.3">
      <c r="A55" s="63">
        <v>45322</v>
      </c>
      <c r="B55" s="23" t="s">
        <v>148</v>
      </c>
      <c r="C55" s="23" t="s">
        <v>149</v>
      </c>
      <c r="D55" s="7" t="s">
        <v>150</v>
      </c>
      <c r="E55" s="7" t="s">
        <v>151</v>
      </c>
      <c r="F55" s="59"/>
      <c r="G55" s="59"/>
      <c r="H55" s="59">
        <v>50000</v>
      </c>
      <c r="I55" s="59"/>
      <c r="J55" s="23" t="str">
        <f>IF(ISNA(VLOOKUP(D55,DMTK!$B$5:$B$263,1,0)),"Sai","Đúng")</f>
        <v>Đúng</v>
      </c>
      <c r="K55" s="23" t="str">
        <f>IF(ISNA(VLOOKUP(E55,DMTK!$B$5:$B$263,1,0)),"Sai","Đúng")</f>
        <v>Đúng</v>
      </c>
      <c r="L55" s="23" t="str">
        <f>VLOOKUP(D55,DMTK!$B$5:$D$263,3,0)</f>
        <v xml:space="preserve">Chi phí nhân viên </v>
      </c>
      <c r="M55" s="23" t="str">
        <f>VLOOKUP(E55,DMTK!$B$5:$D$263,3,0)</f>
        <v>Phải trả, phải nộp khác</v>
      </c>
      <c r="N55" s="75" t="str">
        <f>IF(OR(LEFT($D55,3)="111",AND(LEFT(CT!$D55,3)="131",LEFT(CT!$E55,3)="511"),LEFT(CT!$E55,3)="111",LEFT(CT!$E55,3)="331"),"No","Yes")</f>
        <v>Yes</v>
      </c>
      <c r="O55" s="23"/>
      <c r="P55" s="58" t="str">
        <f t="shared" si="0"/>
        <v>TKCT</v>
      </c>
      <c r="Q55" s="58" t="str">
        <f t="shared" si="1"/>
        <v>TKCT</v>
      </c>
      <c r="R55" s="58"/>
      <c r="S55" s="58"/>
    </row>
    <row r="56" spans="1:19" x14ac:dyDescent="0.3">
      <c r="A56" s="63">
        <v>45322</v>
      </c>
      <c r="B56" s="23" t="s">
        <v>148</v>
      </c>
      <c r="C56" s="23" t="s">
        <v>149</v>
      </c>
      <c r="D56" s="7" t="s">
        <v>152</v>
      </c>
      <c r="E56" s="7" t="s">
        <v>151</v>
      </c>
      <c r="F56" s="59"/>
      <c r="G56" s="59"/>
      <c r="H56" s="59">
        <v>70000</v>
      </c>
      <c r="I56" s="59"/>
      <c r="J56" s="23" t="str">
        <f>IF(ISNA(VLOOKUP(D56,DMTK!$B$5:$B$263,1,0)),"Sai","Đúng")</f>
        <v>Đúng</v>
      </c>
      <c r="K56" s="23" t="str">
        <f>IF(ISNA(VLOOKUP(E56,DMTK!$B$5:$B$263,1,0)),"Sai","Đúng")</f>
        <v>Đúng</v>
      </c>
      <c r="L56" s="23" t="str">
        <f>VLOOKUP(D56,DMTK!$B$5:$D$263,3,0)</f>
        <v>Chi phí nhân viên quản lý</v>
      </c>
      <c r="M56" s="23" t="str">
        <f>VLOOKUP(E56,DMTK!$B$5:$D$263,3,0)</f>
        <v>Phải trả, phải nộp khác</v>
      </c>
      <c r="N56" s="75" t="str">
        <f>IF(OR(LEFT($D56,3)="111",AND(LEFT(CT!$D56,3)="131",LEFT(CT!$E56,3)="511"),LEFT(CT!$E56,3)="111",LEFT(CT!$E56,3)="331"),"No","Yes")</f>
        <v>Yes</v>
      </c>
      <c r="O56" s="23"/>
      <c r="P56" s="58" t="str">
        <f t="shared" si="0"/>
        <v>TKCT</v>
      </c>
      <c r="Q56" s="58" t="str">
        <f t="shared" si="1"/>
        <v>TKCT</v>
      </c>
      <c r="R56" s="58"/>
      <c r="S56" s="58"/>
    </row>
    <row r="57" spans="1:19" x14ac:dyDescent="0.3">
      <c r="A57" s="63">
        <v>45322</v>
      </c>
      <c r="B57" s="23" t="s">
        <v>153</v>
      </c>
      <c r="C57" s="23" t="s">
        <v>154</v>
      </c>
      <c r="D57" s="7" t="s">
        <v>155</v>
      </c>
      <c r="E57" s="7" t="s">
        <v>156</v>
      </c>
      <c r="F57" s="59"/>
      <c r="G57" s="59"/>
      <c r="H57" s="59">
        <v>72180</v>
      </c>
      <c r="I57" s="59"/>
      <c r="J57" s="23" t="str">
        <f>IF(ISNA(VLOOKUP(D57,DMTK!$B$5:$B$263,1,0)),"Sai","Đúng")</f>
        <v>Đúng</v>
      </c>
      <c r="K57" s="23" t="str">
        <f>IF(ISNA(VLOOKUP(E57,DMTK!$B$5:$B$263,1,0)),"Sai","Đúng")</f>
        <v>Đúng</v>
      </c>
      <c r="L57" s="23" t="str">
        <f>VLOOKUP(D57,DMTK!$B$5:$D$263,3,0)</f>
        <v>Xác định kết quả kinh doanh (GKT)</v>
      </c>
      <c r="M57" s="23" t="str">
        <f>VLOOKUP(E57,DMTK!$B$5:$D$263,3,0)</f>
        <v>Chi phí dụng cụ, đồ dùng</v>
      </c>
      <c r="N57" s="75" t="str">
        <f>IF(OR(LEFT($D57,3)="111",AND(LEFT(CT!$D57,3)="131",LEFT(CT!$E57,3)="511"),LEFT(CT!$E57,3)="111",LEFT(CT!$E57,3)="331"),"No","Yes")</f>
        <v>Yes</v>
      </c>
      <c r="O57" s="23"/>
      <c r="P57" s="58" t="str">
        <f t="shared" si="0"/>
        <v>TKCT</v>
      </c>
      <c r="Q57" s="58" t="str">
        <f t="shared" si="1"/>
        <v>TKCT</v>
      </c>
      <c r="R57" s="58"/>
      <c r="S57" s="58"/>
    </row>
    <row r="58" spans="1:19" x14ac:dyDescent="0.3">
      <c r="A58" s="63">
        <v>45322</v>
      </c>
      <c r="B58" s="23" t="s">
        <v>153</v>
      </c>
      <c r="C58" s="23" t="s">
        <v>154</v>
      </c>
      <c r="D58" s="7" t="s">
        <v>157</v>
      </c>
      <c r="E58" s="7" t="s">
        <v>156</v>
      </c>
      <c r="F58" s="59"/>
      <c r="G58" s="59"/>
      <c r="H58" s="59">
        <v>88690</v>
      </c>
      <c r="I58" s="59"/>
      <c r="J58" s="23" t="str">
        <f>IF(ISNA(VLOOKUP(D58,DMTK!$B$5:$B$263,1,0)),"Sai","Đúng")</f>
        <v>Đúng</v>
      </c>
      <c r="K58" s="23" t="str">
        <f>IF(ISNA(VLOOKUP(E58,DMTK!$B$5:$B$263,1,0)),"Sai","Đúng")</f>
        <v>Đúng</v>
      </c>
      <c r="L58" s="23" t="str">
        <f>VLOOKUP(D58,DMTK!$B$5:$D$263,3,0)</f>
        <v>Xác định kết quả kinh doanh (BO)</v>
      </c>
      <c r="M58" s="23" t="str">
        <f>VLOOKUP(E58,DMTK!$B$5:$D$263,3,0)</f>
        <v>Chi phí dụng cụ, đồ dùng</v>
      </c>
      <c r="N58" s="75" t="str">
        <f>IF(OR(LEFT($D58,3)="111",AND(LEFT(CT!$D58,3)="131",LEFT(CT!$E58,3)="511"),LEFT(CT!$E58,3)="111",LEFT(CT!$E58,3)="331"),"No","Yes")</f>
        <v>Yes</v>
      </c>
      <c r="O58" s="23"/>
      <c r="P58" s="58" t="str">
        <f t="shared" si="0"/>
        <v>TKCT</v>
      </c>
      <c r="Q58" s="58" t="str">
        <f t="shared" si="1"/>
        <v>TKCT</v>
      </c>
      <c r="R58" s="58"/>
      <c r="S58" s="58"/>
    </row>
    <row r="59" spans="1:19" x14ac:dyDescent="0.3">
      <c r="A59" s="63">
        <v>45322</v>
      </c>
      <c r="B59" s="23" t="s">
        <v>153</v>
      </c>
      <c r="C59" s="23" t="s">
        <v>154</v>
      </c>
      <c r="D59" s="7" t="s">
        <v>158</v>
      </c>
      <c r="E59" s="7" t="s">
        <v>156</v>
      </c>
      <c r="F59" s="59"/>
      <c r="G59" s="59"/>
      <c r="H59" s="59">
        <v>89130</v>
      </c>
      <c r="I59" s="59"/>
      <c r="J59" s="23" t="str">
        <f>IF(ISNA(VLOOKUP(D59,DMTK!$B$5:$B$263,1,0)),"Sai","Đúng")</f>
        <v>Đúng</v>
      </c>
      <c r="K59" s="23" t="str">
        <f>IF(ISNA(VLOOKUP(E59,DMTK!$B$5:$B$263,1,0)),"Sai","Đúng")</f>
        <v>Đúng</v>
      </c>
      <c r="L59" s="23" t="str">
        <f>VLOOKUP(D59,DMTK!$B$5:$D$263,3,0)</f>
        <v>Xác định kết quả kinh doanh (GTV)</v>
      </c>
      <c r="M59" s="23" t="str">
        <f>VLOOKUP(E59,DMTK!$B$5:$D$263,3,0)</f>
        <v>Chi phí dụng cụ, đồ dùng</v>
      </c>
      <c r="N59" s="75" t="str">
        <f>IF(OR(LEFT($D59,3)="111",AND(LEFT(CT!$D59,3)="131",LEFT(CT!$E59,3)="511"),LEFT(CT!$E59,3)="111",LEFT(CT!$E59,3)="331"),"No","Yes")</f>
        <v>Yes</v>
      </c>
      <c r="O59" s="23"/>
      <c r="P59" s="58" t="str">
        <f t="shared" si="0"/>
        <v>TKCT</v>
      </c>
      <c r="Q59" s="58" t="str">
        <f t="shared" si="1"/>
        <v>TKCT</v>
      </c>
      <c r="R59" s="58"/>
      <c r="S59" s="58"/>
    </row>
    <row r="60" spans="1:19" x14ac:dyDescent="0.3">
      <c r="A60" s="63">
        <v>45322</v>
      </c>
      <c r="B60" s="23" t="s">
        <v>148</v>
      </c>
      <c r="C60" s="23" t="s">
        <v>149</v>
      </c>
      <c r="D60" s="7" t="s">
        <v>150</v>
      </c>
      <c r="E60" s="7" t="s">
        <v>159</v>
      </c>
      <c r="F60" s="59"/>
      <c r="G60" s="59"/>
      <c r="H60" s="59">
        <v>100000</v>
      </c>
      <c r="I60" s="59"/>
      <c r="J60" s="23" t="str">
        <f>IF(ISNA(VLOOKUP(D60,DMTK!$B$5:$B$263,1,0)),"Sai","Đúng")</f>
        <v>Đúng</v>
      </c>
      <c r="K60" s="23" t="str">
        <f>IF(ISNA(VLOOKUP(E60,DMTK!$B$5:$B$263,1,0)),"Sai","Đúng")</f>
        <v>Đúng</v>
      </c>
      <c r="L60" s="23" t="str">
        <f>VLOOKUP(D60,DMTK!$B$5:$D$263,3,0)</f>
        <v xml:space="preserve">Chi phí nhân viên </v>
      </c>
      <c r="M60" s="23" t="str">
        <f>VLOOKUP(E60,DMTK!$B$5:$D$263,3,0)</f>
        <v>Kinh phí công đoàn</v>
      </c>
      <c r="N60" s="75" t="str">
        <f>IF(OR(LEFT($D60,3)="111",AND(LEFT(CT!$D60,3)="131",LEFT(CT!$E60,3)="511"),LEFT(CT!$E60,3)="111",LEFT(CT!$E60,3)="331"),"No","Yes")</f>
        <v>Yes</v>
      </c>
      <c r="O60" s="23"/>
      <c r="P60" s="58" t="str">
        <f t="shared" si="0"/>
        <v>TKCT</v>
      </c>
      <c r="Q60" s="58" t="str">
        <f t="shared" si="1"/>
        <v>TKCT</v>
      </c>
      <c r="R60" s="58"/>
      <c r="S60" s="58"/>
    </row>
    <row r="61" spans="1:19" x14ac:dyDescent="0.3">
      <c r="A61" s="63">
        <v>45322</v>
      </c>
      <c r="B61" s="23" t="s">
        <v>160</v>
      </c>
      <c r="C61" s="23" t="s">
        <v>161</v>
      </c>
      <c r="D61" s="7" t="s">
        <v>114</v>
      </c>
      <c r="E61" s="7" t="s">
        <v>105</v>
      </c>
      <c r="F61" s="59"/>
      <c r="G61" s="59"/>
      <c r="H61" s="59">
        <v>100840</v>
      </c>
      <c r="I61" s="59"/>
      <c r="J61" s="23" t="str">
        <f>IF(ISNA(VLOOKUP(D61,DMTK!$B$5:$B$263,1,0)),"Sai","Đúng")</f>
        <v>Đúng</v>
      </c>
      <c r="K61" s="23" t="str">
        <f>IF(ISNA(VLOOKUP(E61,DMTK!$B$5:$B$263,1,0)),"Sai","Đúng")</f>
        <v>Đúng</v>
      </c>
      <c r="L61" s="23" t="str">
        <f>VLOOKUP(D61,DMTK!$B$5:$D$263,3,0)</f>
        <v>Bàn tròn</v>
      </c>
      <c r="M61" s="23" t="str">
        <f>VLOOKUP(E61,DMTK!$B$5:$D$263,3,0)</f>
        <v>Chi phí dụng cụ sản xuất</v>
      </c>
      <c r="N61" s="75" t="str">
        <f>IF(OR(LEFT($D61,3)="111",AND(LEFT(CT!$D61,3)="131",LEFT(CT!$E61,3)="511"),LEFT(CT!$E61,3)="111",LEFT(CT!$E61,3)="331"),"No","Yes")</f>
        <v>Yes</v>
      </c>
      <c r="O61" s="23"/>
      <c r="P61" s="58" t="str">
        <f t="shared" si="0"/>
        <v>TKCT</v>
      </c>
      <c r="Q61" s="58" t="str">
        <f t="shared" si="1"/>
        <v>TKCT</v>
      </c>
      <c r="R61" s="58"/>
      <c r="S61" s="58"/>
    </row>
    <row r="62" spans="1:19" x14ac:dyDescent="0.3">
      <c r="A62" s="63">
        <v>45322</v>
      </c>
      <c r="B62" s="23" t="s">
        <v>162</v>
      </c>
      <c r="C62" s="23" t="s">
        <v>163</v>
      </c>
      <c r="D62" s="7" t="s">
        <v>134</v>
      </c>
      <c r="E62" s="7" t="s">
        <v>117</v>
      </c>
      <c r="F62" s="59"/>
      <c r="G62" s="59"/>
      <c r="H62" s="59">
        <v>123700</v>
      </c>
      <c r="I62" s="59"/>
      <c r="J62" s="23" t="str">
        <f>IF(ISNA(VLOOKUP(D62,DMTK!$B$5:$B$263,1,0)),"Sai","Đúng")</f>
        <v>Đúng</v>
      </c>
      <c r="K62" s="23" t="str">
        <f>IF(ISNA(VLOOKUP(E62,DMTK!$B$5:$B$263,1,0)),"Sai","Đúng")</f>
        <v>Đúng</v>
      </c>
      <c r="L62" s="23" t="str">
        <f>VLOOKUP(D62,DMTK!$B$5:$D$263,3,0)</f>
        <v>GVHB Ghế tay vịn</v>
      </c>
      <c r="M62" s="23" t="str">
        <f>VLOOKUP(E62,DMTK!$B$5:$D$263,3,0)</f>
        <v>Ghế tay vịn</v>
      </c>
      <c r="N62" s="75" t="str">
        <f>IF(OR(LEFT($D62,3)="111",AND(LEFT(CT!$D62,3)="131",LEFT(CT!$E62,3)="511"),LEFT(CT!$E62,3)="111",LEFT(CT!$E62,3)="331"),"No","Yes")</f>
        <v>Yes</v>
      </c>
      <c r="O62" s="23"/>
      <c r="P62" s="58" t="str">
        <f t="shared" si="0"/>
        <v>TKCT</v>
      </c>
      <c r="Q62" s="58" t="str">
        <f t="shared" si="1"/>
        <v>TKCT</v>
      </c>
      <c r="R62" s="58"/>
      <c r="S62" s="58"/>
    </row>
    <row r="63" spans="1:19" x14ac:dyDescent="0.3">
      <c r="A63" s="63">
        <v>45322</v>
      </c>
      <c r="B63" s="23" t="s">
        <v>164</v>
      </c>
      <c r="C63" s="23" t="s">
        <v>165</v>
      </c>
      <c r="D63" s="7" t="s">
        <v>155</v>
      </c>
      <c r="E63" s="7" t="s">
        <v>166</v>
      </c>
      <c r="F63" s="59"/>
      <c r="G63" s="59"/>
      <c r="H63" s="59">
        <v>132331</v>
      </c>
      <c r="I63" s="59"/>
      <c r="J63" s="23" t="str">
        <f>IF(ISNA(VLOOKUP(D63,DMTK!$B$5:$B$263,1,0)),"Sai","Đúng")</f>
        <v>Đúng</v>
      </c>
      <c r="K63" s="23" t="str">
        <f>IF(ISNA(VLOOKUP(E63,DMTK!$B$5:$B$263,1,0)),"Sai","Đúng")</f>
        <v>Đúng</v>
      </c>
      <c r="L63" s="23" t="str">
        <f>VLOOKUP(D63,DMTK!$B$5:$D$263,3,0)</f>
        <v>Xác định kết quả kinh doanh (GKT)</v>
      </c>
      <c r="M63" s="23" t="str">
        <f>VLOOKUP(E63,DMTK!$B$5:$D$263,3,0)</f>
        <v>Chi phí khấu hao TSCĐ</v>
      </c>
      <c r="N63" s="75" t="str">
        <f>IF(OR(LEFT($D63,3)="111",AND(LEFT(CT!$D63,3)="131",LEFT(CT!$E63,3)="511"),LEFT(CT!$E63,3)="111",LEFT(CT!$E63,3)="331"),"No","Yes")</f>
        <v>Yes</v>
      </c>
      <c r="O63" s="23"/>
      <c r="P63" s="58" t="str">
        <f t="shared" si="0"/>
        <v>TKCT</v>
      </c>
      <c r="Q63" s="58" t="str">
        <f t="shared" si="1"/>
        <v>TKCT</v>
      </c>
      <c r="R63" s="58"/>
      <c r="S63" s="58"/>
    </row>
    <row r="64" spans="1:19" x14ac:dyDescent="0.3">
      <c r="A64" s="63">
        <v>45322</v>
      </c>
      <c r="B64" s="23" t="s">
        <v>148</v>
      </c>
      <c r="C64" s="23" t="s">
        <v>149</v>
      </c>
      <c r="D64" s="7" t="s">
        <v>152</v>
      </c>
      <c r="E64" s="7" t="s">
        <v>159</v>
      </c>
      <c r="F64" s="59"/>
      <c r="G64" s="59"/>
      <c r="H64" s="59">
        <v>140000</v>
      </c>
      <c r="I64" s="59"/>
      <c r="J64" s="23" t="str">
        <f>IF(ISNA(VLOOKUP(D64,DMTK!$B$5:$B$263,1,0)),"Sai","Đúng")</f>
        <v>Đúng</v>
      </c>
      <c r="K64" s="23" t="str">
        <f>IF(ISNA(VLOOKUP(E64,DMTK!$B$5:$B$263,1,0)),"Sai","Đúng")</f>
        <v>Đúng</v>
      </c>
      <c r="L64" s="23" t="str">
        <f>VLOOKUP(D64,DMTK!$B$5:$D$263,3,0)</f>
        <v>Chi phí nhân viên quản lý</v>
      </c>
      <c r="M64" s="23" t="str">
        <f>VLOOKUP(E64,DMTK!$B$5:$D$263,3,0)</f>
        <v>Kinh phí công đoàn</v>
      </c>
      <c r="N64" s="75" t="str">
        <f>IF(OR(LEFT($D64,3)="111",AND(LEFT(CT!$D64,3)="131",LEFT(CT!$E64,3)="511"),LEFT(CT!$E64,3)="111",LEFT(CT!$E64,3)="331"),"No","Yes")</f>
        <v>Yes</v>
      </c>
      <c r="O64" s="23"/>
      <c r="P64" s="58" t="str">
        <f t="shared" si="0"/>
        <v>TKCT</v>
      </c>
      <c r="Q64" s="58" t="str">
        <f t="shared" si="1"/>
        <v>TKCT</v>
      </c>
      <c r="R64" s="58"/>
      <c r="S64" s="58"/>
    </row>
    <row r="65" spans="1:19" x14ac:dyDescent="0.3">
      <c r="A65" s="63">
        <v>45322</v>
      </c>
      <c r="B65" s="23" t="s">
        <v>164</v>
      </c>
      <c r="C65" s="23" t="s">
        <v>165</v>
      </c>
      <c r="D65" s="7" t="s">
        <v>155</v>
      </c>
      <c r="E65" s="7" t="s">
        <v>167</v>
      </c>
      <c r="F65" s="59"/>
      <c r="G65" s="59"/>
      <c r="H65" s="59">
        <v>144361</v>
      </c>
      <c r="I65" s="59"/>
      <c r="J65" s="23" t="str">
        <f>IF(ISNA(VLOOKUP(D65,DMTK!$B$5:$B$263,1,0)),"Sai","Đúng")</f>
        <v>Đúng</v>
      </c>
      <c r="K65" s="23" t="str">
        <f>IF(ISNA(VLOOKUP(E65,DMTK!$B$5:$B$263,1,0)),"Sai","Đúng")</f>
        <v>Đúng</v>
      </c>
      <c r="L65" s="23" t="str">
        <f>VLOOKUP(D65,DMTK!$B$5:$D$263,3,0)</f>
        <v>Xác định kết quả kinh doanh (GKT)</v>
      </c>
      <c r="M65" s="23" t="str">
        <f>VLOOKUP(E65,DMTK!$B$5:$D$263,3,0)</f>
        <v>Chi phí đồ dùng văn phòng</v>
      </c>
      <c r="N65" s="75" t="str">
        <f>IF(OR(LEFT($D65,3)="111",AND(LEFT(CT!$D65,3)="131",LEFT(CT!$E65,3)="511"),LEFT(CT!$E65,3)="111",LEFT(CT!$E65,3)="331"),"No","Yes")</f>
        <v>Yes</v>
      </c>
      <c r="O65" s="23"/>
      <c r="P65" s="58" t="str">
        <f t="shared" si="0"/>
        <v>TKCT</v>
      </c>
      <c r="Q65" s="58" t="str">
        <f t="shared" si="1"/>
        <v>TKCT</v>
      </c>
      <c r="R65" s="58"/>
      <c r="S65" s="58"/>
    </row>
    <row r="66" spans="1:19" x14ac:dyDescent="0.3">
      <c r="A66" s="63">
        <v>45322</v>
      </c>
      <c r="B66" s="23" t="s">
        <v>148</v>
      </c>
      <c r="C66" s="23" t="s">
        <v>149</v>
      </c>
      <c r="D66" s="7" t="s">
        <v>150</v>
      </c>
      <c r="E66" s="7" t="s">
        <v>168</v>
      </c>
      <c r="F66" s="59"/>
      <c r="G66" s="59"/>
      <c r="H66" s="59">
        <v>150000</v>
      </c>
      <c r="I66" s="59"/>
      <c r="J66" s="23" t="str">
        <f>IF(ISNA(VLOOKUP(D66,DMTK!$B$5:$B$263,1,0)),"Sai","Đúng")</f>
        <v>Đúng</v>
      </c>
      <c r="K66" s="23" t="str">
        <f>IF(ISNA(VLOOKUP(E66,DMTK!$B$5:$B$263,1,0)),"Sai","Đúng")</f>
        <v>Đúng</v>
      </c>
      <c r="L66" s="23" t="str">
        <f>VLOOKUP(D66,DMTK!$B$5:$D$263,3,0)</f>
        <v xml:space="preserve">Chi phí nhân viên </v>
      </c>
      <c r="M66" s="23" t="str">
        <f>VLOOKUP(E66,DMTK!$B$5:$D$263,3,0)</f>
        <v>Bảo hiểm y tế</v>
      </c>
      <c r="N66" s="75" t="str">
        <f>IF(OR(LEFT($D66,3)="111",AND(LEFT(CT!$D66,3)="131",LEFT(CT!$E66,3)="511"),LEFT(CT!$E66,3)="111",LEFT(CT!$E66,3)="331"),"No","Yes")</f>
        <v>Yes</v>
      </c>
      <c r="O66" s="23"/>
      <c r="P66" s="58" t="str">
        <f t="shared" si="0"/>
        <v>TKCT</v>
      </c>
      <c r="Q66" s="58" t="str">
        <f t="shared" si="1"/>
        <v>TKCT</v>
      </c>
      <c r="R66" s="58"/>
      <c r="S66" s="58"/>
    </row>
    <row r="67" spans="1:19" x14ac:dyDescent="0.3">
      <c r="A67" s="63">
        <v>45322</v>
      </c>
      <c r="B67" s="23" t="s">
        <v>164</v>
      </c>
      <c r="C67" s="23" t="s">
        <v>165</v>
      </c>
      <c r="D67" s="7" t="s">
        <v>157</v>
      </c>
      <c r="E67" s="7" t="s">
        <v>166</v>
      </c>
      <c r="F67" s="59"/>
      <c r="G67" s="59"/>
      <c r="H67" s="59">
        <v>162599</v>
      </c>
      <c r="I67" s="59"/>
      <c r="J67" s="23" t="str">
        <f>IF(ISNA(VLOOKUP(D67,DMTK!$B$5:$B$263,1,0)),"Sai","Đúng")</f>
        <v>Đúng</v>
      </c>
      <c r="K67" s="23" t="str">
        <f>IF(ISNA(VLOOKUP(E67,DMTK!$B$5:$B$263,1,0)),"Sai","Đúng")</f>
        <v>Đúng</v>
      </c>
      <c r="L67" s="23" t="str">
        <f>VLOOKUP(D67,DMTK!$B$5:$D$263,3,0)</f>
        <v>Xác định kết quả kinh doanh (BO)</v>
      </c>
      <c r="M67" s="23" t="str">
        <f>VLOOKUP(E67,DMTK!$B$5:$D$263,3,0)</f>
        <v>Chi phí khấu hao TSCĐ</v>
      </c>
      <c r="N67" s="75" t="str">
        <f>IF(OR(LEFT($D67,3)="111",AND(LEFT(CT!$D67,3)="131",LEFT(CT!$E67,3)="511"),LEFT(CT!$E67,3)="111",LEFT(CT!$E67,3)="331"),"No","Yes")</f>
        <v>Yes</v>
      </c>
      <c r="O67" s="23"/>
      <c r="P67" s="58" t="str">
        <f t="shared" si="0"/>
        <v>TKCT</v>
      </c>
      <c r="Q67" s="58" t="str">
        <f t="shared" si="1"/>
        <v>TKCT</v>
      </c>
      <c r="R67" s="58"/>
      <c r="S67" s="58"/>
    </row>
    <row r="68" spans="1:19" x14ac:dyDescent="0.3">
      <c r="A68" s="63">
        <v>45322</v>
      </c>
      <c r="B68" s="23" t="s">
        <v>164</v>
      </c>
      <c r="C68" s="23" t="s">
        <v>165</v>
      </c>
      <c r="D68" s="7" t="s">
        <v>158</v>
      </c>
      <c r="E68" s="7" t="s">
        <v>166</v>
      </c>
      <c r="F68" s="59"/>
      <c r="G68" s="59"/>
      <c r="H68" s="59">
        <v>163403</v>
      </c>
      <c r="I68" s="59"/>
      <c r="J68" s="23" t="str">
        <f>IF(ISNA(VLOOKUP(D68,DMTK!$B$5:$B$263,1,0)),"Sai","Đúng")</f>
        <v>Đúng</v>
      </c>
      <c r="K68" s="23" t="str">
        <f>IF(ISNA(VLOOKUP(E68,DMTK!$B$5:$B$263,1,0)),"Sai","Đúng")</f>
        <v>Đúng</v>
      </c>
      <c r="L68" s="23" t="str">
        <f>VLOOKUP(D68,DMTK!$B$5:$D$263,3,0)</f>
        <v>Xác định kết quả kinh doanh (GTV)</v>
      </c>
      <c r="M68" s="23" t="str">
        <f>VLOOKUP(E68,DMTK!$B$5:$D$263,3,0)</f>
        <v>Chi phí khấu hao TSCĐ</v>
      </c>
      <c r="N68" s="75" t="str">
        <f>IF(OR(LEFT($D68,3)="111",AND(LEFT(CT!$D68,3)="131",LEFT(CT!$E68,3)="511"),LEFT(CT!$E68,3)="111",LEFT(CT!$E68,3)="331"),"No","Yes")</f>
        <v>Yes</v>
      </c>
      <c r="O68" s="23"/>
      <c r="P68" s="58" t="str">
        <f t="shared" si="0"/>
        <v>TKCT</v>
      </c>
      <c r="Q68" s="58" t="str">
        <f t="shared" si="1"/>
        <v>TKCT</v>
      </c>
      <c r="R68" s="58"/>
      <c r="S68" s="58"/>
    </row>
    <row r="69" spans="1:19" x14ac:dyDescent="0.3">
      <c r="A69" s="63">
        <v>45322</v>
      </c>
      <c r="B69" s="23" t="s">
        <v>164</v>
      </c>
      <c r="C69" s="23" t="s">
        <v>165</v>
      </c>
      <c r="D69" s="7" t="s">
        <v>157</v>
      </c>
      <c r="E69" s="7" t="s">
        <v>167</v>
      </c>
      <c r="F69" s="59"/>
      <c r="G69" s="59"/>
      <c r="H69" s="59">
        <v>177381</v>
      </c>
      <c r="I69" s="59"/>
      <c r="J69" s="23" t="str">
        <f>IF(ISNA(VLOOKUP(D69,DMTK!$B$5:$B$263,1,0)),"Sai","Đúng")</f>
        <v>Đúng</v>
      </c>
      <c r="K69" s="23" t="str">
        <f>IF(ISNA(VLOOKUP(E69,DMTK!$B$5:$B$263,1,0)),"Sai","Đúng")</f>
        <v>Đúng</v>
      </c>
      <c r="L69" s="23" t="str">
        <f>VLOOKUP(D69,DMTK!$B$5:$D$263,3,0)</f>
        <v>Xác định kết quả kinh doanh (BO)</v>
      </c>
      <c r="M69" s="23" t="str">
        <f>VLOOKUP(E69,DMTK!$B$5:$D$263,3,0)</f>
        <v>Chi phí đồ dùng văn phòng</v>
      </c>
      <c r="N69" s="75" t="str">
        <f>IF(OR(LEFT($D69,3)="111",AND(LEFT(CT!$D69,3)="131",LEFT(CT!$E69,3)="511"),LEFT(CT!$E69,3)="111",LEFT(CT!$E69,3)="331"),"No","Yes")</f>
        <v>Yes</v>
      </c>
      <c r="O69" s="23"/>
      <c r="P69" s="58" t="str">
        <f t="shared" si="0"/>
        <v>TKCT</v>
      </c>
      <c r="Q69" s="58" t="str">
        <f t="shared" si="1"/>
        <v>TKCT</v>
      </c>
      <c r="R69" s="58"/>
      <c r="S69" s="58"/>
    </row>
    <row r="70" spans="1:19" x14ac:dyDescent="0.3">
      <c r="A70" s="63">
        <v>45322</v>
      </c>
      <c r="B70" s="23" t="s">
        <v>164</v>
      </c>
      <c r="C70" s="23" t="s">
        <v>165</v>
      </c>
      <c r="D70" s="7" t="s">
        <v>158</v>
      </c>
      <c r="E70" s="7" t="s">
        <v>167</v>
      </c>
      <c r="F70" s="59"/>
      <c r="G70" s="59"/>
      <c r="H70" s="59">
        <v>178258</v>
      </c>
      <c r="I70" s="59"/>
      <c r="J70" s="23" t="str">
        <f>IF(ISNA(VLOOKUP(D70,DMTK!$B$5:$B$263,1,0)),"Sai","Đúng")</f>
        <v>Đúng</v>
      </c>
      <c r="K70" s="23" t="str">
        <f>IF(ISNA(VLOOKUP(E70,DMTK!$B$5:$B$263,1,0)),"Sai","Đúng")</f>
        <v>Đúng</v>
      </c>
      <c r="L70" s="23" t="str">
        <f>VLOOKUP(D70,DMTK!$B$5:$D$263,3,0)</f>
        <v>Xác định kết quả kinh doanh (GTV)</v>
      </c>
      <c r="M70" s="23" t="str">
        <f>VLOOKUP(E70,DMTK!$B$5:$D$263,3,0)</f>
        <v>Chi phí đồ dùng văn phòng</v>
      </c>
      <c r="N70" s="75" t="str">
        <f>IF(OR(LEFT($D70,3)="111",AND(LEFT(CT!$D70,3)="131",LEFT(CT!$E70,3)="511"),LEFT(CT!$E70,3)="111",LEFT(CT!$E70,3)="331"),"No","Yes")</f>
        <v>Yes</v>
      </c>
      <c r="O70" s="23"/>
      <c r="P70" s="58" t="str">
        <f t="shared" ref="P70:P133" si="4">IF(LEN(D70)&gt;3,"TKCT","TKTH")</f>
        <v>TKCT</v>
      </c>
      <c r="Q70" s="58" t="str">
        <f t="shared" ref="Q70:Q133" si="5">IF(LEN(E70)&gt;3,"TKCT","TKTH")</f>
        <v>TKCT</v>
      </c>
      <c r="R70" s="58"/>
      <c r="S70" s="58"/>
    </row>
    <row r="71" spans="1:19" x14ac:dyDescent="0.3">
      <c r="A71" s="63">
        <v>45322</v>
      </c>
      <c r="B71" s="23" t="s">
        <v>148</v>
      </c>
      <c r="C71" s="23" t="s">
        <v>149</v>
      </c>
      <c r="D71" s="7" t="s">
        <v>152</v>
      </c>
      <c r="E71" s="7" t="s">
        <v>168</v>
      </c>
      <c r="F71" s="59"/>
      <c r="G71" s="59"/>
      <c r="H71" s="59">
        <v>210000</v>
      </c>
      <c r="I71" s="59"/>
      <c r="J71" s="23" t="str">
        <f>IF(ISNA(VLOOKUP(D71,DMTK!$B$5:$B$263,1,0)),"Sai","Đúng")</f>
        <v>Đúng</v>
      </c>
      <c r="K71" s="23" t="str">
        <f>IF(ISNA(VLOOKUP(E71,DMTK!$B$5:$B$263,1,0)),"Sai","Đúng")</f>
        <v>Đúng</v>
      </c>
      <c r="L71" s="23" t="str">
        <f>VLOOKUP(D71,DMTK!$B$5:$D$263,3,0)</f>
        <v>Chi phí nhân viên quản lý</v>
      </c>
      <c r="M71" s="23" t="str">
        <f>VLOOKUP(E71,DMTK!$B$5:$D$263,3,0)</f>
        <v>Bảo hiểm y tế</v>
      </c>
      <c r="N71" s="75" t="str">
        <f>IF(OR(LEFT($D71,3)="111",AND(LEFT(CT!$D71,3)="131",LEFT(CT!$E71,3)="511"),LEFT(CT!$E71,3)="111",LEFT(CT!$E71,3)="331"),"No","Yes")</f>
        <v>Yes</v>
      </c>
      <c r="O71" s="23"/>
      <c r="P71" s="58" t="str">
        <f t="shared" si="4"/>
        <v>TKCT</v>
      </c>
      <c r="Q71" s="58" t="str">
        <f t="shared" si="5"/>
        <v>TKCT</v>
      </c>
      <c r="R71" s="58"/>
      <c r="S71" s="58"/>
    </row>
    <row r="72" spans="1:19" x14ac:dyDescent="0.3">
      <c r="A72" s="63">
        <v>45322</v>
      </c>
      <c r="B72" s="23" t="s">
        <v>169</v>
      </c>
      <c r="C72" s="23" t="s">
        <v>170</v>
      </c>
      <c r="D72" s="7" t="s">
        <v>156</v>
      </c>
      <c r="E72" s="24" t="s">
        <v>98</v>
      </c>
      <c r="F72" s="59"/>
      <c r="G72" s="59"/>
      <c r="H72" s="59">
        <v>250000</v>
      </c>
      <c r="I72" s="59"/>
      <c r="J72" s="23" t="str">
        <f>IF(ISNA(VLOOKUP(D72,DMTK!$B$5:$B$263,1,0)),"Sai","Đúng")</f>
        <v>Đúng</v>
      </c>
      <c r="K72" s="23" t="str">
        <f>IF(ISNA(VLOOKUP(E72,DMTK!$B$5:$B$263,1,0)),"Sai","Đúng")</f>
        <v>Đúng</v>
      </c>
      <c r="L72" s="23" t="str">
        <f>VLOOKUP(D72,DMTK!$B$5:$D$263,3,0)</f>
        <v>Chi phí dụng cụ, đồ dùng</v>
      </c>
      <c r="M72" s="23" t="str">
        <f>VLOOKUP(E72,DMTK!$B$5:$D$263,3,0)</f>
        <v>Kệ tủ (không quá 12 tháng)</v>
      </c>
      <c r="N72" s="75" t="str">
        <f>IF(OR(LEFT($D72,3)="111",AND(LEFT(CT!$D72,3)="131",LEFT(CT!$E72,3)="511"),LEFT(CT!$E72,3)="111",LEFT(CT!$E72,3)="331"),"No","Yes")</f>
        <v>Yes</v>
      </c>
      <c r="O72" s="23"/>
      <c r="P72" s="58" t="str">
        <f t="shared" si="4"/>
        <v>TKCT</v>
      </c>
      <c r="Q72" s="58" t="str">
        <f t="shared" si="5"/>
        <v>TKCT</v>
      </c>
      <c r="R72" s="58"/>
      <c r="S72" s="58"/>
    </row>
    <row r="73" spans="1:19" x14ac:dyDescent="0.3">
      <c r="A73" s="63">
        <v>45322</v>
      </c>
      <c r="B73" s="23" t="s">
        <v>160</v>
      </c>
      <c r="C73" s="23" t="s">
        <v>161</v>
      </c>
      <c r="D73" s="7" t="s">
        <v>114</v>
      </c>
      <c r="E73" s="7" t="s">
        <v>171</v>
      </c>
      <c r="F73" s="59"/>
      <c r="G73" s="59"/>
      <c r="H73" s="59">
        <v>336132</v>
      </c>
      <c r="I73" s="59"/>
      <c r="J73" s="23" t="str">
        <f>IF(ISNA(VLOOKUP(D73,DMTK!$B$5:$B$263,1,0)),"Sai","Đúng")</f>
        <v>Đúng</v>
      </c>
      <c r="K73" s="23" t="str">
        <f>IF(ISNA(VLOOKUP(E73,DMTK!$B$5:$B$263,1,0)),"Sai","Đúng")</f>
        <v>Đúng</v>
      </c>
      <c r="L73" s="23" t="str">
        <f>VLOOKUP(D73,DMTK!$B$5:$D$263,3,0)</f>
        <v>Bàn tròn</v>
      </c>
      <c r="M73" s="23" t="str">
        <f>VLOOKUP(E73,DMTK!$B$5:$D$263,3,0)</f>
        <v>Chi phí khấu hao TSCĐ</v>
      </c>
      <c r="N73" s="75" t="str">
        <f>IF(OR(LEFT($D73,3)="111",AND(LEFT(CT!$D73,3)="131",LEFT(CT!$E73,3)="511"),LEFT(CT!$E73,3)="111",LEFT(CT!$E73,3)="331"),"No","Yes")</f>
        <v>Yes</v>
      </c>
      <c r="O73" s="23"/>
      <c r="P73" s="58" t="str">
        <f t="shared" si="4"/>
        <v>TKCT</v>
      </c>
      <c r="Q73" s="58" t="str">
        <f t="shared" si="5"/>
        <v>TKCT</v>
      </c>
      <c r="R73" s="58"/>
      <c r="S73" s="58"/>
    </row>
    <row r="74" spans="1:19" x14ac:dyDescent="0.3">
      <c r="A74" s="63">
        <v>45322</v>
      </c>
      <c r="B74" s="23" t="s">
        <v>162</v>
      </c>
      <c r="C74" s="23" t="s">
        <v>163</v>
      </c>
      <c r="D74" s="7" t="s">
        <v>132</v>
      </c>
      <c r="E74" s="7" t="s">
        <v>121</v>
      </c>
      <c r="F74" s="59"/>
      <c r="G74" s="59"/>
      <c r="H74" s="59">
        <v>346200</v>
      </c>
      <c r="I74" s="59"/>
      <c r="J74" s="23" t="str">
        <f>IF(ISNA(VLOOKUP(D74,DMTK!$B$5:$B$263,1,0)),"Sai","Đúng")</f>
        <v>Đúng</v>
      </c>
      <c r="K74" s="23" t="str">
        <f>IF(ISNA(VLOOKUP(E74,DMTK!$B$5:$B$263,1,0)),"Sai","Đúng")</f>
        <v>Đúng</v>
      </c>
      <c r="L74" s="23" t="str">
        <f>VLOOKUP(D74,DMTK!$B$5:$D$263,3,0)</f>
        <v>GVHB Ghế không tay</v>
      </c>
      <c r="M74" s="23" t="str">
        <f>VLOOKUP(E74,DMTK!$B$5:$D$263,3,0)</f>
        <v>Ghế không tay</v>
      </c>
      <c r="N74" s="75" t="str">
        <f>IF(OR(LEFT($D74,3)="111",AND(LEFT(CT!$D74,3)="131",LEFT(CT!$E74,3)="511"),LEFT(CT!$E74,3)="111",LEFT(CT!$E74,3)="331"),"No","Yes")</f>
        <v>Yes</v>
      </c>
      <c r="O74" s="23"/>
      <c r="P74" s="58" t="str">
        <f t="shared" si="4"/>
        <v>TKCT</v>
      </c>
      <c r="Q74" s="58" t="str">
        <f t="shared" si="5"/>
        <v>TKCT</v>
      </c>
      <c r="R74" s="58"/>
      <c r="S74" s="58"/>
    </row>
    <row r="75" spans="1:19" x14ac:dyDescent="0.3">
      <c r="A75" s="63">
        <v>45322</v>
      </c>
      <c r="B75" s="23" t="s">
        <v>148</v>
      </c>
      <c r="C75" s="23" t="s">
        <v>149</v>
      </c>
      <c r="D75" s="7" t="s">
        <v>172</v>
      </c>
      <c r="E75" s="7" t="s">
        <v>151</v>
      </c>
      <c r="F75" s="59"/>
      <c r="G75" s="59"/>
      <c r="H75" s="59">
        <v>350000</v>
      </c>
      <c r="I75" s="59"/>
      <c r="J75" s="23" t="str">
        <f>IF(ISNA(VLOOKUP(D75,DMTK!$B$5:$B$263,1,0)),"Sai","Đúng")</f>
        <v>Đúng</v>
      </c>
      <c r="K75" s="23" t="str">
        <f>IF(ISNA(VLOOKUP(E75,DMTK!$B$5:$B$263,1,0)),"Sai","Đúng")</f>
        <v>Đúng</v>
      </c>
      <c r="L75" s="23" t="str">
        <f>VLOOKUP(D75,DMTK!$B$5:$D$263,3,0)</f>
        <v>Chi phí nhân viên phân xưởng</v>
      </c>
      <c r="M75" s="23" t="str">
        <f>VLOOKUP(E75,DMTK!$B$5:$D$263,3,0)</f>
        <v>Phải trả, phải nộp khác</v>
      </c>
      <c r="N75" s="75" t="str">
        <f>IF(OR(LEFT($D75,3)="111",AND(LEFT(CT!$D75,3)="131",LEFT(CT!$E75,3)="511"),LEFT(CT!$E75,3)="111",LEFT(CT!$E75,3)="331"),"No","Yes")</f>
        <v>Yes</v>
      </c>
      <c r="O75" s="23"/>
      <c r="P75" s="58" t="str">
        <f t="shared" si="4"/>
        <v>TKCT</v>
      </c>
      <c r="Q75" s="58" t="str">
        <f t="shared" si="5"/>
        <v>TKCT</v>
      </c>
      <c r="R75" s="58"/>
      <c r="S75" s="58"/>
    </row>
    <row r="76" spans="1:19" x14ac:dyDescent="0.3">
      <c r="A76" s="63">
        <v>45322</v>
      </c>
      <c r="B76" s="23" t="s">
        <v>160</v>
      </c>
      <c r="C76" s="23" t="s">
        <v>161</v>
      </c>
      <c r="D76" s="7" t="s">
        <v>118</v>
      </c>
      <c r="E76" s="7" t="s">
        <v>105</v>
      </c>
      <c r="F76" s="59"/>
      <c r="G76" s="59"/>
      <c r="H76" s="59">
        <v>399160</v>
      </c>
      <c r="I76" s="59"/>
      <c r="J76" s="23" t="str">
        <f>IF(ISNA(VLOOKUP(D76,DMTK!$B$5:$B$263,1,0)),"Sai","Đúng")</f>
        <v>Đúng</v>
      </c>
      <c r="K76" s="23" t="str">
        <f>IF(ISNA(VLOOKUP(E76,DMTK!$B$5:$B$263,1,0)),"Sai","Đúng")</f>
        <v>Đúng</v>
      </c>
      <c r="L76" s="23" t="str">
        <f>VLOOKUP(D76,DMTK!$B$5:$D$263,3,0)</f>
        <v>Ghế tay vịn</v>
      </c>
      <c r="M76" s="23" t="str">
        <f>VLOOKUP(E76,DMTK!$B$5:$D$263,3,0)</f>
        <v>Chi phí dụng cụ sản xuất</v>
      </c>
      <c r="N76" s="75" t="str">
        <f>IF(OR(LEFT($D76,3)="111",AND(LEFT(CT!$D76,3)="131",LEFT(CT!$E76,3)="511"),LEFT(CT!$E76,3)="111",LEFT(CT!$E76,3)="331"),"No","Yes")</f>
        <v>Yes</v>
      </c>
      <c r="O76" s="23"/>
      <c r="P76" s="58" t="str">
        <f t="shared" si="4"/>
        <v>TKCT</v>
      </c>
      <c r="Q76" s="58" t="str">
        <f t="shared" si="5"/>
        <v>TKCT</v>
      </c>
      <c r="R76" s="58"/>
      <c r="S76" s="58"/>
    </row>
    <row r="77" spans="1:19" x14ac:dyDescent="0.3">
      <c r="A77" s="63">
        <v>45322</v>
      </c>
      <c r="B77" s="23" t="s">
        <v>148</v>
      </c>
      <c r="C77" s="23" t="s">
        <v>149</v>
      </c>
      <c r="D77" s="7" t="s">
        <v>173</v>
      </c>
      <c r="E77" s="7" t="s">
        <v>151</v>
      </c>
      <c r="F77" s="59"/>
      <c r="G77" s="59"/>
      <c r="H77" s="59">
        <v>400000</v>
      </c>
      <c r="I77" s="59"/>
      <c r="J77" s="23" t="str">
        <f>IF(ISNA(VLOOKUP(D77,DMTK!$B$5:$B$263,1,0)),"Sai","Đúng")</f>
        <v>Đúng</v>
      </c>
      <c r="K77" s="23" t="str">
        <f>IF(ISNA(VLOOKUP(E77,DMTK!$B$5:$B$263,1,0)),"Sai","Đúng")</f>
        <v>Đúng</v>
      </c>
      <c r="L77" s="23" t="str">
        <f>VLOOKUP(D77,DMTK!$B$5:$D$263,3,0)</f>
        <v>CFNC Ghế tay vịn</v>
      </c>
      <c r="M77" s="23" t="str">
        <f>VLOOKUP(E77,DMTK!$B$5:$D$263,3,0)</f>
        <v>Phải trả, phải nộp khác</v>
      </c>
      <c r="N77" s="75" t="str">
        <f>IF(OR(LEFT($D77,3)="111",AND(LEFT(CT!$D77,3)="131",LEFT(CT!$E77,3)="511"),LEFT(CT!$E77,3)="111",LEFT(CT!$E77,3)="331"),"No","Yes")</f>
        <v>Yes</v>
      </c>
      <c r="O77" s="23"/>
      <c r="P77" s="58" t="str">
        <f t="shared" si="4"/>
        <v>TKCT</v>
      </c>
      <c r="Q77" s="58" t="str">
        <f t="shared" si="5"/>
        <v>TKCT</v>
      </c>
      <c r="R77" s="58"/>
      <c r="S77" s="58"/>
    </row>
    <row r="78" spans="1:19" x14ac:dyDescent="0.3">
      <c r="A78" s="63">
        <v>45322</v>
      </c>
      <c r="B78" s="23" t="s">
        <v>148</v>
      </c>
      <c r="C78" s="23" t="s">
        <v>149</v>
      </c>
      <c r="D78" s="7" t="s">
        <v>174</v>
      </c>
      <c r="E78" s="7" t="s">
        <v>151</v>
      </c>
      <c r="F78" s="59"/>
      <c r="G78" s="59"/>
      <c r="H78" s="59">
        <v>400000</v>
      </c>
      <c r="I78" s="59"/>
      <c r="J78" s="23" t="str">
        <f>IF(ISNA(VLOOKUP(D78,DMTK!$B$5:$B$263,1,0)),"Sai","Đúng")</f>
        <v>Đúng</v>
      </c>
      <c r="K78" s="23" t="str">
        <f>IF(ISNA(VLOOKUP(E78,DMTK!$B$5:$B$263,1,0)),"Sai","Đúng")</f>
        <v>Đúng</v>
      </c>
      <c r="L78" s="23" t="str">
        <f>VLOOKUP(D78,DMTK!$B$5:$D$263,3,0)</f>
        <v>CFNC Ghế không tay</v>
      </c>
      <c r="M78" s="23" t="str">
        <f>VLOOKUP(E78,DMTK!$B$5:$D$263,3,0)</f>
        <v>Phải trả, phải nộp khác</v>
      </c>
      <c r="N78" s="75" t="str">
        <f>IF(OR(LEFT($D78,3)="111",AND(LEFT(CT!$D78,3)="131",LEFT(CT!$E78,3)="511"),LEFT(CT!$E78,3)="111",LEFT(CT!$E78,3)="331"),"No","Yes")</f>
        <v>Yes</v>
      </c>
      <c r="O78" s="23"/>
      <c r="P78" s="58" t="str">
        <f t="shared" si="4"/>
        <v>TKCT</v>
      </c>
      <c r="Q78" s="58" t="str">
        <f t="shared" si="5"/>
        <v>TKCT</v>
      </c>
      <c r="R78" s="58"/>
      <c r="S78" s="58"/>
    </row>
    <row r="79" spans="1:19" x14ac:dyDescent="0.3">
      <c r="A79" s="63">
        <v>45322</v>
      </c>
      <c r="B79" s="23" t="s">
        <v>148</v>
      </c>
      <c r="C79" s="23" t="s">
        <v>149</v>
      </c>
      <c r="D79" s="7" t="s">
        <v>175</v>
      </c>
      <c r="E79" s="7" t="s">
        <v>151</v>
      </c>
      <c r="F79" s="59"/>
      <c r="G79" s="59"/>
      <c r="H79" s="59">
        <v>400000</v>
      </c>
      <c r="I79" s="59"/>
      <c r="J79" s="23" t="str">
        <f>IF(ISNA(VLOOKUP(D79,DMTK!$B$5:$B$263,1,0)),"Sai","Đúng")</f>
        <v>Đúng</v>
      </c>
      <c r="K79" s="23" t="str">
        <f>IF(ISNA(VLOOKUP(E79,DMTK!$B$5:$B$263,1,0)),"Sai","Đúng")</f>
        <v>Đúng</v>
      </c>
      <c r="L79" s="23" t="str">
        <f>VLOOKUP(D79,DMTK!$B$5:$D$263,3,0)</f>
        <v>CFNC Bàn tròn</v>
      </c>
      <c r="M79" s="23" t="str">
        <f>VLOOKUP(E79,DMTK!$B$5:$D$263,3,0)</f>
        <v>Phải trả, phải nộp khác</v>
      </c>
      <c r="N79" s="75" t="str">
        <f>IF(OR(LEFT($D79,3)="111",AND(LEFT(CT!$D79,3)="131",LEFT(CT!$E79,3)="511"),LEFT(CT!$E79,3)="111",LEFT(CT!$E79,3)="331"),"No","Yes")</f>
        <v>Yes</v>
      </c>
      <c r="O79" s="23"/>
      <c r="P79" s="58" t="str">
        <f t="shared" si="4"/>
        <v>TKCT</v>
      </c>
      <c r="Q79" s="58" t="str">
        <f t="shared" si="5"/>
        <v>TKCT</v>
      </c>
      <c r="R79" s="58"/>
      <c r="S79" s="58"/>
    </row>
    <row r="80" spans="1:19" x14ac:dyDescent="0.3">
      <c r="A80" s="63">
        <v>45322</v>
      </c>
      <c r="B80" s="23" t="s">
        <v>148</v>
      </c>
      <c r="C80" s="23" t="s">
        <v>149</v>
      </c>
      <c r="D80" s="7" t="s">
        <v>176</v>
      </c>
      <c r="E80" s="7" t="s">
        <v>151</v>
      </c>
      <c r="F80" s="59"/>
      <c r="G80" s="59"/>
      <c r="H80" s="59">
        <v>400000</v>
      </c>
      <c r="I80" s="59"/>
      <c r="J80" s="23" t="str">
        <f>IF(ISNA(VLOOKUP(D80,DMTK!$B$5:$B$263,1,0)),"Sai","Đúng")</f>
        <v>Đúng</v>
      </c>
      <c r="K80" s="23" t="str">
        <f>IF(ISNA(VLOOKUP(E80,DMTK!$B$5:$B$263,1,0)),"Sai","Đúng")</f>
        <v>Đúng</v>
      </c>
      <c r="L80" s="23" t="str">
        <f>VLOOKUP(D80,DMTK!$B$5:$D$263,3,0)</f>
        <v>CFNCBàn oval</v>
      </c>
      <c r="M80" s="23" t="str">
        <f>VLOOKUP(E80,DMTK!$B$5:$D$263,3,0)</f>
        <v>Phải trả, phải nộp khác</v>
      </c>
      <c r="N80" s="75" t="str">
        <f>IF(OR(LEFT($D80,3)="111",AND(LEFT(CT!$D80,3)="131",LEFT(CT!$E80,3)="511"),LEFT(CT!$E80,3)="111",LEFT(CT!$E80,3)="331"),"No","Yes")</f>
        <v>Yes</v>
      </c>
      <c r="O80" s="23"/>
      <c r="P80" s="58" t="str">
        <f t="shared" si="4"/>
        <v>TKCT</v>
      </c>
      <c r="Q80" s="58" t="str">
        <f t="shared" si="5"/>
        <v>TKCT</v>
      </c>
      <c r="R80" s="58"/>
      <c r="S80" s="58"/>
    </row>
    <row r="81" spans="1:19" x14ac:dyDescent="0.3">
      <c r="A81" s="63">
        <v>45322</v>
      </c>
      <c r="B81" s="23" t="s">
        <v>148</v>
      </c>
      <c r="C81" s="23" t="s">
        <v>149</v>
      </c>
      <c r="D81" s="7" t="s">
        <v>177</v>
      </c>
      <c r="E81" s="7" t="s">
        <v>151</v>
      </c>
      <c r="F81" s="59"/>
      <c r="G81" s="59"/>
      <c r="H81" s="59">
        <v>400000</v>
      </c>
      <c r="I81" s="59"/>
      <c r="J81" s="23" t="str">
        <f>IF(ISNA(VLOOKUP(D81,DMTK!$B$5:$B$263,1,0)),"Sai","Đúng")</f>
        <v>Đúng</v>
      </c>
      <c r="K81" s="23" t="str">
        <f>IF(ISNA(VLOOKUP(E81,DMTK!$B$5:$B$263,1,0)),"Sai","Đúng")</f>
        <v>Đúng</v>
      </c>
      <c r="L81" s="23" t="str">
        <f>VLOOKUP(D81,DMTK!$B$5:$D$263,3,0)</f>
        <v>CFNC Bàn chữ nhật</v>
      </c>
      <c r="M81" s="23" t="str">
        <f>VLOOKUP(E81,DMTK!$B$5:$D$263,3,0)</f>
        <v>Phải trả, phải nộp khác</v>
      </c>
      <c r="N81" s="75" t="str">
        <f>IF(OR(LEFT($D81,3)="111",AND(LEFT(CT!$D81,3)="131",LEFT(CT!$E81,3)="511"),LEFT(CT!$E81,3)="111",LEFT(CT!$E81,3)="331"),"No","Yes")</f>
        <v>Yes</v>
      </c>
      <c r="O81" s="23"/>
      <c r="P81" s="58" t="str">
        <f t="shared" si="4"/>
        <v>TKCT</v>
      </c>
      <c r="Q81" s="58" t="str">
        <f t="shared" si="5"/>
        <v>TKCT</v>
      </c>
      <c r="R81" s="58"/>
      <c r="S81" s="58"/>
    </row>
    <row r="82" spans="1:19" x14ac:dyDescent="0.3">
      <c r="A82" s="63">
        <v>45322</v>
      </c>
      <c r="B82" s="23" t="s">
        <v>178</v>
      </c>
      <c r="C82" s="23" t="s">
        <v>179</v>
      </c>
      <c r="D82" s="7" t="s">
        <v>166</v>
      </c>
      <c r="E82" s="7" t="s">
        <v>180</v>
      </c>
      <c r="F82" s="59"/>
      <c r="G82" s="59"/>
      <c r="H82" s="59">
        <v>458333</v>
      </c>
      <c r="I82" s="59"/>
      <c r="J82" s="23" t="str">
        <f>IF(ISNA(VLOOKUP(D82,DMTK!$B$5:$B$263,1,0)),"Sai","Đúng")</f>
        <v>Đúng</v>
      </c>
      <c r="K82" s="23" t="str">
        <f>IF(ISNA(VLOOKUP(E82,DMTK!$B$5:$B$263,1,0)),"Sai","Đúng")</f>
        <v>Đúng</v>
      </c>
      <c r="L82" s="23" t="str">
        <f>VLOOKUP(D82,DMTK!$B$5:$D$263,3,0)</f>
        <v>Chi phí khấu hao TSCĐ</v>
      </c>
      <c r="M82" s="23" t="str">
        <f>VLOOKUP(E82,DMTK!$B$5:$D$263,3,0)</f>
        <v>Hao mòn TSCĐ hữu hình</v>
      </c>
      <c r="N82" s="75" t="str">
        <f>IF(OR(LEFT($D82,3)="111",AND(LEFT(CT!$D82,3)="131",LEFT(CT!$E82,3)="511"),LEFT(CT!$E82,3)="111",LEFT(CT!$E82,3)="331"),"No","Yes")</f>
        <v>Yes</v>
      </c>
      <c r="O82" s="23"/>
      <c r="P82" s="58" t="str">
        <f t="shared" si="4"/>
        <v>TKCT</v>
      </c>
      <c r="Q82" s="58" t="str">
        <f t="shared" si="5"/>
        <v>TKCT</v>
      </c>
      <c r="R82" s="58"/>
      <c r="S82" s="58"/>
    </row>
    <row r="83" spans="1:19" x14ac:dyDescent="0.3">
      <c r="A83" s="63">
        <v>45322</v>
      </c>
      <c r="B83" s="23" t="s">
        <v>169</v>
      </c>
      <c r="C83" s="23" t="s">
        <v>170</v>
      </c>
      <c r="D83" s="60" t="s">
        <v>167</v>
      </c>
      <c r="E83" s="60" t="s">
        <v>101</v>
      </c>
      <c r="F83" s="59"/>
      <c r="G83" s="59"/>
      <c r="H83" s="59">
        <v>500000</v>
      </c>
      <c r="I83" s="59"/>
      <c r="J83" s="23" t="str">
        <f>IF(ISNA(VLOOKUP(D83,DMTK!$B$5:$B$263,1,0)),"Sai","Đúng")</f>
        <v>Đúng</v>
      </c>
      <c r="K83" s="23" t="str">
        <f>IF(ISNA(VLOOKUP(E83,DMTK!$B$5:$B$263,1,0)),"Sai","Đúng")</f>
        <v>Đúng</v>
      </c>
      <c r="L83" s="23" t="str">
        <f>VLOOKUP(D83,DMTK!$B$5:$D$263,3,0)</f>
        <v>Chi phí đồ dùng văn phòng</v>
      </c>
      <c r="M83" s="23" t="str">
        <f>VLOOKUP(E83,DMTK!$B$5:$D$263,3,0)</f>
        <v>Máy tính Casio (không quá 12 tháng)</v>
      </c>
      <c r="N83" s="75" t="str">
        <f>IF(OR(LEFT($D83,3)="111",AND(LEFT(CT!$D83,3)="131",LEFT(CT!$E83,3)="511"),LEFT(CT!$E83,3)="111",LEFT(CT!$E83,3)="331"),"No","Yes")</f>
        <v>Yes</v>
      </c>
      <c r="O83" s="23"/>
      <c r="P83" s="58" t="str">
        <f t="shared" si="4"/>
        <v>TKCT</v>
      </c>
      <c r="Q83" s="58" t="str">
        <f t="shared" si="5"/>
        <v>TKCT</v>
      </c>
      <c r="R83" s="58"/>
      <c r="S83" s="58"/>
    </row>
    <row r="84" spans="1:19" x14ac:dyDescent="0.3">
      <c r="A84" s="63">
        <v>45322</v>
      </c>
      <c r="B84" s="23" t="s">
        <v>148</v>
      </c>
      <c r="C84" s="23" t="s">
        <v>149</v>
      </c>
      <c r="D84" s="7" t="s">
        <v>172</v>
      </c>
      <c r="E84" s="7" t="s">
        <v>159</v>
      </c>
      <c r="F84" s="59"/>
      <c r="G84" s="59"/>
      <c r="H84" s="59">
        <v>700000</v>
      </c>
      <c r="I84" s="59"/>
      <c r="J84" s="23" t="str">
        <f>IF(ISNA(VLOOKUP(D84,DMTK!$B$5:$B$263,1,0)),"Sai","Đúng")</f>
        <v>Đúng</v>
      </c>
      <c r="K84" s="23" t="str">
        <f>IF(ISNA(VLOOKUP(E84,DMTK!$B$5:$B$263,1,0)),"Sai","Đúng")</f>
        <v>Đúng</v>
      </c>
      <c r="L84" s="23" t="str">
        <f>VLOOKUP(D84,DMTK!$B$5:$D$263,3,0)</f>
        <v>Chi phí nhân viên phân xưởng</v>
      </c>
      <c r="M84" s="23" t="str">
        <f>VLOOKUP(E84,DMTK!$B$5:$D$263,3,0)</f>
        <v>Kinh phí công đoàn</v>
      </c>
      <c r="N84" s="75" t="str">
        <f>IF(OR(LEFT($D84,3)="111",AND(LEFT(CT!$D84,3)="131",LEFT(CT!$E84,3)="511"),LEFT(CT!$E84,3)="111",LEFT(CT!$E84,3)="331"),"No","Yes")</f>
        <v>Yes</v>
      </c>
      <c r="O84" s="23"/>
      <c r="P84" s="58" t="str">
        <f t="shared" si="4"/>
        <v>TKCT</v>
      </c>
      <c r="Q84" s="58" t="str">
        <f t="shared" si="5"/>
        <v>TKCT</v>
      </c>
      <c r="R84" s="58"/>
      <c r="S84" s="58"/>
    </row>
    <row r="85" spans="1:19" x14ac:dyDescent="0.3">
      <c r="A85" s="63">
        <v>45322</v>
      </c>
      <c r="B85" s="23" t="s">
        <v>148</v>
      </c>
      <c r="C85" s="23" t="s">
        <v>149</v>
      </c>
      <c r="D85" s="7" t="s">
        <v>173</v>
      </c>
      <c r="E85" s="7" t="s">
        <v>159</v>
      </c>
      <c r="F85" s="59"/>
      <c r="G85" s="59"/>
      <c r="H85" s="59">
        <v>800000</v>
      </c>
      <c r="I85" s="59"/>
      <c r="J85" s="23" t="str">
        <f>IF(ISNA(VLOOKUP(D85,DMTK!$B$5:$B$263,1,0)),"Sai","Đúng")</f>
        <v>Đúng</v>
      </c>
      <c r="K85" s="23" t="str">
        <f>IF(ISNA(VLOOKUP(E85,DMTK!$B$5:$B$263,1,0)),"Sai","Đúng")</f>
        <v>Đúng</v>
      </c>
      <c r="L85" s="23" t="str">
        <f>VLOOKUP(D85,DMTK!$B$5:$D$263,3,0)</f>
        <v>CFNC Ghế tay vịn</v>
      </c>
      <c r="M85" s="23" t="str">
        <f>VLOOKUP(E85,DMTK!$B$5:$D$263,3,0)</f>
        <v>Kinh phí công đoàn</v>
      </c>
      <c r="N85" s="75" t="str">
        <f>IF(OR(LEFT($D85,3)="111",AND(LEFT(CT!$D85,3)="131",LEFT(CT!$E85,3)="511"),LEFT(CT!$E85,3)="111",LEFT(CT!$E85,3)="331"),"No","Yes")</f>
        <v>Yes</v>
      </c>
      <c r="O85" s="23"/>
      <c r="P85" s="58" t="str">
        <f t="shared" si="4"/>
        <v>TKCT</v>
      </c>
      <c r="Q85" s="58" t="str">
        <f t="shared" si="5"/>
        <v>TKCT</v>
      </c>
      <c r="R85" s="58"/>
      <c r="S85" s="58"/>
    </row>
    <row r="86" spans="1:19" x14ac:dyDescent="0.3">
      <c r="A86" s="63">
        <v>45322</v>
      </c>
      <c r="B86" s="23" t="s">
        <v>148</v>
      </c>
      <c r="C86" s="23" t="s">
        <v>149</v>
      </c>
      <c r="D86" s="7" t="s">
        <v>174</v>
      </c>
      <c r="E86" s="7" t="s">
        <v>159</v>
      </c>
      <c r="F86" s="59"/>
      <c r="G86" s="59"/>
      <c r="H86" s="59">
        <v>800000</v>
      </c>
      <c r="I86" s="59"/>
      <c r="J86" s="23" t="str">
        <f>IF(ISNA(VLOOKUP(D86,DMTK!$B$5:$B$263,1,0)),"Sai","Đúng")</f>
        <v>Đúng</v>
      </c>
      <c r="K86" s="23" t="str">
        <f>IF(ISNA(VLOOKUP(E86,DMTK!$B$5:$B$263,1,0)),"Sai","Đúng")</f>
        <v>Đúng</v>
      </c>
      <c r="L86" s="23" t="str">
        <f>VLOOKUP(D86,DMTK!$B$5:$D$263,3,0)</f>
        <v>CFNC Ghế không tay</v>
      </c>
      <c r="M86" s="23" t="str">
        <f>VLOOKUP(E86,DMTK!$B$5:$D$263,3,0)</f>
        <v>Kinh phí công đoàn</v>
      </c>
      <c r="N86" s="75" t="str">
        <f>IF(OR(LEFT($D86,3)="111",AND(LEFT(CT!$D86,3)="131",LEFT(CT!$E86,3)="511"),LEFT(CT!$E86,3)="111",LEFT(CT!$E86,3)="331"),"No","Yes")</f>
        <v>Yes</v>
      </c>
      <c r="O86" s="23"/>
      <c r="P86" s="58" t="str">
        <f t="shared" si="4"/>
        <v>TKCT</v>
      </c>
      <c r="Q86" s="58" t="str">
        <f t="shared" si="5"/>
        <v>TKCT</v>
      </c>
      <c r="R86" s="58"/>
      <c r="S86" s="58"/>
    </row>
    <row r="87" spans="1:19" x14ac:dyDescent="0.3">
      <c r="A87" s="63">
        <v>45322</v>
      </c>
      <c r="B87" s="23" t="s">
        <v>148</v>
      </c>
      <c r="C87" s="23" t="s">
        <v>149</v>
      </c>
      <c r="D87" s="7" t="s">
        <v>175</v>
      </c>
      <c r="E87" s="7" t="s">
        <v>159</v>
      </c>
      <c r="F87" s="59"/>
      <c r="G87" s="59"/>
      <c r="H87" s="59">
        <v>800000</v>
      </c>
      <c r="I87" s="59"/>
      <c r="J87" s="23" t="str">
        <f>IF(ISNA(VLOOKUP(D87,DMTK!$B$5:$B$263,1,0)),"Sai","Đúng")</f>
        <v>Đúng</v>
      </c>
      <c r="K87" s="23" t="str">
        <f>IF(ISNA(VLOOKUP(E87,DMTK!$B$5:$B$263,1,0)),"Sai","Đúng")</f>
        <v>Đúng</v>
      </c>
      <c r="L87" s="23" t="str">
        <f>VLOOKUP(D87,DMTK!$B$5:$D$263,3,0)</f>
        <v>CFNC Bàn tròn</v>
      </c>
      <c r="M87" s="23" t="str">
        <f>VLOOKUP(E87,DMTK!$B$5:$D$263,3,0)</f>
        <v>Kinh phí công đoàn</v>
      </c>
      <c r="N87" s="75" t="str">
        <f>IF(OR(LEFT($D87,3)="111",AND(LEFT(CT!$D87,3)="131",LEFT(CT!$E87,3)="511"),LEFT(CT!$E87,3)="111",LEFT(CT!$E87,3)="331"),"No","Yes")</f>
        <v>Yes</v>
      </c>
      <c r="O87" s="23"/>
      <c r="P87" s="58" t="str">
        <f t="shared" si="4"/>
        <v>TKCT</v>
      </c>
      <c r="Q87" s="58" t="str">
        <f t="shared" si="5"/>
        <v>TKCT</v>
      </c>
      <c r="R87" s="58"/>
      <c r="S87" s="58"/>
    </row>
    <row r="88" spans="1:19" x14ac:dyDescent="0.3">
      <c r="A88" s="63">
        <v>45322</v>
      </c>
      <c r="B88" s="23" t="s">
        <v>148</v>
      </c>
      <c r="C88" s="23" t="s">
        <v>149</v>
      </c>
      <c r="D88" s="7" t="s">
        <v>176</v>
      </c>
      <c r="E88" s="7" t="s">
        <v>159</v>
      </c>
      <c r="F88" s="59"/>
      <c r="G88" s="59"/>
      <c r="H88" s="59">
        <v>800000</v>
      </c>
      <c r="I88" s="59"/>
      <c r="J88" s="23" t="str">
        <f>IF(ISNA(VLOOKUP(D88,DMTK!$B$5:$B$263,1,0)),"Sai","Đúng")</f>
        <v>Đúng</v>
      </c>
      <c r="K88" s="23" t="str">
        <f>IF(ISNA(VLOOKUP(E88,DMTK!$B$5:$B$263,1,0)),"Sai","Đúng")</f>
        <v>Đúng</v>
      </c>
      <c r="L88" s="23" t="str">
        <f>VLOOKUP(D88,DMTK!$B$5:$D$263,3,0)</f>
        <v>CFNCBàn oval</v>
      </c>
      <c r="M88" s="23" t="str">
        <f>VLOOKUP(E88,DMTK!$B$5:$D$263,3,0)</f>
        <v>Kinh phí công đoàn</v>
      </c>
      <c r="N88" s="75" t="str">
        <f>IF(OR(LEFT($D88,3)="111",AND(LEFT(CT!$D88,3)="131",LEFT(CT!$E88,3)="511"),LEFT(CT!$E88,3)="111",LEFT(CT!$E88,3)="331"),"No","Yes")</f>
        <v>Yes</v>
      </c>
      <c r="O88" s="23"/>
      <c r="P88" s="58" t="str">
        <f t="shared" si="4"/>
        <v>TKCT</v>
      </c>
      <c r="Q88" s="58" t="str">
        <f t="shared" si="5"/>
        <v>TKCT</v>
      </c>
      <c r="R88" s="58"/>
      <c r="S88" s="58"/>
    </row>
    <row r="89" spans="1:19" x14ac:dyDescent="0.3">
      <c r="A89" s="63">
        <v>45322</v>
      </c>
      <c r="B89" s="23" t="s">
        <v>148</v>
      </c>
      <c r="C89" s="23" t="s">
        <v>149</v>
      </c>
      <c r="D89" s="7" t="s">
        <v>177</v>
      </c>
      <c r="E89" s="7" t="s">
        <v>159</v>
      </c>
      <c r="F89" s="59"/>
      <c r="G89" s="59"/>
      <c r="H89" s="59">
        <v>800000</v>
      </c>
      <c r="I89" s="59"/>
      <c r="J89" s="23" t="str">
        <f>IF(ISNA(VLOOKUP(D89,DMTK!$B$5:$B$263,1,0)),"Sai","Đúng")</f>
        <v>Đúng</v>
      </c>
      <c r="K89" s="23" t="str">
        <f>IF(ISNA(VLOOKUP(E89,DMTK!$B$5:$B$263,1,0)),"Sai","Đúng")</f>
        <v>Đúng</v>
      </c>
      <c r="L89" s="23" t="str">
        <f>VLOOKUP(D89,DMTK!$B$5:$D$263,3,0)</f>
        <v>CFNC Bàn chữ nhật</v>
      </c>
      <c r="M89" s="23" t="str">
        <f>VLOOKUP(E89,DMTK!$B$5:$D$263,3,0)</f>
        <v>Kinh phí công đoàn</v>
      </c>
      <c r="N89" s="75" t="str">
        <f>IF(OR(LEFT($D89,3)="111",AND(LEFT(CT!$D89,3)="131",LEFT(CT!$E89,3)="511"),LEFT(CT!$E89,3)="111",LEFT(CT!$E89,3)="331"),"No","Yes")</f>
        <v>Yes</v>
      </c>
      <c r="O89" s="23"/>
      <c r="P89" s="58" t="str">
        <f t="shared" si="4"/>
        <v>TKCT</v>
      </c>
      <c r="Q89" s="58" t="str">
        <f t="shared" si="5"/>
        <v>TKCT</v>
      </c>
      <c r="R89" s="58"/>
      <c r="S89" s="58"/>
    </row>
    <row r="90" spans="1:19" x14ac:dyDescent="0.3">
      <c r="A90" s="63">
        <v>45322</v>
      </c>
      <c r="B90" s="23" t="s">
        <v>148</v>
      </c>
      <c r="C90" s="23" t="s">
        <v>149</v>
      </c>
      <c r="D90" s="7" t="s">
        <v>150</v>
      </c>
      <c r="E90" s="7" t="s">
        <v>181</v>
      </c>
      <c r="F90" s="59"/>
      <c r="G90" s="59"/>
      <c r="H90" s="59">
        <v>800000</v>
      </c>
      <c r="I90" s="59"/>
      <c r="J90" s="23" t="str">
        <f>IF(ISNA(VLOOKUP(D90,DMTK!$B$5:$B$263,1,0)),"Sai","Đúng")</f>
        <v>Đúng</v>
      </c>
      <c r="K90" s="23" t="str">
        <f>IF(ISNA(VLOOKUP(E90,DMTK!$B$5:$B$263,1,0)),"Sai","Đúng")</f>
        <v>Đúng</v>
      </c>
      <c r="L90" s="23" t="str">
        <f>VLOOKUP(D90,DMTK!$B$5:$D$263,3,0)</f>
        <v xml:space="preserve">Chi phí nhân viên </v>
      </c>
      <c r="M90" s="23" t="str">
        <f>VLOOKUP(E90,DMTK!$B$5:$D$263,3,0)</f>
        <v>Bảo hiểm xã hội</v>
      </c>
      <c r="N90" s="75" t="str">
        <f>IF(OR(LEFT($D90,3)="111",AND(LEFT(CT!$D90,3)="131",LEFT(CT!$E90,3)="511"),LEFT(CT!$E90,3)="111",LEFT(CT!$E90,3)="331"),"No","Yes")</f>
        <v>Yes</v>
      </c>
      <c r="O90" s="23"/>
      <c r="P90" s="58" t="str">
        <f t="shared" si="4"/>
        <v>TKCT</v>
      </c>
      <c r="Q90" s="58" t="str">
        <f t="shared" si="5"/>
        <v>TKCT</v>
      </c>
      <c r="R90" s="58"/>
      <c r="S90" s="58"/>
    </row>
    <row r="91" spans="1:19" x14ac:dyDescent="0.3">
      <c r="A91" s="63">
        <v>45322</v>
      </c>
      <c r="B91" s="23" t="s">
        <v>164</v>
      </c>
      <c r="C91" s="23" t="s">
        <v>165</v>
      </c>
      <c r="D91" s="7" t="s">
        <v>155</v>
      </c>
      <c r="E91" s="7" t="s">
        <v>43</v>
      </c>
      <c r="F91" s="59"/>
      <c r="G91" s="59"/>
      <c r="H91" s="59">
        <v>808421</v>
      </c>
      <c r="I91" s="59"/>
      <c r="J91" s="23" t="str">
        <f>IF(ISNA(VLOOKUP(D91,DMTK!$B$5:$B$263,1,0)),"Sai","Đúng")</f>
        <v>Đúng</v>
      </c>
      <c r="K91" s="23" t="str">
        <f>IF(ISNA(VLOOKUP(E91,DMTK!$B$5:$B$263,1,0)),"Sai","Đúng")</f>
        <v>Đúng</v>
      </c>
      <c r="L91" s="23" t="str">
        <f>VLOOKUP(D91,DMTK!$B$5:$D$263,3,0)</f>
        <v>Xác định kết quả kinh doanh (GKT)</v>
      </c>
      <c r="M91" s="23" t="str">
        <f>VLOOKUP(E91,DMTK!$B$5:$D$263,3,0)</f>
        <v>Chi phí bằng tiền khác</v>
      </c>
      <c r="N91" s="75" t="str">
        <f>IF(OR(LEFT($D91,3)="111",AND(LEFT(CT!$D91,3)="131",LEFT(CT!$E91,3)="511"),LEFT(CT!$E91,3)="111",LEFT(CT!$E91,3)="331"),"No","Yes")</f>
        <v>Yes</v>
      </c>
      <c r="O91" s="23"/>
      <c r="P91" s="58" t="str">
        <f t="shared" si="4"/>
        <v>TKCT</v>
      </c>
      <c r="Q91" s="58" t="str">
        <f t="shared" si="5"/>
        <v>TKCT</v>
      </c>
      <c r="R91" s="58"/>
      <c r="S91" s="58"/>
    </row>
    <row r="92" spans="1:19" x14ac:dyDescent="0.3">
      <c r="A92" s="63">
        <v>45322</v>
      </c>
      <c r="B92" s="23" t="s">
        <v>182</v>
      </c>
      <c r="C92" s="23" t="s">
        <v>183</v>
      </c>
      <c r="D92" s="7" t="s">
        <v>117</v>
      </c>
      <c r="E92" s="7" t="s">
        <v>118</v>
      </c>
      <c r="F92" s="59"/>
      <c r="G92" s="59"/>
      <c r="H92" s="59">
        <v>810000</v>
      </c>
      <c r="I92" s="59"/>
      <c r="J92" s="23" t="str">
        <f>IF(ISNA(VLOOKUP(D92,DMTK!$B$5:$B$263,1,0)),"Sai","Đúng")</f>
        <v>Đúng</v>
      </c>
      <c r="K92" s="23" t="str">
        <f>IF(ISNA(VLOOKUP(E92,DMTK!$B$5:$B$263,1,0)),"Sai","Đúng")</f>
        <v>Đúng</v>
      </c>
      <c r="L92" s="23" t="str">
        <f>VLOOKUP(D92,DMTK!$B$5:$D$263,3,0)</f>
        <v>Ghế tay vịn</v>
      </c>
      <c r="M92" s="23" t="str">
        <f>VLOOKUP(E92,DMTK!$B$5:$D$263,3,0)</f>
        <v>Ghế tay vịn</v>
      </c>
      <c r="N92" s="75" t="str">
        <f>IF(OR(LEFT($D92,3)="111",AND(LEFT(CT!$D92,3)="131",LEFT(CT!$E92,3)="511"),LEFT(CT!$E92,3)="111",LEFT(CT!$E92,3)="331"),"No","Yes")</f>
        <v>Yes</v>
      </c>
      <c r="O92" s="23"/>
      <c r="P92" s="58" t="str">
        <f t="shared" si="4"/>
        <v>TKCT</v>
      </c>
      <c r="Q92" s="58" t="str">
        <f t="shared" si="5"/>
        <v>TKCT</v>
      </c>
      <c r="R92" s="58"/>
      <c r="S92" s="58"/>
    </row>
    <row r="93" spans="1:19" x14ac:dyDescent="0.3">
      <c r="A93" s="63">
        <v>45322</v>
      </c>
      <c r="B93" s="23" t="s">
        <v>164</v>
      </c>
      <c r="C93" s="23" t="s">
        <v>165</v>
      </c>
      <c r="D93" s="7" t="s">
        <v>157</v>
      </c>
      <c r="E93" s="7" t="s">
        <v>43</v>
      </c>
      <c r="F93" s="59"/>
      <c r="G93" s="59"/>
      <c r="H93" s="59">
        <v>993332</v>
      </c>
      <c r="I93" s="59"/>
      <c r="J93" s="23" t="str">
        <f>IF(ISNA(VLOOKUP(D93,DMTK!$B$5:$B$263,1,0)),"Sai","Đúng")</f>
        <v>Đúng</v>
      </c>
      <c r="K93" s="23" t="str">
        <f>IF(ISNA(VLOOKUP(E93,DMTK!$B$5:$B$263,1,0)),"Sai","Đúng")</f>
        <v>Đúng</v>
      </c>
      <c r="L93" s="23" t="str">
        <f>VLOOKUP(D93,DMTK!$B$5:$D$263,3,0)</f>
        <v>Xác định kết quả kinh doanh (BO)</v>
      </c>
      <c r="M93" s="23" t="str">
        <f>VLOOKUP(E93,DMTK!$B$5:$D$263,3,0)</f>
        <v>Chi phí bằng tiền khác</v>
      </c>
      <c r="N93" s="75" t="str">
        <f>IF(OR(LEFT($D93,3)="111",AND(LEFT(CT!$D93,3)="131",LEFT(CT!$E93,3)="511"),LEFT(CT!$E93,3)="111",LEFT(CT!$E93,3)="331"),"No","Yes")</f>
        <v>Yes</v>
      </c>
      <c r="O93" s="23"/>
      <c r="P93" s="58" t="str">
        <f t="shared" si="4"/>
        <v>TKCT</v>
      </c>
      <c r="Q93" s="58" t="str">
        <f t="shared" si="5"/>
        <v>TKCT</v>
      </c>
      <c r="R93" s="58"/>
      <c r="S93" s="58"/>
    </row>
    <row r="94" spans="1:19" x14ac:dyDescent="0.3">
      <c r="A94" s="63">
        <v>45322</v>
      </c>
      <c r="B94" s="23" t="s">
        <v>164</v>
      </c>
      <c r="C94" s="23" t="s">
        <v>165</v>
      </c>
      <c r="D94" s="7" t="s">
        <v>158</v>
      </c>
      <c r="E94" s="7" t="s">
        <v>43</v>
      </c>
      <c r="F94" s="59"/>
      <c r="G94" s="59"/>
      <c r="H94" s="59">
        <v>998247</v>
      </c>
      <c r="I94" s="59"/>
      <c r="J94" s="23" t="str">
        <f>IF(ISNA(VLOOKUP(D94,DMTK!$B$5:$B$263,1,0)),"Sai","Đúng")</f>
        <v>Đúng</v>
      </c>
      <c r="K94" s="23" t="str">
        <f>IF(ISNA(VLOOKUP(E94,DMTK!$B$5:$B$263,1,0)),"Sai","Đúng")</f>
        <v>Đúng</v>
      </c>
      <c r="L94" s="23" t="str">
        <f>VLOOKUP(D94,DMTK!$B$5:$D$263,3,0)</f>
        <v>Xác định kết quả kinh doanh (GTV)</v>
      </c>
      <c r="M94" s="23" t="str">
        <f>VLOOKUP(E94,DMTK!$B$5:$D$263,3,0)</f>
        <v>Chi phí bằng tiền khác</v>
      </c>
      <c r="N94" s="75" t="str">
        <f>IF(OR(LEFT($D94,3)="111",AND(LEFT(CT!$D94,3)="131",LEFT(CT!$E94,3)="511"),LEFT(CT!$E94,3)="111",LEFT(CT!$E94,3)="331"),"No","Yes")</f>
        <v>Yes</v>
      </c>
      <c r="O94" s="23"/>
      <c r="P94" s="58" t="str">
        <f t="shared" si="4"/>
        <v>TKCT</v>
      </c>
      <c r="Q94" s="58" t="str">
        <f t="shared" si="5"/>
        <v>TKCT</v>
      </c>
      <c r="R94" s="58"/>
      <c r="S94" s="58"/>
    </row>
    <row r="95" spans="1:19" x14ac:dyDescent="0.3">
      <c r="A95" s="63">
        <v>45322</v>
      </c>
      <c r="B95" s="23" t="s">
        <v>148</v>
      </c>
      <c r="C95" s="23" t="s">
        <v>149</v>
      </c>
      <c r="D95" s="7" t="s">
        <v>172</v>
      </c>
      <c r="E95" s="7" t="s">
        <v>168</v>
      </c>
      <c r="F95" s="59"/>
      <c r="G95" s="59"/>
      <c r="H95" s="59">
        <v>1050000</v>
      </c>
      <c r="I95" s="59"/>
      <c r="J95" s="23" t="str">
        <f>IF(ISNA(VLOOKUP(D95,DMTK!$B$5:$B$263,1,0)),"Sai","Đúng")</f>
        <v>Đúng</v>
      </c>
      <c r="K95" s="23" t="str">
        <f>IF(ISNA(VLOOKUP(E95,DMTK!$B$5:$B$263,1,0)),"Sai","Đúng")</f>
        <v>Đúng</v>
      </c>
      <c r="L95" s="23" t="str">
        <f>VLOOKUP(D95,DMTK!$B$5:$D$263,3,0)</f>
        <v>Chi phí nhân viên phân xưởng</v>
      </c>
      <c r="M95" s="23" t="str">
        <f>VLOOKUP(E95,DMTK!$B$5:$D$263,3,0)</f>
        <v>Bảo hiểm y tế</v>
      </c>
      <c r="N95" s="75" t="str">
        <f>IF(OR(LEFT($D95,3)="111",AND(LEFT(CT!$D95,3)="131",LEFT(CT!$E95,3)="511"),LEFT(CT!$E95,3)="111",LEFT(CT!$E95,3)="331"),"No","Yes")</f>
        <v>Yes</v>
      </c>
      <c r="O95" s="23"/>
      <c r="P95" s="58" t="str">
        <f t="shared" si="4"/>
        <v>TKCT</v>
      </c>
      <c r="Q95" s="58" t="str">
        <f t="shared" si="5"/>
        <v>TKCT</v>
      </c>
      <c r="R95" s="58"/>
      <c r="S95" s="58"/>
    </row>
    <row r="96" spans="1:19" x14ac:dyDescent="0.3">
      <c r="A96" s="63">
        <v>45322</v>
      </c>
      <c r="B96" s="23" t="s">
        <v>148</v>
      </c>
      <c r="C96" s="23" t="s">
        <v>149</v>
      </c>
      <c r="D96" s="7" t="s">
        <v>152</v>
      </c>
      <c r="E96" s="7" t="s">
        <v>181</v>
      </c>
      <c r="F96" s="59"/>
      <c r="G96" s="59"/>
      <c r="H96" s="59">
        <v>1120000</v>
      </c>
      <c r="I96" s="59"/>
      <c r="J96" s="23" t="str">
        <f>IF(ISNA(VLOOKUP(D96,DMTK!$B$5:$B$263,1,0)),"Sai","Đúng")</f>
        <v>Đúng</v>
      </c>
      <c r="K96" s="23" t="str">
        <f>IF(ISNA(VLOOKUP(E96,DMTK!$B$5:$B$263,1,0)),"Sai","Đúng")</f>
        <v>Đúng</v>
      </c>
      <c r="L96" s="23" t="str">
        <f>VLOOKUP(D96,DMTK!$B$5:$D$263,3,0)</f>
        <v>Chi phí nhân viên quản lý</v>
      </c>
      <c r="M96" s="23" t="str">
        <f>VLOOKUP(E96,DMTK!$B$5:$D$263,3,0)</f>
        <v>Bảo hiểm xã hội</v>
      </c>
      <c r="N96" s="75" t="str">
        <f>IF(OR(LEFT($D96,3)="111",AND(LEFT(CT!$D96,3)="131",LEFT(CT!$E96,3)="511"),LEFT(CT!$E96,3)="111",LEFT(CT!$E96,3)="331"),"No","Yes")</f>
        <v>Yes</v>
      </c>
      <c r="O96" s="23"/>
      <c r="P96" s="58" t="str">
        <f t="shared" si="4"/>
        <v>TKCT</v>
      </c>
      <c r="Q96" s="58" t="str">
        <f t="shared" si="5"/>
        <v>TKCT</v>
      </c>
      <c r="R96" s="58"/>
      <c r="S96" s="58"/>
    </row>
    <row r="97" spans="1:19" x14ac:dyDescent="0.3">
      <c r="A97" s="63">
        <v>45322</v>
      </c>
      <c r="B97" s="23" t="s">
        <v>148</v>
      </c>
      <c r="C97" s="23" t="s">
        <v>149</v>
      </c>
      <c r="D97" s="7" t="s">
        <v>173</v>
      </c>
      <c r="E97" s="7" t="s">
        <v>168</v>
      </c>
      <c r="F97" s="59"/>
      <c r="G97" s="59"/>
      <c r="H97" s="59">
        <v>1200000</v>
      </c>
      <c r="I97" s="59"/>
      <c r="J97" s="23" t="str">
        <f>IF(ISNA(VLOOKUP(D97,DMTK!$B$5:$B$263,1,0)),"Sai","Đúng")</f>
        <v>Đúng</v>
      </c>
      <c r="K97" s="23" t="str">
        <f>IF(ISNA(VLOOKUP(E97,DMTK!$B$5:$B$263,1,0)),"Sai","Đúng")</f>
        <v>Đúng</v>
      </c>
      <c r="L97" s="23" t="str">
        <f>VLOOKUP(D97,DMTK!$B$5:$D$263,3,0)</f>
        <v>CFNC Ghế tay vịn</v>
      </c>
      <c r="M97" s="23" t="str">
        <f>VLOOKUP(E97,DMTK!$B$5:$D$263,3,0)</f>
        <v>Bảo hiểm y tế</v>
      </c>
      <c r="N97" s="75" t="str">
        <f>IF(OR(LEFT($D97,3)="111",AND(LEFT(CT!$D97,3)="131",LEFT(CT!$E97,3)="511"),LEFT(CT!$E97,3)="111",LEFT(CT!$E97,3)="331"),"No","Yes")</f>
        <v>Yes</v>
      </c>
      <c r="O97" s="23"/>
      <c r="P97" s="58" t="str">
        <f t="shared" si="4"/>
        <v>TKCT</v>
      </c>
      <c r="Q97" s="58" t="str">
        <f t="shared" si="5"/>
        <v>TKCT</v>
      </c>
      <c r="R97" s="58"/>
      <c r="S97" s="58"/>
    </row>
    <row r="98" spans="1:19" x14ac:dyDescent="0.3">
      <c r="A98" s="63">
        <v>45322</v>
      </c>
      <c r="B98" s="23" t="s">
        <v>148</v>
      </c>
      <c r="C98" s="23" t="s">
        <v>149</v>
      </c>
      <c r="D98" s="7" t="s">
        <v>174</v>
      </c>
      <c r="E98" s="7" t="s">
        <v>168</v>
      </c>
      <c r="F98" s="59"/>
      <c r="G98" s="59"/>
      <c r="H98" s="59">
        <v>1200000</v>
      </c>
      <c r="I98" s="59"/>
      <c r="J98" s="23" t="str">
        <f>IF(ISNA(VLOOKUP(D98,DMTK!$B$5:$B$263,1,0)),"Sai","Đúng")</f>
        <v>Đúng</v>
      </c>
      <c r="K98" s="23" t="str">
        <f>IF(ISNA(VLOOKUP(E98,DMTK!$B$5:$B$263,1,0)),"Sai","Đúng")</f>
        <v>Đúng</v>
      </c>
      <c r="L98" s="23" t="str">
        <f>VLOOKUP(D98,DMTK!$B$5:$D$263,3,0)</f>
        <v>CFNC Ghế không tay</v>
      </c>
      <c r="M98" s="23" t="str">
        <f>VLOOKUP(E98,DMTK!$B$5:$D$263,3,0)</f>
        <v>Bảo hiểm y tế</v>
      </c>
      <c r="N98" s="75" t="str">
        <f>IF(OR(LEFT($D98,3)="111",AND(LEFT(CT!$D98,3)="131",LEFT(CT!$E98,3)="511"),LEFT(CT!$E98,3)="111",LEFT(CT!$E98,3)="331"),"No","Yes")</f>
        <v>Yes</v>
      </c>
      <c r="O98" s="23"/>
      <c r="P98" s="58" t="str">
        <f t="shared" si="4"/>
        <v>TKCT</v>
      </c>
      <c r="Q98" s="58" t="str">
        <f t="shared" si="5"/>
        <v>TKCT</v>
      </c>
      <c r="R98" s="58"/>
      <c r="S98" s="58"/>
    </row>
    <row r="99" spans="1:19" x14ac:dyDescent="0.3">
      <c r="A99" s="63">
        <v>45322</v>
      </c>
      <c r="B99" s="23" t="s">
        <v>148</v>
      </c>
      <c r="C99" s="23" t="s">
        <v>149</v>
      </c>
      <c r="D99" s="7" t="s">
        <v>175</v>
      </c>
      <c r="E99" s="7" t="s">
        <v>168</v>
      </c>
      <c r="F99" s="59"/>
      <c r="G99" s="59"/>
      <c r="H99" s="59">
        <v>1200000</v>
      </c>
      <c r="I99" s="59"/>
      <c r="J99" s="23" t="str">
        <f>IF(ISNA(VLOOKUP(D99,DMTK!$B$5:$B$263,1,0)),"Sai","Đúng")</f>
        <v>Đúng</v>
      </c>
      <c r="K99" s="23" t="str">
        <f>IF(ISNA(VLOOKUP(E99,DMTK!$B$5:$B$263,1,0)),"Sai","Đúng")</f>
        <v>Đúng</v>
      </c>
      <c r="L99" s="23" t="str">
        <f>VLOOKUP(D99,DMTK!$B$5:$D$263,3,0)</f>
        <v>CFNC Bàn tròn</v>
      </c>
      <c r="M99" s="23" t="str">
        <f>VLOOKUP(E99,DMTK!$B$5:$D$263,3,0)</f>
        <v>Bảo hiểm y tế</v>
      </c>
      <c r="N99" s="75" t="str">
        <f>IF(OR(LEFT($D99,3)="111",AND(LEFT(CT!$D99,3)="131",LEFT(CT!$E99,3)="511"),LEFT(CT!$E99,3)="111",LEFT(CT!$E99,3)="331"),"No","Yes")</f>
        <v>Yes</v>
      </c>
      <c r="O99" s="23"/>
      <c r="P99" s="58" t="str">
        <f t="shared" si="4"/>
        <v>TKCT</v>
      </c>
      <c r="Q99" s="58" t="str">
        <f t="shared" si="5"/>
        <v>TKCT</v>
      </c>
      <c r="R99" s="58"/>
      <c r="S99" s="58"/>
    </row>
    <row r="100" spans="1:19" x14ac:dyDescent="0.3">
      <c r="A100" s="63">
        <v>45322</v>
      </c>
      <c r="B100" s="23" t="s">
        <v>148</v>
      </c>
      <c r="C100" s="23" t="s">
        <v>149</v>
      </c>
      <c r="D100" s="7" t="s">
        <v>176</v>
      </c>
      <c r="E100" s="7" t="s">
        <v>168</v>
      </c>
      <c r="F100" s="59"/>
      <c r="G100" s="59"/>
      <c r="H100" s="59">
        <v>1200000</v>
      </c>
      <c r="I100" s="59"/>
      <c r="J100" s="23" t="str">
        <f>IF(ISNA(VLOOKUP(D100,DMTK!$B$5:$B$263,1,0)),"Sai","Đúng")</f>
        <v>Đúng</v>
      </c>
      <c r="K100" s="23" t="str">
        <f>IF(ISNA(VLOOKUP(E100,DMTK!$B$5:$B$263,1,0)),"Sai","Đúng")</f>
        <v>Đúng</v>
      </c>
      <c r="L100" s="23" t="str">
        <f>VLOOKUP(D100,DMTK!$B$5:$D$263,3,0)</f>
        <v>CFNCBàn oval</v>
      </c>
      <c r="M100" s="23" t="str">
        <f>VLOOKUP(E100,DMTK!$B$5:$D$263,3,0)</f>
        <v>Bảo hiểm y tế</v>
      </c>
      <c r="N100" s="75" t="str">
        <f>IF(OR(LEFT($D100,3)="111",AND(LEFT(CT!$D100,3)="131",LEFT(CT!$E100,3)="511"),LEFT(CT!$E100,3)="111",LEFT(CT!$E100,3)="331"),"No","Yes")</f>
        <v>Yes</v>
      </c>
      <c r="O100" s="23"/>
      <c r="P100" s="58" t="str">
        <f t="shared" si="4"/>
        <v>TKCT</v>
      </c>
      <c r="Q100" s="58" t="str">
        <f t="shared" si="5"/>
        <v>TKCT</v>
      </c>
      <c r="R100" s="58"/>
      <c r="S100" s="58"/>
    </row>
    <row r="101" spans="1:19" x14ac:dyDescent="0.3">
      <c r="A101" s="63">
        <v>45322</v>
      </c>
      <c r="B101" s="23" t="s">
        <v>148</v>
      </c>
      <c r="C101" s="23" t="s">
        <v>149</v>
      </c>
      <c r="D101" s="7" t="s">
        <v>177</v>
      </c>
      <c r="E101" s="7" t="s">
        <v>168</v>
      </c>
      <c r="F101" s="59"/>
      <c r="G101" s="59"/>
      <c r="H101" s="59">
        <v>1200000</v>
      </c>
      <c r="I101" s="59"/>
      <c r="J101" s="23" t="str">
        <f>IF(ISNA(VLOOKUP(D101,DMTK!$B$5:$B$263,1,0)),"Sai","Đúng")</f>
        <v>Đúng</v>
      </c>
      <c r="K101" s="23" t="str">
        <f>IF(ISNA(VLOOKUP(E101,DMTK!$B$5:$B$263,1,0)),"Sai","Đúng")</f>
        <v>Đúng</v>
      </c>
      <c r="L101" s="23" t="str">
        <f>VLOOKUP(D101,DMTK!$B$5:$D$263,3,0)</f>
        <v>CFNC Bàn chữ nhật</v>
      </c>
      <c r="M101" s="23" t="str">
        <f>VLOOKUP(E101,DMTK!$B$5:$D$263,3,0)</f>
        <v>Bảo hiểm y tế</v>
      </c>
      <c r="N101" s="75" t="str">
        <f>IF(OR(LEFT($D101,3)="111",AND(LEFT(CT!$D101,3)="131",LEFT(CT!$E101,3)="511"),LEFT(CT!$E101,3)="111",LEFT(CT!$E101,3)="331"),"No","Yes")</f>
        <v>Yes</v>
      </c>
      <c r="O101" s="23"/>
      <c r="P101" s="58" t="str">
        <f t="shared" si="4"/>
        <v>TKCT</v>
      </c>
      <c r="Q101" s="58" t="str">
        <f t="shared" si="5"/>
        <v>TKCT</v>
      </c>
      <c r="R101" s="58"/>
      <c r="S101" s="58"/>
    </row>
    <row r="102" spans="1:19" x14ac:dyDescent="0.3">
      <c r="A102" s="63">
        <v>45322</v>
      </c>
      <c r="B102" s="23" t="s">
        <v>160</v>
      </c>
      <c r="C102" s="23" t="s">
        <v>161</v>
      </c>
      <c r="D102" s="7" t="s">
        <v>118</v>
      </c>
      <c r="E102" s="7" t="s">
        <v>171</v>
      </c>
      <c r="F102" s="59"/>
      <c r="G102" s="59"/>
      <c r="H102" s="59">
        <v>1330534</v>
      </c>
      <c r="I102" s="59"/>
      <c r="J102" s="23" t="str">
        <f>IF(ISNA(VLOOKUP(D102,DMTK!$B$5:$B$263,1,0)),"Sai","Đúng")</f>
        <v>Đúng</v>
      </c>
      <c r="K102" s="23" t="str">
        <f>IF(ISNA(VLOOKUP(E102,DMTK!$B$5:$B$263,1,0)),"Sai","Đúng")</f>
        <v>Đúng</v>
      </c>
      <c r="L102" s="23" t="str">
        <f>VLOOKUP(D102,DMTK!$B$5:$D$263,3,0)</f>
        <v>Ghế tay vịn</v>
      </c>
      <c r="M102" s="23" t="str">
        <f>VLOOKUP(E102,DMTK!$B$5:$D$263,3,0)</f>
        <v>Chi phí khấu hao TSCĐ</v>
      </c>
      <c r="N102" s="75" t="str">
        <f>IF(OR(LEFT($D102,3)="111",AND(LEFT(CT!$D102,3)="131",LEFT(CT!$E102,3)="511"),LEFT(CT!$E102,3)="111",LEFT(CT!$E102,3)="331"),"No","Yes")</f>
        <v>Yes</v>
      </c>
      <c r="O102" s="23"/>
      <c r="P102" s="58" t="str">
        <f t="shared" si="4"/>
        <v>TKCT</v>
      </c>
      <c r="Q102" s="58" t="str">
        <f t="shared" si="5"/>
        <v>TKCT</v>
      </c>
      <c r="R102" s="58"/>
      <c r="S102" s="58"/>
    </row>
    <row r="103" spans="1:19" x14ac:dyDescent="0.3">
      <c r="A103" s="63">
        <v>45322</v>
      </c>
      <c r="B103" s="23" t="s">
        <v>182</v>
      </c>
      <c r="C103" s="23" t="s">
        <v>184</v>
      </c>
      <c r="D103" s="7" t="s">
        <v>113</v>
      </c>
      <c r="E103" s="7" t="s">
        <v>114</v>
      </c>
      <c r="F103" s="59"/>
      <c r="G103" s="59"/>
      <c r="H103" s="59">
        <v>1500000</v>
      </c>
      <c r="I103" s="59"/>
      <c r="J103" s="23" t="str">
        <f>IF(ISNA(VLOOKUP(D103,DMTK!$B$5:$B$263,1,0)),"Sai","Đúng")</f>
        <v>Đúng</v>
      </c>
      <c r="K103" s="23" t="str">
        <f>IF(ISNA(VLOOKUP(E103,DMTK!$B$5:$B$263,1,0)),"Sai","Đúng")</f>
        <v>Đúng</v>
      </c>
      <c r="L103" s="23" t="str">
        <f>VLOOKUP(D103,DMTK!$B$5:$D$263,3,0)</f>
        <v>Bàn tròn</v>
      </c>
      <c r="M103" s="23" t="str">
        <f>VLOOKUP(E103,DMTK!$B$5:$D$263,3,0)</f>
        <v>Bàn tròn</v>
      </c>
      <c r="N103" s="75" t="str">
        <f>IF(OR(LEFT($D103,3)="111",AND(LEFT(CT!$D103,3)="131",LEFT(CT!$E103,3)="511"),LEFT(CT!$E103,3)="111",LEFT(CT!$E103,3)="331"),"No","Yes")</f>
        <v>Yes</v>
      </c>
      <c r="O103" s="23"/>
      <c r="P103" s="58" t="str">
        <f t="shared" si="4"/>
        <v>TKCT</v>
      </c>
      <c r="Q103" s="58" t="str">
        <f t="shared" si="5"/>
        <v>TKCT</v>
      </c>
      <c r="R103" s="58"/>
      <c r="S103" s="58"/>
    </row>
    <row r="104" spans="1:19" x14ac:dyDescent="0.3">
      <c r="A104" s="63">
        <v>45322</v>
      </c>
      <c r="B104" s="23" t="s">
        <v>185</v>
      </c>
      <c r="C104" s="61" t="s">
        <v>186</v>
      </c>
      <c r="D104" s="7" t="s">
        <v>187</v>
      </c>
      <c r="E104" s="24" t="s">
        <v>157</v>
      </c>
      <c r="F104" s="62"/>
      <c r="G104" s="62"/>
      <c r="H104" s="59">
        <v>1615709</v>
      </c>
      <c r="I104" s="59"/>
      <c r="J104" s="23" t="str">
        <f>IF(ISNA(VLOOKUP(D104,DMTK!$B$5:$B$263,1,0)),"Sai","Đúng")</f>
        <v>Đúng</v>
      </c>
      <c r="K104" s="23" t="str">
        <f>IF(ISNA(VLOOKUP(E104,DMTK!$B$5:$B$263,1,0)),"Sai","Đúng")</f>
        <v>Đúng</v>
      </c>
      <c r="L104" s="23" t="str">
        <f>VLOOKUP(D104,DMTK!$B$5:$D$263,3,0)</f>
        <v>Lợi nhuận sau thuế chưa phân phối năm nay</v>
      </c>
      <c r="M104" s="23" t="str">
        <f>VLOOKUP(E104,DMTK!$B$5:$D$263,3,0)</f>
        <v>Xác định kết quả kinh doanh (BO)</v>
      </c>
      <c r="N104" s="75" t="str">
        <f>IF(OR(LEFT($D104,3)="111",AND(LEFT(CT!$D104,3)="131",LEFT(CT!$E104,3)="511"),LEFT(CT!$E104,3)="111",LEFT(CT!$E104,3)="331"),"No","Yes")</f>
        <v>Yes</v>
      </c>
      <c r="O104" s="23"/>
      <c r="P104" s="58" t="str">
        <f t="shared" si="4"/>
        <v>TKCT</v>
      </c>
      <c r="Q104" s="58" t="str">
        <f t="shared" si="5"/>
        <v>TKCT</v>
      </c>
      <c r="R104" s="58"/>
      <c r="S104" s="58"/>
    </row>
    <row r="105" spans="1:19" x14ac:dyDescent="0.3">
      <c r="A105" s="63">
        <v>45322</v>
      </c>
      <c r="B105" s="23" t="s">
        <v>188</v>
      </c>
      <c r="C105" s="23" t="s">
        <v>189</v>
      </c>
      <c r="D105" s="7" t="s">
        <v>171</v>
      </c>
      <c r="E105" s="7" t="s">
        <v>180</v>
      </c>
      <c r="F105" s="59"/>
      <c r="G105" s="59"/>
      <c r="H105" s="59">
        <v>1666666</v>
      </c>
      <c r="I105" s="59"/>
      <c r="J105" s="23" t="str">
        <f>IF(ISNA(VLOOKUP(D105,DMTK!$B$5:$B$263,1,0)),"Sai","Đúng")</f>
        <v>Đúng</v>
      </c>
      <c r="K105" s="23" t="str">
        <f>IF(ISNA(VLOOKUP(E105,DMTK!$B$5:$B$263,1,0)),"Sai","Đúng")</f>
        <v>Đúng</v>
      </c>
      <c r="L105" s="23" t="str">
        <f>VLOOKUP(D105,DMTK!$B$5:$D$263,3,0)</f>
        <v>Chi phí khấu hao TSCĐ</v>
      </c>
      <c r="M105" s="23" t="str">
        <f>VLOOKUP(E105,DMTK!$B$5:$D$263,3,0)</f>
        <v>Hao mòn TSCĐ hữu hình</v>
      </c>
      <c r="N105" s="75" t="str">
        <f>IF(OR(LEFT($D105,3)="111",AND(LEFT(CT!$D105,3)="131",LEFT(CT!$E105,3)="511"),LEFT(CT!$E105,3)="111",LEFT(CT!$E105,3)="331"),"No","Yes")</f>
        <v>Yes</v>
      </c>
      <c r="O105" s="23"/>
      <c r="P105" s="58" t="str">
        <f t="shared" si="4"/>
        <v>TKCT</v>
      </c>
      <c r="Q105" s="58" t="str">
        <f t="shared" si="5"/>
        <v>TKCT</v>
      </c>
      <c r="R105" s="58"/>
      <c r="S105" s="58"/>
    </row>
    <row r="106" spans="1:19" x14ac:dyDescent="0.3">
      <c r="A106" s="63">
        <v>45322</v>
      </c>
      <c r="B106" s="23" t="s">
        <v>153</v>
      </c>
      <c r="C106" s="23" t="s">
        <v>154</v>
      </c>
      <c r="D106" s="7" t="s">
        <v>155</v>
      </c>
      <c r="E106" s="7" t="s">
        <v>150</v>
      </c>
      <c r="F106" s="59"/>
      <c r="G106" s="59"/>
      <c r="H106" s="59">
        <v>1761203</v>
      </c>
      <c r="I106" s="59"/>
      <c r="J106" s="23" t="str">
        <f>IF(ISNA(VLOOKUP(D106,DMTK!$B$5:$B$263,1,0)),"Sai","Đúng")</f>
        <v>Đúng</v>
      </c>
      <c r="K106" s="23" t="str">
        <f>IF(ISNA(VLOOKUP(E106,DMTK!$B$5:$B$263,1,0)),"Sai","Đúng")</f>
        <v>Đúng</v>
      </c>
      <c r="L106" s="23" t="str">
        <f>VLOOKUP(D106,DMTK!$B$5:$D$263,3,0)</f>
        <v>Xác định kết quả kinh doanh (GKT)</v>
      </c>
      <c r="M106" s="23" t="str">
        <f>VLOOKUP(E106,DMTK!$B$5:$D$263,3,0)</f>
        <v xml:space="preserve">Chi phí nhân viên </v>
      </c>
      <c r="N106" s="75" t="str">
        <f>IF(OR(LEFT($D106,3)="111",AND(LEFT(CT!$D106,3)="131",LEFT(CT!$E106,3)="511"),LEFT(CT!$E106,3)="111",LEFT(CT!$E106,3)="331"),"No","Yes")</f>
        <v>Yes</v>
      </c>
      <c r="O106" s="23"/>
      <c r="P106" s="58" t="str">
        <f t="shared" si="4"/>
        <v>TKCT</v>
      </c>
      <c r="Q106" s="58" t="str">
        <f t="shared" si="5"/>
        <v>TKCT</v>
      </c>
      <c r="R106" s="58"/>
      <c r="S106" s="58"/>
    </row>
    <row r="107" spans="1:19" x14ac:dyDescent="0.3">
      <c r="A107" s="63">
        <v>45322</v>
      </c>
      <c r="B107" s="23" t="s">
        <v>185</v>
      </c>
      <c r="C107" s="61" t="s">
        <v>186</v>
      </c>
      <c r="D107" s="7" t="s">
        <v>187</v>
      </c>
      <c r="E107" s="7" t="s">
        <v>158</v>
      </c>
      <c r="F107" s="59"/>
      <c r="G107" s="59"/>
      <c r="H107" s="59">
        <v>1772143</v>
      </c>
      <c r="I107" s="59"/>
      <c r="J107" s="23" t="str">
        <f>IF(ISNA(VLOOKUP(D107,DMTK!$B$5:$B$263,1,0)),"Sai","Đúng")</f>
        <v>Đúng</v>
      </c>
      <c r="K107" s="23" t="str">
        <f>IF(ISNA(VLOOKUP(E107,DMTK!$B$5:$B$263,1,0)),"Sai","Đúng")</f>
        <v>Đúng</v>
      </c>
      <c r="L107" s="23" t="str">
        <f>VLOOKUP(D107,DMTK!$B$5:$D$263,3,0)</f>
        <v>Lợi nhuận sau thuế chưa phân phối năm nay</v>
      </c>
      <c r="M107" s="23" t="str">
        <f>VLOOKUP(E107,DMTK!$B$5:$D$263,3,0)</f>
        <v>Xác định kết quả kinh doanh (GTV)</v>
      </c>
      <c r="N107" s="75" t="str">
        <f>IF(OR(LEFT($D107,3)="111",AND(LEFT(CT!$D107,3)="131",LEFT(CT!$E107,3)="511"),LEFT(CT!$E107,3)="111",LEFT(CT!$E107,3)="331"),"No","Yes")</f>
        <v>Yes</v>
      </c>
      <c r="O107" s="23"/>
      <c r="P107" s="58" t="str">
        <f t="shared" si="4"/>
        <v>TKCT</v>
      </c>
      <c r="Q107" s="58" t="str">
        <f t="shared" si="5"/>
        <v>TKCT</v>
      </c>
      <c r="R107" s="58"/>
      <c r="S107" s="58"/>
    </row>
    <row r="108" spans="1:19" x14ac:dyDescent="0.3">
      <c r="A108" s="63">
        <v>45322</v>
      </c>
      <c r="B108" s="23" t="s">
        <v>182</v>
      </c>
      <c r="C108" s="23" t="s">
        <v>190</v>
      </c>
      <c r="D108" s="7" t="s">
        <v>121</v>
      </c>
      <c r="E108" s="7" t="s">
        <v>122</v>
      </c>
      <c r="F108" s="59"/>
      <c r="G108" s="59"/>
      <c r="H108" s="59">
        <v>1800000</v>
      </c>
      <c r="I108" s="59"/>
      <c r="J108" s="23" t="str">
        <f>IF(ISNA(VLOOKUP(D108,DMTK!$B$5:$B$263,1,0)),"Sai","Đúng")</f>
        <v>Đúng</v>
      </c>
      <c r="K108" s="23" t="str">
        <f>IF(ISNA(VLOOKUP(E108,DMTK!$B$5:$B$263,1,0)),"Sai","Đúng")</f>
        <v>Đúng</v>
      </c>
      <c r="L108" s="23" t="str">
        <f>VLOOKUP(D108,DMTK!$B$5:$D$263,3,0)</f>
        <v>Ghế không tay</v>
      </c>
      <c r="M108" s="23" t="str">
        <f>VLOOKUP(E108,DMTK!$B$5:$D$263,3,0)</f>
        <v>Ghế không tay</v>
      </c>
      <c r="N108" s="75" t="str">
        <f>IF(OR(LEFT($D108,3)="111",AND(LEFT(CT!$D108,3)="131",LEFT(CT!$E108,3)="511"),LEFT(CT!$E108,3)="111",LEFT(CT!$E108,3)="331"),"No","Yes")</f>
        <v>Yes</v>
      </c>
      <c r="O108" s="23"/>
      <c r="P108" s="58" t="str">
        <f t="shared" si="4"/>
        <v>TKCT</v>
      </c>
      <c r="Q108" s="58" t="str">
        <f t="shared" si="5"/>
        <v>TKCT</v>
      </c>
      <c r="R108" s="58"/>
      <c r="S108" s="58"/>
    </row>
    <row r="109" spans="1:19" x14ac:dyDescent="0.3">
      <c r="A109" s="63">
        <v>45322</v>
      </c>
      <c r="B109" s="23" t="s">
        <v>153</v>
      </c>
      <c r="C109" s="23" t="s">
        <v>154</v>
      </c>
      <c r="D109" s="7" t="s">
        <v>157</v>
      </c>
      <c r="E109" s="7" t="s">
        <v>150</v>
      </c>
      <c r="F109" s="59"/>
      <c r="G109" s="59"/>
      <c r="H109" s="59">
        <v>2164045</v>
      </c>
      <c r="I109" s="59"/>
      <c r="J109" s="23" t="str">
        <f>IF(ISNA(VLOOKUP(D109,DMTK!$B$5:$B$263,1,0)),"Sai","Đúng")</f>
        <v>Đúng</v>
      </c>
      <c r="K109" s="23" t="str">
        <f>IF(ISNA(VLOOKUP(E109,DMTK!$B$5:$B$263,1,0)),"Sai","Đúng")</f>
        <v>Đúng</v>
      </c>
      <c r="L109" s="23" t="str">
        <f>VLOOKUP(D109,DMTK!$B$5:$D$263,3,0)</f>
        <v>Xác định kết quả kinh doanh (BO)</v>
      </c>
      <c r="M109" s="23" t="str">
        <f>VLOOKUP(E109,DMTK!$B$5:$D$263,3,0)</f>
        <v xml:space="preserve">Chi phí nhân viên </v>
      </c>
      <c r="N109" s="75" t="str">
        <f>IF(OR(LEFT($D109,3)="111",AND(LEFT(CT!$D109,3)="131",LEFT(CT!$E109,3)="511"),LEFT(CT!$E109,3)="111",LEFT(CT!$E109,3)="331"),"No","Yes")</f>
        <v>Yes</v>
      </c>
      <c r="O109" s="23"/>
      <c r="P109" s="58" t="str">
        <f t="shared" si="4"/>
        <v>TKCT</v>
      </c>
      <c r="Q109" s="58" t="str">
        <f t="shared" si="5"/>
        <v>TKCT</v>
      </c>
      <c r="R109" s="58"/>
      <c r="S109" s="58"/>
    </row>
    <row r="110" spans="1:19" x14ac:dyDescent="0.3">
      <c r="A110" s="63">
        <v>45322</v>
      </c>
      <c r="B110" s="23" t="s">
        <v>153</v>
      </c>
      <c r="C110" s="23" t="s">
        <v>154</v>
      </c>
      <c r="D110" s="7" t="s">
        <v>158</v>
      </c>
      <c r="E110" s="7" t="s">
        <v>150</v>
      </c>
      <c r="F110" s="59"/>
      <c r="G110" s="59"/>
      <c r="H110" s="59">
        <v>2174752</v>
      </c>
      <c r="I110" s="59"/>
      <c r="J110" s="23" t="str">
        <f>IF(ISNA(VLOOKUP(D110,DMTK!$B$5:$B$263,1,0)),"Sai","Đúng")</f>
        <v>Đúng</v>
      </c>
      <c r="K110" s="23" t="str">
        <f>IF(ISNA(VLOOKUP(E110,DMTK!$B$5:$B$263,1,0)),"Sai","Đúng")</f>
        <v>Đúng</v>
      </c>
      <c r="L110" s="23" t="str">
        <f>VLOOKUP(D110,DMTK!$B$5:$D$263,3,0)</f>
        <v>Xác định kết quả kinh doanh (GTV)</v>
      </c>
      <c r="M110" s="23" t="str">
        <f>VLOOKUP(E110,DMTK!$B$5:$D$263,3,0)</f>
        <v xml:space="preserve">Chi phí nhân viên </v>
      </c>
      <c r="N110" s="75" t="str">
        <f>IF(OR(LEFT($D110,3)="111",AND(LEFT(CT!$D110,3)="131",LEFT(CT!$E110,3)="511"),LEFT(CT!$E110,3)="111",LEFT(CT!$E110,3)="331"),"No","Yes")</f>
        <v>Yes</v>
      </c>
      <c r="O110" s="23"/>
      <c r="P110" s="58" t="str">
        <f t="shared" si="4"/>
        <v>TKCT</v>
      </c>
      <c r="Q110" s="58" t="str">
        <f t="shared" si="5"/>
        <v>TKCT</v>
      </c>
      <c r="R110" s="58"/>
      <c r="S110" s="58"/>
    </row>
    <row r="111" spans="1:19" x14ac:dyDescent="0.3">
      <c r="A111" s="63">
        <v>45322</v>
      </c>
      <c r="B111" s="23" t="s">
        <v>185</v>
      </c>
      <c r="C111" s="61" t="s">
        <v>186</v>
      </c>
      <c r="D111" s="24" t="s">
        <v>155</v>
      </c>
      <c r="E111" s="24" t="s">
        <v>187</v>
      </c>
      <c r="F111" s="62"/>
      <c r="G111" s="62"/>
      <c r="H111" s="59">
        <v>2269619</v>
      </c>
      <c r="I111" s="59"/>
      <c r="J111" s="23" t="str">
        <f>IF(ISNA(VLOOKUP(D111,DMTK!$B$5:$B$263,1,0)),"Sai","Đúng")</f>
        <v>Đúng</v>
      </c>
      <c r="K111" s="23" t="str">
        <f>IF(ISNA(VLOOKUP(E111,DMTK!$B$5:$B$263,1,0)),"Sai","Đúng")</f>
        <v>Đúng</v>
      </c>
      <c r="L111" s="23" t="str">
        <f>VLOOKUP(D111,DMTK!$B$5:$D$263,3,0)</f>
        <v>Xác định kết quả kinh doanh (GKT)</v>
      </c>
      <c r="M111" s="23" t="str">
        <f>VLOOKUP(E111,DMTK!$B$5:$D$263,3,0)</f>
        <v>Lợi nhuận sau thuế chưa phân phối năm nay</v>
      </c>
      <c r="N111" s="75" t="str">
        <f>IF(OR(LEFT($D111,3)="111",AND(LEFT(CT!$D111,3)="131",LEFT(CT!$E111,3)="511"),LEFT(CT!$E111,3)="111",LEFT(CT!$E111,3)="331"),"No","Yes")</f>
        <v>Yes</v>
      </c>
      <c r="O111" s="23"/>
      <c r="P111" s="58" t="str">
        <f t="shared" si="4"/>
        <v>TKCT</v>
      </c>
      <c r="Q111" s="58" t="str">
        <f t="shared" si="5"/>
        <v>TKCT</v>
      </c>
      <c r="R111" s="58"/>
      <c r="S111" s="58"/>
    </row>
    <row r="112" spans="1:19" x14ac:dyDescent="0.3">
      <c r="A112" s="63">
        <v>45322</v>
      </c>
      <c r="B112" s="23" t="s">
        <v>164</v>
      </c>
      <c r="C112" s="23" t="s">
        <v>165</v>
      </c>
      <c r="D112" s="7" t="s">
        <v>155</v>
      </c>
      <c r="E112" s="7" t="s">
        <v>152</v>
      </c>
      <c r="F112" s="59"/>
      <c r="G112" s="59"/>
      <c r="H112" s="59">
        <v>2465685</v>
      </c>
      <c r="I112" s="59"/>
      <c r="J112" s="23" t="str">
        <f>IF(ISNA(VLOOKUP(D112,DMTK!$B$5:$B$263,1,0)),"Sai","Đúng")</f>
        <v>Đúng</v>
      </c>
      <c r="K112" s="23" t="str">
        <f>IF(ISNA(VLOOKUP(E112,DMTK!$B$5:$B$263,1,0)),"Sai","Đúng")</f>
        <v>Đúng</v>
      </c>
      <c r="L112" s="23" t="str">
        <f>VLOOKUP(D112,DMTK!$B$5:$D$263,3,0)</f>
        <v>Xác định kết quả kinh doanh (GKT)</v>
      </c>
      <c r="M112" s="23" t="str">
        <f>VLOOKUP(E112,DMTK!$B$5:$D$263,3,0)</f>
        <v>Chi phí nhân viên quản lý</v>
      </c>
      <c r="N112" s="75" t="str">
        <f>IF(OR(LEFT($D112,3)="111",AND(LEFT(CT!$D112,3)="131",LEFT(CT!$E112,3)="511"),LEFT(CT!$E112,3)="111",LEFT(CT!$E112,3)="331"),"No","Yes")</f>
        <v>Yes</v>
      </c>
      <c r="O112" s="23"/>
      <c r="P112" s="58" t="str">
        <f t="shared" si="4"/>
        <v>TKCT</v>
      </c>
      <c r="Q112" s="58" t="str">
        <f t="shared" si="5"/>
        <v>TKCT</v>
      </c>
      <c r="R112" s="58"/>
      <c r="S112" s="58"/>
    </row>
    <row r="113" spans="1:19" x14ac:dyDescent="0.3">
      <c r="A113" s="63">
        <v>45322</v>
      </c>
      <c r="B113" s="23" t="s">
        <v>164</v>
      </c>
      <c r="C113" s="23" t="s">
        <v>165</v>
      </c>
      <c r="D113" s="7" t="s">
        <v>157</v>
      </c>
      <c r="E113" s="7" t="s">
        <v>152</v>
      </c>
      <c r="F113" s="59"/>
      <c r="G113" s="59"/>
      <c r="H113" s="59">
        <v>3029662</v>
      </c>
      <c r="I113" s="59"/>
      <c r="J113" s="23" t="str">
        <f>IF(ISNA(VLOOKUP(D113,DMTK!$B$5:$B$263,1,0)),"Sai","Đúng")</f>
        <v>Đúng</v>
      </c>
      <c r="K113" s="23" t="str">
        <f>IF(ISNA(VLOOKUP(E113,DMTK!$B$5:$B$263,1,0)),"Sai","Đúng")</f>
        <v>Đúng</v>
      </c>
      <c r="L113" s="23" t="str">
        <f>VLOOKUP(D113,DMTK!$B$5:$D$263,3,0)</f>
        <v>Xác định kết quả kinh doanh (BO)</v>
      </c>
      <c r="M113" s="23" t="str">
        <f>VLOOKUP(E113,DMTK!$B$5:$D$263,3,0)</f>
        <v>Chi phí nhân viên quản lý</v>
      </c>
      <c r="N113" s="75" t="str">
        <f>IF(OR(LEFT($D113,3)="111",AND(LEFT(CT!$D113,3)="131",LEFT(CT!$E113,3)="511"),LEFT(CT!$E113,3)="111",LEFT(CT!$E113,3)="331"),"No","Yes")</f>
        <v>Yes</v>
      </c>
      <c r="O113" s="23"/>
      <c r="P113" s="58" t="str">
        <f t="shared" si="4"/>
        <v>TKCT</v>
      </c>
      <c r="Q113" s="58" t="str">
        <f t="shared" si="5"/>
        <v>TKCT</v>
      </c>
      <c r="R113" s="58"/>
      <c r="S113" s="58"/>
    </row>
    <row r="114" spans="1:19" x14ac:dyDescent="0.3">
      <c r="A114" s="63">
        <v>45322</v>
      </c>
      <c r="B114" s="23" t="s">
        <v>164</v>
      </c>
      <c r="C114" s="23" t="s">
        <v>165</v>
      </c>
      <c r="D114" s="7" t="s">
        <v>158</v>
      </c>
      <c r="E114" s="7" t="s">
        <v>152</v>
      </c>
      <c r="F114" s="59"/>
      <c r="G114" s="59"/>
      <c r="H114" s="59">
        <v>3044653</v>
      </c>
      <c r="I114" s="59"/>
      <c r="J114" s="23" t="str">
        <f>IF(ISNA(VLOOKUP(D114,DMTK!$B$5:$B$263,1,0)),"Sai","Đúng")</f>
        <v>Đúng</v>
      </c>
      <c r="K114" s="23" t="str">
        <f>IF(ISNA(VLOOKUP(E114,DMTK!$B$5:$B$263,1,0)),"Sai","Đúng")</f>
        <v>Đúng</v>
      </c>
      <c r="L114" s="23" t="str">
        <f>VLOOKUP(D114,DMTK!$B$5:$D$263,3,0)</f>
        <v>Xác định kết quả kinh doanh (GTV)</v>
      </c>
      <c r="M114" s="23" t="str">
        <f>VLOOKUP(E114,DMTK!$B$5:$D$263,3,0)</f>
        <v>Chi phí nhân viên quản lý</v>
      </c>
      <c r="N114" s="75" t="str">
        <f>IF(OR(LEFT($D114,3)="111",AND(LEFT(CT!$D114,3)="131",LEFT(CT!$E114,3)="511"),LEFT(CT!$E114,3)="111",LEFT(CT!$E114,3)="331"),"No","Yes")</f>
        <v>Yes</v>
      </c>
      <c r="O114" s="23"/>
      <c r="P114" s="58" t="str">
        <f t="shared" si="4"/>
        <v>TKCT</v>
      </c>
      <c r="Q114" s="58" t="str">
        <f t="shared" si="5"/>
        <v>TKCT</v>
      </c>
      <c r="R114" s="58"/>
      <c r="S114" s="58"/>
    </row>
    <row r="115" spans="1:19" x14ac:dyDescent="0.3">
      <c r="A115" s="63">
        <v>45322</v>
      </c>
      <c r="B115" s="23" t="s">
        <v>191</v>
      </c>
      <c r="C115" s="23" t="s">
        <v>192</v>
      </c>
      <c r="D115" s="7" t="s">
        <v>114</v>
      </c>
      <c r="E115" s="7" t="s">
        <v>89</v>
      </c>
      <c r="F115" s="59"/>
      <c r="G115" s="59"/>
      <c r="H115" s="59">
        <v>3646000</v>
      </c>
      <c r="I115" s="59"/>
      <c r="J115" s="23" t="str">
        <f>IF(ISNA(VLOOKUP(D115,DMTK!$B$5:$B$263,1,0)),"Sai","Đúng")</f>
        <v>Đúng</v>
      </c>
      <c r="K115" s="23" t="str">
        <f>IF(ISNA(VLOOKUP(E115,DMTK!$B$5:$B$263,1,0)),"Sai","Đúng")</f>
        <v>Đúng</v>
      </c>
      <c r="L115" s="23" t="str">
        <f>VLOOKUP(D115,DMTK!$B$5:$D$263,3,0)</f>
        <v>Bàn tròn</v>
      </c>
      <c r="M115" s="23" t="str">
        <f>VLOOKUP(E115,DMTK!$B$5:$D$263,3,0)</f>
        <v>CFNVL Bàn tròn</v>
      </c>
      <c r="N115" s="75" t="str">
        <f>IF(OR(LEFT($D115,3)="111",AND(LEFT(CT!$D115,3)="131",LEFT(CT!$E115,3)="511"),LEFT(CT!$E115,3)="111",LEFT(CT!$E115,3)="331"),"No","Yes")</f>
        <v>Yes</v>
      </c>
      <c r="O115" s="23"/>
      <c r="P115" s="58" t="str">
        <f t="shared" si="4"/>
        <v>TKCT</v>
      </c>
      <c r="Q115" s="58" t="str">
        <f t="shared" si="5"/>
        <v>TKCT</v>
      </c>
      <c r="R115" s="58"/>
      <c r="S115" s="58"/>
    </row>
    <row r="116" spans="1:19" x14ac:dyDescent="0.3">
      <c r="A116" s="63">
        <v>45322</v>
      </c>
      <c r="B116" s="23" t="s">
        <v>193</v>
      </c>
      <c r="C116" s="23" t="s">
        <v>194</v>
      </c>
      <c r="D116" s="7" t="s">
        <v>150</v>
      </c>
      <c r="E116" s="7" t="s">
        <v>62</v>
      </c>
      <c r="F116" s="59"/>
      <c r="G116" s="59"/>
      <c r="H116" s="59">
        <v>5000000</v>
      </c>
      <c r="I116" s="59"/>
      <c r="J116" s="23" t="str">
        <f>IF(ISNA(VLOOKUP(D116,DMTK!$B$5:$B$263,1,0)),"Sai","Đúng")</f>
        <v>Đúng</v>
      </c>
      <c r="K116" s="23" t="str">
        <f>IF(ISNA(VLOOKUP(E116,DMTK!$B$5:$B$263,1,0)),"Sai","Đúng")</f>
        <v>Đúng</v>
      </c>
      <c r="L116" s="23" t="str">
        <f>VLOOKUP(D116,DMTK!$B$5:$D$263,3,0)</f>
        <v xml:space="preserve">Chi phí nhân viên </v>
      </c>
      <c r="M116" s="23" t="str">
        <f>VLOOKUP(E116,DMTK!$B$5:$D$263,3,0)</f>
        <v>Lương NV bán hàng</v>
      </c>
      <c r="N116" s="75" t="str">
        <f>IF(OR(LEFT($D116,3)="111",AND(LEFT(CT!$D116,3)="131",LEFT(CT!$E116,3)="511"),LEFT(CT!$E116,3)="111",LEFT(CT!$E116,3)="331"),"No","Yes")</f>
        <v>Yes</v>
      </c>
      <c r="O116" s="23"/>
      <c r="P116" s="58" t="str">
        <f t="shared" si="4"/>
        <v>TKCT</v>
      </c>
      <c r="Q116" s="58" t="str">
        <f t="shared" si="5"/>
        <v>TKCT</v>
      </c>
      <c r="R116" s="58"/>
      <c r="S116" s="58"/>
    </row>
    <row r="117" spans="1:19" x14ac:dyDescent="0.3">
      <c r="A117" s="63">
        <v>45322</v>
      </c>
      <c r="B117" s="23" t="s">
        <v>148</v>
      </c>
      <c r="C117" s="23" t="s">
        <v>149</v>
      </c>
      <c r="D117" s="7" t="s">
        <v>172</v>
      </c>
      <c r="E117" s="7" t="s">
        <v>181</v>
      </c>
      <c r="F117" s="59"/>
      <c r="G117" s="59"/>
      <c r="H117" s="59">
        <v>5600000</v>
      </c>
      <c r="I117" s="59"/>
      <c r="J117" s="23" t="str">
        <f>IF(ISNA(VLOOKUP(D117,DMTK!$B$5:$B$263,1,0)),"Sai","Đúng")</f>
        <v>Đúng</v>
      </c>
      <c r="K117" s="23" t="str">
        <f>IF(ISNA(VLOOKUP(E117,DMTK!$B$5:$B$263,1,0)),"Sai","Đúng")</f>
        <v>Đúng</v>
      </c>
      <c r="L117" s="23" t="str">
        <f>VLOOKUP(D117,DMTK!$B$5:$D$263,3,0)</f>
        <v>Chi phí nhân viên phân xưởng</v>
      </c>
      <c r="M117" s="23" t="str">
        <f>VLOOKUP(E117,DMTK!$B$5:$D$263,3,0)</f>
        <v>Bảo hiểm xã hội</v>
      </c>
      <c r="N117" s="75" t="str">
        <f>IF(OR(LEFT($D117,3)="111",AND(LEFT(CT!$D117,3)="131",LEFT(CT!$E117,3)="511"),LEFT(CT!$E117,3)="111",LEFT(CT!$E117,3)="331"),"No","Yes")</f>
        <v>Yes</v>
      </c>
      <c r="O117" s="23"/>
      <c r="P117" s="58" t="str">
        <f t="shared" si="4"/>
        <v>TKCT</v>
      </c>
      <c r="Q117" s="58" t="str">
        <f t="shared" si="5"/>
        <v>TKCT</v>
      </c>
      <c r="R117" s="58"/>
      <c r="S117" s="58"/>
    </row>
    <row r="118" spans="1:19" x14ac:dyDescent="0.3">
      <c r="A118" s="63">
        <v>45322</v>
      </c>
      <c r="B118" s="23" t="s">
        <v>148</v>
      </c>
      <c r="C118" s="23" t="s">
        <v>149</v>
      </c>
      <c r="D118" s="7" t="s">
        <v>173</v>
      </c>
      <c r="E118" s="7" t="s">
        <v>181</v>
      </c>
      <c r="F118" s="59"/>
      <c r="G118" s="59"/>
      <c r="H118" s="59">
        <v>6400000</v>
      </c>
      <c r="I118" s="59"/>
      <c r="J118" s="23" t="str">
        <f>IF(ISNA(VLOOKUP(D118,DMTK!$B$5:$B$263,1,0)),"Sai","Đúng")</f>
        <v>Đúng</v>
      </c>
      <c r="K118" s="23" t="str">
        <f>IF(ISNA(VLOOKUP(E118,DMTK!$B$5:$B$263,1,0)),"Sai","Đúng")</f>
        <v>Đúng</v>
      </c>
      <c r="L118" s="23" t="str">
        <f>VLOOKUP(D118,DMTK!$B$5:$D$263,3,0)</f>
        <v>CFNC Ghế tay vịn</v>
      </c>
      <c r="M118" s="23" t="str">
        <f>VLOOKUP(E118,DMTK!$B$5:$D$263,3,0)</f>
        <v>Bảo hiểm xã hội</v>
      </c>
      <c r="N118" s="75" t="str">
        <f>IF(OR(LEFT($D118,3)="111",AND(LEFT(CT!$D118,3)="131",LEFT(CT!$E118,3)="511"),LEFT(CT!$E118,3)="111",LEFT(CT!$E118,3)="331"),"No","Yes")</f>
        <v>Yes</v>
      </c>
      <c r="O118" s="23"/>
      <c r="P118" s="58" t="str">
        <f t="shared" si="4"/>
        <v>TKCT</v>
      </c>
      <c r="Q118" s="58" t="str">
        <f t="shared" si="5"/>
        <v>TKCT</v>
      </c>
      <c r="R118" s="58"/>
      <c r="S118" s="58"/>
    </row>
    <row r="119" spans="1:19" x14ac:dyDescent="0.3">
      <c r="A119" s="63">
        <v>45322</v>
      </c>
      <c r="B119" s="23" t="s">
        <v>148</v>
      </c>
      <c r="C119" s="23" t="s">
        <v>149</v>
      </c>
      <c r="D119" s="7" t="s">
        <v>174</v>
      </c>
      <c r="E119" s="7" t="s">
        <v>181</v>
      </c>
      <c r="F119" s="59"/>
      <c r="G119" s="59"/>
      <c r="H119" s="59">
        <v>6400000</v>
      </c>
      <c r="I119" s="59"/>
      <c r="J119" s="23" t="str">
        <f>IF(ISNA(VLOOKUP(D119,DMTK!$B$5:$B$263,1,0)),"Sai","Đúng")</f>
        <v>Đúng</v>
      </c>
      <c r="K119" s="23" t="str">
        <f>IF(ISNA(VLOOKUP(E119,DMTK!$B$5:$B$263,1,0)),"Sai","Đúng")</f>
        <v>Đúng</v>
      </c>
      <c r="L119" s="23" t="str">
        <f>VLOOKUP(D119,DMTK!$B$5:$D$263,3,0)</f>
        <v>CFNC Ghế không tay</v>
      </c>
      <c r="M119" s="23" t="str">
        <f>VLOOKUP(E119,DMTK!$B$5:$D$263,3,0)</f>
        <v>Bảo hiểm xã hội</v>
      </c>
      <c r="N119" s="75" t="str">
        <f>IF(OR(LEFT($D119,3)="111",AND(LEFT(CT!$D119,3)="131",LEFT(CT!$E119,3)="511"),LEFT(CT!$E119,3)="111",LEFT(CT!$E119,3)="331"),"No","Yes")</f>
        <v>Yes</v>
      </c>
      <c r="O119" s="23"/>
      <c r="P119" s="58" t="str">
        <f t="shared" si="4"/>
        <v>TKCT</v>
      </c>
      <c r="Q119" s="58" t="str">
        <f t="shared" si="5"/>
        <v>TKCT</v>
      </c>
      <c r="R119" s="58"/>
      <c r="S119" s="58"/>
    </row>
    <row r="120" spans="1:19" x14ac:dyDescent="0.3">
      <c r="A120" s="63">
        <v>45322</v>
      </c>
      <c r="B120" s="23" t="s">
        <v>148</v>
      </c>
      <c r="C120" s="23" t="s">
        <v>149</v>
      </c>
      <c r="D120" s="7" t="s">
        <v>175</v>
      </c>
      <c r="E120" s="7" t="s">
        <v>181</v>
      </c>
      <c r="F120" s="59"/>
      <c r="G120" s="59"/>
      <c r="H120" s="59">
        <v>6400000</v>
      </c>
      <c r="I120" s="59"/>
      <c r="J120" s="23" t="str">
        <f>IF(ISNA(VLOOKUP(D120,DMTK!$B$5:$B$263,1,0)),"Sai","Đúng")</f>
        <v>Đúng</v>
      </c>
      <c r="K120" s="23" t="str">
        <f>IF(ISNA(VLOOKUP(E120,DMTK!$B$5:$B$263,1,0)),"Sai","Đúng")</f>
        <v>Đúng</v>
      </c>
      <c r="L120" s="23" t="str">
        <f>VLOOKUP(D120,DMTK!$B$5:$D$263,3,0)</f>
        <v>CFNC Bàn tròn</v>
      </c>
      <c r="M120" s="23" t="str">
        <f>VLOOKUP(E120,DMTK!$B$5:$D$263,3,0)</f>
        <v>Bảo hiểm xã hội</v>
      </c>
      <c r="N120" s="75" t="str">
        <f>IF(OR(LEFT($D120,3)="111",AND(LEFT(CT!$D120,3)="131",LEFT(CT!$E120,3)="511"),LEFT(CT!$E120,3)="111",LEFT(CT!$E120,3)="331"),"No","Yes")</f>
        <v>Yes</v>
      </c>
      <c r="O120" s="23"/>
      <c r="P120" s="58" t="str">
        <f t="shared" si="4"/>
        <v>TKCT</v>
      </c>
      <c r="Q120" s="58" t="str">
        <f t="shared" si="5"/>
        <v>TKCT</v>
      </c>
      <c r="R120" s="58"/>
      <c r="S120" s="58"/>
    </row>
    <row r="121" spans="1:19" x14ac:dyDescent="0.3">
      <c r="A121" s="63">
        <v>45322</v>
      </c>
      <c r="B121" s="23" t="s">
        <v>148</v>
      </c>
      <c r="C121" s="23" t="s">
        <v>149</v>
      </c>
      <c r="D121" s="7" t="s">
        <v>176</v>
      </c>
      <c r="E121" s="7" t="s">
        <v>181</v>
      </c>
      <c r="F121" s="59"/>
      <c r="G121" s="59"/>
      <c r="H121" s="59">
        <v>6400000</v>
      </c>
      <c r="I121" s="59"/>
      <c r="J121" s="23" t="str">
        <f>IF(ISNA(VLOOKUP(D121,DMTK!$B$5:$B$263,1,0)),"Sai","Đúng")</f>
        <v>Đúng</v>
      </c>
      <c r="K121" s="23" t="str">
        <f>IF(ISNA(VLOOKUP(E121,DMTK!$B$5:$B$263,1,0)),"Sai","Đúng")</f>
        <v>Đúng</v>
      </c>
      <c r="L121" s="23" t="str">
        <f>VLOOKUP(D121,DMTK!$B$5:$D$263,3,0)</f>
        <v>CFNCBàn oval</v>
      </c>
      <c r="M121" s="23" t="str">
        <f>VLOOKUP(E121,DMTK!$B$5:$D$263,3,0)</f>
        <v>Bảo hiểm xã hội</v>
      </c>
      <c r="N121" s="75" t="str">
        <f>IF(OR(LEFT($D121,3)="111",AND(LEFT(CT!$D121,3)="131",LEFT(CT!$E121,3)="511"),LEFT(CT!$E121,3)="111",LEFT(CT!$E121,3)="331"),"No","Yes")</f>
        <v>Yes</v>
      </c>
      <c r="O121" s="23"/>
      <c r="P121" s="58" t="str">
        <f t="shared" si="4"/>
        <v>TKCT</v>
      </c>
      <c r="Q121" s="58" t="str">
        <f t="shared" si="5"/>
        <v>TKCT</v>
      </c>
      <c r="R121" s="58"/>
      <c r="S121" s="58"/>
    </row>
    <row r="122" spans="1:19" x14ac:dyDescent="0.3">
      <c r="A122" s="63">
        <v>45322</v>
      </c>
      <c r="B122" s="23" t="s">
        <v>148</v>
      </c>
      <c r="C122" s="23" t="s">
        <v>149</v>
      </c>
      <c r="D122" s="7" t="s">
        <v>177</v>
      </c>
      <c r="E122" s="7" t="s">
        <v>181</v>
      </c>
      <c r="F122" s="59"/>
      <c r="G122" s="59"/>
      <c r="H122" s="59">
        <v>6400000</v>
      </c>
      <c r="I122" s="59"/>
      <c r="J122" s="23" t="str">
        <f>IF(ISNA(VLOOKUP(D122,DMTK!$B$5:$B$263,1,0)),"Sai","Đúng")</f>
        <v>Đúng</v>
      </c>
      <c r="K122" s="23" t="str">
        <f>IF(ISNA(VLOOKUP(E122,DMTK!$B$5:$B$263,1,0)),"Sai","Đúng")</f>
        <v>Đúng</v>
      </c>
      <c r="L122" s="23" t="str">
        <f>VLOOKUP(D122,DMTK!$B$5:$D$263,3,0)</f>
        <v>CFNC Bàn chữ nhật</v>
      </c>
      <c r="M122" s="23" t="str">
        <f>VLOOKUP(E122,DMTK!$B$5:$D$263,3,0)</f>
        <v>Bảo hiểm xã hội</v>
      </c>
      <c r="N122" s="75" t="str">
        <f>IF(OR(LEFT($D122,3)="111",AND(LEFT(CT!$D122,3)="131",LEFT(CT!$E122,3)="511"),LEFT(CT!$E122,3)="111",LEFT(CT!$E122,3)="331"),"No","Yes")</f>
        <v>Yes</v>
      </c>
      <c r="O122" s="23"/>
      <c r="P122" s="58" t="str">
        <f t="shared" si="4"/>
        <v>TKCT</v>
      </c>
      <c r="Q122" s="58" t="str">
        <f t="shared" si="5"/>
        <v>TKCT</v>
      </c>
      <c r="R122" s="58"/>
      <c r="S122" s="58"/>
    </row>
    <row r="123" spans="1:19" x14ac:dyDescent="0.3">
      <c r="A123" s="63">
        <v>45322</v>
      </c>
      <c r="B123" s="23" t="s">
        <v>193</v>
      </c>
      <c r="C123" s="23" t="s">
        <v>194</v>
      </c>
      <c r="D123" s="7" t="s">
        <v>152</v>
      </c>
      <c r="E123" s="7" t="s">
        <v>64</v>
      </c>
      <c r="F123" s="59"/>
      <c r="G123" s="59"/>
      <c r="H123" s="59">
        <v>7000000</v>
      </c>
      <c r="I123" s="59"/>
      <c r="J123" s="23" t="str">
        <f>IF(ISNA(VLOOKUP(D123,DMTK!$B$5:$B$263,1,0)),"Sai","Đúng")</f>
        <v>Đúng</v>
      </c>
      <c r="K123" s="23" t="str">
        <f>IF(ISNA(VLOOKUP(E123,DMTK!$B$5:$B$263,1,0)),"Sai","Đúng")</f>
        <v>Đúng</v>
      </c>
      <c r="L123" s="23" t="str">
        <f>VLOOKUP(D123,DMTK!$B$5:$D$263,3,0)</f>
        <v>Chi phí nhân viên quản lý</v>
      </c>
      <c r="M123" s="23" t="str">
        <f>VLOOKUP(E123,DMTK!$B$5:$D$263,3,0)</f>
        <v>Lương CB QLDN</v>
      </c>
      <c r="N123" s="75" t="str">
        <f>IF(OR(LEFT($D123,3)="111",AND(LEFT(CT!$D123,3)="131",LEFT(CT!$E123,3)="511"),LEFT(CT!$E123,3)="111",LEFT(CT!$E123,3)="331"),"No","Yes")</f>
        <v>Yes</v>
      </c>
      <c r="O123" s="23"/>
      <c r="P123" s="58" t="str">
        <f t="shared" si="4"/>
        <v>TKCT</v>
      </c>
      <c r="Q123" s="58" t="str">
        <f t="shared" si="5"/>
        <v>TKCT</v>
      </c>
      <c r="R123" s="58"/>
      <c r="S123" s="58"/>
    </row>
    <row r="124" spans="1:19" x14ac:dyDescent="0.3">
      <c r="A124" s="63">
        <v>45322</v>
      </c>
      <c r="B124" s="23" t="s">
        <v>160</v>
      </c>
      <c r="C124" s="23" t="s">
        <v>161</v>
      </c>
      <c r="D124" s="7" t="s">
        <v>114</v>
      </c>
      <c r="E124" s="7" t="s">
        <v>172</v>
      </c>
      <c r="F124" s="59"/>
      <c r="G124" s="59"/>
      <c r="H124" s="59">
        <v>8611709</v>
      </c>
      <c r="I124" s="59"/>
      <c r="J124" s="23" t="str">
        <f>IF(ISNA(VLOOKUP(D124,DMTK!$B$5:$B$263,1,0)),"Sai","Đúng")</f>
        <v>Đúng</v>
      </c>
      <c r="K124" s="23" t="str">
        <f>IF(ISNA(VLOOKUP(E124,DMTK!$B$5:$B$263,1,0)),"Sai","Đúng")</f>
        <v>Đúng</v>
      </c>
      <c r="L124" s="23" t="str">
        <f>VLOOKUP(D124,DMTK!$B$5:$D$263,3,0)</f>
        <v>Bàn tròn</v>
      </c>
      <c r="M124" s="23" t="str">
        <f>VLOOKUP(E124,DMTK!$B$5:$D$263,3,0)</f>
        <v>Chi phí nhân viên phân xưởng</v>
      </c>
      <c r="N124" s="75" t="str">
        <f>IF(OR(LEFT($D124,3)="111",AND(LEFT(CT!$D124,3)="131",LEFT(CT!$E124,3)="511"),LEFT(CT!$E124,3)="111",LEFT(CT!$E124,3)="331"),"No","Yes")</f>
        <v>Yes</v>
      </c>
      <c r="O124" s="23"/>
      <c r="P124" s="58" t="str">
        <f t="shared" si="4"/>
        <v>TKCT</v>
      </c>
      <c r="Q124" s="58" t="str">
        <f t="shared" si="5"/>
        <v>TKCT</v>
      </c>
      <c r="R124" s="58"/>
      <c r="S124" s="58"/>
    </row>
    <row r="125" spans="1:19" x14ac:dyDescent="0.3">
      <c r="A125" s="63">
        <v>45322</v>
      </c>
      <c r="B125" s="23" t="s">
        <v>191</v>
      </c>
      <c r="C125" s="23" t="s">
        <v>192</v>
      </c>
      <c r="D125" s="24" t="s">
        <v>118</v>
      </c>
      <c r="E125" s="24" t="s">
        <v>58</v>
      </c>
      <c r="F125" s="59"/>
      <c r="G125" s="59"/>
      <c r="H125" s="59">
        <v>14432200</v>
      </c>
      <c r="I125" s="59"/>
      <c r="J125" s="23" t="str">
        <f>IF(ISNA(VLOOKUP(D125,DMTK!$B$5:$B$263,1,0)),"Sai","Đúng")</f>
        <v>Đúng</v>
      </c>
      <c r="K125" s="23" t="str">
        <f>IF(ISNA(VLOOKUP(E125,DMTK!$B$5:$B$263,1,0)),"Sai","Đúng")</f>
        <v>Đúng</v>
      </c>
      <c r="L125" s="23" t="str">
        <f>VLOOKUP(D125,DMTK!$B$5:$D$263,3,0)</f>
        <v>Ghế tay vịn</v>
      </c>
      <c r="M125" s="23" t="str">
        <f>VLOOKUP(E125,DMTK!$B$5:$D$263,3,0)</f>
        <v>CFNVL Ghế tay vịn</v>
      </c>
      <c r="N125" s="75" t="str">
        <f>IF(OR(LEFT($D125,3)="111",AND(LEFT(CT!$D125,3)="131",LEFT(CT!$E125,3)="511"),LEFT(CT!$E125,3)="111",LEFT(CT!$E125,3)="331"),"No","Yes")</f>
        <v>Yes</v>
      </c>
      <c r="O125" s="23"/>
      <c r="P125" s="58" t="str">
        <f t="shared" si="4"/>
        <v>TKCT</v>
      </c>
      <c r="Q125" s="58" t="str">
        <f t="shared" si="5"/>
        <v>TKCT</v>
      </c>
      <c r="R125" s="58"/>
      <c r="S125" s="58"/>
    </row>
    <row r="126" spans="1:19" x14ac:dyDescent="0.3">
      <c r="A126" s="63">
        <v>45322</v>
      </c>
      <c r="B126" s="23" t="s">
        <v>195</v>
      </c>
      <c r="C126" s="23" t="s">
        <v>196</v>
      </c>
      <c r="D126" s="24" t="s">
        <v>155</v>
      </c>
      <c r="E126" s="7" t="s">
        <v>132</v>
      </c>
      <c r="F126" s="59"/>
      <c r="G126" s="59"/>
      <c r="H126" s="59">
        <v>20346200</v>
      </c>
      <c r="I126" s="59"/>
      <c r="J126" s="23" t="str">
        <f>IF(ISNA(VLOOKUP(D126,DMTK!$B$5:$B$263,1,0)),"Sai","Đúng")</f>
        <v>Đúng</v>
      </c>
      <c r="K126" s="23" t="str">
        <f>IF(ISNA(VLOOKUP(E126,DMTK!$B$5:$B$263,1,0)),"Sai","Đúng")</f>
        <v>Đúng</v>
      </c>
      <c r="L126" s="23" t="str">
        <f>VLOOKUP(D126,DMTK!$B$5:$D$263,3,0)</f>
        <v>Xác định kết quả kinh doanh (GKT)</v>
      </c>
      <c r="M126" s="23" t="str">
        <f>VLOOKUP(E126,DMTK!$B$5:$D$263,3,0)</f>
        <v>GVHB Ghế không tay</v>
      </c>
      <c r="N126" s="75" t="str">
        <f>IF(OR(LEFT($D126,3)="111",AND(LEFT(CT!$D126,3)="131",LEFT(CT!$E126,3)="511"),LEFT(CT!$E126,3)="111",LEFT(CT!$E126,3)="331"),"No","Yes")</f>
        <v>Yes</v>
      </c>
      <c r="O126" s="23"/>
      <c r="P126" s="58" t="str">
        <f t="shared" si="4"/>
        <v>TKCT</v>
      </c>
      <c r="Q126" s="58" t="str">
        <f t="shared" si="5"/>
        <v>TKCT</v>
      </c>
      <c r="R126" s="58"/>
      <c r="S126" s="58"/>
    </row>
    <row r="127" spans="1:19" x14ac:dyDescent="0.3">
      <c r="A127" s="63">
        <v>45322</v>
      </c>
      <c r="B127" s="23" t="s">
        <v>195</v>
      </c>
      <c r="C127" s="23" t="s">
        <v>196</v>
      </c>
      <c r="D127" s="24" t="s">
        <v>157</v>
      </c>
      <c r="E127" s="7" t="s">
        <v>136</v>
      </c>
      <c r="F127" s="59"/>
      <c r="G127" s="59"/>
      <c r="H127" s="59">
        <v>25000000</v>
      </c>
      <c r="I127" s="59"/>
      <c r="J127" s="23" t="str">
        <f>IF(ISNA(VLOOKUP(D127,DMTK!$B$5:$B$263,1,0)),"Sai","Đúng")</f>
        <v>Đúng</v>
      </c>
      <c r="K127" s="23" t="str">
        <f>IF(ISNA(VLOOKUP(E127,DMTK!$B$5:$B$263,1,0)),"Sai","Đúng")</f>
        <v>Đúng</v>
      </c>
      <c r="L127" s="23" t="str">
        <f>VLOOKUP(D127,DMTK!$B$5:$D$263,3,0)</f>
        <v>Xác định kết quả kinh doanh (BO)</v>
      </c>
      <c r="M127" s="23" t="str">
        <f>VLOOKUP(E127,DMTK!$B$5:$D$263,3,0)</f>
        <v>GVHB Bàn oval</v>
      </c>
      <c r="N127" s="75" t="str">
        <f>IF(OR(LEFT($D127,3)="111",AND(LEFT(CT!$D127,3)="131",LEFT(CT!$E127,3)="511"),LEFT(CT!$E127,3)="111",LEFT(CT!$E127,3)="331"),"No","Yes")</f>
        <v>Yes</v>
      </c>
      <c r="O127" s="23"/>
      <c r="P127" s="58" t="str">
        <f t="shared" si="4"/>
        <v>TKCT</v>
      </c>
      <c r="Q127" s="58" t="str">
        <f t="shared" si="5"/>
        <v>TKCT</v>
      </c>
      <c r="R127" s="58"/>
      <c r="S127" s="58"/>
    </row>
    <row r="128" spans="1:19" x14ac:dyDescent="0.3">
      <c r="A128" s="63">
        <v>45322</v>
      </c>
      <c r="B128" s="23" t="s">
        <v>195</v>
      </c>
      <c r="C128" s="23" t="s">
        <v>196</v>
      </c>
      <c r="D128" s="7" t="s">
        <v>158</v>
      </c>
      <c r="E128" s="7" t="s">
        <v>134</v>
      </c>
      <c r="F128" s="59"/>
      <c r="G128" s="59"/>
      <c r="H128" s="59">
        <v>25123700</v>
      </c>
      <c r="I128" s="59"/>
      <c r="J128" s="23" t="str">
        <f>IF(ISNA(VLOOKUP(D128,DMTK!$B$5:$B$263,1,0)),"Sai","Đúng")</f>
        <v>Đúng</v>
      </c>
      <c r="K128" s="23" t="str">
        <f>IF(ISNA(VLOOKUP(E128,DMTK!$B$5:$B$263,1,0)),"Sai","Đúng")</f>
        <v>Đúng</v>
      </c>
      <c r="L128" s="23" t="str">
        <f>VLOOKUP(D128,DMTK!$B$5:$D$263,3,0)</f>
        <v>Xác định kết quả kinh doanh (GTV)</v>
      </c>
      <c r="M128" s="23" t="str">
        <f>VLOOKUP(E128,DMTK!$B$5:$D$263,3,0)</f>
        <v>GVHB Ghế tay vịn</v>
      </c>
      <c r="N128" s="75" t="str">
        <f>IF(OR(LEFT($D128,3)="111",AND(LEFT(CT!$D128,3)="131",LEFT(CT!$E128,3)="511"),LEFT(CT!$E128,3)="111",LEFT(CT!$E128,3)="331"),"No","Yes")</f>
        <v>Yes</v>
      </c>
      <c r="O128" s="23"/>
      <c r="P128" s="58" t="str">
        <f t="shared" si="4"/>
        <v>TKCT</v>
      </c>
      <c r="Q128" s="58" t="str">
        <f t="shared" si="5"/>
        <v>TKCT</v>
      </c>
      <c r="R128" s="58"/>
      <c r="S128" s="58"/>
    </row>
    <row r="129" spans="1:19" x14ac:dyDescent="0.3">
      <c r="A129" s="63">
        <v>45322</v>
      </c>
      <c r="B129" s="23" t="s">
        <v>197</v>
      </c>
      <c r="C129" s="61" t="s">
        <v>198</v>
      </c>
      <c r="D129" s="7" t="s">
        <v>138</v>
      </c>
      <c r="E129" s="24" t="s">
        <v>155</v>
      </c>
      <c r="F129" s="59"/>
      <c r="G129" s="59"/>
      <c r="H129" s="59">
        <v>28000000</v>
      </c>
      <c r="I129" s="59"/>
      <c r="J129" s="23" t="str">
        <f>IF(ISNA(VLOOKUP(D129,DMTK!$B$5:$B$263,1,0)),"Sai","Đúng")</f>
        <v>Đúng</v>
      </c>
      <c r="K129" s="23" t="str">
        <f>IF(ISNA(VLOOKUP(E129,DMTK!$B$5:$B$263,1,0)),"Sai","Đúng")</f>
        <v>Đúng</v>
      </c>
      <c r="L129" s="23" t="str">
        <f>VLOOKUP(D129,DMTK!$B$5:$D$263,3,0)</f>
        <v>Doanh thu bán Ghế không tay</v>
      </c>
      <c r="M129" s="23" t="str">
        <f>VLOOKUP(E129,DMTK!$B$5:$D$263,3,0)</f>
        <v>Xác định kết quả kinh doanh (GKT)</v>
      </c>
      <c r="N129" s="75" t="str">
        <f>IF(OR(LEFT($D129,3)="111",AND(LEFT(CT!$D129,3)="131",LEFT(CT!$E129,3)="511"),LEFT(CT!$E129,3)="111",LEFT(CT!$E129,3)="331"),"No","Yes")</f>
        <v>Yes</v>
      </c>
      <c r="O129" s="23"/>
      <c r="P129" s="58" t="str">
        <f t="shared" si="4"/>
        <v>TKCT</v>
      </c>
      <c r="Q129" s="58" t="str">
        <f t="shared" si="5"/>
        <v>TKCT</v>
      </c>
      <c r="R129" s="58"/>
      <c r="S129" s="58"/>
    </row>
    <row r="130" spans="1:19" x14ac:dyDescent="0.3">
      <c r="A130" s="63">
        <v>45322</v>
      </c>
      <c r="B130" s="23" t="s">
        <v>197</v>
      </c>
      <c r="C130" s="61" t="s">
        <v>198</v>
      </c>
      <c r="D130" s="7" t="s">
        <v>139</v>
      </c>
      <c r="E130" s="7" t="s">
        <v>158</v>
      </c>
      <c r="F130" s="59"/>
      <c r="G130" s="59"/>
      <c r="H130" s="59">
        <v>30000000</v>
      </c>
      <c r="I130" s="59"/>
      <c r="J130" s="23" t="str">
        <f>IF(ISNA(VLOOKUP(D130,DMTK!$B$5:$B$263,1,0)),"Sai","Đúng")</f>
        <v>Đúng</v>
      </c>
      <c r="K130" s="23" t="str">
        <f>IF(ISNA(VLOOKUP(E130,DMTK!$B$5:$B$263,1,0)),"Sai","Đúng")</f>
        <v>Đúng</v>
      </c>
      <c r="L130" s="23" t="str">
        <f>VLOOKUP(D130,DMTK!$B$5:$D$263,3,0)</f>
        <v>Doanh thu bán Ghế tay vịn</v>
      </c>
      <c r="M130" s="23" t="str">
        <f>VLOOKUP(E130,DMTK!$B$5:$D$263,3,0)</f>
        <v>Xác định kết quả kinh doanh (GTV)</v>
      </c>
      <c r="N130" s="75" t="str">
        <f>IF(OR(LEFT($D130,3)="111",AND(LEFT(CT!$D130,3)="131",LEFT(CT!$E130,3)="511"),LEFT(CT!$E130,3)="111",LEFT(CT!$E130,3)="331"),"No","Yes")</f>
        <v>Yes</v>
      </c>
      <c r="O130" s="23"/>
      <c r="P130" s="58" t="str">
        <f t="shared" si="4"/>
        <v>TKCT</v>
      </c>
      <c r="Q130" s="58" t="str">
        <f t="shared" si="5"/>
        <v>TKCT</v>
      </c>
      <c r="R130" s="58"/>
      <c r="S130" s="58"/>
    </row>
    <row r="131" spans="1:19" x14ac:dyDescent="0.3">
      <c r="A131" s="63">
        <v>45322</v>
      </c>
      <c r="B131" s="23" t="s">
        <v>197</v>
      </c>
      <c r="C131" s="61" t="s">
        <v>198</v>
      </c>
      <c r="D131" s="7" t="s">
        <v>140</v>
      </c>
      <c r="E131" s="24" t="s">
        <v>157</v>
      </c>
      <c r="F131" s="59"/>
      <c r="G131" s="59"/>
      <c r="H131" s="59">
        <v>30000000</v>
      </c>
      <c r="I131" s="59"/>
      <c r="J131" s="23" t="str">
        <f>IF(ISNA(VLOOKUP(D131,DMTK!$B$5:$B$263,1,0)),"Sai","Đúng")</f>
        <v>Đúng</v>
      </c>
      <c r="K131" s="23" t="str">
        <f>IF(ISNA(VLOOKUP(E131,DMTK!$B$5:$B$263,1,0)),"Sai","Đúng")</f>
        <v>Đúng</v>
      </c>
      <c r="L131" s="23" t="str">
        <f>VLOOKUP(D131,DMTK!$B$5:$D$263,3,0)</f>
        <v>Doanh thu bán Bàn oval</v>
      </c>
      <c r="M131" s="23" t="str">
        <f>VLOOKUP(E131,DMTK!$B$5:$D$263,3,0)</f>
        <v>Xác định kết quả kinh doanh (BO)</v>
      </c>
      <c r="N131" s="75" t="str">
        <f>IF(OR(LEFT($D131,3)="111",AND(LEFT(CT!$D131,3)="131",LEFT(CT!$E131,3)="511"),LEFT(CT!$E131,3)="111",LEFT(CT!$E131,3)="331"),"No","Yes")</f>
        <v>Yes</v>
      </c>
      <c r="O131" s="23"/>
      <c r="P131" s="58" t="str">
        <f t="shared" si="4"/>
        <v>TKCT</v>
      </c>
      <c r="Q131" s="58" t="str">
        <f t="shared" si="5"/>
        <v>TKCT</v>
      </c>
      <c r="R131" s="58"/>
      <c r="S131" s="58"/>
    </row>
    <row r="132" spans="1:19" x14ac:dyDescent="0.3">
      <c r="A132" s="63">
        <v>45322</v>
      </c>
      <c r="B132" s="23" t="s">
        <v>160</v>
      </c>
      <c r="C132" s="23" t="s">
        <v>161</v>
      </c>
      <c r="D132" s="7" t="s">
        <v>118</v>
      </c>
      <c r="E132" s="7" t="s">
        <v>172</v>
      </c>
      <c r="F132" s="59"/>
      <c r="G132" s="59"/>
      <c r="H132" s="59">
        <v>34088291</v>
      </c>
      <c r="I132" s="59"/>
      <c r="J132" s="23" t="str">
        <f>IF(ISNA(VLOOKUP(D132,DMTK!$B$5:$B$263,1,0)),"Sai","Đúng")</f>
        <v>Đúng</v>
      </c>
      <c r="K132" s="23" t="str">
        <f>IF(ISNA(VLOOKUP(E132,DMTK!$B$5:$B$263,1,0)),"Sai","Đúng")</f>
        <v>Đúng</v>
      </c>
      <c r="L132" s="23" t="str">
        <f>VLOOKUP(D132,DMTK!$B$5:$D$263,3,0)</f>
        <v>Ghế tay vịn</v>
      </c>
      <c r="M132" s="23" t="str">
        <f>VLOOKUP(E132,DMTK!$B$5:$D$263,3,0)</f>
        <v>Chi phí nhân viên phân xưởng</v>
      </c>
      <c r="N132" s="75" t="str">
        <f>IF(OR(LEFT($D132,3)="111",AND(LEFT(CT!$D132,3)="131",LEFT(CT!$E132,3)="511"),LEFT(CT!$E132,3)="111",LEFT(CT!$E132,3)="331"),"No","Yes")</f>
        <v>Yes</v>
      </c>
      <c r="O132" s="23"/>
      <c r="P132" s="58" t="str">
        <f t="shared" si="4"/>
        <v>TKCT</v>
      </c>
      <c r="Q132" s="58" t="str">
        <f t="shared" si="5"/>
        <v>TKCT</v>
      </c>
      <c r="R132" s="58"/>
      <c r="S132" s="58"/>
    </row>
    <row r="133" spans="1:19" x14ac:dyDescent="0.3">
      <c r="A133" s="63">
        <v>45322</v>
      </c>
      <c r="B133" s="23" t="s">
        <v>193</v>
      </c>
      <c r="C133" s="23" t="s">
        <v>194</v>
      </c>
      <c r="D133" s="7" t="s">
        <v>172</v>
      </c>
      <c r="E133" s="7" t="s">
        <v>72</v>
      </c>
      <c r="F133" s="59"/>
      <c r="G133" s="59"/>
      <c r="H133" s="59">
        <v>35000000</v>
      </c>
      <c r="I133" s="59"/>
      <c r="J133" s="23" t="str">
        <f>IF(ISNA(VLOOKUP(D133,DMTK!$B$5:$B$263,1,0)),"Sai","Đúng")</f>
        <v>Đúng</v>
      </c>
      <c r="K133" s="23" t="str">
        <f>IF(ISNA(VLOOKUP(E133,DMTK!$B$5:$B$263,1,0)),"Sai","Đúng")</f>
        <v>Đúng</v>
      </c>
      <c r="L133" s="23" t="str">
        <f>VLOOKUP(D133,DMTK!$B$5:$D$263,3,0)</f>
        <v>Chi phí nhân viên phân xưởng</v>
      </c>
      <c r="M133" s="23" t="str">
        <f>VLOOKUP(E133,DMTK!$B$5:$D$263,3,0)</f>
        <v>Lương NV QLPX</v>
      </c>
      <c r="N133" s="75" t="str">
        <f>IF(OR(LEFT($D133,3)="111",AND(LEFT(CT!$D133,3)="131",LEFT(CT!$E133,3)="511"),LEFT(CT!$E133,3)="111",LEFT(CT!$E133,3)="331"),"No","Yes")</f>
        <v>Yes</v>
      </c>
      <c r="O133" s="23"/>
      <c r="P133" s="58" t="str">
        <f t="shared" si="4"/>
        <v>TKCT</v>
      </c>
      <c r="Q133" s="58" t="str">
        <f t="shared" si="5"/>
        <v>TKCT</v>
      </c>
      <c r="R133" s="58"/>
      <c r="S133" s="58"/>
    </row>
    <row r="134" spans="1:19" x14ac:dyDescent="0.3">
      <c r="A134" s="63">
        <v>45322</v>
      </c>
      <c r="B134" s="23" t="s">
        <v>193</v>
      </c>
      <c r="C134" s="23" t="s">
        <v>194</v>
      </c>
      <c r="D134" s="7" t="s">
        <v>173</v>
      </c>
      <c r="E134" s="7" t="s">
        <v>74</v>
      </c>
      <c r="F134" s="59"/>
      <c r="G134" s="59"/>
      <c r="H134" s="59">
        <v>40000000</v>
      </c>
      <c r="I134" s="59"/>
      <c r="J134" s="23" t="str">
        <f>IF(ISNA(VLOOKUP(D134,DMTK!$B$5:$B$263,1,0)),"Sai","Đúng")</f>
        <v>Đúng</v>
      </c>
      <c r="K134" s="23" t="str">
        <f>IF(ISNA(VLOOKUP(E134,DMTK!$B$5:$B$263,1,0)),"Sai","Đúng")</f>
        <v>Đúng</v>
      </c>
      <c r="L134" s="23" t="str">
        <f>VLOOKUP(D134,DMTK!$B$5:$D$263,3,0)</f>
        <v>CFNC Ghế tay vịn</v>
      </c>
      <c r="M134" s="23" t="str">
        <f>VLOOKUP(E134,DMTK!$B$5:$D$263,3,0)</f>
        <v>Lương CNSX Ghế tay vịn</v>
      </c>
      <c r="N134" s="75" t="str">
        <f>IF(OR(LEFT($D134,3)="111",AND(LEFT(CT!$D134,3)="131",LEFT(CT!$E134,3)="511"),LEFT(CT!$E134,3)="111",LEFT(CT!$E134,3)="331"),"No","Yes")</f>
        <v>Yes</v>
      </c>
      <c r="O134" s="23"/>
      <c r="P134" s="58" t="str">
        <f t="shared" ref="P134:P143" si="6">IF(LEN(D134)&gt;3,"TKCT","TKTH")</f>
        <v>TKCT</v>
      </c>
      <c r="Q134" s="58" t="str">
        <f t="shared" ref="Q134:Q143" si="7">IF(LEN(E134)&gt;3,"TKCT","TKTH")</f>
        <v>TKCT</v>
      </c>
      <c r="R134" s="58"/>
      <c r="S134" s="58"/>
    </row>
    <row r="135" spans="1:19" x14ac:dyDescent="0.3">
      <c r="A135" s="63">
        <v>45322</v>
      </c>
      <c r="B135" s="23" t="s">
        <v>193</v>
      </c>
      <c r="C135" s="23" t="s">
        <v>194</v>
      </c>
      <c r="D135" s="7" t="s">
        <v>174</v>
      </c>
      <c r="E135" s="7" t="s">
        <v>76</v>
      </c>
      <c r="F135" s="59"/>
      <c r="G135" s="59"/>
      <c r="H135" s="59">
        <v>40000000</v>
      </c>
      <c r="I135" s="59"/>
      <c r="J135" s="23" t="str">
        <f>IF(ISNA(VLOOKUP(D135,DMTK!$B$5:$B$263,1,0)),"Sai","Đúng")</f>
        <v>Đúng</v>
      </c>
      <c r="K135" s="23" t="str">
        <f>IF(ISNA(VLOOKUP(E135,DMTK!$B$5:$B$263,1,0)),"Sai","Đúng")</f>
        <v>Đúng</v>
      </c>
      <c r="L135" s="23" t="str">
        <f>VLOOKUP(D135,DMTK!$B$5:$D$263,3,0)</f>
        <v>CFNC Ghế không tay</v>
      </c>
      <c r="M135" s="23" t="str">
        <f>VLOOKUP(E135,DMTK!$B$5:$D$263,3,0)</f>
        <v>Lương CNSX Ghế không tay</v>
      </c>
      <c r="N135" s="75" t="str">
        <f>IF(OR(LEFT($D135,3)="111",AND(LEFT(CT!$D135,3)="131",LEFT(CT!$E135,3)="511"),LEFT(CT!$E135,3)="111",LEFT(CT!$E135,3)="331"),"No","Yes")</f>
        <v>Yes</v>
      </c>
      <c r="O135" s="23"/>
      <c r="P135" s="58" t="str">
        <f t="shared" si="6"/>
        <v>TKCT</v>
      </c>
      <c r="Q135" s="58" t="str">
        <f t="shared" si="7"/>
        <v>TKCT</v>
      </c>
      <c r="R135" s="58"/>
      <c r="S135" s="58"/>
    </row>
    <row r="136" spans="1:19" x14ac:dyDescent="0.3">
      <c r="A136" s="63">
        <v>45322</v>
      </c>
      <c r="B136" s="23" t="s">
        <v>193</v>
      </c>
      <c r="C136" s="23" t="s">
        <v>194</v>
      </c>
      <c r="D136" s="7" t="s">
        <v>175</v>
      </c>
      <c r="E136" s="7" t="s">
        <v>77</v>
      </c>
      <c r="F136" s="59"/>
      <c r="G136" s="59"/>
      <c r="H136" s="59">
        <v>40000000</v>
      </c>
      <c r="I136" s="59"/>
      <c r="J136" s="23" t="str">
        <f>IF(ISNA(VLOOKUP(D136,DMTK!$B$5:$B$263,1,0)),"Sai","Đúng")</f>
        <v>Đúng</v>
      </c>
      <c r="K136" s="23" t="str">
        <f>IF(ISNA(VLOOKUP(E136,DMTK!$B$5:$B$263,1,0)),"Sai","Đúng")</f>
        <v>Đúng</v>
      </c>
      <c r="L136" s="23" t="str">
        <f>VLOOKUP(D136,DMTK!$B$5:$D$263,3,0)</f>
        <v>CFNC Bàn tròn</v>
      </c>
      <c r="M136" s="23" t="str">
        <f>VLOOKUP(E136,DMTK!$B$5:$D$263,3,0)</f>
        <v>Lương CNSX Bàn tròn</v>
      </c>
      <c r="N136" s="75" t="str">
        <f>IF(OR(LEFT($D136,3)="111",AND(LEFT(CT!$D136,3)="131",LEFT(CT!$E136,3)="511"),LEFT(CT!$E136,3)="111",LEFT(CT!$E136,3)="331"),"No","Yes")</f>
        <v>Yes</v>
      </c>
      <c r="O136" s="23"/>
      <c r="P136" s="58" t="str">
        <f t="shared" si="6"/>
        <v>TKCT</v>
      </c>
      <c r="Q136" s="58" t="str">
        <f t="shared" si="7"/>
        <v>TKCT</v>
      </c>
      <c r="R136" s="58"/>
      <c r="S136" s="58"/>
    </row>
    <row r="137" spans="1:19" x14ac:dyDescent="0.3">
      <c r="A137" s="63">
        <v>45322</v>
      </c>
      <c r="B137" s="23" t="s">
        <v>193</v>
      </c>
      <c r="C137" s="23" t="s">
        <v>194</v>
      </c>
      <c r="D137" s="7" t="s">
        <v>176</v>
      </c>
      <c r="E137" s="7" t="s">
        <v>79</v>
      </c>
      <c r="F137" s="59"/>
      <c r="G137" s="59"/>
      <c r="H137" s="59">
        <v>40000000</v>
      </c>
      <c r="I137" s="59"/>
      <c r="J137" s="23" t="str">
        <f>IF(ISNA(VLOOKUP(D137,DMTK!$B$5:$B$263,1,0)),"Sai","Đúng")</f>
        <v>Đúng</v>
      </c>
      <c r="K137" s="23" t="str">
        <f>IF(ISNA(VLOOKUP(E137,DMTK!$B$5:$B$263,1,0)),"Sai","Đúng")</f>
        <v>Đúng</v>
      </c>
      <c r="L137" s="23" t="str">
        <f>VLOOKUP(D137,DMTK!$B$5:$D$263,3,0)</f>
        <v>CFNCBàn oval</v>
      </c>
      <c r="M137" s="23" t="str">
        <f>VLOOKUP(E137,DMTK!$B$5:$D$263,3,0)</f>
        <v>Lương CNSX Bàn oval</v>
      </c>
      <c r="N137" s="75" t="str">
        <f>IF(OR(LEFT($D137,3)="111",AND(LEFT(CT!$D137,3)="131",LEFT(CT!$E137,3)="511"),LEFT(CT!$E137,3)="111",LEFT(CT!$E137,3)="331"),"No","Yes")</f>
        <v>Yes</v>
      </c>
      <c r="O137" s="23"/>
      <c r="P137" s="58" t="str">
        <f t="shared" si="6"/>
        <v>TKCT</v>
      </c>
      <c r="Q137" s="58" t="str">
        <f t="shared" si="7"/>
        <v>TKCT</v>
      </c>
      <c r="R137" s="58"/>
      <c r="S137" s="58"/>
    </row>
    <row r="138" spans="1:19" x14ac:dyDescent="0.3">
      <c r="A138" s="63">
        <v>45322</v>
      </c>
      <c r="B138" s="23" t="s">
        <v>193</v>
      </c>
      <c r="C138" s="23" t="s">
        <v>194</v>
      </c>
      <c r="D138" s="7" t="s">
        <v>177</v>
      </c>
      <c r="E138" s="7" t="s">
        <v>81</v>
      </c>
      <c r="F138" s="59"/>
      <c r="G138" s="59"/>
      <c r="H138" s="59">
        <v>40000000</v>
      </c>
      <c r="I138" s="59"/>
      <c r="J138" s="23" t="str">
        <f>IF(ISNA(VLOOKUP(D138,DMTK!$B$5:$B$263,1,0)),"Sai","Đúng")</f>
        <v>Đúng</v>
      </c>
      <c r="K138" s="23" t="str">
        <f>IF(ISNA(VLOOKUP(E138,DMTK!$B$5:$B$263,1,0)),"Sai","Đúng")</f>
        <v>Đúng</v>
      </c>
      <c r="L138" s="23" t="str">
        <f>VLOOKUP(D138,DMTK!$B$5:$D$263,3,0)</f>
        <v>CFNC Bàn chữ nhật</v>
      </c>
      <c r="M138" s="23" t="str">
        <f>VLOOKUP(E138,DMTK!$B$5:$D$263,3,0)</f>
        <v>Lương CNSX Bàn chữ nhật</v>
      </c>
      <c r="N138" s="75" t="str">
        <f>IF(OR(LEFT($D138,3)="111",AND(LEFT(CT!$D138,3)="131",LEFT(CT!$E138,3)="511"),LEFT(CT!$E138,3)="111",LEFT(CT!$E138,3)="331"),"No","Yes")</f>
        <v>Yes</v>
      </c>
      <c r="O138" s="23"/>
      <c r="P138" s="58" t="str">
        <f t="shared" si="6"/>
        <v>TKCT</v>
      </c>
      <c r="Q138" s="58" t="str">
        <f t="shared" si="7"/>
        <v>TKCT</v>
      </c>
      <c r="R138" s="58"/>
      <c r="S138" s="58"/>
    </row>
    <row r="139" spans="1:19" x14ac:dyDescent="0.3">
      <c r="A139" s="63">
        <v>45322</v>
      </c>
      <c r="B139" s="23" t="s">
        <v>199</v>
      </c>
      <c r="C139" s="23" t="s">
        <v>200</v>
      </c>
      <c r="D139" s="7" t="s">
        <v>118</v>
      </c>
      <c r="E139" s="7" t="s">
        <v>173</v>
      </c>
      <c r="F139" s="59"/>
      <c r="G139" s="59"/>
      <c r="H139" s="59">
        <v>48800000</v>
      </c>
      <c r="I139" s="59"/>
      <c r="J139" s="23" t="str">
        <f>IF(ISNA(VLOOKUP(D139,DMTK!$B$5:$B$263,1,0)),"Sai","Đúng")</f>
        <v>Đúng</v>
      </c>
      <c r="K139" s="23" t="str">
        <f>IF(ISNA(VLOOKUP(E139,DMTK!$B$5:$B$263,1,0)),"Sai","Đúng")</f>
        <v>Đúng</v>
      </c>
      <c r="L139" s="23" t="str">
        <f>VLOOKUP(D139,DMTK!$B$5:$D$263,3,0)</f>
        <v>Ghế tay vịn</v>
      </c>
      <c r="M139" s="23" t="str">
        <f>VLOOKUP(E139,DMTK!$B$5:$D$263,3,0)</f>
        <v>CFNC Ghế tay vịn</v>
      </c>
      <c r="N139" s="75" t="str">
        <f>IF(OR(LEFT($D139,3)="111",AND(LEFT(CT!$D139,3)="131",LEFT(CT!$E139,3)="511"),LEFT(CT!$E139,3)="111",LEFT(CT!$E139,3)="331"),"No","Yes")</f>
        <v>Yes</v>
      </c>
      <c r="O139" s="23"/>
      <c r="P139" s="58" t="str">
        <f t="shared" si="6"/>
        <v>TKCT</v>
      </c>
      <c r="Q139" s="58" t="str">
        <f t="shared" si="7"/>
        <v>TKCT</v>
      </c>
      <c r="R139" s="58"/>
      <c r="S139" s="58"/>
    </row>
    <row r="140" spans="1:19" x14ac:dyDescent="0.3">
      <c r="A140" s="63">
        <v>45322</v>
      </c>
      <c r="B140" s="23" t="s">
        <v>199</v>
      </c>
      <c r="C140" s="61" t="s">
        <v>200</v>
      </c>
      <c r="D140" s="7" t="s">
        <v>122</v>
      </c>
      <c r="E140" s="7" t="s">
        <v>174</v>
      </c>
      <c r="F140" s="59"/>
      <c r="G140" s="59"/>
      <c r="H140" s="59">
        <v>48800000</v>
      </c>
      <c r="I140" s="59"/>
      <c r="J140" s="23" t="str">
        <f>IF(ISNA(VLOOKUP(D140,DMTK!$B$5:$B$263,1,0)),"Sai","Đúng")</f>
        <v>Đúng</v>
      </c>
      <c r="K140" s="23" t="str">
        <f>IF(ISNA(VLOOKUP(E140,DMTK!$B$5:$B$263,1,0)),"Sai","Đúng")</f>
        <v>Đúng</v>
      </c>
      <c r="L140" s="23" t="str">
        <f>VLOOKUP(D140,DMTK!$B$5:$D$263,3,0)</f>
        <v>Ghế không tay</v>
      </c>
      <c r="M140" s="23" t="str">
        <f>VLOOKUP(E140,DMTK!$B$5:$D$263,3,0)</f>
        <v>CFNC Ghế không tay</v>
      </c>
      <c r="N140" s="75" t="str">
        <f>IF(OR(LEFT($D140,3)="111",AND(LEFT(CT!$D140,3)="131",LEFT(CT!$E140,3)="511"),LEFT(CT!$E140,3)="111",LEFT(CT!$E140,3)="331"),"No","Yes")</f>
        <v>Yes</v>
      </c>
      <c r="O140" s="23"/>
      <c r="P140" s="58" t="str">
        <f t="shared" si="6"/>
        <v>TKCT</v>
      </c>
      <c r="Q140" s="58" t="str">
        <f t="shared" si="7"/>
        <v>TKCT</v>
      </c>
      <c r="R140" s="58"/>
      <c r="S140" s="58"/>
    </row>
    <row r="141" spans="1:19" x14ac:dyDescent="0.3">
      <c r="A141" s="63">
        <v>45322</v>
      </c>
      <c r="B141" s="23" t="s">
        <v>199</v>
      </c>
      <c r="C141" s="61" t="s">
        <v>200</v>
      </c>
      <c r="D141" s="7" t="s">
        <v>114</v>
      </c>
      <c r="E141" s="7" t="s">
        <v>175</v>
      </c>
      <c r="F141" s="59"/>
      <c r="G141" s="59"/>
      <c r="H141" s="59">
        <v>48800000</v>
      </c>
      <c r="I141" s="59"/>
      <c r="J141" s="23" t="str">
        <f>IF(ISNA(VLOOKUP(D141,DMTK!$B$5:$B$263,1,0)),"Sai","Đúng")</f>
        <v>Đúng</v>
      </c>
      <c r="K141" s="23" t="str">
        <f>IF(ISNA(VLOOKUP(E141,DMTK!$B$5:$B$263,1,0)),"Sai","Đúng")</f>
        <v>Đúng</v>
      </c>
      <c r="L141" s="23" t="str">
        <f>VLOOKUP(D141,DMTK!$B$5:$D$263,3,0)</f>
        <v>Bàn tròn</v>
      </c>
      <c r="M141" s="23" t="str">
        <f>VLOOKUP(E141,DMTK!$B$5:$D$263,3,0)</f>
        <v>CFNC Bàn tròn</v>
      </c>
      <c r="N141" s="75" t="str">
        <f>IF(OR(LEFT($D141,3)="111",AND(LEFT(CT!$D141,3)="131",LEFT(CT!$E141,3)="511"),LEFT(CT!$E141,3)="111",LEFT(CT!$E141,3)="331"),"No","Yes")</f>
        <v>Yes</v>
      </c>
      <c r="O141" s="23"/>
      <c r="P141" s="58" t="str">
        <f t="shared" si="6"/>
        <v>TKCT</v>
      </c>
      <c r="Q141" s="58" t="str">
        <f t="shared" si="7"/>
        <v>TKCT</v>
      </c>
      <c r="R141" s="58"/>
      <c r="S141" s="58"/>
    </row>
    <row r="142" spans="1:19" x14ac:dyDescent="0.3">
      <c r="A142" s="63">
        <v>45322</v>
      </c>
      <c r="B142" s="23" t="s">
        <v>199</v>
      </c>
      <c r="C142" s="23" t="s">
        <v>200</v>
      </c>
      <c r="D142" s="7" t="s">
        <v>201</v>
      </c>
      <c r="E142" s="7" t="s">
        <v>176</v>
      </c>
      <c r="F142" s="59"/>
      <c r="G142" s="59"/>
      <c r="H142" s="59">
        <v>48800000</v>
      </c>
      <c r="I142" s="59"/>
      <c r="J142" s="23" t="str">
        <f>IF(ISNA(VLOOKUP(D142,DMTK!$B$5:$B$263,1,0)),"Sai","Đúng")</f>
        <v>Đúng</v>
      </c>
      <c r="K142" s="23" t="str">
        <f>IF(ISNA(VLOOKUP(E142,DMTK!$B$5:$B$263,1,0)),"Sai","Đúng")</f>
        <v>Đúng</v>
      </c>
      <c r="L142" s="23" t="str">
        <f>VLOOKUP(D142,DMTK!$B$5:$D$263,3,0)</f>
        <v>Bàn oval</v>
      </c>
      <c r="M142" s="23" t="str">
        <f>VLOOKUP(E142,DMTK!$B$5:$D$263,3,0)</f>
        <v>CFNCBàn oval</v>
      </c>
      <c r="N142" s="75" t="str">
        <f>IF(OR(LEFT($D142,3)="111",AND(LEFT(CT!$D142,3)="131",LEFT(CT!$E142,3)="511"),LEFT(CT!$E142,3)="111",LEFT(CT!$E142,3)="331"),"No","Yes")</f>
        <v>Yes</v>
      </c>
      <c r="O142" s="23"/>
      <c r="P142" s="58" t="str">
        <f t="shared" si="6"/>
        <v>TKCT</v>
      </c>
      <c r="Q142" s="58" t="str">
        <f t="shared" si="7"/>
        <v>TKCT</v>
      </c>
      <c r="R142" s="58"/>
      <c r="S142" s="58"/>
    </row>
    <row r="143" spans="1:19" x14ac:dyDescent="0.3">
      <c r="A143" s="63">
        <v>45322</v>
      </c>
      <c r="B143" s="23" t="s">
        <v>199</v>
      </c>
      <c r="C143" s="23" t="s">
        <v>200</v>
      </c>
      <c r="D143" s="7" t="s">
        <v>202</v>
      </c>
      <c r="E143" s="7" t="s">
        <v>177</v>
      </c>
      <c r="F143" s="59"/>
      <c r="G143" s="59"/>
      <c r="H143" s="59">
        <v>48800000</v>
      </c>
      <c r="I143" s="59"/>
      <c r="J143" s="23" t="str">
        <f>IF(ISNA(VLOOKUP(D143,DMTK!$B$5:$B$263,1,0)),"Sai","Đúng")</f>
        <v>Đúng</v>
      </c>
      <c r="K143" s="23" t="str">
        <f>IF(ISNA(VLOOKUP(E143,DMTK!$B$5:$B$263,1,0)),"Sai","Đúng")</f>
        <v>Đúng</v>
      </c>
      <c r="L143" s="23" t="str">
        <f>VLOOKUP(D143,DMTK!$B$5:$D$263,3,0)</f>
        <v>Bàn chữ nhật</v>
      </c>
      <c r="M143" s="23" t="str">
        <f>VLOOKUP(E143,DMTK!$B$5:$D$263,3,0)</f>
        <v>CFNC Bàn chữ nhật</v>
      </c>
      <c r="N143" s="75" t="str">
        <f>IF(OR(LEFT($D143,3)="111",AND(LEFT(CT!$D143,3)="131",LEFT(CT!$E143,3)="511"),LEFT(CT!$E143,3)="111",LEFT(CT!$E143,3)="331"),"No","Yes")</f>
        <v>Yes</v>
      </c>
      <c r="O143" s="23"/>
      <c r="P143" s="58" t="str">
        <f t="shared" si="6"/>
        <v>TKCT</v>
      </c>
      <c r="Q143" s="58" t="str">
        <f t="shared" si="7"/>
        <v>TKCT</v>
      </c>
      <c r="R143" s="58"/>
      <c r="S143" s="58"/>
    </row>
    <row r="144" spans="1:19" x14ac:dyDescent="0.3">
      <c r="A144" s="49"/>
      <c r="B144" s="50"/>
      <c r="C144" s="51"/>
      <c r="D144" s="52"/>
      <c r="E144" s="52"/>
      <c r="F144" s="48"/>
      <c r="G144" s="48"/>
      <c r="H144" s="53"/>
    </row>
    <row r="145" spans="1:10" x14ac:dyDescent="0.3">
      <c r="A145" s="49"/>
      <c r="B145" s="50"/>
      <c r="C145" s="51"/>
      <c r="D145" s="52"/>
      <c r="E145" s="52"/>
      <c r="F145" s="48"/>
      <c r="G145" s="48"/>
      <c r="H145" s="54">
        <f>SUBTOTAL(9,H5:H143)</f>
        <v>1787856169</v>
      </c>
    </row>
    <row r="146" spans="1:10" x14ac:dyDescent="0.3">
      <c r="A146" s="49"/>
      <c r="B146" s="50"/>
      <c r="C146" s="50"/>
      <c r="D146" s="52"/>
      <c r="E146" s="52"/>
      <c r="F146" s="48"/>
      <c r="G146" s="48"/>
      <c r="H146" s="53"/>
    </row>
    <row r="147" spans="1:10" x14ac:dyDescent="0.3">
      <c r="A147" s="49"/>
      <c r="B147" s="50"/>
      <c r="C147" s="51"/>
      <c r="D147" s="52"/>
      <c r="E147" s="52"/>
      <c r="F147" s="48"/>
      <c r="G147" s="48"/>
      <c r="H147" s="53"/>
    </row>
    <row r="148" spans="1:10" x14ac:dyDescent="0.3">
      <c r="A148" s="49"/>
      <c r="B148" s="50"/>
      <c r="C148" s="51"/>
      <c r="D148" s="52"/>
      <c r="E148" s="52"/>
      <c r="F148" s="48"/>
      <c r="G148" s="48"/>
      <c r="H148" s="53"/>
      <c r="J148" s="47"/>
    </row>
    <row r="149" spans="1:10" x14ac:dyDescent="0.3">
      <c r="A149" s="49"/>
      <c r="B149" s="50"/>
      <c r="C149" s="51"/>
      <c r="D149" s="52"/>
      <c r="E149" s="52"/>
      <c r="F149" s="48"/>
      <c r="G149" s="48"/>
      <c r="H149" s="53"/>
    </row>
    <row r="150" spans="1:10" x14ac:dyDescent="0.3">
      <c r="A150" s="49"/>
      <c r="B150" s="50"/>
      <c r="C150" s="51"/>
      <c r="D150" s="52"/>
      <c r="E150" s="52"/>
      <c r="F150" s="48"/>
      <c r="G150" s="48"/>
      <c r="H150" s="53"/>
    </row>
    <row r="151" spans="1:10" x14ac:dyDescent="0.3">
      <c r="A151" s="49"/>
      <c r="B151" s="50"/>
      <c r="C151" s="51"/>
      <c r="D151" s="52"/>
      <c r="E151" s="52"/>
      <c r="F151" s="48"/>
      <c r="G151" s="48"/>
      <c r="H151" s="53"/>
    </row>
    <row r="152" spans="1:10" x14ac:dyDescent="0.3">
      <c r="A152" s="49"/>
      <c r="B152" s="50"/>
      <c r="C152" s="51"/>
      <c r="D152" s="52"/>
      <c r="E152" s="52"/>
      <c r="F152" s="48"/>
      <c r="G152" s="48"/>
      <c r="H152" s="53"/>
    </row>
    <row r="153" spans="1:10" x14ac:dyDescent="0.3">
      <c r="A153" s="49"/>
      <c r="B153" s="50"/>
      <c r="C153" s="51"/>
      <c r="D153" s="52"/>
      <c r="E153" s="52"/>
      <c r="F153" s="48"/>
      <c r="G153" s="48"/>
      <c r="H153" s="53"/>
    </row>
    <row r="154" spans="1:10" x14ac:dyDescent="0.3">
      <c r="A154" s="49"/>
      <c r="B154" s="50"/>
      <c r="C154" s="51"/>
      <c r="D154" s="52"/>
      <c r="E154" s="52"/>
      <c r="F154" s="48"/>
      <c r="G154" s="48"/>
      <c r="H154" s="53"/>
    </row>
    <row r="155" spans="1:10" x14ac:dyDescent="0.3">
      <c r="A155" s="49"/>
      <c r="B155" s="50"/>
      <c r="C155" s="51"/>
      <c r="D155" s="52"/>
      <c r="E155" s="52"/>
      <c r="F155" s="48"/>
      <c r="G155" s="48"/>
      <c r="H155" s="53"/>
    </row>
    <row r="156" spans="1:10" x14ac:dyDescent="0.3">
      <c r="A156" s="49"/>
      <c r="B156" s="50"/>
      <c r="C156" s="51"/>
      <c r="D156" s="52"/>
      <c r="E156" s="52"/>
      <c r="F156" s="48"/>
      <c r="G156" s="48"/>
      <c r="H156" s="53"/>
    </row>
    <row r="157" spans="1:10" x14ac:dyDescent="0.3">
      <c r="A157" s="49"/>
      <c r="B157" s="50"/>
      <c r="C157" s="51"/>
      <c r="D157" s="52"/>
      <c r="E157" s="52"/>
      <c r="F157" s="48"/>
      <c r="G157" s="48"/>
      <c r="H157" s="53"/>
    </row>
    <row r="158" spans="1:10" x14ac:dyDescent="0.3">
      <c r="A158" s="49"/>
      <c r="B158" s="50"/>
      <c r="C158" s="51"/>
      <c r="D158" s="52"/>
      <c r="E158" s="52"/>
      <c r="F158" s="48"/>
      <c r="G158" s="48"/>
      <c r="H158" s="53"/>
    </row>
    <row r="159" spans="1:10" x14ac:dyDescent="0.3">
      <c r="A159" s="49"/>
      <c r="B159" s="50"/>
      <c r="C159" s="51"/>
      <c r="D159" s="52"/>
      <c r="E159" s="52"/>
      <c r="F159" s="48"/>
      <c r="G159" s="48"/>
      <c r="H159" s="53"/>
    </row>
    <row r="160" spans="1:10" x14ac:dyDescent="0.3">
      <c r="A160" s="49"/>
      <c r="B160" s="50"/>
      <c r="C160" s="50"/>
      <c r="D160" s="52"/>
      <c r="E160" s="52"/>
      <c r="F160" s="48"/>
      <c r="G160" s="48"/>
      <c r="H160" s="53"/>
    </row>
    <row r="161" spans="1:8" x14ac:dyDescent="0.3">
      <c r="A161" s="49"/>
      <c r="B161" s="50"/>
      <c r="C161" s="51"/>
      <c r="D161" s="52"/>
      <c r="E161" s="52"/>
      <c r="F161" s="48"/>
      <c r="G161" s="48"/>
      <c r="H161" s="53"/>
    </row>
    <row r="162" spans="1:8" x14ac:dyDescent="0.3">
      <c r="A162" s="49"/>
      <c r="B162" s="50"/>
      <c r="C162" s="50"/>
      <c r="D162" s="52"/>
      <c r="E162" s="52"/>
      <c r="F162" s="48"/>
      <c r="G162" s="48"/>
      <c r="H162" s="53"/>
    </row>
    <row r="163" spans="1:8" x14ac:dyDescent="0.3">
      <c r="A163" s="49"/>
      <c r="B163" s="50"/>
      <c r="C163" s="51"/>
      <c r="D163" s="52"/>
      <c r="E163" s="52"/>
      <c r="F163" s="48"/>
      <c r="G163" s="48"/>
      <c r="H163" s="53"/>
    </row>
    <row r="164" spans="1:8" x14ac:dyDescent="0.3">
      <c r="A164" s="49"/>
      <c r="B164" s="50"/>
      <c r="C164" s="50"/>
      <c r="D164" s="52"/>
      <c r="E164" s="52"/>
      <c r="F164" s="48"/>
      <c r="G164" s="48"/>
      <c r="H164" s="53"/>
    </row>
    <row r="165" spans="1:8" x14ac:dyDescent="0.3">
      <c r="A165" s="49"/>
      <c r="B165" s="50"/>
      <c r="C165" s="50"/>
      <c r="D165" s="52"/>
      <c r="E165" s="52"/>
      <c r="F165" s="48"/>
      <c r="G165" s="48"/>
      <c r="H165" s="53"/>
    </row>
    <row r="166" spans="1:8" x14ac:dyDescent="0.3">
      <c r="A166" s="49"/>
      <c r="B166" s="50"/>
      <c r="C166" s="50"/>
      <c r="D166" s="52"/>
      <c r="E166" s="52"/>
      <c r="F166" s="48"/>
      <c r="G166" s="48"/>
      <c r="H166" s="53"/>
    </row>
    <row r="167" spans="1:8" x14ac:dyDescent="0.3">
      <c r="A167" s="49"/>
      <c r="B167" s="50"/>
      <c r="C167" s="50"/>
      <c r="D167" s="52"/>
      <c r="E167" s="52"/>
      <c r="F167" s="48"/>
      <c r="G167" s="48"/>
      <c r="H167" s="53"/>
    </row>
    <row r="168" spans="1:8" x14ac:dyDescent="0.3">
      <c r="A168" s="49"/>
      <c r="B168" s="50"/>
      <c r="C168" s="50"/>
      <c r="D168" s="52"/>
      <c r="E168" s="52"/>
      <c r="F168" s="48"/>
      <c r="G168" s="48"/>
      <c r="H168" s="53"/>
    </row>
    <row r="169" spans="1:8" x14ac:dyDescent="0.3">
      <c r="A169" s="49"/>
      <c r="B169" s="50"/>
      <c r="C169" s="50"/>
      <c r="D169" s="52"/>
      <c r="E169" s="52"/>
      <c r="F169" s="48"/>
      <c r="G169" s="48"/>
      <c r="H169" s="53"/>
    </row>
    <row r="170" spans="1:8" x14ac:dyDescent="0.3">
      <c r="A170" s="49"/>
      <c r="B170" s="50"/>
      <c r="C170" s="50"/>
      <c r="D170" s="52"/>
      <c r="E170" s="52"/>
      <c r="F170" s="48"/>
      <c r="G170" s="48"/>
      <c r="H170" s="53"/>
    </row>
    <row r="171" spans="1:8" x14ac:dyDescent="0.3">
      <c r="A171" s="49"/>
      <c r="B171" s="50"/>
      <c r="C171" s="50"/>
      <c r="D171" s="52"/>
      <c r="E171" s="52"/>
      <c r="F171" s="48"/>
      <c r="G171" s="48"/>
      <c r="H171" s="53"/>
    </row>
    <row r="172" spans="1:8" x14ac:dyDescent="0.3">
      <c r="A172" s="49"/>
      <c r="B172" s="50"/>
      <c r="C172" s="50"/>
      <c r="D172" s="52"/>
      <c r="E172" s="52"/>
      <c r="F172" s="48"/>
      <c r="G172" s="48"/>
      <c r="H172" s="53"/>
    </row>
    <row r="173" spans="1:8" x14ac:dyDescent="0.3">
      <c r="A173" s="49"/>
      <c r="B173" s="50"/>
      <c r="C173" s="50"/>
      <c r="D173" s="52"/>
      <c r="E173" s="52"/>
      <c r="F173" s="48"/>
      <c r="G173" s="48"/>
      <c r="H173" s="53"/>
    </row>
    <row r="174" spans="1:8" x14ac:dyDescent="0.3">
      <c r="A174" s="49"/>
      <c r="B174" s="50"/>
      <c r="C174" s="50"/>
      <c r="D174" s="52"/>
      <c r="E174" s="52"/>
      <c r="F174" s="48"/>
      <c r="G174" s="48"/>
      <c r="H174" s="53"/>
    </row>
    <row r="175" spans="1:8" x14ac:dyDescent="0.3">
      <c r="A175" s="49"/>
      <c r="B175" s="50"/>
      <c r="C175" s="50"/>
      <c r="D175" s="52"/>
      <c r="E175" s="52"/>
      <c r="F175" s="48"/>
      <c r="G175" s="48"/>
      <c r="H175" s="53"/>
    </row>
    <row r="176" spans="1:8" x14ac:dyDescent="0.3">
      <c r="A176" s="49"/>
      <c r="B176" s="50"/>
      <c r="C176" s="50"/>
      <c r="D176" s="52"/>
      <c r="E176" s="52"/>
      <c r="F176" s="48"/>
      <c r="G176" s="48"/>
      <c r="H176" s="53"/>
    </row>
    <row r="177" spans="1:8" x14ac:dyDescent="0.3">
      <c r="A177" s="49"/>
      <c r="B177" s="50"/>
      <c r="C177" s="50"/>
      <c r="D177" s="52"/>
      <c r="E177" s="52"/>
      <c r="F177" s="48"/>
      <c r="G177" s="48"/>
      <c r="H177" s="53"/>
    </row>
    <row r="178" spans="1:8" x14ac:dyDescent="0.3">
      <c r="A178" s="49"/>
      <c r="B178" s="50"/>
      <c r="C178" s="50"/>
      <c r="D178" s="52"/>
      <c r="E178" s="52"/>
      <c r="F178" s="48"/>
      <c r="G178" s="48"/>
      <c r="H178" s="53"/>
    </row>
    <row r="179" spans="1:8" x14ac:dyDescent="0.3">
      <c r="A179" s="49"/>
      <c r="B179" s="50"/>
      <c r="C179" s="50"/>
      <c r="D179" s="52"/>
      <c r="E179" s="52"/>
      <c r="F179" s="48"/>
      <c r="G179" s="48"/>
      <c r="H179" s="53"/>
    </row>
    <row r="180" spans="1:8" x14ac:dyDescent="0.3">
      <c r="A180" s="49"/>
      <c r="B180" s="50"/>
      <c r="C180" s="50"/>
      <c r="D180" s="52"/>
      <c r="E180" s="52"/>
      <c r="F180" s="48"/>
      <c r="G180" s="48"/>
      <c r="H180" s="53"/>
    </row>
    <row r="181" spans="1:8" x14ac:dyDescent="0.3">
      <c r="A181" s="49"/>
      <c r="B181" s="50"/>
      <c r="C181" s="50"/>
      <c r="D181" s="52"/>
      <c r="E181" s="52"/>
      <c r="F181" s="48"/>
      <c r="G181" s="48"/>
      <c r="H181" s="53"/>
    </row>
    <row r="182" spans="1:8" x14ac:dyDescent="0.3">
      <c r="A182" s="49"/>
      <c r="B182" s="50"/>
      <c r="C182" s="50"/>
      <c r="D182" s="52"/>
      <c r="E182" s="52"/>
      <c r="F182" s="48"/>
      <c r="G182" s="48"/>
      <c r="H182" s="53"/>
    </row>
    <row r="183" spans="1:8" ht="16.8" x14ac:dyDescent="0.3">
      <c r="A183" s="55"/>
      <c r="B183" s="55"/>
      <c r="C183" s="55"/>
      <c r="D183" s="55"/>
      <c r="E183" s="55"/>
      <c r="F183" s="55"/>
      <c r="G183" s="55"/>
      <c r="H183" s="56"/>
    </row>
    <row r="184" spans="1:8" ht="16.8" x14ac:dyDescent="0.3">
      <c r="A184" s="55"/>
      <c r="B184" s="55"/>
      <c r="C184" s="55"/>
      <c r="D184" s="55"/>
      <c r="E184" s="55"/>
      <c r="F184" s="55"/>
      <c r="G184" s="55"/>
      <c r="H184" s="56"/>
    </row>
    <row r="185" spans="1:8" x14ac:dyDescent="0.3">
      <c r="A185" s="46"/>
      <c r="B185" s="46"/>
      <c r="C185" s="46"/>
      <c r="D185" s="46"/>
      <c r="E185" s="46"/>
      <c r="F185" s="46"/>
      <c r="G185" s="46"/>
      <c r="H185" s="57"/>
    </row>
    <row r="186" spans="1:8" x14ac:dyDescent="0.3">
      <c r="A186" s="46"/>
      <c r="B186" s="46"/>
      <c r="C186" s="46"/>
      <c r="D186" s="46"/>
      <c r="E186" s="46"/>
      <c r="F186" s="46"/>
      <c r="G186" s="46"/>
      <c r="H186" s="57"/>
    </row>
    <row r="187" spans="1:8" x14ac:dyDescent="0.3">
      <c r="A187" s="46"/>
      <c r="B187" s="46"/>
      <c r="C187" s="46"/>
      <c r="D187" s="46"/>
      <c r="E187" s="46"/>
      <c r="F187" s="46"/>
      <c r="G187" s="46"/>
      <c r="H187" s="57"/>
    </row>
    <row r="188" spans="1:8" x14ac:dyDescent="0.3">
      <c r="A188" s="46"/>
      <c r="B188" s="46"/>
      <c r="C188" s="46"/>
      <c r="D188" s="46"/>
      <c r="E188" s="46"/>
      <c r="F188" s="46"/>
      <c r="G188" s="46"/>
      <c r="H188" s="57"/>
    </row>
    <row r="189" spans="1:8" x14ac:dyDescent="0.3">
      <c r="A189" s="46"/>
      <c r="B189" s="46"/>
      <c r="C189" s="46"/>
      <c r="D189" s="46"/>
      <c r="E189" s="46"/>
      <c r="F189" s="46"/>
      <c r="G189" s="46"/>
      <c r="H189" s="57"/>
    </row>
    <row r="190" spans="1:8" x14ac:dyDescent="0.3">
      <c r="A190" s="46"/>
      <c r="B190" s="46"/>
      <c r="C190" s="46"/>
      <c r="D190" s="46"/>
      <c r="E190" s="46"/>
      <c r="F190" s="46"/>
      <c r="G190" s="46"/>
      <c r="H190" s="57"/>
    </row>
    <row r="191" spans="1:8" x14ac:dyDescent="0.3">
      <c r="A191" s="46"/>
      <c r="B191" s="46"/>
      <c r="C191" s="46"/>
      <c r="D191" s="46"/>
      <c r="E191" s="46"/>
      <c r="F191" s="46"/>
      <c r="G191" s="46"/>
      <c r="H191" s="57"/>
    </row>
    <row r="192" spans="1:8" x14ac:dyDescent="0.3">
      <c r="A192" s="46"/>
      <c r="B192" s="46"/>
      <c r="C192" s="46"/>
      <c r="D192" s="46"/>
      <c r="E192" s="46"/>
      <c r="F192" s="46"/>
      <c r="G192" s="46"/>
      <c r="H192" s="57"/>
    </row>
    <row r="193" spans="1:8" x14ac:dyDescent="0.3">
      <c r="A193" s="46"/>
      <c r="B193" s="46"/>
      <c r="C193" s="46"/>
      <c r="D193" s="46"/>
      <c r="E193" s="46"/>
      <c r="F193" s="46"/>
      <c r="G193" s="46"/>
      <c r="H193" s="57"/>
    </row>
    <row r="194" spans="1:8" x14ac:dyDescent="0.3">
      <c r="A194" s="46"/>
      <c r="B194" s="46"/>
      <c r="C194" s="46"/>
      <c r="D194" s="46"/>
      <c r="E194" s="46"/>
      <c r="F194" s="46"/>
      <c r="G194" s="46"/>
      <c r="H194" s="57"/>
    </row>
    <row r="195" spans="1:8" x14ac:dyDescent="0.3">
      <c r="A195" s="46"/>
      <c r="B195" s="46"/>
      <c r="C195" s="46"/>
      <c r="D195" s="46"/>
      <c r="E195" s="46"/>
      <c r="F195" s="46"/>
      <c r="G195" s="46"/>
      <c r="H195" s="57"/>
    </row>
    <row r="196" spans="1:8" x14ac:dyDescent="0.3">
      <c r="A196" s="46"/>
      <c r="B196" s="46"/>
      <c r="C196" s="46"/>
      <c r="D196" s="46"/>
      <c r="E196" s="46"/>
      <c r="F196" s="46"/>
      <c r="G196" s="46"/>
      <c r="H196" s="57"/>
    </row>
    <row r="197" spans="1:8" x14ac:dyDescent="0.3">
      <c r="A197" s="46"/>
      <c r="B197" s="46"/>
      <c r="C197" s="46"/>
      <c r="D197" s="46"/>
      <c r="E197" s="46"/>
      <c r="F197" s="46"/>
      <c r="G197" s="46"/>
      <c r="H197" s="57"/>
    </row>
    <row r="198" spans="1:8" x14ac:dyDescent="0.3">
      <c r="A198" s="46"/>
      <c r="B198" s="46"/>
      <c r="C198" s="46"/>
      <c r="D198" s="46"/>
      <c r="E198" s="46"/>
      <c r="F198" s="46"/>
      <c r="G198" s="46"/>
      <c r="H198" s="57"/>
    </row>
    <row r="199" spans="1:8" x14ac:dyDescent="0.3">
      <c r="A199" s="46"/>
      <c r="B199" s="46"/>
      <c r="C199" s="46"/>
      <c r="D199" s="46"/>
      <c r="E199" s="46"/>
      <c r="F199" s="46"/>
      <c r="G199" s="46"/>
      <c r="H199" s="57"/>
    </row>
    <row r="200" spans="1:8" x14ac:dyDescent="0.3">
      <c r="A200" s="46"/>
      <c r="B200" s="46"/>
      <c r="C200" s="46"/>
      <c r="D200" s="46"/>
      <c r="E200" s="46"/>
      <c r="F200" s="46"/>
      <c r="G200" s="46"/>
      <c r="H200" s="57"/>
    </row>
    <row r="201" spans="1:8" x14ac:dyDescent="0.3">
      <c r="A201" s="46"/>
      <c r="B201" s="46"/>
      <c r="C201" s="46"/>
      <c r="D201" s="46"/>
      <c r="E201" s="46"/>
      <c r="F201" s="46"/>
      <c r="G201" s="46"/>
      <c r="H201" s="57"/>
    </row>
    <row r="202" spans="1:8" x14ac:dyDescent="0.3">
      <c r="A202" s="46"/>
      <c r="B202" s="46"/>
      <c r="C202" s="46"/>
      <c r="D202" s="46"/>
      <c r="E202" s="46"/>
      <c r="F202" s="46"/>
      <c r="G202" s="46"/>
      <c r="H202" s="57"/>
    </row>
    <row r="203" spans="1:8" x14ac:dyDescent="0.3">
      <c r="A203" s="46"/>
      <c r="B203" s="46"/>
      <c r="C203" s="46"/>
      <c r="D203" s="46"/>
      <c r="E203" s="46"/>
      <c r="F203" s="46"/>
      <c r="G203" s="46"/>
      <c r="H203" s="57"/>
    </row>
    <row r="204" spans="1:8" x14ac:dyDescent="0.3">
      <c r="A204" s="46"/>
      <c r="B204" s="46"/>
      <c r="C204" s="46"/>
      <c r="D204" s="46"/>
      <c r="E204" s="46"/>
      <c r="F204" s="46"/>
      <c r="G204" s="46"/>
      <c r="H204" s="57"/>
    </row>
    <row r="205" spans="1:8" x14ac:dyDescent="0.3">
      <c r="A205" s="46"/>
      <c r="B205" s="46"/>
      <c r="C205" s="46"/>
      <c r="D205" s="46"/>
      <c r="E205" s="46"/>
      <c r="F205" s="46"/>
      <c r="G205" s="46"/>
      <c r="H205" s="57"/>
    </row>
    <row r="206" spans="1:8" x14ac:dyDescent="0.3">
      <c r="A206" s="46"/>
      <c r="B206" s="46"/>
      <c r="C206" s="46"/>
      <c r="D206" s="46"/>
      <c r="E206" s="46"/>
      <c r="F206" s="46"/>
      <c r="G206" s="46"/>
      <c r="H206" s="57"/>
    </row>
    <row r="207" spans="1:8" x14ac:dyDescent="0.3">
      <c r="A207" s="46"/>
      <c r="B207" s="46"/>
      <c r="C207" s="46"/>
      <c r="D207" s="46"/>
      <c r="E207" s="46"/>
      <c r="F207" s="46"/>
      <c r="G207" s="46"/>
      <c r="H207" s="57"/>
    </row>
    <row r="208" spans="1:8" x14ac:dyDescent="0.3">
      <c r="A208" s="46"/>
      <c r="B208" s="46"/>
      <c r="C208" s="46"/>
      <c r="D208" s="46"/>
      <c r="E208" s="46"/>
      <c r="F208" s="46"/>
      <c r="G208" s="46"/>
      <c r="H208" s="57"/>
    </row>
    <row r="209" spans="1:8" x14ac:dyDescent="0.3">
      <c r="A209" s="46"/>
      <c r="B209" s="46"/>
      <c r="C209" s="46"/>
      <c r="D209" s="46"/>
      <c r="E209" s="46"/>
      <c r="F209" s="46"/>
      <c r="G209" s="46"/>
      <c r="H209" s="57"/>
    </row>
    <row r="210" spans="1:8" x14ac:dyDescent="0.3">
      <c r="A210" s="46"/>
      <c r="B210" s="46"/>
      <c r="C210" s="46"/>
      <c r="D210" s="46"/>
      <c r="E210" s="46"/>
      <c r="F210" s="46"/>
      <c r="G210" s="46"/>
      <c r="H210" s="57"/>
    </row>
    <row r="211" spans="1:8" x14ac:dyDescent="0.3">
      <c r="A211" s="46"/>
      <c r="B211" s="46"/>
      <c r="C211" s="46"/>
      <c r="D211" s="46"/>
      <c r="E211" s="46"/>
      <c r="F211" s="46"/>
      <c r="G211" s="46"/>
      <c r="H211" s="57"/>
    </row>
    <row r="212" spans="1:8" x14ac:dyDescent="0.3">
      <c r="A212" s="46"/>
      <c r="B212" s="46"/>
      <c r="C212" s="46"/>
      <c r="D212" s="46"/>
      <c r="E212" s="46"/>
      <c r="F212" s="46"/>
      <c r="G212" s="46"/>
      <c r="H212" s="57"/>
    </row>
    <row r="213" spans="1:8" x14ac:dyDescent="0.3">
      <c r="A213" s="46"/>
      <c r="B213" s="46"/>
      <c r="C213" s="46"/>
      <c r="D213" s="46"/>
      <c r="E213" s="46"/>
      <c r="F213" s="46"/>
      <c r="G213" s="46"/>
      <c r="H213" s="57"/>
    </row>
    <row r="214" spans="1:8" x14ac:dyDescent="0.3">
      <c r="A214" s="46"/>
      <c r="B214" s="46"/>
      <c r="C214" s="46"/>
      <c r="D214" s="46"/>
      <c r="E214" s="46"/>
      <c r="F214" s="46"/>
      <c r="G214" s="46"/>
      <c r="H214" s="57"/>
    </row>
    <row r="215" spans="1:8" x14ac:dyDescent="0.3">
      <c r="A215" s="46"/>
      <c r="B215" s="46"/>
      <c r="C215" s="46"/>
      <c r="D215" s="46"/>
      <c r="E215" s="46"/>
      <c r="F215" s="46"/>
      <c r="G215" s="46"/>
      <c r="H215" s="57"/>
    </row>
    <row r="216" spans="1:8" x14ac:dyDescent="0.3">
      <c r="A216" s="46"/>
      <c r="B216" s="46"/>
      <c r="C216" s="46"/>
      <c r="D216" s="46"/>
      <c r="E216" s="46"/>
      <c r="F216" s="46"/>
      <c r="G216" s="46"/>
      <c r="H216" s="57"/>
    </row>
    <row r="217" spans="1:8" x14ac:dyDescent="0.3">
      <c r="A217" s="46"/>
      <c r="B217" s="46"/>
      <c r="C217" s="46"/>
      <c r="D217" s="46"/>
      <c r="E217" s="46"/>
      <c r="F217" s="46"/>
      <c r="G217" s="46"/>
      <c r="H217" s="57"/>
    </row>
    <row r="218" spans="1:8" x14ac:dyDescent="0.3">
      <c r="A218" s="46"/>
      <c r="B218" s="46"/>
      <c r="C218" s="46"/>
      <c r="D218" s="46"/>
      <c r="E218" s="46"/>
      <c r="F218" s="46"/>
      <c r="G218" s="46"/>
      <c r="H218" s="57"/>
    </row>
    <row r="219" spans="1:8" x14ac:dyDescent="0.3">
      <c r="A219" s="46"/>
      <c r="B219" s="46"/>
      <c r="C219" s="46"/>
      <c r="D219" s="46"/>
      <c r="E219" s="46"/>
      <c r="F219" s="46"/>
      <c r="G219" s="46"/>
      <c r="H219" s="57"/>
    </row>
    <row r="220" spans="1:8" x14ac:dyDescent="0.3">
      <c r="A220" s="46"/>
      <c r="B220" s="46"/>
      <c r="C220" s="46"/>
      <c r="D220" s="46"/>
      <c r="E220" s="46"/>
      <c r="F220" s="46"/>
      <c r="G220" s="46"/>
      <c r="H220" s="57"/>
    </row>
    <row r="221" spans="1:8" x14ac:dyDescent="0.3">
      <c r="A221" s="46"/>
      <c r="B221" s="46"/>
      <c r="C221" s="46"/>
      <c r="D221" s="46"/>
      <c r="E221" s="46"/>
      <c r="F221" s="46"/>
      <c r="G221" s="46"/>
      <c r="H221" s="57"/>
    </row>
    <row r="222" spans="1:8" x14ac:dyDescent="0.3">
      <c r="A222" s="46"/>
      <c r="B222" s="46"/>
      <c r="C222" s="46"/>
      <c r="D222" s="46"/>
      <c r="E222" s="46"/>
      <c r="F222" s="46"/>
      <c r="G222" s="46"/>
      <c r="H222" s="57"/>
    </row>
    <row r="223" spans="1:8" x14ac:dyDescent="0.3">
      <c r="A223" s="46"/>
      <c r="B223" s="46"/>
      <c r="C223" s="46"/>
      <c r="D223" s="46"/>
      <c r="E223" s="46"/>
      <c r="F223" s="46"/>
      <c r="G223" s="46"/>
      <c r="H223" s="57"/>
    </row>
    <row r="224" spans="1:8" x14ac:dyDescent="0.3">
      <c r="A224" s="46"/>
      <c r="B224" s="46"/>
      <c r="C224" s="46"/>
      <c r="D224" s="46"/>
      <c r="E224" s="46"/>
      <c r="F224" s="46"/>
      <c r="G224" s="46"/>
      <c r="H224" s="57"/>
    </row>
    <row r="225" spans="1:8" x14ac:dyDescent="0.3">
      <c r="A225" s="46"/>
      <c r="B225" s="46"/>
      <c r="C225" s="46"/>
      <c r="D225" s="46"/>
      <c r="E225" s="46"/>
      <c r="F225" s="46"/>
      <c r="G225" s="46"/>
      <c r="H225" s="57"/>
    </row>
    <row r="226" spans="1:8" x14ac:dyDescent="0.3">
      <c r="A226" s="46"/>
      <c r="B226" s="46"/>
      <c r="C226" s="46"/>
      <c r="D226" s="46"/>
      <c r="E226" s="46"/>
      <c r="F226" s="46"/>
      <c r="G226" s="46"/>
      <c r="H226" s="57"/>
    </row>
    <row r="227" spans="1:8" x14ac:dyDescent="0.3">
      <c r="A227" s="46"/>
      <c r="B227" s="46"/>
      <c r="C227" s="46"/>
      <c r="D227" s="46"/>
      <c r="E227" s="46"/>
      <c r="F227" s="46"/>
      <c r="G227" s="46"/>
      <c r="H227" s="57"/>
    </row>
    <row r="228" spans="1:8" x14ac:dyDescent="0.3">
      <c r="A228" s="46"/>
      <c r="B228" s="46"/>
      <c r="C228" s="46"/>
      <c r="D228" s="46"/>
      <c r="E228" s="46"/>
      <c r="F228" s="46"/>
      <c r="G228" s="46"/>
      <c r="H228" s="57"/>
    </row>
    <row r="229" spans="1:8" x14ac:dyDescent="0.3">
      <c r="A229" s="46"/>
      <c r="B229" s="46"/>
      <c r="C229" s="46"/>
      <c r="D229" s="46"/>
      <c r="E229" s="46"/>
      <c r="F229" s="46"/>
      <c r="G229" s="46"/>
      <c r="H229" s="57"/>
    </row>
    <row r="230" spans="1:8" x14ac:dyDescent="0.3">
      <c r="A230" s="46"/>
      <c r="B230" s="46"/>
      <c r="C230" s="46"/>
      <c r="D230" s="46"/>
      <c r="E230" s="46"/>
      <c r="F230" s="46"/>
      <c r="G230" s="46"/>
      <c r="H230" s="57"/>
    </row>
    <row r="231" spans="1:8" x14ac:dyDescent="0.3">
      <c r="A231" s="46"/>
      <c r="B231" s="46"/>
      <c r="C231" s="46"/>
      <c r="D231" s="46"/>
      <c r="E231" s="46"/>
      <c r="F231" s="46"/>
      <c r="G231" s="46"/>
      <c r="H231" s="57"/>
    </row>
    <row r="232" spans="1:8" x14ac:dyDescent="0.3">
      <c r="A232" s="46"/>
      <c r="B232" s="46"/>
      <c r="C232" s="46"/>
      <c r="D232" s="46"/>
      <c r="E232" s="46"/>
      <c r="F232" s="46"/>
      <c r="G232" s="46"/>
      <c r="H232" s="57"/>
    </row>
    <row r="233" spans="1:8" x14ac:dyDescent="0.3">
      <c r="A233" s="46"/>
      <c r="B233" s="46"/>
      <c r="C233" s="46"/>
      <c r="D233" s="46"/>
      <c r="E233" s="46"/>
      <c r="F233" s="46"/>
      <c r="G233" s="46"/>
      <c r="H233" s="57"/>
    </row>
    <row r="234" spans="1:8" x14ac:dyDescent="0.3">
      <c r="A234" s="46"/>
      <c r="B234" s="46"/>
      <c r="C234" s="46"/>
      <c r="D234" s="46"/>
      <c r="E234" s="46"/>
      <c r="F234" s="46"/>
      <c r="G234" s="46"/>
      <c r="H234" s="57"/>
    </row>
    <row r="235" spans="1:8" x14ac:dyDescent="0.3">
      <c r="A235" s="46"/>
      <c r="B235" s="46"/>
      <c r="C235" s="46"/>
      <c r="D235" s="46"/>
      <c r="E235" s="46"/>
      <c r="F235" s="46"/>
      <c r="G235" s="46"/>
      <c r="H235" s="57"/>
    </row>
    <row r="236" spans="1:8" x14ac:dyDescent="0.3">
      <c r="A236" s="46"/>
      <c r="B236" s="46"/>
      <c r="C236" s="46"/>
      <c r="D236" s="46"/>
      <c r="E236" s="46"/>
      <c r="F236" s="46"/>
      <c r="G236" s="46"/>
      <c r="H236" s="57"/>
    </row>
    <row r="237" spans="1:8" x14ac:dyDescent="0.3">
      <c r="A237" s="46"/>
      <c r="B237" s="46"/>
      <c r="C237" s="46"/>
      <c r="D237" s="46"/>
      <c r="E237" s="46"/>
      <c r="F237" s="46"/>
      <c r="G237" s="46"/>
      <c r="H237" s="57"/>
    </row>
    <row r="238" spans="1:8" x14ac:dyDescent="0.3">
      <c r="A238" s="46"/>
      <c r="B238" s="46"/>
      <c r="C238" s="46"/>
      <c r="D238" s="46"/>
      <c r="E238" s="46"/>
      <c r="F238" s="46"/>
      <c r="G238" s="46"/>
      <c r="H238" s="57"/>
    </row>
    <row r="239" spans="1:8" x14ac:dyDescent="0.3">
      <c r="A239" s="46"/>
      <c r="B239" s="46"/>
      <c r="C239" s="46"/>
      <c r="D239" s="46"/>
      <c r="E239" s="46"/>
      <c r="F239" s="46"/>
      <c r="G239" s="46"/>
      <c r="H239" s="57"/>
    </row>
    <row r="240" spans="1:8" x14ac:dyDescent="0.3">
      <c r="A240" s="46"/>
      <c r="B240" s="46"/>
      <c r="C240" s="46"/>
      <c r="D240" s="46"/>
      <c r="E240" s="46"/>
      <c r="F240" s="46"/>
      <c r="G240" s="46"/>
      <c r="H240" s="57"/>
    </row>
    <row r="241" spans="1:8" x14ac:dyDescent="0.3">
      <c r="A241" s="46"/>
      <c r="B241" s="46"/>
      <c r="C241" s="46"/>
      <c r="D241" s="46"/>
      <c r="E241" s="46"/>
      <c r="F241" s="46"/>
      <c r="G241" s="46"/>
      <c r="H241" s="57"/>
    </row>
    <row r="242" spans="1:8" x14ac:dyDescent="0.3">
      <c r="A242" s="46"/>
      <c r="B242" s="46"/>
      <c r="C242" s="46"/>
      <c r="D242" s="46"/>
      <c r="E242" s="46"/>
      <c r="F242" s="46"/>
      <c r="G242" s="46"/>
      <c r="H242" s="57"/>
    </row>
    <row r="243" spans="1:8" x14ac:dyDescent="0.3">
      <c r="A243" s="46"/>
      <c r="B243" s="46"/>
      <c r="C243" s="46"/>
      <c r="D243" s="46"/>
      <c r="E243" s="46"/>
      <c r="F243" s="46"/>
      <c r="G243" s="46"/>
      <c r="H243" s="57"/>
    </row>
    <row r="244" spans="1:8" x14ac:dyDescent="0.3">
      <c r="A244" s="46"/>
      <c r="B244" s="46"/>
      <c r="C244" s="46"/>
      <c r="D244" s="46"/>
      <c r="E244" s="46"/>
      <c r="F244" s="46"/>
      <c r="G244" s="46"/>
      <c r="H244" s="57"/>
    </row>
    <row r="245" spans="1:8" x14ac:dyDescent="0.3">
      <c r="A245" s="46"/>
      <c r="B245" s="46"/>
      <c r="C245" s="46"/>
      <c r="D245" s="46"/>
      <c r="E245" s="46"/>
      <c r="F245" s="46"/>
      <c r="G245" s="46"/>
      <c r="H245" s="57"/>
    </row>
    <row r="246" spans="1:8" x14ac:dyDescent="0.3">
      <c r="A246" s="46"/>
      <c r="B246" s="46"/>
      <c r="C246" s="46"/>
      <c r="D246" s="46"/>
      <c r="E246" s="46"/>
      <c r="F246" s="46"/>
      <c r="G246" s="46"/>
      <c r="H246" s="57"/>
    </row>
    <row r="247" spans="1:8" x14ac:dyDescent="0.3">
      <c r="A247" s="46"/>
      <c r="B247" s="46"/>
      <c r="C247" s="46"/>
      <c r="D247" s="46"/>
      <c r="E247" s="46"/>
      <c r="F247" s="46"/>
      <c r="G247" s="46"/>
      <c r="H247" s="57"/>
    </row>
    <row r="248" spans="1:8" x14ac:dyDescent="0.3">
      <c r="A248" s="46"/>
      <c r="B248" s="46"/>
      <c r="C248" s="46"/>
      <c r="D248" s="46"/>
      <c r="E248" s="46"/>
      <c r="F248" s="46"/>
      <c r="G248" s="46"/>
      <c r="H248" s="57"/>
    </row>
    <row r="249" spans="1:8" x14ac:dyDescent="0.3">
      <c r="A249" s="46"/>
      <c r="B249" s="46"/>
      <c r="C249" s="46"/>
      <c r="D249" s="46"/>
      <c r="E249" s="46"/>
      <c r="F249" s="46"/>
      <c r="G249" s="46"/>
      <c r="H249" s="57"/>
    </row>
    <row r="250" spans="1:8" x14ac:dyDescent="0.3">
      <c r="A250" s="46"/>
      <c r="B250" s="46"/>
      <c r="C250" s="46"/>
      <c r="D250" s="46"/>
      <c r="E250" s="46"/>
      <c r="F250" s="46"/>
      <c r="G250" s="46"/>
      <c r="H250" s="57"/>
    </row>
    <row r="251" spans="1:8" x14ac:dyDescent="0.3">
      <c r="A251" s="46"/>
      <c r="B251" s="46"/>
      <c r="C251" s="46"/>
      <c r="D251" s="46"/>
      <c r="E251" s="46"/>
      <c r="F251" s="46"/>
      <c r="G251" s="46"/>
      <c r="H251" s="57"/>
    </row>
    <row r="252" spans="1:8" x14ac:dyDescent="0.3">
      <c r="A252" s="46"/>
      <c r="B252" s="46"/>
      <c r="C252" s="46"/>
      <c r="D252" s="46"/>
      <c r="E252" s="46"/>
      <c r="F252" s="46"/>
      <c r="G252" s="46"/>
      <c r="H252" s="57"/>
    </row>
    <row r="253" spans="1:8" x14ac:dyDescent="0.3">
      <c r="A253" s="46"/>
      <c r="B253" s="46"/>
      <c r="C253" s="46"/>
      <c r="D253" s="46"/>
      <c r="E253" s="46"/>
      <c r="F253" s="46"/>
      <c r="G253" s="46"/>
      <c r="H253" s="57"/>
    </row>
    <row r="254" spans="1:8" x14ac:dyDescent="0.3">
      <c r="A254" s="46"/>
      <c r="B254" s="46"/>
      <c r="C254" s="46"/>
      <c r="D254" s="46"/>
      <c r="E254" s="46"/>
      <c r="F254" s="46"/>
      <c r="G254" s="46"/>
      <c r="H254" s="57"/>
    </row>
    <row r="255" spans="1:8" x14ac:dyDescent="0.3">
      <c r="A255" s="46"/>
      <c r="B255" s="46"/>
      <c r="C255" s="46"/>
      <c r="D255" s="46"/>
      <c r="E255" s="46"/>
      <c r="F255" s="46"/>
      <c r="G255" s="46"/>
      <c r="H255" s="57"/>
    </row>
    <row r="256" spans="1:8" x14ac:dyDescent="0.3">
      <c r="A256" s="46"/>
      <c r="B256" s="46"/>
      <c r="C256" s="46"/>
      <c r="D256" s="46"/>
      <c r="E256" s="46"/>
      <c r="F256" s="46"/>
      <c r="G256" s="46"/>
      <c r="H256" s="57"/>
    </row>
    <row r="257" spans="1:8" x14ac:dyDescent="0.3">
      <c r="A257" s="46"/>
      <c r="B257" s="46"/>
      <c r="C257" s="46"/>
      <c r="D257" s="46"/>
      <c r="E257" s="46"/>
      <c r="F257" s="46"/>
      <c r="G257" s="46"/>
      <c r="H257" s="57"/>
    </row>
    <row r="258" spans="1:8" x14ac:dyDescent="0.3">
      <c r="A258" s="46"/>
      <c r="B258" s="46"/>
      <c r="C258" s="46"/>
      <c r="D258" s="46"/>
      <c r="E258" s="46"/>
      <c r="F258" s="46"/>
      <c r="G258" s="46"/>
      <c r="H258" s="57"/>
    </row>
    <row r="259" spans="1:8" x14ac:dyDescent="0.3">
      <c r="A259" s="46"/>
      <c r="B259" s="46"/>
      <c r="C259" s="46"/>
      <c r="D259" s="46"/>
      <c r="E259" s="46"/>
      <c r="F259" s="46"/>
      <c r="G259" s="46"/>
      <c r="H259" s="57"/>
    </row>
    <row r="260" spans="1:8" x14ac:dyDescent="0.3">
      <c r="A260" s="46"/>
      <c r="B260" s="46"/>
      <c r="C260" s="46"/>
      <c r="D260" s="46"/>
      <c r="E260" s="46"/>
      <c r="F260" s="46"/>
      <c r="G260" s="46"/>
      <c r="H260" s="57"/>
    </row>
    <row r="261" spans="1:8" x14ac:dyDescent="0.3">
      <c r="A261" s="46"/>
      <c r="B261" s="46"/>
      <c r="C261" s="46"/>
      <c r="D261" s="46"/>
      <c r="E261" s="46"/>
      <c r="F261" s="46"/>
      <c r="G261" s="46"/>
      <c r="H261" s="57"/>
    </row>
    <row r="262" spans="1:8" x14ac:dyDescent="0.3">
      <c r="A262" s="46"/>
      <c r="B262" s="46"/>
      <c r="C262" s="46"/>
      <c r="D262" s="46"/>
      <c r="E262" s="46"/>
      <c r="F262" s="46"/>
      <c r="G262" s="46"/>
      <c r="H262" s="57"/>
    </row>
    <row r="263" spans="1:8" x14ac:dyDescent="0.3">
      <c r="A263" s="46"/>
      <c r="B263" s="46"/>
      <c r="C263" s="46"/>
      <c r="D263" s="46"/>
      <c r="E263" s="46"/>
      <c r="F263" s="46"/>
      <c r="G263" s="46"/>
      <c r="H263" s="57"/>
    </row>
    <row r="264" spans="1:8" x14ac:dyDescent="0.3">
      <c r="A264" s="46"/>
      <c r="B264" s="46"/>
      <c r="C264" s="46"/>
      <c r="D264" s="46"/>
      <c r="E264" s="46"/>
      <c r="F264" s="46"/>
      <c r="G264" s="46"/>
      <c r="H264" s="57"/>
    </row>
    <row r="265" spans="1:8" x14ac:dyDescent="0.3">
      <c r="A265" s="46"/>
      <c r="B265" s="46"/>
      <c r="C265" s="46"/>
      <c r="D265" s="46"/>
      <c r="E265" s="46"/>
      <c r="F265" s="46"/>
      <c r="G265" s="46"/>
      <c r="H265" s="57"/>
    </row>
    <row r="266" spans="1:8" x14ac:dyDescent="0.3">
      <c r="A266" s="46"/>
      <c r="B266" s="46"/>
      <c r="C266" s="46"/>
      <c r="D266" s="46"/>
      <c r="E266" s="46"/>
      <c r="F266" s="46"/>
      <c r="G266" s="46"/>
      <c r="H266" s="57"/>
    </row>
    <row r="267" spans="1:8" x14ac:dyDescent="0.3">
      <c r="A267" s="46"/>
      <c r="B267" s="46"/>
      <c r="C267" s="46"/>
      <c r="D267" s="46"/>
      <c r="E267" s="46"/>
      <c r="F267" s="46"/>
      <c r="G267" s="46"/>
      <c r="H267" s="57"/>
    </row>
    <row r="268" spans="1:8" x14ac:dyDescent="0.3">
      <c r="A268" s="46"/>
      <c r="B268" s="46"/>
      <c r="C268" s="46"/>
      <c r="D268" s="46"/>
      <c r="E268" s="46"/>
      <c r="F268" s="46"/>
      <c r="G268" s="46"/>
      <c r="H268" s="57"/>
    </row>
    <row r="269" spans="1:8" x14ac:dyDescent="0.3">
      <c r="A269" s="46"/>
      <c r="B269" s="46"/>
      <c r="C269" s="46"/>
      <c r="D269" s="46"/>
      <c r="E269" s="46"/>
      <c r="F269" s="46"/>
      <c r="G269" s="46"/>
      <c r="H269" s="57"/>
    </row>
    <row r="270" spans="1:8" x14ac:dyDescent="0.3">
      <c r="A270" s="46"/>
      <c r="B270" s="46"/>
      <c r="C270" s="46"/>
      <c r="D270" s="46"/>
      <c r="E270" s="46"/>
      <c r="F270" s="46"/>
      <c r="G270" s="46"/>
      <c r="H270" s="57"/>
    </row>
    <row r="271" spans="1:8" x14ac:dyDescent="0.3">
      <c r="A271" s="46"/>
      <c r="B271" s="46"/>
      <c r="C271" s="46"/>
      <c r="D271" s="46"/>
      <c r="E271" s="46"/>
      <c r="F271" s="46"/>
      <c r="G271" s="46"/>
      <c r="H271" s="57"/>
    </row>
    <row r="272" spans="1:8" x14ac:dyDescent="0.3">
      <c r="A272" s="46"/>
      <c r="B272" s="46"/>
      <c r="C272" s="46"/>
      <c r="D272" s="46"/>
      <c r="E272" s="46"/>
      <c r="F272" s="46"/>
      <c r="G272" s="46"/>
      <c r="H272" s="57"/>
    </row>
    <row r="273" spans="1:8" x14ac:dyDescent="0.3">
      <c r="A273" s="46"/>
      <c r="B273" s="46"/>
      <c r="C273" s="46"/>
      <c r="D273" s="46"/>
      <c r="E273" s="46"/>
      <c r="F273" s="46"/>
      <c r="G273" s="46"/>
      <c r="H273" s="57"/>
    </row>
    <row r="274" spans="1:8" x14ac:dyDescent="0.3">
      <c r="A274" s="46"/>
      <c r="B274" s="46"/>
      <c r="C274" s="46"/>
      <c r="D274" s="46"/>
      <c r="E274" s="46"/>
      <c r="F274" s="46"/>
      <c r="G274" s="46"/>
      <c r="H274" s="57"/>
    </row>
    <row r="275" spans="1:8" x14ac:dyDescent="0.3">
      <c r="A275" s="46"/>
      <c r="B275" s="46"/>
      <c r="C275" s="46"/>
      <c r="D275" s="46"/>
      <c r="E275" s="46"/>
      <c r="F275" s="46"/>
      <c r="G275" s="46"/>
      <c r="H275" s="57"/>
    </row>
    <row r="276" spans="1:8" x14ac:dyDescent="0.3">
      <c r="A276" s="46"/>
      <c r="B276" s="46"/>
      <c r="C276" s="46"/>
      <c r="D276" s="46"/>
      <c r="E276" s="46"/>
      <c r="F276" s="46"/>
      <c r="G276" s="46"/>
      <c r="H276" s="57"/>
    </row>
    <row r="277" spans="1:8" x14ac:dyDescent="0.3">
      <c r="A277" s="46"/>
      <c r="B277" s="46"/>
      <c r="C277" s="46"/>
      <c r="D277" s="46"/>
      <c r="E277" s="46"/>
      <c r="F277" s="46"/>
      <c r="G277" s="46"/>
      <c r="H277" s="57"/>
    </row>
    <row r="278" spans="1:8" x14ac:dyDescent="0.3">
      <c r="A278" s="46"/>
      <c r="B278" s="46"/>
      <c r="C278" s="46"/>
      <c r="D278" s="46"/>
      <c r="E278" s="46"/>
      <c r="F278" s="46"/>
      <c r="G278" s="46"/>
      <c r="H278" s="57"/>
    </row>
    <row r="279" spans="1:8" x14ac:dyDescent="0.3">
      <c r="A279" s="46"/>
      <c r="B279" s="46"/>
      <c r="C279" s="46"/>
      <c r="D279" s="46"/>
      <c r="E279" s="46"/>
      <c r="F279" s="46"/>
      <c r="G279" s="46"/>
      <c r="H279" s="57"/>
    </row>
    <row r="280" spans="1:8" x14ac:dyDescent="0.3">
      <c r="A280" s="46"/>
      <c r="B280" s="46"/>
      <c r="C280" s="46"/>
      <c r="D280" s="46"/>
      <c r="E280" s="46"/>
      <c r="F280" s="46"/>
      <c r="G280" s="46"/>
      <c r="H280" s="57"/>
    </row>
    <row r="281" spans="1:8" x14ac:dyDescent="0.3">
      <c r="A281" s="46"/>
      <c r="B281" s="46"/>
      <c r="C281" s="46"/>
      <c r="D281" s="46"/>
      <c r="E281" s="46"/>
      <c r="F281" s="46"/>
      <c r="G281" s="46"/>
      <c r="H281" s="57"/>
    </row>
    <row r="282" spans="1:8" x14ac:dyDescent="0.3">
      <c r="A282" s="46"/>
      <c r="B282" s="46"/>
      <c r="C282" s="46"/>
      <c r="D282" s="46"/>
      <c r="E282" s="46"/>
      <c r="F282" s="46"/>
      <c r="G282" s="46"/>
      <c r="H282" s="57"/>
    </row>
    <row r="283" spans="1:8" x14ac:dyDescent="0.3">
      <c r="A283" s="46"/>
      <c r="B283" s="46"/>
      <c r="C283" s="46"/>
      <c r="D283" s="46"/>
      <c r="E283" s="46"/>
      <c r="F283" s="46"/>
      <c r="G283" s="46"/>
      <c r="H283" s="57"/>
    </row>
    <row r="284" spans="1:8" x14ac:dyDescent="0.3">
      <c r="A284" s="46"/>
      <c r="B284" s="46"/>
      <c r="C284" s="46"/>
      <c r="D284" s="46"/>
      <c r="E284" s="46"/>
      <c r="F284" s="46"/>
      <c r="G284" s="46"/>
      <c r="H284" s="57"/>
    </row>
    <row r="285" spans="1:8" x14ac:dyDescent="0.3">
      <c r="A285" s="46"/>
      <c r="B285" s="46"/>
      <c r="C285" s="46"/>
      <c r="D285" s="46"/>
      <c r="E285" s="46"/>
      <c r="F285" s="46"/>
      <c r="G285" s="46"/>
      <c r="H285" s="57"/>
    </row>
    <row r="286" spans="1:8" x14ac:dyDescent="0.3">
      <c r="A286" s="46"/>
      <c r="B286" s="46"/>
      <c r="C286" s="46"/>
      <c r="D286" s="46"/>
      <c r="E286" s="46"/>
      <c r="F286" s="46"/>
      <c r="G286" s="46"/>
      <c r="H286" s="57"/>
    </row>
    <row r="287" spans="1:8" x14ac:dyDescent="0.3">
      <c r="A287" s="46"/>
      <c r="B287" s="46"/>
      <c r="C287" s="46"/>
      <c r="D287" s="46"/>
      <c r="E287" s="46"/>
      <c r="F287" s="46"/>
      <c r="G287" s="46"/>
      <c r="H287" s="57"/>
    </row>
    <row r="288" spans="1:8" x14ac:dyDescent="0.3">
      <c r="A288" s="46"/>
      <c r="B288" s="46"/>
      <c r="C288" s="46"/>
      <c r="D288" s="46"/>
      <c r="E288" s="46"/>
      <c r="F288" s="46"/>
      <c r="G288" s="46"/>
      <c r="H288" s="57"/>
    </row>
    <row r="289" spans="1:8" x14ac:dyDescent="0.3">
      <c r="A289" s="46"/>
      <c r="B289" s="46"/>
      <c r="C289" s="46"/>
      <c r="D289" s="46"/>
      <c r="E289" s="46"/>
      <c r="F289" s="46"/>
      <c r="G289" s="46"/>
      <c r="H289" s="57"/>
    </row>
    <row r="290" spans="1:8" x14ac:dyDescent="0.3">
      <c r="A290" s="46"/>
      <c r="B290" s="46"/>
      <c r="C290" s="46"/>
      <c r="D290" s="46"/>
      <c r="E290" s="46"/>
      <c r="F290" s="46"/>
      <c r="G290" s="46"/>
      <c r="H290" s="57"/>
    </row>
    <row r="291" spans="1:8" x14ac:dyDescent="0.3">
      <c r="A291" s="46"/>
      <c r="B291" s="46"/>
      <c r="C291" s="46"/>
      <c r="D291" s="46"/>
      <c r="E291" s="46"/>
      <c r="F291" s="46"/>
      <c r="G291" s="46"/>
      <c r="H291" s="57"/>
    </row>
    <row r="292" spans="1:8" x14ac:dyDescent="0.3">
      <c r="A292" s="46"/>
      <c r="B292" s="46"/>
      <c r="C292" s="46"/>
      <c r="D292" s="46"/>
      <c r="E292" s="46"/>
      <c r="F292" s="46"/>
      <c r="G292" s="46"/>
      <c r="H292" s="57"/>
    </row>
    <row r="293" spans="1:8" x14ac:dyDescent="0.3">
      <c r="A293" s="46"/>
      <c r="B293" s="46"/>
      <c r="C293" s="46"/>
      <c r="D293" s="46"/>
      <c r="E293" s="46"/>
      <c r="F293" s="46"/>
      <c r="G293" s="46"/>
      <c r="H293" s="57"/>
    </row>
    <row r="294" spans="1:8" x14ac:dyDescent="0.3">
      <c r="A294" s="46"/>
      <c r="B294" s="46"/>
      <c r="C294" s="46"/>
      <c r="D294" s="46"/>
      <c r="E294" s="46"/>
      <c r="F294" s="46"/>
      <c r="G294" s="46"/>
      <c r="H294" s="57"/>
    </row>
    <row r="295" spans="1:8" x14ac:dyDescent="0.3">
      <c r="A295" s="46"/>
      <c r="B295" s="46"/>
      <c r="C295" s="46"/>
      <c r="D295" s="46"/>
      <c r="E295" s="46"/>
      <c r="F295" s="46"/>
      <c r="G295" s="46"/>
      <c r="H295" s="57"/>
    </row>
    <row r="296" spans="1:8" x14ac:dyDescent="0.3">
      <c r="A296" s="46"/>
      <c r="B296" s="46"/>
      <c r="C296" s="46"/>
      <c r="D296" s="46"/>
      <c r="E296" s="46"/>
      <c r="F296" s="46"/>
      <c r="G296" s="46"/>
      <c r="H296" s="57"/>
    </row>
    <row r="297" spans="1:8" x14ac:dyDescent="0.3">
      <c r="A297" s="46"/>
      <c r="B297" s="46"/>
      <c r="C297" s="46"/>
      <c r="D297" s="46"/>
      <c r="E297" s="46"/>
      <c r="F297" s="46"/>
      <c r="G297" s="46"/>
      <c r="H297" s="57"/>
    </row>
    <row r="298" spans="1:8" x14ac:dyDescent="0.3">
      <c r="A298" s="46"/>
      <c r="B298" s="46"/>
      <c r="C298" s="46"/>
      <c r="D298" s="46"/>
      <c r="E298" s="46"/>
      <c r="F298" s="46"/>
      <c r="G298" s="46"/>
      <c r="H298" s="57"/>
    </row>
    <row r="299" spans="1:8" x14ac:dyDescent="0.3">
      <c r="A299" s="46"/>
      <c r="B299" s="46"/>
      <c r="C299" s="46"/>
      <c r="D299" s="46"/>
      <c r="E299" s="46"/>
      <c r="F299" s="46"/>
      <c r="G299" s="46"/>
      <c r="H299" s="57"/>
    </row>
    <row r="300" spans="1:8" x14ac:dyDescent="0.3">
      <c r="A300" s="46"/>
      <c r="B300" s="46"/>
      <c r="C300" s="46"/>
      <c r="D300" s="46"/>
      <c r="E300" s="46"/>
      <c r="F300" s="46"/>
      <c r="G300" s="46"/>
      <c r="H300" s="57"/>
    </row>
    <row r="301" spans="1:8" x14ac:dyDescent="0.3">
      <c r="A301" s="46"/>
      <c r="B301" s="46"/>
      <c r="C301" s="46"/>
      <c r="D301" s="46"/>
      <c r="E301" s="46"/>
      <c r="F301" s="46"/>
      <c r="G301" s="46"/>
      <c r="H301" s="57"/>
    </row>
    <row r="302" spans="1:8" x14ac:dyDescent="0.3">
      <c r="A302" s="46"/>
      <c r="B302" s="46"/>
      <c r="C302" s="46"/>
      <c r="D302" s="46"/>
      <c r="E302" s="46"/>
      <c r="F302" s="46"/>
      <c r="G302" s="46"/>
      <c r="H302" s="57"/>
    </row>
    <row r="303" spans="1:8" x14ac:dyDescent="0.3">
      <c r="A303" s="46"/>
      <c r="B303" s="46"/>
      <c r="C303" s="46"/>
      <c r="D303" s="46"/>
      <c r="E303" s="46"/>
      <c r="F303" s="46"/>
      <c r="G303" s="46"/>
      <c r="H303" s="57"/>
    </row>
    <row r="304" spans="1:8" x14ac:dyDescent="0.3">
      <c r="A304" s="46"/>
      <c r="B304" s="46"/>
      <c r="C304" s="46"/>
      <c r="D304" s="46"/>
      <c r="E304" s="46"/>
      <c r="F304" s="46"/>
      <c r="G304" s="46"/>
      <c r="H304" s="57"/>
    </row>
    <row r="305" spans="1:8" x14ac:dyDescent="0.3">
      <c r="A305" s="46"/>
      <c r="B305" s="46"/>
      <c r="C305" s="46"/>
      <c r="D305" s="46"/>
      <c r="E305" s="46"/>
      <c r="F305" s="46"/>
      <c r="G305" s="46"/>
      <c r="H305" s="57"/>
    </row>
    <row r="306" spans="1:8" x14ac:dyDescent="0.3">
      <c r="A306" s="46"/>
      <c r="B306" s="46"/>
      <c r="C306" s="46"/>
      <c r="D306" s="46"/>
      <c r="E306" s="46"/>
      <c r="F306" s="46"/>
      <c r="G306" s="46"/>
      <c r="H306" s="57"/>
    </row>
    <row r="307" spans="1:8" x14ac:dyDescent="0.3">
      <c r="A307" s="46"/>
      <c r="B307" s="46"/>
      <c r="C307" s="46"/>
      <c r="D307" s="46"/>
      <c r="E307" s="46"/>
      <c r="F307" s="46"/>
      <c r="G307" s="46"/>
      <c r="H307" s="57"/>
    </row>
    <row r="308" spans="1:8" x14ac:dyDescent="0.3">
      <c r="A308" s="46"/>
      <c r="B308" s="46"/>
      <c r="C308" s="46"/>
      <c r="D308" s="46"/>
      <c r="E308" s="46"/>
      <c r="F308" s="46"/>
      <c r="G308" s="46"/>
      <c r="H308" s="57"/>
    </row>
    <row r="309" spans="1:8" x14ac:dyDescent="0.3">
      <c r="A309" s="46"/>
      <c r="B309" s="46"/>
      <c r="C309" s="46"/>
      <c r="D309" s="46"/>
      <c r="E309" s="46"/>
      <c r="F309" s="46"/>
      <c r="G309" s="46"/>
      <c r="H309" s="57"/>
    </row>
    <row r="310" spans="1:8" x14ac:dyDescent="0.3">
      <c r="A310" s="46"/>
      <c r="B310" s="46"/>
      <c r="C310" s="46"/>
      <c r="D310" s="46"/>
      <c r="E310" s="46"/>
      <c r="F310" s="46"/>
      <c r="G310" s="46"/>
      <c r="H310" s="57"/>
    </row>
    <row r="311" spans="1:8" x14ac:dyDescent="0.3">
      <c r="A311" s="46"/>
      <c r="B311" s="46"/>
      <c r="C311" s="46"/>
      <c r="D311" s="46"/>
      <c r="E311" s="46"/>
      <c r="F311" s="46"/>
      <c r="G311" s="46"/>
      <c r="H311" s="57"/>
    </row>
    <row r="312" spans="1:8" x14ac:dyDescent="0.3">
      <c r="A312" s="46"/>
      <c r="B312" s="46"/>
      <c r="C312" s="46"/>
      <c r="D312" s="46"/>
      <c r="E312" s="46"/>
      <c r="F312" s="46"/>
      <c r="G312" s="46"/>
      <c r="H312" s="57"/>
    </row>
    <row r="313" spans="1:8" x14ac:dyDescent="0.3">
      <c r="A313" s="46"/>
      <c r="B313" s="46"/>
      <c r="C313" s="46"/>
      <c r="D313" s="46"/>
      <c r="E313" s="46"/>
      <c r="F313" s="46"/>
      <c r="G313" s="46"/>
      <c r="H313" s="57"/>
    </row>
    <row r="314" spans="1:8" x14ac:dyDescent="0.3">
      <c r="A314" s="46"/>
      <c r="B314" s="46"/>
      <c r="C314" s="46"/>
      <c r="D314" s="46"/>
      <c r="E314" s="46"/>
      <c r="F314" s="46"/>
      <c r="G314" s="46"/>
      <c r="H314" s="57"/>
    </row>
    <row r="315" spans="1:8" x14ac:dyDescent="0.3">
      <c r="A315" s="46"/>
      <c r="B315" s="46"/>
      <c r="C315" s="46"/>
      <c r="D315" s="46"/>
      <c r="E315" s="46"/>
      <c r="F315" s="46"/>
      <c r="G315" s="46"/>
      <c r="H315" s="57"/>
    </row>
    <row r="316" spans="1:8" x14ac:dyDescent="0.3">
      <c r="A316" s="46"/>
      <c r="B316" s="46"/>
      <c r="C316" s="46"/>
      <c r="D316" s="46"/>
      <c r="E316" s="46"/>
      <c r="F316" s="46"/>
      <c r="G316" s="46"/>
      <c r="H316" s="57"/>
    </row>
    <row r="317" spans="1:8" x14ac:dyDescent="0.3">
      <c r="A317" s="46"/>
      <c r="B317" s="46"/>
      <c r="C317" s="46"/>
      <c r="D317" s="46"/>
      <c r="E317" s="46"/>
      <c r="F317" s="46"/>
      <c r="G317" s="46"/>
      <c r="H317" s="57"/>
    </row>
    <row r="318" spans="1:8" x14ac:dyDescent="0.3">
      <c r="A318" s="46"/>
      <c r="B318" s="46"/>
      <c r="C318" s="46"/>
      <c r="D318" s="46"/>
      <c r="E318" s="46"/>
      <c r="F318" s="46"/>
      <c r="G318" s="46"/>
      <c r="H318" s="57"/>
    </row>
    <row r="319" spans="1:8" x14ac:dyDescent="0.3">
      <c r="A319" s="46"/>
      <c r="B319" s="46"/>
      <c r="C319" s="46"/>
      <c r="D319" s="46"/>
      <c r="E319" s="46"/>
      <c r="F319" s="46"/>
      <c r="G319" s="46"/>
      <c r="H319" s="57"/>
    </row>
    <row r="320" spans="1:8" x14ac:dyDescent="0.3">
      <c r="A320" s="46"/>
      <c r="B320" s="46"/>
      <c r="C320" s="46"/>
      <c r="D320" s="46"/>
      <c r="E320" s="46"/>
      <c r="F320" s="46"/>
      <c r="G320" s="46"/>
      <c r="H320" s="57"/>
    </row>
    <row r="321" spans="1:8" x14ac:dyDescent="0.3">
      <c r="A321" s="46"/>
      <c r="B321" s="46"/>
      <c r="C321" s="46"/>
      <c r="D321" s="46"/>
      <c r="E321" s="46"/>
      <c r="F321" s="46"/>
      <c r="G321" s="46"/>
      <c r="H321" s="57"/>
    </row>
    <row r="322" spans="1:8" x14ac:dyDescent="0.3">
      <c r="A322" s="46"/>
      <c r="B322" s="46"/>
      <c r="C322" s="46"/>
      <c r="D322" s="46"/>
      <c r="E322" s="46"/>
      <c r="F322" s="46"/>
      <c r="G322" s="46"/>
      <c r="H322" s="57"/>
    </row>
    <row r="323" spans="1:8" x14ac:dyDescent="0.3">
      <c r="A323" s="46"/>
      <c r="B323" s="46"/>
      <c r="C323" s="46"/>
      <c r="D323" s="46"/>
      <c r="E323" s="46"/>
      <c r="F323" s="46"/>
      <c r="G323" s="46"/>
      <c r="H323" s="57"/>
    </row>
    <row r="324" spans="1:8" x14ac:dyDescent="0.3">
      <c r="A324" s="46"/>
      <c r="B324" s="46"/>
      <c r="C324" s="46"/>
      <c r="D324" s="46"/>
      <c r="E324" s="46"/>
      <c r="F324" s="46"/>
      <c r="G324" s="46"/>
      <c r="H324" s="57"/>
    </row>
    <row r="325" spans="1:8" x14ac:dyDescent="0.3">
      <c r="A325" s="46"/>
      <c r="B325" s="46"/>
      <c r="C325" s="46"/>
      <c r="D325" s="46"/>
      <c r="E325" s="46"/>
      <c r="F325" s="46"/>
      <c r="G325" s="46"/>
      <c r="H325" s="57"/>
    </row>
    <row r="326" spans="1:8" x14ac:dyDescent="0.3">
      <c r="A326" s="46"/>
      <c r="B326" s="46"/>
      <c r="C326" s="46"/>
      <c r="D326" s="46"/>
      <c r="E326" s="46"/>
      <c r="F326" s="46"/>
      <c r="G326" s="46"/>
      <c r="H326" s="57"/>
    </row>
    <row r="327" spans="1:8" x14ac:dyDescent="0.3">
      <c r="A327" s="46"/>
      <c r="B327" s="46"/>
      <c r="C327" s="46"/>
      <c r="D327" s="46"/>
      <c r="E327" s="46"/>
      <c r="F327" s="46"/>
      <c r="G327" s="46"/>
      <c r="H327" s="57"/>
    </row>
    <row r="328" spans="1:8" x14ac:dyDescent="0.3">
      <c r="A328" s="46"/>
      <c r="B328" s="46"/>
      <c r="C328" s="46"/>
      <c r="D328" s="46"/>
      <c r="E328" s="46"/>
      <c r="F328" s="46"/>
      <c r="G328" s="46"/>
      <c r="H328" s="57"/>
    </row>
    <row r="329" spans="1:8" x14ac:dyDescent="0.3">
      <c r="A329" s="46"/>
      <c r="B329" s="46"/>
      <c r="C329" s="46"/>
      <c r="D329" s="46"/>
      <c r="E329" s="46"/>
      <c r="F329" s="46"/>
      <c r="G329" s="46"/>
      <c r="H329" s="57"/>
    </row>
    <row r="330" spans="1:8" x14ac:dyDescent="0.3">
      <c r="A330" s="46"/>
      <c r="B330" s="46"/>
      <c r="C330" s="46"/>
      <c r="D330" s="46"/>
      <c r="E330" s="46"/>
      <c r="F330" s="46"/>
      <c r="G330" s="46"/>
      <c r="H330" s="57"/>
    </row>
    <row r="331" spans="1:8" x14ac:dyDescent="0.3">
      <c r="A331" s="46"/>
      <c r="B331" s="46"/>
      <c r="C331" s="46"/>
      <c r="D331" s="46"/>
      <c r="E331" s="46"/>
      <c r="F331" s="46"/>
      <c r="G331" s="46"/>
      <c r="H331" s="57"/>
    </row>
    <row r="332" spans="1:8" x14ac:dyDescent="0.3">
      <c r="A332" s="46"/>
      <c r="B332" s="46"/>
      <c r="C332" s="46"/>
      <c r="D332" s="46"/>
      <c r="E332" s="46"/>
      <c r="F332" s="46"/>
      <c r="G332" s="46"/>
      <c r="H332" s="57"/>
    </row>
    <row r="333" spans="1:8" x14ac:dyDescent="0.3">
      <c r="A333" s="46"/>
      <c r="B333" s="46"/>
      <c r="C333" s="46"/>
      <c r="D333" s="46"/>
      <c r="E333" s="46"/>
      <c r="F333" s="46"/>
      <c r="G333" s="46"/>
      <c r="H333" s="57"/>
    </row>
    <row r="334" spans="1:8" x14ac:dyDescent="0.3">
      <c r="A334" s="46"/>
      <c r="B334" s="46"/>
      <c r="C334" s="46"/>
      <c r="D334" s="46"/>
      <c r="E334" s="46"/>
      <c r="F334" s="46"/>
      <c r="G334" s="46"/>
      <c r="H334" s="57"/>
    </row>
    <row r="335" spans="1:8" x14ac:dyDescent="0.3">
      <c r="A335" s="46"/>
      <c r="B335" s="46"/>
      <c r="C335" s="46"/>
      <c r="D335" s="46"/>
      <c r="E335" s="46"/>
      <c r="F335" s="46"/>
      <c r="G335" s="46"/>
      <c r="H335" s="57"/>
    </row>
    <row r="336" spans="1:8" x14ac:dyDescent="0.3">
      <c r="A336" s="46"/>
      <c r="B336" s="46"/>
      <c r="C336" s="46"/>
      <c r="D336" s="46"/>
      <c r="E336" s="46"/>
      <c r="F336" s="46"/>
      <c r="G336" s="46"/>
      <c r="H336" s="57"/>
    </row>
    <row r="337" spans="1:8" x14ac:dyDescent="0.3">
      <c r="A337" s="46"/>
      <c r="B337" s="46"/>
      <c r="C337" s="46"/>
      <c r="D337" s="46"/>
      <c r="E337" s="46"/>
      <c r="F337" s="46"/>
      <c r="G337" s="46"/>
      <c r="H337" s="57"/>
    </row>
    <row r="338" spans="1:8" x14ac:dyDescent="0.3">
      <c r="A338" s="46"/>
      <c r="B338" s="46"/>
      <c r="C338" s="46"/>
      <c r="D338" s="46"/>
      <c r="E338" s="46"/>
      <c r="F338" s="46"/>
      <c r="G338" s="46"/>
      <c r="H338" s="57"/>
    </row>
    <row r="339" spans="1:8" x14ac:dyDescent="0.3">
      <c r="A339" s="46"/>
      <c r="B339" s="46"/>
      <c r="C339" s="46"/>
      <c r="D339" s="46"/>
      <c r="E339" s="46"/>
      <c r="F339" s="46"/>
      <c r="G339" s="46"/>
      <c r="H339" s="57"/>
    </row>
    <row r="340" spans="1:8" x14ac:dyDescent="0.3">
      <c r="A340" s="46"/>
      <c r="B340" s="46"/>
      <c r="C340" s="46"/>
      <c r="D340" s="46"/>
      <c r="E340" s="46"/>
      <c r="F340" s="46"/>
      <c r="G340" s="46"/>
      <c r="H340" s="57"/>
    </row>
    <row r="341" spans="1:8" x14ac:dyDescent="0.3">
      <c r="A341" s="46"/>
      <c r="B341" s="46"/>
      <c r="C341" s="46"/>
      <c r="D341" s="46"/>
      <c r="E341" s="46"/>
      <c r="F341" s="46"/>
      <c r="G341" s="46"/>
      <c r="H341" s="57"/>
    </row>
    <row r="342" spans="1:8" x14ac:dyDescent="0.3">
      <c r="A342" s="46"/>
      <c r="B342" s="46"/>
      <c r="C342" s="46"/>
      <c r="D342" s="46"/>
      <c r="E342" s="46"/>
      <c r="F342" s="46"/>
      <c r="G342" s="46"/>
      <c r="H342" s="57"/>
    </row>
    <row r="343" spans="1:8" x14ac:dyDescent="0.3">
      <c r="A343" s="46"/>
      <c r="B343" s="46"/>
      <c r="C343" s="46"/>
      <c r="D343" s="46"/>
      <c r="E343" s="46"/>
      <c r="F343" s="46"/>
      <c r="G343" s="46"/>
      <c r="H343" s="57"/>
    </row>
    <row r="344" spans="1:8" x14ac:dyDescent="0.3">
      <c r="A344" s="46"/>
      <c r="B344" s="46"/>
      <c r="C344" s="46"/>
      <c r="D344" s="46"/>
      <c r="E344" s="46"/>
      <c r="F344" s="46"/>
      <c r="G344" s="46"/>
      <c r="H344" s="57"/>
    </row>
    <row r="345" spans="1:8" x14ac:dyDescent="0.3">
      <c r="A345" s="46"/>
      <c r="B345" s="46"/>
      <c r="C345" s="46"/>
      <c r="D345" s="46"/>
      <c r="E345" s="46"/>
      <c r="F345" s="46"/>
      <c r="G345" s="46"/>
      <c r="H345" s="57"/>
    </row>
    <row r="346" spans="1:8" x14ac:dyDescent="0.3">
      <c r="A346" s="46"/>
      <c r="B346" s="46"/>
      <c r="C346" s="46"/>
      <c r="D346" s="46"/>
      <c r="E346" s="46"/>
      <c r="F346" s="46"/>
      <c r="G346" s="46"/>
      <c r="H346" s="57"/>
    </row>
    <row r="347" spans="1:8" x14ac:dyDescent="0.3">
      <c r="A347" s="46"/>
      <c r="B347" s="46"/>
      <c r="C347" s="46"/>
      <c r="D347" s="46"/>
      <c r="E347" s="46"/>
      <c r="F347" s="46"/>
      <c r="G347" s="46"/>
      <c r="H347" s="57"/>
    </row>
    <row r="348" spans="1:8" x14ac:dyDescent="0.3">
      <c r="A348" s="46"/>
      <c r="B348" s="46"/>
      <c r="C348" s="46"/>
      <c r="D348" s="46"/>
      <c r="E348" s="46"/>
      <c r="F348" s="46"/>
      <c r="G348" s="46"/>
      <c r="H348" s="57"/>
    </row>
    <row r="349" spans="1:8" x14ac:dyDescent="0.3">
      <c r="A349" s="46"/>
      <c r="B349" s="46"/>
      <c r="C349" s="46"/>
      <c r="D349" s="46"/>
      <c r="E349" s="46"/>
      <c r="F349" s="46"/>
      <c r="G349" s="46"/>
      <c r="H349" s="57"/>
    </row>
    <row r="350" spans="1:8" x14ac:dyDescent="0.3">
      <c r="A350" s="46"/>
      <c r="B350" s="46"/>
      <c r="C350" s="46"/>
      <c r="D350" s="46"/>
      <c r="E350" s="46"/>
      <c r="F350" s="46"/>
      <c r="G350" s="46"/>
      <c r="H350" s="57"/>
    </row>
    <row r="351" spans="1:8" x14ac:dyDescent="0.3">
      <c r="A351" s="46"/>
      <c r="B351" s="46"/>
      <c r="C351" s="46"/>
      <c r="D351" s="46"/>
      <c r="E351" s="46"/>
      <c r="F351" s="46"/>
      <c r="G351" s="46"/>
      <c r="H351" s="57"/>
    </row>
    <row r="352" spans="1:8" x14ac:dyDescent="0.3">
      <c r="A352" s="46"/>
      <c r="B352" s="46"/>
      <c r="C352" s="46"/>
      <c r="D352" s="46"/>
      <c r="E352" s="46"/>
      <c r="F352" s="46"/>
      <c r="G352" s="46"/>
      <c r="H352" s="57"/>
    </row>
    <row r="353" spans="1:8" x14ac:dyDescent="0.3">
      <c r="A353" s="46"/>
      <c r="B353" s="46"/>
      <c r="C353" s="46"/>
      <c r="D353" s="46"/>
      <c r="E353" s="46"/>
      <c r="F353" s="46"/>
      <c r="G353" s="46"/>
      <c r="H353" s="57"/>
    </row>
    <row r="354" spans="1:8" x14ac:dyDescent="0.3">
      <c r="A354" s="46"/>
      <c r="B354" s="46"/>
      <c r="C354" s="46"/>
      <c r="D354" s="46"/>
      <c r="E354" s="46"/>
      <c r="F354" s="46"/>
      <c r="G354" s="46"/>
      <c r="H354" s="57"/>
    </row>
    <row r="355" spans="1:8" x14ac:dyDescent="0.3">
      <c r="A355" s="46"/>
      <c r="B355" s="46"/>
      <c r="C355" s="46"/>
      <c r="D355" s="46"/>
      <c r="E355" s="46"/>
      <c r="F355" s="46"/>
      <c r="G355" s="46"/>
      <c r="H355" s="57"/>
    </row>
    <row r="356" spans="1:8" x14ac:dyDescent="0.3">
      <c r="A356" s="46"/>
      <c r="B356" s="46"/>
      <c r="C356" s="46"/>
      <c r="D356" s="46"/>
      <c r="E356" s="46"/>
      <c r="F356" s="46"/>
      <c r="G356" s="46"/>
      <c r="H356" s="57"/>
    </row>
    <row r="357" spans="1:8" x14ac:dyDescent="0.3">
      <c r="A357" s="46"/>
      <c r="B357" s="46"/>
      <c r="C357" s="46"/>
      <c r="D357" s="46"/>
      <c r="E357" s="46"/>
      <c r="F357" s="46"/>
      <c r="G357" s="46"/>
      <c r="H357" s="57"/>
    </row>
    <row r="358" spans="1:8" x14ac:dyDescent="0.3">
      <c r="A358" s="46"/>
      <c r="B358" s="46"/>
      <c r="C358" s="46"/>
      <c r="D358" s="46"/>
      <c r="E358" s="46"/>
      <c r="F358" s="46"/>
      <c r="G358" s="46"/>
      <c r="H358" s="57"/>
    </row>
    <row r="359" spans="1:8" x14ac:dyDescent="0.3">
      <c r="A359" s="46"/>
      <c r="B359" s="46"/>
      <c r="C359" s="46"/>
      <c r="D359" s="46"/>
      <c r="E359" s="46"/>
      <c r="F359" s="46"/>
      <c r="G359" s="46"/>
      <c r="H359" s="57"/>
    </row>
    <row r="360" spans="1:8" x14ac:dyDescent="0.3">
      <c r="A360" s="46"/>
      <c r="B360" s="46"/>
      <c r="C360" s="46"/>
      <c r="D360" s="46"/>
      <c r="E360" s="46"/>
      <c r="F360" s="46"/>
      <c r="G360" s="46"/>
      <c r="H360" s="57"/>
    </row>
    <row r="361" spans="1:8" x14ac:dyDescent="0.3">
      <c r="A361" s="46"/>
      <c r="B361" s="46"/>
      <c r="C361" s="46"/>
      <c r="D361" s="46"/>
      <c r="E361" s="46"/>
      <c r="F361" s="46"/>
      <c r="G361" s="46"/>
      <c r="H361" s="57"/>
    </row>
    <row r="362" spans="1:8" x14ac:dyDescent="0.3">
      <c r="A362" s="46"/>
      <c r="B362" s="46"/>
      <c r="C362" s="46"/>
      <c r="D362" s="46"/>
      <c r="E362" s="46"/>
      <c r="F362" s="46"/>
      <c r="G362" s="46"/>
      <c r="H362" s="57"/>
    </row>
    <row r="363" spans="1:8" x14ac:dyDescent="0.3">
      <c r="A363" s="46"/>
      <c r="B363" s="46"/>
      <c r="C363" s="46"/>
      <c r="D363" s="46"/>
      <c r="E363" s="46"/>
      <c r="F363" s="46"/>
      <c r="G363" s="46"/>
      <c r="H363" s="57"/>
    </row>
    <row r="364" spans="1:8" x14ac:dyDescent="0.3">
      <c r="A364" s="46"/>
      <c r="B364" s="46"/>
      <c r="C364" s="46"/>
      <c r="D364" s="46"/>
      <c r="E364" s="46"/>
      <c r="F364" s="46"/>
      <c r="G364" s="46"/>
      <c r="H364" s="57"/>
    </row>
    <row r="365" spans="1:8" x14ac:dyDescent="0.3">
      <c r="A365" s="46"/>
      <c r="B365" s="46"/>
      <c r="C365" s="46"/>
      <c r="D365" s="46"/>
      <c r="E365" s="46"/>
      <c r="F365" s="46"/>
      <c r="G365" s="46"/>
      <c r="H365" s="57"/>
    </row>
    <row r="366" spans="1:8" x14ac:dyDescent="0.3">
      <c r="A366" s="46"/>
      <c r="B366" s="46"/>
      <c r="C366" s="46"/>
      <c r="D366" s="46"/>
      <c r="E366" s="46"/>
      <c r="F366" s="46"/>
      <c r="G366" s="46"/>
      <c r="H366" s="57"/>
    </row>
    <row r="367" spans="1:8" x14ac:dyDescent="0.3">
      <c r="A367" s="46"/>
      <c r="B367" s="46"/>
      <c r="C367" s="46"/>
      <c r="D367" s="46"/>
      <c r="E367" s="46"/>
      <c r="F367" s="46"/>
      <c r="G367" s="46"/>
      <c r="H367" s="57"/>
    </row>
    <row r="368" spans="1:8" x14ac:dyDescent="0.3">
      <c r="A368" s="46"/>
      <c r="B368" s="46"/>
      <c r="C368" s="46"/>
      <c r="D368" s="46"/>
      <c r="E368" s="46"/>
      <c r="F368" s="46"/>
      <c r="G368" s="46"/>
      <c r="H368" s="57"/>
    </row>
    <row r="369" spans="1:8" x14ac:dyDescent="0.3">
      <c r="A369" s="46"/>
      <c r="B369" s="46"/>
      <c r="C369" s="46"/>
      <c r="D369" s="46"/>
      <c r="E369" s="46"/>
      <c r="F369" s="46"/>
      <c r="G369" s="46"/>
      <c r="H369" s="57"/>
    </row>
    <row r="370" spans="1:8" x14ac:dyDescent="0.3">
      <c r="A370" s="46"/>
      <c r="B370" s="46"/>
      <c r="C370" s="46"/>
      <c r="D370" s="46"/>
      <c r="E370" s="46"/>
      <c r="F370" s="46"/>
      <c r="G370" s="46"/>
      <c r="H370" s="57"/>
    </row>
    <row r="371" spans="1:8" x14ac:dyDescent="0.3">
      <c r="A371" s="46"/>
      <c r="B371" s="46"/>
      <c r="C371" s="46"/>
      <c r="D371" s="46"/>
      <c r="E371" s="46"/>
      <c r="F371" s="46"/>
      <c r="G371" s="46"/>
      <c r="H371" s="57"/>
    </row>
    <row r="372" spans="1:8" x14ac:dyDescent="0.3">
      <c r="A372" s="46"/>
      <c r="B372" s="46"/>
      <c r="C372" s="46"/>
      <c r="D372" s="46"/>
      <c r="E372" s="46"/>
      <c r="F372" s="46"/>
      <c r="G372" s="46"/>
      <c r="H372" s="57"/>
    </row>
    <row r="373" spans="1:8" x14ac:dyDescent="0.3">
      <c r="A373" s="46"/>
      <c r="B373" s="46"/>
      <c r="C373" s="46"/>
      <c r="D373" s="46"/>
      <c r="E373" s="46"/>
      <c r="F373" s="46"/>
      <c r="G373" s="46"/>
      <c r="H373" s="57"/>
    </row>
    <row r="374" spans="1:8" x14ac:dyDescent="0.3">
      <c r="A374" s="46"/>
      <c r="B374" s="46"/>
      <c r="C374" s="46"/>
      <c r="D374" s="46"/>
      <c r="E374" s="46"/>
      <c r="F374" s="46"/>
      <c r="G374" s="46"/>
      <c r="H374" s="57"/>
    </row>
    <row r="375" spans="1:8" x14ac:dyDescent="0.3">
      <c r="A375" s="46"/>
      <c r="B375" s="46"/>
      <c r="C375" s="46"/>
      <c r="D375" s="46"/>
      <c r="E375" s="46"/>
      <c r="F375" s="46"/>
      <c r="G375" s="46"/>
      <c r="H375" s="57"/>
    </row>
    <row r="376" spans="1:8" x14ac:dyDescent="0.3">
      <c r="A376" s="46"/>
      <c r="B376" s="46"/>
      <c r="C376" s="46"/>
      <c r="D376" s="46"/>
      <c r="E376" s="46"/>
      <c r="F376" s="46"/>
      <c r="G376" s="46"/>
      <c r="H376" s="57"/>
    </row>
    <row r="377" spans="1:8" x14ac:dyDescent="0.3">
      <c r="A377" s="46"/>
      <c r="B377" s="46"/>
      <c r="C377" s="46"/>
      <c r="D377" s="46"/>
      <c r="E377" s="46"/>
      <c r="F377" s="46"/>
      <c r="G377" s="46"/>
      <c r="H377" s="57"/>
    </row>
    <row r="378" spans="1:8" x14ac:dyDescent="0.3">
      <c r="A378" s="46"/>
      <c r="B378" s="46"/>
      <c r="C378" s="46"/>
      <c r="D378" s="46"/>
      <c r="E378" s="46"/>
      <c r="F378" s="46"/>
      <c r="G378" s="46"/>
      <c r="H378" s="57"/>
    </row>
    <row r="379" spans="1:8" x14ac:dyDescent="0.3">
      <c r="A379" s="46"/>
      <c r="B379" s="46"/>
      <c r="C379" s="46"/>
      <c r="D379" s="46"/>
      <c r="E379" s="46"/>
      <c r="F379" s="46"/>
      <c r="G379" s="46"/>
      <c r="H379" s="57"/>
    </row>
    <row r="380" spans="1:8" x14ac:dyDescent="0.3">
      <c r="A380" s="46"/>
      <c r="B380" s="46"/>
      <c r="C380" s="46"/>
      <c r="D380" s="46"/>
      <c r="E380" s="46"/>
      <c r="F380" s="46"/>
      <c r="G380" s="46"/>
      <c r="H380" s="57"/>
    </row>
    <row r="381" spans="1:8" x14ac:dyDescent="0.3">
      <c r="A381" s="46"/>
      <c r="B381" s="46"/>
      <c r="C381" s="46"/>
      <c r="D381" s="46"/>
      <c r="E381" s="46"/>
      <c r="F381" s="46"/>
      <c r="G381" s="46"/>
      <c r="H381" s="57"/>
    </row>
    <row r="382" spans="1:8" x14ac:dyDescent="0.3">
      <c r="A382" s="46"/>
      <c r="B382" s="46"/>
      <c r="C382" s="46"/>
      <c r="D382" s="46"/>
      <c r="E382" s="46"/>
      <c r="F382" s="46"/>
      <c r="G382" s="46"/>
      <c r="H382" s="57"/>
    </row>
    <row r="383" spans="1:8" x14ac:dyDescent="0.3">
      <c r="A383" s="46"/>
      <c r="B383" s="46"/>
      <c r="C383" s="46"/>
      <c r="D383" s="46"/>
      <c r="E383" s="46"/>
      <c r="F383" s="46"/>
      <c r="G383" s="46"/>
      <c r="H383" s="57"/>
    </row>
    <row r="384" spans="1:8" x14ac:dyDescent="0.3">
      <c r="A384" s="46"/>
      <c r="B384" s="46"/>
      <c r="C384" s="46"/>
      <c r="D384" s="46"/>
      <c r="E384" s="46"/>
      <c r="F384" s="46"/>
      <c r="G384" s="46"/>
      <c r="H384" s="57"/>
    </row>
    <row r="385" spans="1:8" x14ac:dyDescent="0.3">
      <c r="A385" s="46"/>
      <c r="B385" s="46"/>
      <c r="C385" s="46"/>
      <c r="D385" s="46"/>
      <c r="E385" s="46"/>
      <c r="F385" s="46"/>
      <c r="G385" s="46"/>
      <c r="H385" s="57"/>
    </row>
    <row r="386" spans="1:8" x14ac:dyDescent="0.3">
      <c r="A386" s="46"/>
      <c r="B386" s="46"/>
      <c r="C386" s="46"/>
      <c r="D386" s="46"/>
      <c r="E386" s="46"/>
      <c r="F386" s="46"/>
      <c r="G386" s="46"/>
      <c r="H386" s="57"/>
    </row>
    <row r="387" spans="1:8" x14ac:dyDescent="0.3">
      <c r="A387" s="46"/>
      <c r="B387" s="46"/>
      <c r="C387" s="46"/>
      <c r="D387" s="46"/>
      <c r="E387" s="46"/>
      <c r="F387" s="46"/>
      <c r="G387" s="46"/>
      <c r="H387" s="57"/>
    </row>
    <row r="388" spans="1:8" x14ac:dyDescent="0.3">
      <c r="A388" s="46"/>
      <c r="B388" s="46"/>
      <c r="C388" s="46"/>
      <c r="D388" s="46"/>
      <c r="E388" s="46"/>
      <c r="F388" s="46"/>
      <c r="G388" s="46"/>
      <c r="H388" s="57"/>
    </row>
    <row r="389" spans="1:8" x14ac:dyDescent="0.3">
      <c r="A389" s="46"/>
      <c r="B389" s="46"/>
      <c r="C389" s="46"/>
      <c r="D389" s="46"/>
      <c r="E389" s="46"/>
      <c r="F389" s="46"/>
      <c r="G389" s="46"/>
      <c r="H389" s="57"/>
    </row>
    <row r="390" spans="1:8" x14ac:dyDescent="0.3">
      <c r="A390" s="46"/>
      <c r="B390" s="46"/>
      <c r="C390" s="46"/>
      <c r="D390" s="46"/>
      <c r="E390" s="46"/>
      <c r="F390" s="46"/>
      <c r="G390" s="46"/>
      <c r="H390" s="57"/>
    </row>
    <row r="391" spans="1:8" x14ac:dyDescent="0.3">
      <c r="A391" s="46"/>
      <c r="B391" s="46"/>
      <c r="C391" s="46"/>
      <c r="D391" s="46"/>
      <c r="E391" s="46"/>
      <c r="F391" s="46"/>
      <c r="G391" s="46"/>
      <c r="H391" s="57"/>
    </row>
    <row r="392" spans="1:8" x14ac:dyDescent="0.3">
      <c r="A392" s="46"/>
      <c r="B392" s="46"/>
      <c r="C392" s="46"/>
      <c r="D392" s="46"/>
      <c r="E392" s="46"/>
      <c r="F392" s="46"/>
      <c r="G392" s="46"/>
      <c r="H392" s="57"/>
    </row>
    <row r="393" spans="1:8" x14ac:dyDescent="0.3">
      <c r="A393" s="46"/>
      <c r="B393" s="46"/>
      <c r="C393" s="46"/>
      <c r="D393" s="46"/>
      <c r="E393" s="46"/>
      <c r="F393" s="46"/>
      <c r="G393" s="46"/>
      <c r="H393" s="57"/>
    </row>
    <row r="394" spans="1:8" x14ac:dyDescent="0.3">
      <c r="A394" s="46"/>
      <c r="B394" s="46"/>
      <c r="C394" s="46"/>
      <c r="D394" s="46"/>
      <c r="E394" s="46"/>
      <c r="F394" s="46"/>
      <c r="G394" s="46"/>
      <c r="H394" s="57"/>
    </row>
    <row r="395" spans="1:8" x14ac:dyDescent="0.3">
      <c r="A395" s="46"/>
      <c r="B395" s="46"/>
      <c r="C395" s="46"/>
      <c r="D395" s="46"/>
      <c r="E395" s="46"/>
      <c r="F395" s="46"/>
      <c r="G395" s="46"/>
      <c r="H395" s="57"/>
    </row>
    <row r="396" spans="1:8" x14ac:dyDescent="0.3">
      <c r="A396" s="46"/>
      <c r="B396" s="46"/>
      <c r="C396" s="46"/>
      <c r="D396" s="46"/>
      <c r="E396" s="46"/>
      <c r="F396" s="46"/>
      <c r="G396" s="46"/>
      <c r="H396" s="57"/>
    </row>
    <row r="397" spans="1:8" x14ac:dyDescent="0.3">
      <c r="A397" s="46"/>
      <c r="B397" s="46"/>
      <c r="C397" s="46"/>
      <c r="D397" s="46"/>
      <c r="E397" s="46"/>
      <c r="F397" s="46"/>
      <c r="G397" s="46"/>
      <c r="H397" s="57"/>
    </row>
    <row r="398" spans="1:8" x14ac:dyDescent="0.3">
      <c r="A398" s="46"/>
      <c r="B398" s="46"/>
      <c r="C398" s="46"/>
      <c r="D398" s="46"/>
      <c r="E398" s="46"/>
      <c r="F398" s="46"/>
      <c r="G398" s="46"/>
      <c r="H398" s="57"/>
    </row>
    <row r="399" spans="1:8" x14ac:dyDescent="0.3">
      <c r="A399" s="46"/>
      <c r="B399" s="46"/>
      <c r="C399" s="46"/>
      <c r="D399" s="46"/>
      <c r="E399" s="46"/>
      <c r="F399" s="46"/>
      <c r="G399" s="46"/>
      <c r="H399" s="57"/>
    </row>
    <row r="400" spans="1:8" x14ac:dyDescent="0.3">
      <c r="A400" s="46"/>
      <c r="B400" s="46"/>
      <c r="C400" s="46"/>
      <c r="D400" s="46"/>
      <c r="E400" s="46"/>
      <c r="F400" s="46"/>
      <c r="G400" s="46"/>
      <c r="H400" s="57"/>
    </row>
    <row r="401" spans="1:8" x14ac:dyDescent="0.3">
      <c r="A401" s="46"/>
      <c r="B401" s="46"/>
      <c r="C401" s="46"/>
      <c r="D401" s="46"/>
      <c r="E401" s="46"/>
      <c r="F401" s="46"/>
      <c r="G401" s="46"/>
      <c r="H401" s="57"/>
    </row>
    <row r="402" spans="1:8" x14ac:dyDescent="0.3">
      <c r="A402" s="46"/>
      <c r="B402" s="46"/>
      <c r="C402" s="46"/>
      <c r="D402" s="46"/>
      <c r="E402" s="46"/>
      <c r="F402" s="46"/>
      <c r="G402" s="46"/>
      <c r="H402" s="57"/>
    </row>
    <row r="403" spans="1:8" x14ac:dyDescent="0.3">
      <c r="A403" s="46"/>
      <c r="B403" s="46"/>
      <c r="C403" s="46"/>
      <c r="D403" s="46"/>
      <c r="E403" s="46"/>
      <c r="F403" s="46"/>
      <c r="G403" s="46"/>
      <c r="H403" s="57"/>
    </row>
    <row r="404" spans="1:8" x14ac:dyDescent="0.3">
      <c r="A404" s="46"/>
      <c r="B404" s="46"/>
      <c r="C404" s="46"/>
      <c r="D404" s="46"/>
      <c r="E404" s="46"/>
      <c r="F404" s="46"/>
      <c r="G404" s="46"/>
      <c r="H404" s="57"/>
    </row>
    <row r="405" spans="1:8" x14ac:dyDescent="0.3">
      <c r="A405" s="46"/>
      <c r="B405" s="46"/>
      <c r="C405" s="46"/>
      <c r="D405" s="46"/>
      <c r="E405" s="46"/>
      <c r="F405" s="46"/>
      <c r="G405" s="46"/>
      <c r="H405" s="57"/>
    </row>
    <row r="406" spans="1:8" x14ac:dyDescent="0.3">
      <c r="A406" s="46"/>
      <c r="B406" s="46"/>
      <c r="C406" s="46"/>
      <c r="D406" s="46"/>
      <c r="E406" s="46"/>
      <c r="F406" s="46"/>
      <c r="G406" s="46"/>
      <c r="H406" s="57"/>
    </row>
    <row r="407" spans="1:8" x14ac:dyDescent="0.3">
      <c r="A407" s="46"/>
      <c r="B407" s="46"/>
      <c r="C407" s="46"/>
      <c r="D407" s="46"/>
      <c r="E407" s="46"/>
      <c r="F407" s="46"/>
      <c r="G407" s="46"/>
      <c r="H407" s="57"/>
    </row>
    <row r="408" spans="1:8" x14ac:dyDescent="0.3">
      <c r="A408" s="46"/>
      <c r="B408" s="46"/>
      <c r="C408" s="46"/>
      <c r="D408" s="46"/>
      <c r="E408" s="46"/>
      <c r="F408" s="46"/>
      <c r="G408" s="46"/>
      <c r="H408" s="57"/>
    </row>
    <row r="409" spans="1:8" x14ac:dyDescent="0.3">
      <c r="A409" s="46"/>
      <c r="B409" s="46"/>
      <c r="C409" s="46"/>
      <c r="D409" s="46"/>
      <c r="E409" s="46"/>
      <c r="F409" s="46"/>
      <c r="G409" s="46"/>
      <c r="H409" s="57"/>
    </row>
    <row r="410" spans="1:8" x14ac:dyDescent="0.3">
      <c r="A410" s="46"/>
      <c r="B410" s="46"/>
      <c r="C410" s="46"/>
      <c r="D410" s="46"/>
      <c r="E410" s="46"/>
      <c r="F410" s="46"/>
      <c r="G410" s="46"/>
      <c r="H410" s="57"/>
    </row>
    <row r="411" spans="1:8" x14ac:dyDescent="0.3">
      <c r="A411" s="46"/>
      <c r="B411" s="46"/>
      <c r="C411" s="46"/>
      <c r="D411" s="46"/>
      <c r="E411" s="46"/>
      <c r="F411" s="46"/>
      <c r="G411" s="46"/>
      <c r="H411" s="57"/>
    </row>
    <row r="412" spans="1:8" x14ac:dyDescent="0.3">
      <c r="A412" s="46"/>
      <c r="B412" s="46"/>
      <c r="C412" s="46"/>
      <c r="D412" s="46"/>
      <c r="E412" s="46"/>
      <c r="F412" s="46"/>
      <c r="G412" s="46"/>
      <c r="H412" s="57"/>
    </row>
    <row r="413" spans="1:8" x14ac:dyDescent="0.3">
      <c r="A413" s="46"/>
      <c r="B413" s="46"/>
      <c r="C413" s="46"/>
      <c r="D413" s="46"/>
      <c r="E413" s="46"/>
      <c r="F413" s="46"/>
      <c r="G413" s="46"/>
      <c r="H413" s="57"/>
    </row>
    <row r="414" spans="1:8" x14ac:dyDescent="0.3">
      <c r="A414" s="46"/>
      <c r="B414" s="46"/>
      <c r="C414" s="46"/>
      <c r="D414" s="46"/>
      <c r="E414" s="46"/>
      <c r="F414" s="46"/>
      <c r="G414" s="46"/>
      <c r="H414" s="57"/>
    </row>
    <row r="415" spans="1:8" x14ac:dyDescent="0.3">
      <c r="A415" s="46"/>
      <c r="B415" s="46"/>
      <c r="C415" s="46"/>
      <c r="D415" s="46"/>
      <c r="E415" s="46"/>
      <c r="F415" s="46"/>
      <c r="G415" s="46"/>
      <c r="H415" s="57"/>
    </row>
    <row r="416" spans="1:8" x14ac:dyDescent="0.3">
      <c r="A416" s="46"/>
      <c r="B416" s="46"/>
      <c r="C416" s="46"/>
      <c r="D416" s="46"/>
      <c r="E416" s="46"/>
      <c r="F416" s="46"/>
      <c r="G416" s="46"/>
      <c r="H416" s="57"/>
    </row>
    <row r="417" spans="1:8" x14ac:dyDescent="0.3">
      <c r="A417" s="46"/>
      <c r="B417" s="46"/>
      <c r="C417" s="46"/>
      <c r="D417" s="46"/>
      <c r="E417" s="46"/>
      <c r="F417" s="46"/>
      <c r="G417" s="46"/>
      <c r="H417" s="57"/>
    </row>
    <row r="418" spans="1:8" x14ac:dyDescent="0.3">
      <c r="A418" s="46"/>
      <c r="B418" s="46"/>
      <c r="C418" s="46"/>
      <c r="D418" s="46"/>
      <c r="E418" s="46"/>
      <c r="F418" s="46"/>
      <c r="G418" s="46"/>
      <c r="H418" s="57"/>
    </row>
    <row r="419" spans="1:8" x14ac:dyDescent="0.3">
      <c r="A419" s="46"/>
      <c r="B419" s="46"/>
      <c r="C419" s="46"/>
      <c r="D419" s="46"/>
      <c r="E419" s="46"/>
      <c r="F419" s="46"/>
      <c r="G419" s="46"/>
      <c r="H419" s="57"/>
    </row>
    <row r="420" spans="1:8" x14ac:dyDescent="0.3">
      <c r="A420" s="46"/>
      <c r="B420" s="46"/>
      <c r="C420" s="46"/>
      <c r="D420" s="46"/>
      <c r="E420" s="46"/>
      <c r="F420" s="46"/>
      <c r="G420" s="46"/>
      <c r="H420" s="57"/>
    </row>
    <row r="421" spans="1:8" x14ac:dyDescent="0.3">
      <c r="A421" s="46"/>
      <c r="B421" s="46"/>
      <c r="C421" s="46"/>
      <c r="D421" s="46"/>
      <c r="E421" s="46"/>
      <c r="F421" s="46"/>
      <c r="G421" s="46"/>
      <c r="H421" s="57"/>
    </row>
    <row r="422" spans="1:8" x14ac:dyDescent="0.3">
      <c r="A422" s="46"/>
      <c r="B422" s="46"/>
      <c r="C422" s="46"/>
      <c r="D422" s="46"/>
      <c r="E422" s="46"/>
      <c r="F422" s="46"/>
      <c r="G422" s="46"/>
      <c r="H422" s="57"/>
    </row>
    <row r="423" spans="1:8" x14ac:dyDescent="0.3">
      <c r="A423" s="46"/>
      <c r="B423" s="46"/>
      <c r="C423" s="46"/>
      <c r="D423" s="46"/>
      <c r="E423" s="46"/>
      <c r="F423" s="46"/>
      <c r="G423" s="46"/>
      <c r="H423" s="57"/>
    </row>
    <row r="424" spans="1:8" x14ac:dyDescent="0.3">
      <c r="A424" s="46"/>
      <c r="B424" s="46"/>
      <c r="C424" s="46"/>
      <c r="D424" s="46"/>
      <c r="E424" s="46"/>
      <c r="F424" s="46"/>
      <c r="G424" s="46"/>
      <c r="H424" s="57"/>
    </row>
    <row r="425" spans="1:8" x14ac:dyDescent="0.3">
      <c r="A425" s="46"/>
      <c r="B425" s="46"/>
      <c r="C425" s="46"/>
      <c r="D425" s="46"/>
      <c r="E425" s="46"/>
      <c r="F425" s="46"/>
      <c r="G425" s="46"/>
      <c r="H425" s="57"/>
    </row>
    <row r="426" spans="1:8" x14ac:dyDescent="0.3">
      <c r="A426" s="46"/>
      <c r="B426" s="46"/>
      <c r="C426" s="46"/>
      <c r="D426" s="46"/>
      <c r="E426" s="46"/>
      <c r="F426" s="46"/>
      <c r="G426" s="46"/>
      <c r="H426" s="57"/>
    </row>
    <row r="427" spans="1:8" x14ac:dyDescent="0.3">
      <c r="A427" s="46"/>
      <c r="B427" s="46"/>
      <c r="C427" s="46"/>
      <c r="D427" s="46"/>
      <c r="E427" s="46"/>
      <c r="F427" s="46"/>
      <c r="G427" s="46"/>
      <c r="H427" s="57"/>
    </row>
    <row r="428" spans="1:8" x14ac:dyDescent="0.3">
      <c r="A428" s="46"/>
      <c r="B428" s="46"/>
      <c r="C428" s="46"/>
      <c r="D428" s="46"/>
      <c r="E428" s="46"/>
      <c r="F428" s="46"/>
      <c r="G428" s="46"/>
      <c r="H428" s="57"/>
    </row>
    <row r="429" spans="1:8" x14ac:dyDescent="0.3">
      <c r="A429" s="46"/>
      <c r="B429" s="46"/>
      <c r="C429" s="46"/>
      <c r="D429" s="46"/>
      <c r="E429" s="46"/>
      <c r="F429" s="46"/>
      <c r="G429" s="46"/>
      <c r="H429" s="57"/>
    </row>
    <row r="430" spans="1:8" x14ac:dyDescent="0.3">
      <c r="A430" s="46"/>
      <c r="B430" s="46"/>
      <c r="C430" s="46"/>
      <c r="D430" s="46"/>
      <c r="E430" s="46"/>
      <c r="F430" s="46"/>
      <c r="G430" s="46"/>
      <c r="H430" s="57"/>
    </row>
    <row r="431" spans="1:8" x14ac:dyDescent="0.3">
      <c r="A431" s="46"/>
      <c r="B431" s="46"/>
      <c r="C431" s="46"/>
      <c r="D431" s="46"/>
      <c r="E431" s="46"/>
      <c r="F431" s="46"/>
      <c r="G431" s="46"/>
      <c r="H431" s="57"/>
    </row>
    <row r="432" spans="1:8" x14ac:dyDescent="0.3">
      <c r="A432" s="46"/>
      <c r="B432" s="46"/>
      <c r="C432" s="46"/>
      <c r="D432" s="46"/>
      <c r="E432" s="46"/>
      <c r="F432" s="46"/>
      <c r="G432" s="46"/>
      <c r="H432" s="57"/>
    </row>
    <row r="433" spans="1:8" x14ac:dyDescent="0.3">
      <c r="A433" s="46"/>
      <c r="B433" s="46"/>
      <c r="C433" s="46"/>
      <c r="D433" s="46"/>
      <c r="E433" s="46"/>
      <c r="F433" s="46"/>
      <c r="G433" s="46"/>
      <c r="H433" s="57"/>
    </row>
    <row r="434" spans="1:8" x14ac:dyDescent="0.3">
      <c r="A434" s="46"/>
      <c r="B434" s="46"/>
      <c r="C434" s="46"/>
      <c r="D434" s="46"/>
      <c r="E434" s="46"/>
      <c r="F434" s="46"/>
      <c r="G434" s="46"/>
      <c r="H434" s="57"/>
    </row>
    <row r="435" spans="1:8" x14ac:dyDescent="0.3">
      <c r="A435" s="46"/>
      <c r="B435" s="46"/>
      <c r="C435" s="46"/>
      <c r="D435" s="46"/>
      <c r="E435" s="46"/>
      <c r="F435" s="46"/>
      <c r="G435" s="46"/>
      <c r="H435" s="57"/>
    </row>
    <row r="436" spans="1:8" x14ac:dyDescent="0.3">
      <c r="A436" s="46"/>
      <c r="B436" s="46"/>
      <c r="C436" s="46"/>
      <c r="D436" s="46"/>
      <c r="E436" s="46"/>
      <c r="F436" s="46"/>
      <c r="G436" s="46"/>
      <c r="H436" s="57"/>
    </row>
    <row r="437" spans="1:8" x14ac:dyDescent="0.3">
      <c r="A437" s="46"/>
      <c r="B437" s="46"/>
      <c r="C437" s="46"/>
      <c r="D437" s="46"/>
      <c r="E437" s="46"/>
      <c r="F437" s="46"/>
      <c r="G437" s="46"/>
      <c r="H437" s="57"/>
    </row>
    <row r="438" spans="1:8" x14ac:dyDescent="0.3">
      <c r="A438" s="46"/>
      <c r="B438" s="46"/>
      <c r="C438" s="46"/>
      <c r="D438" s="46"/>
      <c r="E438" s="46"/>
      <c r="F438" s="46"/>
      <c r="G438" s="46"/>
      <c r="H438" s="57"/>
    </row>
    <row r="439" spans="1:8" x14ac:dyDescent="0.3">
      <c r="A439" s="46"/>
      <c r="B439" s="46"/>
      <c r="C439" s="46"/>
      <c r="D439" s="46"/>
      <c r="E439" s="46"/>
      <c r="F439" s="46"/>
      <c r="G439" s="46"/>
      <c r="H439" s="57"/>
    </row>
    <row r="440" spans="1:8" x14ac:dyDescent="0.3">
      <c r="A440" s="46"/>
      <c r="B440" s="46"/>
      <c r="C440" s="46"/>
      <c r="D440" s="46"/>
      <c r="E440" s="46"/>
      <c r="F440" s="46"/>
      <c r="G440" s="46"/>
      <c r="H440" s="57"/>
    </row>
    <row r="441" spans="1:8" x14ac:dyDescent="0.3">
      <c r="A441" s="46"/>
      <c r="B441" s="46"/>
      <c r="C441" s="46"/>
      <c r="D441" s="46"/>
      <c r="E441" s="46"/>
      <c r="F441" s="46"/>
      <c r="G441" s="46"/>
      <c r="H441" s="57"/>
    </row>
    <row r="442" spans="1:8" x14ac:dyDescent="0.3">
      <c r="A442" s="46"/>
      <c r="B442" s="46"/>
      <c r="C442" s="46"/>
      <c r="D442" s="46"/>
      <c r="E442" s="46"/>
      <c r="F442" s="46"/>
      <c r="G442" s="46"/>
      <c r="H442" s="57"/>
    </row>
    <row r="443" spans="1:8" x14ac:dyDescent="0.3">
      <c r="A443" s="46"/>
      <c r="B443" s="46"/>
      <c r="C443" s="46"/>
      <c r="D443" s="46"/>
      <c r="E443" s="46"/>
      <c r="F443" s="46"/>
      <c r="G443" s="46"/>
      <c r="H443" s="57"/>
    </row>
    <row r="444" spans="1:8" x14ac:dyDescent="0.3">
      <c r="A444" s="46"/>
      <c r="B444" s="46"/>
      <c r="C444" s="46"/>
      <c r="D444" s="46"/>
      <c r="E444" s="46"/>
      <c r="F444" s="46"/>
      <c r="G444" s="46"/>
      <c r="H444" s="57"/>
    </row>
    <row r="445" spans="1:8" x14ac:dyDescent="0.3">
      <c r="A445" s="46"/>
      <c r="B445" s="46"/>
      <c r="C445" s="46"/>
      <c r="D445" s="46"/>
      <c r="E445" s="46"/>
      <c r="F445" s="46"/>
      <c r="G445" s="46"/>
      <c r="H445" s="57"/>
    </row>
    <row r="446" spans="1:8" x14ac:dyDescent="0.3">
      <c r="A446" s="46"/>
      <c r="B446" s="46"/>
      <c r="C446" s="46"/>
      <c r="D446" s="46"/>
      <c r="E446" s="46"/>
      <c r="F446" s="46"/>
      <c r="G446" s="46"/>
      <c r="H446" s="57"/>
    </row>
    <row r="447" spans="1:8" x14ac:dyDescent="0.3">
      <c r="A447" s="46"/>
      <c r="B447" s="46"/>
      <c r="C447" s="46"/>
      <c r="D447" s="46"/>
      <c r="E447" s="46"/>
      <c r="F447" s="46"/>
      <c r="G447" s="46"/>
      <c r="H447" s="57"/>
    </row>
    <row r="448" spans="1:8" x14ac:dyDescent="0.3">
      <c r="A448" s="46"/>
      <c r="B448" s="46"/>
      <c r="C448" s="46"/>
      <c r="D448" s="46"/>
      <c r="E448" s="46"/>
      <c r="F448" s="46"/>
      <c r="G448" s="46"/>
      <c r="H448" s="57"/>
    </row>
    <row r="449" spans="1:8" x14ac:dyDescent="0.3">
      <c r="A449" s="46"/>
      <c r="B449" s="46"/>
      <c r="C449" s="46"/>
      <c r="D449" s="46"/>
      <c r="E449" s="46"/>
      <c r="F449" s="46"/>
      <c r="G449" s="46"/>
      <c r="H449" s="57"/>
    </row>
    <row r="450" spans="1:8" x14ac:dyDescent="0.3">
      <c r="A450" s="46"/>
      <c r="B450" s="46"/>
      <c r="C450" s="46"/>
      <c r="D450" s="46"/>
      <c r="E450" s="46"/>
      <c r="F450" s="46"/>
      <c r="G450" s="46"/>
      <c r="H450" s="57"/>
    </row>
    <row r="451" spans="1:8" x14ac:dyDescent="0.3">
      <c r="A451" s="46"/>
      <c r="B451" s="46"/>
      <c r="C451" s="46"/>
      <c r="D451" s="46"/>
      <c r="E451" s="46"/>
      <c r="F451" s="46"/>
      <c r="G451" s="46"/>
      <c r="H451" s="57"/>
    </row>
    <row r="452" spans="1:8" x14ac:dyDescent="0.3">
      <c r="A452" s="46"/>
      <c r="B452" s="46"/>
      <c r="C452" s="46"/>
      <c r="D452" s="46"/>
      <c r="E452" s="46"/>
      <c r="F452" s="46"/>
      <c r="G452" s="46"/>
      <c r="H452" s="57"/>
    </row>
    <row r="453" spans="1:8" x14ac:dyDescent="0.3">
      <c r="A453" s="46"/>
      <c r="B453" s="46"/>
      <c r="C453" s="46"/>
      <c r="D453" s="46"/>
      <c r="E453" s="46"/>
      <c r="F453" s="46"/>
      <c r="G453" s="46"/>
      <c r="H453" s="57"/>
    </row>
    <row r="454" spans="1:8" x14ac:dyDescent="0.3">
      <c r="A454" s="46"/>
      <c r="B454" s="46"/>
      <c r="C454" s="46"/>
      <c r="D454" s="46"/>
      <c r="E454" s="46"/>
      <c r="F454" s="46"/>
      <c r="G454" s="46"/>
      <c r="H454" s="57"/>
    </row>
    <row r="455" spans="1:8" x14ac:dyDescent="0.3">
      <c r="A455" s="46"/>
      <c r="B455" s="46"/>
      <c r="C455" s="46"/>
      <c r="D455" s="46"/>
      <c r="E455" s="46"/>
      <c r="F455" s="46"/>
      <c r="G455" s="46"/>
      <c r="H455" s="57"/>
    </row>
    <row r="456" spans="1:8" x14ac:dyDescent="0.3">
      <c r="A456" s="46"/>
      <c r="B456" s="46"/>
      <c r="C456" s="46"/>
      <c r="D456" s="46"/>
      <c r="E456" s="46"/>
      <c r="F456" s="46"/>
      <c r="G456" s="46"/>
      <c r="H456" s="57"/>
    </row>
    <row r="457" spans="1:8" x14ac:dyDescent="0.3">
      <c r="A457" s="46"/>
      <c r="B457" s="46"/>
      <c r="C457" s="46"/>
      <c r="D457" s="46"/>
      <c r="E457" s="46"/>
      <c r="F457" s="46"/>
      <c r="G457" s="46"/>
      <c r="H457" s="57"/>
    </row>
    <row r="458" spans="1:8" x14ac:dyDescent="0.3">
      <c r="A458" s="46"/>
      <c r="B458" s="46"/>
      <c r="C458" s="46"/>
      <c r="D458" s="46"/>
      <c r="E458" s="46"/>
      <c r="F458" s="46"/>
      <c r="G458" s="46"/>
      <c r="H458" s="57"/>
    </row>
    <row r="459" spans="1:8" x14ac:dyDescent="0.3">
      <c r="A459" s="46"/>
      <c r="B459" s="46"/>
      <c r="C459" s="46"/>
      <c r="D459" s="46"/>
      <c r="E459" s="46"/>
      <c r="F459" s="46"/>
      <c r="G459" s="46"/>
      <c r="H459" s="57"/>
    </row>
    <row r="460" spans="1:8" x14ac:dyDescent="0.3">
      <c r="A460" s="46"/>
      <c r="B460" s="46"/>
      <c r="C460" s="46"/>
      <c r="D460" s="46"/>
      <c r="E460" s="46"/>
      <c r="F460" s="46"/>
      <c r="G460" s="46"/>
      <c r="H460" s="57"/>
    </row>
    <row r="461" spans="1:8" x14ac:dyDescent="0.3">
      <c r="A461" s="46"/>
      <c r="B461" s="46"/>
      <c r="C461" s="46"/>
      <c r="D461" s="46"/>
      <c r="E461" s="46"/>
      <c r="F461" s="46"/>
      <c r="G461" s="46"/>
      <c r="H461" s="57"/>
    </row>
    <row r="462" spans="1:8" x14ac:dyDescent="0.3">
      <c r="A462" s="46"/>
      <c r="B462" s="46"/>
      <c r="C462" s="46"/>
      <c r="D462" s="46"/>
      <c r="E462" s="46"/>
      <c r="F462" s="46"/>
      <c r="G462" s="46"/>
      <c r="H462" s="57"/>
    </row>
    <row r="463" spans="1:8" x14ac:dyDescent="0.3">
      <c r="A463" s="46"/>
      <c r="B463" s="46"/>
      <c r="C463" s="46"/>
      <c r="D463" s="46"/>
      <c r="E463" s="46"/>
      <c r="F463" s="46"/>
      <c r="G463" s="46"/>
      <c r="H463" s="57"/>
    </row>
    <row r="464" spans="1:8" x14ac:dyDescent="0.3">
      <c r="A464" s="46"/>
      <c r="B464" s="46"/>
      <c r="C464" s="46"/>
      <c r="D464" s="46"/>
      <c r="E464" s="46"/>
      <c r="F464" s="46"/>
      <c r="G464" s="46"/>
      <c r="H464" s="57"/>
    </row>
    <row r="465" spans="1:8" x14ac:dyDescent="0.3">
      <c r="A465" s="46"/>
      <c r="B465" s="46"/>
      <c r="C465" s="46"/>
      <c r="D465" s="46"/>
      <c r="E465" s="46"/>
      <c r="F465" s="46"/>
      <c r="G465" s="46"/>
      <c r="H465" s="57"/>
    </row>
    <row r="466" spans="1:8" x14ac:dyDescent="0.3">
      <c r="A466" s="46"/>
      <c r="B466" s="46"/>
      <c r="C466" s="46"/>
      <c r="D466" s="46"/>
      <c r="E466" s="46"/>
      <c r="F466" s="46"/>
      <c r="G466" s="46"/>
      <c r="H466" s="57"/>
    </row>
    <row r="467" spans="1:8" x14ac:dyDescent="0.3">
      <c r="A467" s="46"/>
      <c r="B467" s="46"/>
      <c r="C467" s="46"/>
      <c r="D467" s="46"/>
      <c r="E467" s="46"/>
      <c r="F467" s="46"/>
      <c r="G467" s="46"/>
      <c r="H467" s="57"/>
    </row>
    <row r="468" spans="1:8" x14ac:dyDescent="0.3">
      <c r="A468" s="46"/>
      <c r="B468" s="46"/>
      <c r="C468" s="46"/>
      <c r="D468" s="46"/>
      <c r="E468" s="46"/>
      <c r="F468" s="46"/>
      <c r="G468" s="46"/>
      <c r="H468" s="57"/>
    </row>
    <row r="469" spans="1:8" x14ac:dyDescent="0.3">
      <c r="A469" s="46"/>
      <c r="B469" s="46"/>
      <c r="C469" s="46"/>
      <c r="D469" s="46"/>
      <c r="E469" s="46"/>
      <c r="F469" s="46"/>
      <c r="G469" s="46"/>
      <c r="H469" s="57"/>
    </row>
    <row r="470" spans="1:8" x14ac:dyDescent="0.3">
      <c r="A470" s="46"/>
      <c r="B470" s="46"/>
      <c r="C470" s="46"/>
      <c r="D470" s="46"/>
      <c r="E470" s="46"/>
      <c r="F470" s="46"/>
      <c r="G470" s="46"/>
      <c r="H470" s="57"/>
    </row>
    <row r="471" spans="1:8" x14ac:dyDescent="0.3">
      <c r="A471" s="46"/>
      <c r="B471" s="46"/>
      <c r="C471" s="46"/>
      <c r="D471" s="46"/>
      <c r="E471" s="46"/>
      <c r="F471" s="46"/>
      <c r="G471" s="46"/>
      <c r="H471" s="57"/>
    </row>
    <row r="472" spans="1:8" x14ac:dyDescent="0.3">
      <c r="A472" s="46"/>
      <c r="B472" s="46"/>
      <c r="C472" s="46"/>
      <c r="D472" s="46"/>
      <c r="E472" s="46"/>
      <c r="F472" s="46"/>
      <c r="G472" s="46"/>
      <c r="H472" s="57"/>
    </row>
    <row r="473" spans="1:8" x14ac:dyDescent="0.3">
      <c r="A473" s="46"/>
      <c r="B473" s="46"/>
      <c r="C473" s="46"/>
      <c r="D473" s="46"/>
      <c r="E473" s="46"/>
      <c r="F473" s="46"/>
      <c r="G473" s="46"/>
      <c r="H473" s="57"/>
    </row>
    <row r="474" spans="1:8" x14ac:dyDescent="0.3">
      <c r="A474" s="46"/>
      <c r="B474" s="46"/>
      <c r="C474" s="46"/>
      <c r="D474" s="46"/>
      <c r="E474" s="46"/>
      <c r="F474" s="46"/>
      <c r="G474" s="46"/>
      <c r="H474" s="57"/>
    </row>
    <row r="475" spans="1:8" x14ac:dyDescent="0.3">
      <c r="A475" s="46"/>
      <c r="B475" s="46"/>
      <c r="C475" s="46"/>
      <c r="D475" s="46"/>
      <c r="E475" s="46"/>
      <c r="F475" s="46"/>
      <c r="G475" s="46"/>
      <c r="H475" s="57"/>
    </row>
    <row r="476" spans="1:8" x14ac:dyDescent="0.3">
      <c r="A476" s="46"/>
      <c r="B476" s="46"/>
      <c r="C476" s="46"/>
      <c r="D476" s="46"/>
      <c r="E476" s="46"/>
      <c r="F476" s="46"/>
      <c r="G476" s="46"/>
      <c r="H476" s="57"/>
    </row>
    <row r="477" spans="1:8" x14ac:dyDescent="0.3">
      <c r="A477" s="46"/>
      <c r="B477" s="46"/>
      <c r="C477" s="46"/>
      <c r="D477" s="46"/>
      <c r="E477" s="46"/>
      <c r="F477" s="46"/>
      <c r="G477" s="46"/>
      <c r="H477" s="57"/>
    </row>
    <row r="478" spans="1:8" x14ac:dyDescent="0.3">
      <c r="A478" s="46"/>
      <c r="B478" s="46"/>
      <c r="C478" s="46"/>
      <c r="D478" s="46"/>
      <c r="E478" s="46"/>
      <c r="F478" s="46"/>
      <c r="G478" s="46"/>
      <c r="H478" s="57"/>
    </row>
    <row r="479" spans="1:8" x14ac:dyDescent="0.3">
      <c r="A479" s="46"/>
      <c r="B479" s="46"/>
      <c r="C479" s="46"/>
      <c r="D479" s="46"/>
      <c r="E479" s="46"/>
      <c r="F479" s="46"/>
      <c r="G479" s="46"/>
      <c r="H479" s="57"/>
    </row>
    <row r="480" spans="1:8" x14ac:dyDescent="0.3">
      <c r="A480" s="46"/>
      <c r="B480" s="46"/>
      <c r="C480" s="46"/>
      <c r="D480" s="46"/>
      <c r="E480" s="46"/>
      <c r="F480" s="46"/>
      <c r="G480" s="46"/>
      <c r="H480" s="57"/>
    </row>
    <row r="481" spans="1:8" x14ac:dyDescent="0.3">
      <c r="A481" s="46"/>
      <c r="B481" s="46"/>
      <c r="C481" s="46"/>
      <c r="D481" s="46"/>
      <c r="E481" s="46"/>
      <c r="F481" s="46"/>
      <c r="G481" s="46"/>
      <c r="H481" s="57"/>
    </row>
    <row r="482" spans="1:8" x14ac:dyDescent="0.3">
      <c r="A482" s="46"/>
      <c r="B482" s="46"/>
      <c r="C482" s="46"/>
      <c r="D482" s="46"/>
      <c r="E482" s="46"/>
      <c r="F482" s="46"/>
      <c r="G482" s="46"/>
      <c r="H482" s="57"/>
    </row>
    <row r="483" spans="1:8" x14ac:dyDescent="0.3">
      <c r="A483" s="46"/>
      <c r="B483" s="46"/>
      <c r="C483" s="46"/>
      <c r="D483" s="46"/>
      <c r="E483" s="46"/>
      <c r="F483" s="46"/>
      <c r="G483" s="46"/>
      <c r="H483" s="57"/>
    </row>
    <row r="484" spans="1:8" x14ac:dyDescent="0.3">
      <c r="A484" s="46"/>
      <c r="B484" s="46"/>
      <c r="C484" s="46"/>
      <c r="D484" s="46"/>
      <c r="E484" s="46"/>
      <c r="F484" s="46"/>
      <c r="G484" s="46"/>
      <c r="H484" s="57"/>
    </row>
    <row r="485" spans="1:8" x14ac:dyDescent="0.3">
      <c r="A485" s="46"/>
      <c r="B485" s="46"/>
      <c r="C485" s="46"/>
      <c r="D485" s="46"/>
      <c r="E485" s="46"/>
      <c r="F485" s="46"/>
      <c r="G485" s="46"/>
      <c r="H485" s="57"/>
    </row>
    <row r="486" spans="1:8" x14ac:dyDescent="0.3">
      <c r="A486" s="46"/>
      <c r="B486" s="46"/>
      <c r="C486" s="46"/>
      <c r="D486" s="46"/>
      <c r="E486" s="46"/>
      <c r="F486" s="46"/>
      <c r="G486" s="46"/>
      <c r="H486" s="57"/>
    </row>
    <row r="487" spans="1:8" x14ac:dyDescent="0.3">
      <c r="A487" s="46"/>
      <c r="B487" s="46"/>
      <c r="C487" s="46"/>
      <c r="D487" s="46"/>
      <c r="E487" s="46"/>
      <c r="F487" s="46"/>
      <c r="G487" s="46"/>
      <c r="H487" s="57"/>
    </row>
    <row r="488" spans="1:8" x14ac:dyDescent="0.3">
      <c r="A488" s="46"/>
      <c r="B488" s="46"/>
      <c r="C488" s="46"/>
      <c r="D488" s="46"/>
      <c r="E488" s="46"/>
      <c r="F488" s="46"/>
      <c r="G488" s="46"/>
      <c r="H488" s="57"/>
    </row>
    <row r="489" spans="1:8" x14ac:dyDescent="0.3">
      <c r="A489" s="46"/>
      <c r="B489" s="46"/>
      <c r="C489" s="46"/>
      <c r="D489" s="46"/>
      <c r="E489" s="46"/>
      <c r="F489" s="46"/>
      <c r="G489" s="46"/>
      <c r="H489" s="57"/>
    </row>
    <row r="490" spans="1:8" x14ac:dyDescent="0.3">
      <c r="A490" s="46"/>
      <c r="B490" s="46"/>
      <c r="C490" s="46"/>
      <c r="D490" s="46"/>
      <c r="E490" s="46"/>
      <c r="F490" s="46"/>
      <c r="G490" s="46"/>
      <c r="H490" s="57"/>
    </row>
    <row r="491" spans="1:8" x14ac:dyDescent="0.3">
      <c r="A491" s="46"/>
      <c r="B491" s="46"/>
      <c r="C491" s="46"/>
      <c r="D491" s="46"/>
      <c r="E491" s="46"/>
      <c r="F491" s="46"/>
      <c r="G491" s="46"/>
      <c r="H491" s="57"/>
    </row>
    <row r="492" spans="1:8" x14ac:dyDescent="0.3">
      <c r="A492" s="46"/>
      <c r="B492" s="46"/>
      <c r="C492" s="46"/>
      <c r="D492" s="46"/>
      <c r="E492" s="46"/>
      <c r="F492" s="46"/>
      <c r="G492" s="46"/>
      <c r="H492" s="57"/>
    </row>
    <row r="493" spans="1:8" x14ac:dyDescent="0.3">
      <c r="A493" s="46"/>
      <c r="B493" s="46"/>
      <c r="C493" s="46"/>
      <c r="D493" s="46"/>
      <c r="E493" s="46"/>
      <c r="F493" s="46"/>
      <c r="G493" s="46"/>
      <c r="H493" s="57"/>
    </row>
    <row r="494" spans="1:8" x14ac:dyDescent="0.3">
      <c r="A494" s="46"/>
      <c r="B494" s="46"/>
      <c r="C494" s="46"/>
      <c r="D494" s="46"/>
      <c r="E494" s="46"/>
      <c r="F494" s="46"/>
      <c r="G494" s="46"/>
      <c r="H494" s="57"/>
    </row>
    <row r="495" spans="1:8" x14ac:dyDescent="0.3">
      <c r="A495" s="46"/>
      <c r="B495" s="46"/>
      <c r="C495" s="46"/>
      <c r="D495" s="46"/>
      <c r="E495" s="46"/>
      <c r="F495" s="46"/>
      <c r="G495" s="46"/>
      <c r="H495" s="57"/>
    </row>
    <row r="496" spans="1:8" x14ac:dyDescent="0.3">
      <c r="A496" s="46"/>
      <c r="B496" s="46"/>
      <c r="C496" s="46"/>
      <c r="D496" s="46"/>
      <c r="E496" s="46"/>
      <c r="F496" s="46"/>
      <c r="G496" s="46"/>
      <c r="H496" s="57"/>
    </row>
    <row r="497" spans="1:8" x14ac:dyDescent="0.3">
      <c r="A497" s="46"/>
      <c r="B497" s="46"/>
      <c r="C497" s="46"/>
      <c r="D497" s="46"/>
      <c r="E497" s="46"/>
      <c r="F497" s="46"/>
      <c r="G497" s="46"/>
      <c r="H497" s="57"/>
    </row>
    <row r="498" spans="1:8" x14ac:dyDescent="0.3">
      <c r="A498" s="46"/>
      <c r="B498" s="46"/>
      <c r="C498" s="46"/>
      <c r="D498" s="46"/>
      <c r="E498" s="46"/>
      <c r="F498" s="46"/>
      <c r="G498" s="46"/>
      <c r="H498" s="57"/>
    </row>
    <row r="499" spans="1:8" x14ac:dyDescent="0.3">
      <c r="A499" s="46"/>
      <c r="B499" s="46"/>
      <c r="C499" s="46"/>
      <c r="D499" s="46"/>
      <c r="E499" s="46"/>
      <c r="F499" s="46"/>
      <c r="G499" s="46"/>
      <c r="H499" s="57"/>
    </row>
    <row r="500" spans="1:8" x14ac:dyDescent="0.3">
      <c r="A500" s="46"/>
      <c r="B500" s="46"/>
      <c r="C500" s="46"/>
      <c r="D500" s="46"/>
      <c r="E500" s="46"/>
      <c r="F500" s="46"/>
      <c r="G500" s="46"/>
      <c r="H500" s="57"/>
    </row>
    <row r="501" spans="1:8" x14ac:dyDescent="0.3">
      <c r="A501" s="46"/>
      <c r="B501" s="46"/>
      <c r="C501" s="46"/>
      <c r="D501" s="46"/>
      <c r="E501" s="46"/>
      <c r="F501" s="46"/>
      <c r="G501" s="46"/>
      <c r="H501" s="57"/>
    </row>
    <row r="502" spans="1:8" x14ac:dyDescent="0.3">
      <c r="A502" s="46"/>
      <c r="B502" s="46"/>
      <c r="C502" s="46"/>
      <c r="D502" s="46"/>
      <c r="E502" s="46"/>
      <c r="F502" s="46"/>
      <c r="G502" s="46"/>
      <c r="H502" s="57"/>
    </row>
    <row r="503" spans="1:8" x14ac:dyDescent="0.3">
      <c r="A503" s="46"/>
      <c r="B503" s="46"/>
      <c r="C503" s="46"/>
      <c r="D503" s="46"/>
      <c r="E503" s="46"/>
      <c r="F503" s="46"/>
      <c r="G503" s="46"/>
      <c r="H503" s="57"/>
    </row>
    <row r="504" spans="1:8" x14ac:dyDescent="0.3">
      <c r="A504" s="46"/>
      <c r="B504" s="46"/>
      <c r="C504" s="46"/>
      <c r="D504" s="46"/>
      <c r="E504" s="46"/>
      <c r="F504" s="46"/>
      <c r="G504" s="46"/>
      <c r="H504" s="57"/>
    </row>
    <row r="505" spans="1:8" x14ac:dyDescent="0.3">
      <c r="A505" s="46"/>
      <c r="B505" s="46"/>
      <c r="C505" s="46"/>
      <c r="D505" s="46"/>
      <c r="E505" s="46"/>
      <c r="F505" s="46"/>
      <c r="G505" s="46"/>
      <c r="H505" s="57"/>
    </row>
    <row r="506" spans="1:8" x14ac:dyDescent="0.3">
      <c r="A506" s="46"/>
      <c r="B506" s="46"/>
      <c r="C506" s="46"/>
      <c r="D506" s="46"/>
      <c r="E506" s="46"/>
      <c r="F506" s="46"/>
      <c r="G506" s="46"/>
      <c r="H506" s="57"/>
    </row>
    <row r="507" spans="1:8" x14ac:dyDescent="0.3">
      <c r="A507" s="46"/>
      <c r="B507" s="46"/>
      <c r="C507" s="46"/>
      <c r="D507" s="46"/>
      <c r="E507" s="46"/>
      <c r="F507" s="46"/>
      <c r="G507" s="46"/>
      <c r="H507" s="57"/>
    </row>
    <row r="508" spans="1:8" x14ac:dyDescent="0.3">
      <c r="A508" s="46"/>
      <c r="B508" s="46"/>
      <c r="C508" s="46"/>
      <c r="D508" s="46"/>
      <c r="E508" s="46"/>
      <c r="F508" s="46"/>
      <c r="G508" s="46"/>
      <c r="H508" s="57"/>
    </row>
    <row r="509" spans="1:8" x14ac:dyDescent="0.3">
      <c r="A509" s="46"/>
      <c r="B509" s="46"/>
      <c r="C509" s="46"/>
      <c r="D509" s="46"/>
      <c r="E509" s="46"/>
      <c r="F509" s="46"/>
      <c r="G509" s="46"/>
      <c r="H509" s="57"/>
    </row>
    <row r="510" spans="1:8" x14ac:dyDescent="0.3">
      <c r="A510" s="46"/>
      <c r="B510" s="46"/>
      <c r="C510" s="46"/>
      <c r="D510" s="46"/>
      <c r="E510" s="46"/>
      <c r="F510" s="46"/>
      <c r="G510" s="46"/>
      <c r="H510" s="57"/>
    </row>
    <row r="511" spans="1:8" x14ac:dyDescent="0.3">
      <c r="A511" s="46"/>
      <c r="B511" s="46"/>
      <c r="C511" s="46"/>
      <c r="D511" s="46"/>
      <c r="E511" s="46"/>
      <c r="F511" s="46"/>
      <c r="G511" s="46"/>
      <c r="H511" s="57"/>
    </row>
    <row r="512" spans="1:8" x14ac:dyDescent="0.3">
      <c r="A512" s="46"/>
      <c r="B512" s="46"/>
      <c r="C512" s="46"/>
      <c r="D512" s="46"/>
      <c r="E512" s="46"/>
      <c r="F512" s="46"/>
      <c r="G512" s="46"/>
      <c r="H512" s="57"/>
    </row>
    <row r="513" spans="1:8" x14ac:dyDescent="0.3">
      <c r="A513" s="46"/>
      <c r="B513" s="46"/>
      <c r="C513" s="46"/>
      <c r="D513" s="46"/>
      <c r="E513" s="46"/>
      <c r="F513" s="46"/>
      <c r="G513" s="46"/>
      <c r="H513" s="57"/>
    </row>
    <row r="514" spans="1:8" x14ac:dyDescent="0.3">
      <c r="A514" s="46"/>
      <c r="B514" s="46"/>
      <c r="C514" s="46"/>
      <c r="D514" s="46"/>
      <c r="E514" s="46"/>
      <c r="F514" s="46"/>
      <c r="G514" s="46"/>
      <c r="H514" s="57"/>
    </row>
    <row r="515" spans="1:8" x14ac:dyDescent="0.3">
      <c r="A515" s="46"/>
      <c r="B515" s="46"/>
      <c r="C515" s="46"/>
      <c r="D515" s="46"/>
      <c r="E515" s="46"/>
      <c r="F515" s="46"/>
      <c r="G515" s="46"/>
      <c r="H515" s="57"/>
    </row>
    <row r="516" spans="1:8" x14ac:dyDescent="0.3">
      <c r="A516" s="46"/>
      <c r="B516" s="46"/>
      <c r="C516" s="46"/>
      <c r="D516" s="46"/>
      <c r="E516" s="46"/>
      <c r="F516" s="46"/>
      <c r="G516" s="46"/>
      <c r="H516" s="57"/>
    </row>
    <row r="517" spans="1:8" x14ac:dyDescent="0.3">
      <c r="A517" s="46"/>
      <c r="B517" s="46"/>
      <c r="C517" s="46"/>
      <c r="D517" s="46"/>
      <c r="E517" s="46"/>
      <c r="F517" s="46"/>
      <c r="G517" s="46"/>
      <c r="H517" s="57"/>
    </row>
    <row r="518" spans="1:8" x14ac:dyDescent="0.3">
      <c r="A518" s="46"/>
      <c r="B518" s="46"/>
      <c r="C518" s="46"/>
      <c r="D518" s="46"/>
      <c r="E518" s="46"/>
      <c r="F518" s="46"/>
      <c r="G518" s="46"/>
      <c r="H518" s="57"/>
    </row>
    <row r="519" spans="1:8" x14ac:dyDescent="0.3">
      <c r="A519" s="46"/>
      <c r="B519" s="46"/>
      <c r="C519" s="46"/>
      <c r="D519" s="46"/>
      <c r="E519" s="46"/>
      <c r="F519" s="46"/>
      <c r="G519" s="46"/>
      <c r="H519" s="57"/>
    </row>
    <row r="520" spans="1:8" x14ac:dyDescent="0.3">
      <c r="A520" s="46"/>
      <c r="B520" s="46"/>
      <c r="C520" s="46"/>
      <c r="D520" s="46"/>
      <c r="E520" s="46"/>
      <c r="F520" s="46"/>
      <c r="G520" s="46"/>
      <c r="H520" s="57"/>
    </row>
    <row r="521" spans="1:8" x14ac:dyDescent="0.3">
      <c r="A521" s="46"/>
      <c r="B521" s="46"/>
      <c r="C521" s="46"/>
      <c r="D521" s="46"/>
      <c r="E521" s="46"/>
      <c r="F521" s="46"/>
      <c r="G521" s="46"/>
      <c r="H521" s="57"/>
    </row>
    <row r="522" spans="1:8" x14ac:dyDescent="0.3">
      <c r="A522" s="46"/>
      <c r="B522" s="46"/>
      <c r="C522" s="46"/>
      <c r="D522" s="46"/>
      <c r="E522" s="46"/>
      <c r="F522" s="46"/>
      <c r="G522" s="46"/>
      <c r="H522" s="57"/>
    </row>
    <row r="523" spans="1:8" x14ac:dyDescent="0.3">
      <c r="A523" s="46"/>
      <c r="B523" s="46"/>
      <c r="C523" s="46"/>
      <c r="D523" s="46"/>
      <c r="E523" s="46"/>
      <c r="F523" s="46"/>
      <c r="G523" s="46"/>
      <c r="H523" s="57"/>
    </row>
    <row r="524" spans="1:8" x14ac:dyDescent="0.3">
      <c r="A524" s="46"/>
      <c r="B524" s="46"/>
      <c r="C524" s="46"/>
      <c r="D524" s="46"/>
      <c r="E524" s="46"/>
      <c r="F524" s="46"/>
      <c r="G524" s="46"/>
      <c r="H524" s="57"/>
    </row>
    <row r="525" spans="1:8" x14ac:dyDescent="0.3">
      <c r="A525" s="46"/>
      <c r="B525" s="46"/>
      <c r="C525" s="46"/>
      <c r="D525" s="46"/>
      <c r="E525" s="46"/>
      <c r="F525" s="46"/>
      <c r="G525" s="46"/>
      <c r="H525" s="57"/>
    </row>
    <row r="526" spans="1:8" x14ac:dyDescent="0.3">
      <c r="A526" s="46"/>
      <c r="B526" s="46"/>
      <c r="C526" s="46"/>
      <c r="D526" s="46"/>
      <c r="E526" s="46"/>
      <c r="F526" s="46"/>
      <c r="G526" s="46"/>
      <c r="H526" s="57"/>
    </row>
    <row r="527" spans="1:8" x14ac:dyDescent="0.3">
      <c r="A527" s="46"/>
      <c r="B527" s="46"/>
      <c r="C527" s="46"/>
      <c r="D527" s="46"/>
      <c r="E527" s="46"/>
      <c r="F527" s="46"/>
      <c r="G527" s="46"/>
      <c r="H527" s="57"/>
    </row>
    <row r="528" spans="1:8" x14ac:dyDescent="0.3">
      <c r="A528" s="46"/>
      <c r="B528" s="46"/>
      <c r="C528" s="46"/>
      <c r="D528" s="46"/>
      <c r="E528" s="46"/>
      <c r="F528" s="46"/>
      <c r="G528" s="46"/>
      <c r="H528" s="57"/>
    </row>
    <row r="529" spans="1:8" x14ac:dyDescent="0.3">
      <c r="A529" s="46"/>
      <c r="B529" s="46"/>
      <c r="C529" s="46"/>
      <c r="D529" s="46"/>
      <c r="E529" s="46"/>
      <c r="F529" s="46"/>
      <c r="G529" s="46"/>
      <c r="H529" s="57"/>
    </row>
    <row r="530" spans="1:8" x14ac:dyDescent="0.3">
      <c r="A530" s="46"/>
      <c r="B530" s="46"/>
      <c r="C530" s="46"/>
      <c r="D530" s="46"/>
      <c r="E530" s="46"/>
      <c r="F530" s="46"/>
      <c r="G530" s="46"/>
      <c r="H530" s="57"/>
    </row>
    <row r="531" spans="1:8" x14ac:dyDescent="0.3">
      <c r="A531" s="46"/>
      <c r="B531" s="46"/>
      <c r="C531" s="46"/>
      <c r="D531" s="46"/>
      <c r="E531" s="46"/>
      <c r="F531" s="46"/>
      <c r="G531" s="46"/>
      <c r="H531" s="57"/>
    </row>
    <row r="532" spans="1:8" x14ac:dyDescent="0.3">
      <c r="A532" s="46"/>
      <c r="B532" s="46"/>
      <c r="C532" s="46"/>
      <c r="D532" s="46"/>
      <c r="E532" s="46"/>
      <c r="F532" s="46"/>
      <c r="G532" s="46"/>
      <c r="H532" s="57"/>
    </row>
    <row r="533" spans="1:8" x14ac:dyDescent="0.3">
      <c r="A533" s="46"/>
      <c r="B533" s="46"/>
      <c r="C533" s="46"/>
      <c r="D533" s="46"/>
      <c r="E533" s="46"/>
      <c r="F533" s="46"/>
      <c r="G533" s="46"/>
      <c r="H533" s="57"/>
    </row>
    <row r="534" spans="1:8" x14ac:dyDescent="0.3">
      <c r="A534" s="46"/>
      <c r="B534" s="46"/>
      <c r="C534" s="46"/>
      <c r="D534" s="46"/>
      <c r="E534" s="46"/>
      <c r="F534" s="46"/>
      <c r="G534" s="46"/>
      <c r="H534" s="57"/>
    </row>
    <row r="535" spans="1:8" x14ac:dyDescent="0.3">
      <c r="A535" s="46"/>
      <c r="B535" s="46"/>
      <c r="C535" s="46"/>
      <c r="D535" s="46"/>
      <c r="E535" s="46"/>
      <c r="F535" s="46"/>
      <c r="G535" s="46"/>
      <c r="H535" s="57"/>
    </row>
    <row r="536" spans="1:8" x14ac:dyDescent="0.3">
      <c r="A536" s="46"/>
      <c r="B536" s="46"/>
      <c r="C536" s="46"/>
      <c r="D536" s="46"/>
      <c r="E536" s="46"/>
      <c r="F536" s="46"/>
      <c r="G536" s="46"/>
      <c r="H536" s="57"/>
    </row>
    <row r="537" spans="1:8" x14ac:dyDescent="0.3">
      <c r="A537" s="46"/>
      <c r="B537" s="46"/>
      <c r="C537" s="46"/>
      <c r="D537" s="46"/>
      <c r="E537" s="46"/>
      <c r="F537" s="46"/>
      <c r="G537" s="46"/>
      <c r="H537" s="57"/>
    </row>
    <row r="538" spans="1:8" x14ac:dyDescent="0.3">
      <c r="A538" s="46"/>
      <c r="B538" s="46"/>
      <c r="C538" s="46"/>
      <c r="D538" s="46"/>
      <c r="E538" s="46"/>
      <c r="F538" s="46"/>
      <c r="G538" s="46"/>
      <c r="H538" s="57"/>
    </row>
    <row r="539" spans="1:8" x14ac:dyDescent="0.3">
      <c r="A539" s="46"/>
      <c r="B539" s="46"/>
      <c r="C539" s="46"/>
      <c r="D539" s="46"/>
      <c r="E539" s="46"/>
      <c r="F539" s="46"/>
      <c r="G539" s="46"/>
      <c r="H539" s="57"/>
    </row>
    <row r="540" spans="1:8" x14ac:dyDescent="0.3">
      <c r="A540" s="46"/>
      <c r="B540" s="46"/>
      <c r="C540" s="46"/>
      <c r="D540" s="46"/>
      <c r="E540" s="46"/>
      <c r="F540" s="46"/>
      <c r="G540" s="46"/>
      <c r="H540" s="57"/>
    </row>
    <row r="541" spans="1:8" x14ac:dyDescent="0.3">
      <c r="A541" s="46"/>
      <c r="B541" s="46"/>
      <c r="C541" s="46"/>
      <c r="D541" s="46"/>
      <c r="E541" s="46"/>
      <c r="F541" s="46"/>
      <c r="G541" s="46"/>
      <c r="H541" s="57"/>
    </row>
    <row r="542" spans="1:8" x14ac:dyDescent="0.3">
      <c r="A542" s="46"/>
      <c r="B542" s="46"/>
      <c r="C542" s="46"/>
      <c r="D542" s="46"/>
      <c r="E542" s="46"/>
      <c r="F542" s="46"/>
      <c r="G542" s="46"/>
      <c r="H542" s="57"/>
    </row>
    <row r="543" spans="1:8" x14ac:dyDescent="0.3">
      <c r="A543" s="46"/>
      <c r="B543" s="46"/>
      <c r="C543" s="46"/>
      <c r="D543" s="46"/>
      <c r="E543" s="46"/>
      <c r="F543" s="46"/>
      <c r="G543" s="46"/>
      <c r="H543" s="57"/>
    </row>
    <row r="544" spans="1:8" x14ac:dyDescent="0.3">
      <c r="A544" s="46"/>
      <c r="B544" s="46"/>
      <c r="C544" s="46"/>
      <c r="D544" s="46"/>
      <c r="E544" s="46"/>
      <c r="F544" s="46"/>
      <c r="G544" s="46"/>
      <c r="H544" s="57"/>
    </row>
    <row r="545" spans="1:8" x14ac:dyDescent="0.3">
      <c r="A545" s="46"/>
      <c r="B545" s="46"/>
      <c r="C545" s="46"/>
      <c r="D545" s="46"/>
      <c r="E545" s="46"/>
      <c r="F545" s="46"/>
      <c r="G545" s="46"/>
      <c r="H545" s="57"/>
    </row>
    <row r="546" spans="1:8" x14ac:dyDescent="0.3">
      <c r="A546" s="46"/>
      <c r="B546" s="46"/>
      <c r="C546" s="46"/>
      <c r="D546" s="46"/>
      <c r="E546" s="46"/>
      <c r="F546" s="46"/>
      <c r="G546" s="46"/>
      <c r="H546" s="57"/>
    </row>
    <row r="547" spans="1:8" x14ac:dyDescent="0.3">
      <c r="A547" s="46"/>
      <c r="B547" s="46"/>
      <c r="C547" s="46"/>
      <c r="D547" s="46"/>
      <c r="E547" s="46"/>
      <c r="F547" s="46"/>
      <c r="G547" s="46"/>
      <c r="H547" s="57"/>
    </row>
    <row r="548" spans="1:8" x14ac:dyDescent="0.3">
      <c r="A548" s="46"/>
      <c r="B548" s="46"/>
      <c r="C548" s="46"/>
      <c r="D548" s="46"/>
      <c r="E548" s="46"/>
      <c r="F548" s="46"/>
      <c r="G548" s="46"/>
      <c r="H548" s="57"/>
    </row>
    <row r="549" spans="1:8" x14ac:dyDescent="0.3">
      <c r="A549" s="46"/>
      <c r="B549" s="46"/>
      <c r="C549" s="46"/>
      <c r="D549" s="46"/>
      <c r="E549" s="46"/>
      <c r="F549" s="46"/>
      <c r="G549" s="46"/>
      <c r="H549" s="57"/>
    </row>
    <row r="550" spans="1:8" x14ac:dyDescent="0.3">
      <c r="A550" s="46"/>
      <c r="B550" s="46"/>
      <c r="C550" s="46"/>
      <c r="D550" s="46"/>
      <c r="E550" s="46"/>
      <c r="F550" s="46"/>
      <c r="G550" s="46"/>
      <c r="H550" s="57"/>
    </row>
    <row r="551" spans="1:8" x14ac:dyDescent="0.3">
      <c r="A551" s="46"/>
      <c r="B551" s="46"/>
      <c r="C551" s="46"/>
      <c r="D551" s="46"/>
      <c r="E551" s="46"/>
      <c r="F551" s="46"/>
      <c r="G551" s="46"/>
      <c r="H551" s="57"/>
    </row>
    <row r="552" spans="1:8" x14ac:dyDescent="0.3">
      <c r="A552" s="46"/>
      <c r="B552" s="46"/>
      <c r="C552" s="46"/>
      <c r="D552" s="46"/>
      <c r="E552" s="46"/>
      <c r="F552" s="46"/>
      <c r="G552" s="46"/>
      <c r="H552" s="57"/>
    </row>
    <row r="553" spans="1:8" x14ac:dyDescent="0.3">
      <c r="A553" s="46"/>
      <c r="B553" s="46"/>
      <c r="C553" s="46"/>
      <c r="D553" s="46"/>
      <c r="E553" s="46"/>
      <c r="F553" s="46"/>
      <c r="G553" s="46"/>
      <c r="H553" s="57"/>
    </row>
    <row r="554" spans="1:8" x14ac:dyDescent="0.3">
      <c r="A554" s="46"/>
      <c r="B554" s="46"/>
      <c r="C554" s="46"/>
      <c r="D554" s="46"/>
      <c r="E554" s="46"/>
      <c r="F554" s="46"/>
      <c r="G554" s="46"/>
      <c r="H554" s="57"/>
    </row>
    <row r="555" spans="1:8" x14ac:dyDescent="0.3">
      <c r="A555" s="46"/>
      <c r="B555" s="46"/>
      <c r="C555" s="46"/>
      <c r="D555" s="46"/>
      <c r="E555" s="46"/>
      <c r="F555" s="46"/>
      <c r="G555" s="46"/>
      <c r="H555" s="57"/>
    </row>
    <row r="556" spans="1:8" x14ac:dyDescent="0.3">
      <c r="A556" s="46"/>
      <c r="B556" s="46"/>
      <c r="C556" s="46"/>
      <c r="D556" s="46"/>
      <c r="E556" s="46"/>
      <c r="F556" s="46"/>
      <c r="G556" s="46"/>
      <c r="H556" s="57"/>
    </row>
    <row r="557" spans="1:8" x14ac:dyDescent="0.3">
      <c r="A557" s="46"/>
      <c r="B557" s="46"/>
      <c r="C557" s="46"/>
      <c r="D557" s="46"/>
      <c r="E557" s="46"/>
      <c r="F557" s="46"/>
      <c r="G557" s="46"/>
      <c r="H557" s="57"/>
    </row>
    <row r="558" spans="1:8" x14ac:dyDescent="0.3">
      <c r="A558" s="46"/>
      <c r="B558" s="46"/>
      <c r="C558" s="46"/>
      <c r="D558" s="46"/>
      <c r="E558" s="46"/>
      <c r="F558" s="46"/>
      <c r="G558" s="46"/>
      <c r="H558" s="57"/>
    </row>
    <row r="559" spans="1:8" x14ac:dyDescent="0.3">
      <c r="A559" s="46"/>
      <c r="B559" s="46"/>
      <c r="C559" s="46"/>
      <c r="D559" s="46"/>
      <c r="E559" s="46"/>
      <c r="F559" s="46"/>
      <c r="G559" s="46"/>
      <c r="H559" s="57"/>
    </row>
    <row r="560" spans="1:8" x14ac:dyDescent="0.3">
      <c r="A560" s="46"/>
      <c r="B560" s="46"/>
      <c r="C560" s="46"/>
      <c r="D560" s="46"/>
      <c r="E560" s="46"/>
      <c r="F560" s="46"/>
      <c r="G560" s="46"/>
      <c r="H560" s="57"/>
    </row>
    <row r="561" spans="1:8" x14ac:dyDescent="0.3">
      <c r="A561" s="46"/>
      <c r="B561" s="46"/>
      <c r="C561" s="46"/>
      <c r="D561" s="46"/>
      <c r="E561" s="46"/>
      <c r="F561" s="46"/>
      <c r="G561" s="46"/>
      <c r="H561" s="57"/>
    </row>
    <row r="562" spans="1:8" x14ac:dyDescent="0.3">
      <c r="A562" s="46"/>
      <c r="B562" s="46"/>
      <c r="C562" s="46"/>
      <c r="D562" s="46"/>
      <c r="E562" s="46"/>
      <c r="F562" s="46"/>
      <c r="G562" s="46"/>
      <c r="H562" s="57"/>
    </row>
    <row r="563" spans="1:8" x14ac:dyDescent="0.3">
      <c r="A563" s="46"/>
      <c r="B563" s="46"/>
      <c r="C563" s="46"/>
      <c r="D563" s="46"/>
      <c r="E563" s="46"/>
      <c r="F563" s="46"/>
      <c r="G563" s="46"/>
      <c r="H563" s="57"/>
    </row>
    <row r="564" spans="1:8" x14ac:dyDescent="0.3">
      <c r="A564" s="46"/>
      <c r="B564" s="46"/>
      <c r="C564" s="46"/>
      <c r="D564" s="46"/>
      <c r="E564" s="46"/>
      <c r="F564" s="46"/>
      <c r="G564" s="46"/>
      <c r="H564" s="57"/>
    </row>
    <row r="565" spans="1:8" x14ac:dyDescent="0.3">
      <c r="A565" s="46"/>
      <c r="B565" s="46"/>
      <c r="C565" s="46"/>
      <c r="D565" s="46"/>
      <c r="E565" s="46"/>
      <c r="F565" s="46"/>
      <c r="G565" s="46"/>
      <c r="H565" s="57"/>
    </row>
    <row r="566" spans="1:8" x14ac:dyDescent="0.3">
      <c r="A566" s="46"/>
      <c r="B566" s="46"/>
      <c r="C566" s="46"/>
      <c r="D566" s="46"/>
      <c r="E566" s="46"/>
      <c r="F566" s="46"/>
      <c r="G566" s="46"/>
      <c r="H566" s="57"/>
    </row>
    <row r="567" spans="1:8" x14ac:dyDescent="0.3">
      <c r="A567" s="46"/>
      <c r="B567" s="46"/>
      <c r="C567" s="46"/>
      <c r="D567" s="46"/>
      <c r="E567" s="46"/>
      <c r="F567" s="46"/>
      <c r="G567" s="46"/>
      <c r="H567" s="57"/>
    </row>
    <row r="568" spans="1:8" x14ac:dyDescent="0.3">
      <c r="A568" s="46"/>
      <c r="B568" s="46"/>
      <c r="C568" s="46"/>
      <c r="D568" s="46"/>
      <c r="E568" s="46"/>
      <c r="F568" s="46"/>
      <c r="G568" s="46"/>
      <c r="H568" s="57"/>
    </row>
    <row r="569" spans="1:8" x14ac:dyDescent="0.3">
      <c r="A569" s="46"/>
      <c r="B569" s="46"/>
      <c r="C569" s="46"/>
      <c r="D569" s="46"/>
      <c r="E569" s="46"/>
      <c r="F569" s="46"/>
      <c r="G569" s="46"/>
      <c r="H569" s="57"/>
    </row>
    <row r="570" spans="1:8" x14ac:dyDescent="0.3">
      <c r="A570" s="46"/>
      <c r="B570" s="46"/>
      <c r="C570" s="46"/>
      <c r="D570" s="46"/>
      <c r="E570" s="46"/>
      <c r="F570" s="46"/>
      <c r="G570" s="46"/>
      <c r="H570" s="57"/>
    </row>
    <row r="571" spans="1:8" x14ac:dyDescent="0.3">
      <c r="A571" s="46"/>
      <c r="B571" s="46"/>
      <c r="C571" s="46"/>
      <c r="D571" s="46"/>
      <c r="E571" s="46"/>
      <c r="F571" s="46"/>
      <c r="G571" s="46"/>
      <c r="H571" s="57"/>
    </row>
    <row r="572" spans="1:8" x14ac:dyDescent="0.3">
      <c r="A572" s="46"/>
      <c r="B572" s="46"/>
      <c r="C572" s="46"/>
      <c r="D572" s="46"/>
      <c r="E572" s="46"/>
      <c r="F572" s="46"/>
      <c r="G572" s="46"/>
      <c r="H572" s="57"/>
    </row>
    <row r="573" spans="1:8" x14ac:dyDescent="0.3">
      <c r="A573" s="46"/>
      <c r="B573" s="46"/>
      <c r="C573" s="46"/>
      <c r="D573" s="46"/>
      <c r="E573" s="46"/>
      <c r="F573" s="46"/>
      <c r="G573" s="46"/>
      <c r="H573" s="57"/>
    </row>
    <row r="574" spans="1:8" x14ac:dyDescent="0.3">
      <c r="A574" s="46"/>
      <c r="B574" s="46"/>
      <c r="C574" s="46"/>
      <c r="D574" s="46"/>
      <c r="E574" s="46"/>
      <c r="F574" s="46"/>
      <c r="G574" s="46"/>
      <c r="H574" s="57"/>
    </row>
    <row r="575" spans="1:8" x14ac:dyDescent="0.3">
      <c r="A575" s="46"/>
      <c r="B575" s="46"/>
      <c r="C575" s="46"/>
      <c r="D575" s="46"/>
      <c r="E575" s="46"/>
      <c r="F575" s="46"/>
      <c r="G575" s="46"/>
      <c r="H575" s="57"/>
    </row>
    <row r="576" spans="1:8" x14ac:dyDescent="0.3">
      <c r="A576" s="46"/>
      <c r="B576" s="46"/>
      <c r="C576" s="46"/>
      <c r="D576" s="46"/>
      <c r="E576" s="46"/>
      <c r="F576" s="46"/>
      <c r="G576" s="46"/>
      <c r="H576" s="57"/>
    </row>
    <row r="577" spans="1:8" x14ac:dyDescent="0.3">
      <c r="A577" s="46"/>
      <c r="B577" s="46"/>
      <c r="C577" s="46"/>
      <c r="D577" s="46"/>
      <c r="E577" s="46"/>
      <c r="F577" s="46"/>
      <c r="G577" s="46"/>
      <c r="H577" s="57"/>
    </row>
    <row r="578" spans="1:8" x14ac:dyDescent="0.3">
      <c r="A578" s="46"/>
      <c r="B578" s="46"/>
      <c r="C578" s="46"/>
      <c r="D578" s="46"/>
      <c r="E578" s="46"/>
      <c r="F578" s="46"/>
      <c r="G578" s="46"/>
      <c r="H578" s="57"/>
    </row>
    <row r="579" spans="1:8" x14ac:dyDescent="0.3">
      <c r="A579" s="46"/>
      <c r="B579" s="46"/>
      <c r="C579" s="46"/>
      <c r="D579" s="46"/>
      <c r="E579" s="46"/>
      <c r="F579" s="46"/>
      <c r="G579" s="46"/>
      <c r="H579" s="57"/>
    </row>
    <row r="580" spans="1:8" x14ac:dyDescent="0.3">
      <c r="A580" s="46"/>
      <c r="B580" s="46"/>
      <c r="C580" s="46"/>
      <c r="D580" s="46"/>
      <c r="E580" s="46"/>
      <c r="F580" s="46"/>
      <c r="G580" s="46"/>
      <c r="H580" s="57"/>
    </row>
    <row r="581" spans="1:8" x14ac:dyDescent="0.3">
      <c r="A581" s="46"/>
      <c r="B581" s="46"/>
      <c r="C581" s="46"/>
      <c r="D581" s="46"/>
      <c r="E581" s="46"/>
      <c r="F581" s="46"/>
      <c r="G581" s="46"/>
      <c r="H581" s="57"/>
    </row>
    <row r="582" spans="1:8" x14ac:dyDescent="0.3">
      <c r="A582" s="46"/>
      <c r="B582" s="46"/>
      <c r="C582" s="46"/>
      <c r="D582" s="46"/>
      <c r="E582" s="46"/>
      <c r="F582" s="46"/>
      <c r="G582" s="46"/>
      <c r="H582" s="57"/>
    </row>
    <row r="583" spans="1:8" x14ac:dyDescent="0.3">
      <c r="A583" s="46"/>
      <c r="B583" s="46"/>
      <c r="C583" s="46"/>
      <c r="D583" s="46"/>
      <c r="E583" s="46"/>
      <c r="F583" s="46"/>
      <c r="G583" s="46"/>
      <c r="H583" s="57"/>
    </row>
    <row r="584" spans="1:8" x14ac:dyDescent="0.3">
      <c r="A584" s="46"/>
      <c r="B584" s="46"/>
      <c r="C584" s="46"/>
      <c r="D584" s="46"/>
      <c r="E584" s="46"/>
      <c r="F584" s="46"/>
      <c r="G584" s="46"/>
      <c r="H584" s="57"/>
    </row>
    <row r="585" spans="1:8" x14ac:dyDescent="0.3">
      <c r="A585" s="46"/>
      <c r="B585" s="46"/>
      <c r="C585" s="46"/>
      <c r="D585" s="46"/>
      <c r="E585" s="46"/>
      <c r="F585" s="46"/>
      <c r="G585" s="46"/>
      <c r="H585" s="57"/>
    </row>
    <row r="586" spans="1:8" x14ac:dyDescent="0.3">
      <c r="A586" s="46"/>
      <c r="B586" s="46"/>
      <c r="C586" s="46"/>
      <c r="D586" s="46"/>
      <c r="E586" s="46"/>
      <c r="F586" s="46"/>
      <c r="G586" s="46"/>
      <c r="H586" s="57"/>
    </row>
    <row r="587" spans="1:8" x14ac:dyDescent="0.3">
      <c r="A587" s="46"/>
      <c r="B587" s="46"/>
      <c r="C587" s="46"/>
      <c r="D587" s="46"/>
      <c r="E587" s="46"/>
      <c r="F587" s="46"/>
      <c r="G587" s="46"/>
      <c r="H587" s="57"/>
    </row>
    <row r="588" spans="1:8" x14ac:dyDescent="0.3">
      <c r="A588" s="46"/>
      <c r="B588" s="46"/>
      <c r="C588" s="46"/>
      <c r="D588" s="46"/>
      <c r="E588" s="46"/>
      <c r="F588" s="46"/>
      <c r="G588" s="46"/>
      <c r="H588" s="57"/>
    </row>
    <row r="589" spans="1:8" x14ac:dyDescent="0.3">
      <c r="A589" s="46"/>
      <c r="B589" s="46"/>
      <c r="C589" s="46"/>
      <c r="D589" s="46"/>
      <c r="E589" s="46"/>
      <c r="F589" s="46"/>
      <c r="G589" s="46"/>
      <c r="H589" s="57"/>
    </row>
    <row r="590" spans="1:8" x14ac:dyDescent="0.3">
      <c r="A590" s="46"/>
      <c r="B590" s="46"/>
      <c r="C590" s="46"/>
      <c r="D590" s="46"/>
      <c r="E590" s="46"/>
      <c r="F590" s="46"/>
      <c r="G590" s="46"/>
      <c r="H590" s="57"/>
    </row>
    <row r="591" spans="1:8" x14ac:dyDescent="0.3">
      <c r="A591" s="46"/>
      <c r="B591" s="46"/>
      <c r="C591" s="46"/>
      <c r="D591" s="46"/>
      <c r="E591" s="46"/>
      <c r="F591" s="46"/>
      <c r="G591" s="46"/>
      <c r="H591" s="57"/>
    </row>
    <row r="592" spans="1:8" x14ac:dyDescent="0.3">
      <c r="A592" s="46"/>
      <c r="B592" s="46"/>
      <c r="C592" s="46"/>
      <c r="D592" s="46"/>
      <c r="E592" s="46"/>
      <c r="F592" s="46"/>
      <c r="G592" s="46"/>
      <c r="H592" s="57"/>
    </row>
    <row r="593" spans="1:8" x14ac:dyDescent="0.3">
      <c r="A593" s="46"/>
      <c r="B593" s="46"/>
      <c r="C593" s="46"/>
      <c r="D593" s="46"/>
      <c r="E593" s="46"/>
      <c r="F593" s="46"/>
      <c r="G593" s="46"/>
      <c r="H593" s="57"/>
    </row>
    <row r="594" spans="1:8" x14ac:dyDescent="0.3">
      <c r="A594" s="46"/>
      <c r="B594" s="46"/>
      <c r="C594" s="46"/>
      <c r="D594" s="46"/>
      <c r="E594" s="46"/>
      <c r="F594" s="46"/>
      <c r="G594" s="46"/>
      <c r="H594" s="57"/>
    </row>
    <row r="595" spans="1:8" x14ac:dyDescent="0.3">
      <c r="A595" s="46"/>
      <c r="B595" s="46"/>
      <c r="C595" s="46"/>
      <c r="D595" s="46"/>
      <c r="E595" s="46"/>
      <c r="F595" s="46"/>
      <c r="G595" s="46"/>
      <c r="H595" s="57"/>
    </row>
    <row r="596" spans="1:8" x14ac:dyDescent="0.3">
      <c r="A596" s="46"/>
      <c r="B596" s="46"/>
      <c r="C596" s="46"/>
      <c r="D596" s="46"/>
      <c r="E596" s="46"/>
      <c r="F596" s="46"/>
      <c r="G596" s="46"/>
      <c r="H596" s="57"/>
    </row>
    <row r="597" spans="1:8" x14ac:dyDescent="0.3">
      <c r="A597" s="46"/>
      <c r="B597" s="46"/>
      <c r="C597" s="46"/>
      <c r="D597" s="46"/>
      <c r="E597" s="46"/>
      <c r="F597" s="46"/>
      <c r="G597" s="46"/>
      <c r="H597" s="57"/>
    </row>
    <row r="598" spans="1:8" x14ac:dyDescent="0.3">
      <c r="A598" s="46"/>
      <c r="B598" s="46"/>
      <c r="C598" s="46"/>
      <c r="D598" s="46"/>
      <c r="E598" s="46"/>
      <c r="F598" s="46"/>
      <c r="G598" s="46"/>
      <c r="H598" s="57"/>
    </row>
    <row r="599" spans="1:8" x14ac:dyDescent="0.3">
      <c r="A599" s="46"/>
      <c r="B599" s="46"/>
      <c r="C599" s="46"/>
      <c r="D599" s="46"/>
      <c r="E599" s="46"/>
      <c r="F599" s="46"/>
      <c r="G599" s="46"/>
      <c r="H599" s="57"/>
    </row>
    <row r="600" spans="1:8" x14ac:dyDescent="0.3">
      <c r="A600" s="46"/>
      <c r="B600" s="46"/>
      <c r="C600" s="46"/>
      <c r="D600" s="46"/>
      <c r="E600" s="46"/>
      <c r="F600" s="46"/>
      <c r="G600" s="46"/>
      <c r="H600" s="57"/>
    </row>
    <row r="601" spans="1:8" x14ac:dyDescent="0.3">
      <c r="A601" s="46"/>
      <c r="B601" s="46"/>
      <c r="C601" s="46"/>
      <c r="D601" s="46"/>
      <c r="E601" s="46"/>
      <c r="F601" s="46"/>
      <c r="G601" s="46"/>
      <c r="H601" s="57"/>
    </row>
    <row r="602" spans="1:8" x14ac:dyDescent="0.3">
      <c r="A602" s="46"/>
      <c r="B602" s="46"/>
      <c r="C602" s="46"/>
      <c r="D602" s="46"/>
      <c r="E602" s="46"/>
      <c r="F602" s="46"/>
      <c r="G602" s="46"/>
      <c r="H602" s="57"/>
    </row>
    <row r="603" spans="1:8" x14ac:dyDescent="0.3">
      <c r="A603" s="46"/>
      <c r="B603" s="46"/>
      <c r="C603" s="46"/>
      <c r="D603" s="46"/>
      <c r="E603" s="46"/>
      <c r="F603" s="46"/>
      <c r="G603" s="46"/>
      <c r="H603" s="57"/>
    </row>
    <row r="604" spans="1:8" x14ac:dyDescent="0.3">
      <c r="A604" s="46"/>
      <c r="B604" s="46"/>
      <c r="C604" s="46"/>
      <c r="D604" s="46"/>
      <c r="E604" s="46"/>
      <c r="F604" s="46"/>
      <c r="G604" s="46"/>
      <c r="H604" s="57"/>
    </row>
    <row r="605" spans="1:8" x14ac:dyDescent="0.3">
      <c r="A605" s="46"/>
      <c r="B605" s="46"/>
      <c r="C605" s="46"/>
      <c r="D605" s="46"/>
      <c r="E605" s="46"/>
      <c r="F605" s="46"/>
      <c r="G605" s="46"/>
      <c r="H605" s="57"/>
    </row>
    <row r="606" spans="1:8" x14ac:dyDescent="0.3">
      <c r="A606" s="46"/>
      <c r="B606" s="46"/>
      <c r="C606" s="46"/>
      <c r="D606" s="46"/>
      <c r="E606" s="46"/>
      <c r="F606" s="46"/>
      <c r="G606" s="46"/>
      <c r="H606" s="57"/>
    </row>
    <row r="607" spans="1:8" x14ac:dyDescent="0.3">
      <c r="A607" s="46"/>
      <c r="B607" s="46"/>
      <c r="C607" s="46"/>
      <c r="D607" s="46"/>
      <c r="E607" s="46"/>
      <c r="F607" s="46"/>
      <c r="G607" s="46"/>
      <c r="H607" s="57"/>
    </row>
    <row r="608" spans="1:8" x14ac:dyDescent="0.3">
      <c r="A608" s="46"/>
      <c r="B608" s="46"/>
      <c r="C608" s="46"/>
      <c r="D608" s="46"/>
      <c r="E608" s="46"/>
      <c r="F608" s="46"/>
      <c r="G608" s="46"/>
      <c r="H608" s="57"/>
    </row>
    <row r="609" spans="1:8" x14ac:dyDescent="0.3">
      <c r="A609" s="46"/>
      <c r="B609" s="46"/>
      <c r="C609" s="46"/>
      <c r="D609" s="46"/>
      <c r="E609" s="46"/>
      <c r="F609" s="46"/>
      <c r="G609" s="46"/>
      <c r="H609" s="57"/>
    </row>
    <row r="610" spans="1:8" x14ac:dyDescent="0.3">
      <c r="A610" s="46"/>
      <c r="B610" s="46"/>
      <c r="C610" s="46"/>
      <c r="D610" s="46"/>
      <c r="E610" s="46"/>
      <c r="F610" s="46"/>
      <c r="G610" s="46"/>
      <c r="H610" s="57"/>
    </row>
    <row r="611" spans="1:8" x14ac:dyDescent="0.3">
      <c r="A611" s="46"/>
      <c r="B611" s="46"/>
      <c r="C611" s="46"/>
      <c r="D611" s="46"/>
      <c r="E611" s="46"/>
      <c r="F611" s="46"/>
      <c r="G611" s="46"/>
      <c r="H611" s="57"/>
    </row>
    <row r="612" spans="1:8" x14ac:dyDescent="0.3">
      <c r="A612" s="46"/>
      <c r="B612" s="46"/>
      <c r="C612" s="46"/>
      <c r="D612" s="46"/>
      <c r="E612" s="46"/>
      <c r="F612" s="46"/>
      <c r="G612" s="46"/>
      <c r="H612" s="57"/>
    </row>
    <row r="613" spans="1:8" x14ac:dyDescent="0.3">
      <c r="A613" s="46"/>
      <c r="B613" s="46"/>
      <c r="C613" s="46"/>
      <c r="D613" s="46"/>
      <c r="E613" s="46"/>
      <c r="F613" s="46"/>
      <c r="G613" s="46"/>
      <c r="H613" s="57"/>
    </row>
    <row r="614" spans="1:8" x14ac:dyDescent="0.3">
      <c r="A614" s="46"/>
      <c r="B614" s="46"/>
      <c r="C614" s="46"/>
      <c r="D614" s="46"/>
      <c r="E614" s="46"/>
      <c r="F614" s="46"/>
      <c r="G614" s="46"/>
      <c r="H614" s="57"/>
    </row>
    <row r="615" spans="1:8" x14ac:dyDescent="0.3">
      <c r="A615" s="46"/>
      <c r="B615" s="46"/>
      <c r="C615" s="46"/>
      <c r="D615" s="46"/>
      <c r="E615" s="46"/>
      <c r="F615" s="46"/>
      <c r="G615" s="46"/>
      <c r="H615" s="57"/>
    </row>
    <row r="616" spans="1:8" x14ac:dyDescent="0.3">
      <c r="A616" s="46"/>
      <c r="B616" s="46"/>
      <c r="C616" s="46"/>
      <c r="D616" s="46"/>
      <c r="E616" s="46"/>
      <c r="F616" s="46"/>
      <c r="G616" s="46"/>
      <c r="H616" s="57"/>
    </row>
    <row r="617" spans="1:8" x14ac:dyDescent="0.3">
      <c r="A617" s="46"/>
      <c r="B617" s="46"/>
      <c r="C617" s="46"/>
      <c r="D617" s="46"/>
      <c r="E617" s="46"/>
      <c r="F617" s="46"/>
      <c r="G617" s="46"/>
      <c r="H617" s="57"/>
    </row>
    <row r="618" spans="1:8" x14ac:dyDescent="0.3">
      <c r="A618" s="46"/>
      <c r="B618" s="46"/>
      <c r="C618" s="46"/>
      <c r="D618" s="46"/>
      <c r="E618" s="46"/>
      <c r="F618" s="46"/>
      <c r="G618" s="46"/>
      <c r="H618" s="57"/>
    </row>
    <row r="619" spans="1:8" x14ac:dyDescent="0.3">
      <c r="A619" s="46"/>
      <c r="B619" s="46"/>
      <c r="C619" s="46"/>
      <c r="D619" s="46"/>
      <c r="E619" s="46"/>
      <c r="F619" s="46"/>
      <c r="G619" s="46"/>
      <c r="H619" s="57"/>
    </row>
    <row r="620" spans="1:8" x14ac:dyDescent="0.3">
      <c r="A620" s="46"/>
      <c r="B620" s="46"/>
      <c r="C620" s="46"/>
      <c r="D620" s="46"/>
      <c r="E620" s="46"/>
      <c r="F620" s="46"/>
      <c r="G620" s="46"/>
      <c r="H620" s="57"/>
    </row>
    <row r="621" spans="1:8" x14ac:dyDescent="0.3">
      <c r="A621" s="46"/>
      <c r="B621" s="46"/>
      <c r="C621" s="46"/>
      <c r="D621" s="46"/>
      <c r="E621" s="46"/>
      <c r="F621" s="46"/>
      <c r="G621" s="46"/>
      <c r="H621" s="57"/>
    </row>
    <row r="622" spans="1:8" x14ac:dyDescent="0.3">
      <c r="A622" s="46"/>
      <c r="B622" s="46"/>
      <c r="C622" s="46"/>
      <c r="D622" s="46"/>
      <c r="E622" s="46"/>
      <c r="F622" s="46"/>
      <c r="G622" s="46"/>
      <c r="H622" s="57"/>
    </row>
    <row r="623" spans="1:8" x14ac:dyDescent="0.3">
      <c r="A623" s="46"/>
      <c r="B623" s="46"/>
      <c r="C623" s="46"/>
      <c r="D623" s="46"/>
      <c r="E623" s="46"/>
      <c r="F623" s="46"/>
      <c r="G623" s="46"/>
      <c r="H623" s="57"/>
    </row>
    <row r="624" spans="1:8" x14ac:dyDescent="0.3">
      <c r="A624" s="46"/>
      <c r="B624" s="46"/>
      <c r="C624" s="46"/>
      <c r="D624" s="46"/>
      <c r="E624" s="46"/>
      <c r="F624" s="46"/>
      <c r="G624" s="46"/>
      <c r="H624" s="57"/>
    </row>
    <row r="625" spans="1:8" x14ac:dyDescent="0.3">
      <c r="A625" s="46"/>
      <c r="B625" s="46"/>
      <c r="C625" s="46"/>
      <c r="D625" s="46"/>
      <c r="E625" s="46"/>
      <c r="F625" s="46"/>
      <c r="G625" s="46"/>
      <c r="H625" s="57"/>
    </row>
    <row r="626" spans="1:8" x14ac:dyDescent="0.3">
      <c r="A626" s="46"/>
      <c r="B626" s="46"/>
      <c r="C626" s="46"/>
      <c r="D626" s="46"/>
      <c r="E626" s="46"/>
      <c r="F626" s="46"/>
      <c r="G626" s="46"/>
      <c r="H626" s="57"/>
    </row>
    <row r="627" spans="1:8" x14ac:dyDescent="0.3">
      <c r="A627" s="46"/>
      <c r="B627" s="46"/>
      <c r="C627" s="46"/>
      <c r="D627" s="46"/>
      <c r="E627" s="46"/>
      <c r="F627" s="46"/>
      <c r="G627" s="46"/>
      <c r="H627" s="57"/>
    </row>
    <row r="628" spans="1:8" x14ac:dyDescent="0.3">
      <c r="A628" s="46"/>
      <c r="B628" s="46"/>
      <c r="C628" s="46"/>
      <c r="D628" s="46"/>
      <c r="E628" s="46"/>
      <c r="F628" s="46"/>
      <c r="G628" s="46"/>
      <c r="H628" s="57"/>
    </row>
    <row r="629" spans="1:8" x14ac:dyDescent="0.3">
      <c r="A629" s="46"/>
      <c r="B629" s="46"/>
      <c r="C629" s="46"/>
      <c r="D629" s="46"/>
      <c r="E629" s="46"/>
      <c r="F629" s="46"/>
      <c r="G629" s="46"/>
      <c r="H629" s="57"/>
    </row>
    <row r="630" spans="1:8" x14ac:dyDescent="0.3">
      <c r="A630" s="46"/>
      <c r="B630" s="46"/>
      <c r="C630" s="46"/>
      <c r="D630" s="46"/>
      <c r="E630" s="46"/>
      <c r="F630" s="46"/>
      <c r="G630" s="46"/>
      <c r="H630" s="57"/>
    </row>
    <row r="631" spans="1:8" x14ac:dyDescent="0.3">
      <c r="A631" s="46"/>
      <c r="B631" s="46"/>
      <c r="C631" s="46"/>
      <c r="D631" s="46"/>
      <c r="E631" s="46"/>
      <c r="F631" s="46"/>
      <c r="G631" s="46"/>
      <c r="H631" s="57"/>
    </row>
    <row r="632" spans="1:8" x14ac:dyDescent="0.3">
      <c r="A632" s="46"/>
      <c r="B632" s="46"/>
      <c r="C632" s="46"/>
      <c r="D632" s="46"/>
      <c r="E632" s="46"/>
      <c r="F632" s="46"/>
      <c r="G632" s="46"/>
      <c r="H632" s="57"/>
    </row>
    <row r="633" spans="1:8" x14ac:dyDescent="0.3">
      <c r="A633" s="46"/>
      <c r="B633" s="46"/>
      <c r="C633" s="46"/>
      <c r="D633" s="46"/>
      <c r="E633" s="46"/>
      <c r="F633" s="46"/>
      <c r="G633" s="46"/>
      <c r="H633" s="57"/>
    </row>
    <row r="634" spans="1:8" x14ac:dyDescent="0.3">
      <c r="A634" s="46"/>
      <c r="B634" s="46"/>
      <c r="C634" s="46"/>
      <c r="D634" s="46"/>
      <c r="E634" s="46"/>
      <c r="F634" s="46"/>
      <c r="G634" s="46"/>
      <c r="H634" s="57"/>
    </row>
    <row r="635" spans="1:8" x14ac:dyDescent="0.3">
      <c r="A635" s="46"/>
      <c r="B635" s="46"/>
      <c r="C635" s="46"/>
      <c r="D635" s="46"/>
      <c r="E635" s="46"/>
      <c r="F635" s="46"/>
      <c r="G635" s="46"/>
      <c r="H635" s="57"/>
    </row>
    <row r="636" spans="1:8" x14ac:dyDescent="0.3">
      <c r="A636" s="46"/>
      <c r="B636" s="46"/>
      <c r="C636" s="46"/>
      <c r="D636" s="46"/>
      <c r="E636" s="46"/>
      <c r="F636" s="46"/>
      <c r="G636" s="46"/>
      <c r="H636" s="57"/>
    </row>
    <row r="637" spans="1:8" x14ac:dyDescent="0.3">
      <c r="A637" s="46"/>
      <c r="B637" s="46"/>
      <c r="C637" s="46"/>
      <c r="D637" s="46"/>
      <c r="E637" s="46"/>
      <c r="F637" s="46"/>
      <c r="G637" s="46"/>
      <c r="H637" s="57"/>
    </row>
    <row r="638" spans="1:8" x14ac:dyDescent="0.3">
      <c r="A638" s="46"/>
      <c r="B638" s="46"/>
      <c r="C638" s="46"/>
      <c r="D638" s="46"/>
      <c r="E638" s="46"/>
      <c r="F638" s="46"/>
      <c r="G638" s="46"/>
      <c r="H638" s="57"/>
    </row>
    <row r="639" spans="1:8" x14ac:dyDescent="0.3">
      <c r="A639" s="46"/>
      <c r="B639" s="46"/>
      <c r="C639" s="46"/>
      <c r="D639" s="46"/>
      <c r="E639" s="46"/>
      <c r="F639" s="46"/>
      <c r="G639" s="46"/>
      <c r="H639" s="57"/>
    </row>
    <row r="640" spans="1:8" x14ac:dyDescent="0.3">
      <c r="A640" s="46"/>
      <c r="B640" s="46"/>
      <c r="C640" s="46"/>
      <c r="D640" s="46"/>
      <c r="E640" s="46"/>
      <c r="F640" s="46"/>
      <c r="G640" s="46"/>
      <c r="H640" s="57"/>
    </row>
    <row r="641" spans="1:8" x14ac:dyDescent="0.3">
      <c r="A641" s="46"/>
      <c r="B641" s="46"/>
      <c r="C641" s="46"/>
      <c r="D641" s="46"/>
      <c r="E641" s="46"/>
      <c r="F641" s="46"/>
      <c r="G641" s="46"/>
      <c r="H641" s="57"/>
    </row>
    <row r="642" spans="1:8" x14ac:dyDescent="0.3">
      <c r="A642" s="46"/>
      <c r="B642" s="46"/>
      <c r="C642" s="46"/>
      <c r="D642" s="46"/>
      <c r="E642" s="46"/>
      <c r="F642" s="46"/>
      <c r="G642" s="46"/>
      <c r="H642" s="57"/>
    </row>
    <row r="643" spans="1:8" x14ac:dyDescent="0.3">
      <c r="A643" s="46"/>
      <c r="B643" s="46"/>
      <c r="C643" s="46"/>
      <c r="D643" s="46"/>
      <c r="E643" s="46"/>
      <c r="F643" s="46"/>
      <c r="G643" s="46"/>
      <c r="H643" s="57"/>
    </row>
    <row r="644" spans="1:8" x14ac:dyDescent="0.3">
      <c r="A644" s="46"/>
      <c r="B644" s="46"/>
      <c r="C644" s="46"/>
      <c r="D644" s="46"/>
      <c r="E644" s="46"/>
      <c r="F644" s="46"/>
      <c r="G644" s="46"/>
      <c r="H644" s="57"/>
    </row>
    <row r="645" spans="1:8" x14ac:dyDescent="0.3">
      <c r="A645" s="46"/>
      <c r="B645" s="46"/>
      <c r="C645" s="46"/>
      <c r="D645" s="46"/>
      <c r="E645" s="46"/>
      <c r="F645" s="46"/>
      <c r="G645" s="46"/>
      <c r="H645" s="57"/>
    </row>
    <row r="646" spans="1:8" x14ac:dyDescent="0.3">
      <c r="A646" s="46"/>
      <c r="B646" s="46"/>
      <c r="C646" s="46"/>
      <c r="D646" s="46"/>
      <c r="E646" s="46"/>
      <c r="F646" s="46"/>
      <c r="G646" s="46"/>
      <c r="H646" s="57"/>
    </row>
    <row r="647" spans="1:8" x14ac:dyDescent="0.3">
      <c r="A647" s="46"/>
      <c r="B647" s="46"/>
      <c r="C647" s="46"/>
      <c r="D647" s="46"/>
      <c r="E647" s="46"/>
      <c r="F647" s="46"/>
      <c r="G647" s="46"/>
      <c r="H647" s="57"/>
    </row>
    <row r="648" spans="1:8" x14ac:dyDescent="0.3">
      <c r="A648" s="46"/>
      <c r="B648" s="46"/>
      <c r="C648" s="46"/>
      <c r="D648" s="46"/>
      <c r="E648" s="46"/>
      <c r="F648" s="46"/>
      <c r="G648" s="46"/>
      <c r="H648" s="57"/>
    </row>
    <row r="649" spans="1:8" x14ac:dyDescent="0.3">
      <c r="A649" s="46"/>
      <c r="B649" s="46"/>
      <c r="C649" s="46"/>
      <c r="D649" s="46"/>
      <c r="E649" s="46"/>
      <c r="F649" s="46"/>
      <c r="G649" s="46"/>
      <c r="H649" s="57"/>
    </row>
    <row r="650" spans="1:8" x14ac:dyDescent="0.3">
      <c r="A650" s="46"/>
      <c r="B650" s="46"/>
      <c r="C650" s="46"/>
      <c r="D650" s="46"/>
      <c r="E650" s="46"/>
      <c r="F650" s="46"/>
      <c r="G650" s="46"/>
      <c r="H650" s="57"/>
    </row>
    <row r="651" spans="1:8" x14ac:dyDescent="0.3">
      <c r="A651" s="46"/>
      <c r="B651" s="46"/>
      <c r="C651" s="46"/>
      <c r="D651" s="46"/>
      <c r="E651" s="46"/>
      <c r="F651" s="46"/>
      <c r="G651" s="46"/>
      <c r="H651" s="57"/>
    </row>
    <row r="652" spans="1:8" x14ac:dyDescent="0.3">
      <c r="A652" s="46"/>
      <c r="B652" s="46"/>
      <c r="C652" s="46"/>
      <c r="D652" s="46"/>
      <c r="E652" s="46"/>
      <c r="F652" s="46"/>
      <c r="G652" s="46"/>
      <c r="H652" s="57"/>
    </row>
    <row r="653" spans="1:8" x14ac:dyDescent="0.3">
      <c r="A653" s="46"/>
      <c r="B653" s="46"/>
      <c r="C653" s="46"/>
      <c r="D653" s="46"/>
      <c r="E653" s="46"/>
      <c r="F653" s="46"/>
      <c r="G653" s="46"/>
      <c r="H653" s="57"/>
    </row>
    <row r="654" spans="1:8" x14ac:dyDescent="0.3">
      <c r="A654" s="46"/>
      <c r="B654" s="46"/>
      <c r="C654" s="46"/>
      <c r="D654" s="46"/>
      <c r="E654" s="46"/>
      <c r="F654" s="46"/>
      <c r="G654" s="46"/>
      <c r="H654" s="57"/>
    </row>
    <row r="655" spans="1:8" x14ac:dyDescent="0.3">
      <c r="A655" s="46"/>
      <c r="B655" s="46"/>
      <c r="C655" s="46"/>
      <c r="D655" s="46"/>
      <c r="E655" s="46"/>
      <c r="F655" s="46"/>
      <c r="G655" s="46"/>
      <c r="H655" s="57"/>
    </row>
    <row r="656" spans="1:8" x14ac:dyDescent="0.3">
      <c r="A656" s="46"/>
      <c r="B656" s="46"/>
      <c r="C656" s="46"/>
      <c r="D656" s="46"/>
      <c r="E656" s="46"/>
      <c r="F656" s="46"/>
      <c r="G656" s="46"/>
      <c r="H656" s="57"/>
    </row>
    <row r="657" spans="1:8" x14ac:dyDescent="0.3">
      <c r="A657" s="46"/>
      <c r="B657" s="46"/>
      <c r="C657" s="46"/>
      <c r="D657" s="46"/>
      <c r="E657" s="46"/>
      <c r="F657" s="46"/>
      <c r="G657" s="46"/>
      <c r="H657" s="57"/>
    </row>
    <row r="658" spans="1:8" x14ac:dyDescent="0.3">
      <c r="A658" s="46"/>
      <c r="B658" s="46"/>
      <c r="C658" s="46"/>
      <c r="D658" s="46"/>
      <c r="E658" s="46"/>
      <c r="F658" s="46"/>
      <c r="G658" s="46"/>
      <c r="H658" s="57"/>
    </row>
    <row r="659" spans="1:8" x14ac:dyDescent="0.3">
      <c r="A659" s="46"/>
      <c r="B659" s="46"/>
      <c r="C659" s="46"/>
      <c r="D659" s="46"/>
      <c r="E659" s="46"/>
      <c r="F659" s="46"/>
      <c r="G659" s="46"/>
      <c r="H659" s="57"/>
    </row>
    <row r="660" spans="1:8" x14ac:dyDescent="0.3">
      <c r="A660" s="46"/>
      <c r="B660" s="46"/>
      <c r="C660" s="46"/>
      <c r="D660" s="46"/>
      <c r="E660" s="46"/>
      <c r="F660" s="46"/>
      <c r="G660" s="46"/>
      <c r="H660" s="57"/>
    </row>
    <row r="661" spans="1:8" x14ac:dyDescent="0.3">
      <c r="A661" s="46"/>
      <c r="B661" s="46"/>
      <c r="C661" s="46"/>
      <c r="D661" s="46"/>
      <c r="E661" s="46"/>
      <c r="F661" s="46"/>
      <c r="G661" s="46"/>
      <c r="H661" s="57"/>
    </row>
    <row r="662" spans="1:8" x14ac:dyDescent="0.3">
      <c r="A662" s="46"/>
      <c r="B662" s="46"/>
      <c r="C662" s="46"/>
      <c r="D662" s="46"/>
      <c r="E662" s="46"/>
      <c r="F662" s="46"/>
      <c r="G662" s="46"/>
      <c r="H662" s="57"/>
    </row>
    <row r="663" spans="1:8" x14ac:dyDescent="0.3">
      <c r="A663" s="46"/>
      <c r="B663" s="46"/>
      <c r="C663" s="46"/>
      <c r="D663" s="46"/>
      <c r="E663" s="46"/>
      <c r="F663" s="46"/>
      <c r="G663" s="46"/>
      <c r="H663" s="57"/>
    </row>
    <row r="664" spans="1:8" x14ac:dyDescent="0.3">
      <c r="A664" s="46"/>
      <c r="B664" s="46"/>
      <c r="C664" s="46"/>
      <c r="D664" s="46"/>
      <c r="E664" s="46"/>
      <c r="F664" s="46"/>
      <c r="G664" s="46"/>
      <c r="H664" s="57"/>
    </row>
    <row r="665" spans="1:8" x14ac:dyDescent="0.3">
      <c r="A665" s="46"/>
      <c r="B665" s="46"/>
      <c r="C665" s="46"/>
      <c r="D665" s="46"/>
      <c r="E665" s="46"/>
      <c r="F665" s="46"/>
      <c r="G665" s="46"/>
      <c r="H665" s="57"/>
    </row>
    <row r="666" spans="1:8" x14ac:dyDescent="0.3">
      <c r="A666" s="46"/>
      <c r="B666" s="46"/>
      <c r="C666" s="46"/>
      <c r="D666" s="46"/>
      <c r="E666" s="46"/>
      <c r="F666" s="46"/>
      <c r="G666" s="46"/>
      <c r="H666" s="57"/>
    </row>
    <row r="667" spans="1:8" x14ac:dyDescent="0.3">
      <c r="A667" s="46"/>
      <c r="B667" s="46"/>
      <c r="C667" s="46"/>
      <c r="D667" s="46"/>
      <c r="E667" s="46"/>
      <c r="F667" s="46"/>
      <c r="G667" s="46"/>
      <c r="H667" s="57"/>
    </row>
    <row r="668" spans="1:8" x14ac:dyDescent="0.3">
      <c r="A668" s="46"/>
      <c r="B668" s="46"/>
      <c r="C668" s="46"/>
      <c r="D668" s="46"/>
      <c r="E668" s="46"/>
      <c r="F668" s="46"/>
      <c r="G668" s="46"/>
      <c r="H668" s="57"/>
    </row>
    <row r="669" spans="1:8" x14ac:dyDescent="0.3">
      <c r="A669" s="46"/>
      <c r="B669" s="46"/>
      <c r="C669" s="46"/>
      <c r="D669" s="46"/>
      <c r="E669" s="46"/>
      <c r="F669" s="46"/>
      <c r="G669" s="46"/>
      <c r="H669" s="57"/>
    </row>
    <row r="670" spans="1:8" x14ac:dyDescent="0.3">
      <c r="A670" s="46"/>
      <c r="B670" s="46"/>
      <c r="C670" s="46"/>
      <c r="D670" s="46"/>
      <c r="E670" s="46"/>
      <c r="F670" s="46"/>
      <c r="G670" s="46"/>
      <c r="H670" s="57"/>
    </row>
    <row r="671" spans="1:8" x14ac:dyDescent="0.3">
      <c r="A671" s="46"/>
      <c r="B671" s="46"/>
      <c r="C671" s="46"/>
      <c r="D671" s="46"/>
      <c r="E671" s="46"/>
      <c r="F671" s="46"/>
      <c r="G671" s="46"/>
      <c r="H671" s="57"/>
    </row>
    <row r="672" spans="1:8" x14ac:dyDescent="0.3">
      <c r="A672" s="46"/>
      <c r="B672" s="46"/>
      <c r="C672" s="46"/>
      <c r="D672" s="46"/>
      <c r="E672" s="46"/>
      <c r="F672" s="46"/>
      <c r="G672" s="46"/>
      <c r="H672" s="57"/>
    </row>
    <row r="673" spans="1:8" x14ac:dyDescent="0.3">
      <c r="A673" s="46"/>
      <c r="B673" s="46"/>
      <c r="C673" s="46"/>
      <c r="D673" s="46"/>
      <c r="E673" s="46"/>
      <c r="F673" s="46"/>
      <c r="G673" s="46"/>
      <c r="H673" s="57"/>
    </row>
    <row r="674" spans="1:8" x14ac:dyDescent="0.3">
      <c r="A674" s="46"/>
      <c r="B674" s="46"/>
      <c r="C674" s="46"/>
      <c r="D674" s="46"/>
      <c r="E674" s="46"/>
      <c r="F674" s="46"/>
      <c r="G674" s="46"/>
      <c r="H674" s="57"/>
    </row>
    <row r="675" spans="1:8" x14ac:dyDescent="0.3">
      <c r="A675" s="46"/>
      <c r="B675" s="46"/>
      <c r="C675" s="46"/>
      <c r="D675" s="46"/>
      <c r="E675" s="46"/>
      <c r="F675" s="46"/>
      <c r="G675" s="46"/>
      <c r="H675" s="57"/>
    </row>
    <row r="676" spans="1:8" x14ac:dyDescent="0.3">
      <c r="A676" s="46"/>
      <c r="B676" s="46"/>
      <c r="C676" s="46"/>
      <c r="D676" s="46"/>
      <c r="E676" s="46"/>
      <c r="F676" s="46"/>
      <c r="G676" s="46"/>
      <c r="H676" s="57"/>
    </row>
    <row r="677" spans="1:8" x14ac:dyDescent="0.3">
      <c r="A677" s="46"/>
      <c r="B677" s="46"/>
      <c r="C677" s="46"/>
      <c r="D677" s="46"/>
      <c r="E677" s="46"/>
      <c r="F677" s="46"/>
      <c r="G677" s="46"/>
      <c r="H677" s="57"/>
    </row>
    <row r="678" spans="1:8" x14ac:dyDescent="0.3">
      <c r="A678" s="46"/>
      <c r="B678" s="46"/>
      <c r="C678" s="46"/>
      <c r="D678" s="46"/>
      <c r="E678" s="46"/>
      <c r="F678" s="46"/>
      <c r="G678" s="46"/>
      <c r="H678" s="57"/>
    </row>
    <row r="679" spans="1:8" x14ac:dyDescent="0.3">
      <c r="A679" s="46"/>
      <c r="B679" s="46"/>
      <c r="C679" s="46"/>
      <c r="D679" s="46"/>
      <c r="E679" s="46"/>
      <c r="F679" s="46"/>
      <c r="G679" s="46"/>
      <c r="H679" s="57"/>
    </row>
    <row r="680" spans="1:8" x14ac:dyDescent="0.3">
      <c r="A680" s="46"/>
      <c r="B680" s="46"/>
      <c r="C680" s="46"/>
      <c r="D680" s="46"/>
      <c r="E680" s="46"/>
      <c r="F680" s="46"/>
      <c r="G680" s="46"/>
      <c r="H680" s="57"/>
    </row>
    <row r="681" spans="1:8" x14ac:dyDescent="0.3">
      <c r="A681" s="46"/>
      <c r="B681" s="46"/>
      <c r="C681" s="46"/>
      <c r="D681" s="46"/>
      <c r="E681" s="46"/>
      <c r="F681" s="46"/>
      <c r="G681" s="46"/>
      <c r="H681" s="57"/>
    </row>
    <row r="682" spans="1:8" x14ac:dyDescent="0.3">
      <c r="A682" s="46"/>
      <c r="B682" s="46"/>
      <c r="C682" s="46"/>
      <c r="D682" s="46"/>
      <c r="E682" s="46"/>
      <c r="F682" s="46"/>
      <c r="G682" s="46"/>
      <c r="H682" s="57"/>
    </row>
    <row r="683" spans="1:8" x14ac:dyDescent="0.3">
      <c r="A683" s="46"/>
      <c r="B683" s="46"/>
      <c r="C683" s="46"/>
      <c r="D683" s="46"/>
      <c r="E683" s="46"/>
      <c r="F683" s="46"/>
      <c r="G683" s="46"/>
      <c r="H683" s="57"/>
    </row>
    <row r="684" spans="1:8" x14ac:dyDescent="0.3">
      <c r="A684" s="46"/>
      <c r="B684" s="46"/>
      <c r="C684" s="46"/>
      <c r="D684" s="46"/>
      <c r="E684" s="46"/>
      <c r="F684" s="46"/>
      <c r="G684" s="46"/>
      <c r="H684" s="57"/>
    </row>
    <row r="685" spans="1:8" x14ac:dyDescent="0.3">
      <c r="A685" s="46"/>
      <c r="B685" s="46"/>
      <c r="C685" s="46"/>
      <c r="D685" s="46"/>
      <c r="E685" s="46"/>
      <c r="F685" s="46"/>
      <c r="G685" s="46"/>
      <c r="H685" s="57"/>
    </row>
    <row r="686" spans="1:8" x14ac:dyDescent="0.3">
      <c r="A686" s="46"/>
      <c r="B686" s="46"/>
      <c r="C686" s="46"/>
      <c r="D686" s="46"/>
      <c r="E686" s="46"/>
      <c r="F686" s="46"/>
      <c r="G686" s="46"/>
      <c r="H686" s="57"/>
    </row>
    <row r="687" spans="1:8" x14ac:dyDescent="0.3">
      <c r="A687" s="46"/>
      <c r="B687" s="46"/>
      <c r="C687" s="46"/>
      <c r="D687" s="46"/>
      <c r="E687" s="46"/>
      <c r="F687" s="46"/>
      <c r="G687" s="46"/>
      <c r="H687" s="57"/>
    </row>
    <row r="688" spans="1:8" x14ac:dyDescent="0.3">
      <c r="A688" s="46"/>
      <c r="B688" s="46"/>
      <c r="C688" s="46"/>
      <c r="D688" s="46"/>
      <c r="E688" s="46"/>
      <c r="F688" s="46"/>
      <c r="G688" s="46"/>
      <c r="H688" s="57"/>
    </row>
    <row r="689" spans="1:8" x14ac:dyDescent="0.3">
      <c r="A689" s="46"/>
      <c r="B689" s="46"/>
      <c r="C689" s="46"/>
      <c r="D689" s="46"/>
      <c r="E689" s="46"/>
      <c r="F689" s="46"/>
      <c r="G689" s="46"/>
      <c r="H689" s="57"/>
    </row>
    <row r="690" spans="1:8" x14ac:dyDescent="0.3">
      <c r="A690" s="46"/>
      <c r="B690" s="46"/>
      <c r="C690" s="46"/>
      <c r="D690" s="46"/>
      <c r="E690" s="46"/>
      <c r="F690" s="46"/>
      <c r="G690" s="46"/>
      <c r="H690" s="57"/>
    </row>
    <row r="691" spans="1:8" x14ac:dyDescent="0.3">
      <c r="A691" s="46"/>
      <c r="B691" s="46"/>
      <c r="C691" s="46"/>
      <c r="D691" s="46"/>
      <c r="E691" s="46"/>
      <c r="F691" s="46"/>
      <c r="G691" s="46"/>
      <c r="H691" s="57"/>
    </row>
    <row r="692" spans="1:8" x14ac:dyDescent="0.3">
      <c r="A692" s="46"/>
      <c r="B692" s="46"/>
      <c r="C692" s="46"/>
      <c r="D692" s="46"/>
      <c r="E692" s="46"/>
      <c r="F692" s="46"/>
      <c r="G692" s="46"/>
      <c r="H692" s="57"/>
    </row>
    <row r="693" spans="1:8" x14ac:dyDescent="0.3">
      <c r="A693" s="46"/>
      <c r="B693" s="46"/>
      <c r="C693" s="46"/>
      <c r="D693" s="46"/>
      <c r="E693" s="46"/>
      <c r="F693" s="46"/>
      <c r="G693" s="46"/>
      <c r="H693" s="57"/>
    </row>
    <row r="694" spans="1:8" x14ac:dyDescent="0.3">
      <c r="A694" s="46"/>
      <c r="B694" s="46"/>
      <c r="C694" s="46"/>
      <c r="D694" s="46"/>
      <c r="E694" s="46"/>
      <c r="F694" s="46"/>
      <c r="G694" s="46"/>
      <c r="H694" s="57"/>
    </row>
    <row r="695" spans="1:8" x14ac:dyDescent="0.3">
      <c r="A695" s="46"/>
      <c r="B695" s="46"/>
      <c r="C695" s="46"/>
      <c r="D695" s="46"/>
      <c r="E695" s="46"/>
      <c r="F695" s="46"/>
      <c r="G695" s="46"/>
      <c r="H695" s="57"/>
    </row>
    <row r="696" spans="1:8" x14ac:dyDescent="0.3">
      <c r="A696" s="46"/>
      <c r="B696" s="46"/>
      <c r="C696" s="46"/>
      <c r="D696" s="46"/>
      <c r="E696" s="46"/>
      <c r="F696" s="46"/>
      <c r="G696" s="46"/>
      <c r="H696" s="57"/>
    </row>
    <row r="697" spans="1:8" x14ac:dyDescent="0.3">
      <c r="A697" s="46"/>
      <c r="B697" s="46"/>
      <c r="C697" s="46"/>
      <c r="D697" s="46"/>
      <c r="E697" s="46"/>
      <c r="F697" s="46"/>
      <c r="G697" s="46"/>
      <c r="H697" s="57"/>
    </row>
    <row r="698" spans="1:8" x14ac:dyDescent="0.3">
      <c r="A698" s="46"/>
      <c r="B698" s="46"/>
      <c r="C698" s="46"/>
      <c r="D698" s="46"/>
      <c r="E698" s="46"/>
      <c r="F698" s="46"/>
      <c r="G698" s="46"/>
      <c r="H698" s="57"/>
    </row>
    <row r="699" spans="1:8" x14ac:dyDescent="0.3">
      <c r="A699" s="46"/>
      <c r="B699" s="46"/>
      <c r="C699" s="46"/>
      <c r="D699" s="46"/>
      <c r="E699" s="46"/>
      <c r="F699" s="46"/>
      <c r="G699" s="46"/>
      <c r="H699" s="57"/>
    </row>
    <row r="700" spans="1:8" x14ac:dyDescent="0.3">
      <c r="A700" s="46"/>
      <c r="B700" s="46"/>
      <c r="C700" s="46"/>
      <c r="D700" s="46"/>
      <c r="E700" s="46"/>
      <c r="F700" s="46"/>
      <c r="G700" s="46"/>
      <c r="H700" s="57"/>
    </row>
    <row r="701" spans="1:8" x14ac:dyDescent="0.3">
      <c r="A701" s="46"/>
      <c r="B701" s="46"/>
      <c r="C701" s="46"/>
      <c r="D701" s="46"/>
      <c r="E701" s="46"/>
      <c r="F701" s="46"/>
      <c r="G701" s="46"/>
      <c r="H701" s="57"/>
    </row>
    <row r="702" spans="1:8" x14ac:dyDescent="0.3">
      <c r="A702" s="46"/>
      <c r="B702" s="46"/>
      <c r="C702" s="46"/>
      <c r="D702" s="46"/>
      <c r="E702" s="46"/>
      <c r="F702" s="46"/>
      <c r="G702" s="46"/>
      <c r="H702" s="57"/>
    </row>
    <row r="703" spans="1:8" x14ac:dyDescent="0.3">
      <c r="A703" s="46"/>
      <c r="B703" s="46"/>
      <c r="C703" s="46"/>
      <c r="D703" s="46"/>
      <c r="E703" s="46"/>
      <c r="F703" s="46"/>
      <c r="G703" s="46"/>
      <c r="H703" s="57"/>
    </row>
    <row r="704" spans="1:8" x14ac:dyDescent="0.3">
      <c r="A704" s="46"/>
      <c r="B704" s="46"/>
      <c r="C704" s="46"/>
      <c r="D704" s="46"/>
      <c r="E704" s="46"/>
      <c r="F704" s="46"/>
      <c r="G704" s="46"/>
      <c r="H704" s="57"/>
    </row>
    <row r="705" spans="1:8" x14ac:dyDescent="0.3">
      <c r="A705" s="46"/>
      <c r="B705" s="46"/>
      <c r="C705" s="46"/>
      <c r="D705" s="46"/>
      <c r="E705" s="46"/>
      <c r="F705" s="46"/>
      <c r="G705" s="46"/>
      <c r="H705" s="57"/>
    </row>
    <row r="706" spans="1:8" x14ac:dyDescent="0.3">
      <c r="A706" s="46"/>
      <c r="B706" s="46"/>
      <c r="C706" s="46"/>
      <c r="D706" s="46"/>
      <c r="E706" s="46"/>
      <c r="F706" s="46"/>
      <c r="G706" s="46"/>
      <c r="H706" s="57"/>
    </row>
    <row r="707" spans="1:8" x14ac:dyDescent="0.3">
      <c r="A707" s="46"/>
      <c r="B707" s="46"/>
      <c r="C707" s="46"/>
      <c r="D707" s="46"/>
      <c r="E707" s="46"/>
      <c r="F707" s="46"/>
      <c r="G707" s="46"/>
      <c r="H707" s="57"/>
    </row>
    <row r="708" spans="1:8" x14ac:dyDescent="0.3">
      <c r="A708" s="46"/>
      <c r="B708" s="46"/>
      <c r="C708" s="46"/>
      <c r="D708" s="46"/>
      <c r="E708" s="46"/>
      <c r="F708" s="46"/>
      <c r="G708" s="46"/>
      <c r="H708" s="57"/>
    </row>
    <row r="709" spans="1:8" x14ac:dyDescent="0.3">
      <c r="A709" s="46"/>
      <c r="B709" s="46"/>
      <c r="C709" s="46"/>
      <c r="D709" s="46"/>
      <c r="E709" s="46"/>
      <c r="F709" s="46"/>
      <c r="G709" s="46"/>
      <c r="H709" s="57"/>
    </row>
    <row r="710" spans="1:8" x14ac:dyDescent="0.3">
      <c r="A710" s="46"/>
      <c r="B710" s="46"/>
      <c r="C710" s="46"/>
      <c r="D710" s="46"/>
      <c r="E710" s="46"/>
      <c r="F710" s="46"/>
      <c r="G710" s="46"/>
      <c r="H710" s="57"/>
    </row>
    <row r="711" spans="1:8" x14ac:dyDescent="0.3">
      <c r="A711" s="46"/>
      <c r="B711" s="46"/>
      <c r="C711" s="46"/>
      <c r="D711" s="46"/>
      <c r="E711" s="46"/>
      <c r="F711" s="46"/>
      <c r="G711" s="46"/>
      <c r="H711" s="57"/>
    </row>
    <row r="712" spans="1:8" x14ac:dyDescent="0.3">
      <c r="A712" s="46"/>
      <c r="B712" s="46"/>
      <c r="C712" s="46"/>
      <c r="D712" s="46"/>
      <c r="E712" s="46"/>
      <c r="F712" s="46"/>
      <c r="G712" s="46"/>
      <c r="H712" s="57"/>
    </row>
    <row r="713" spans="1:8" x14ac:dyDescent="0.3">
      <c r="A713" s="46"/>
      <c r="B713" s="46"/>
      <c r="C713" s="46"/>
      <c r="D713" s="46"/>
      <c r="E713" s="46"/>
      <c r="F713" s="46"/>
      <c r="G713" s="46"/>
      <c r="H713" s="57"/>
    </row>
    <row r="714" spans="1:8" x14ac:dyDescent="0.3">
      <c r="A714" s="46"/>
      <c r="B714" s="46"/>
      <c r="C714" s="46"/>
      <c r="D714" s="46"/>
      <c r="E714" s="46"/>
      <c r="F714" s="46"/>
      <c r="G714" s="46"/>
      <c r="H714" s="57"/>
    </row>
    <row r="715" spans="1:8" x14ac:dyDescent="0.3">
      <c r="A715" s="46"/>
      <c r="B715" s="46"/>
      <c r="C715" s="46"/>
      <c r="D715" s="46"/>
      <c r="E715" s="46"/>
      <c r="F715" s="46"/>
      <c r="G715" s="46"/>
      <c r="H715" s="57"/>
    </row>
    <row r="716" spans="1:8" x14ac:dyDescent="0.3">
      <c r="A716" s="46"/>
      <c r="B716" s="46"/>
      <c r="C716" s="46"/>
      <c r="D716" s="46"/>
      <c r="E716" s="46"/>
      <c r="F716" s="46"/>
      <c r="G716" s="46"/>
      <c r="H716" s="57"/>
    </row>
    <row r="717" spans="1:8" x14ac:dyDescent="0.3">
      <c r="A717" s="46"/>
      <c r="B717" s="46"/>
      <c r="C717" s="46"/>
      <c r="D717" s="46"/>
      <c r="E717" s="46"/>
      <c r="F717" s="46"/>
      <c r="G717" s="46"/>
      <c r="H717" s="57"/>
    </row>
    <row r="718" spans="1:8" x14ac:dyDescent="0.3">
      <c r="A718" s="46"/>
      <c r="B718" s="46"/>
      <c r="C718" s="46"/>
      <c r="D718" s="46"/>
      <c r="E718" s="46"/>
      <c r="F718" s="46"/>
      <c r="G718" s="46"/>
      <c r="H718" s="57"/>
    </row>
    <row r="719" spans="1:8" x14ac:dyDescent="0.3">
      <c r="A719" s="46"/>
      <c r="B719" s="46"/>
      <c r="C719" s="46"/>
      <c r="D719" s="46"/>
      <c r="E719" s="46"/>
      <c r="F719" s="46"/>
      <c r="G719" s="46"/>
      <c r="H719" s="57"/>
    </row>
    <row r="720" spans="1:8" x14ac:dyDescent="0.3">
      <c r="A720" s="46"/>
      <c r="B720" s="46"/>
      <c r="C720" s="46"/>
      <c r="D720" s="46"/>
      <c r="E720" s="46"/>
      <c r="F720" s="46"/>
      <c r="G720" s="46"/>
      <c r="H720" s="57"/>
    </row>
    <row r="721" spans="1:8" x14ac:dyDescent="0.3">
      <c r="A721" s="46"/>
      <c r="B721" s="46"/>
      <c r="C721" s="46"/>
      <c r="D721" s="46"/>
      <c r="E721" s="46"/>
      <c r="F721" s="46"/>
      <c r="G721" s="46"/>
      <c r="H721" s="57"/>
    </row>
    <row r="722" spans="1:8" x14ac:dyDescent="0.3">
      <c r="A722" s="46"/>
      <c r="B722" s="46"/>
      <c r="C722" s="46"/>
      <c r="D722" s="46"/>
      <c r="E722" s="46"/>
      <c r="F722" s="46"/>
      <c r="G722" s="46"/>
      <c r="H722" s="57"/>
    </row>
    <row r="723" spans="1:8" x14ac:dyDescent="0.3">
      <c r="A723" s="46"/>
      <c r="B723" s="46"/>
      <c r="C723" s="46"/>
      <c r="D723" s="46"/>
      <c r="E723" s="46"/>
      <c r="F723" s="46"/>
      <c r="G723" s="46"/>
      <c r="H723" s="57"/>
    </row>
    <row r="724" spans="1:8" x14ac:dyDescent="0.3">
      <c r="A724" s="46"/>
      <c r="B724" s="46"/>
      <c r="C724" s="46"/>
      <c r="D724" s="46"/>
      <c r="E724" s="46"/>
      <c r="F724" s="46"/>
      <c r="G724" s="46"/>
      <c r="H724" s="57"/>
    </row>
    <row r="725" spans="1:8" x14ac:dyDescent="0.3">
      <c r="A725" s="46"/>
      <c r="B725" s="46"/>
      <c r="C725" s="46"/>
      <c r="D725" s="46"/>
      <c r="E725" s="46"/>
      <c r="F725" s="46"/>
      <c r="G725" s="46"/>
      <c r="H725" s="57"/>
    </row>
    <row r="726" spans="1:8" x14ac:dyDescent="0.3">
      <c r="A726" s="46"/>
      <c r="B726" s="46"/>
      <c r="C726" s="46"/>
      <c r="D726" s="46"/>
      <c r="E726" s="46"/>
      <c r="F726" s="46"/>
      <c r="G726" s="46"/>
      <c r="H726" s="57"/>
    </row>
    <row r="727" spans="1:8" x14ac:dyDescent="0.3">
      <c r="A727" s="46"/>
      <c r="B727" s="46"/>
      <c r="C727" s="46"/>
      <c r="D727" s="46"/>
      <c r="E727" s="46"/>
      <c r="F727" s="46"/>
      <c r="G727" s="46"/>
      <c r="H727" s="57"/>
    </row>
    <row r="728" spans="1:8" x14ac:dyDescent="0.3">
      <c r="A728" s="46"/>
      <c r="B728" s="46"/>
      <c r="C728" s="46"/>
      <c r="D728" s="46"/>
      <c r="E728" s="46"/>
      <c r="F728" s="46"/>
      <c r="G728" s="46"/>
      <c r="H728" s="57"/>
    </row>
    <row r="729" spans="1:8" x14ac:dyDescent="0.3">
      <c r="A729" s="46"/>
      <c r="B729" s="46"/>
      <c r="C729" s="46"/>
      <c r="D729" s="46"/>
      <c r="E729" s="46"/>
      <c r="F729" s="46"/>
      <c r="G729" s="46"/>
      <c r="H729" s="57"/>
    </row>
    <row r="730" spans="1:8" x14ac:dyDescent="0.3">
      <c r="A730" s="46"/>
      <c r="B730" s="46"/>
      <c r="C730" s="46"/>
      <c r="D730" s="46"/>
      <c r="E730" s="46"/>
      <c r="F730" s="46"/>
      <c r="G730" s="46"/>
      <c r="H730" s="57"/>
    </row>
    <row r="731" spans="1:8" x14ac:dyDescent="0.3">
      <c r="A731" s="46"/>
      <c r="B731" s="46"/>
      <c r="C731" s="46"/>
      <c r="D731" s="46"/>
      <c r="E731" s="46"/>
      <c r="F731" s="46"/>
      <c r="G731" s="46"/>
      <c r="H731" s="57"/>
    </row>
    <row r="732" spans="1:8" x14ac:dyDescent="0.3">
      <c r="A732" s="46"/>
      <c r="B732" s="46"/>
      <c r="C732" s="46"/>
      <c r="D732" s="46"/>
      <c r="E732" s="46"/>
      <c r="F732" s="46"/>
      <c r="G732" s="46"/>
      <c r="H732" s="57"/>
    </row>
    <row r="733" spans="1:8" x14ac:dyDescent="0.3">
      <c r="A733" s="46"/>
      <c r="B733" s="46"/>
      <c r="C733" s="46"/>
      <c r="D733" s="46"/>
      <c r="E733" s="46"/>
      <c r="F733" s="46"/>
      <c r="G733" s="46"/>
      <c r="H733" s="57"/>
    </row>
    <row r="734" spans="1:8" x14ac:dyDescent="0.3">
      <c r="A734" s="46"/>
      <c r="B734" s="46"/>
      <c r="C734" s="46"/>
      <c r="D734" s="46"/>
      <c r="E734" s="46"/>
      <c r="F734" s="46"/>
      <c r="G734" s="46"/>
      <c r="H734" s="57"/>
    </row>
    <row r="735" spans="1:8" x14ac:dyDescent="0.3">
      <c r="A735" s="46"/>
      <c r="B735" s="46"/>
      <c r="C735" s="46"/>
      <c r="D735" s="46"/>
      <c r="E735" s="46"/>
      <c r="F735" s="46"/>
      <c r="G735" s="46"/>
      <c r="H735" s="57"/>
    </row>
    <row r="736" spans="1:8" x14ac:dyDescent="0.3">
      <c r="A736" s="46"/>
      <c r="B736" s="46"/>
      <c r="C736" s="46"/>
      <c r="D736" s="46"/>
      <c r="E736" s="46"/>
      <c r="F736" s="46"/>
      <c r="G736" s="46"/>
      <c r="H736" s="57"/>
    </row>
    <row r="737" spans="1:8" x14ac:dyDescent="0.3">
      <c r="A737" s="46"/>
      <c r="B737" s="46"/>
      <c r="C737" s="46"/>
      <c r="D737" s="46"/>
      <c r="E737" s="46"/>
      <c r="F737" s="46"/>
      <c r="G737" s="46"/>
      <c r="H737" s="57"/>
    </row>
    <row r="738" spans="1:8" x14ac:dyDescent="0.3">
      <c r="A738" s="46"/>
      <c r="B738" s="46"/>
      <c r="C738" s="46"/>
      <c r="D738" s="46"/>
      <c r="E738" s="46"/>
      <c r="F738" s="46"/>
      <c r="G738" s="46"/>
      <c r="H738" s="57"/>
    </row>
    <row r="739" spans="1:8" x14ac:dyDescent="0.3">
      <c r="A739" s="46"/>
      <c r="B739" s="46"/>
      <c r="C739" s="46"/>
      <c r="D739" s="46"/>
      <c r="E739" s="46"/>
      <c r="F739" s="46"/>
      <c r="G739" s="46"/>
      <c r="H739" s="57"/>
    </row>
    <row r="740" spans="1:8" x14ac:dyDescent="0.3">
      <c r="A740" s="46"/>
      <c r="B740" s="46"/>
      <c r="C740" s="46"/>
      <c r="D740" s="46"/>
      <c r="E740" s="46"/>
      <c r="F740" s="46"/>
      <c r="G740" s="46"/>
      <c r="H740" s="57"/>
    </row>
    <row r="741" spans="1:8" x14ac:dyDescent="0.3">
      <c r="A741" s="46"/>
      <c r="B741" s="46"/>
      <c r="C741" s="46"/>
      <c r="D741" s="46"/>
      <c r="E741" s="46"/>
      <c r="F741" s="46"/>
      <c r="G741" s="46"/>
      <c r="H741" s="57"/>
    </row>
    <row r="742" spans="1:8" x14ac:dyDescent="0.3">
      <c r="A742" s="46"/>
      <c r="B742" s="46"/>
      <c r="C742" s="46"/>
      <c r="D742" s="46"/>
      <c r="E742" s="46"/>
      <c r="F742" s="46"/>
      <c r="G742" s="46"/>
      <c r="H742" s="57"/>
    </row>
    <row r="743" spans="1:8" x14ac:dyDescent="0.3">
      <c r="A743" s="46"/>
      <c r="B743" s="46"/>
      <c r="C743" s="46"/>
      <c r="D743" s="46"/>
      <c r="E743" s="46"/>
      <c r="F743" s="46"/>
      <c r="G743" s="46"/>
      <c r="H743" s="57"/>
    </row>
    <row r="744" spans="1:8" x14ac:dyDescent="0.3">
      <c r="A744" s="46"/>
      <c r="B744" s="46"/>
      <c r="C744" s="46"/>
      <c r="D744" s="46"/>
      <c r="E744" s="46"/>
      <c r="F744" s="46"/>
      <c r="G744" s="46"/>
      <c r="H744" s="57"/>
    </row>
    <row r="745" spans="1:8" x14ac:dyDescent="0.3">
      <c r="A745" s="46"/>
      <c r="B745" s="46"/>
      <c r="C745" s="46"/>
      <c r="D745" s="46"/>
      <c r="E745" s="46"/>
      <c r="F745" s="46"/>
      <c r="G745" s="46"/>
      <c r="H745" s="57"/>
    </row>
    <row r="746" spans="1:8" x14ac:dyDescent="0.3">
      <c r="A746" s="46"/>
      <c r="B746" s="46"/>
      <c r="C746" s="46"/>
      <c r="D746" s="46"/>
      <c r="E746" s="46"/>
      <c r="F746" s="46"/>
      <c r="G746" s="46"/>
      <c r="H746" s="57"/>
    </row>
    <row r="747" spans="1:8" x14ac:dyDescent="0.3">
      <c r="A747" s="46"/>
      <c r="B747" s="46"/>
      <c r="C747" s="46"/>
      <c r="D747" s="46"/>
      <c r="E747" s="46"/>
      <c r="F747" s="46"/>
      <c r="G747" s="46"/>
      <c r="H747" s="57"/>
    </row>
    <row r="748" spans="1:8" x14ac:dyDescent="0.3">
      <c r="A748" s="46"/>
      <c r="B748" s="46"/>
      <c r="C748" s="46"/>
      <c r="D748" s="46"/>
      <c r="E748" s="46"/>
      <c r="F748" s="46"/>
      <c r="G748" s="46"/>
      <c r="H748" s="57"/>
    </row>
    <row r="749" spans="1:8" x14ac:dyDescent="0.3">
      <c r="A749" s="46"/>
      <c r="B749" s="46"/>
      <c r="C749" s="46"/>
      <c r="D749" s="46"/>
      <c r="E749" s="46"/>
      <c r="F749" s="46"/>
      <c r="G749" s="46"/>
      <c r="H749" s="57"/>
    </row>
    <row r="750" spans="1:8" x14ac:dyDescent="0.3">
      <c r="A750" s="46"/>
      <c r="B750" s="46"/>
      <c r="C750" s="46"/>
      <c r="D750" s="46"/>
      <c r="E750" s="46"/>
      <c r="F750" s="46"/>
      <c r="G750" s="46"/>
      <c r="H750" s="57"/>
    </row>
    <row r="751" spans="1:8" x14ac:dyDescent="0.3">
      <c r="A751" s="46"/>
      <c r="B751" s="46"/>
      <c r="C751" s="46"/>
      <c r="D751" s="46"/>
      <c r="E751" s="46"/>
      <c r="F751" s="46"/>
      <c r="G751" s="46"/>
      <c r="H751" s="57"/>
    </row>
    <row r="752" spans="1:8" x14ac:dyDescent="0.3">
      <c r="A752" s="46"/>
      <c r="B752" s="46"/>
      <c r="C752" s="46"/>
      <c r="D752" s="46"/>
      <c r="E752" s="46"/>
      <c r="F752" s="46"/>
      <c r="G752" s="46"/>
      <c r="H752" s="57"/>
    </row>
    <row r="753" spans="1:8" x14ac:dyDescent="0.3">
      <c r="A753" s="46"/>
      <c r="B753" s="46"/>
      <c r="C753" s="46"/>
      <c r="D753" s="46"/>
      <c r="E753" s="46"/>
      <c r="F753" s="46"/>
      <c r="G753" s="46"/>
      <c r="H753" s="57"/>
    </row>
    <row r="754" spans="1:8" x14ac:dyDescent="0.3">
      <c r="A754" s="46"/>
      <c r="B754" s="46"/>
      <c r="C754" s="46"/>
      <c r="D754" s="46"/>
      <c r="E754" s="46"/>
      <c r="F754" s="46"/>
      <c r="G754" s="46"/>
      <c r="H754" s="57"/>
    </row>
    <row r="755" spans="1:8" x14ac:dyDescent="0.3">
      <c r="A755" s="46"/>
      <c r="B755" s="46"/>
      <c r="C755" s="46"/>
      <c r="D755" s="46"/>
      <c r="E755" s="46"/>
      <c r="F755" s="46"/>
      <c r="G755" s="46"/>
      <c r="H755" s="57"/>
    </row>
    <row r="756" spans="1:8" x14ac:dyDescent="0.3">
      <c r="A756" s="46"/>
      <c r="B756" s="46"/>
      <c r="C756" s="46"/>
      <c r="D756" s="46"/>
      <c r="E756" s="46"/>
      <c r="F756" s="46"/>
      <c r="G756" s="46"/>
      <c r="H756" s="57"/>
    </row>
    <row r="757" spans="1:8" x14ac:dyDescent="0.3">
      <c r="A757" s="46"/>
      <c r="B757" s="46"/>
      <c r="C757" s="46"/>
      <c r="D757" s="46"/>
      <c r="E757" s="46"/>
      <c r="F757" s="46"/>
      <c r="G757" s="46"/>
      <c r="H757" s="57"/>
    </row>
    <row r="758" spans="1:8" x14ac:dyDescent="0.3">
      <c r="A758" s="46"/>
      <c r="B758" s="46"/>
      <c r="C758" s="46"/>
      <c r="D758" s="46"/>
      <c r="E758" s="46"/>
      <c r="F758" s="46"/>
      <c r="G758" s="46"/>
      <c r="H758" s="57"/>
    </row>
    <row r="759" spans="1:8" x14ac:dyDescent="0.3">
      <c r="A759" s="46"/>
      <c r="B759" s="46"/>
      <c r="C759" s="46"/>
      <c r="D759" s="46"/>
      <c r="E759" s="46"/>
      <c r="F759" s="46"/>
      <c r="G759" s="46"/>
      <c r="H759" s="57"/>
    </row>
    <row r="760" spans="1:8" x14ac:dyDescent="0.3">
      <c r="A760" s="46"/>
      <c r="B760" s="46"/>
      <c r="C760" s="46"/>
      <c r="D760" s="46"/>
      <c r="E760" s="46"/>
      <c r="F760" s="46"/>
      <c r="G760" s="46"/>
      <c r="H760" s="57"/>
    </row>
    <row r="761" spans="1:8" x14ac:dyDescent="0.3">
      <c r="A761" s="46"/>
      <c r="B761" s="46"/>
      <c r="C761" s="46"/>
      <c r="D761" s="46"/>
      <c r="E761" s="46"/>
      <c r="F761" s="46"/>
      <c r="G761" s="46"/>
      <c r="H761" s="57"/>
    </row>
    <row r="762" spans="1:8" x14ac:dyDescent="0.3">
      <c r="A762" s="46"/>
      <c r="B762" s="46"/>
      <c r="C762" s="46"/>
      <c r="D762" s="46"/>
      <c r="E762" s="46"/>
      <c r="F762" s="46"/>
      <c r="G762" s="46"/>
      <c r="H762" s="57"/>
    </row>
    <row r="763" spans="1:8" x14ac:dyDescent="0.3">
      <c r="A763" s="46"/>
      <c r="B763" s="46"/>
      <c r="C763" s="46"/>
      <c r="D763" s="46"/>
      <c r="E763" s="46"/>
      <c r="F763" s="46"/>
      <c r="G763" s="46"/>
      <c r="H763" s="57"/>
    </row>
    <row r="764" spans="1:8" x14ac:dyDescent="0.3">
      <c r="A764" s="46"/>
      <c r="B764" s="46"/>
      <c r="C764" s="46"/>
      <c r="D764" s="46"/>
      <c r="E764" s="46"/>
      <c r="F764" s="46"/>
      <c r="G764" s="46"/>
      <c r="H764" s="57"/>
    </row>
    <row r="765" spans="1:8" x14ac:dyDescent="0.3">
      <c r="A765" s="46"/>
      <c r="B765" s="46"/>
      <c r="C765" s="46"/>
      <c r="D765" s="46"/>
      <c r="E765" s="46"/>
      <c r="F765" s="46"/>
      <c r="G765" s="46"/>
      <c r="H765" s="57"/>
    </row>
    <row r="766" spans="1:8" x14ac:dyDescent="0.3">
      <c r="A766" s="46"/>
      <c r="B766" s="46"/>
      <c r="C766" s="46"/>
      <c r="D766" s="46"/>
      <c r="E766" s="46"/>
      <c r="F766" s="46"/>
      <c r="G766" s="46"/>
      <c r="H766" s="57"/>
    </row>
    <row r="767" spans="1:8" x14ac:dyDescent="0.3">
      <c r="A767" s="46"/>
      <c r="B767" s="46"/>
      <c r="C767" s="46"/>
      <c r="D767" s="46"/>
      <c r="E767" s="46"/>
      <c r="F767" s="46"/>
      <c r="G767" s="46"/>
      <c r="H767" s="57"/>
    </row>
    <row r="768" spans="1:8" x14ac:dyDescent="0.3">
      <c r="A768" s="46"/>
      <c r="B768" s="46"/>
      <c r="C768" s="46"/>
      <c r="D768" s="46"/>
      <c r="E768" s="46"/>
      <c r="F768" s="46"/>
      <c r="G768" s="46"/>
      <c r="H768" s="57"/>
    </row>
    <row r="769" spans="1:8" x14ac:dyDescent="0.3">
      <c r="A769" s="46"/>
      <c r="B769" s="46"/>
      <c r="C769" s="46"/>
      <c r="D769" s="46"/>
      <c r="E769" s="46"/>
      <c r="F769" s="46"/>
      <c r="G769" s="46"/>
      <c r="H769" s="57"/>
    </row>
    <row r="770" spans="1:8" x14ac:dyDescent="0.3">
      <c r="A770" s="46"/>
      <c r="B770" s="46"/>
      <c r="C770" s="46"/>
      <c r="D770" s="46"/>
      <c r="E770" s="46"/>
      <c r="F770" s="46"/>
      <c r="G770" s="46"/>
      <c r="H770" s="57"/>
    </row>
    <row r="771" spans="1:8" x14ac:dyDescent="0.3">
      <c r="A771" s="46"/>
      <c r="B771" s="46"/>
      <c r="C771" s="46"/>
      <c r="D771" s="46"/>
      <c r="E771" s="46"/>
      <c r="F771" s="46"/>
      <c r="G771" s="46"/>
      <c r="H771" s="57"/>
    </row>
    <row r="772" spans="1:8" x14ac:dyDescent="0.3">
      <c r="A772" s="46"/>
      <c r="B772" s="46"/>
      <c r="C772" s="46"/>
      <c r="D772" s="46"/>
      <c r="E772" s="46"/>
      <c r="F772" s="46"/>
      <c r="G772" s="46"/>
      <c r="H772" s="57"/>
    </row>
    <row r="773" spans="1:8" x14ac:dyDescent="0.3">
      <c r="A773" s="46"/>
      <c r="B773" s="46"/>
      <c r="C773" s="46"/>
      <c r="D773" s="46"/>
      <c r="E773" s="46"/>
      <c r="F773" s="46"/>
      <c r="G773" s="46"/>
      <c r="H773" s="57"/>
    </row>
    <row r="774" spans="1:8" x14ac:dyDescent="0.3">
      <c r="A774" s="46"/>
      <c r="B774" s="46"/>
      <c r="C774" s="46"/>
      <c r="D774" s="46"/>
      <c r="E774" s="46"/>
      <c r="F774" s="46"/>
      <c r="G774" s="46"/>
      <c r="H774" s="57"/>
    </row>
    <row r="775" spans="1:8" x14ac:dyDescent="0.3">
      <c r="A775" s="46"/>
      <c r="B775" s="46"/>
      <c r="C775" s="46"/>
      <c r="D775" s="46"/>
      <c r="E775" s="46"/>
      <c r="F775" s="46"/>
      <c r="G775" s="46"/>
      <c r="H775" s="57"/>
    </row>
    <row r="776" spans="1:8" x14ac:dyDescent="0.3">
      <c r="A776" s="46"/>
      <c r="B776" s="46"/>
      <c r="C776" s="46"/>
      <c r="D776" s="46"/>
      <c r="E776" s="46"/>
      <c r="F776" s="46"/>
      <c r="G776" s="46"/>
      <c r="H776" s="57"/>
    </row>
    <row r="777" spans="1:8" x14ac:dyDescent="0.3">
      <c r="A777" s="46"/>
      <c r="B777" s="46"/>
      <c r="C777" s="46"/>
      <c r="D777" s="46"/>
      <c r="E777" s="46"/>
      <c r="F777" s="46"/>
      <c r="G777" s="46"/>
      <c r="H777" s="57"/>
    </row>
    <row r="778" spans="1:8" x14ac:dyDescent="0.3">
      <c r="A778" s="46"/>
      <c r="B778" s="46"/>
      <c r="C778" s="46"/>
      <c r="D778" s="46"/>
      <c r="E778" s="46"/>
      <c r="F778" s="46"/>
      <c r="G778" s="46"/>
      <c r="H778" s="57"/>
    </row>
    <row r="779" spans="1:8" x14ac:dyDescent="0.3">
      <c r="A779" s="46"/>
      <c r="B779" s="46"/>
      <c r="C779" s="46"/>
      <c r="D779" s="46"/>
      <c r="E779" s="46"/>
      <c r="F779" s="46"/>
      <c r="G779" s="46"/>
      <c r="H779" s="57"/>
    </row>
    <row r="780" spans="1:8" x14ac:dyDescent="0.3">
      <c r="A780" s="46"/>
      <c r="B780" s="46"/>
      <c r="C780" s="46"/>
      <c r="D780" s="46"/>
      <c r="E780" s="46"/>
      <c r="F780" s="46"/>
      <c r="G780" s="46"/>
      <c r="H780" s="57"/>
    </row>
    <row r="781" spans="1:8" x14ac:dyDescent="0.3">
      <c r="A781" s="46"/>
      <c r="B781" s="46"/>
      <c r="C781" s="46"/>
      <c r="D781" s="46"/>
      <c r="E781" s="46"/>
      <c r="F781" s="46"/>
      <c r="G781" s="46"/>
      <c r="H781" s="57"/>
    </row>
    <row r="782" spans="1:8" x14ac:dyDescent="0.3">
      <c r="A782" s="46"/>
      <c r="B782" s="46"/>
      <c r="C782" s="46"/>
      <c r="D782" s="46"/>
      <c r="E782" s="46"/>
      <c r="F782" s="46"/>
      <c r="G782" s="46"/>
      <c r="H782" s="57"/>
    </row>
    <row r="783" spans="1:8" x14ac:dyDescent="0.3">
      <c r="A783" s="46"/>
      <c r="B783" s="46"/>
      <c r="C783" s="46"/>
      <c r="D783" s="46"/>
      <c r="E783" s="46"/>
      <c r="F783" s="46"/>
      <c r="G783" s="46"/>
      <c r="H783" s="57"/>
    </row>
    <row r="784" spans="1:8" x14ac:dyDescent="0.3">
      <c r="A784" s="46"/>
      <c r="B784" s="46"/>
      <c r="C784" s="46"/>
      <c r="D784" s="46"/>
      <c r="E784" s="46"/>
      <c r="F784" s="46"/>
      <c r="G784" s="46"/>
      <c r="H784" s="57"/>
    </row>
    <row r="785" spans="1:8" x14ac:dyDescent="0.3">
      <c r="A785" s="46"/>
      <c r="B785" s="46"/>
      <c r="C785" s="46"/>
      <c r="D785" s="46"/>
      <c r="E785" s="46"/>
      <c r="F785" s="46"/>
      <c r="G785" s="46"/>
      <c r="H785" s="57"/>
    </row>
    <row r="786" spans="1:8" x14ac:dyDescent="0.3">
      <c r="A786" s="46"/>
      <c r="B786" s="46"/>
      <c r="C786" s="46"/>
      <c r="D786" s="46"/>
      <c r="E786" s="46"/>
      <c r="F786" s="46"/>
      <c r="G786" s="46"/>
      <c r="H786" s="57"/>
    </row>
    <row r="787" spans="1:8" x14ac:dyDescent="0.3">
      <c r="A787" s="46"/>
      <c r="B787" s="46"/>
      <c r="C787" s="46"/>
      <c r="D787" s="46"/>
      <c r="E787" s="46"/>
      <c r="F787" s="46"/>
      <c r="G787" s="46"/>
      <c r="H787" s="57"/>
    </row>
    <row r="788" spans="1:8" x14ac:dyDescent="0.3">
      <c r="A788" s="46"/>
      <c r="B788" s="46"/>
      <c r="C788" s="46"/>
      <c r="D788" s="46"/>
      <c r="E788" s="46"/>
      <c r="F788" s="46"/>
      <c r="G788" s="46"/>
      <c r="H788" s="57"/>
    </row>
    <row r="789" spans="1:8" x14ac:dyDescent="0.3">
      <c r="A789" s="46"/>
      <c r="B789" s="46"/>
      <c r="C789" s="46"/>
      <c r="D789" s="46"/>
      <c r="E789" s="46"/>
      <c r="F789" s="46"/>
      <c r="G789" s="46"/>
      <c r="H789" s="57"/>
    </row>
    <row r="790" spans="1:8" x14ac:dyDescent="0.3">
      <c r="A790" s="46"/>
      <c r="B790" s="46"/>
      <c r="C790" s="46"/>
      <c r="D790" s="46"/>
      <c r="E790" s="46"/>
      <c r="F790" s="46"/>
      <c r="G790" s="46"/>
      <c r="H790" s="57"/>
    </row>
    <row r="791" spans="1:8" x14ac:dyDescent="0.3">
      <c r="A791" s="46"/>
      <c r="B791" s="46"/>
      <c r="C791" s="46"/>
      <c r="D791" s="46"/>
      <c r="E791" s="46"/>
      <c r="F791" s="46"/>
      <c r="G791" s="46"/>
      <c r="H791" s="57"/>
    </row>
    <row r="792" spans="1:8" x14ac:dyDescent="0.3">
      <c r="A792" s="46"/>
      <c r="B792" s="46"/>
      <c r="C792" s="46"/>
      <c r="D792" s="46"/>
      <c r="E792" s="46"/>
      <c r="F792" s="46"/>
      <c r="G792" s="46"/>
      <c r="H792" s="57"/>
    </row>
    <row r="793" spans="1:8" x14ac:dyDescent="0.3">
      <c r="A793" s="46"/>
      <c r="B793" s="46"/>
      <c r="C793" s="46"/>
      <c r="D793" s="46"/>
      <c r="E793" s="46"/>
      <c r="F793" s="46"/>
      <c r="G793" s="46"/>
      <c r="H793" s="57"/>
    </row>
    <row r="794" spans="1:8" x14ac:dyDescent="0.3">
      <c r="A794" s="46"/>
      <c r="B794" s="46"/>
      <c r="C794" s="46"/>
      <c r="D794" s="46"/>
      <c r="E794" s="46"/>
      <c r="F794" s="46"/>
      <c r="G794" s="46"/>
      <c r="H794" s="57"/>
    </row>
    <row r="795" spans="1:8" x14ac:dyDescent="0.3">
      <c r="A795" s="46"/>
      <c r="B795" s="46"/>
      <c r="C795" s="46"/>
      <c r="D795" s="46"/>
      <c r="E795" s="46"/>
      <c r="F795" s="46"/>
      <c r="G795" s="46"/>
      <c r="H795" s="57"/>
    </row>
    <row r="796" spans="1:8" x14ac:dyDescent="0.3">
      <c r="A796" s="46"/>
      <c r="B796" s="46"/>
      <c r="C796" s="46"/>
      <c r="D796" s="46"/>
      <c r="E796" s="46"/>
      <c r="F796" s="46"/>
      <c r="G796" s="46"/>
      <c r="H796" s="57"/>
    </row>
    <row r="797" spans="1:8" x14ac:dyDescent="0.3">
      <c r="A797" s="46"/>
      <c r="B797" s="46"/>
      <c r="C797" s="46"/>
      <c r="D797" s="46"/>
      <c r="E797" s="46"/>
      <c r="F797" s="46"/>
      <c r="G797" s="46"/>
      <c r="H797" s="57"/>
    </row>
    <row r="798" spans="1:8" x14ac:dyDescent="0.3">
      <c r="A798" s="46"/>
      <c r="B798" s="46"/>
      <c r="C798" s="46"/>
      <c r="D798" s="46"/>
      <c r="E798" s="46"/>
      <c r="F798" s="46"/>
      <c r="G798" s="46"/>
      <c r="H798" s="57"/>
    </row>
    <row r="799" spans="1:8" x14ac:dyDescent="0.3">
      <c r="A799" s="46"/>
      <c r="B799" s="46"/>
      <c r="C799" s="46"/>
      <c r="D799" s="46"/>
      <c r="E799" s="46"/>
      <c r="F799" s="46"/>
      <c r="G799" s="46"/>
      <c r="H799" s="57"/>
    </row>
    <row r="800" spans="1:8" x14ac:dyDescent="0.3">
      <c r="A800" s="46"/>
      <c r="B800" s="46"/>
      <c r="C800" s="46"/>
      <c r="D800" s="46"/>
      <c r="E800" s="46"/>
      <c r="F800" s="46"/>
      <c r="G800" s="46"/>
      <c r="H800" s="57"/>
    </row>
    <row r="801" spans="1:8" x14ac:dyDescent="0.3">
      <c r="A801" s="46"/>
      <c r="B801" s="46"/>
      <c r="C801" s="46"/>
      <c r="D801" s="46"/>
      <c r="E801" s="46"/>
      <c r="F801" s="46"/>
      <c r="G801" s="46"/>
      <c r="H801" s="57"/>
    </row>
    <row r="802" spans="1:8" x14ac:dyDescent="0.3">
      <c r="A802" s="46"/>
      <c r="B802" s="46"/>
      <c r="C802" s="46"/>
      <c r="D802" s="46"/>
      <c r="E802" s="46"/>
      <c r="F802" s="46"/>
      <c r="G802" s="46"/>
      <c r="H802" s="57"/>
    </row>
    <row r="803" spans="1:8" x14ac:dyDescent="0.3">
      <c r="A803" s="46"/>
      <c r="B803" s="46"/>
      <c r="C803" s="46"/>
      <c r="D803" s="46"/>
      <c r="E803" s="46"/>
      <c r="F803" s="46"/>
      <c r="G803" s="46"/>
      <c r="H803" s="57"/>
    </row>
    <row r="804" spans="1:8" x14ac:dyDescent="0.3">
      <c r="A804" s="46"/>
      <c r="B804" s="46"/>
      <c r="C804" s="46"/>
      <c r="D804" s="46"/>
      <c r="E804" s="46"/>
      <c r="F804" s="46"/>
      <c r="G804" s="46"/>
      <c r="H804" s="57"/>
    </row>
    <row r="805" spans="1:8" x14ac:dyDescent="0.3">
      <c r="A805" s="46"/>
      <c r="B805" s="46"/>
      <c r="C805" s="46"/>
      <c r="D805" s="46"/>
      <c r="E805" s="46"/>
      <c r="F805" s="46"/>
      <c r="G805" s="46"/>
      <c r="H805" s="57"/>
    </row>
    <row r="806" spans="1:8" x14ac:dyDescent="0.3">
      <c r="A806" s="46"/>
      <c r="B806" s="46"/>
      <c r="C806" s="46"/>
      <c r="D806" s="46"/>
      <c r="E806" s="46"/>
      <c r="F806" s="46"/>
      <c r="G806" s="46"/>
      <c r="H806" s="57"/>
    </row>
    <row r="807" spans="1:8" x14ac:dyDescent="0.3">
      <c r="A807" s="46"/>
      <c r="B807" s="46"/>
      <c r="C807" s="46"/>
      <c r="D807" s="46"/>
      <c r="E807" s="46"/>
      <c r="F807" s="46"/>
      <c r="G807" s="46"/>
      <c r="H807" s="57"/>
    </row>
    <row r="808" spans="1:8" x14ac:dyDescent="0.3">
      <c r="A808" s="46"/>
      <c r="B808" s="46"/>
      <c r="C808" s="46"/>
      <c r="D808" s="46"/>
      <c r="E808" s="46"/>
      <c r="F808" s="46"/>
      <c r="G808" s="46"/>
      <c r="H808" s="57"/>
    </row>
    <row r="809" spans="1:8" x14ac:dyDescent="0.3">
      <c r="A809" s="46"/>
      <c r="B809" s="46"/>
      <c r="C809" s="46"/>
      <c r="D809" s="46"/>
      <c r="E809" s="46"/>
      <c r="F809" s="46"/>
      <c r="G809" s="46"/>
      <c r="H809" s="57"/>
    </row>
    <row r="810" spans="1:8" x14ac:dyDescent="0.3">
      <c r="A810" s="46"/>
      <c r="B810" s="46"/>
      <c r="C810" s="46"/>
      <c r="D810" s="46"/>
      <c r="E810" s="46"/>
      <c r="F810" s="46"/>
      <c r="G810" s="46"/>
      <c r="H810" s="57"/>
    </row>
    <row r="811" spans="1:8" x14ac:dyDescent="0.3">
      <c r="A811" s="46"/>
      <c r="B811" s="46"/>
      <c r="C811" s="46"/>
      <c r="D811" s="46"/>
      <c r="E811" s="46"/>
      <c r="F811" s="46"/>
      <c r="G811" s="46"/>
      <c r="H811" s="57"/>
    </row>
    <row r="812" spans="1:8" x14ac:dyDescent="0.3">
      <c r="A812" s="46"/>
      <c r="B812" s="46"/>
      <c r="C812" s="46"/>
      <c r="D812" s="46"/>
      <c r="E812" s="46"/>
      <c r="F812" s="46"/>
      <c r="G812" s="46"/>
      <c r="H812" s="57"/>
    </row>
    <row r="813" spans="1:8" x14ac:dyDescent="0.3">
      <c r="A813" s="46"/>
      <c r="B813" s="46"/>
      <c r="C813" s="46"/>
      <c r="D813" s="46"/>
      <c r="E813" s="46"/>
      <c r="F813" s="46"/>
      <c r="G813" s="46"/>
      <c r="H813" s="57"/>
    </row>
    <row r="814" spans="1:8" x14ac:dyDescent="0.3">
      <c r="A814" s="46"/>
      <c r="B814" s="46"/>
      <c r="C814" s="46"/>
      <c r="D814" s="46"/>
      <c r="E814" s="46"/>
      <c r="F814" s="46"/>
      <c r="G814" s="46"/>
      <c r="H814" s="57"/>
    </row>
    <row r="815" spans="1:8" x14ac:dyDescent="0.3">
      <c r="A815" s="46"/>
      <c r="B815" s="46"/>
      <c r="C815" s="46"/>
      <c r="D815" s="46"/>
      <c r="E815" s="46"/>
      <c r="F815" s="46"/>
      <c r="G815" s="46"/>
      <c r="H815" s="57"/>
    </row>
    <row r="816" spans="1:8" x14ac:dyDescent="0.3">
      <c r="A816" s="46"/>
      <c r="B816" s="46"/>
      <c r="C816" s="46"/>
      <c r="D816" s="46"/>
      <c r="E816" s="46"/>
      <c r="F816" s="46"/>
      <c r="G816" s="46"/>
      <c r="H816" s="57"/>
    </row>
    <row r="817" spans="1:8" x14ac:dyDescent="0.3">
      <c r="A817" s="46"/>
      <c r="B817" s="46"/>
      <c r="C817" s="46"/>
      <c r="D817" s="46"/>
      <c r="E817" s="46"/>
      <c r="F817" s="46"/>
      <c r="G817" s="46"/>
      <c r="H817" s="57"/>
    </row>
    <row r="818" spans="1:8" x14ac:dyDescent="0.3">
      <c r="A818" s="46"/>
      <c r="B818" s="46"/>
      <c r="C818" s="46"/>
      <c r="D818" s="46"/>
      <c r="E818" s="46"/>
      <c r="F818" s="46"/>
      <c r="G818" s="46"/>
      <c r="H818" s="57"/>
    </row>
    <row r="819" spans="1:8" x14ac:dyDescent="0.3">
      <c r="A819" s="46"/>
      <c r="B819" s="46"/>
      <c r="C819" s="46"/>
      <c r="D819" s="46"/>
      <c r="E819" s="46"/>
      <c r="F819" s="46"/>
      <c r="G819" s="46"/>
      <c r="H819" s="57"/>
    </row>
    <row r="820" spans="1:8" x14ac:dyDescent="0.3">
      <c r="A820" s="46"/>
      <c r="B820" s="46"/>
      <c r="C820" s="46"/>
      <c r="D820" s="46"/>
      <c r="E820" s="46"/>
      <c r="F820" s="46"/>
      <c r="G820" s="46"/>
      <c r="H820" s="57"/>
    </row>
    <row r="821" spans="1:8" x14ac:dyDescent="0.3">
      <c r="A821" s="46"/>
      <c r="B821" s="46"/>
      <c r="C821" s="46"/>
      <c r="D821" s="46"/>
      <c r="E821" s="46"/>
      <c r="F821" s="46"/>
      <c r="G821" s="46"/>
      <c r="H821" s="57"/>
    </row>
    <row r="822" spans="1:8" x14ac:dyDescent="0.3">
      <c r="A822" s="46"/>
      <c r="B822" s="46"/>
      <c r="C822" s="46"/>
      <c r="D822" s="46"/>
      <c r="E822" s="46"/>
      <c r="F822" s="46"/>
      <c r="G822" s="46"/>
      <c r="H822" s="57"/>
    </row>
    <row r="823" spans="1:8" x14ac:dyDescent="0.3">
      <c r="A823" s="46"/>
      <c r="B823" s="46"/>
      <c r="C823" s="46"/>
      <c r="D823" s="46"/>
      <c r="E823" s="46"/>
      <c r="F823" s="46"/>
      <c r="G823" s="46"/>
      <c r="H823" s="57"/>
    </row>
    <row r="824" spans="1:8" x14ac:dyDescent="0.3">
      <c r="A824" s="46"/>
      <c r="B824" s="46"/>
      <c r="C824" s="46"/>
      <c r="D824" s="46"/>
      <c r="E824" s="46"/>
      <c r="F824" s="46"/>
      <c r="G824" s="46"/>
      <c r="H824" s="57"/>
    </row>
    <row r="825" spans="1:8" x14ac:dyDescent="0.3">
      <c r="A825" s="46"/>
      <c r="B825" s="46"/>
      <c r="C825" s="46"/>
      <c r="D825" s="46"/>
      <c r="E825" s="46"/>
      <c r="F825" s="46"/>
      <c r="G825" s="46"/>
      <c r="H825" s="57"/>
    </row>
    <row r="826" spans="1:8" x14ac:dyDescent="0.3">
      <c r="A826" s="46"/>
      <c r="B826" s="46"/>
      <c r="C826" s="46"/>
      <c r="D826" s="46"/>
      <c r="E826" s="46"/>
      <c r="F826" s="46"/>
      <c r="G826" s="46"/>
      <c r="H826" s="57"/>
    </row>
    <row r="827" spans="1:8" x14ac:dyDescent="0.3">
      <c r="A827" s="46"/>
      <c r="B827" s="46"/>
      <c r="C827" s="46"/>
      <c r="D827" s="46"/>
      <c r="E827" s="46"/>
      <c r="F827" s="46"/>
      <c r="G827" s="46"/>
      <c r="H827" s="57"/>
    </row>
    <row r="828" spans="1:8" x14ac:dyDescent="0.3">
      <c r="A828" s="46"/>
      <c r="B828" s="46"/>
      <c r="C828" s="46"/>
      <c r="D828" s="46"/>
      <c r="E828" s="46"/>
      <c r="F828" s="46"/>
      <c r="G828" s="46"/>
      <c r="H828" s="57"/>
    </row>
    <row r="829" spans="1:8" x14ac:dyDescent="0.3">
      <c r="A829" s="46"/>
      <c r="B829" s="46"/>
      <c r="C829" s="46"/>
      <c r="D829" s="46"/>
      <c r="E829" s="46"/>
      <c r="F829" s="46"/>
      <c r="G829" s="46"/>
      <c r="H829" s="57"/>
    </row>
    <row r="830" spans="1:8" x14ac:dyDescent="0.3">
      <c r="A830" s="46"/>
      <c r="B830" s="46"/>
      <c r="C830" s="46"/>
      <c r="D830" s="46"/>
      <c r="E830" s="46"/>
      <c r="F830" s="46"/>
      <c r="G830" s="46"/>
      <c r="H830" s="57"/>
    </row>
    <row r="831" spans="1:8" x14ac:dyDescent="0.3">
      <c r="A831" s="46"/>
      <c r="B831" s="46"/>
      <c r="C831" s="46"/>
      <c r="D831" s="46"/>
      <c r="E831" s="46"/>
      <c r="F831" s="46"/>
      <c r="G831" s="46"/>
      <c r="H831" s="57"/>
    </row>
    <row r="832" spans="1:8" x14ac:dyDescent="0.3">
      <c r="A832" s="46"/>
      <c r="B832" s="46"/>
      <c r="C832" s="46"/>
      <c r="D832" s="46"/>
      <c r="E832" s="46"/>
      <c r="F832" s="46"/>
      <c r="G832" s="46"/>
      <c r="H832" s="57"/>
    </row>
    <row r="833" spans="1:8" x14ac:dyDescent="0.3">
      <c r="A833" s="46"/>
      <c r="B833" s="46"/>
      <c r="C833" s="46"/>
      <c r="D833" s="46"/>
      <c r="E833" s="46"/>
      <c r="F833" s="46"/>
      <c r="G833" s="46"/>
      <c r="H833" s="57"/>
    </row>
    <row r="834" spans="1:8" x14ac:dyDescent="0.3">
      <c r="A834" s="46"/>
      <c r="B834" s="46"/>
      <c r="C834" s="46"/>
      <c r="D834" s="46"/>
      <c r="E834" s="46"/>
      <c r="F834" s="46"/>
      <c r="G834" s="46"/>
      <c r="H834" s="57"/>
    </row>
    <row r="835" spans="1:8" x14ac:dyDescent="0.3">
      <c r="A835" s="46"/>
      <c r="B835" s="46"/>
      <c r="C835" s="46"/>
      <c r="D835" s="46"/>
      <c r="E835" s="46"/>
      <c r="F835" s="46"/>
      <c r="G835" s="46"/>
      <c r="H835" s="57"/>
    </row>
    <row r="836" spans="1:8" x14ac:dyDescent="0.3">
      <c r="A836" s="46"/>
      <c r="B836" s="46"/>
      <c r="C836" s="46"/>
      <c r="D836" s="46"/>
      <c r="E836" s="46"/>
      <c r="F836" s="46"/>
      <c r="G836" s="46"/>
      <c r="H836" s="57"/>
    </row>
    <row r="837" spans="1:8" x14ac:dyDescent="0.3">
      <c r="A837" s="46"/>
      <c r="B837" s="46"/>
      <c r="C837" s="46"/>
      <c r="D837" s="46"/>
      <c r="E837" s="46"/>
      <c r="F837" s="46"/>
      <c r="G837" s="46"/>
      <c r="H837" s="57"/>
    </row>
    <row r="838" spans="1:8" x14ac:dyDescent="0.3">
      <c r="A838" s="46"/>
      <c r="B838" s="46"/>
      <c r="C838" s="46"/>
      <c r="D838" s="46"/>
      <c r="E838" s="46"/>
      <c r="F838" s="46"/>
      <c r="G838" s="46"/>
      <c r="H838" s="57"/>
    </row>
    <row r="839" spans="1:8" x14ac:dyDescent="0.3">
      <c r="A839" s="46"/>
      <c r="B839" s="46"/>
      <c r="C839" s="46"/>
      <c r="D839" s="46"/>
      <c r="E839" s="46"/>
      <c r="F839" s="46"/>
      <c r="G839" s="46"/>
      <c r="H839" s="57"/>
    </row>
    <row r="840" spans="1:8" x14ac:dyDescent="0.3">
      <c r="A840" s="46"/>
      <c r="B840" s="46"/>
      <c r="C840" s="46"/>
      <c r="D840" s="46"/>
      <c r="E840" s="46"/>
      <c r="F840" s="46"/>
      <c r="G840" s="46"/>
      <c r="H840" s="57"/>
    </row>
    <row r="841" spans="1:8" x14ac:dyDescent="0.3">
      <c r="A841" s="46"/>
      <c r="B841" s="46"/>
      <c r="C841" s="46"/>
      <c r="D841" s="46"/>
      <c r="E841" s="46"/>
      <c r="F841" s="46"/>
      <c r="G841" s="46"/>
      <c r="H841" s="57"/>
    </row>
    <row r="842" spans="1:8" x14ac:dyDescent="0.3">
      <c r="A842" s="46"/>
      <c r="B842" s="46"/>
      <c r="C842" s="46"/>
      <c r="D842" s="46"/>
      <c r="E842" s="46"/>
      <c r="F842" s="46"/>
      <c r="G842" s="46"/>
      <c r="H842" s="57"/>
    </row>
    <row r="843" spans="1:8" x14ac:dyDescent="0.3">
      <c r="A843" s="46"/>
      <c r="B843" s="46"/>
      <c r="C843" s="46"/>
      <c r="D843" s="46"/>
      <c r="E843" s="46"/>
      <c r="F843" s="46"/>
      <c r="G843" s="46"/>
      <c r="H843" s="57"/>
    </row>
    <row r="844" spans="1:8" x14ac:dyDescent="0.3">
      <c r="A844" s="46"/>
      <c r="B844" s="46"/>
      <c r="C844" s="46"/>
      <c r="D844" s="46"/>
      <c r="E844" s="46"/>
      <c r="F844" s="46"/>
      <c r="G844" s="46"/>
      <c r="H844" s="57"/>
    </row>
    <row r="845" spans="1:8" x14ac:dyDescent="0.3">
      <c r="A845" s="46"/>
      <c r="B845" s="46"/>
      <c r="C845" s="46"/>
      <c r="D845" s="46"/>
      <c r="E845" s="46"/>
      <c r="F845" s="46"/>
      <c r="G845" s="46"/>
      <c r="H845" s="57"/>
    </row>
    <row r="846" spans="1:8" x14ac:dyDescent="0.3">
      <c r="A846" s="46"/>
      <c r="B846" s="46"/>
      <c r="C846" s="46"/>
      <c r="D846" s="46"/>
      <c r="E846" s="46"/>
      <c r="F846" s="46"/>
      <c r="G846" s="46"/>
      <c r="H846" s="57"/>
    </row>
    <row r="847" spans="1:8" x14ac:dyDescent="0.3">
      <c r="A847" s="46"/>
      <c r="B847" s="46"/>
      <c r="C847" s="46"/>
      <c r="D847" s="46"/>
      <c r="E847" s="46"/>
      <c r="F847" s="46"/>
      <c r="G847" s="46"/>
      <c r="H847" s="57"/>
    </row>
    <row r="848" spans="1:8" x14ac:dyDescent="0.3">
      <c r="A848" s="46"/>
      <c r="B848" s="46"/>
      <c r="C848" s="46"/>
      <c r="D848" s="46"/>
      <c r="E848" s="46"/>
      <c r="F848" s="46"/>
      <c r="G848" s="46"/>
      <c r="H848" s="57"/>
    </row>
    <row r="849" spans="1:8" x14ac:dyDescent="0.3">
      <c r="A849" s="46"/>
      <c r="B849" s="46"/>
      <c r="C849" s="46"/>
      <c r="D849" s="46"/>
      <c r="E849" s="46"/>
      <c r="F849" s="46"/>
      <c r="G849" s="46"/>
      <c r="H849" s="57"/>
    </row>
    <row r="850" spans="1:8" x14ac:dyDescent="0.3">
      <c r="A850" s="46"/>
      <c r="B850" s="46"/>
      <c r="C850" s="46"/>
      <c r="D850" s="46"/>
      <c r="E850" s="46"/>
      <c r="F850" s="46"/>
      <c r="G850" s="46"/>
      <c r="H850" s="57"/>
    </row>
    <row r="851" spans="1:8" x14ac:dyDescent="0.3">
      <c r="A851" s="46"/>
      <c r="B851" s="46"/>
      <c r="C851" s="46"/>
      <c r="D851" s="46"/>
      <c r="E851" s="46"/>
      <c r="F851" s="46"/>
      <c r="G851" s="46"/>
      <c r="H851" s="57"/>
    </row>
    <row r="852" spans="1:8" x14ac:dyDescent="0.3">
      <c r="A852" s="46"/>
      <c r="B852" s="46"/>
      <c r="C852" s="46"/>
      <c r="D852" s="46"/>
      <c r="E852" s="46"/>
      <c r="F852" s="46"/>
      <c r="G852" s="46"/>
      <c r="H852" s="57"/>
    </row>
    <row r="853" spans="1:8" x14ac:dyDescent="0.3">
      <c r="A853" s="46"/>
      <c r="B853" s="46"/>
      <c r="C853" s="46"/>
      <c r="D853" s="46"/>
      <c r="E853" s="46"/>
      <c r="F853" s="46"/>
      <c r="G853" s="46"/>
      <c r="H853" s="57"/>
    </row>
    <row r="854" spans="1:8" x14ac:dyDescent="0.3">
      <c r="A854" s="46"/>
      <c r="B854" s="46"/>
      <c r="C854" s="46"/>
      <c r="D854" s="46"/>
      <c r="E854" s="46"/>
      <c r="F854" s="46"/>
      <c r="G854" s="46"/>
      <c r="H854" s="57"/>
    </row>
    <row r="855" spans="1:8" x14ac:dyDescent="0.3">
      <c r="A855" s="46"/>
      <c r="B855" s="46"/>
      <c r="C855" s="46"/>
      <c r="D855" s="46"/>
      <c r="E855" s="46"/>
      <c r="F855" s="46"/>
      <c r="G855" s="46"/>
      <c r="H855" s="57"/>
    </row>
    <row r="856" spans="1:8" x14ac:dyDescent="0.3">
      <c r="A856" s="46"/>
      <c r="B856" s="46"/>
      <c r="C856" s="46"/>
      <c r="D856" s="46"/>
      <c r="E856" s="46"/>
      <c r="F856" s="46"/>
      <c r="G856" s="46"/>
      <c r="H856" s="57"/>
    </row>
    <row r="857" spans="1:8" x14ac:dyDescent="0.3">
      <c r="A857" s="46"/>
      <c r="B857" s="46"/>
      <c r="C857" s="46"/>
      <c r="D857" s="46"/>
      <c r="E857" s="46"/>
      <c r="F857" s="46"/>
      <c r="G857" s="46"/>
      <c r="H857" s="57"/>
    </row>
    <row r="858" spans="1:8" x14ac:dyDescent="0.3">
      <c r="A858" s="46"/>
      <c r="B858" s="46"/>
      <c r="C858" s="46"/>
      <c r="D858" s="46"/>
      <c r="E858" s="46"/>
      <c r="F858" s="46"/>
      <c r="G858" s="46"/>
      <c r="H858" s="57"/>
    </row>
    <row r="859" spans="1:8" x14ac:dyDescent="0.3">
      <c r="A859" s="46"/>
      <c r="B859" s="46"/>
      <c r="C859" s="46"/>
      <c r="D859" s="46"/>
      <c r="E859" s="46"/>
      <c r="F859" s="46"/>
      <c r="G859" s="46"/>
      <c r="H859" s="57"/>
    </row>
    <row r="860" spans="1:8" x14ac:dyDescent="0.3">
      <c r="A860" s="46"/>
      <c r="B860" s="46"/>
      <c r="C860" s="46"/>
      <c r="D860" s="46"/>
      <c r="E860" s="46"/>
      <c r="F860" s="46"/>
      <c r="G860" s="46"/>
      <c r="H860" s="57"/>
    </row>
    <row r="861" spans="1:8" x14ac:dyDescent="0.3">
      <c r="A861" s="46"/>
      <c r="B861" s="46"/>
      <c r="C861" s="46"/>
      <c r="D861" s="46"/>
      <c r="E861" s="46"/>
      <c r="F861" s="46"/>
      <c r="G861" s="46"/>
      <c r="H861" s="57"/>
    </row>
    <row r="862" spans="1:8" x14ac:dyDescent="0.3">
      <c r="A862" s="46"/>
      <c r="B862" s="46"/>
      <c r="C862" s="46"/>
      <c r="D862" s="46"/>
      <c r="E862" s="46"/>
      <c r="F862" s="46"/>
      <c r="G862" s="46"/>
      <c r="H862" s="57"/>
    </row>
    <row r="863" spans="1:8" x14ac:dyDescent="0.3">
      <c r="A863" s="46"/>
      <c r="B863" s="46"/>
      <c r="C863" s="46"/>
      <c r="D863" s="46"/>
      <c r="E863" s="46"/>
      <c r="F863" s="46"/>
      <c r="G863" s="46"/>
      <c r="H863" s="57"/>
    </row>
    <row r="864" spans="1:8" x14ac:dyDescent="0.3">
      <c r="A864" s="46"/>
      <c r="B864" s="46"/>
      <c r="C864" s="46"/>
      <c r="D864" s="46"/>
      <c r="E864" s="46"/>
      <c r="F864" s="46"/>
      <c r="G864" s="46"/>
      <c r="H864" s="57"/>
    </row>
    <row r="865" spans="1:8" x14ac:dyDescent="0.3">
      <c r="A865" s="46"/>
      <c r="B865" s="46"/>
      <c r="C865" s="46"/>
      <c r="D865" s="46"/>
      <c r="E865" s="46"/>
      <c r="F865" s="46"/>
      <c r="G865" s="46"/>
      <c r="H865" s="57"/>
    </row>
    <row r="866" spans="1:8" x14ac:dyDescent="0.3">
      <c r="A866" s="46"/>
      <c r="B866" s="46"/>
      <c r="C866" s="46"/>
      <c r="D866" s="46"/>
      <c r="E866" s="46"/>
      <c r="F866" s="46"/>
      <c r="G866" s="46"/>
      <c r="H866" s="57"/>
    </row>
    <row r="867" spans="1:8" x14ac:dyDescent="0.3">
      <c r="A867" s="46"/>
      <c r="B867" s="46"/>
      <c r="C867" s="46"/>
      <c r="D867" s="46"/>
      <c r="E867" s="46"/>
      <c r="F867" s="46"/>
      <c r="G867" s="46"/>
      <c r="H867" s="57"/>
    </row>
    <row r="868" spans="1:8" x14ac:dyDescent="0.3">
      <c r="A868" s="46"/>
      <c r="B868" s="46"/>
      <c r="C868" s="46"/>
      <c r="D868" s="46"/>
      <c r="E868" s="46"/>
      <c r="F868" s="46"/>
      <c r="G868" s="46"/>
      <c r="H868" s="57"/>
    </row>
    <row r="869" spans="1:8" x14ac:dyDescent="0.3">
      <c r="A869" s="46"/>
      <c r="B869" s="46"/>
      <c r="C869" s="46"/>
      <c r="D869" s="46"/>
      <c r="E869" s="46"/>
      <c r="F869" s="46"/>
      <c r="G869" s="46"/>
      <c r="H869" s="57"/>
    </row>
    <row r="870" spans="1:8" x14ac:dyDescent="0.3">
      <c r="A870" s="46"/>
      <c r="B870" s="46"/>
      <c r="C870" s="46"/>
      <c r="D870" s="46"/>
      <c r="E870" s="46"/>
      <c r="F870" s="46"/>
      <c r="G870" s="46"/>
      <c r="H870" s="57"/>
    </row>
    <row r="871" spans="1:8" x14ac:dyDescent="0.3">
      <c r="A871" s="46"/>
      <c r="B871" s="46"/>
      <c r="C871" s="46"/>
      <c r="D871" s="46"/>
      <c r="E871" s="46"/>
      <c r="F871" s="46"/>
      <c r="G871" s="46"/>
      <c r="H871" s="57"/>
    </row>
    <row r="872" spans="1:8" x14ac:dyDescent="0.3">
      <c r="A872" s="46"/>
      <c r="B872" s="46"/>
      <c r="C872" s="46"/>
      <c r="D872" s="46"/>
      <c r="E872" s="46"/>
      <c r="F872" s="46"/>
      <c r="G872" s="46"/>
      <c r="H872" s="57"/>
    </row>
    <row r="873" spans="1:8" x14ac:dyDescent="0.3">
      <c r="A873" s="46"/>
      <c r="B873" s="46"/>
      <c r="C873" s="46"/>
      <c r="D873" s="46"/>
      <c r="E873" s="46"/>
      <c r="F873" s="46"/>
      <c r="G873" s="46"/>
      <c r="H873" s="57"/>
    </row>
    <row r="874" spans="1:8" x14ac:dyDescent="0.3">
      <c r="A874" s="46"/>
      <c r="B874" s="46"/>
      <c r="C874" s="46"/>
      <c r="D874" s="46"/>
      <c r="E874" s="46"/>
      <c r="F874" s="46"/>
      <c r="G874" s="46"/>
      <c r="H874" s="57"/>
    </row>
    <row r="875" spans="1:8" x14ac:dyDescent="0.3">
      <c r="A875" s="46"/>
      <c r="B875" s="46"/>
      <c r="C875" s="46"/>
      <c r="D875" s="46"/>
      <c r="E875" s="46"/>
      <c r="F875" s="46"/>
      <c r="G875" s="46"/>
      <c r="H875" s="57"/>
    </row>
    <row r="876" spans="1:8" x14ac:dyDescent="0.3">
      <c r="A876" s="46"/>
      <c r="B876" s="46"/>
      <c r="C876" s="46"/>
      <c r="D876" s="46"/>
      <c r="E876" s="46"/>
      <c r="F876" s="46"/>
      <c r="G876" s="46"/>
      <c r="H876" s="57"/>
    </row>
    <row r="877" spans="1:8" x14ac:dyDescent="0.3">
      <c r="A877" s="46"/>
      <c r="B877" s="46"/>
      <c r="C877" s="46"/>
      <c r="D877" s="46"/>
      <c r="E877" s="46"/>
      <c r="F877" s="46"/>
      <c r="G877" s="46"/>
      <c r="H877" s="57"/>
    </row>
    <row r="878" spans="1:8" x14ac:dyDescent="0.3">
      <c r="A878" s="46"/>
      <c r="B878" s="46"/>
      <c r="C878" s="46"/>
      <c r="D878" s="46"/>
      <c r="E878" s="46"/>
      <c r="F878" s="46"/>
      <c r="G878" s="46"/>
      <c r="H878" s="57"/>
    </row>
    <row r="879" spans="1:8" x14ac:dyDescent="0.3">
      <c r="A879" s="46"/>
      <c r="B879" s="46"/>
      <c r="C879" s="46"/>
      <c r="D879" s="46"/>
      <c r="E879" s="46"/>
      <c r="F879" s="46"/>
      <c r="G879" s="46"/>
      <c r="H879" s="57"/>
    </row>
    <row r="880" spans="1:8" x14ac:dyDescent="0.3">
      <c r="A880" s="46"/>
      <c r="B880" s="46"/>
      <c r="C880" s="46"/>
      <c r="D880" s="46"/>
      <c r="E880" s="46"/>
      <c r="F880" s="46"/>
      <c r="G880" s="46"/>
      <c r="H880" s="57"/>
    </row>
    <row r="881" spans="1:8" x14ac:dyDescent="0.3">
      <c r="A881" s="46"/>
      <c r="B881" s="46"/>
      <c r="C881" s="46"/>
      <c r="D881" s="46"/>
      <c r="E881" s="46"/>
      <c r="F881" s="46"/>
      <c r="G881" s="46"/>
      <c r="H881" s="57"/>
    </row>
    <row r="882" spans="1:8" x14ac:dyDescent="0.3">
      <c r="A882" s="46"/>
      <c r="B882" s="46"/>
      <c r="C882" s="46"/>
      <c r="D882" s="46"/>
      <c r="E882" s="46"/>
      <c r="F882" s="46"/>
      <c r="G882" s="46"/>
      <c r="H882" s="57"/>
    </row>
    <row r="883" spans="1:8" x14ac:dyDescent="0.3">
      <c r="A883" s="46"/>
      <c r="B883" s="46"/>
      <c r="C883" s="46"/>
      <c r="D883" s="46"/>
      <c r="E883" s="46"/>
      <c r="F883" s="46"/>
      <c r="G883" s="46"/>
      <c r="H883" s="57"/>
    </row>
    <row r="884" spans="1:8" x14ac:dyDescent="0.3">
      <c r="A884" s="46"/>
      <c r="B884" s="46"/>
      <c r="C884" s="46"/>
      <c r="D884" s="46"/>
      <c r="E884" s="46"/>
      <c r="F884" s="46"/>
      <c r="G884" s="46"/>
      <c r="H884" s="57"/>
    </row>
    <row r="885" spans="1:8" x14ac:dyDescent="0.3">
      <c r="A885" s="46"/>
      <c r="B885" s="46"/>
      <c r="C885" s="46"/>
      <c r="D885" s="46"/>
      <c r="E885" s="46"/>
      <c r="F885" s="46"/>
      <c r="G885" s="46"/>
      <c r="H885" s="57"/>
    </row>
    <row r="886" spans="1:8" x14ac:dyDescent="0.3">
      <c r="A886" s="46"/>
      <c r="B886" s="46"/>
      <c r="C886" s="46"/>
      <c r="D886" s="46"/>
      <c r="E886" s="46"/>
      <c r="F886" s="46"/>
      <c r="G886" s="46"/>
      <c r="H886" s="57"/>
    </row>
    <row r="887" spans="1:8" x14ac:dyDescent="0.3">
      <c r="A887" s="46"/>
      <c r="B887" s="46"/>
      <c r="C887" s="46"/>
      <c r="D887" s="46"/>
      <c r="E887" s="46"/>
      <c r="F887" s="46"/>
      <c r="G887" s="46"/>
      <c r="H887" s="57"/>
    </row>
    <row r="888" spans="1:8" x14ac:dyDescent="0.3">
      <c r="A888" s="46"/>
      <c r="B888" s="46"/>
      <c r="C888" s="46"/>
      <c r="D888" s="46"/>
      <c r="E888" s="46"/>
      <c r="F888" s="46"/>
      <c r="G888" s="46"/>
      <c r="H888" s="57"/>
    </row>
    <row r="889" spans="1:8" x14ac:dyDescent="0.3">
      <c r="A889" s="46"/>
      <c r="B889" s="46"/>
      <c r="C889" s="46"/>
      <c r="D889" s="46"/>
      <c r="E889" s="46"/>
      <c r="F889" s="46"/>
      <c r="G889" s="46"/>
      <c r="H889" s="57"/>
    </row>
    <row r="890" spans="1:8" x14ac:dyDescent="0.3">
      <c r="A890" s="46"/>
      <c r="B890" s="46"/>
      <c r="C890" s="46"/>
      <c r="D890" s="46"/>
      <c r="E890" s="46"/>
      <c r="F890" s="46"/>
      <c r="G890" s="46"/>
      <c r="H890" s="57"/>
    </row>
    <row r="891" spans="1:8" x14ac:dyDescent="0.3">
      <c r="A891" s="46"/>
      <c r="B891" s="46"/>
      <c r="C891" s="46"/>
      <c r="D891" s="46"/>
      <c r="E891" s="46"/>
      <c r="F891" s="46"/>
      <c r="G891" s="46"/>
      <c r="H891" s="57"/>
    </row>
    <row r="892" spans="1:8" x14ac:dyDescent="0.3">
      <c r="A892" s="46"/>
      <c r="B892" s="46"/>
      <c r="C892" s="46"/>
      <c r="D892" s="46"/>
      <c r="E892" s="46"/>
      <c r="F892" s="46"/>
      <c r="G892" s="46"/>
      <c r="H892" s="57"/>
    </row>
    <row r="893" spans="1:8" x14ac:dyDescent="0.3">
      <c r="A893" s="46"/>
      <c r="B893" s="46"/>
      <c r="C893" s="46"/>
      <c r="D893" s="46"/>
      <c r="E893" s="46"/>
      <c r="F893" s="46"/>
      <c r="G893" s="46"/>
      <c r="H893" s="57"/>
    </row>
    <row r="894" spans="1:8" x14ac:dyDescent="0.3">
      <c r="A894" s="46"/>
      <c r="B894" s="46"/>
      <c r="C894" s="46"/>
      <c r="D894" s="46"/>
      <c r="E894" s="46"/>
      <c r="F894" s="46"/>
      <c r="G894" s="46"/>
      <c r="H894" s="57"/>
    </row>
    <row r="895" spans="1:8" x14ac:dyDescent="0.3">
      <c r="A895" s="46"/>
      <c r="B895" s="46"/>
      <c r="C895" s="46"/>
      <c r="D895" s="46"/>
      <c r="E895" s="46"/>
      <c r="F895" s="46"/>
      <c r="G895" s="46"/>
      <c r="H895" s="57"/>
    </row>
    <row r="896" spans="1:8" x14ac:dyDescent="0.3">
      <c r="A896" s="46"/>
      <c r="B896" s="46"/>
      <c r="C896" s="46"/>
      <c r="D896" s="46"/>
      <c r="E896" s="46"/>
      <c r="F896" s="46"/>
      <c r="G896" s="46"/>
      <c r="H896" s="57"/>
    </row>
    <row r="897" spans="1:8" x14ac:dyDescent="0.3">
      <c r="A897" s="46"/>
      <c r="B897" s="46"/>
      <c r="C897" s="46"/>
      <c r="D897" s="46"/>
      <c r="E897" s="46"/>
      <c r="F897" s="46"/>
      <c r="G897" s="46"/>
      <c r="H897" s="57"/>
    </row>
    <row r="898" spans="1:8" x14ac:dyDescent="0.3">
      <c r="A898" s="46"/>
      <c r="B898" s="46"/>
      <c r="C898" s="46"/>
      <c r="D898" s="46"/>
      <c r="E898" s="46"/>
      <c r="F898" s="46"/>
      <c r="G898" s="46"/>
      <c r="H898" s="57"/>
    </row>
    <row r="899" spans="1:8" x14ac:dyDescent="0.3">
      <c r="A899" s="46"/>
      <c r="B899" s="46"/>
      <c r="C899" s="46"/>
      <c r="D899" s="46"/>
      <c r="E899" s="46"/>
      <c r="F899" s="46"/>
      <c r="G899" s="46"/>
      <c r="H899" s="57"/>
    </row>
    <row r="900" spans="1:8" x14ac:dyDescent="0.3">
      <c r="A900" s="46"/>
      <c r="B900" s="46"/>
      <c r="C900" s="46"/>
      <c r="D900" s="46"/>
      <c r="E900" s="46"/>
      <c r="F900" s="46"/>
      <c r="G900" s="46"/>
      <c r="H900" s="57"/>
    </row>
    <row r="901" spans="1:8" x14ac:dyDescent="0.3">
      <c r="A901" s="46"/>
      <c r="B901" s="46"/>
      <c r="C901" s="46"/>
      <c r="D901" s="46"/>
      <c r="E901" s="46"/>
      <c r="F901" s="46"/>
      <c r="G901" s="46"/>
      <c r="H901" s="57"/>
    </row>
    <row r="902" spans="1:8" x14ac:dyDescent="0.3">
      <c r="A902" s="46"/>
      <c r="B902" s="46"/>
      <c r="C902" s="46"/>
      <c r="D902" s="46"/>
      <c r="E902" s="46"/>
      <c r="F902" s="46"/>
      <c r="G902" s="46"/>
      <c r="H902" s="57"/>
    </row>
    <row r="903" spans="1:8" x14ac:dyDescent="0.3">
      <c r="A903" s="46"/>
      <c r="B903" s="46"/>
      <c r="C903" s="46"/>
      <c r="D903" s="46"/>
      <c r="E903" s="46"/>
      <c r="F903" s="46"/>
      <c r="G903" s="46"/>
      <c r="H903" s="57"/>
    </row>
    <row r="904" spans="1:8" x14ac:dyDescent="0.3">
      <c r="A904" s="46"/>
      <c r="B904" s="46"/>
      <c r="C904" s="46"/>
      <c r="D904" s="46"/>
      <c r="E904" s="46"/>
      <c r="F904" s="46"/>
      <c r="G904" s="46"/>
      <c r="H904" s="57"/>
    </row>
    <row r="905" spans="1:8" x14ac:dyDescent="0.3">
      <c r="A905" s="46"/>
      <c r="B905" s="46"/>
      <c r="C905" s="46"/>
      <c r="D905" s="46"/>
      <c r="E905" s="46"/>
      <c r="F905" s="46"/>
      <c r="G905" s="46"/>
      <c r="H905" s="57"/>
    </row>
    <row r="906" spans="1:8" x14ac:dyDescent="0.3">
      <c r="A906" s="46"/>
      <c r="B906" s="46"/>
      <c r="C906" s="46"/>
      <c r="D906" s="46"/>
      <c r="E906" s="46"/>
      <c r="F906" s="46"/>
      <c r="G906" s="46"/>
      <c r="H906" s="57"/>
    </row>
    <row r="907" spans="1:8" x14ac:dyDescent="0.3">
      <c r="A907" s="46"/>
      <c r="B907" s="46"/>
      <c r="C907" s="46"/>
      <c r="D907" s="46"/>
      <c r="E907" s="46"/>
      <c r="F907" s="46"/>
      <c r="G907" s="46"/>
      <c r="H907" s="57"/>
    </row>
    <row r="908" spans="1:8" x14ac:dyDescent="0.3">
      <c r="A908" s="46"/>
      <c r="B908" s="46"/>
      <c r="C908" s="46"/>
      <c r="D908" s="46"/>
      <c r="E908" s="46"/>
      <c r="F908" s="46"/>
      <c r="G908" s="46"/>
      <c r="H908" s="57"/>
    </row>
    <row r="909" spans="1:8" x14ac:dyDescent="0.3">
      <c r="A909" s="46"/>
      <c r="B909" s="46"/>
      <c r="C909" s="46"/>
      <c r="D909" s="46"/>
      <c r="E909" s="46"/>
      <c r="F909" s="46"/>
      <c r="G909" s="46"/>
      <c r="H909" s="57"/>
    </row>
    <row r="910" spans="1:8" x14ac:dyDescent="0.3">
      <c r="A910" s="46"/>
      <c r="B910" s="46"/>
      <c r="C910" s="46"/>
      <c r="D910" s="46"/>
      <c r="E910" s="46"/>
      <c r="F910" s="46"/>
      <c r="G910" s="46"/>
      <c r="H910" s="57"/>
    </row>
    <row r="911" spans="1:8" x14ac:dyDescent="0.3">
      <c r="A911" s="46"/>
      <c r="B911" s="46"/>
      <c r="C911" s="46"/>
      <c r="D911" s="46"/>
      <c r="E911" s="46"/>
      <c r="F911" s="46"/>
      <c r="G911" s="46"/>
      <c r="H911" s="57"/>
    </row>
    <row r="912" spans="1:8" x14ac:dyDescent="0.3">
      <c r="A912" s="46"/>
      <c r="B912" s="46"/>
      <c r="C912" s="46"/>
      <c r="D912" s="46"/>
      <c r="E912" s="46"/>
      <c r="F912" s="46"/>
      <c r="G912" s="46"/>
      <c r="H912" s="57"/>
    </row>
    <row r="913" spans="1:8" x14ac:dyDescent="0.3">
      <c r="A913" s="46"/>
      <c r="B913" s="46"/>
      <c r="C913" s="46"/>
      <c r="D913" s="46"/>
      <c r="E913" s="46"/>
      <c r="F913" s="46"/>
      <c r="G913" s="46"/>
      <c r="H913" s="57"/>
    </row>
    <row r="914" spans="1:8" x14ac:dyDescent="0.3">
      <c r="A914" s="46"/>
      <c r="B914" s="46"/>
      <c r="C914" s="46"/>
      <c r="D914" s="46"/>
      <c r="E914" s="46"/>
      <c r="F914" s="46"/>
      <c r="G914" s="46"/>
      <c r="H914" s="57"/>
    </row>
    <row r="915" spans="1:8" x14ac:dyDescent="0.3">
      <c r="A915" s="46"/>
      <c r="B915" s="46"/>
      <c r="C915" s="46"/>
      <c r="D915" s="46"/>
      <c r="E915" s="46"/>
      <c r="F915" s="46"/>
      <c r="G915" s="46"/>
      <c r="H915" s="57"/>
    </row>
    <row r="916" spans="1:8" x14ac:dyDescent="0.3">
      <c r="A916" s="46"/>
      <c r="B916" s="46"/>
      <c r="C916" s="46"/>
      <c r="D916" s="46"/>
      <c r="E916" s="46"/>
      <c r="F916" s="46"/>
      <c r="G916" s="46"/>
      <c r="H916" s="57"/>
    </row>
    <row r="917" spans="1:8" x14ac:dyDescent="0.3">
      <c r="A917" s="46"/>
      <c r="B917" s="46"/>
      <c r="C917" s="46"/>
      <c r="D917" s="46"/>
      <c r="E917" s="46"/>
      <c r="F917" s="46"/>
      <c r="G917" s="46"/>
      <c r="H917" s="57"/>
    </row>
    <row r="918" spans="1:8" x14ac:dyDescent="0.3">
      <c r="A918" s="46"/>
      <c r="B918" s="46"/>
      <c r="C918" s="46"/>
      <c r="D918" s="46"/>
      <c r="E918" s="46"/>
      <c r="F918" s="46"/>
      <c r="G918" s="46"/>
      <c r="H918" s="57"/>
    </row>
    <row r="919" spans="1:8" x14ac:dyDescent="0.3">
      <c r="A919" s="46"/>
      <c r="B919" s="46"/>
      <c r="C919" s="46"/>
      <c r="D919" s="46"/>
      <c r="E919" s="46"/>
      <c r="F919" s="46"/>
      <c r="G919" s="46"/>
      <c r="H919" s="57"/>
    </row>
    <row r="920" spans="1:8" x14ac:dyDescent="0.3">
      <c r="A920" s="46"/>
      <c r="B920" s="46"/>
      <c r="C920" s="46"/>
      <c r="D920" s="46"/>
      <c r="E920" s="46"/>
      <c r="F920" s="46"/>
      <c r="G920" s="46"/>
      <c r="H920" s="57"/>
    </row>
    <row r="921" spans="1:8" x14ac:dyDescent="0.3">
      <c r="A921" s="46"/>
      <c r="B921" s="46"/>
      <c r="C921" s="46"/>
      <c r="D921" s="46"/>
      <c r="E921" s="46"/>
      <c r="F921" s="46"/>
      <c r="G921" s="46"/>
      <c r="H921" s="57"/>
    </row>
    <row r="922" spans="1:8" x14ac:dyDescent="0.3">
      <c r="A922" s="46"/>
      <c r="B922" s="46"/>
      <c r="C922" s="46"/>
      <c r="D922" s="46"/>
      <c r="E922" s="46"/>
      <c r="F922" s="46"/>
      <c r="G922" s="46"/>
      <c r="H922" s="57"/>
    </row>
    <row r="923" spans="1:8" x14ac:dyDescent="0.3">
      <c r="A923" s="46"/>
      <c r="B923" s="46"/>
      <c r="C923" s="46"/>
      <c r="D923" s="46"/>
      <c r="E923" s="46"/>
      <c r="F923" s="46"/>
      <c r="G923" s="46"/>
      <c r="H923" s="57"/>
    </row>
    <row r="924" spans="1:8" x14ac:dyDescent="0.3">
      <c r="A924" s="46"/>
      <c r="B924" s="46"/>
      <c r="C924" s="46"/>
      <c r="D924" s="46"/>
      <c r="E924" s="46"/>
      <c r="F924" s="46"/>
      <c r="G924" s="46"/>
      <c r="H924" s="57"/>
    </row>
    <row r="925" spans="1:8" x14ac:dyDescent="0.3">
      <c r="A925" s="46"/>
      <c r="B925" s="46"/>
      <c r="C925" s="46"/>
      <c r="D925" s="46"/>
      <c r="E925" s="46"/>
      <c r="F925" s="46"/>
      <c r="G925" s="46"/>
      <c r="H925" s="57"/>
    </row>
    <row r="926" spans="1:8" x14ac:dyDescent="0.3">
      <c r="A926" s="46"/>
      <c r="B926" s="46"/>
      <c r="C926" s="46"/>
      <c r="D926" s="46"/>
      <c r="E926" s="46"/>
      <c r="F926" s="46"/>
      <c r="G926" s="46"/>
      <c r="H926" s="57"/>
    </row>
    <row r="927" spans="1:8" x14ac:dyDescent="0.3">
      <c r="A927" s="46"/>
      <c r="B927" s="46"/>
      <c r="C927" s="46"/>
      <c r="D927" s="46"/>
      <c r="E927" s="46"/>
      <c r="F927" s="46"/>
      <c r="G927" s="46"/>
      <c r="H927" s="57"/>
    </row>
    <row r="928" spans="1:8" x14ac:dyDescent="0.3">
      <c r="A928" s="46"/>
      <c r="B928" s="46"/>
      <c r="C928" s="46"/>
      <c r="D928" s="46"/>
      <c r="E928" s="46"/>
      <c r="F928" s="46"/>
      <c r="G928" s="46"/>
      <c r="H928" s="57"/>
    </row>
    <row r="929" spans="1:8" x14ac:dyDescent="0.3">
      <c r="A929" s="46"/>
      <c r="B929" s="46"/>
      <c r="C929" s="46"/>
      <c r="D929" s="46"/>
      <c r="E929" s="46"/>
      <c r="F929" s="46"/>
      <c r="G929" s="46"/>
      <c r="H929" s="57"/>
    </row>
    <row r="930" spans="1:8" x14ac:dyDescent="0.3">
      <c r="A930" s="46"/>
      <c r="B930" s="46"/>
      <c r="C930" s="46"/>
      <c r="D930" s="46"/>
      <c r="E930" s="46"/>
      <c r="F930" s="46"/>
      <c r="G930" s="46"/>
      <c r="H930" s="57"/>
    </row>
    <row r="931" spans="1:8" x14ac:dyDescent="0.3">
      <c r="A931" s="46"/>
      <c r="B931" s="46"/>
      <c r="C931" s="46"/>
      <c r="D931" s="46"/>
      <c r="E931" s="46"/>
      <c r="F931" s="46"/>
      <c r="G931" s="46"/>
      <c r="H931" s="57"/>
    </row>
    <row r="932" spans="1:8" x14ac:dyDescent="0.3">
      <c r="A932" s="46"/>
      <c r="B932" s="46"/>
      <c r="C932" s="46"/>
      <c r="D932" s="46"/>
      <c r="E932" s="46"/>
      <c r="F932" s="46"/>
      <c r="G932" s="46"/>
      <c r="H932" s="57"/>
    </row>
    <row r="933" spans="1:8" x14ac:dyDescent="0.3">
      <c r="A933" s="46"/>
      <c r="B933" s="46"/>
      <c r="C933" s="46"/>
      <c r="D933" s="46"/>
      <c r="E933" s="46"/>
      <c r="F933" s="46"/>
      <c r="G933" s="46"/>
      <c r="H933" s="57"/>
    </row>
    <row r="934" spans="1:8" x14ac:dyDescent="0.3">
      <c r="A934" s="46"/>
      <c r="B934" s="46"/>
      <c r="C934" s="46"/>
      <c r="D934" s="46"/>
      <c r="E934" s="46"/>
      <c r="F934" s="46"/>
      <c r="G934" s="46"/>
      <c r="H934" s="57"/>
    </row>
    <row r="935" spans="1:8" x14ac:dyDescent="0.3">
      <c r="A935" s="46"/>
      <c r="B935" s="46"/>
      <c r="C935" s="46"/>
      <c r="D935" s="46"/>
      <c r="E935" s="46"/>
      <c r="F935" s="46"/>
      <c r="G935" s="46"/>
      <c r="H935" s="57"/>
    </row>
    <row r="936" spans="1:8" x14ac:dyDescent="0.3">
      <c r="A936" s="46"/>
      <c r="B936" s="46"/>
      <c r="C936" s="46"/>
      <c r="D936" s="46"/>
      <c r="E936" s="46"/>
      <c r="F936" s="46"/>
      <c r="G936" s="46"/>
      <c r="H936" s="57"/>
    </row>
    <row r="937" spans="1:8" x14ac:dyDescent="0.3">
      <c r="A937" s="46"/>
      <c r="B937" s="46"/>
      <c r="C937" s="46"/>
      <c r="D937" s="46"/>
      <c r="E937" s="46"/>
      <c r="F937" s="46"/>
      <c r="G937" s="46"/>
      <c r="H937" s="57"/>
    </row>
    <row r="938" spans="1:8" x14ac:dyDescent="0.3">
      <c r="A938" s="46"/>
      <c r="B938" s="46"/>
      <c r="C938" s="46"/>
      <c r="D938" s="46"/>
      <c r="E938" s="46"/>
      <c r="F938" s="46"/>
      <c r="G938" s="46"/>
      <c r="H938" s="57"/>
    </row>
    <row r="939" spans="1:8" x14ac:dyDescent="0.3">
      <c r="A939" s="46"/>
      <c r="B939" s="46"/>
      <c r="C939" s="46"/>
      <c r="D939" s="46"/>
      <c r="E939" s="46"/>
      <c r="F939" s="46"/>
      <c r="G939" s="46"/>
      <c r="H939" s="57"/>
    </row>
    <row r="940" spans="1:8" x14ac:dyDescent="0.3">
      <c r="A940" s="46"/>
      <c r="B940" s="46"/>
      <c r="C940" s="46"/>
      <c r="D940" s="46"/>
      <c r="E940" s="46"/>
      <c r="F940" s="46"/>
      <c r="G940" s="46"/>
      <c r="H940" s="57"/>
    </row>
    <row r="941" spans="1:8" x14ac:dyDescent="0.3">
      <c r="A941" s="46"/>
      <c r="B941" s="46"/>
      <c r="C941" s="46"/>
      <c r="D941" s="46"/>
      <c r="E941" s="46"/>
      <c r="F941" s="46"/>
      <c r="G941" s="46"/>
      <c r="H941" s="57"/>
    </row>
    <row r="942" spans="1:8" x14ac:dyDescent="0.3">
      <c r="A942" s="46"/>
      <c r="B942" s="46"/>
      <c r="C942" s="46"/>
      <c r="D942" s="46"/>
      <c r="E942" s="46"/>
      <c r="F942" s="46"/>
      <c r="G942" s="46"/>
      <c r="H942" s="57"/>
    </row>
    <row r="943" spans="1:8" x14ac:dyDescent="0.3">
      <c r="A943" s="46"/>
      <c r="B943" s="46"/>
      <c r="C943" s="46"/>
      <c r="D943" s="46"/>
      <c r="E943" s="46"/>
      <c r="F943" s="46"/>
      <c r="G943" s="46"/>
      <c r="H943" s="57"/>
    </row>
    <row r="944" spans="1:8" x14ac:dyDescent="0.3">
      <c r="A944" s="46"/>
      <c r="B944" s="46"/>
      <c r="C944" s="46"/>
      <c r="D944" s="46"/>
      <c r="E944" s="46"/>
      <c r="F944" s="46"/>
      <c r="G944" s="46"/>
      <c r="H944" s="57"/>
    </row>
    <row r="945" spans="1:8" x14ac:dyDescent="0.3">
      <c r="A945" s="46"/>
      <c r="B945" s="46"/>
      <c r="C945" s="46"/>
      <c r="D945" s="46"/>
      <c r="E945" s="46"/>
      <c r="F945" s="46"/>
      <c r="G945" s="46"/>
      <c r="H945" s="57"/>
    </row>
    <row r="946" spans="1:8" x14ac:dyDescent="0.3">
      <c r="A946" s="46"/>
      <c r="B946" s="46"/>
      <c r="C946" s="46"/>
      <c r="D946" s="46"/>
      <c r="E946" s="46"/>
      <c r="F946" s="46"/>
      <c r="G946" s="46"/>
      <c r="H946" s="57"/>
    </row>
    <row r="947" spans="1:8" x14ac:dyDescent="0.3">
      <c r="A947" s="46"/>
      <c r="B947" s="46"/>
      <c r="C947" s="46"/>
      <c r="D947" s="46"/>
      <c r="E947" s="46"/>
      <c r="F947" s="46"/>
      <c r="G947" s="46"/>
      <c r="H947" s="57"/>
    </row>
    <row r="948" spans="1:8" x14ac:dyDescent="0.3">
      <c r="A948" s="46"/>
      <c r="B948" s="46"/>
      <c r="C948" s="46"/>
      <c r="D948" s="46"/>
      <c r="E948" s="46"/>
      <c r="F948" s="46"/>
      <c r="G948" s="46"/>
      <c r="H948" s="57"/>
    </row>
    <row r="949" spans="1:8" x14ac:dyDescent="0.3">
      <c r="A949" s="46"/>
      <c r="B949" s="46"/>
      <c r="C949" s="46"/>
      <c r="D949" s="46"/>
      <c r="E949" s="46"/>
      <c r="F949" s="46"/>
      <c r="G949" s="46"/>
      <c r="H949" s="57"/>
    </row>
    <row r="950" spans="1:8" x14ac:dyDescent="0.3">
      <c r="A950" s="46"/>
      <c r="B950" s="46"/>
      <c r="C950" s="46"/>
      <c r="D950" s="46"/>
      <c r="E950" s="46"/>
      <c r="F950" s="46"/>
      <c r="G950" s="46"/>
      <c r="H950" s="57"/>
    </row>
    <row r="951" spans="1:8" x14ac:dyDescent="0.3">
      <c r="A951" s="46"/>
      <c r="B951" s="46"/>
      <c r="C951" s="46"/>
      <c r="D951" s="46"/>
      <c r="E951" s="46"/>
      <c r="F951" s="46"/>
      <c r="G951" s="46"/>
      <c r="H951" s="57"/>
    </row>
    <row r="952" spans="1:8" x14ac:dyDescent="0.3">
      <c r="A952" s="46"/>
      <c r="B952" s="46"/>
      <c r="C952" s="46"/>
      <c r="D952" s="46"/>
      <c r="E952" s="46"/>
      <c r="F952" s="46"/>
      <c r="G952" s="46"/>
      <c r="H952" s="57"/>
    </row>
    <row r="953" spans="1:8" x14ac:dyDescent="0.3">
      <c r="A953" s="46"/>
      <c r="B953" s="46"/>
      <c r="C953" s="46"/>
      <c r="D953" s="46"/>
      <c r="E953" s="46"/>
      <c r="F953" s="46"/>
      <c r="G953" s="46"/>
      <c r="H953" s="57"/>
    </row>
    <row r="954" spans="1:8" x14ac:dyDescent="0.3">
      <c r="A954" s="46"/>
      <c r="B954" s="46"/>
      <c r="C954" s="46"/>
      <c r="D954" s="46"/>
      <c r="E954" s="46"/>
      <c r="F954" s="46"/>
      <c r="G954" s="46"/>
      <c r="H954" s="57"/>
    </row>
    <row r="955" spans="1:8" x14ac:dyDescent="0.3">
      <c r="A955" s="46"/>
      <c r="B955" s="46"/>
      <c r="C955" s="46"/>
      <c r="D955" s="46"/>
      <c r="E955" s="46"/>
      <c r="F955" s="46"/>
      <c r="G955" s="46"/>
      <c r="H955" s="57"/>
    </row>
    <row r="956" spans="1:8" x14ac:dyDescent="0.3">
      <c r="A956" s="46"/>
      <c r="B956" s="46"/>
      <c r="C956" s="46"/>
      <c r="D956" s="46"/>
      <c r="E956" s="46"/>
      <c r="F956" s="46"/>
      <c r="G956" s="46"/>
      <c r="H956" s="57"/>
    </row>
    <row r="957" spans="1:8" x14ac:dyDescent="0.3">
      <c r="A957" s="46"/>
      <c r="B957" s="46"/>
      <c r="C957" s="46"/>
      <c r="D957" s="46"/>
      <c r="E957" s="46"/>
      <c r="F957" s="46"/>
      <c r="G957" s="46"/>
      <c r="H957" s="57"/>
    </row>
    <row r="958" spans="1:8" x14ac:dyDescent="0.3">
      <c r="A958" s="46"/>
      <c r="B958" s="46"/>
      <c r="C958" s="46"/>
      <c r="D958" s="46"/>
      <c r="E958" s="46"/>
      <c r="F958" s="46"/>
      <c r="G958" s="46"/>
      <c r="H958" s="57"/>
    </row>
    <row r="959" spans="1:8" x14ac:dyDescent="0.3">
      <c r="A959" s="46"/>
      <c r="B959" s="46"/>
      <c r="C959" s="46"/>
      <c r="D959" s="46"/>
      <c r="E959" s="46"/>
      <c r="F959" s="46"/>
      <c r="G959" s="46"/>
      <c r="H959" s="57"/>
    </row>
    <row r="960" spans="1:8" x14ac:dyDescent="0.3">
      <c r="A960" s="46"/>
      <c r="B960" s="46"/>
      <c r="C960" s="46"/>
      <c r="D960" s="46"/>
      <c r="E960" s="46"/>
      <c r="F960" s="46"/>
      <c r="G960" s="46"/>
      <c r="H960" s="57"/>
    </row>
    <row r="961" spans="1:8" x14ac:dyDescent="0.3">
      <c r="A961" s="46"/>
      <c r="B961" s="46"/>
      <c r="C961" s="46"/>
      <c r="D961" s="46"/>
      <c r="E961" s="46"/>
      <c r="F961" s="46"/>
      <c r="G961" s="46"/>
      <c r="H961" s="57"/>
    </row>
    <row r="962" spans="1:8" x14ac:dyDescent="0.3">
      <c r="A962" s="46"/>
      <c r="B962" s="46"/>
      <c r="C962" s="46"/>
      <c r="D962" s="46"/>
      <c r="E962" s="46"/>
      <c r="F962" s="46"/>
      <c r="G962" s="46"/>
      <c r="H962" s="57"/>
    </row>
    <row r="963" spans="1:8" x14ac:dyDescent="0.3">
      <c r="A963" s="46"/>
      <c r="B963" s="46"/>
      <c r="C963" s="46"/>
      <c r="D963" s="46"/>
      <c r="E963" s="46"/>
      <c r="F963" s="46"/>
      <c r="G963" s="46"/>
      <c r="H963" s="57"/>
    </row>
    <row r="964" spans="1:8" x14ac:dyDescent="0.3">
      <c r="A964" s="46"/>
      <c r="B964" s="46"/>
      <c r="C964" s="46"/>
      <c r="D964" s="46"/>
      <c r="E964" s="46"/>
      <c r="F964" s="46"/>
      <c r="G964" s="46"/>
      <c r="H964" s="57"/>
    </row>
    <row r="965" spans="1:8" x14ac:dyDescent="0.3">
      <c r="A965" s="46"/>
      <c r="B965" s="46"/>
      <c r="C965" s="46"/>
      <c r="D965" s="46"/>
      <c r="E965" s="46"/>
      <c r="F965" s="46"/>
      <c r="G965" s="46"/>
      <c r="H965" s="57"/>
    </row>
    <row r="966" spans="1:8" x14ac:dyDescent="0.3">
      <c r="A966" s="46"/>
      <c r="B966" s="46"/>
      <c r="C966" s="46"/>
      <c r="D966" s="46"/>
      <c r="E966" s="46"/>
      <c r="F966" s="46"/>
      <c r="G966" s="46"/>
      <c r="H966" s="57"/>
    </row>
    <row r="967" spans="1:8" x14ac:dyDescent="0.3">
      <c r="A967" s="46"/>
      <c r="B967" s="46"/>
      <c r="C967" s="46"/>
      <c r="D967" s="46"/>
      <c r="E967" s="46"/>
      <c r="F967" s="46"/>
      <c r="G967" s="46"/>
      <c r="H967" s="57"/>
    </row>
    <row r="968" spans="1:8" x14ac:dyDescent="0.3">
      <c r="A968" s="46"/>
      <c r="B968" s="46"/>
      <c r="C968" s="46"/>
      <c r="D968" s="46"/>
      <c r="E968" s="46"/>
      <c r="F968" s="46"/>
      <c r="G968" s="46"/>
      <c r="H968" s="57"/>
    </row>
    <row r="969" spans="1:8" x14ac:dyDescent="0.3">
      <c r="A969" s="46"/>
      <c r="B969" s="46"/>
      <c r="C969" s="46"/>
      <c r="D969" s="46"/>
      <c r="E969" s="46"/>
      <c r="F969" s="46"/>
      <c r="G969" s="46"/>
      <c r="H969" s="57"/>
    </row>
    <row r="970" spans="1:8" x14ac:dyDescent="0.3">
      <c r="A970" s="46"/>
      <c r="B970" s="46"/>
      <c r="C970" s="46"/>
      <c r="D970" s="46"/>
      <c r="E970" s="46"/>
      <c r="F970" s="46"/>
      <c r="G970" s="46"/>
      <c r="H970" s="57"/>
    </row>
    <row r="971" spans="1:8" x14ac:dyDescent="0.3">
      <c r="A971" s="46"/>
      <c r="B971" s="46"/>
      <c r="C971" s="46"/>
      <c r="D971" s="46"/>
      <c r="E971" s="46"/>
      <c r="F971" s="46"/>
      <c r="G971" s="46"/>
      <c r="H971" s="57"/>
    </row>
    <row r="972" spans="1:8" x14ac:dyDescent="0.3">
      <c r="A972" s="46"/>
      <c r="B972" s="46"/>
      <c r="C972" s="46"/>
      <c r="D972" s="46"/>
      <c r="E972" s="46"/>
      <c r="F972" s="46"/>
      <c r="G972" s="46"/>
      <c r="H972" s="57"/>
    </row>
    <row r="973" spans="1:8" x14ac:dyDescent="0.3">
      <c r="A973" s="46"/>
      <c r="B973" s="46"/>
      <c r="C973" s="46"/>
      <c r="D973" s="46"/>
      <c r="E973" s="46"/>
      <c r="F973" s="46"/>
      <c r="G973" s="46"/>
      <c r="H973" s="57"/>
    </row>
    <row r="974" spans="1:8" x14ac:dyDescent="0.3">
      <c r="A974" s="46"/>
      <c r="B974" s="46"/>
      <c r="C974" s="46"/>
      <c r="D974" s="46"/>
      <c r="E974" s="46"/>
      <c r="F974" s="46"/>
      <c r="G974" s="46"/>
      <c r="H974" s="57"/>
    </row>
    <row r="975" spans="1:8" x14ac:dyDescent="0.3">
      <c r="A975" s="46"/>
      <c r="B975" s="46"/>
      <c r="C975" s="46"/>
      <c r="D975" s="46"/>
      <c r="E975" s="46"/>
      <c r="F975" s="46"/>
      <c r="G975" s="46"/>
      <c r="H975" s="57"/>
    </row>
    <row r="976" spans="1:8" x14ac:dyDescent="0.3">
      <c r="A976" s="46"/>
      <c r="B976" s="46"/>
      <c r="C976" s="46"/>
      <c r="D976" s="46"/>
      <c r="E976" s="46"/>
      <c r="F976" s="46"/>
      <c r="G976" s="46"/>
      <c r="H976" s="57"/>
    </row>
    <row r="977" spans="1:8" x14ac:dyDescent="0.3">
      <c r="A977" s="46"/>
      <c r="B977" s="46"/>
      <c r="C977" s="46"/>
      <c r="D977" s="46"/>
      <c r="E977" s="46"/>
      <c r="F977" s="46"/>
      <c r="G977" s="46"/>
      <c r="H977" s="57"/>
    </row>
    <row r="978" spans="1:8" x14ac:dyDescent="0.3">
      <c r="A978" s="46"/>
      <c r="B978" s="46"/>
      <c r="C978" s="46"/>
      <c r="D978" s="46"/>
      <c r="E978" s="46"/>
      <c r="F978" s="46"/>
      <c r="G978" s="46"/>
      <c r="H978" s="57"/>
    </row>
    <row r="979" spans="1:8" x14ac:dyDescent="0.3">
      <c r="A979" s="46"/>
      <c r="B979" s="46"/>
      <c r="C979" s="46"/>
      <c r="D979" s="46"/>
      <c r="E979" s="46"/>
      <c r="F979" s="46"/>
      <c r="G979" s="46"/>
      <c r="H979" s="57"/>
    </row>
    <row r="980" spans="1:8" x14ac:dyDescent="0.3">
      <c r="A980" s="46"/>
      <c r="B980" s="46"/>
      <c r="C980" s="46"/>
      <c r="D980" s="46"/>
      <c r="E980" s="46"/>
      <c r="F980" s="46"/>
      <c r="G980" s="46"/>
      <c r="H980" s="57"/>
    </row>
    <row r="981" spans="1:8" x14ac:dyDescent="0.3">
      <c r="A981" s="46"/>
      <c r="B981" s="46"/>
      <c r="C981" s="46"/>
      <c r="D981" s="46"/>
      <c r="E981" s="46"/>
      <c r="F981" s="46"/>
      <c r="G981" s="46"/>
      <c r="H981" s="57"/>
    </row>
    <row r="982" spans="1:8" x14ac:dyDescent="0.3">
      <c r="A982" s="46"/>
      <c r="B982" s="46"/>
      <c r="C982" s="46"/>
      <c r="D982" s="46"/>
      <c r="E982" s="46"/>
      <c r="F982" s="46"/>
      <c r="G982" s="46"/>
      <c r="H982" s="57"/>
    </row>
    <row r="983" spans="1:8" x14ac:dyDescent="0.3">
      <c r="A983" s="46"/>
      <c r="B983" s="46"/>
      <c r="C983" s="46"/>
      <c r="D983" s="46"/>
      <c r="E983" s="46"/>
      <c r="F983" s="46"/>
      <c r="G983" s="46"/>
      <c r="H983" s="57"/>
    </row>
    <row r="984" spans="1:8" x14ac:dyDescent="0.3">
      <c r="A984" s="46"/>
      <c r="B984" s="46"/>
      <c r="C984" s="46"/>
      <c r="D984" s="46"/>
      <c r="E984" s="46"/>
      <c r="F984" s="46"/>
      <c r="G984" s="46"/>
      <c r="H984" s="57"/>
    </row>
    <row r="985" spans="1:8" x14ac:dyDescent="0.3">
      <c r="A985" s="46"/>
      <c r="B985" s="46"/>
      <c r="C985" s="46"/>
      <c r="D985" s="46"/>
      <c r="E985" s="46"/>
      <c r="F985" s="46"/>
      <c r="G985" s="46"/>
      <c r="H985" s="57"/>
    </row>
    <row r="986" spans="1:8" x14ac:dyDescent="0.3">
      <c r="A986" s="46"/>
      <c r="B986" s="46"/>
      <c r="C986" s="46"/>
      <c r="D986" s="46"/>
      <c r="E986" s="46"/>
      <c r="F986" s="46"/>
      <c r="G986" s="46"/>
      <c r="H986" s="57"/>
    </row>
    <row r="987" spans="1:8" x14ac:dyDescent="0.3">
      <c r="A987" s="46"/>
      <c r="B987" s="46"/>
      <c r="C987" s="46"/>
      <c r="D987" s="46"/>
      <c r="E987" s="46"/>
      <c r="F987" s="46"/>
      <c r="G987" s="46"/>
      <c r="H987" s="57"/>
    </row>
    <row r="988" spans="1:8" x14ac:dyDescent="0.3">
      <c r="A988" s="46"/>
      <c r="B988" s="46"/>
      <c r="C988" s="46"/>
      <c r="D988" s="46"/>
      <c r="E988" s="46"/>
      <c r="F988" s="46"/>
      <c r="G988" s="46"/>
      <c r="H988" s="57"/>
    </row>
    <row r="989" spans="1:8" x14ac:dyDescent="0.3">
      <c r="A989" s="46"/>
      <c r="B989" s="46"/>
      <c r="C989" s="46"/>
      <c r="D989" s="46"/>
      <c r="E989" s="46"/>
      <c r="F989" s="46"/>
      <c r="G989" s="46"/>
      <c r="H989" s="57"/>
    </row>
    <row r="990" spans="1:8" x14ac:dyDescent="0.3">
      <c r="A990" s="46"/>
      <c r="B990" s="46"/>
      <c r="C990" s="46"/>
      <c r="D990" s="46"/>
      <c r="E990" s="46"/>
      <c r="F990" s="46"/>
      <c r="G990" s="46"/>
      <c r="H990" s="57"/>
    </row>
    <row r="991" spans="1:8" x14ac:dyDescent="0.3">
      <c r="A991" s="46"/>
      <c r="B991" s="46"/>
      <c r="C991" s="46"/>
      <c r="D991" s="46"/>
      <c r="E991" s="46"/>
      <c r="F991" s="46"/>
      <c r="G991" s="46"/>
      <c r="H991" s="57"/>
    </row>
    <row r="992" spans="1:8" x14ac:dyDescent="0.3">
      <c r="A992" s="46"/>
      <c r="B992" s="46"/>
      <c r="C992" s="46"/>
      <c r="D992" s="46"/>
      <c r="E992" s="46"/>
      <c r="F992" s="46"/>
      <c r="G992" s="46"/>
      <c r="H992" s="57"/>
    </row>
    <row r="993" spans="1:8" x14ac:dyDescent="0.3">
      <c r="A993" s="46"/>
      <c r="B993" s="46"/>
      <c r="C993" s="46"/>
      <c r="D993" s="46"/>
      <c r="E993" s="46"/>
      <c r="F993" s="46"/>
      <c r="G993" s="46"/>
      <c r="H993" s="57"/>
    </row>
    <row r="994" spans="1:8" x14ac:dyDescent="0.3">
      <c r="A994" s="46"/>
      <c r="B994" s="46"/>
      <c r="C994" s="46"/>
      <c r="D994" s="46"/>
      <c r="E994" s="46"/>
      <c r="F994" s="46"/>
      <c r="G994" s="46"/>
      <c r="H994" s="57"/>
    </row>
    <row r="995" spans="1:8" x14ac:dyDescent="0.3">
      <c r="A995" s="46"/>
      <c r="B995" s="46"/>
      <c r="C995" s="46"/>
      <c r="D995" s="46"/>
      <c r="E995" s="46"/>
      <c r="F995" s="46"/>
      <c r="G995" s="46"/>
      <c r="H995" s="57"/>
    </row>
    <row r="996" spans="1:8" x14ac:dyDescent="0.3">
      <c r="A996" s="46"/>
      <c r="B996" s="46"/>
      <c r="C996" s="46"/>
      <c r="D996" s="46"/>
      <c r="E996" s="46"/>
      <c r="F996" s="46"/>
      <c r="G996" s="46"/>
      <c r="H996" s="57"/>
    </row>
    <row r="997" spans="1:8" x14ac:dyDescent="0.3">
      <c r="A997" s="46"/>
      <c r="B997" s="46"/>
      <c r="C997" s="46"/>
      <c r="D997" s="46"/>
      <c r="E997" s="46"/>
      <c r="F997" s="46"/>
      <c r="G997" s="46"/>
      <c r="H997" s="57"/>
    </row>
    <row r="998" spans="1:8" x14ac:dyDescent="0.3">
      <c r="A998" s="46"/>
      <c r="B998" s="46"/>
      <c r="C998" s="46"/>
      <c r="D998" s="46"/>
      <c r="E998" s="46"/>
      <c r="F998" s="46"/>
      <c r="G998" s="46"/>
      <c r="H998" s="57"/>
    </row>
    <row r="999" spans="1:8" x14ac:dyDescent="0.3">
      <c r="A999" s="46"/>
      <c r="B999" s="46"/>
      <c r="C999" s="46"/>
      <c r="D999" s="46"/>
      <c r="E999" s="46"/>
      <c r="F999" s="46"/>
      <c r="G999" s="46"/>
      <c r="H999" s="57"/>
    </row>
    <row r="1000" spans="1:8" x14ac:dyDescent="0.3">
      <c r="A1000" s="46"/>
      <c r="B1000" s="46"/>
      <c r="C1000" s="46"/>
      <c r="D1000" s="46"/>
      <c r="E1000" s="46"/>
      <c r="F1000" s="46"/>
      <c r="G1000" s="46"/>
      <c r="H1000" s="57"/>
    </row>
    <row r="1001" spans="1:8" x14ac:dyDescent="0.3">
      <c r="A1001" s="46"/>
      <c r="B1001" s="46"/>
      <c r="C1001" s="46"/>
      <c r="D1001" s="46"/>
      <c r="E1001" s="46"/>
      <c r="F1001" s="46"/>
      <c r="G1001" s="46"/>
      <c r="H1001" s="57"/>
    </row>
    <row r="1002" spans="1:8" x14ac:dyDescent="0.3">
      <c r="A1002" s="46"/>
      <c r="B1002" s="46"/>
      <c r="C1002" s="46"/>
      <c r="D1002" s="46"/>
      <c r="E1002" s="46"/>
      <c r="F1002" s="46"/>
      <c r="G1002" s="46"/>
      <c r="H1002" s="57"/>
    </row>
    <row r="1003" spans="1:8" x14ac:dyDescent="0.3">
      <c r="A1003" s="46"/>
      <c r="B1003" s="46"/>
      <c r="C1003" s="46"/>
      <c r="D1003" s="46"/>
      <c r="E1003" s="46"/>
      <c r="F1003" s="46"/>
      <c r="G1003" s="46"/>
      <c r="H1003" s="57"/>
    </row>
    <row r="1004" spans="1:8" x14ac:dyDescent="0.3">
      <c r="A1004" s="46"/>
      <c r="B1004" s="46"/>
      <c r="C1004" s="46"/>
      <c r="D1004" s="46"/>
      <c r="E1004" s="46"/>
      <c r="F1004" s="46"/>
      <c r="G1004" s="46"/>
      <c r="H1004" s="57"/>
    </row>
    <row r="1005" spans="1:8" x14ac:dyDescent="0.3">
      <c r="A1005" s="46"/>
      <c r="B1005" s="46"/>
      <c r="C1005" s="46"/>
      <c r="D1005" s="46"/>
      <c r="E1005" s="46"/>
      <c r="F1005" s="46"/>
      <c r="G1005" s="46"/>
      <c r="H1005" s="57"/>
    </row>
    <row r="1006" spans="1:8" x14ac:dyDescent="0.3">
      <c r="A1006" s="46"/>
      <c r="B1006" s="46"/>
      <c r="C1006" s="46"/>
      <c r="D1006" s="46"/>
      <c r="E1006" s="46"/>
      <c r="F1006" s="46"/>
      <c r="G1006" s="46"/>
      <c r="H1006" s="57"/>
    </row>
  </sheetData>
  <mergeCells count="1">
    <mergeCell ref="A1:H1"/>
  </mergeCells>
  <conditionalFormatting sqref="H6:I7">
    <cfRule type="cellIs" dxfId="0" priority="1" operator="equal">
      <formula>200000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D26A-9EEC-43F2-B137-4ADD383A73D8}">
  <sheetPr>
    <tabColor theme="1" tint="0.499984740745262"/>
  </sheetPr>
  <dimension ref="A1:I84"/>
  <sheetViews>
    <sheetView topLeftCell="A64" workbookViewId="0">
      <selection activeCell="R28" sqref="R28"/>
    </sheetView>
  </sheetViews>
  <sheetFormatPr defaultColWidth="9.33203125" defaultRowHeight="18" customHeight="1" x14ac:dyDescent="0.3"/>
  <cols>
    <col min="1" max="1" width="10.33203125" style="3" customWidth="1"/>
    <col min="2" max="2" width="10.44140625" style="3" bestFit="1" customWidth="1"/>
    <col min="3" max="3" width="44.109375" style="3" customWidth="1"/>
    <col min="4" max="4" width="20.33203125" style="3" customWidth="1"/>
    <col min="5" max="6" width="18.44140625" style="3" bestFit="1" customWidth="1"/>
    <col min="7" max="16384" width="9.33203125" style="3"/>
  </cols>
  <sheetData>
    <row r="1" spans="1:9" ht="18" customHeight="1" x14ac:dyDescent="0.3">
      <c r="A1" s="1" t="s">
        <v>718</v>
      </c>
      <c r="B1" s="1"/>
      <c r="C1" s="1"/>
      <c r="D1" s="2"/>
      <c r="E1" s="2"/>
      <c r="F1" s="2"/>
    </row>
    <row r="3" spans="1:9" ht="18" customHeight="1" x14ac:dyDescent="0.3">
      <c r="A3" s="4" t="s">
        <v>719</v>
      </c>
      <c r="B3" s="4" t="s">
        <v>206</v>
      </c>
      <c r="C3" s="4" t="s">
        <v>207</v>
      </c>
      <c r="D3" s="4" t="s">
        <v>720</v>
      </c>
      <c r="E3" s="4" t="s">
        <v>721</v>
      </c>
      <c r="F3" s="4" t="s">
        <v>722</v>
      </c>
    </row>
    <row r="4" spans="1:9" ht="18" customHeight="1" x14ac:dyDescent="0.3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</row>
    <row r="5" spans="1:9" ht="18" customHeight="1" x14ac:dyDescent="0.3">
      <c r="A5" s="6" t="s">
        <v>723</v>
      </c>
      <c r="B5" s="7" t="s">
        <v>222</v>
      </c>
      <c r="C5" s="8" t="s">
        <v>724</v>
      </c>
      <c r="D5" s="9">
        <f>SUMIFS(DMTK!$F$5:$F$263,DMTK!$B$5:$B$263,HTTK1!A5 &amp; "*")</f>
        <v>400000000</v>
      </c>
      <c r="E5" s="9">
        <f>IF(OR(AND(B5="N",D5&gt;0),AND(B5="C",D5&lt;0)),ABS(D5),0)</f>
        <v>400000000</v>
      </c>
      <c r="F5" s="9">
        <f>IF(OR(AND(B5="C",D5&gt;0),AND(B5="N",D5&lt;0)),ABS(D5),0)</f>
        <v>0</v>
      </c>
    </row>
    <row r="6" spans="1:9" ht="18" customHeight="1" x14ac:dyDescent="0.3">
      <c r="A6" s="6" t="s">
        <v>725</v>
      </c>
      <c r="B6" s="7" t="s">
        <v>222</v>
      </c>
      <c r="C6" s="8" t="s">
        <v>726</v>
      </c>
      <c r="D6" s="9">
        <f>SUMIFS(DMTK!$F$5:$F$263,DMTK!$B$5:$B$263,HTTK1!A6 &amp; "*")</f>
        <v>358221000</v>
      </c>
      <c r="E6" s="9">
        <f t="shared" ref="E6:E69" si="0">IF(OR(AND(B6="N",D6&gt;0),AND(B6="C",D6&lt;0)),ABS(D6),0)</f>
        <v>358221000</v>
      </c>
      <c r="F6" s="9">
        <f t="shared" ref="F6:F69" si="1">IF(OR(AND(B6="C",D6&gt;0),AND(B6="N",D6&lt;0)),ABS(D6),0)</f>
        <v>0</v>
      </c>
    </row>
    <row r="7" spans="1:9" ht="18" customHeight="1" x14ac:dyDescent="0.3">
      <c r="A7" s="6" t="s">
        <v>727</v>
      </c>
      <c r="B7" s="7" t="s">
        <v>222</v>
      </c>
      <c r="C7" s="8" t="s">
        <v>728</v>
      </c>
      <c r="D7" s="9">
        <f>SUMIFS(DMTK!$F$5:$F$263,DMTK!$B$5:$B$263,HTTK1!A7 &amp; "*")</f>
        <v>0</v>
      </c>
      <c r="E7" s="9">
        <f t="shared" si="0"/>
        <v>0</v>
      </c>
      <c r="F7" s="9">
        <f t="shared" si="1"/>
        <v>0</v>
      </c>
    </row>
    <row r="8" spans="1:9" ht="18" customHeight="1" x14ac:dyDescent="0.3">
      <c r="A8" s="6" t="s">
        <v>729</v>
      </c>
      <c r="B8" s="7" t="s">
        <v>222</v>
      </c>
      <c r="C8" s="10" t="s">
        <v>730</v>
      </c>
      <c r="D8" s="9">
        <f>SUMIFS(DMTK!$F$5:$F$263,DMTK!$B$5:$B$263,HTTK1!A8 &amp; "*")</f>
        <v>0</v>
      </c>
      <c r="E8" s="9">
        <f t="shared" si="0"/>
        <v>0</v>
      </c>
      <c r="F8" s="9">
        <f t="shared" si="1"/>
        <v>0</v>
      </c>
      <c r="I8" s="11"/>
    </row>
    <row r="9" spans="1:9" ht="18" customHeight="1" x14ac:dyDescent="0.3">
      <c r="A9" s="6" t="s">
        <v>731</v>
      </c>
      <c r="B9" s="7" t="s">
        <v>222</v>
      </c>
      <c r="C9" s="10" t="s">
        <v>732</v>
      </c>
      <c r="D9" s="9">
        <f>SUMIFS(DMTK!$F$5:$F$263,DMTK!$B$5:$B$263,HTTK1!A9 &amp; "*")</f>
        <v>100000000</v>
      </c>
      <c r="E9" s="9">
        <f t="shared" si="0"/>
        <v>100000000</v>
      </c>
      <c r="F9" s="9">
        <f t="shared" si="1"/>
        <v>0</v>
      </c>
    </row>
    <row r="10" spans="1:9" ht="18" customHeight="1" x14ac:dyDescent="0.3">
      <c r="A10" s="6" t="s">
        <v>733</v>
      </c>
      <c r="B10" s="7" t="s">
        <v>222</v>
      </c>
      <c r="C10" s="8" t="s">
        <v>734</v>
      </c>
      <c r="D10" s="9">
        <f>SUMIFS(DMTK!$F$5:$F$263,DMTK!$B$5:$B$263,HTTK1!A10 &amp; "*")</f>
        <v>175000000</v>
      </c>
      <c r="E10" s="9">
        <f t="shared" si="0"/>
        <v>175000000</v>
      </c>
      <c r="F10" s="9">
        <f t="shared" si="1"/>
        <v>0</v>
      </c>
    </row>
    <row r="11" spans="1:9" ht="18" customHeight="1" x14ac:dyDescent="0.3">
      <c r="A11" s="6" t="s">
        <v>735</v>
      </c>
      <c r="B11" s="7" t="s">
        <v>222</v>
      </c>
      <c r="C11" s="10" t="s">
        <v>736</v>
      </c>
      <c r="D11" s="9">
        <f>SUMIFS(DMTK!$F$5:$F$263,DMTK!$B$5:$B$263,HTTK1!A11 &amp; "*")</f>
        <v>0</v>
      </c>
      <c r="E11" s="9">
        <f t="shared" si="0"/>
        <v>0</v>
      </c>
      <c r="F11" s="9">
        <f t="shared" si="1"/>
        <v>0</v>
      </c>
    </row>
    <row r="12" spans="1:9" ht="18" customHeight="1" x14ac:dyDescent="0.3">
      <c r="A12" s="6" t="s">
        <v>737</v>
      </c>
      <c r="B12" s="7" t="s">
        <v>222</v>
      </c>
      <c r="C12" s="8" t="s">
        <v>738</v>
      </c>
      <c r="D12" s="9">
        <f>SUMIFS(DMTK!$F$5:$F$263,DMTK!$B$5:$B$263,HTTK1!A12 &amp; "*")</f>
        <v>0</v>
      </c>
      <c r="E12" s="9">
        <f t="shared" si="0"/>
        <v>0</v>
      </c>
      <c r="F12" s="9">
        <f t="shared" si="1"/>
        <v>0</v>
      </c>
    </row>
    <row r="13" spans="1:9" ht="18" customHeight="1" x14ac:dyDescent="0.3">
      <c r="A13" s="6" t="s">
        <v>739</v>
      </c>
      <c r="B13" s="7" t="s">
        <v>222</v>
      </c>
      <c r="C13" s="8" t="s">
        <v>740</v>
      </c>
      <c r="D13" s="9">
        <f>SUMIFS(DMTK!$F$5:$F$263,DMTK!$B$5:$B$263,HTTK1!A13 &amp; "*")</f>
        <v>52200000</v>
      </c>
      <c r="E13" s="9">
        <f t="shared" si="0"/>
        <v>52200000</v>
      </c>
      <c r="F13" s="9">
        <f t="shared" si="1"/>
        <v>0</v>
      </c>
    </row>
    <row r="14" spans="1:9" ht="18" customHeight="1" x14ac:dyDescent="0.3">
      <c r="A14" s="6" t="s">
        <v>741</v>
      </c>
      <c r="B14" s="7" t="s">
        <v>222</v>
      </c>
      <c r="C14" s="8" t="s">
        <v>742</v>
      </c>
      <c r="D14" s="9">
        <f>SUMIFS(DMTK!$F$5:$F$263,DMTK!$B$5:$B$263,HTTK1!A14 &amp; "*")</f>
        <v>3500000</v>
      </c>
      <c r="E14" s="9">
        <f t="shared" si="0"/>
        <v>3500000</v>
      </c>
      <c r="F14" s="9">
        <f t="shared" si="1"/>
        <v>0</v>
      </c>
    </row>
    <row r="15" spans="1:9" ht="18" customHeight="1" x14ac:dyDescent="0.3">
      <c r="A15" s="6" t="s">
        <v>309</v>
      </c>
      <c r="B15" s="7" t="s">
        <v>222</v>
      </c>
      <c r="C15" s="8" t="s">
        <v>743</v>
      </c>
      <c r="D15" s="9">
        <f>SUMIFS(DMTK!$F$5:$F$263,DMTK!$B$5:$B$263,HTTK1!A15 &amp; "*")</f>
        <v>0</v>
      </c>
      <c r="E15" s="9">
        <f t="shared" si="0"/>
        <v>0</v>
      </c>
      <c r="F15" s="9">
        <f t="shared" si="1"/>
        <v>0</v>
      </c>
    </row>
    <row r="16" spans="1:9" ht="18" customHeight="1" x14ac:dyDescent="0.3">
      <c r="A16" s="6" t="s">
        <v>744</v>
      </c>
      <c r="B16" s="7" t="s">
        <v>222</v>
      </c>
      <c r="C16" s="8" t="s">
        <v>745</v>
      </c>
      <c r="D16" s="9">
        <f>SUMIFS(DMTK!$F$5:$F$263,DMTK!$B$5:$B$263,HTTK1!A16 &amp; "*")</f>
        <v>147540000</v>
      </c>
      <c r="E16" s="9">
        <f t="shared" si="0"/>
        <v>147540000</v>
      </c>
      <c r="F16" s="9">
        <f t="shared" si="1"/>
        <v>0</v>
      </c>
    </row>
    <row r="17" spans="1:6" ht="18" customHeight="1" x14ac:dyDescent="0.3">
      <c r="A17" s="6" t="s">
        <v>746</v>
      </c>
      <c r="B17" s="7" t="s">
        <v>222</v>
      </c>
      <c r="C17" s="8" t="s">
        <v>747</v>
      </c>
      <c r="D17" s="9">
        <f>SUMIFS(DMTK!$F$5:$F$263,DMTK!$B$5:$B$263,HTTK1!A17 &amp; "*")</f>
        <v>16500000</v>
      </c>
      <c r="E17" s="9">
        <f t="shared" si="0"/>
        <v>16500000</v>
      </c>
      <c r="F17" s="9">
        <f t="shared" si="1"/>
        <v>0</v>
      </c>
    </row>
    <row r="18" spans="1:6" ht="18" customHeight="1" x14ac:dyDescent="0.3">
      <c r="A18" s="6" t="s">
        <v>748</v>
      </c>
      <c r="B18" s="7" t="s">
        <v>222</v>
      </c>
      <c r="C18" s="8" t="s">
        <v>749</v>
      </c>
      <c r="D18" s="9">
        <f>SUMIFS(DMTK!$F$5:$F$263,DMTK!$B$5:$B$263,HTTK1!A18 &amp; "*")</f>
        <v>222000000</v>
      </c>
      <c r="E18" s="9">
        <f t="shared" si="0"/>
        <v>222000000</v>
      </c>
      <c r="F18" s="9">
        <f t="shared" si="1"/>
        <v>0</v>
      </c>
    </row>
    <row r="19" spans="1:6" ht="18" customHeight="1" x14ac:dyDescent="0.3">
      <c r="A19" s="6" t="s">
        <v>750</v>
      </c>
      <c r="B19" s="7" t="s">
        <v>222</v>
      </c>
      <c r="C19" s="8" t="s">
        <v>751</v>
      </c>
      <c r="D19" s="9">
        <f>SUMIFS(DMTK!$F$5:$F$263,DMTK!$B$5:$B$263,HTTK1!A19 &amp; "*")</f>
        <v>246500000</v>
      </c>
      <c r="E19" s="9">
        <f t="shared" si="0"/>
        <v>246500000</v>
      </c>
      <c r="F19" s="9">
        <f t="shared" si="1"/>
        <v>0</v>
      </c>
    </row>
    <row r="20" spans="1:6" ht="18" customHeight="1" x14ac:dyDescent="0.3">
      <c r="A20" s="6" t="s">
        <v>752</v>
      </c>
      <c r="B20" s="7" t="s">
        <v>222</v>
      </c>
      <c r="C20" s="8" t="s">
        <v>753</v>
      </c>
      <c r="D20" s="9">
        <f>SUMIFS(DMTK!$F$5:$F$263,DMTK!$B$5:$B$263,HTTK1!A20 &amp; "*")</f>
        <v>0</v>
      </c>
      <c r="E20" s="9">
        <f t="shared" si="0"/>
        <v>0</v>
      </c>
      <c r="F20" s="9">
        <f t="shared" si="1"/>
        <v>0</v>
      </c>
    </row>
    <row r="21" spans="1:6" ht="18" customHeight="1" x14ac:dyDescent="0.3">
      <c r="A21" s="6" t="s">
        <v>353</v>
      </c>
      <c r="B21" s="7" t="s">
        <v>222</v>
      </c>
      <c r="C21" s="8" t="s">
        <v>354</v>
      </c>
      <c r="D21" s="9">
        <f>SUMIFS(DMTK!$F$5:$F$263,DMTK!$B$5:$B$263,HTTK1!A21 &amp; "*")</f>
        <v>0</v>
      </c>
      <c r="E21" s="9">
        <f t="shared" si="0"/>
        <v>0</v>
      </c>
      <c r="F21" s="9">
        <f t="shared" si="1"/>
        <v>0</v>
      </c>
    </row>
    <row r="22" spans="1:6" ht="18" customHeight="1" x14ac:dyDescent="0.3">
      <c r="A22" s="6" t="s">
        <v>355</v>
      </c>
      <c r="B22" s="7" t="s">
        <v>222</v>
      </c>
      <c r="C22" s="8" t="s">
        <v>356</v>
      </c>
      <c r="D22" s="9">
        <f>SUMIFS(DMTK!$F$5:$F$263,DMTK!$B$5:$B$263,HTTK1!A22 &amp; "*")</f>
        <v>0</v>
      </c>
      <c r="E22" s="9">
        <f t="shared" si="0"/>
        <v>0</v>
      </c>
      <c r="F22" s="9">
        <f t="shared" si="1"/>
        <v>0</v>
      </c>
    </row>
    <row r="23" spans="1:6" ht="18" customHeight="1" x14ac:dyDescent="0.3">
      <c r="A23" s="6" t="s">
        <v>754</v>
      </c>
      <c r="B23" s="7" t="s">
        <v>222</v>
      </c>
      <c r="C23" s="8" t="s">
        <v>755</v>
      </c>
      <c r="D23" s="9">
        <f>SUMIFS(DMTK!$F$5:$F$263,DMTK!$B$5:$B$263,HTTK1!A23 &amp; "*")</f>
        <v>0</v>
      </c>
      <c r="E23" s="9">
        <f t="shared" si="0"/>
        <v>0</v>
      </c>
      <c r="F23" s="9">
        <f t="shared" si="1"/>
        <v>0</v>
      </c>
    </row>
    <row r="24" spans="1:6" ht="18" customHeight="1" x14ac:dyDescent="0.3">
      <c r="A24" s="6" t="s">
        <v>363</v>
      </c>
      <c r="B24" s="7" t="s">
        <v>222</v>
      </c>
      <c r="C24" s="8" t="s">
        <v>364</v>
      </c>
      <c r="D24" s="9">
        <f>SUMIFS(DMTK!$F$5:$F$263,DMTK!$B$5:$B$263,HTTK1!A24 &amp; "*")</f>
        <v>0</v>
      </c>
      <c r="E24" s="9">
        <f t="shared" si="0"/>
        <v>0</v>
      </c>
      <c r="F24" s="9">
        <f t="shared" si="1"/>
        <v>0</v>
      </c>
    </row>
    <row r="25" spans="1:6" ht="18" customHeight="1" x14ac:dyDescent="0.3">
      <c r="A25" s="6" t="s">
        <v>756</v>
      </c>
      <c r="B25" s="7" t="s">
        <v>222</v>
      </c>
      <c r="C25" s="8" t="s">
        <v>757</v>
      </c>
      <c r="D25" s="9">
        <f>SUMIFS(DMTK!$F$5:$F$263,DMTK!$B$5:$B$263,HTTK1!A25 &amp; "*")</f>
        <v>933779000</v>
      </c>
      <c r="E25" s="9">
        <f t="shared" si="0"/>
        <v>933779000</v>
      </c>
      <c r="F25" s="9">
        <f t="shared" si="1"/>
        <v>0</v>
      </c>
    </row>
    <row r="26" spans="1:6" ht="18" customHeight="1" x14ac:dyDescent="0.3">
      <c r="A26" s="6" t="s">
        <v>758</v>
      </c>
      <c r="B26" s="7" t="s">
        <v>222</v>
      </c>
      <c r="C26" s="8" t="s">
        <v>759</v>
      </c>
      <c r="D26" s="9">
        <f>SUMIFS(DMTK!$F$5:$F$263,DMTK!$B$5:$B$263,HTTK1!A26 &amp; "*")</f>
        <v>0</v>
      </c>
      <c r="E26" s="9">
        <f t="shared" si="0"/>
        <v>0</v>
      </c>
      <c r="F26" s="9">
        <f t="shared" si="1"/>
        <v>0</v>
      </c>
    </row>
    <row r="27" spans="1:6" ht="18" customHeight="1" x14ac:dyDescent="0.3">
      <c r="A27" s="6" t="s">
        <v>760</v>
      </c>
      <c r="B27" s="7" t="s">
        <v>222</v>
      </c>
      <c r="C27" s="8" t="s">
        <v>761</v>
      </c>
      <c r="D27" s="9">
        <f>SUMIFS(DMTK!$F$5:$F$263,DMTK!$B$5:$B$263,HTTK1!A27 &amp; "*")</f>
        <v>0</v>
      </c>
      <c r="E27" s="9">
        <f t="shared" si="0"/>
        <v>0</v>
      </c>
      <c r="F27" s="9">
        <f t="shared" si="1"/>
        <v>0</v>
      </c>
    </row>
    <row r="28" spans="1:6" ht="18" customHeight="1" x14ac:dyDescent="0.3">
      <c r="A28" s="6" t="s">
        <v>762</v>
      </c>
      <c r="B28" s="7" t="s">
        <v>384</v>
      </c>
      <c r="C28" s="8" t="s">
        <v>763</v>
      </c>
      <c r="D28" s="9">
        <f>SUMIFS(DMTK!$F$5:$F$263,DMTK!$B$5:$B$263,HTTK1!A28 &amp; "*")</f>
        <v>90000000</v>
      </c>
      <c r="E28" s="9">
        <f t="shared" si="0"/>
        <v>0</v>
      </c>
      <c r="F28" s="9">
        <f t="shared" si="1"/>
        <v>90000000</v>
      </c>
    </row>
    <row r="29" spans="1:6" ht="18" customHeight="1" x14ac:dyDescent="0.3">
      <c r="A29" s="6" t="s">
        <v>390</v>
      </c>
      <c r="B29" s="7" t="s">
        <v>222</v>
      </c>
      <c r="C29" s="8" t="s">
        <v>391</v>
      </c>
      <c r="D29" s="9">
        <f>SUMIFS(DMTK!$F$5:$F$263,DMTK!$B$5:$B$263,HTTK1!A29 &amp; "*")</f>
        <v>0</v>
      </c>
      <c r="E29" s="9">
        <f t="shared" si="0"/>
        <v>0</v>
      </c>
      <c r="F29" s="9">
        <f t="shared" si="1"/>
        <v>0</v>
      </c>
    </row>
    <row r="30" spans="1:6" ht="18" customHeight="1" x14ac:dyDescent="0.3">
      <c r="A30" s="6" t="s">
        <v>393</v>
      </c>
      <c r="B30" s="7" t="s">
        <v>222</v>
      </c>
      <c r="C30" s="8" t="s">
        <v>394</v>
      </c>
      <c r="D30" s="9">
        <f>SUMIFS(DMTK!$F$5:$F$263,DMTK!$B$5:$B$263,HTTK1!A30 &amp; "*")</f>
        <v>0</v>
      </c>
      <c r="E30" s="9">
        <f t="shared" si="0"/>
        <v>0</v>
      </c>
      <c r="F30" s="9">
        <f t="shared" si="1"/>
        <v>0</v>
      </c>
    </row>
    <row r="31" spans="1:6" ht="18" customHeight="1" x14ac:dyDescent="0.3">
      <c r="A31" s="6" t="s">
        <v>396</v>
      </c>
      <c r="B31" s="7" t="s">
        <v>222</v>
      </c>
      <c r="C31" s="8" t="s">
        <v>397</v>
      </c>
      <c r="D31" s="9">
        <f>SUMIFS(DMTK!$F$5:$F$263,DMTK!$B$5:$B$263,HTTK1!A31 &amp; "*")</f>
        <v>26000000</v>
      </c>
      <c r="E31" s="9">
        <f t="shared" si="0"/>
        <v>26000000</v>
      </c>
      <c r="F31" s="9">
        <f t="shared" si="1"/>
        <v>0</v>
      </c>
    </row>
    <row r="32" spans="1:6" ht="18" customHeight="1" x14ac:dyDescent="0.3">
      <c r="A32" s="6" t="s">
        <v>764</v>
      </c>
      <c r="B32" s="7" t="s">
        <v>222</v>
      </c>
      <c r="C32" s="8" t="s">
        <v>403</v>
      </c>
      <c r="D32" s="9">
        <f>SUMIFS(DMTK!$F$5:$F$263,DMTK!$B$5:$B$263,HTTK1!A32 &amp; "*")</f>
        <v>110000000</v>
      </c>
      <c r="E32" s="9">
        <f t="shared" si="0"/>
        <v>110000000</v>
      </c>
      <c r="F32" s="9">
        <f t="shared" si="1"/>
        <v>0</v>
      </c>
    </row>
    <row r="33" spans="1:6" ht="18" customHeight="1" x14ac:dyDescent="0.3">
      <c r="A33" s="6" t="s">
        <v>765</v>
      </c>
      <c r="B33" s="7" t="s">
        <v>384</v>
      </c>
      <c r="C33" s="8" t="s">
        <v>766</v>
      </c>
      <c r="D33" s="9">
        <f>SUMIFS(DMTK!$F$5:$F$263,DMTK!$B$5:$B$263,HTTK1!A33 &amp; "*")</f>
        <v>110000000</v>
      </c>
      <c r="E33" s="9">
        <f t="shared" si="0"/>
        <v>0</v>
      </c>
      <c r="F33" s="9">
        <f t="shared" si="1"/>
        <v>110000000</v>
      </c>
    </row>
    <row r="34" spans="1:6" ht="18" customHeight="1" x14ac:dyDescent="0.3">
      <c r="A34" s="6" t="s">
        <v>767</v>
      </c>
      <c r="B34" s="7" t="s">
        <v>222</v>
      </c>
      <c r="C34" s="8" t="s">
        <v>768</v>
      </c>
      <c r="D34" s="9">
        <f>SUMIFS(DMTK!$F$5:$F$263,DMTK!$B$5:$B$263,HTTK1!A34 &amp; "*")</f>
        <v>463760000</v>
      </c>
      <c r="E34" s="9">
        <f t="shared" si="0"/>
        <v>463760000</v>
      </c>
      <c r="F34" s="9">
        <f t="shared" si="1"/>
        <v>0</v>
      </c>
    </row>
    <row r="35" spans="1:6" ht="18" customHeight="1" x14ac:dyDescent="0.3">
      <c r="A35" s="6" t="s">
        <v>769</v>
      </c>
      <c r="B35" s="7" t="s">
        <v>222</v>
      </c>
      <c r="C35" s="8" t="s">
        <v>770</v>
      </c>
      <c r="D35" s="9">
        <f>SUMIFS(DMTK!$F$5:$F$263,DMTK!$B$5:$B$263,HTTK1!A35 &amp; "*")</f>
        <v>13000000</v>
      </c>
      <c r="E35" s="9">
        <f t="shared" si="0"/>
        <v>13000000</v>
      </c>
      <c r="F35" s="9">
        <f t="shared" si="1"/>
        <v>0</v>
      </c>
    </row>
    <row r="36" spans="1:6" ht="18" customHeight="1" x14ac:dyDescent="0.3">
      <c r="A36" s="6" t="s">
        <v>437</v>
      </c>
      <c r="B36" s="7" t="s">
        <v>222</v>
      </c>
      <c r="C36" s="8" t="s">
        <v>438</v>
      </c>
      <c r="D36" s="9">
        <f>SUMIFS(DMTK!$F$5:$F$263,DMTK!$B$5:$B$263,HTTK1!A36 &amp; "*")</f>
        <v>0</v>
      </c>
      <c r="E36" s="9">
        <f t="shared" si="0"/>
        <v>0</v>
      </c>
      <c r="F36" s="9">
        <f t="shared" si="1"/>
        <v>0</v>
      </c>
    </row>
    <row r="37" spans="1:6" ht="18" customHeight="1" x14ac:dyDescent="0.3">
      <c r="A37" s="6" t="s">
        <v>771</v>
      </c>
      <c r="B37" s="7" t="s">
        <v>222</v>
      </c>
      <c r="C37" s="8" t="s">
        <v>772</v>
      </c>
      <c r="D37" s="9">
        <f>SUMIFS(DMTK!$F$5:$F$263,DMTK!$B$5:$B$263,HTTK1!A37 &amp; "*")</f>
        <v>130000000</v>
      </c>
      <c r="E37" s="9">
        <f t="shared" si="0"/>
        <v>130000000</v>
      </c>
      <c r="F37" s="9">
        <f t="shared" si="1"/>
        <v>0</v>
      </c>
    </row>
    <row r="38" spans="1:6" ht="18" customHeight="1" x14ac:dyDescent="0.3">
      <c r="A38" s="6" t="s">
        <v>773</v>
      </c>
      <c r="B38" s="7" t="s">
        <v>384</v>
      </c>
      <c r="C38" s="8" t="s">
        <v>774</v>
      </c>
      <c r="D38" s="9">
        <f>SUMIFS(DMTK!$F$5:$F$263,DMTK!$B$5:$B$263,HTTK1!A38 &amp; "*")</f>
        <v>212000000</v>
      </c>
      <c r="E38" s="9">
        <f t="shared" si="0"/>
        <v>0</v>
      </c>
      <c r="F38" s="9">
        <f t="shared" si="1"/>
        <v>212000000</v>
      </c>
    </row>
    <row r="39" spans="1:6" ht="18" customHeight="1" x14ac:dyDescent="0.3">
      <c r="A39" s="6" t="s">
        <v>775</v>
      </c>
      <c r="B39" s="7" t="s">
        <v>384</v>
      </c>
      <c r="C39" s="8" t="s">
        <v>776</v>
      </c>
      <c r="D39" s="9">
        <f>SUMIFS(DMTK!$F$5:$F$263,DMTK!$B$5:$B$263,HTTK1!A39 &amp; "*")</f>
        <v>34200000</v>
      </c>
      <c r="E39" s="9">
        <f t="shared" si="0"/>
        <v>0</v>
      </c>
      <c r="F39" s="9">
        <f t="shared" si="1"/>
        <v>34200000</v>
      </c>
    </row>
    <row r="40" spans="1:6" ht="18" customHeight="1" x14ac:dyDescent="0.3">
      <c r="A40" s="6" t="s">
        <v>777</v>
      </c>
      <c r="B40" s="7" t="s">
        <v>384</v>
      </c>
      <c r="C40" s="8" t="s">
        <v>778</v>
      </c>
      <c r="D40" s="9">
        <f>SUMIFS(DMTK!$F$5:$F$263,DMTK!$B$5:$B$263,HTTK1!A40 &amp; "*")</f>
        <v>109500000</v>
      </c>
      <c r="E40" s="9">
        <f t="shared" si="0"/>
        <v>0</v>
      </c>
      <c r="F40" s="9">
        <f t="shared" si="1"/>
        <v>109500000</v>
      </c>
    </row>
    <row r="41" spans="1:6" ht="18" customHeight="1" x14ac:dyDescent="0.3">
      <c r="A41" s="6" t="s">
        <v>779</v>
      </c>
      <c r="B41" s="7" t="s">
        <v>384</v>
      </c>
      <c r="C41" s="8" t="s">
        <v>780</v>
      </c>
      <c r="D41" s="9">
        <f>SUMIFS(DMTK!$F$5:$F$263,DMTK!$B$5:$B$263,HTTK1!A41 &amp; "*")</f>
        <v>56000000</v>
      </c>
      <c r="E41" s="9">
        <f t="shared" si="0"/>
        <v>0</v>
      </c>
      <c r="F41" s="9">
        <f t="shared" si="1"/>
        <v>56000000</v>
      </c>
    </row>
    <row r="42" spans="1:6" ht="18" customHeight="1" x14ac:dyDescent="0.3">
      <c r="A42" s="6" t="s">
        <v>781</v>
      </c>
      <c r="B42" s="7" t="s">
        <v>384</v>
      </c>
      <c r="C42" s="8" t="s">
        <v>782</v>
      </c>
      <c r="D42" s="9">
        <f>SUMIFS(DMTK!$F$5:$F$263,DMTK!$B$5:$B$263,HTTK1!A42 &amp; "*")</f>
        <v>0</v>
      </c>
      <c r="E42" s="9">
        <f t="shared" si="0"/>
        <v>0</v>
      </c>
      <c r="F42" s="9">
        <f t="shared" si="1"/>
        <v>0</v>
      </c>
    </row>
    <row r="43" spans="1:6" ht="18" customHeight="1" x14ac:dyDescent="0.3">
      <c r="A43" s="6" t="s">
        <v>500</v>
      </c>
      <c r="B43" s="7" t="s">
        <v>384</v>
      </c>
      <c r="C43" s="8" t="s">
        <v>501</v>
      </c>
      <c r="D43" s="9">
        <f>SUMIFS(DMTK!$F$5:$F$263,DMTK!$B$5:$B$263,HTTK1!A43 &amp; "*")</f>
        <v>0</v>
      </c>
      <c r="E43" s="9">
        <f t="shared" si="0"/>
        <v>0</v>
      </c>
      <c r="F43" s="9">
        <f t="shared" si="1"/>
        <v>0</v>
      </c>
    </row>
    <row r="44" spans="1:6" ht="18" customHeight="1" x14ac:dyDescent="0.3">
      <c r="A44" s="6" t="s">
        <v>783</v>
      </c>
      <c r="B44" s="7" t="s">
        <v>384</v>
      </c>
      <c r="C44" s="8" t="s">
        <v>518</v>
      </c>
      <c r="D44" s="9">
        <f>SUMIFS(DMTK!$F$5:$F$263,DMTK!$B$5:$B$263,HTTK1!A44 &amp; "*")</f>
        <v>58800000</v>
      </c>
      <c r="E44" s="9">
        <f t="shared" si="0"/>
        <v>0</v>
      </c>
      <c r="F44" s="9">
        <f t="shared" si="1"/>
        <v>58800000</v>
      </c>
    </row>
    <row r="45" spans="1:6" ht="18" customHeight="1" x14ac:dyDescent="0.3">
      <c r="A45" s="6" t="s">
        <v>784</v>
      </c>
      <c r="B45" s="7" t="s">
        <v>384</v>
      </c>
      <c r="C45" s="8" t="s">
        <v>785</v>
      </c>
      <c r="D45" s="9">
        <f>SUMIFS(DMTK!$F$5:$F$263,DMTK!$B$5:$B$263,HTTK1!A45 &amp; "*")</f>
        <v>385000000</v>
      </c>
      <c r="E45" s="9">
        <f t="shared" si="0"/>
        <v>0</v>
      </c>
      <c r="F45" s="9">
        <f t="shared" si="1"/>
        <v>385000000</v>
      </c>
    </row>
    <row r="46" spans="1:6" ht="18" customHeight="1" x14ac:dyDescent="0.3">
      <c r="A46" s="6" t="s">
        <v>786</v>
      </c>
      <c r="B46" s="7" t="s">
        <v>384</v>
      </c>
      <c r="C46" s="8" t="s">
        <v>787</v>
      </c>
      <c r="D46" s="9">
        <f>SUMIFS(DMTK!$F$5:$F$263,DMTK!$B$5:$B$263,HTTK1!A46 &amp; "*")</f>
        <v>0</v>
      </c>
      <c r="E46" s="9">
        <f t="shared" si="0"/>
        <v>0</v>
      </c>
      <c r="F46" s="9">
        <f t="shared" si="1"/>
        <v>0</v>
      </c>
    </row>
    <row r="47" spans="1:6" ht="18" customHeight="1" x14ac:dyDescent="0.3">
      <c r="A47" s="6" t="s">
        <v>534</v>
      </c>
      <c r="B47" s="7" t="s">
        <v>384</v>
      </c>
      <c r="C47" s="8" t="s">
        <v>788</v>
      </c>
      <c r="D47" s="9">
        <f>SUMIFS(DMTK!$F$5:$F$263,DMTK!$B$5:$B$263,HTTK1!A47 &amp; "*")</f>
        <v>0</v>
      </c>
      <c r="E47" s="9">
        <f t="shared" si="0"/>
        <v>0</v>
      </c>
      <c r="F47" s="9">
        <f t="shared" si="1"/>
        <v>0</v>
      </c>
    </row>
    <row r="48" spans="1:6" ht="18" customHeight="1" x14ac:dyDescent="0.3">
      <c r="A48" s="6" t="s">
        <v>537</v>
      </c>
      <c r="B48" s="7" t="s">
        <v>384</v>
      </c>
      <c r="C48" s="8" t="s">
        <v>538</v>
      </c>
      <c r="D48" s="9">
        <f>SUMIFS(DMTK!$F$5:$F$263,DMTK!$B$5:$B$263,HTTK1!A48 &amp; "*")</f>
        <v>0</v>
      </c>
      <c r="E48" s="9">
        <f t="shared" si="0"/>
        <v>0</v>
      </c>
      <c r="F48" s="9">
        <f t="shared" si="1"/>
        <v>0</v>
      </c>
    </row>
    <row r="49" spans="1:6" ht="18" customHeight="1" x14ac:dyDescent="0.3">
      <c r="A49" s="6" t="s">
        <v>789</v>
      </c>
      <c r="B49" s="7" t="s">
        <v>384</v>
      </c>
      <c r="C49" s="8" t="s">
        <v>790</v>
      </c>
      <c r="D49" s="9">
        <f>SUMIFS(DMTK!$F$5:$F$263,DMTK!$B$5:$B$263,HTTK1!A49 &amp; "*")</f>
        <v>22000000</v>
      </c>
      <c r="E49" s="9">
        <f t="shared" si="0"/>
        <v>0</v>
      </c>
      <c r="F49" s="9">
        <f t="shared" si="1"/>
        <v>22000000</v>
      </c>
    </row>
    <row r="50" spans="1:6" ht="18" customHeight="1" x14ac:dyDescent="0.3">
      <c r="A50" s="12" t="s">
        <v>791</v>
      </c>
      <c r="B50" s="7" t="s">
        <v>384</v>
      </c>
      <c r="C50" s="8" t="s">
        <v>792</v>
      </c>
      <c r="D50" s="9">
        <f>SUMIFS(DMTK!$F$5:$F$263,DMTK!$B$5:$B$263,HTTK1!A50 &amp; "*")</f>
        <v>83000000</v>
      </c>
      <c r="E50" s="9">
        <f t="shared" si="0"/>
        <v>0</v>
      </c>
      <c r="F50" s="9">
        <f t="shared" si="1"/>
        <v>83000000</v>
      </c>
    </row>
    <row r="51" spans="1:6" ht="18" customHeight="1" x14ac:dyDescent="0.3">
      <c r="A51" s="6" t="s">
        <v>793</v>
      </c>
      <c r="B51" s="7" t="s">
        <v>384</v>
      </c>
      <c r="C51" s="8" t="s">
        <v>559</v>
      </c>
      <c r="D51" s="9">
        <f>SUMIFS(DMTK!$F$5:$F$263,DMTK!$B$5:$B$263,HTTK1!A51 &amp; "*")</f>
        <v>0</v>
      </c>
      <c r="E51" s="9">
        <f t="shared" si="0"/>
        <v>0</v>
      </c>
      <c r="F51" s="9">
        <f t="shared" si="1"/>
        <v>0</v>
      </c>
    </row>
    <row r="52" spans="1:6" ht="18" customHeight="1" x14ac:dyDescent="0.3">
      <c r="A52" s="6" t="s">
        <v>563</v>
      </c>
      <c r="B52" s="7" t="s">
        <v>384</v>
      </c>
      <c r="C52" s="8" t="s">
        <v>564</v>
      </c>
      <c r="D52" s="9">
        <f>SUMIFS(DMTK!$F$5:$F$263,DMTK!$B$5:$B$263,HTTK1!A52 &amp; "*")</f>
        <v>0</v>
      </c>
      <c r="E52" s="9">
        <f t="shared" si="0"/>
        <v>0</v>
      </c>
      <c r="F52" s="9">
        <f t="shared" si="1"/>
        <v>0</v>
      </c>
    </row>
    <row r="53" spans="1:6" ht="18" customHeight="1" x14ac:dyDescent="0.3">
      <c r="A53" s="6" t="s">
        <v>794</v>
      </c>
      <c r="B53" s="7" t="s">
        <v>384</v>
      </c>
      <c r="C53" s="8" t="s">
        <v>795</v>
      </c>
      <c r="D53" s="9">
        <f>SUMIFS(DMTK!$F$5:$F$263,DMTK!$B$5:$B$263,HTTK1!A53 &amp; "*")</f>
        <v>1492539000</v>
      </c>
      <c r="E53" s="9">
        <f t="shared" si="0"/>
        <v>0</v>
      </c>
      <c r="F53" s="9">
        <f t="shared" si="1"/>
        <v>1492539000</v>
      </c>
    </row>
    <row r="54" spans="1:6" ht="18" customHeight="1" x14ac:dyDescent="0.3">
      <c r="A54" s="6" t="s">
        <v>581</v>
      </c>
      <c r="B54" s="7" t="s">
        <v>384</v>
      </c>
      <c r="C54" s="8" t="s">
        <v>582</v>
      </c>
      <c r="D54" s="9">
        <f>SUMIFS(DMTK!$F$5:$F$263,DMTK!$B$5:$B$263,HTTK1!A54 &amp; "*")</f>
        <v>0</v>
      </c>
      <c r="E54" s="9">
        <f t="shared" si="0"/>
        <v>0</v>
      </c>
      <c r="F54" s="9">
        <f t="shared" si="1"/>
        <v>0</v>
      </c>
    </row>
    <row r="55" spans="1:6" ht="18" customHeight="1" x14ac:dyDescent="0.3">
      <c r="A55" s="6" t="s">
        <v>796</v>
      </c>
      <c r="B55" s="7" t="s">
        <v>384</v>
      </c>
      <c r="C55" s="8" t="s">
        <v>797</v>
      </c>
      <c r="D55" s="9">
        <f>SUMIFS(DMTK!$F$5:$F$263,DMTK!$B$5:$B$263,HTTK1!A55 &amp; "*")</f>
        <v>0</v>
      </c>
      <c r="E55" s="9">
        <f t="shared" si="0"/>
        <v>0</v>
      </c>
      <c r="F55" s="9">
        <f t="shared" si="1"/>
        <v>0</v>
      </c>
    </row>
    <row r="56" spans="1:6" ht="18" customHeight="1" x14ac:dyDescent="0.3">
      <c r="A56" s="6" t="s">
        <v>589</v>
      </c>
      <c r="B56" s="7" t="s">
        <v>384</v>
      </c>
      <c r="C56" s="8" t="s">
        <v>798</v>
      </c>
      <c r="D56" s="9">
        <f>SUMIFS(DMTK!$F$5:$F$263,DMTK!$B$5:$B$263,HTTK1!A56 &amp; "*")</f>
        <v>120000000</v>
      </c>
      <c r="E56" s="9">
        <f t="shared" si="0"/>
        <v>0</v>
      </c>
      <c r="F56" s="9">
        <f t="shared" si="1"/>
        <v>120000000</v>
      </c>
    </row>
    <row r="57" spans="1:6" ht="18" customHeight="1" x14ac:dyDescent="0.3">
      <c r="A57" s="6" t="s">
        <v>592</v>
      </c>
      <c r="B57" s="7" t="s">
        <v>384</v>
      </c>
      <c r="C57" s="8" t="s">
        <v>593</v>
      </c>
      <c r="D57" s="9">
        <f>SUMIFS(DMTK!$F$5:$F$263,DMTK!$B$5:$B$263,HTTK1!A57 &amp; "*")</f>
        <v>0</v>
      </c>
      <c r="E57" s="9">
        <f t="shared" si="0"/>
        <v>0</v>
      </c>
      <c r="F57" s="9">
        <f t="shared" si="1"/>
        <v>0</v>
      </c>
    </row>
    <row r="58" spans="1:6" ht="18" customHeight="1" x14ac:dyDescent="0.3">
      <c r="A58" s="6" t="s">
        <v>595</v>
      </c>
      <c r="B58" s="7" t="s">
        <v>384</v>
      </c>
      <c r="C58" s="8" t="s">
        <v>596</v>
      </c>
      <c r="D58" s="9">
        <f>SUMIFS(DMTK!$F$5:$F$263,DMTK!$B$5:$B$263,HTTK1!A58 &amp; "*")</f>
        <v>130000000</v>
      </c>
      <c r="E58" s="9">
        <f t="shared" si="0"/>
        <v>0</v>
      </c>
      <c r="F58" s="9">
        <f t="shared" si="1"/>
        <v>130000000</v>
      </c>
    </row>
    <row r="59" spans="1:6" ht="18" customHeight="1" x14ac:dyDescent="0.3">
      <c r="A59" s="6" t="s">
        <v>598</v>
      </c>
      <c r="B59" s="7" t="s">
        <v>222</v>
      </c>
      <c r="C59" s="8" t="s">
        <v>599</v>
      </c>
      <c r="D59" s="9">
        <f>SUMIFS(DMTK!$F$5:$F$263,DMTK!$B$5:$B$263,HTTK1!A59 &amp; "*")</f>
        <v>9449000</v>
      </c>
      <c r="E59" s="9">
        <f t="shared" si="0"/>
        <v>9449000</v>
      </c>
      <c r="F59" s="9">
        <f t="shared" si="1"/>
        <v>0</v>
      </c>
    </row>
    <row r="60" spans="1:6" ht="18" customHeight="1" x14ac:dyDescent="0.3">
      <c r="A60" s="6" t="s">
        <v>799</v>
      </c>
      <c r="B60" s="7" t="s">
        <v>384</v>
      </c>
      <c r="C60" s="8" t="s">
        <v>800</v>
      </c>
      <c r="D60" s="9">
        <f>SUMIFS(DMTK!$F$5:$F$263,DMTK!$B$5:$B$263,HTTK1!A60 &amp; "*")</f>
        <v>204410000</v>
      </c>
      <c r="E60" s="9">
        <f t="shared" si="0"/>
        <v>0</v>
      </c>
      <c r="F60" s="9">
        <f t="shared" si="1"/>
        <v>204410000</v>
      </c>
    </row>
    <row r="61" spans="1:6" ht="18" customHeight="1" x14ac:dyDescent="0.3">
      <c r="A61" s="6" t="s">
        <v>606</v>
      </c>
      <c r="B61" s="7" t="s">
        <v>384</v>
      </c>
      <c r="C61" s="8" t="s">
        <v>607</v>
      </c>
      <c r="D61" s="9">
        <f>SUMIFS(DMTK!$F$5:$F$263,DMTK!$B$5:$B$263,HTTK1!A61 &amp; "*")</f>
        <v>300000000</v>
      </c>
      <c r="E61" s="9">
        <f t="shared" si="0"/>
        <v>0</v>
      </c>
      <c r="F61" s="9">
        <f t="shared" si="1"/>
        <v>300000000</v>
      </c>
    </row>
    <row r="62" spans="1:6" ht="18" customHeight="1" x14ac:dyDescent="0.3">
      <c r="A62" s="6" t="s">
        <v>609</v>
      </c>
      <c r="B62" s="7" t="s">
        <v>384</v>
      </c>
      <c r="C62" s="8" t="s">
        <v>801</v>
      </c>
      <c r="D62" s="9">
        <f>SUMIFS(DMTK!$F$5:$F$263,DMTK!$B$5:$B$263,HTTK1!A62 &amp; "*")</f>
        <v>0</v>
      </c>
      <c r="E62" s="9">
        <f t="shared" si="0"/>
        <v>0</v>
      </c>
      <c r="F62" s="9">
        <f t="shared" si="1"/>
        <v>0</v>
      </c>
    </row>
    <row r="63" spans="1:6" ht="18" customHeight="1" x14ac:dyDescent="0.3">
      <c r="A63" s="6" t="s">
        <v>611</v>
      </c>
      <c r="B63" s="7" t="s">
        <v>384</v>
      </c>
      <c r="C63" s="8" t="s">
        <v>612</v>
      </c>
      <c r="D63" s="9">
        <f>SUMIFS(DMTK!$F$5:$F$263,DMTK!$B$5:$B$263,HTTK1!A63 &amp; "*")</f>
        <v>0</v>
      </c>
      <c r="E63" s="9">
        <f t="shared" si="0"/>
        <v>0</v>
      </c>
      <c r="F63" s="9">
        <f t="shared" si="1"/>
        <v>0</v>
      </c>
    </row>
    <row r="64" spans="1:6" ht="18" customHeight="1" x14ac:dyDescent="0.3">
      <c r="A64" s="6" t="s">
        <v>802</v>
      </c>
      <c r="B64" s="7" t="s">
        <v>384</v>
      </c>
      <c r="C64" s="8" t="s">
        <v>803</v>
      </c>
      <c r="D64" s="9">
        <f>SUMIFS(DMTK!$F$5:$F$263,DMTK!$B$5:$B$263,HTTK1!A64 &amp; "*")</f>
        <v>0</v>
      </c>
      <c r="E64" s="9">
        <f t="shared" si="0"/>
        <v>0</v>
      </c>
      <c r="F64" s="9">
        <f t="shared" si="1"/>
        <v>0</v>
      </c>
    </row>
    <row r="65" spans="1:6" ht="18" customHeight="1" x14ac:dyDescent="0.3">
      <c r="A65" s="6" t="s">
        <v>628</v>
      </c>
      <c r="B65" s="7" t="s">
        <v>384</v>
      </c>
      <c r="C65" s="8" t="s">
        <v>804</v>
      </c>
      <c r="D65" s="9">
        <f>SUMIFS(DMTK!$F$5:$F$263,DMTK!$B$5:$B$263,HTTK1!A65 &amp; "*")</f>
        <v>0</v>
      </c>
      <c r="E65" s="9">
        <f t="shared" si="0"/>
        <v>0</v>
      </c>
      <c r="F65" s="9">
        <f t="shared" si="1"/>
        <v>0</v>
      </c>
    </row>
    <row r="66" spans="1:6" ht="18" customHeight="1" x14ac:dyDescent="0.3">
      <c r="A66" s="6" t="s">
        <v>805</v>
      </c>
      <c r="B66" s="7" t="s">
        <v>384</v>
      </c>
      <c r="C66" s="8" t="s">
        <v>806</v>
      </c>
      <c r="D66" s="9">
        <f>SUMIFS(DMTK!$F$5:$F$263,DMTK!$B$5:$B$263,HTTK1!A66 &amp; "*")</f>
        <v>0</v>
      </c>
      <c r="E66" s="9">
        <f t="shared" si="0"/>
        <v>0</v>
      </c>
      <c r="F66" s="9">
        <f t="shared" si="1"/>
        <v>0</v>
      </c>
    </row>
    <row r="67" spans="1:6" ht="18" customHeight="1" x14ac:dyDescent="0.3">
      <c r="A67" s="6" t="s">
        <v>807</v>
      </c>
      <c r="B67" s="7" t="s">
        <v>222</v>
      </c>
      <c r="C67" s="8" t="s">
        <v>808</v>
      </c>
      <c r="D67" s="9">
        <f>SUMIFS(DMTK!$F$5:$F$263,DMTK!$B$5:$B$263,HTTK1!A67 &amp; "*")</f>
        <v>0</v>
      </c>
      <c r="E67" s="9">
        <f t="shared" si="0"/>
        <v>0</v>
      </c>
      <c r="F67" s="9">
        <f t="shared" si="1"/>
        <v>0</v>
      </c>
    </row>
    <row r="68" spans="1:6" ht="18" customHeight="1" x14ac:dyDescent="0.3">
      <c r="A68" s="6" t="s">
        <v>809</v>
      </c>
      <c r="B68" s="7" t="s">
        <v>222</v>
      </c>
      <c r="C68" s="8" t="s">
        <v>810</v>
      </c>
      <c r="D68" s="9">
        <f>SUMIFS(DMTK!$F$5:$F$263,DMTK!$B$5:$B$263,HTTK1!A68 &amp; "*")</f>
        <v>0</v>
      </c>
      <c r="E68" s="9">
        <f t="shared" si="0"/>
        <v>0</v>
      </c>
      <c r="F68" s="9">
        <f t="shared" si="1"/>
        <v>0</v>
      </c>
    </row>
    <row r="69" spans="1:6" ht="18" customHeight="1" x14ac:dyDescent="0.3">
      <c r="A69" s="6" t="s">
        <v>811</v>
      </c>
      <c r="B69" s="7" t="s">
        <v>222</v>
      </c>
      <c r="C69" s="8" t="s">
        <v>812</v>
      </c>
      <c r="D69" s="9">
        <f>SUMIFS(DMTK!$F$5:$F$263,DMTK!$B$5:$B$263,HTTK1!A69 &amp; "*")</f>
        <v>0</v>
      </c>
      <c r="E69" s="9">
        <f t="shared" si="0"/>
        <v>0</v>
      </c>
      <c r="F69" s="9">
        <f t="shared" si="1"/>
        <v>0</v>
      </c>
    </row>
    <row r="70" spans="1:6" ht="18" customHeight="1" x14ac:dyDescent="0.3">
      <c r="A70" s="6" t="s">
        <v>813</v>
      </c>
      <c r="B70" s="7" t="s">
        <v>222</v>
      </c>
      <c r="C70" s="8" t="s">
        <v>814</v>
      </c>
      <c r="D70" s="9">
        <f>SUMIFS(DMTK!$F$5:$F$263,DMTK!$B$5:$B$263,HTTK1!A70 &amp; "*")</f>
        <v>0</v>
      </c>
      <c r="E70" s="9">
        <f t="shared" ref="E70:E80" si="2">IF(OR(AND(B70="N",D70&gt;0),AND(B70="C",D70&lt;0)),ABS(D70),0)</f>
        <v>0</v>
      </c>
      <c r="F70" s="9">
        <f t="shared" ref="F70:F80" si="3">IF(OR(AND(B70="C",D70&gt;0),AND(B70="N",D70&lt;0)),ABS(D70),0)</f>
        <v>0</v>
      </c>
    </row>
    <row r="71" spans="1:6" ht="18" customHeight="1" x14ac:dyDescent="0.3">
      <c r="A71" s="6" t="s">
        <v>815</v>
      </c>
      <c r="B71" s="7" t="s">
        <v>222</v>
      </c>
      <c r="C71" s="8" t="s">
        <v>816</v>
      </c>
      <c r="D71" s="9">
        <f>SUMIFS(DMTK!$F$5:$F$263,DMTK!$B$5:$B$263,HTTK1!A71 &amp; "*")</f>
        <v>0</v>
      </c>
      <c r="E71" s="9">
        <f t="shared" si="2"/>
        <v>0</v>
      </c>
      <c r="F71" s="9">
        <f t="shared" si="3"/>
        <v>0</v>
      </c>
    </row>
    <row r="72" spans="1:6" ht="18" customHeight="1" x14ac:dyDescent="0.3">
      <c r="A72" s="6" t="s">
        <v>670</v>
      </c>
      <c r="B72" s="7" t="s">
        <v>222</v>
      </c>
      <c r="C72" s="8" t="s">
        <v>671</v>
      </c>
      <c r="D72" s="9">
        <f>SUMIFS(DMTK!$F$5:$F$263,DMTK!$B$5:$B$263,HTTK1!A72 &amp; "*")</f>
        <v>0</v>
      </c>
      <c r="E72" s="9">
        <f t="shared" si="2"/>
        <v>0</v>
      </c>
      <c r="F72" s="9">
        <f t="shared" si="3"/>
        <v>0</v>
      </c>
    </row>
    <row r="73" spans="1:6" ht="18" customHeight="1" x14ac:dyDescent="0.3">
      <c r="A73" s="6" t="s">
        <v>817</v>
      </c>
      <c r="B73" s="7" t="s">
        <v>222</v>
      </c>
      <c r="C73" s="8" t="s">
        <v>818</v>
      </c>
      <c r="D73" s="9">
        <f>SUMIFS(DMTK!$F$5:$F$263,DMTK!$B$5:$B$263,HTTK1!A73 &amp; "*")</f>
        <v>0</v>
      </c>
      <c r="E73" s="9">
        <f t="shared" si="2"/>
        <v>0</v>
      </c>
      <c r="F73" s="9">
        <f t="shared" si="3"/>
        <v>0</v>
      </c>
    </row>
    <row r="74" spans="1:6" ht="18" customHeight="1" x14ac:dyDescent="0.3">
      <c r="A74" s="6" t="s">
        <v>679</v>
      </c>
      <c r="B74" s="7" t="s">
        <v>222</v>
      </c>
      <c r="C74" s="8" t="s">
        <v>680</v>
      </c>
      <c r="D74" s="9">
        <f>SUMIFS(DMTK!$F$5:$F$263,DMTK!$B$5:$B$263,HTTK1!A74 &amp; "*")</f>
        <v>0</v>
      </c>
      <c r="E74" s="9">
        <f t="shared" si="2"/>
        <v>0</v>
      </c>
      <c r="F74" s="9">
        <f t="shared" si="3"/>
        <v>0</v>
      </c>
    </row>
    <row r="75" spans="1:6" ht="18" customHeight="1" x14ac:dyDescent="0.3">
      <c r="A75" s="6" t="s">
        <v>819</v>
      </c>
      <c r="B75" s="7" t="s">
        <v>222</v>
      </c>
      <c r="C75" s="8" t="s">
        <v>820</v>
      </c>
      <c r="D75" s="9">
        <f>SUMIFS(DMTK!$F$5:$F$263,DMTK!$B$5:$B$263,HTTK1!A75 &amp; "*")</f>
        <v>0</v>
      </c>
      <c r="E75" s="9">
        <f t="shared" si="2"/>
        <v>0</v>
      </c>
      <c r="F75" s="9">
        <f t="shared" si="3"/>
        <v>0</v>
      </c>
    </row>
    <row r="76" spans="1:6" ht="18" customHeight="1" x14ac:dyDescent="0.3">
      <c r="A76" s="6" t="s">
        <v>821</v>
      </c>
      <c r="B76" s="7" t="s">
        <v>222</v>
      </c>
      <c r="C76" s="8" t="s">
        <v>822</v>
      </c>
      <c r="D76" s="9">
        <f>SUMIFS(DMTK!$F$5:$F$263,DMTK!$B$5:$B$263,HTTK1!A76 &amp; "*")</f>
        <v>0</v>
      </c>
      <c r="E76" s="9">
        <f t="shared" si="2"/>
        <v>0</v>
      </c>
      <c r="F76" s="9">
        <f t="shared" si="3"/>
        <v>0</v>
      </c>
    </row>
    <row r="77" spans="1:6" ht="18" customHeight="1" x14ac:dyDescent="0.3">
      <c r="A77" s="6" t="s">
        <v>701</v>
      </c>
      <c r="B77" s="7" t="s">
        <v>384</v>
      </c>
      <c r="C77" s="8" t="s">
        <v>702</v>
      </c>
      <c r="D77" s="9">
        <f>SUMIFS(DMTK!$F$5:$F$263,DMTK!$B$5:$B$263,HTTK1!A77 &amp; "*")</f>
        <v>0</v>
      </c>
      <c r="E77" s="9">
        <f t="shared" si="2"/>
        <v>0</v>
      </c>
      <c r="F77" s="9">
        <f t="shared" si="3"/>
        <v>0</v>
      </c>
    </row>
    <row r="78" spans="1:6" ht="18" customHeight="1" x14ac:dyDescent="0.3">
      <c r="A78" s="6" t="s">
        <v>703</v>
      </c>
      <c r="B78" s="7" t="s">
        <v>222</v>
      </c>
      <c r="C78" s="8" t="s">
        <v>704</v>
      </c>
      <c r="D78" s="9">
        <f>SUMIFS(DMTK!$F$5:$F$263,DMTK!$B$5:$B$263,HTTK1!A78 &amp; "*")</f>
        <v>0</v>
      </c>
      <c r="E78" s="9">
        <f t="shared" si="2"/>
        <v>0</v>
      </c>
      <c r="F78" s="9">
        <f t="shared" si="3"/>
        <v>0</v>
      </c>
    </row>
    <row r="79" spans="1:6" ht="18" customHeight="1" x14ac:dyDescent="0.3">
      <c r="A79" s="6" t="s">
        <v>823</v>
      </c>
      <c r="B79" s="7" t="s">
        <v>222</v>
      </c>
      <c r="C79" s="8" t="s">
        <v>824</v>
      </c>
      <c r="D79" s="9">
        <f>SUMIFS(DMTK!$F$5:$F$263,DMTK!$B$5:$B$263,HTTK1!A79 &amp; "*")</f>
        <v>0</v>
      </c>
      <c r="E79" s="9">
        <f t="shared" si="2"/>
        <v>0</v>
      </c>
      <c r="F79" s="9">
        <f t="shared" si="3"/>
        <v>0</v>
      </c>
    </row>
    <row r="80" spans="1:6" ht="18" customHeight="1" x14ac:dyDescent="0.3">
      <c r="A80" s="6" t="s">
        <v>825</v>
      </c>
      <c r="B80" s="7" t="s">
        <v>384</v>
      </c>
      <c r="C80" s="8" t="s">
        <v>717</v>
      </c>
      <c r="D80" s="9">
        <f>SUMIFS(DMTK!$F$5:$F$263,DMTK!$B$5:$B$263,HTTK1!A80 &amp; "*")</f>
        <v>0</v>
      </c>
      <c r="E80" s="9">
        <f t="shared" si="2"/>
        <v>0</v>
      </c>
      <c r="F80" s="9">
        <f t="shared" si="3"/>
        <v>0</v>
      </c>
    </row>
    <row r="81" spans="5:6" ht="18" customHeight="1" x14ac:dyDescent="0.3">
      <c r="E81" s="14">
        <f>SUM(E5:E80)</f>
        <v>3407449000</v>
      </c>
      <c r="F81" s="14">
        <f>SUM(F5:F80)</f>
        <v>3407449000</v>
      </c>
    </row>
    <row r="82" spans="5:6" ht="18" customHeight="1" x14ac:dyDescent="0.3">
      <c r="F82" s="15"/>
    </row>
    <row r="84" spans="5:6" ht="18" customHeight="1" x14ac:dyDescent="0.3">
      <c r="F84" s="16"/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5CC1-3045-4CAB-8756-9FAE490A158E}">
  <sheetPr filterMode="1">
    <tabColor rgb="FF0070C0"/>
  </sheetPr>
  <dimension ref="A1:J148"/>
  <sheetViews>
    <sheetView zoomScale="120" zoomScaleNormal="120" workbookViewId="0">
      <selection activeCell="M150" sqref="M150"/>
    </sheetView>
  </sheetViews>
  <sheetFormatPr defaultRowHeight="13.2" x14ac:dyDescent="0.25"/>
  <cols>
    <col min="1" max="1" width="8.44140625" bestFit="1" customWidth="1"/>
    <col min="2" max="2" width="7.33203125" customWidth="1"/>
    <col min="3" max="3" width="30.109375" bestFit="1" customWidth="1"/>
    <col min="4" max="4" width="15.44140625" bestFit="1" customWidth="1"/>
    <col min="5" max="5" width="4.6640625" bestFit="1" customWidth="1"/>
    <col min="6" max="6" width="11" bestFit="1" customWidth="1"/>
    <col min="7" max="7" width="8.109375" bestFit="1" customWidth="1"/>
    <col min="8" max="8" width="4.6640625" bestFit="1" customWidth="1"/>
    <col min="9" max="9" width="11" bestFit="1" customWidth="1"/>
    <col min="10" max="10" width="8" bestFit="1" customWidth="1"/>
  </cols>
  <sheetData>
    <row r="1" spans="1:10" ht="17.399999999999999" x14ac:dyDescent="0.3">
      <c r="A1" s="160" t="s">
        <v>826</v>
      </c>
      <c r="B1" s="160"/>
      <c r="C1" s="160"/>
      <c r="D1" s="160"/>
      <c r="E1" s="160"/>
      <c r="F1" s="160"/>
      <c r="G1" s="160"/>
      <c r="H1" s="160"/>
      <c r="I1" s="160"/>
      <c r="J1" s="160"/>
    </row>
    <row r="2" spans="1:10" x14ac:dyDescent="0.25">
      <c r="F2" t="s">
        <v>827</v>
      </c>
      <c r="G2" s="64" t="s">
        <v>723</v>
      </c>
    </row>
    <row r="5" spans="1:10" x14ac:dyDescent="0.25">
      <c r="A5" s="161" t="s">
        <v>828</v>
      </c>
      <c r="B5" s="161"/>
      <c r="C5" s="157" t="s">
        <v>829</v>
      </c>
      <c r="D5" s="157" t="s">
        <v>830</v>
      </c>
      <c r="E5" s="161" t="s">
        <v>831</v>
      </c>
      <c r="F5" s="161"/>
      <c r="G5" s="161"/>
      <c r="H5" s="161"/>
      <c r="I5" s="161"/>
      <c r="J5" s="161"/>
    </row>
    <row r="6" spans="1:10" x14ac:dyDescent="0.25">
      <c r="A6" s="157" t="s">
        <v>832</v>
      </c>
      <c r="B6" s="157" t="s">
        <v>833</v>
      </c>
      <c r="C6" s="159"/>
      <c r="D6" s="159"/>
      <c r="E6" s="162" t="s">
        <v>725</v>
      </c>
      <c r="F6" s="162" t="s">
        <v>733</v>
      </c>
      <c r="G6" s="162" t="s">
        <v>741</v>
      </c>
      <c r="H6" s="162" t="s">
        <v>802</v>
      </c>
      <c r="I6" s="161" t="s">
        <v>834</v>
      </c>
      <c r="J6" s="161"/>
    </row>
    <row r="7" spans="1:10" x14ac:dyDescent="0.25">
      <c r="A7" s="158"/>
      <c r="B7" s="158"/>
      <c r="C7" s="158"/>
      <c r="D7" s="158"/>
      <c r="E7" s="162"/>
      <c r="F7" s="162"/>
      <c r="G7" s="162"/>
      <c r="H7" s="162"/>
      <c r="I7" s="66" t="s">
        <v>835</v>
      </c>
      <c r="J7" s="66" t="s">
        <v>827</v>
      </c>
    </row>
    <row r="8" spans="1:10" x14ac:dyDescent="0.25">
      <c r="A8" s="144" t="s">
        <v>16</v>
      </c>
      <c r="B8" s="144" t="s">
        <v>17</v>
      </c>
      <c r="C8" s="144" t="s">
        <v>18</v>
      </c>
      <c r="D8" s="144" t="s">
        <v>19</v>
      </c>
      <c r="E8" s="144" t="s">
        <v>20</v>
      </c>
      <c r="F8" s="144" t="s">
        <v>21</v>
      </c>
      <c r="G8" s="144" t="s">
        <v>22</v>
      </c>
      <c r="H8" s="144" t="s">
        <v>23</v>
      </c>
      <c r="I8" s="144" t="s">
        <v>836</v>
      </c>
      <c r="J8" s="144" t="s">
        <v>837</v>
      </c>
    </row>
    <row r="9" spans="1:10" x14ac:dyDescent="0.25">
      <c r="A9" s="68">
        <f>IF(LEFT(CT!$D5,3)=NKTT!$G$2,CT!A5,"")</f>
        <v>45293</v>
      </c>
      <c r="B9" s="68" t="str">
        <f>IF(LEFT(CT!$D5,3)=NKTT!$G$2,CT!B5,"")</f>
        <v>01/PT</v>
      </c>
      <c r="C9" s="68" t="str">
        <f>IF(LEFT(CT!$D5,3)=NKTT!$G$2,CT!C5,"")</f>
        <v>Thu nợ lô hàng 200</v>
      </c>
      <c r="D9" s="69">
        <f>IF(LEFT(CT!$D5,3)=NKTT!$G$2,CT!H5,0)</f>
        <v>5000000</v>
      </c>
      <c r="E9" s="69">
        <f>IF(AND(LEFT(CT!$D5,3)=NKTT!$G$2,LEFT(CT!$E5,3)=NKTT!$E$6),CT!$H5,0)</f>
        <v>0</v>
      </c>
      <c r="F9" s="69">
        <f>IF(AND(LEFT(CT!$D5,3)=NKTT!$G$2,LEFT(CT!$E5,3)=NKTT!$F$6),CT!$H5,0)</f>
        <v>5000000</v>
      </c>
      <c r="G9" s="69">
        <f>IF(AND(LEFT(CT!$D5,3)=NKTT!$G$2,LEFT(CT!$E5,3)=NKTT!$G$6),CT!$H5,0)</f>
        <v>0</v>
      </c>
      <c r="H9" s="69">
        <f>IF(AND(LEFT(CT!$D5,3)=NKTT!$G$2,LEFT(CT!$E5,3)=NKTT!$H$6),CT!$H5,0)</f>
        <v>0</v>
      </c>
      <c r="I9" s="69">
        <f>IF(SUM(E9:H9)=0,D9,0)</f>
        <v>0</v>
      </c>
      <c r="J9" s="69" t="str">
        <f>IF(I9&gt;0,CT!E5,"")</f>
        <v/>
      </c>
    </row>
    <row r="10" spans="1:10" x14ac:dyDescent="0.25">
      <c r="A10" s="68">
        <f>IF(LEFT(CT!$D6,3)=NKTT!$G$2,CT!A6,"")</f>
        <v>45293</v>
      </c>
      <c r="B10" s="68" t="str">
        <f>IF(LEFT(CT!$D6,3)=NKTT!$G$2,CT!B6,"")</f>
        <v>02/PT</v>
      </c>
      <c r="C10" s="68" t="str">
        <f>IF(LEFT(CT!$D6,3)=NKTT!$G$2,CT!C6,"")</f>
        <v>Thu nợ lô hàng 212</v>
      </c>
      <c r="D10" s="69">
        <f>IF(LEFT(CT!$D6,3)=NKTT!$G$2,CT!H6,0)</f>
        <v>20000000</v>
      </c>
      <c r="E10" s="69">
        <f>IF(AND(LEFT(CT!$D6,3)=NKTT!$G$2,LEFT(CT!$E6,3)=NKTT!$E$6),CT!$H6,0)</f>
        <v>0</v>
      </c>
      <c r="F10" s="69">
        <f>IF(AND(LEFT(CT!$D6,3)=NKTT!$G$2,LEFT(CT!$E6,3)=NKTT!$F$6),CT!$H6,0)</f>
        <v>20000000</v>
      </c>
      <c r="G10" s="69">
        <f>IF(AND(LEFT(CT!$D6,3)=NKTT!$G$2,LEFT(CT!$E6,3)=NKTT!$G$6),CT!$H6,0)</f>
        <v>0</v>
      </c>
      <c r="H10" s="69">
        <f>IF(AND(LEFT(CT!$D6,3)=NKTT!$G$2,LEFT(CT!$E6,3)=NKTT!$H$6),CT!$H6,0)</f>
        <v>0</v>
      </c>
      <c r="I10" s="69">
        <f t="shared" ref="I10:I73" si="0">IF(SUM(E10:H10)=0,D10,0)</f>
        <v>0</v>
      </c>
      <c r="J10" s="69" t="str">
        <f>IF(I10&gt;0,CT!E6,"")</f>
        <v/>
      </c>
    </row>
    <row r="11" spans="1:10" hidden="1" x14ac:dyDescent="0.25">
      <c r="A11" s="68" t="str">
        <f>IF(LEFT(CT!$D7,3)=NKTT!$G$2,CT!A7,"")</f>
        <v/>
      </c>
      <c r="B11" s="68" t="str">
        <f>IF(LEFT(CT!$D7,3)=NKTT!$G$2,CT!B7,"")</f>
        <v/>
      </c>
      <c r="C11" s="68" t="str">
        <f>IF(LEFT(CT!$D7,3)=NKTT!$G$2,CT!C7,"")</f>
        <v/>
      </c>
      <c r="D11" s="69">
        <f>IF(LEFT(CT!$D7,3)=NKTT!$G$2,CT!H7,0)</f>
        <v>0</v>
      </c>
      <c r="E11" s="69">
        <f>IF(AND(LEFT(CT!$D7,3)=NKTT!$G$2,LEFT(CT!$E7,3)=NKTT!$E$6),CT!$H7,0)</f>
        <v>0</v>
      </c>
      <c r="F11" s="69">
        <f>IF(AND(LEFT(CT!$D7,3)=NKTT!$G$2,LEFT(CT!$E7,3)=NKTT!$F$6),CT!$H7,0)</f>
        <v>0</v>
      </c>
      <c r="G11" s="69">
        <f>IF(AND(LEFT(CT!$D7,3)=NKTT!$G$2,LEFT(CT!$E7,3)=NKTT!$G$6),CT!$H7,0)</f>
        <v>0</v>
      </c>
      <c r="H11" s="69">
        <f>IF(AND(LEFT(CT!$D7,3)=NKTT!$G$2,LEFT(CT!$E7,3)=NKTT!$H$6),CT!$H7,0)</f>
        <v>0</v>
      </c>
      <c r="I11" s="69">
        <f t="shared" si="0"/>
        <v>0</v>
      </c>
      <c r="J11" s="69" t="str">
        <f>IF(I11&gt;0,CT!E7,"")</f>
        <v/>
      </c>
    </row>
    <row r="12" spans="1:10" hidden="1" x14ac:dyDescent="0.25">
      <c r="A12" s="68" t="str">
        <f>IF(LEFT(CT!$D8,3)=NKTT!$G$2,CT!A8,"")</f>
        <v/>
      </c>
      <c r="B12" s="68" t="str">
        <f>IF(LEFT(CT!$D8,3)=NKTT!$G$2,CT!B8,"")</f>
        <v/>
      </c>
      <c r="C12" s="68" t="str">
        <f>IF(LEFT(CT!$D8,3)=NKTT!$G$2,CT!C8,"")</f>
        <v/>
      </c>
      <c r="D12" s="69">
        <f>IF(LEFT(CT!$D8,3)=NKTT!$G$2,CT!H8,0)</f>
        <v>0</v>
      </c>
      <c r="E12" s="69">
        <f>IF(AND(LEFT(CT!$D8,3)=NKTT!$G$2,LEFT(CT!$E8,3)=NKTT!$E$6),CT!$H8,0)</f>
        <v>0</v>
      </c>
      <c r="F12" s="69">
        <f>IF(AND(LEFT(CT!$D8,3)=NKTT!$G$2,LEFT(CT!$E8,3)=NKTT!$F$6),CT!$H8,0)</f>
        <v>0</v>
      </c>
      <c r="G12" s="69">
        <f>IF(AND(LEFT(CT!$D8,3)=NKTT!$G$2,LEFT(CT!$E8,3)=NKTT!$G$6),CT!$H8,0)</f>
        <v>0</v>
      </c>
      <c r="H12" s="69">
        <f>IF(AND(LEFT(CT!$D8,3)=NKTT!$G$2,LEFT(CT!$E8,3)=NKTT!$H$6),CT!$H8,0)</f>
        <v>0</v>
      </c>
      <c r="I12" s="69">
        <f t="shared" si="0"/>
        <v>0</v>
      </c>
      <c r="J12" s="69" t="str">
        <f>IF(I12&gt;0,CT!E8,"")</f>
        <v/>
      </c>
    </row>
    <row r="13" spans="1:10" hidden="1" x14ac:dyDescent="0.25">
      <c r="A13" s="68" t="str">
        <f>IF(LEFT(CT!$D9,3)=NKTT!$G$2,CT!A9,"")</f>
        <v/>
      </c>
      <c r="B13" s="68" t="str">
        <f>IF(LEFT(CT!$D9,3)=NKTT!$G$2,CT!B9,"")</f>
        <v/>
      </c>
      <c r="C13" s="68" t="str">
        <f>IF(LEFT(CT!$D9,3)=NKTT!$G$2,CT!C9,"")</f>
        <v/>
      </c>
      <c r="D13" s="69">
        <f>IF(LEFT(CT!$D9,3)=NKTT!$G$2,CT!H9,0)</f>
        <v>0</v>
      </c>
      <c r="E13" s="69">
        <f>IF(AND(LEFT(CT!$D9,3)=NKTT!$G$2,LEFT(CT!$E9,3)=NKTT!$E$6),CT!$H9,0)</f>
        <v>0</v>
      </c>
      <c r="F13" s="69">
        <f>IF(AND(LEFT(CT!$D9,3)=NKTT!$G$2,LEFT(CT!$E9,3)=NKTT!$F$6),CT!$H9,0)</f>
        <v>0</v>
      </c>
      <c r="G13" s="69">
        <f>IF(AND(LEFT(CT!$D9,3)=NKTT!$G$2,LEFT(CT!$E9,3)=NKTT!$G$6),CT!$H9,0)</f>
        <v>0</v>
      </c>
      <c r="H13" s="69">
        <f>IF(AND(LEFT(CT!$D9,3)=NKTT!$G$2,LEFT(CT!$E9,3)=NKTT!$H$6),CT!$H9,0)</f>
        <v>0</v>
      </c>
      <c r="I13" s="69">
        <f t="shared" si="0"/>
        <v>0</v>
      </c>
      <c r="J13" s="69" t="str">
        <f>IF(I13&gt;0,CT!E9,"")</f>
        <v/>
      </c>
    </row>
    <row r="14" spans="1:10" hidden="1" x14ac:dyDescent="0.25">
      <c r="A14" s="68" t="str">
        <f>IF(LEFT(CT!$D10,3)=NKTT!$G$2,CT!A10,"")</f>
        <v/>
      </c>
      <c r="B14" s="68" t="str">
        <f>IF(LEFT(CT!$D10,3)=NKTT!$G$2,CT!B10,"")</f>
        <v/>
      </c>
      <c r="C14" s="68" t="str">
        <f>IF(LEFT(CT!$D10,3)=NKTT!$G$2,CT!C10,"")</f>
        <v/>
      </c>
      <c r="D14" s="69">
        <f>IF(LEFT(CT!$D10,3)=NKTT!$G$2,CT!H10,0)</f>
        <v>0</v>
      </c>
      <c r="E14" s="69">
        <f>IF(AND(LEFT(CT!$D10,3)=NKTT!$G$2,LEFT(CT!$E10,3)=NKTT!$E$6),CT!$H10,0)</f>
        <v>0</v>
      </c>
      <c r="F14" s="69">
        <f>IF(AND(LEFT(CT!$D10,3)=NKTT!$G$2,LEFT(CT!$E10,3)=NKTT!$F$6),CT!$H10,0)</f>
        <v>0</v>
      </c>
      <c r="G14" s="69">
        <f>IF(AND(LEFT(CT!$D10,3)=NKTT!$G$2,LEFT(CT!$E10,3)=NKTT!$G$6),CT!$H10,0)</f>
        <v>0</v>
      </c>
      <c r="H14" s="69">
        <f>IF(AND(LEFT(CT!$D10,3)=NKTT!$G$2,LEFT(CT!$E10,3)=NKTT!$H$6),CT!$H10,0)</f>
        <v>0</v>
      </c>
      <c r="I14" s="69">
        <f t="shared" si="0"/>
        <v>0</v>
      </c>
      <c r="J14" s="69" t="str">
        <f>IF(I14&gt;0,CT!E10,"")</f>
        <v/>
      </c>
    </row>
    <row r="15" spans="1:10" hidden="1" x14ac:dyDescent="0.25">
      <c r="A15" s="68" t="str">
        <f>IF(LEFT(CT!$D11,3)=NKTT!$G$2,CT!A11,"")</f>
        <v/>
      </c>
      <c r="B15" s="68" t="str">
        <f>IF(LEFT(CT!$D11,3)=NKTT!$G$2,CT!B11,"")</f>
        <v/>
      </c>
      <c r="C15" s="68" t="str">
        <f>IF(LEFT(CT!$D11,3)=NKTT!$G$2,CT!C11,"")</f>
        <v/>
      </c>
      <c r="D15" s="69">
        <f>IF(LEFT(CT!$D11,3)=NKTT!$G$2,CT!H11,0)</f>
        <v>0</v>
      </c>
      <c r="E15" s="69">
        <f>IF(AND(LEFT(CT!$D11,3)=NKTT!$G$2,LEFT(CT!$E11,3)=NKTT!$E$6),CT!$H11,0)</f>
        <v>0</v>
      </c>
      <c r="F15" s="69">
        <f>IF(AND(LEFT(CT!$D11,3)=NKTT!$G$2,LEFT(CT!$E11,3)=NKTT!$F$6),CT!$H11,0)</f>
        <v>0</v>
      </c>
      <c r="G15" s="69">
        <f>IF(AND(LEFT(CT!$D11,3)=NKTT!$G$2,LEFT(CT!$E11,3)=NKTT!$G$6),CT!$H11,0)</f>
        <v>0</v>
      </c>
      <c r="H15" s="69">
        <f>IF(AND(LEFT(CT!$D11,3)=NKTT!$G$2,LEFT(CT!$E11,3)=NKTT!$H$6),CT!$H11,0)</f>
        <v>0</v>
      </c>
      <c r="I15" s="69">
        <f t="shared" si="0"/>
        <v>0</v>
      </c>
      <c r="J15" s="69" t="str">
        <f>IF(I15&gt;0,CT!E11,"")</f>
        <v/>
      </c>
    </row>
    <row r="16" spans="1:10" hidden="1" x14ac:dyDescent="0.25">
      <c r="A16" s="68" t="str">
        <f>IF(LEFT(CT!$D12,3)=NKTT!$G$2,CT!A12,"")</f>
        <v/>
      </c>
      <c r="B16" s="68" t="str">
        <f>IF(LEFT(CT!$D12,3)=NKTT!$G$2,CT!B12,"")</f>
        <v/>
      </c>
      <c r="C16" s="68" t="str">
        <f>IF(LEFT(CT!$D12,3)=NKTT!$G$2,CT!C12,"")</f>
        <v/>
      </c>
      <c r="D16" s="69">
        <f>IF(LEFT(CT!$D12,3)=NKTT!$G$2,CT!H12,0)</f>
        <v>0</v>
      </c>
      <c r="E16" s="69">
        <f>IF(AND(LEFT(CT!$D12,3)=NKTT!$G$2,LEFT(CT!$E12,3)=NKTT!$E$6),CT!$H12,0)</f>
        <v>0</v>
      </c>
      <c r="F16" s="69">
        <f>IF(AND(LEFT(CT!$D12,3)=NKTT!$G$2,LEFT(CT!$E12,3)=NKTT!$F$6),CT!$H12,0)</f>
        <v>0</v>
      </c>
      <c r="G16" s="69">
        <f>IF(AND(LEFT(CT!$D12,3)=NKTT!$G$2,LEFT(CT!$E12,3)=NKTT!$G$6),CT!$H12,0)</f>
        <v>0</v>
      </c>
      <c r="H16" s="69">
        <f>IF(AND(LEFT(CT!$D12,3)=NKTT!$G$2,LEFT(CT!$E12,3)=NKTT!$H$6),CT!$H12,0)</f>
        <v>0</v>
      </c>
      <c r="I16" s="69">
        <f t="shared" si="0"/>
        <v>0</v>
      </c>
      <c r="J16" s="69" t="str">
        <f>IF(I16&gt;0,CT!E12,"")</f>
        <v/>
      </c>
    </row>
    <row r="17" spans="1:10" hidden="1" x14ac:dyDescent="0.25">
      <c r="A17" s="68" t="str">
        <f>IF(LEFT(CT!$D13,3)=NKTT!$G$2,CT!A13,"")</f>
        <v/>
      </c>
      <c r="B17" s="68" t="str">
        <f>IF(LEFT(CT!$D13,3)=NKTT!$G$2,CT!B13,"")</f>
        <v/>
      </c>
      <c r="C17" s="68" t="str">
        <f>IF(LEFT(CT!$D13,3)=NKTT!$G$2,CT!C13,"")</f>
        <v/>
      </c>
      <c r="D17" s="69">
        <f>IF(LEFT(CT!$D13,3)=NKTT!$G$2,CT!H13,0)</f>
        <v>0</v>
      </c>
      <c r="E17" s="69">
        <f>IF(AND(LEFT(CT!$D13,3)=NKTT!$G$2,LEFT(CT!$E13,3)=NKTT!$E$6),CT!$H13,0)</f>
        <v>0</v>
      </c>
      <c r="F17" s="69">
        <f>IF(AND(LEFT(CT!$D13,3)=NKTT!$G$2,LEFT(CT!$E13,3)=NKTT!$F$6),CT!$H13,0)</f>
        <v>0</v>
      </c>
      <c r="G17" s="69">
        <f>IF(AND(LEFT(CT!$D13,3)=NKTT!$G$2,LEFT(CT!$E13,3)=NKTT!$G$6),CT!$H13,0)</f>
        <v>0</v>
      </c>
      <c r="H17" s="69">
        <f>IF(AND(LEFT(CT!$D13,3)=NKTT!$G$2,LEFT(CT!$E13,3)=NKTT!$H$6),CT!$H13,0)</f>
        <v>0</v>
      </c>
      <c r="I17" s="69">
        <f t="shared" si="0"/>
        <v>0</v>
      </c>
      <c r="J17" s="69" t="str">
        <f>IF(I17&gt;0,CT!E13,"")</f>
        <v/>
      </c>
    </row>
    <row r="18" spans="1:10" hidden="1" x14ac:dyDescent="0.25">
      <c r="A18" s="68" t="str">
        <f>IF(LEFT(CT!$D14,3)=NKTT!$G$2,CT!A14,"")</f>
        <v/>
      </c>
      <c r="B18" s="68" t="str">
        <f>IF(LEFT(CT!$D14,3)=NKTT!$G$2,CT!B14,"")</f>
        <v/>
      </c>
      <c r="C18" s="68" t="str">
        <f>IF(LEFT(CT!$D14,3)=NKTT!$G$2,CT!C14,"")</f>
        <v/>
      </c>
      <c r="D18" s="69">
        <f>IF(LEFT(CT!$D14,3)=NKTT!$G$2,CT!H14,0)</f>
        <v>0</v>
      </c>
      <c r="E18" s="69">
        <f>IF(AND(LEFT(CT!$D14,3)=NKTT!$G$2,LEFT(CT!$E14,3)=NKTT!$E$6),CT!$H14,0)</f>
        <v>0</v>
      </c>
      <c r="F18" s="69">
        <f>IF(AND(LEFT(CT!$D14,3)=NKTT!$G$2,LEFT(CT!$E14,3)=NKTT!$F$6),CT!$H14,0)</f>
        <v>0</v>
      </c>
      <c r="G18" s="69">
        <f>IF(AND(LEFT(CT!$D14,3)=NKTT!$G$2,LEFT(CT!$E14,3)=NKTT!$G$6),CT!$H14,0)</f>
        <v>0</v>
      </c>
      <c r="H18" s="69">
        <f>IF(AND(LEFT(CT!$D14,3)=NKTT!$G$2,LEFT(CT!$E14,3)=NKTT!$H$6),CT!$H14,0)</f>
        <v>0</v>
      </c>
      <c r="I18" s="69">
        <f t="shared" si="0"/>
        <v>0</v>
      </c>
      <c r="J18" s="69" t="str">
        <f>IF(I18&gt;0,CT!E14,"")</f>
        <v/>
      </c>
    </row>
    <row r="19" spans="1:10" hidden="1" x14ac:dyDescent="0.25">
      <c r="A19" s="68" t="str">
        <f>IF(LEFT(CT!$D15,3)=NKTT!$G$2,CT!A15,"")</f>
        <v/>
      </c>
      <c r="B19" s="68" t="str">
        <f>IF(LEFT(CT!$D15,3)=NKTT!$G$2,CT!B15,"")</f>
        <v/>
      </c>
      <c r="C19" s="68" t="str">
        <f>IF(LEFT(CT!$D15,3)=NKTT!$G$2,CT!C15,"")</f>
        <v/>
      </c>
      <c r="D19" s="69">
        <f>IF(LEFT(CT!$D15,3)=NKTT!$G$2,CT!H15,0)</f>
        <v>0</v>
      </c>
      <c r="E19" s="69">
        <f>IF(AND(LEFT(CT!$D15,3)=NKTT!$G$2,LEFT(CT!$E15,3)=NKTT!$E$6),CT!$H15,0)</f>
        <v>0</v>
      </c>
      <c r="F19" s="69">
        <f>IF(AND(LEFT(CT!$D15,3)=NKTT!$G$2,LEFT(CT!$E15,3)=NKTT!$F$6),CT!$H15,0)</f>
        <v>0</v>
      </c>
      <c r="G19" s="69">
        <f>IF(AND(LEFT(CT!$D15,3)=NKTT!$G$2,LEFT(CT!$E15,3)=NKTT!$G$6),CT!$H15,0)</f>
        <v>0</v>
      </c>
      <c r="H19" s="69">
        <f>IF(AND(LEFT(CT!$D15,3)=NKTT!$G$2,LEFT(CT!$E15,3)=NKTT!$H$6),CT!$H15,0)</f>
        <v>0</v>
      </c>
      <c r="I19" s="69">
        <f t="shared" si="0"/>
        <v>0</v>
      </c>
      <c r="J19" s="69" t="str">
        <f>IF(I19&gt;0,CT!E15,"")</f>
        <v/>
      </c>
    </row>
    <row r="20" spans="1:10" hidden="1" x14ac:dyDescent="0.25">
      <c r="A20" s="68" t="str">
        <f>IF(LEFT(CT!$D16,3)=NKTT!$G$2,CT!A16,"")</f>
        <v/>
      </c>
      <c r="B20" s="68" t="str">
        <f>IF(LEFT(CT!$D16,3)=NKTT!$G$2,CT!B16,"")</f>
        <v/>
      </c>
      <c r="C20" s="68" t="str">
        <f>IF(LEFT(CT!$D16,3)=NKTT!$G$2,CT!C16,"")</f>
        <v/>
      </c>
      <c r="D20" s="69">
        <f>IF(LEFT(CT!$D16,3)=NKTT!$G$2,CT!H16,0)</f>
        <v>0</v>
      </c>
      <c r="E20" s="69">
        <f>IF(AND(LEFT(CT!$D16,3)=NKTT!$G$2,LEFT(CT!$E16,3)=NKTT!$E$6),CT!$H16,0)</f>
        <v>0</v>
      </c>
      <c r="F20" s="69">
        <f>IF(AND(LEFT(CT!$D16,3)=NKTT!$G$2,LEFT(CT!$E16,3)=NKTT!$F$6),CT!$H16,0)</f>
        <v>0</v>
      </c>
      <c r="G20" s="69">
        <f>IF(AND(LEFT(CT!$D16,3)=NKTT!$G$2,LEFT(CT!$E16,3)=NKTT!$G$6),CT!$H16,0)</f>
        <v>0</v>
      </c>
      <c r="H20" s="69">
        <f>IF(AND(LEFT(CT!$D16,3)=NKTT!$G$2,LEFT(CT!$E16,3)=NKTT!$H$6),CT!$H16,0)</f>
        <v>0</v>
      </c>
      <c r="I20" s="69">
        <f t="shared" si="0"/>
        <v>0</v>
      </c>
      <c r="J20" s="69" t="str">
        <f>IF(I20&gt;0,CT!E16,"")</f>
        <v/>
      </c>
    </row>
    <row r="21" spans="1:10" hidden="1" x14ac:dyDescent="0.25">
      <c r="A21" s="68" t="str">
        <f>IF(LEFT(CT!$D17,3)=NKTT!$G$2,CT!A17,"")</f>
        <v/>
      </c>
      <c r="B21" s="68" t="str">
        <f>IF(LEFT(CT!$D17,3)=NKTT!$G$2,CT!B17,"")</f>
        <v/>
      </c>
      <c r="C21" s="68" t="str">
        <f>IF(LEFT(CT!$D17,3)=NKTT!$G$2,CT!C17,"")</f>
        <v/>
      </c>
      <c r="D21" s="69">
        <f>IF(LEFT(CT!$D17,3)=NKTT!$G$2,CT!H17,0)</f>
        <v>0</v>
      </c>
      <c r="E21" s="69">
        <f>IF(AND(LEFT(CT!$D17,3)=NKTT!$G$2,LEFT(CT!$E17,3)=NKTT!$E$6),CT!$H17,0)</f>
        <v>0</v>
      </c>
      <c r="F21" s="69">
        <f>IF(AND(LEFT(CT!$D17,3)=NKTT!$G$2,LEFT(CT!$E17,3)=NKTT!$F$6),CT!$H17,0)</f>
        <v>0</v>
      </c>
      <c r="G21" s="69">
        <f>IF(AND(LEFT(CT!$D17,3)=NKTT!$G$2,LEFT(CT!$E17,3)=NKTT!$G$6),CT!$H17,0)</f>
        <v>0</v>
      </c>
      <c r="H21" s="69">
        <f>IF(AND(LEFT(CT!$D17,3)=NKTT!$G$2,LEFT(CT!$E17,3)=NKTT!$H$6),CT!$H17,0)</f>
        <v>0</v>
      </c>
      <c r="I21" s="69">
        <f t="shared" si="0"/>
        <v>0</v>
      </c>
      <c r="J21" s="69" t="str">
        <f>IF(I21&gt;0,CT!E17,"")</f>
        <v/>
      </c>
    </row>
    <row r="22" spans="1:10" hidden="1" x14ac:dyDescent="0.25">
      <c r="A22" s="68" t="str">
        <f>IF(LEFT(CT!$D18,3)=NKTT!$G$2,CT!A18,"")</f>
        <v/>
      </c>
      <c r="B22" s="68" t="str">
        <f>IF(LEFT(CT!$D18,3)=NKTT!$G$2,CT!B18,"")</f>
        <v/>
      </c>
      <c r="C22" s="68" t="str">
        <f>IF(LEFT(CT!$D18,3)=NKTT!$G$2,CT!C18,"")</f>
        <v/>
      </c>
      <c r="D22" s="69">
        <f>IF(LEFT(CT!$D18,3)=NKTT!$G$2,CT!H18,0)</f>
        <v>0</v>
      </c>
      <c r="E22" s="69">
        <f>IF(AND(LEFT(CT!$D18,3)=NKTT!$G$2,LEFT(CT!$E18,3)=NKTT!$E$6),CT!$H18,0)</f>
        <v>0</v>
      </c>
      <c r="F22" s="69">
        <f>IF(AND(LEFT(CT!$D18,3)=NKTT!$G$2,LEFT(CT!$E18,3)=NKTT!$F$6),CT!$H18,0)</f>
        <v>0</v>
      </c>
      <c r="G22" s="69">
        <f>IF(AND(LEFT(CT!$D18,3)=NKTT!$G$2,LEFT(CT!$E18,3)=NKTT!$G$6),CT!$H18,0)</f>
        <v>0</v>
      </c>
      <c r="H22" s="69">
        <f>IF(AND(LEFT(CT!$D18,3)=NKTT!$G$2,LEFT(CT!$E18,3)=NKTT!$H$6),CT!$H18,0)</f>
        <v>0</v>
      </c>
      <c r="I22" s="69">
        <f t="shared" si="0"/>
        <v>0</v>
      </c>
      <c r="J22" s="69" t="str">
        <f>IF(I22&gt;0,CT!E18,"")</f>
        <v/>
      </c>
    </row>
    <row r="23" spans="1:10" hidden="1" x14ac:dyDescent="0.25">
      <c r="A23" s="68" t="str">
        <f>IF(LEFT(CT!$D19,3)=NKTT!$G$2,CT!A19,"")</f>
        <v/>
      </c>
      <c r="B23" s="68" t="str">
        <f>IF(LEFT(CT!$D19,3)=NKTT!$G$2,CT!B19,"")</f>
        <v/>
      </c>
      <c r="C23" s="68" t="str">
        <f>IF(LEFT(CT!$D19,3)=NKTT!$G$2,CT!C19,"")</f>
        <v/>
      </c>
      <c r="D23" s="69">
        <f>IF(LEFT(CT!$D19,3)=NKTT!$G$2,CT!H19,0)</f>
        <v>0</v>
      </c>
      <c r="E23" s="69">
        <f>IF(AND(LEFT(CT!$D19,3)=NKTT!$G$2,LEFT(CT!$E19,3)=NKTT!$E$6),CT!$H19,0)</f>
        <v>0</v>
      </c>
      <c r="F23" s="69">
        <f>IF(AND(LEFT(CT!$D19,3)=NKTT!$G$2,LEFT(CT!$E19,3)=NKTT!$F$6),CT!$H19,0)</f>
        <v>0</v>
      </c>
      <c r="G23" s="69">
        <f>IF(AND(LEFT(CT!$D19,3)=NKTT!$G$2,LEFT(CT!$E19,3)=NKTT!$G$6),CT!$H19,0)</f>
        <v>0</v>
      </c>
      <c r="H23" s="69">
        <f>IF(AND(LEFT(CT!$D19,3)=NKTT!$G$2,LEFT(CT!$E19,3)=NKTT!$H$6),CT!$H19,0)</f>
        <v>0</v>
      </c>
      <c r="I23" s="69">
        <f t="shared" si="0"/>
        <v>0</v>
      </c>
      <c r="J23" s="69" t="str">
        <f>IF(I23&gt;0,CT!E19,"")</f>
        <v/>
      </c>
    </row>
    <row r="24" spans="1:10" hidden="1" x14ac:dyDescent="0.25">
      <c r="A24" s="68" t="str">
        <f>IF(LEFT(CT!$D20,3)=NKTT!$G$2,CT!A20,"")</f>
        <v/>
      </c>
      <c r="B24" s="68" t="str">
        <f>IF(LEFT(CT!$D20,3)=NKTT!$G$2,CT!B20,"")</f>
        <v/>
      </c>
      <c r="C24" s="68" t="str">
        <f>IF(LEFT(CT!$D20,3)=NKTT!$G$2,CT!C20,"")</f>
        <v/>
      </c>
      <c r="D24" s="69">
        <f>IF(LEFT(CT!$D20,3)=NKTT!$G$2,CT!H20,0)</f>
        <v>0</v>
      </c>
      <c r="E24" s="69">
        <f>IF(AND(LEFT(CT!$D20,3)=NKTT!$G$2,LEFT(CT!$E20,3)=NKTT!$E$6),CT!$H20,0)</f>
        <v>0</v>
      </c>
      <c r="F24" s="69">
        <f>IF(AND(LEFT(CT!$D20,3)=NKTT!$G$2,LEFT(CT!$E20,3)=NKTT!$F$6),CT!$H20,0)</f>
        <v>0</v>
      </c>
      <c r="G24" s="69">
        <f>IF(AND(LEFT(CT!$D20,3)=NKTT!$G$2,LEFT(CT!$E20,3)=NKTT!$G$6),CT!$H20,0)</f>
        <v>0</v>
      </c>
      <c r="H24" s="69">
        <f>IF(AND(LEFT(CT!$D20,3)=NKTT!$G$2,LEFT(CT!$E20,3)=NKTT!$H$6),CT!$H20,0)</f>
        <v>0</v>
      </c>
      <c r="I24" s="69">
        <f t="shared" si="0"/>
        <v>0</v>
      </c>
      <c r="J24" s="69" t="str">
        <f>IF(I24&gt;0,CT!E20,"")</f>
        <v/>
      </c>
    </row>
    <row r="25" spans="1:10" hidden="1" x14ac:dyDescent="0.25">
      <c r="A25" s="68" t="str">
        <f>IF(LEFT(CT!$D21,3)=NKTT!$G$2,CT!A21,"")</f>
        <v/>
      </c>
      <c r="B25" s="68" t="str">
        <f>IF(LEFT(CT!$D21,3)=NKTT!$G$2,CT!B21,"")</f>
        <v/>
      </c>
      <c r="C25" s="68" t="str">
        <f>IF(LEFT(CT!$D21,3)=NKTT!$G$2,CT!C21,"")</f>
        <v/>
      </c>
      <c r="D25" s="69">
        <f>IF(LEFT(CT!$D21,3)=NKTT!$G$2,CT!H21,0)</f>
        <v>0</v>
      </c>
      <c r="E25" s="69">
        <f>IF(AND(LEFT(CT!$D21,3)=NKTT!$G$2,LEFT(CT!$E21,3)=NKTT!$E$6),CT!$H21,0)</f>
        <v>0</v>
      </c>
      <c r="F25" s="69">
        <f>IF(AND(LEFT(CT!$D21,3)=NKTT!$G$2,LEFT(CT!$E21,3)=NKTT!$F$6),CT!$H21,0)</f>
        <v>0</v>
      </c>
      <c r="G25" s="69">
        <f>IF(AND(LEFT(CT!$D21,3)=NKTT!$G$2,LEFT(CT!$E21,3)=NKTT!$G$6),CT!$H21,0)</f>
        <v>0</v>
      </c>
      <c r="H25" s="69">
        <f>IF(AND(LEFT(CT!$D21,3)=NKTT!$G$2,LEFT(CT!$E21,3)=NKTT!$H$6),CT!$H21,0)</f>
        <v>0</v>
      </c>
      <c r="I25" s="69">
        <f t="shared" si="0"/>
        <v>0</v>
      </c>
      <c r="J25" s="69" t="str">
        <f>IF(I25&gt;0,CT!E21,"")</f>
        <v/>
      </c>
    </row>
    <row r="26" spans="1:10" hidden="1" x14ac:dyDescent="0.25">
      <c r="A26" s="68" t="str">
        <f>IF(LEFT(CT!$D22,3)=NKTT!$G$2,CT!A22,"")</f>
        <v/>
      </c>
      <c r="B26" s="68" t="str">
        <f>IF(LEFT(CT!$D22,3)=NKTT!$G$2,CT!B22,"")</f>
        <v/>
      </c>
      <c r="C26" s="68" t="str">
        <f>IF(LEFT(CT!$D22,3)=NKTT!$G$2,CT!C22,"")</f>
        <v/>
      </c>
      <c r="D26" s="69">
        <f>IF(LEFT(CT!$D22,3)=NKTT!$G$2,CT!H22,0)</f>
        <v>0</v>
      </c>
      <c r="E26" s="69">
        <f>IF(AND(LEFT(CT!$D22,3)=NKTT!$G$2,LEFT(CT!$E22,3)=NKTT!$E$6),CT!$H22,0)</f>
        <v>0</v>
      </c>
      <c r="F26" s="69">
        <f>IF(AND(LEFT(CT!$D22,3)=NKTT!$G$2,LEFT(CT!$E22,3)=NKTT!$F$6),CT!$H22,0)</f>
        <v>0</v>
      </c>
      <c r="G26" s="69">
        <f>IF(AND(LEFT(CT!$D22,3)=NKTT!$G$2,LEFT(CT!$E22,3)=NKTT!$G$6),CT!$H22,0)</f>
        <v>0</v>
      </c>
      <c r="H26" s="69">
        <f>IF(AND(LEFT(CT!$D22,3)=NKTT!$G$2,LEFT(CT!$E22,3)=NKTT!$H$6),CT!$H22,0)</f>
        <v>0</v>
      </c>
      <c r="I26" s="69">
        <f t="shared" si="0"/>
        <v>0</v>
      </c>
      <c r="J26" s="69" t="str">
        <f>IF(I26&gt;0,CT!E22,"")</f>
        <v/>
      </c>
    </row>
    <row r="27" spans="1:10" hidden="1" x14ac:dyDescent="0.25">
      <c r="A27" s="68" t="str">
        <f>IF(LEFT(CT!$D23,3)=NKTT!$G$2,CT!A23,"")</f>
        <v/>
      </c>
      <c r="B27" s="68" t="str">
        <f>IF(LEFT(CT!$D23,3)=NKTT!$G$2,CT!B23,"")</f>
        <v/>
      </c>
      <c r="C27" s="68" t="str">
        <f>IF(LEFT(CT!$D23,3)=NKTT!$G$2,CT!C23,"")</f>
        <v/>
      </c>
      <c r="D27" s="69">
        <f>IF(LEFT(CT!$D23,3)=NKTT!$G$2,CT!H23,0)</f>
        <v>0</v>
      </c>
      <c r="E27" s="69">
        <f>IF(AND(LEFT(CT!$D23,3)=NKTT!$G$2,LEFT(CT!$E23,3)=NKTT!$E$6),CT!$H23,0)</f>
        <v>0</v>
      </c>
      <c r="F27" s="69">
        <f>IF(AND(LEFT(CT!$D23,3)=NKTT!$G$2,LEFT(CT!$E23,3)=NKTT!$F$6),CT!$H23,0)</f>
        <v>0</v>
      </c>
      <c r="G27" s="69">
        <f>IF(AND(LEFT(CT!$D23,3)=NKTT!$G$2,LEFT(CT!$E23,3)=NKTT!$G$6),CT!$H23,0)</f>
        <v>0</v>
      </c>
      <c r="H27" s="69">
        <f>IF(AND(LEFT(CT!$D23,3)=NKTT!$G$2,LEFT(CT!$E23,3)=NKTT!$H$6),CT!$H23,0)</f>
        <v>0</v>
      </c>
      <c r="I27" s="69">
        <f t="shared" si="0"/>
        <v>0</v>
      </c>
      <c r="J27" s="69" t="str">
        <f>IF(I27&gt;0,CT!E23,"")</f>
        <v/>
      </c>
    </row>
    <row r="28" spans="1:10" hidden="1" x14ac:dyDescent="0.25">
      <c r="A28" s="68" t="str">
        <f>IF(LEFT(CT!$D24,3)=NKTT!$G$2,CT!A24,"")</f>
        <v/>
      </c>
      <c r="B28" s="68" t="str">
        <f>IF(LEFT(CT!$D24,3)=NKTT!$G$2,CT!B24,"")</f>
        <v/>
      </c>
      <c r="C28" s="68" t="str">
        <f>IF(LEFT(CT!$D24,3)=NKTT!$G$2,CT!C24,"")</f>
        <v/>
      </c>
      <c r="D28" s="69">
        <f>IF(LEFT(CT!$D24,3)=NKTT!$G$2,CT!H24,0)</f>
        <v>0</v>
      </c>
      <c r="E28" s="69">
        <f>IF(AND(LEFT(CT!$D24,3)=NKTT!$G$2,LEFT(CT!$E24,3)=NKTT!$E$6),CT!$H24,0)</f>
        <v>0</v>
      </c>
      <c r="F28" s="69">
        <f>IF(AND(LEFT(CT!$D24,3)=NKTT!$G$2,LEFT(CT!$E24,3)=NKTT!$F$6),CT!$H24,0)</f>
        <v>0</v>
      </c>
      <c r="G28" s="69">
        <f>IF(AND(LEFT(CT!$D24,3)=NKTT!$G$2,LEFT(CT!$E24,3)=NKTT!$G$6),CT!$H24,0)</f>
        <v>0</v>
      </c>
      <c r="H28" s="69">
        <f>IF(AND(LEFT(CT!$D24,3)=NKTT!$G$2,LEFT(CT!$E24,3)=NKTT!$H$6),CT!$H24,0)</f>
        <v>0</v>
      </c>
      <c r="I28" s="69">
        <f t="shared" si="0"/>
        <v>0</v>
      </c>
      <c r="J28" s="69" t="str">
        <f>IF(I28&gt;0,CT!E24,"")</f>
        <v/>
      </c>
    </row>
    <row r="29" spans="1:10" hidden="1" x14ac:dyDescent="0.25">
      <c r="A29" s="68" t="str">
        <f>IF(LEFT(CT!$D25,3)=NKTT!$G$2,CT!A25,"")</f>
        <v/>
      </c>
      <c r="B29" s="68" t="str">
        <f>IF(LEFT(CT!$D25,3)=NKTT!$G$2,CT!B25,"")</f>
        <v/>
      </c>
      <c r="C29" s="68" t="str">
        <f>IF(LEFT(CT!$D25,3)=NKTT!$G$2,CT!C25,"")</f>
        <v/>
      </c>
      <c r="D29" s="69">
        <f>IF(LEFT(CT!$D25,3)=NKTT!$G$2,CT!H25,0)</f>
        <v>0</v>
      </c>
      <c r="E29" s="69">
        <f>IF(AND(LEFT(CT!$D25,3)=NKTT!$G$2,LEFT(CT!$E25,3)=NKTT!$E$6),CT!$H25,0)</f>
        <v>0</v>
      </c>
      <c r="F29" s="69">
        <f>IF(AND(LEFT(CT!$D25,3)=NKTT!$G$2,LEFT(CT!$E25,3)=NKTT!$F$6),CT!$H25,0)</f>
        <v>0</v>
      </c>
      <c r="G29" s="69">
        <f>IF(AND(LEFT(CT!$D25,3)=NKTT!$G$2,LEFT(CT!$E25,3)=NKTT!$G$6),CT!$H25,0)</f>
        <v>0</v>
      </c>
      <c r="H29" s="69">
        <f>IF(AND(LEFT(CT!$D25,3)=NKTT!$G$2,LEFT(CT!$E25,3)=NKTT!$H$6),CT!$H25,0)</f>
        <v>0</v>
      </c>
      <c r="I29" s="69">
        <f t="shared" si="0"/>
        <v>0</v>
      </c>
      <c r="J29" s="69" t="str">
        <f>IF(I29&gt;0,CT!E25,"")</f>
        <v/>
      </c>
    </row>
    <row r="30" spans="1:10" hidden="1" x14ac:dyDescent="0.25">
      <c r="A30" s="68" t="str">
        <f>IF(LEFT(CT!$D26,3)=NKTT!$G$2,CT!A26,"")</f>
        <v/>
      </c>
      <c r="B30" s="68" t="str">
        <f>IF(LEFT(CT!$D26,3)=NKTT!$G$2,CT!B26,"")</f>
        <v/>
      </c>
      <c r="C30" s="68" t="str">
        <f>IF(LEFT(CT!$D26,3)=NKTT!$G$2,CT!C26,"")</f>
        <v/>
      </c>
      <c r="D30" s="69">
        <f>IF(LEFT(CT!$D26,3)=NKTT!$G$2,CT!H26,0)</f>
        <v>0</v>
      </c>
      <c r="E30" s="69">
        <f>IF(AND(LEFT(CT!$D26,3)=NKTT!$G$2,LEFT(CT!$E26,3)=NKTT!$E$6),CT!$H26,0)</f>
        <v>0</v>
      </c>
      <c r="F30" s="69">
        <f>IF(AND(LEFT(CT!$D26,3)=NKTT!$G$2,LEFT(CT!$E26,3)=NKTT!$F$6),CT!$H26,0)</f>
        <v>0</v>
      </c>
      <c r="G30" s="69">
        <f>IF(AND(LEFT(CT!$D26,3)=NKTT!$G$2,LEFT(CT!$E26,3)=NKTT!$G$6),CT!$H26,0)</f>
        <v>0</v>
      </c>
      <c r="H30" s="69">
        <f>IF(AND(LEFT(CT!$D26,3)=NKTT!$G$2,LEFT(CT!$E26,3)=NKTT!$H$6),CT!$H26,0)</f>
        <v>0</v>
      </c>
      <c r="I30" s="69">
        <f t="shared" si="0"/>
        <v>0</v>
      </c>
      <c r="J30" s="69" t="str">
        <f>IF(I30&gt;0,CT!E26,"")</f>
        <v/>
      </c>
    </row>
    <row r="31" spans="1:10" hidden="1" x14ac:dyDescent="0.25">
      <c r="A31" s="68" t="str">
        <f>IF(LEFT(CT!$D27,3)=NKTT!$G$2,CT!A27,"")</f>
        <v/>
      </c>
      <c r="B31" s="68" t="str">
        <f>IF(LEFT(CT!$D27,3)=NKTT!$G$2,CT!B27,"")</f>
        <v/>
      </c>
      <c r="C31" s="68" t="str">
        <f>IF(LEFT(CT!$D27,3)=NKTT!$G$2,CT!C27,"")</f>
        <v/>
      </c>
      <c r="D31" s="69">
        <f>IF(LEFT(CT!$D27,3)=NKTT!$G$2,CT!H27,0)</f>
        <v>0</v>
      </c>
      <c r="E31" s="69">
        <f>IF(AND(LEFT(CT!$D27,3)=NKTT!$G$2,LEFT(CT!$E27,3)=NKTT!$E$6),CT!$H27,0)</f>
        <v>0</v>
      </c>
      <c r="F31" s="69">
        <f>IF(AND(LEFT(CT!$D27,3)=NKTT!$G$2,LEFT(CT!$E27,3)=NKTT!$F$6),CT!$H27,0)</f>
        <v>0</v>
      </c>
      <c r="G31" s="69">
        <f>IF(AND(LEFT(CT!$D27,3)=NKTT!$G$2,LEFT(CT!$E27,3)=NKTT!$G$6),CT!$H27,0)</f>
        <v>0</v>
      </c>
      <c r="H31" s="69">
        <f>IF(AND(LEFT(CT!$D27,3)=NKTT!$G$2,LEFT(CT!$E27,3)=NKTT!$H$6),CT!$H27,0)</f>
        <v>0</v>
      </c>
      <c r="I31" s="69">
        <f t="shared" si="0"/>
        <v>0</v>
      </c>
      <c r="J31" s="69" t="str">
        <f>IF(I31&gt;0,CT!E27,"")</f>
        <v/>
      </c>
    </row>
    <row r="32" spans="1:10" hidden="1" x14ac:dyDescent="0.25">
      <c r="A32" s="68" t="str">
        <f>IF(LEFT(CT!$D28,3)=NKTT!$G$2,CT!A28,"")</f>
        <v/>
      </c>
      <c r="B32" s="68" t="str">
        <f>IF(LEFT(CT!$D28,3)=NKTT!$G$2,CT!B28,"")</f>
        <v/>
      </c>
      <c r="C32" s="68" t="str">
        <f>IF(LEFT(CT!$D28,3)=NKTT!$G$2,CT!C28,"")</f>
        <v/>
      </c>
      <c r="D32" s="69">
        <f>IF(LEFT(CT!$D28,3)=NKTT!$G$2,CT!H28,0)</f>
        <v>0</v>
      </c>
      <c r="E32" s="69">
        <f>IF(AND(LEFT(CT!$D28,3)=NKTT!$G$2,LEFT(CT!$E28,3)=NKTT!$E$6),CT!$H28,0)</f>
        <v>0</v>
      </c>
      <c r="F32" s="69">
        <f>IF(AND(LEFT(CT!$D28,3)=NKTT!$G$2,LEFT(CT!$E28,3)=NKTT!$F$6),CT!$H28,0)</f>
        <v>0</v>
      </c>
      <c r="G32" s="69">
        <f>IF(AND(LEFT(CT!$D28,3)=NKTT!$G$2,LEFT(CT!$E28,3)=NKTT!$G$6),CT!$H28,0)</f>
        <v>0</v>
      </c>
      <c r="H32" s="69">
        <f>IF(AND(LEFT(CT!$D28,3)=NKTT!$G$2,LEFT(CT!$E28,3)=NKTT!$H$6),CT!$H28,0)</f>
        <v>0</v>
      </c>
      <c r="I32" s="69">
        <f t="shared" si="0"/>
        <v>0</v>
      </c>
      <c r="J32" s="69" t="str">
        <f>IF(I32&gt;0,CT!E28,"")</f>
        <v/>
      </c>
    </row>
    <row r="33" spans="1:10" hidden="1" x14ac:dyDescent="0.25">
      <c r="A33" s="68" t="str">
        <f>IF(LEFT(CT!$D29,3)=NKTT!$G$2,CT!A29,"")</f>
        <v/>
      </c>
      <c r="B33" s="68" t="str">
        <f>IF(LEFT(CT!$D29,3)=NKTT!$G$2,CT!B29,"")</f>
        <v/>
      </c>
      <c r="C33" s="68" t="str">
        <f>IF(LEFT(CT!$D29,3)=NKTT!$G$2,CT!C29,"")</f>
        <v/>
      </c>
      <c r="D33" s="69">
        <f>IF(LEFT(CT!$D29,3)=NKTT!$G$2,CT!H29,0)</f>
        <v>0</v>
      </c>
      <c r="E33" s="69">
        <f>IF(AND(LEFT(CT!$D29,3)=NKTT!$G$2,LEFT(CT!$E29,3)=NKTT!$E$6),CT!$H29,0)</f>
        <v>0</v>
      </c>
      <c r="F33" s="69">
        <f>IF(AND(LEFT(CT!$D29,3)=NKTT!$G$2,LEFT(CT!$E29,3)=NKTT!$F$6),CT!$H29,0)</f>
        <v>0</v>
      </c>
      <c r="G33" s="69">
        <f>IF(AND(LEFT(CT!$D29,3)=NKTT!$G$2,LEFT(CT!$E29,3)=NKTT!$G$6),CT!$H29,0)</f>
        <v>0</v>
      </c>
      <c r="H33" s="69">
        <f>IF(AND(LEFT(CT!$D29,3)=NKTT!$G$2,LEFT(CT!$E29,3)=NKTT!$H$6),CT!$H29,0)</f>
        <v>0</v>
      </c>
      <c r="I33" s="69">
        <f t="shared" si="0"/>
        <v>0</v>
      </c>
      <c r="J33" s="69" t="str">
        <f>IF(I33&gt;0,CT!E29,"")</f>
        <v/>
      </c>
    </row>
    <row r="34" spans="1:10" hidden="1" x14ac:dyDescent="0.25">
      <c r="A34" s="68" t="str">
        <f>IF(LEFT(CT!$D30,3)=NKTT!$G$2,CT!A30,"")</f>
        <v/>
      </c>
      <c r="B34" s="68" t="str">
        <f>IF(LEFT(CT!$D30,3)=NKTT!$G$2,CT!B30,"")</f>
        <v/>
      </c>
      <c r="C34" s="68" t="str">
        <f>IF(LEFT(CT!$D30,3)=NKTT!$G$2,CT!C30,"")</f>
        <v/>
      </c>
      <c r="D34" s="69">
        <f>IF(LEFT(CT!$D30,3)=NKTT!$G$2,CT!H30,0)</f>
        <v>0</v>
      </c>
      <c r="E34" s="69">
        <f>IF(AND(LEFT(CT!$D30,3)=NKTT!$G$2,LEFT(CT!$E30,3)=NKTT!$E$6),CT!$H30,0)</f>
        <v>0</v>
      </c>
      <c r="F34" s="69">
        <f>IF(AND(LEFT(CT!$D30,3)=NKTT!$G$2,LEFT(CT!$E30,3)=NKTT!$F$6),CT!$H30,0)</f>
        <v>0</v>
      </c>
      <c r="G34" s="69">
        <f>IF(AND(LEFT(CT!$D30,3)=NKTT!$G$2,LEFT(CT!$E30,3)=NKTT!$G$6),CT!$H30,0)</f>
        <v>0</v>
      </c>
      <c r="H34" s="69">
        <f>IF(AND(LEFT(CT!$D30,3)=NKTT!$G$2,LEFT(CT!$E30,3)=NKTT!$H$6),CT!$H30,0)</f>
        <v>0</v>
      </c>
      <c r="I34" s="69">
        <f t="shared" si="0"/>
        <v>0</v>
      </c>
      <c r="J34" s="69" t="str">
        <f>IF(I34&gt;0,CT!E30,"")</f>
        <v/>
      </c>
    </row>
    <row r="35" spans="1:10" hidden="1" x14ac:dyDescent="0.25">
      <c r="A35" s="68" t="str">
        <f>IF(LEFT(CT!$D31,3)=NKTT!$G$2,CT!A31,"")</f>
        <v/>
      </c>
      <c r="B35" s="68" t="str">
        <f>IF(LEFT(CT!$D31,3)=NKTT!$G$2,CT!B31,"")</f>
        <v/>
      </c>
      <c r="C35" s="68" t="str">
        <f>IF(LEFT(CT!$D31,3)=NKTT!$G$2,CT!C31,"")</f>
        <v/>
      </c>
      <c r="D35" s="69">
        <f>IF(LEFT(CT!$D31,3)=NKTT!$G$2,CT!H31,0)</f>
        <v>0</v>
      </c>
      <c r="E35" s="69">
        <f>IF(AND(LEFT(CT!$D31,3)=NKTT!$G$2,LEFT(CT!$E31,3)=NKTT!$E$6),CT!$H31,0)</f>
        <v>0</v>
      </c>
      <c r="F35" s="69">
        <f>IF(AND(LEFT(CT!$D31,3)=NKTT!$G$2,LEFT(CT!$E31,3)=NKTT!$F$6),CT!$H31,0)</f>
        <v>0</v>
      </c>
      <c r="G35" s="69">
        <f>IF(AND(LEFT(CT!$D31,3)=NKTT!$G$2,LEFT(CT!$E31,3)=NKTT!$G$6),CT!$H31,0)</f>
        <v>0</v>
      </c>
      <c r="H35" s="69">
        <f>IF(AND(LEFT(CT!$D31,3)=NKTT!$G$2,LEFT(CT!$E31,3)=NKTT!$H$6),CT!$H31,0)</f>
        <v>0</v>
      </c>
      <c r="I35" s="69">
        <f t="shared" si="0"/>
        <v>0</v>
      </c>
      <c r="J35" s="69" t="str">
        <f>IF(I35&gt;0,CT!E31,"")</f>
        <v/>
      </c>
    </row>
    <row r="36" spans="1:10" hidden="1" x14ac:dyDescent="0.25">
      <c r="A36" s="68" t="str">
        <f>IF(LEFT(CT!$D32,3)=NKTT!$G$2,CT!A32,"")</f>
        <v/>
      </c>
      <c r="B36" s="68" t="str">
        <f>IF(LEFT(CT!$D32,3)=NKTT!$G$2,CT!B32,"")</f>
        <v/>
      </c>
      <c r="C36" s="68" t="str">
        <f>IF(LEFT(CT!$D32,3)=NKTT!$G$2,CT!C32,"")</f>
        <v/>
      </c>
      <c r="D36" s="69">
        <f>IF(LEFT(CT!$D32,3)=NKTT!$G$2,CT!H32,0)</f>
        <v>0</v>
      </c>
      <c r="E36" s="69">
        <f>IF(AND(LEFT(CT!$D32,3)=NKTT!$G$2,LEFT(CT!$E32,3)=NKTT!$E$6),CT!$H32,0)</f>
        <v>0</v>
      </c>
      <c r="F36" s="69">
        <f>IF(AND(LEFT(CT!$D32,3)=NKTT!$G$2,LEFT(CT!$E32,3)=NKTT!$F$6),CT!$H32,0)</f>
        <v>0</v>
      </c>
      <c r="G36" s="69">
        <f>IF(AND(LEFT(CT!$D32,3)=NKTT!$G$2,LEFT(CT!$E32,3)=NKTT!$G$6),CT!$H32,0)</f>
        <v>0</v>
      </c>
      <c r="H36" s="69">
        <f>IF(AND(LEFT(CT!$D32,3)=NKTT!$G$2,LEFT(CT!$E32,3)=NKTT!$H$6),CT!$H32,0)</f>
        <v>0</v>
      </c>
      <c r="I36" s="69">
        <f t="shared" si="0"/>
        <v>0</v>
      </c>
      <c r="J36" s="69" t="str">
        <f>IF(I36&gt;0,CT!E32,"")</f>
        <v/>
      </c>
    </row>
    <row r="37" spans="1:10" hidden="1" x14ac:dyDescent="0.25">
      <c r="A37" s="68" t="str">
        <f>IF(LEFT(CT!$D33,3)=NKTT!$G$2,CT!A33,"")</f>
        <v/>
      </c>
      <c r="B37" s="68" t="str">
        <f>IF(LEFT(CT!$D33,3)=NKTT!$G$2,CT!B33,"")</f>
        <v/>
      </c>
      <c r="C37" s="68" t="str">
        <f>IF(LEFT(CT!$D33,3)=NKTT!$G$2,CT!C33,"")</f>
        <v/>
      </c>
      <c r="D37" s="69">
        <f>IF(LEFT(CT!$D33,3)=NKTT!$G$2,CT!H33,0)</f>
        <v>0</v>
      </c>
      <c r="E37" s="69">
        <f>IF(AND(LEFT(CT!$D33,3)=NKTT!$G$2,LEFT(CT!$E33,3)=NKTT!$E$6),CT!$H33,0)</f>
        <v>0</v>
      </c>
      <c r="F37" s="69">
        <f>IF(AND(LEFT(CT!$D33,3)=NKTT!$G$2,LEFT(CT!$E33,3)=NKTT!$F$6),CT!$H33,0)</f>
        <v>0</v>
      </c>
      <c r="G37" s="69">
        <f>IF(AND(LEFT(CT!$D33,3)=NKTT!$G$2,LEFT(CT!$E33,3)=NKTT!$G$6),CT!$H33,0)</f>
        <v>0</v>
      </c>
      <c r="H37" s="69">
        <f>IF(AND(LEFT(CT!$D33,3)=NKTT!$G$2,LEFT(CT!$E33,3)=NKTT!$H$6),CT!$H33,0)</f>
        <v>0</v>
      </c>
      <c r="I37" s="69">
        <f t="shared" si="0"/>
        <v>0</v>
      </c>
      <c r="J37" s="69" t="str">
        <f>IF(I37&gt;0,CT!E33,"")</f>
        <v/>
      </c>
    </row>
    <row r="38" spans="1:10" hidden="1" x14ac:dyDescent="0.25">
      <c r="A38" s="68" t="str">
        <f>IF(LEFT(CT!$D34,3)=NKTT!$G$2,CT!A34,"")</f>
        <v/>
      </c>
      <c r="B38" s="68" t="str">
        <f>IF(LEFT(CT!$D34,3)=NKTT!$G$2,CT!B34,"")</f>
        <v/>
      </c>
      <c r="C38" s="68" t="str">
        <f>IF(LEFT(CT!$D34,3)=NKTT!$G$2,CT!C34,"")</f>
        <v/>
      </c>
      <c r="D38" s="69">
        <f>IF(LEFT(CT!$D34,3)=NKTT!$G$2,CT!H34,0)</f>
        <v>0</v>
      </c>
      <c r="E38" s="69">
        <f>IF(AND(LEFT(CT!$D34,3)=NKTT!$G$2,LEFT(CT!$E34,3)=NKTT!$E$6),CT!$H34,0)</f>
        <v>0</v>
      </c>
      <c r="F38" s="69">
        <f>IF(AND(LEFT(CT!$D34,3)=NKTT!$G$2,LEFT(CT!$E34,3)=NKTT!$F$6),CT!$H34,0)</f>
        <v>0</v>
      </c>
      <c r="G38" s="69">
        <f>IF(AND(LEFT(CT!$D34,3)=NKTT!$G$2,LEFT(CT!$E34,3)=NKTT!$G$6),CT!$H34,0)</f>
        <v>0</v>
      </c>
      <c r="H38" s="69">
        <f>IF(AND(LEFT(CT!$D34,3)=NKTT!$G$2,LEFT(CT!$E34,3)=NKTT!$H$6),CT!$H34,0)</f>
        <v>0</v>
      </c>
      <c r="I38" s="69">
        <f t="shared" si="0"/>
        <v>0</v>
      </c>
      <c r="J38" s="69" t="str">
        <f>IF(I38&gt;0,CT!E34,"")</f>
        <v/>
      </c>
    </row>
    <row r="39" spans="1:10" hidden="1" x14ac:dyDescent="0.25">
      <c r="A39" s="68" t="str">
        <f>IF(LEFT(CT!$D35,3)=NKTT!$G$2,CT!A35,"")</f>
        <v/>
      </c>
      <c r="B39" s="68" t="str">
        <f>IF(LEFT(CT!$D35,3)=NKTT!$G$2,CT!B35,"")</f>
        <v/>
      </c>
      <c r="C39" s="68" t="str">
        <f>IF(LEFT(CT!$D35,3)=NKTT!$G$2,CT!C35,"")</f>
        <v/>
      </c>
      <c r="D39" s="69">
        <f>IF(LEFT(CT!$D35,3)=NKTT!$G$2,CT!H35,0)</f>
        <v>0</v>
      </c>
      <c r="E39" s="69">
        <f>IF(AND(LEFT(CT!$D35,3)=NKTT!$G$2,LEFT(CT!$E35,3)=NKTT!$E$6),CT!$H35,0)</f>
        <v>0</v>
      </c>
      <c r="F39" s="69">
        <f>IF(AND(LEFT(CT!$D35,3)=NKTT!$G$2,LEFT(CT!$E35,3)=NKTT!$F$6),CT!$H35,0)</f>
        <v>0</v>
      </c>
      <c r="G39" s="69">
        <f>IF(AND(LEFT(CT!$D35,3)=NKTT!$G$2,LEFT(CT!$E35,3)=NKTT!$G$6),CT!$H35,0)</f>
        <v>0</v>
      </c>
      <c r="H39" s="69">
        <f>IF(AND(LEFT(CT!$D35,3)=NKTT!$G$2,LEFT(CT!$E35,3)=NKTT!$H$6),CT!$H35,0)</f>
        <v>0</v>
      </c>
      <c r="I39" s="69">
        <f t="shared" si="0"/>
        <v>0</v>
      </c>
      <c r="J39" s="69" t="str">
        <f>IF(I39&gt;0,CT!E35,"")</f>
        <v/>
      </c>
    </row>
    <row r="40" spans="1:10" hidden="1" x14ac:dyDescent="0.25">
      <c r="A40" s="68" t="str">
        <f>IF(LEFT(CT!$D36,3)=NKTT!$G$2,CT!A36,"")</f>
        <v/>
      </c>
      <c r="B40" s="68" t="str">
        <f>IF(LEFT(CT!$D36,3)=NKTT!$G$2,CT!B36,"")</f>
        <v/>
      </c>
      <c r="C40" s="68" t="str">
        <f>IF(LEFT(CT!$D36,3)=NKTT!$G$2,CT!C36,"")</f>
        <v/>
      </c>
      <c r="D40" s="69">
        <f>IF(LEFT(CT!$D36,3)=NKTT!$G$2,CT!H36,0)</f>
        <v>0</v>
      </c>
      <c r="E40" s="69">
        <f>IF(AND(LEFT(CT!$D36,3)=NKTT!$G$2,LEFT(CT!$E36,3)=NKTT!$E$6),CT!$H36,0)</f>
        <v>0</v>
      </c>
      <c r="F40" s="69">
        <f>IF(AND(LEFT(CT!$D36,3)=NKTT!$G$2,LEFT(CT!$E36,3)=NKTT!$F$6),CT!$H36,0)</f>
        <v>0</v>
      </c>
      <c r="G40" s="69">
        <f>IF(AND(LEFT(CT!$D36,3)=NKTT!$G$2,LEFT(CT!$E36,3)=NKTT!$G$6),CT!$H36,0)</f>
        <v>0</v>
      </c>
      <c r="H40" s="69">
        <f>IF(AND(LEFT(CT!$D36,3)=NKTT!$G$2,LEFT(CT!$E36,3)=NKTT!$H$6),CT!$H36,0)</f>
        <v>0</v>
      </c>
      <c r="I40" s="69">
        <f t="shared" si="0"/>
        <v>0</v>
      </c>
      <c r="J40" s="69" t="str">
        <f>IF(I40&gt;0,CT!E36,"")</f>
        <v/>
      </c>
    </row>
    <row r="41" spans="1:10" hidden="1" x14ac:dyDescent="0.25">
      <c r="A41" s="68" t="str">
        <f>IF(LEFT(CT!$D37,3)=NKTT!$G$2,CT!A37,"")</f>
        <v/>
      </c>
      <c r="B41" s="68" t="str">
        <f>IF(LEFT(CT!$D37,3)=NKTT!$G$2,CT!B37,"")</f>
        <v/>
      </c>
      <c r="C41" s="68" t="str">
        <f>IF(LEFT(CT!$D37,3)=NKTT!$G$2,CT!C37,"")</f>
        <v/>
      </c>
      <c r="D41" s="69">
        <f>IF(LEFT(CT!$D37,3)=NKTT!$G$2,CT!H37,0)</f>
        <v>0</v>
      </c>
      <c r="E41" s="69">
        <f>IF(AND(LEFT(CT!$D37,3)=NKTT!$G$2,LEFT(CT!$E37,3)=NKTT!$E$6),CT!$H37,0)</f>
        <v>0</v>
      </c>
      <c r="F41" s="69">
        <f>IF(AND(LEFT(CT!$D37,3)=NKTT!$G$2,LEFT(CT!$E37,3)=NKTT!$F$6),CT!$H37,0)</f>
        <v>0</v>
      </c>
      <c r="G41" s="69">
        <f>IF(AND(LEFT(CT!$D37,3)=NKTT!$G$2,LEFT(CT!$E37,3)=NKTT!$G$6),CT!$H37,0)</f>
        <v>0</v>
      </c>
      <c r="H41" s="69">
        <f>IF(AND(LEFT(CT!$D37,3)=NKTT!$G$2,LEFT(CT!$E37,3)=NKTT!$H$6),CT!$H37,0)</f>
        <v>0</v>
      </c>
      <c r="I41" s="69">
        <f t="shared" si="0"/>
        <v>0</v>
      </c>
      <c r="J41" s="69" t="str">
        <f>IF(I41&gt;0,CT!E37,"")</f>
        <v/>
      </c>
    </row>
    <row r="42" spans="1:10" hidden="1" x14ac:dyDescent="0.25">
      <c r="A42" s="68" t="str">
        <f>IF(LEFT(CT!$D38,3)=NKTT!$G$2,CT!A38,"")</f>
        <v/>
      </c>
      <c r="B42" s="68" t="str">
        <f>IF(LEFT(CT!$D38,3)=NKTT!$G$2,CT!B38,"")</f>
        <v/>
      </c>
      <c r="C42" s="68" t="str">
        <f>IF(LEFT(CT!$D38,3)=NKTT!$G$2,CT!C38,"")</f>
        <v/>
      </c>
      <c r="D42" s="69">
        <f>IF(LEFT(CT!$D38,3)=NKTT!$G$2,CT!H38,0)</f>
        <v>0</v>
      </c>
      <c r="E42" s="69">
        <f>IF(AND(LEFT(CT!$D38,3)=NKTT!$G$2,LEFT(CT!$E38,3)=NKTT!$E$6),CT!$H38,0)</f>
        <v>0</v>
      </c>
      <c r="F42" s="69">
        <f>IF(AND(LEFT(CT!$D38,3)=NKTT!$G$2,LEFT(CT!$E38,3)=NKTT!$F$6),CT!$H38,0)</f>
        <v>0</v>
      </c>
      <c r="G42" s="69">
        <f>IF(AND(LEFT(CT!$D38,3)=NKTT!$G$2,LEFT(CT!$E38,3)=NKTT!$G$6),CT!$H38,0)</f>
        <v>0</v>
      </c>
      <c r="H42" s="69">
        <f>IF(AND(LEFT(CT!$D38,3)=NKTT!$G$2,LEFT(CT!$E38,3)=NKTT!$H$6),CT!$H38,0)</f>
        <v>0</v>
      </c>
      <c r="I42" s="69">
        <f t="shared" si="0"/>
        <v>0</v>
      </c>
      <c r="J42" s="69" t="str">
        <f>IF(I42&gt;0,CT!E38,"")</f>
        <v/>
      </c>
    </row>
    <row r="43" spans="1:10" hidden="1" x14ac:dyDescent="0.25">
      <c r="A43" s="68" t="str">
        <f>IF(LEFT(CT!$D39,3)=NKTT!$G$2,CT!A39,"")</f>
        <v/>
      </c>
      <c r="B43" s="68" t="str">
        <f>IF(LEFT(CT!$D39,3)=NKTT!$G$2,CT!B39,"")</f>
        <v/>
      </c>
      <c r="C43" s="68" t="str">
        <f>IF(LEFT(CT!$D39,3)=NKTT!$G$2,CT!C39,"")</f>
        <v/>
      </c>
      <c r="D43" s="69">
        <f>IF(LEFT(CT!$D39,3)=NKTT!$G$2,CT!H39,0)</f>
        <v>0</v>
      </c>
      <c r="E43" s="69">
        <f>IF(AND(LEFT(CT!$D39,3)=NKTT!$G$2,LEFT(CT!$E39,3)=NKTT!$E$6),CT!$H39,0)</f>
        <v>0</v>
      </c>
      <c r="F43" s="69">
        <f>IF(AND(LEFT(CT!$D39,3)=NKTT!$G$2,LEFT(CT!$E39,3)=NKTT!$F$6),CT!$H39,0)</f>
        <v>0</v>
      </c>
      <c r="G43" s="69">
        <f>IF(AND(LEFT(CT!$D39,3)=NKTT!$G$2,LEFT(CT!$E39,3)=NKTT!$G$6),CT!$H39,0)</f>
        <v>0</v>
      </c>
      <c r="H43" s="69">
        <f>IF(AND(LEFT(CT!$D39,3)=NKTT!$G$2,LEFT(CT!$E39,3)=NKTT!$H$6),CT!$H39,0)</f>
        <v>0</v>
      </c>
      <c r="I43" s="69">
        <f t="shared" si="0"/>
        <v>0</v>
      </c>
      <c r="J43" s="69" t="str">
        <f>IF(I43&gt;0,CT!E39,"")</f>
        <v/>
      </c>
    </row>
    <row r="44" spans="1:10" hidden="1" x14ac:dyDescent="0.25">
      <c r="A44" s="68" t="str">
        <f>IF(LEFT(CT!$D40,3)=NKTT!$G$2,CT!A40,"")</f>
        <v/>
      </c>
      <c r="B44" s="68" t="str">
        <f>IF(LEFT(CT!$D40,3)=NKTT!$G$2,CT!B40,"")</f>
        <v/>
      </c>
      <c r="C44" s="68" t="str">
        <f>IF(LEFT(CT!$D40,3)=NKTT!$G$2,CT!C40,"")</f>
        <v/>
      </c>
      <c r="D44" s="69">
        <f>IF(LEFT(CT!$D40,3)=NKTT!$G$2,CT!H40,0)</f>
        <v>0</v>
      </c>
      <c r="E44" s="69">
        <f>IF(AND(LEFT(CT!$D40,3)=NKTT!$G$2,LEFT(CT!$E40,3)=NKTT!$E$6),CT!$H40,0)</f>
        <v>0</v>
      </c>
      <c r="F44" s="69">
        <f>IF(AND(LEFT(CT!$D40,3)=NKTT!$G$2,LEFT(CT!$E40,3)=NKTT!$F$6),CT!$H40,0)</f>
        <v>0</v>
      </c>
      <c r="G44" s="69">
        <f>IF(AND(LEFT(CT!$D40,3)=NKTT!$G$2,LEFT(CT!$E40,3)=NKTT!$G$6),CT!$H40,0)</f>
        <v>0</v>
      </c>
      <c r="H44" s="69">
        <f>IF(AND(LEFT(CT!$D40,3)=NKTT!$G$2,LEFT(CT!$E40,3)=NKTT!$H$6),CT!$H40,0)</f>
        <v>0</v>
      </c>
      <c r="I44" s="69">
        <f t="shared" si="0"/>
        <v>0</v>
      </c>
      <c r="J44" s="69" t="str">
        <f>IF(I44&gt;0,CT!E40,"")</f>
        <v/>
      </c>
    </row>
    <row r="45" spans="1:10" hidden="1" x14ac:dyDescent="0.25">
      <c r="A45" s="68" t="str">
        <f>IF(LEFT(CT!$D41,3)=NKTT!$G$2,CT!A41,"")</f>
        <v/>
      </c>
      <c r="B45" s="68" t="str">
        <f>IF(LEFT(CT!$D41,3)=NKTT!$G$2,CT!B41,"")</f>
        <v/>
      </c>
      <c r="C45" s="68" t="str">
        <f>IF(LEFT(CT!$D41,3)=NKTT!$G$2,CT!C41,"")</f>
        <v/>
      </c>
      <c r="D45" s="69">
        <f>IF(LEFT(CT!$D41,3)=NKTT!$G$2,CT!H41,0)</f>
        <v>0</v>
      </c>
      <c r="E45" s="69">
        <f>IF(AND(LEFT(CT!$D41,3)=NKTT!$G$2,LEFT(CT!$E41,3)=NKTT!$E$6),CT!$H41,0)</f>
        <v>0</v>
      </c>
      <c r="F45" s="69">
        <f>IF(AND(LEFT(CT!$D41,3)=NKTT!$G$2,LEFT(CT!$E41,3)=NKTT!$F$6),CT!$H41,0)</f>
        <v>0</v>
      </c>
      <c r="G45" s="69">
        <f>IF(AND(LEFT(CT!$D41,3)=NKTT!$G$2,LEFT(CT!$E41,3)=NKTT!$G$6),CT!$H41,0)</f>
        <v>0</v>
      </c>
      <c r="H45" s="69">
        <f>IF(AND(LEFT(CT!$D41,3)=NKTT!$G$2,LEFT(CT!$E41,3)=NKTT!$H$6),CT!$H41,0)</f>
        <v>0</v>
      </c>
      <c r="I45" s="69">
        <f t="shared" si="0"/>
        <v>0</v>
      </c>
      <c r="J45" s="69" t="str">
        <f>IF(I45&gt;0,CT!E41,"")</f>
        <v/>
      </c>
    </row>
    <row r="46" spans="1:10" hidden="1" x14ac:dyDescent="0.25">
      <c r="A46" s="68" t="str">
        <f>IF(LEFT(CT!$D42,3)=NKTT!$G$2,CT!A42,"")</f>
        <v/>
      </c>
      <c r="B46" s="68" t="str">
        <f>IF(LEFT(CT!$D42,3)=NKTT!$G$2,CT!B42,"")</f>
        <v/>
      </c>
      <c r="C46" s="68" t="str">
        <f>IF(LEFT(CT!$D42,3)=NKTT!$G$2,CT!C42,"")</f>
        <v/>
      </c>
      <c r="D46" s="69">
        <f>IF(LEFT(CT!$D42,3)=NKTT!$G$2,CT!H42,0)</f>
        <v>0</v>
      </c>
      <c r="E46" s="69">
        <f>IF(AND(LEFT(CT!$D42,3)=NKTT!$G$2,LEFT(CT!$E42,3)=NKTT!$E$6),CT!$H42,0)</f>
        <v>0</v>
      </c>
      <c r="F46" s="69">
        <f>IF(AND(LEFT(CT!$D42,3)=NKTT!$G$2,LEFT(CT!$E42,3)=NKTT!$F$6),CT!$H42,0)</f>
        <v>0</v>
      </c>
      <c r="G46" s="69">
        <f>IF(AND(LEFT(CT!$D42,3)=NKTT!$G$2,LEFT(CT!$E42,3)=NKTT!$G$6),CT!$H42,0)</f>
        <v>0</v>
      </c>
      <c r="H46" s="69">
        <f>IF(AND(LEFT(CT!$D42,3)=NKTT!$G$2,LEFT(CT!$E42,3)=NKTT!$H$6),CT!$H42,0)</f>
        <v>0</v>
      </c>
      <c r="I46" s="69">
        <f t="shared" si="0"/>
        <v>0</v>
      </c>
      <c r="J46" s="69" t="str">
        <f>IF(I46&gt;0,CT!E42,"")</f>
        <v/>
      </c>
    </row>
    <row r="47" spans="1:10" hidden="1" x14ac:dyDescent="0.25">
      <c r="A47" s="68" t="str">
        <f>IF(LEFT(CT!$D43,3)=NKTT!$G$2,CT!A43,"")</f>
        <v/>
      </c>
      <c r="B47" s="68" t="str">
        <f>IF(LEFT(CT!$D43,3)=NKTT!$G$2,CT!B43,"")</f>
        <v/>
      </c>
      <c r="C47" s="68" t="str">
        <f>IF(LEFT(CT!$D43,3)=NKTT!$G$2,CT!C43,"")</f>
        <v/>
      </c>
      <c r="D47" s="69">
        <f>IF(LEFT(CT!$D43,3)=NKTT!$G$2,CT!H43,0)</f>
        <v>0</v>
      </c>
      <c r="E47" s="69">
        <f>IF(AND(LEFT(CT!$D43,3)=NKTT!$G$2,LEFT(CT!$E43,3)=NKTT!$E$6),CT!$H43,0)</f>
        <v>0</v>
      </c>
      <c r="F47" s="69">
        <f>IF(AND(LEFT(CT!$D43,3)=NKTT!$G$2,LEFT(CT!$E43,3)=NKTT!$F$6),CT!$H43,0)</f>
        <v>0</v>
      </c>
      <c r="G47" s="69">
        <f>IF(AND(LEFT(CT!$D43,3)=NKTT!$G$2,LEFT(CT!$E43,3)=NKTT!$G$6),CT!$H43,0)</f>
        <v>0</v>
      </c>
      <c r="H47" s="69">
        <f>IF(AND(LEFT(CT!$D43,3)=NKTT!$G$2,LEFT(CT!$E43,3)=NKTT!$H$6),CT!$H43,0)</f>
        <v>0</v>
      </c>
      <c r="I47" s="69">
        <f t="shared" si="0"/>
        <v>0</v>
      </c>
      <c r="J47" s="69" t="str">
        <f>IF(I47&gt;0,CT!E43,"")</f>
        <v/>
      </c>
    </row>
    <row r="48" spans="1:10" hidden="1" x14ac:dyDescent="0.25">
      <c r="A48" s="68" t="str">
        <f>IF(LEFT(CT!$D44,3)=NKTT!$G$2,CT!A44,"")</f>
        <v/>
      </c>
      <c r="B48" s="68" t="str">
        <f>IF(LEFT(CT!$D44,3)=NKTT!$G$2,CT!B44,"")</f>
        <v/>
      </c>
      <c r="C48" s="68" t="str">
        <f>IF(LEFT(CT!$D44,3)=NKTT!$G$2,CT!C44,"")</f>
        <v/>
      </c>
      <c r="D48" s="69">
        <f>IF(LEFT(CT!$D44,3)=NKTT!$G$2,CT!H44,0)</f>
        <v>0</v>
      </c>
      <c r="E48" s="69">
        <f>IF(AND(LEFT(CT!$D44,3)=NKTT!$G$2,LEFT(CT!$E44,3)=NKTT!$E$6),CT!$H44,0)</f>
        <v>0</v>
      </c>
      <c r="F48" s="69">
        <f>IF(AND(LEFT(CT!$D44,3)=NKTT!$G$2,LEFT(CT!$E44,3)=NKTT!$F$6),CT!$H44,0)</f>
        <v>0</v>
      </c>
      <c r="G48" s="69">
        <f>IF(AND(LEFT(CT!$D44,3)=NKTT!$G$2,LEFT(CT!$E44,3)=NKTT!$G$6),CT!$H44,0)</f>
        <v>0</v>
      </c>
      <c r="H48" s="69">
        <f>IF(AND(LEFT(CT!$D44,3)=NKTT!$G$2,LEFT(CT!$E44,3)=NKTT!$H$6),CT!$H44,0)</f>
        <v>0</v>
      </c>
      <c r="I48" s="69">
        <f t="shared" si="0"/>
        <v>0</v>
      </c>
      <c r="J48" s="69" t="str">
        <f>IF(I48&gt;0,CT!E44,"")</f>
        <v/>
      </c>
    </row>
    <row r="49" spans="1:10" hidden="1" x14ac:dyDescent="0.25">
      <c r="A49" s="68" t="str">
        <f>IF(LEFT(CT!$D45,3)=NKTT!$G$2,CT!A45,"")</f>
        <v/>
      </c>
      <c r="B49" s="68" t="str">
        <f>IF(LEFT(CT!$D45,3)=NKTT!$G$2,CT!B45,"")</f>
        <v/>
      </c>
      <c r="C49" s="68" t="str">
        <f>IF(LEFT(CT!$D45,3)=NKTT!$G$2,CT!C45,"")</f>
        <v/>
      </c>
      <c r="D49" s="69">
        <f>IF(LEFT(CT!$D45,3)=NKTT!$G$2,CT!H45,0)</f>
        <v>0</v>
      </c>
      <c r="E49" s="69">
        <f>IF(AND(LEFT(CT!$D45,3)=NKTT!$G$2,LEFT(CT!$E45,3)=NKTT!$E$6),CT!$H45,0)</f>
        <v>0</v>
      </c>
      <c r="F49" s="69">
        <f>IF(AND(LEFT(CT!$D45,3)=NKTT!$G$2,LEFT(CT!$E45,3)=NKTT!$F$6),CT!$H45,0)</f>
        <v>0</v>
      </c>
      <c r="G49" s="69">
        <f>IF(AND(LEFT(CT!$D45,3)=NKTT!$G$2,LEFT(CT!$E45,3)=NKTT!$G$6),CT!$H45,0)</f>
        <v>0</v>
      </c>
      <c r="H49" s="69">
        <f>IF(AND(LEFT(CT!$D45,3)=NKTT!$G$2,LEFT(CT!$E45,3)=NKTT!$H$6),CT!$H45,0)</f>
        <v>0</v>
      </c>
      <c r="I49" s="69">
        <f t="shared" si="0"/>
        <v>0</v>
      </c>
      <c r="J49" s="69" t="str">
        <f>IF(I49&gt;0,CT!E45,"")</f>
        <v/>
      </c>
    </row>
    <row r="50" spans="1:10" hidden="1" x14ac:dyDescent="0.25">
      <c r="A50" s="68" t="str">
        <f>IF(LEFT(CT!$D46,3)=NKTT!$G$2,CT!A46,"")</f>
        <v/>
      </c>
      <c r="B50" s="68" t="str">
        <f>IF(LEFT(CT!$D46,3)=NKTT!$G$2,CT!B46,"")</f>
        <v/>
      </c>
      <c r="C50" s="68" t="str">
        <f>IF(LEFT(CT!$D46,3)=NKTT!$G$2,CT!C46,"")</f>
        <v/>
      </c>
      <c r="D50" s="69">
        <f>IF(LEFT(CT!$D46,3)=NKTT!$G$2,CT!H46,0)</f>
        <v>0</v>
      </c>
      <c r="E50" s="69">
        <f>IF(AND(LEFT(CT!$D46,3)=NKTT!$G$2,LEFT(CT!$E46,3)=NKTT!$E$6),CT!$H46,0)</f>
        <v>0</v>
      </c>
      <c r="F50" s="69">
        <f>IF(AND(LEFT(CT!$D46,3)=NKTT!$G$2,LEFT(CT!$E46,3)=NKTT!$F$6),CT!$H46,0)</f>
        <v>0</v>
      </c>
      <c r="G50" s="69">
        <f>IF(AND(LEFT(CT!$D46,3)=NKTT!$G$2,LEFT(CT!$E46,3)=NKTT!$G$6),CT!$H46,0)</f>
        <v>0</v>
      </c>
      <c r="H50" s="69">
        <f>IF(AND(LEFT(CT!$D46,3)=NKTT!$G$2,LEFT(CT!$E46,3)=NKTT!$H$6),CT!$H46,0)</f>
        <v>0</v>
      </c>
      <c r="I50" s="69">
        <f t="shared" si="0"/>
        <v>0</v>
      </c>
      <c r="J50" s="69" t="str">
        <f>IF(I50&gt;0,CT!E46,"")</f>
        <v/>
      </c>
    </row>
    <row r="51" spans="1:10" hidden="1" x14ac:dyDescent="0.25">
      <c r="A51" s="68" t="str">
        <f>IF(LEFT(CT!$D47,3)=NKTT!$G$2,CT!A47,"")</f>
        <v/>
      </c>
      <c r="B51" s="68" t="str">
        <f>IF(LEFT(CT!$D47,3)=NKTT!$G$2,CT!B47,"")</f>
        <v/>
      </c>
      <c r="C51" s="68" t="str">
        <f>IF(LEFT(CT!$D47,3)=NKTT!$G$2,CT!C47,"")</f>
        <v/>
      </c>
      <c r="D51" s="69">
        <f>IF(LEFT(CT!$D47,3)=NKTT!$G$2,CT!H47,0)</f>
        <v>0</v>
      </c>
      <c r="E51" s="69">
        <f>IF(AND(LEFT(CT!$D47,3)=NKTT!$G$2,LEFT(CT!$E47,3)=NKTT!$E$6),CT!$H47,0)</f>
        <v>0</v>
      </c>
      <c r="F51" s="69">
        <f>IF(AND(LEFT(CT!$D47,3)=NKTT!$G$2,LEFT(CT!$E47,3)=NKTT!$F$6),CT!$H47,0)</f>
        <v>0</v>
      </c>
      <c r="G51" s="69">
        <f>IF(AND(LEFT(CT!$D47,3)=NKTT!$G$2,LEFT(CT!$E47,3)=NKTT!$G$6),CT!$H47,0)</f>
        <v>0</v>
      </c>
      <c r="H51" s="69">
        <f>IF(AND(LEFT(CT!$D47,3)=NKTT!$G$2,LEFT(CT!$E47,3)=NKTT!$H$6),CT!$H47,0)</f>
        <v>0</v>
      </c>
      <c r="I51" s="69">
        <f t="shared" si="0"/>
        <v>0</v>
      </c>
      <c r="J51" s="69" t="str">
        <f>IF(I51&gt;0,CT!E47,"")</f>
        <v/>
      </c>
    </row>
    <row r="52" spans="1:10" hidden="1" x14ac:dyDescent="0.25">
      <c r="A52" s="68" t="str">
        <f>IF(LEFT(CT!$D48,3)=NKTT!$G$2,CT!A48,"")</f>
        <v/>
      </c>
      <c r="B52" s="68" t="str">
        <f>IF(LEFT(CT!$D48,3)=NKTT!$G$2,CT!B48,"")</f>
        <v/>
      </c>
      <c r="C52" s="68" t="str">
        <f>IF(LEFT(CT!$D48,3)=NKTT!$G$2,CT!C48,"")</f>
        <v/>
      </c>
      <c r="D52" s="69">
        <f>IF(LEFT(CT!$D48,3)=NKTT!$G$2,CT!H48,0)</f>
        <v>0</v>
      </c>
      <c r="E52" s="69">
        <f>IF(AND(LEFT(CT!$D48,3)=NKTT!$G$2,LEFT(CT!$E48,3)=NKTT!$E$6),CT!$H48,0)</f>
        <v>0</v>
      </c>
      <c r="F52" s="69">
        <f>IF(AND(LEFT(CT!$D48,3)=NKTT!$G$2,LEFT(CT!$E48,3)=NKTT!$F$6),CT!$H48,0)</f>
        <v>0</v>
      </c>
      <c r="G52" s="69">
        <f>IF(AND(LEFT(CT!$D48,3)=NKTT!$G$2,LEFT(CT!$E48,3)=NKTT!$G$6),CT!$H48,0)</f>
        <v>0</v>
      </c>
      <c r="H52" s="69">
        <f>IF(AND(LEFT(CT!$D48,3)=NKTT!$G$2,LEFT(CT!$E48,3)=NKTT!$H$6),CT!$H48,0)</f>
        <v>0</v>
      </c>
      <c r="I52" s="69">
        <f t="shared" si="0"/>
        <v>0</v>
      </c>
      <c r="J52" s="69" t="str">
        <f>IF(I52&gt;0,CT!E48,"")</f>
        <v/>
      </c>
    </row>
    <row r="53" spans="1:10" hidden="1" x14ac:dyDescent="0.25">
      <c r="A53" s="68" t="str">
        <f>IF(LEFT(CT!$D49,3)=NKTT!$G$2,CT!A49,"")</f>
        <v/>
      </c>
      <c r="B53" s="68" t="str">
        <f>IF(LEFT(CT!$D49,3)=NKTT!$G$2,CT!B49,"")</f>
        <v/>
      </c>
      <c r="C53" s="68" t="str">
        <f>IF(LEFT(CT!$D49,3)=NKTT!$G$2,CT!C49,"")</f>
        <v/>
      </c>
      <c r="D53" s="69">
        <f>IF(LEFT(CT!$D49,3)=NKTT!$G$2,CT!H49,0)</f>
        <v>0</v>
      </c>
      <c r="E53" s="69">
        <f>IF(AND(LEFT(CT!$D49,3)=NKTT!$G$2,LEFT(CT!$E49,3)=NKTT!$E$6),CT!$H49,0)</f>
        <v>0</v>
      </c>
      <c r="F53" s="69">
        <f>IF(AND(LEFT(CT!$D49,3)=NKTT!$G$2,LEFT(CT!$E49,3)=NKTT!$F$6),CT!$H49,0)</f>
        <v>0</v>
      </c>
      <c r="G53" s="69">
        <f>IF(AND(LEFT(CT!$D49,3)=NKTT!$G$2,LEFT(CT!$E49,3)=NKTT!$G$6),CT!$H49,0)</f>
        <v>0</v>
      </c>
      <c r="H53" s="69">
        <f>IF(AND(LEFT(CT!$D49,3)=NKTT!$G$2,LEFT(CT!$E49,3)=NKTT!$H$6),CT!$H49,0)</f>
        <v>0</v>
      </c>
      <c r="I53" s="69">
        <f t="shared" si="0"/>
        <v>0</v>
      </c>
      <c r="J53" s="69" t="str">
        <f>IF(I53&gt;0,CT!E49,"")</f>
        <v/>
      </c>
    </row>
    <row r="54" spans="1:10" hidden="1" x14ac:dyDescent="0.25">
      <c r="A54" s="68" t="str">
        <f>IF(LEFT(CT!$D50,3)=NKTT!$G$2,CT!A50,"")</f>
        <v/>
      </c>
      <c r="B54" s="68" t="str">
        <f>IF(LEFT(CT!$D50,3)=NKTT!$G$2,CT!B50,"")</f>
        <v/>
      </c>
      <c r="C54" s="68" t="str">
        <f>IF(LEFT(CT!$D50,3)=NKTT!$G$2,CT!C50,"")</f>
        <v/>
      </c>
      <c r="D54" s="69">
        <f>IF(LEFT(CT!$D50,3)=NKTT!$G$2,CT!H50,0)</f>
        <v>0</v>
      </c>
      <c r="E54" s="69">
        <f>IF(AND(LEFT(CT!$D50,3)=NKTT!$G$2,LEFT(CT!$E50,3)=NKTT!$E$6),CT!$H50,0)</f>
        <v>0</v>
      </c>
      <c r="F54" s="69">
        <f>IF(AND(LEFT(CT!$D50,3)=NKTT!$G$2,LEFT(CT!$E50,3)=NKTT!$F$6),CT!$H50,0)</f>
        <v>0</v>
      </c>
      <c r="G54" s="69">
        <f>IF(AND(LEFT(CT!$D50,3)=NKTT!$G$2,LEFT(CT!$E50,3)=NKTT!$G$6),CT!$H50,0)</f>
        <v>0</v>
      </c>
      <c r="H54" s="69">
        <f>IF(AND(LEFT(CT!$D50,3)=NKTT!$G$2,LEFT(CT!$E50,3)=NKTT!$H$6),CT!$H50,0)</f>
        <v>0</v>
      </c>
      <c r="I54" s="69">
        <f t="shared" si="0"/>
        <v>0</v>
      </c>
      <c r="J54" s="69" t="str">
        <f>IF(I54&gt;0,CT!E50,"")</f>
        <v/>
      </c>
    </row>
    <row r="55" spans="1:10" x14ac:dyDescent="0.25">
      <c r="A55" s="68">
        <f>IF(LEFT(CT!$D51,3)=NKTT!$G$2,CT!A51,"")</f>
        <v>45319</v>
      </c>
      <c r="B55" s="68" t="str">
        <f>IF(LEFT(CT!$D51,3)=NKTT!$G$2,CT!B51,"")</f>
        <v>01/TU</v>
      </c>
      <c r="C55" s="68" t="str">
        <f>IF(LEFT(CT!$D51,3)=NKTT!$G$2,CT!C51,"")</f>
        <v>Thanh toán tạm ứng Hồ Sĩ Nhật</v>
      </c>
      <c r="D55" s="69">
        <f>IF(LEFT(CT!$D51,3)=NKTT!$G$2,CT!H51,0)</f>
        <v>200000</v>
      </c>
      <c r="E55" s="69">
        <f>IF(AND(LEFT(CT!$D51,3)=NKTT!$G$2,LEFT(CT!$E51,3)=NKTT!$E$6),CT!$H51,0)</f>
        <v>0</v>
      </c>
      <c r="F55" s="69">
        <f>IF(AND(LEFT(CT!$D51,3)=NKTT!$G$2,LEFT(CT!$E51,3)=NKTT!$F$6),CT!$H51,0)</f>
        <v>0</v>
      </c>
      <c r="G55" s="69">
        <f>IF(AND(LEFT(CT!$D51,3)=NKTT!$G$2,LEFT(CT!$E51,3)=NKTT!$G$6),CT!$H51,0)</f>
        <v>200000</v>
      </c>
      <c r="H55" s="69">
        <f>IF(AND(LEFT(CT!$D51,3)=NKTT!$G$2,LEFT(CT!$E51,3)=NKTT!$H$6),CT!$H51,0)</f>
        <v>0</v>
      </c>
      <c r="I55" s="69">
        <f t="shared" si="0"/>
        <v>0</v>
      </c>
      <c r="J55" s="69" t="str">
        <f>IF(I55&gt;0,CT!E51,"")</f>
        <v/>
      </c>
    </row>
    <row r="56" spans="1:10" hidden="1" x14ac:dyDescent="0.25">
      <c r="A56" s="68" t="str">
        <f>IF(LEFT(CT!$D52,3)=NKTT!$G$2,CT!A52,"")</f>
        <v/>
      </c>
      <c r="B56" s="68" t="str">
        <f>IF(LEFT(CT!$D52,3)=NKTT!$G$2,CT!B52,"")</f>
        <v/>
      </c>
      <c r="C56" s="68" t="str">
        <f>IF(LEFT(CT!$D52,3)=NKTT!$G$2,CT!C52,"")</f>
        <v/>
      </c>
      <c r="D56" s="69">
        <f>IF(LEFT(CT!$D52,3)=NKTT!$G$2,CT!H52,0)</f>
        <v>0</v>
      </c>
      <c r="E56" s="69">
        <f>IF(AND(LEFT(CT!$D52,3)=NKTT!$G$2,LEFT(CT!$E52,3)=NKTT!$E$6),CT!$H52,0)</f>
        <v>0</v>
      </c>
      <c r="F56" s="69">
        <f>IF(AND(LEFT(CT!$D52,3)=NKTT!$G$2,LEFT(CT!$E52,3)=NKTT!$F$6),CT!$H52,0)</f>
        <v>0</v>
      </c>
      <c r="G56" s="69">
        <f>IF(AND(LEFT(CT!$D52,3)=NKTT!$G$2,LEFT(CT!$E52,3)=NKTT!$G$6),CT!$H52,0)</f>
        <v>0</v>
      </c>
      <c r="H56" s="69">
        <f>IF(AND(LEFT(CT!$D52,3)=NKTT!$G$2,LEFT(CT!$E52,3)=NKTT!$H$6),CT!$H52,0)</f>
        <v>0</v>
      </c>
      <c r="I56" s="69">
        <f t="shared" si="0"/>
        <v>0</v>
      </c>
      <c r="J56" s="69" t="str">
        <f>IF(I56&gt;0,CT!E52,"")</f>
        <v/>
      </c>
    </row>
    <row r="57" spans="1:10" hidden="1" x14ac:dyDescent="0.25">
      <c r="A57" s="68" t="str">
        <f>IF(LEFT(CT!$D53,3)=NKTT!$G$2,CT!A53,"")</f>
        <v/>
      </c>
      <c r="B57" s="68" t="str">
        <f>IF(LEFT(CT!$D53,3)=NKTT!$G$2,CT!B53,"")</f>
        <v/>
      </c>
      <c r="C57" s="68" t="str">
        <f>IF(LEFT(CT!$D53,3)=NKTT!$G$2,CT!C53,"")</f>
        <v/>
      </c>
      <c r="D57" s="69">
        <f>IF(LEFT(CT!$D53,3)=NKTT!$G$2,CT!H53,0)</f>
        <v>0</v>
      </c>
      <c r="E57" s="69">
        <f>IF(AND(LEFT(CT!$D53,3)=NKTT!$G$2,LEFT(CT!$E53,3)=NKTT!$E$6),CT!$H53,0)</f>
        <v>0</v>
      </c>
      <c r="F57" s="69">
        <f>IF(AND(LEFT(CT!$D53,3)=NKTT!$G$2,LEFT(CT!$E53,3)=NKTT!$F$6),CT!$H53,0)</f>
        <v>0</v>
      </c>
      <c r="G57" s="69">
        <f>IF(AND(LEFT(CT!$D53,3)=NKTT!$G$2,LEFT(CT!$E53,3)=NKTT!$G$6),CT!$H53,0)</f>
        <v>0</v>
      </c>
      <c r="H57" s="69">
        <f>IF(AND(LEFT(CT!$D53,3)=NKTT!$G$2,LEFT(CT!$E53,3)=NKTT!$H$6),CT!$H53,0)</f>
        <v>0</v>
      </c>
      <c r="I57" s="69">
        <f t="shared" si="0"/>
        <v>0</v>
      </c>
      <c r="J57" s="69" t="str">
        <f>IF(I57&gt;0,CT!E53,"")</f>
        <v/>
      </c>
    </row>
    <row r="58" spans="1:10" hidden="1" x14ac:dyDescent="0.25">
      <c r="A58" s="68" t="str">
        <f>IF(LEFT(CT!$D54,3)=NKTT!$G$2,CT!A54,"")</f>
        <v/>
      </c>
      <c r="B58" s="68" t="str">
        <f>IF(LEFT(CT!$D54,3)=NKTT!$G$2,CT!B54,"")</f>
        <v/>
      </c>
      <c r="C58" s="68" t="str">
        <f>IF(LEFT(CT!$D54,3)=NKTT!$G$2,CT!C54,"")</f>
        <v/>
      </c>
      <c r="D58" s="69">
        <f>IF(LEFT(CT!$D54,3)=NKTT!$G$2,CT!H54,0)</f>
        <v>0</v>
      </c>
      <c r="E58" s="69">
        <f>IF(AND(LEFT(CT!$D54,3)=NKTT!$G$2,LEFT(CT!$E54,3)=NKTT!$E$6),CT!$H54,0)</f>
        <v>0</v>
      </c>
      <c r="F58" s="69">
        <f>IF(AND(LEFT(CT!$D54,3)=NKTT!$G$2,LEFT(CT!$E54,3)=NKTT!$F$6),CT!$H54,0)</f>
        <v>0</v>
      </c>
      <c r="G58" s="69">
        <f>IF(AND(LEFT(CT!$D54,3)=NKTT!$G$2,LEFT(CT!$E54,3)=NKTT!$G$6),CT!$H54,0)</f>
        <v>0</v>
      </c>
      <c r="H58" s="69">
        <f>IF(AND(LEFT(CT!$D54,3)=NKTT!$G$2,LEFT(CT!$E54,3)=NKTT!$H$6),CT!$H54,0)</f>
        <v>0</v>
      </c>
      <c r="I58" s="69">
        <f t="shared" si="0"/>
        <v>0</v>
      </c>
      <c r="J58" s="69" t="str">
        <f>IF(I58&gt;0,CT!E54,"")</f>
        <v/>
      </c>
    </row>
    <row r="59" spans="1:10" hidden="1" x14ac:dyDescent="0.25">
      <c r="A59" s="68" t="str">
        <f>IF(LEFT(CT!$D55,3)=NKTT!$G$2,CT!A55,"")</f>
        <v/>
      </c>
      <c r="B59" s="68" t="str">
        <f>IF(LEFT(CT!$D55,3)=NKTT!$G$2,CT!B55,"")</f>
        <v/>
      </c>
      <c r="C59" s="68" t="str">
        <f>IF(LEFT(CT!$D55,3)=NKTT!$G$2,CT!C55,"")</f>
        <v/>
      </c>
      <c r="D59" s="69">
        <f>IF(LEFT(CT!$D55,3)=NKTT!$G$2,CT!H55,0)</f>
        <v>0</v>
      </c>
      <c r="E59" s="69">
        <f>IF(AND(LEFT(CT!$D55,3)=NKTT!$G$2,LEFT(CT!$E55,3)=NKTT!$E$6),CT!$H55,0)</f>
        <v>0</v>
      </c>
      <c r="F59" s="69">
        <f>IF(AND(LEFT(CT!$D55,3)=NKTT!$G$2,LEFT(CT!$E55,3)=NKTT!$F$6),CT!$H55,0)</f>
        <v>0</v>
      </c>
      <c r="G59" s="69">
        <f>IF(AND(LEFT(CT!$D55,3)=NKTT!$G$2,LEFT(CT!$E55,3)=NKTT!$G$6),CT!$H55,0)</f>
        <v>0</v>
      </c>
      <c r="H59" s="69">
        <f>IF(AND(LEFT(CT!$D55,3)=NKTT!$G$2,LEFT(CT!$E55,3)=NKTT!$H$6),CT!$H55,0)</f>
        <v>0</v>
      </c>
      <c r="I59" s="69">
        <f t="shared" si="0"/>
        <v>0</v>
      </c>
      <c r="J59" s="69" t="str">
        <f>IF(I59&gt;0,CT!E55,"")</f>
        <v/>
      </c>
    </row>
    <row r="60" spans="1:10" hidden="1" x14ac:dyDescent="0.25">
      <c r="A60" s="68" t="str">
        <f>IF(LEFT(CT!$D56,3)=NKTT!$G$2,CT!A56,"")</f>
        <v/>
      </c>
      <c r="B60" s="68" t="str">
        <f>IF(LEFT(CT!$D56,3)=NKTT!$G$2,CT!B56,"")</f>
        <v/>
      </c>
      <c r="C60" s="68" t="str">
        <f>IF(LEFT(CT!$D56,3)=NKTT!$G$2,CT!C56,"")</f>
        <v/>
      </c>
      <c r="D60" s="69">
        <f>IF(LEFT(CT!$D56,3)=NKTT!$G$2,CT!H56,0)</f>
        <v>0</v>
      </c>
      <c r="E60" s="69">
        <f>IF(AND(LEFT(CT!$D56,3)=NKTT!$G$2,LEFT(CT!$E56,3)=NKTT!$E$6),CT!$H56,0)</f>
        <v>0</v>
      </c>
      <c r="F60" s="69">
        <f>IF(AND(LEFT(CT!$D56,3)=NKTT!$G$2,LEFT(CT!$E56,3)=NKTT!$F$6),CT!$H56,0)</f>
        <v>0</v>
      </c>
      <c r="G60" s="69">
        <f>IF(AND(LEFT(CT!$D56,3)=NKTT!$G$2,LEFT(CT!$E56,3)=NKTT!$G$6),CT!$H56,0)</f>
        <v>0</v>
      </c>
      <c r="H60" s="69">
        <f>IF(AND(LEFT(CT!$D56,3)=NKTT!$G$2,LEFT(CT!$E56,3)=NKTT!$H$6),CT!$H56,0)</f>
        <v>0</v>
      </c>
      <c r="I60" s="69">
        <f t="shared" si="0"/>
        <v>0</v>
      </c>
      <c r="J60" s="69" t="str">
        <f>IF(I60&gt;0,CT!E56,"")</f>
        <v/>
      </c>
    </row>
    <row r="61" spans="1:10" hidden="1" x14ac:dyDescent="0.25">
      <c r="A61" s="68" t="str">
        <f>IF(LEFT(CT!$D57,3)=NKTT!$G$2,CT!A57,"")</f>
        <v/>
      </c>
      <c r="B61" s="68" t="str">
        <f>IF(LEFT(CT!$D57,3)=NKTT!$G$2,CT!B57,"")</f>
        <v/>
      </c>
      <c r="C61" s="68" t="str">
        <f>IF(LEFT(CT!$D57,3)=NKTT!$G$2,CT!C57,"")</f>
        <v/>
      </c>
      <c r="D61" s="69">
        <f>IF(LEFT(CT!$D57,3)=NKTT!$G$2,CT!H57,0)</f>
        <v>0</v>
      </c>
      <c r="E61" s="69">
        <f>IF(AND(LEFT(CT!$D57,3)=NKTT!$G$2,LEFT(CT!$E57,3)=NKTT!$E$6),CT!$H57,0)</f>
        <v>0</v>
      </c>
      <c r="F61" s="69">
        <f>IF(AND(LEFT(CT!$D57,3)=NKTT!$G$2,LEFT(CT!$E57,3)=NKTT!$F$6),CT!$H57,0)</f>
        <v>0</v>
      </c>
      <c r="G61" s="69">
        <f>IF(AND(LEFT(CT!$D57,3)=NKTT!$G$2,LEFT(CT!$E57,3)=NKTT!$G$6),CT!$H57,0)</f>
        <v>0</v>
      </c>
      <c r="H61" s="69">
        <f>IF(AND(LEFT(CT!$D57,3)=NKTT!$G$2,LEFT(CT!$E57,3)=NKTT!$H$6),CT!$H57,0)</f>
        <v>0</v>
      </c>
      <c r="I61" s="69">
        <f t="shared" si="0"/>
        <v>0</v>
      </c>
      <c r="J61" s="69" t="str">
        <f>IF(I61&gt;0,CT!E57,"")</f>
        <v/>
      </c>
    </row>
    <row r="62" spans="1:10" hidden="1" x14ac:dyDescent="0.25">
      <c r="A62" s="68" t="str">
        <f>IF(LEFT(CT!$D58,3)=NKTT!$G$2,CT!A58,"")</f>
        <v/>
      </c>
      <c r="B62" s="68" t="str">
        <f>IF(LEFT(CT!$D58,3)=NKTT!$G$2,CT!B58,"")</f>
        <v/>
      </c>
      <c r="C62" s="68" t="str">
        <f>IF(LEFT(CT!$D58,3)=NKTT!$G$2,CT!C58,"")</f>
        <v/>
      </c>
      <c r="D62" s="69">
        <f>IF(LEFT(CT!$D58,3)=NKTT!$G$2,CT!H58,0)</f>
        <v>0</v>
      </c>
      <c r="E62" s="69">
        <f>IF(AND(LEFT(CT!$D58,3)=NKTT!$G$2,LEFT(CT!$E58,3)=NKTT!$E$6),CT!$H58,0)</f>
        <v>0</v>
      </c>
      <c r="F62" s="69">
        <f>IF(AND(LEFT(CT!$D58,3)=NKTT!$G$2,LEFT(CT!$E58,3)=NKTT!$F$6),CT!$H58,0)</f>
        <v>0</v>
      </c>
      <c r="G62" s="69">
        <f>IF(AND(LEFT(CT!$D58,3)=NKTT!$G$2,LEFT(CT!$E58,3)=NKTT!$G$6),CT!$H58,0)</f>
        <v>0</v>
      </c>
      <c r="H62" s="69">
        <f>IF(AND(LEFT(CT!$D58,3)=NKTT!$G$2,LEFT(CT!$E58,3)=NKTT!$H$6),CT!$H58,0)</f>
        <v>0</v>
      </c>
      <c r="I62" s="69">
        <f t="shared" si="0"/>
        <v>0</v>
      </c>
      <c r="J62" s="69" t="str">
        <f>IF(I62&gt;0,CT!E58,"")</f>
        <v/>
      </c>
    </row>
    <row r="63" spans="1:10" hidden="1" x14ac:dyDescent="0.25">
      <c r="A63" s="68" t="str">
        <f>IF(LEFT(CT!$D59,3)=NKTT!$G$2,CT!A59,"")</f>
        <v/>
      </c>
      <c r="B63" s="68" t="str">
        <f>IF(LEFT(CT!$D59,3)=NKTT!$G$2,CT!B59,"")</f>
        <v/>
      </c>
      <c r="C63" s="68" t="str">
        <f>IF(LEFT(CT!$D59,3)=NKTT!$G$2,CT!C59,"")</f>
        <v/>
      </c>
      <c r="D63" s="69">
        <f>IF(LEFT(CT!$D59,3)=NKTT!$G$2,CT!H59,0)</f>
        <v>0</v>
      </c>
      <c r="E63" s="69">
        <f>IF(AND(LEFT(CT!$D59,3)=NKTT!$G$2,LEFT(CT!$E59,3)=NKTT!$E$6),CT!$H59,0)</f>
        <v>0</v>
      </c>
      <c r="F63" s="69">
        <f>IF(AND(LEFT(CT!$D59,3)=NKTT!$G$2,LEFT(CT!$E59,3)=NKTT!$F$6),CT!$H59,0)</f>
        <v>0</v>
      </c>
      <c r="G63" s="69">
        <f>IF(AND(LEFT(CT!$D59,3)=NKTT!$G$2,LEFT(CT!$E59,3)=NKTT!$G$6),CT!$H59,0)</f>
        <v>0</v>
      </c>
      <c r="H63" s="69">
        <f>IF(AND(LEFT(CT!$D59,3)=NKTT!$G$2,LEFT(CT!$E59,3)=NKTT!$H$6),CT!$H59,0)</f>
        <v>0</v>
      </c>
      <c r="I63" s="69">
        <f t="shared" si="0"/>
        <v>0</v>
      </c>
      <c r="J63" s="69" t="str">
        <f>IF(I63&gt;0,CT!E59,"")</f>
        <v/>
      </c>
    </row>
    <row r="64" spans="1:10" hidden="1" x14ac:dyDescent="0.25">
      <c r="A64" s="68" t="str">
        <f>IF(LEFT(CT!$D60,3)=NKTT!$G$2,CT!A60,"")</f>
        <v/>
      </c>
      <c r="B64" s="68" t="str">
        <f>IF(LEFT(CT!$D60,3)=NKTT!$G$2,CT!B60,"")</f>
        <v/>
      </c>
      <c r="C64" s="68" t="str">
        <f>IF(LEFT(CT!$D60,3)=NKTT!$G$2,CT!C60,"")</f>
        <v/>
      </c>
      <c r="D64" s="69">
        <f>IF(LEFT(CT!$D60,3)=NKTT!$G$2,CT!H60,0)</f>
        <v>0</v>
      </c>
      <c r="E64" s="69">
        <f>IF(AND(LEFT(CT!$D60,3)=NKTT!$G$2,LEFT(CT!$E60,3)=NKTT!$E$6),CT!$H60,0)</f>
        <v>0</v>
      </c>
      <c r="F64" s="69">
        <f>IF(AND(LEFT(CT!$D60,3)=NKTT!$G$2,LEFT(CT!$E60,3)=NKTT!$F$6),CT!$H60,0)</f>
        <v>0</v>
      </c>
      <c r="G64" s="69">
        <f>IF(AND(LEFT(CT!$D60,3)=NKTT!$G$2,LEFT(CT!$E60,3)=NKTT!$G$6),CT!$H60,0)</f>
        <v>0</v>
      </c>
      <c r="H64" s="69">
        <f>IF(AND(LEFT(CT!$D60,3)=NKTT!$G$2,LEFT(CT!$E60,3)=NKTT!$H$6),CT!$H60,0)</f>
        <v>0</v>
      </c>
      <c r="I64" s="69">
        <f t="shared" si="0"/>
        <v>0</v>
      </c>
      <c r="J64" s="69" t="str">
        <f>IF(I64&gt;0,CT!E60,"")</f>
        <v/>
      </c>
    </row>
    <row r="65" spans="1:10" hidden="1" x14ac:dyDescent="0.25">
      <c r="A65" s="68" t="str">
        <f>IF(LEFT(CT!$D61,3)=NKTT!$G$2,CT!A61,"")</f>
        <v/>
      </c>
      <c r="B65" s="68" t="str">
        <f>IF(LEFT(CT!$D61,3)=NKTT!$G$2,CT!B61,"")</f>
        <v/>
      </c>
      <c r="C65" s="68" t="str">
        <f>IF(LEFT(CT!$D61,3)=NKTT!$G$2,CT!C61,"")</f>
        <v/>
      </c>
      <c r="D65" s="69">
        <f>IF(LEFT(CT!$D61,3)=NKTT!$G$2,CT!H61,0)</f>
        <v>0</v>
      </c>
      <c r="E65" s="69">
        <f>IF(AND(LEFT(CT!$D61,3)=NKTT!$G$2,LEFT(CT!$E61,3)=NKTT!$E$6),CT!$H61,0)</f>
        <v>0</v>
      </c>
      <c r="F65" s="69">
        <f>IF(AND(LEFT(CT!$D61,3)=NKTT!$G$2,LEFT(CT!$E61,3)=NKTT!$F$6),CT!$H61,0)</f>
        <v>0</v>
      </c>
      <c r="G65" s="69">
        <f>IF(AND(LEFT(CT!$D61,3)=NKTT!$G$2,LEFT(CT!$E61,3)=NKTT!$G$6),CT!$H61,0)</f>
        <v>0</v>
      </c>
      <c r="H65" s="69">
        <f>IF(AND(LEFT(CT!$D61,3)=NKTT!$G$2,LEFT(CT!$E61,3)=NKTT!$H$6),CT!$H61,0)</f>
        <v>0</v>
      </c>
      <c r="I65" s="69">
        <f t="shared" si="0"/>
        <v>0</v>
      </c>
      <c r="J65" s="69" t="str">
        <f>IF(I65&gt;0,CT!E61,"")</f>
        <v/>
      </c>
    </row>
    <row r="66" spans="1:10" hidden="1" x14ac:dyDescent="0.25">
      <c r="A66" s="68" t="str">
        <f>IF(LEFT(CT!$D62,3)=NKTT!$G$2,CT!A62,"")</f>
        <v/>
      </c>
      <c r="B66" s="68" t="str">
        <f>IF(LEFT(CT!$D62,3)=NKTT!$G$2,CT!B62,"")</f>
        <v/>
      </c>
      <c r="C66" s="68" t="str">
        <f>IF(LEFT(CT!$D62,3)=NKTT!$G$2,CT!C62,"")</f>
        <v/>
      </c>
      <c r="D66" s="69">
        <f>IF(LEFT(CT!$D62,3)=NKTT!$G$2,CT!H62,0)</f>
        <v>0</v>
      </c>
      <c r="E66" s="69">
        <f>IF(AND(LEFT(CT!$D62,3)=NKTT!$G$2,LEFT(CT!$E62,3)=NKTT!$E$6),CT!$H62,0)</f>
        <v>0</v>
      </c>
      <c r="F66" s="69">
        <f>IF(AND(LEFT(CT!$D62,3)=NKTT!$G$2,LEFT(CT!$E62,3)=NKTT!$F$6),CT!$H62,0)</f>
        <v>0</v>
      </c>
      <c r="G66" s="69">
        <f>IF(AND(LEFT(CT!$D62,3)=NKTT!$G$2,LEFT(CT!$E62,3)=NKTT!$G$6),CT!$H62,0)</f>
        <v>0</v>
      </c>
      <c r="H66" s="69">
        <f>IF(AND(LEFT(CT!$D62,3)=NKTT!$G$2,LEFT(CT!$E62,3)=NKTT!$H$6),CT!$H62,0)</f>
        <v>0</v>
      </c>
      <c r="I66" s="69">
        <f t="shared" si="0"/>
        <v>0</v>
      </c>
      <c r="J66" s="69" t="str">
        <f>IF(I66&gt;0,CT!E62,"")</f>
        <v/>
      </c>
    </row>
    <row r="67" spans="1:10" hidden="1" x14ac:dyDescent="0.25">
      <c r="A67" s="68" t="str">
        <f>IF(LEFT(CT!$D63,3)=NKTT!$G$2,CT!A63,"")</f>
        <v/>
      </c>
      <c r="B67" s="68" t="str">
        <f>IF(LEFT(CT!$D63,3)=NKTT!$G$2,CT!B63,"")</f>
        <v/>
      </c>
      <c r="C67" s="68" t="str">
        <f>IF(LEFT(CT!$D63,3)=NKTT!$G$2,CT!C63,"")</f>
        <v/>
      </c>
      <c r="D67" s="69">
        <f>IF(LEFT(CT!$D63,3)=NKTT!$G$2,CT!H63,0)</f>
        <v>0</v>
      </c>
      <c r="E67" s="69">
        <f>IF(AND(LEFT(CT!$D63,3)=NKTT!$G$2,LEFT(CT!$E63,3)=NKTT!$E$6),CT!$H63,0)</f>
        <v>0</v>
      </c>
      <c r="F67" s="69">
        <f>IF(AND(LEFT(CT!$D63,3)=NKTT!$G$2,LEFT(CT!$E63,3)=NKTT!$F$6),CT!$H63,0)</f>
        <v>0</v>
      </c>
      <c r="G67" s="69">
        <f>IF(AND(LEFT(CT!$D63,3)=NKTT!$G$2,LEFT(CT!$E63,3)=NKTT!$G$6),CT!$H63,0)</f>
        <v>0</v>
      </c>
      <c r="H67" s="69">
        <f>IF(AND(LEFT(CT!$D63,3)=NKTT!$G$2,LEFT(CT!$E63,3)=NKTT!$H$6),CT!$H63,0)</f>
        <v>0</v>
      </c>
      <c r="I67" s="69">
        <f t="shared" si="0"/>
        <v>0</v>
      </c>
      <c r="J67" s="69" t="str">
        <f>IF(I67&gt;0,CT!E63,"")</f>
        <v/>
      </c>
    </row>
    <row r="68" spans="1:10" hidden="1" x14ac:dyDescent="0.25">
      <c r="A68" s="68" t="str">
        <f>IF(LEFT(CT!$D64,3)=NKTT!$G$2,CT!A64,"")</f>
        <v/>
      </c>
      <c r="B68" s="68" t="str">
        <f>IF(LEFT(CT!$D64,3)=NKTT!$G$2,CT!B64,"")</f>
        <v/>
      </c>
      <c r="C68" s="68" t="str">
        <f>IF(LEFT(CT!$D64,3)=NKTT!$G$2,CT!C64,"")</f>
        <v/>
      </c>
      <c r="D68" s="69">
        <f>IF(LEFT(CT!$D64,3)=NKTT!$G$2,CT!H64,0)</f>
        <v>0</v>
      </c>
      <c r="E68" s="69">
        <f>IF(AND(LEFT(CT!$D64,3)=NKTT!$G$2,LEFT(CT!$E64,3)=NKTT!$E$6),CT!$H64,0)</f>
        <v>0</v>
      </c>
      <c r="F68" s="69">
        <f>IF(AND(LEFT(CT!$D64,3)=NKTT!$G$2,LEFT(CT!$E64,3)=NKTT!$F$6),CT!$H64,0)</f>
        <v>0</v>
      </c>
      <c r="G68" s="69">
        <f>IF(AND(LEFT(CT!$D64,3)=NKTT!$G$2,LEFT(CT!$E64,3)=NKTT!$G$6),CT!$H64,0)</f>
        <v>0</v>
      </c>
      <c r="H68" s="69">
        <f>IF(AND(LEFT(CT!$D64,3)=NKTT!$G$2,LEFT(CT!$E64,3)=NKTT!$H$6),CT!$H64,0)</f>
        <v>0</v>
      </c>
      <c r="I68" s="69">
        <f t="shared" si="0"/>
        <v>0</v>
      </c>
      <c r="J68" s="69" t="str">
        <f>IF(I68&gt;0,CT!E64,"")</f>
        <v/>
      </c>
    </row>
    <row r="69" spans="1:10" hidden="1" x14ac:dyDescent="0.25">
      <c r="A69" s="68" t="str">
        <f>IF(LEFT(CT!$D65,3)=NKTT!$G$2,CT!A65,"")</f>
        <v/>
      </c>
      <c r="B69" s="68" t="str">
        <f>IF(LEFT(CT!$D65,3)=NKTT!$G$2,CT!B65,"")</f>
        <v/>
      </c>
      <c r="C69" s="68" t="str">
        <f>IF(LEFT(CT!$D65,3)=NKTT!$G$2,CT!C65,"")</f>
        <v/>
      </c>
      <c r="D69" s="69">
        <f>IF(LEFT(CT!$D65,3)=NKTT!$G$2,CT!H65,0)</f>
        <v>0</v>
      </c>
      <c r="E69" s="69">
        <f>IF(AND(LEFT(CT!$D65,3)=NKTT!$G$2,LEFT(CT!$E65,3)=NKTT!$E$6),CT!$H65,0)</f>
        <v>0</v>
      </c>
      <c r="F69" s="69">
        <f>IF(AND(LEFT(CT!$D65,3)=NKTT!$G$2,LEFT(CT!$E65,3)=NKTT!$F$6),CT!$H65,0)</f>
        <v>0</v>
      </c>
      <c r="G69" s="69">
        <f>IF(AND(LEFT(CT!$D65,3)=NKTT!$G$2,LEFT(CT!$E65,3)=NKTT!$G$6),CT!$H65,0)</f>
        <v>0</v>
      </c>
      <c r="H69" s="69">
        <f>IF(AND(LEFT(CT!$D65,3)=NKTT!$G$2,LEFT(CT!$E65,3)=NKTT!$H$6),CT!$H65,0)</f>
        <v>0</v>
      </c>
      <c r="I69" s="69">
        <f t="shared" si="0"/>
        <v>0</v>
      </c>
      <c r="J69" s="69" t="str">
        <f>IF(I69&gt;0,CT!E65,"")</f>
        <v/>
      </c>
    </row>
    <row r="70" spans="1:10" hidden="1" x14ac:dyDescent="0.25">
      <c r="A70" s="68" t="str">
        <f>IF(LEFT(CT!$D66,3)=NKTT!$G$2,CT!A66,"")</f>
        <v/>
      </c>
      <c r="B70" s="68" t="str">
        <f>IF(LEFT(CT!$D66,3)=NKTT!$G$2,CT!B66,"")</f>
        <v/>
      </c>
      <c r="C70" s="68" t="str">
        <f>IF(LEFT(CT!$D66,3)=NKTT!$G$2,CT!C66,"")</f>
        <v/>
      </c>
      <c r="D70" s="69">
        <f>IF(LEFT(CT!$D66,3)=NKTT!$G$2,CT!H66,0)</f>
        <v>0</v>
      </c>
      <c r="E70" s="69">
        <f>IF(AND(LEFT(CT!$D66,3)=NKTT!$G$2,LEFT(CT!$E66,3)=NKTT!$E$6),CT!$H66,0)</f>
        <v>0</v>
      </c>
      <c r="F70" s="69">
        <f>IF(AND(LEFT(CT!$D66,3)=NKTT!$G$2,LEFT(CT!$E66,3)=NKTT!$F$6),CT!$H66,0)</f>
        <v>0</v>
      </c>
      <c r="G70" s="69">
        <f>IF(AND(LEFT(CT!$D66,3)=NKTT!$G$2,LEFT(CT!$E66,3)=NKTT!$G$6),CT!$H66,0)</f>
        <v>0</v>
      </c>
      <c r="H70" s="69">
        <f>IF(AND(LEFT(CT!$D66,3)=NKTT!$G$2,LEFT(CT!$E66,3)=NKTT!$H$6),CT!$H66,0)</f>
        <v>0</v>
      </c>
      <c r="I70" s="69">
        <f t="shared" si="0"/>
        <v>0</v>
      </c>
      <c r="J70" s="69" t="str">
        <f>IF(I70&gt;0,CT!E66,"")</f>
        <v/>
      </c>
    </row>
    <row r="71" spans="1:10" hidden="1" x14ac:dyDescent="0.25">
      <c r="A71" s="68" t="str">
        <f>IF(LEFT(CT!$D67,3)=NKTT!$G$2,CT!A67,"")</f>
        <v/>
      </c>
      <c r="B71" s="68" t="str">
        <f>IF(LEFT(CT!$D67,3)=NKTT!$G$2,CT!B67,"")</f>
        <v/>
      </c>
      <c r="C71" s="68" t="str">
        <f>IF(LEFT(CT!$D67,3)=NKTT!$G$2,CT!C67,"")</f>
        <v/>
      </c>
      <c r="D71" s="69">
        <f>IF(LEFT(CT!$D67,3)=NKTT!$G$2,CT!H67,0)</f>
        <v>0</v>
      </c>
      <c r="E71" s="69">
        <f>IF(AND(LEFT(CT!$D67,3)=NKTT!$G$2,LEFT(CT!$E67,3)=NKTT!$E$6),CT!$H67,0)</f>
        <v>0</v>
      </c>
      <c r="F71" s="69">
        <f>IF(AND(LEFT(CT!$D67,3)=NKTT!$G$2,LEFT(CT!$E67,3)=NKTT!$F$6),CT!$H67,0)</f>
        <v>0</v>
      </c>
      <c r="G71" s="69">
        <f>IF(AND(LEFT(CT!$D67,3)=NKTT!$G$2,LEFT(CT!$E67,3)=NKTT!$G$6),CT!$H67,0)</f>
        <v>0</v>
      </c>
      <c r="H71" s="69">
        <f>IF(AND(LEFT(CT!$D67,3)=NKTT!$G$2,LEFT(CT!$E67,3)=NKTT!$H$6),CT!$H67,0)</f>
        <v>0</v>
      </c>
      <c r="I71" s="69">
        <f t="shared" si="0"/>
        <v>0</v>
      </c>
      <c r="J71" s="69" t="str">
        <f>IF(I71&gt;0,CT!E67,"")</f>
        <v/>
      </c>
    </row>
    <row r="72" spans="1:10" hidden="1" x14ac:dyDescent="0.25">
      <c r="A72" s="68" t="str">
        <f>IF(LEFT(CT!$D68,3)=NKTT!$G$2,CT!A68,"")</f>
        <v/>
      </c>
      <c r="B72" s="68" t="str">
        <f>IF(LEFT(CT!$D68,3)=NKTT!$G$2,CT!B68,"")</f>
        <v/>
      </c>
      <c r="C72" s="68" t="str">
        <f>IF(LEFT(CT!$D68,3)=NKTT!$G$2,CT!C68,"")</f>
        <v/>
      </c>
      <c r="D72" s="69">
        <f>IF(LEFT(CT!$D68,3)=NKTT!$G$2,CT!H68,0)</f>
        <v>0</v>
      </c>
      <c r="E72" s="69">
        <f>IF(AND(LEFT(CT!$D68,3)=NKTT!$G$2,LEFT(CT!$E68,3)=NKTT!$E$6),CT!$H68,0)</f>
        <v>0</v>
      </c>
      <c r="F72" s="69">
        <f>IF(AND(LEFT(CT!$D68,3)=NKTT!$G$2,LEFT(CT!$E68,3)=NKTT!$F$6),CT!$H68,0)</f>
        <v>0</v>
      </c>
      <c r="G72" s="69">
        <f>IF(AND(LEFT(CT!$D68,3)=NKTT!$G$2,LEFT(CT!$E68,3)=NKTT!$G$6),CT!$H68,0)</f>
        <v>0</v>
      </c>
      <c r="H72" s="69">
        <f>IF(AND(LEFT(CT!$D68,3)=NKTT!$G$2,LEFT(CT!$E68,3)=NKTT!$H$6),CT!$H68,0)</f>
        <v>0</v>
      </c>
      <c r="I72" s="69">
        <f t="shared" si="0"/>
        <v>0</v>
      </c>
      <c r="J72" s="69" t="str">
        <f>IF(I72&gt;0,CT!E68,"")</f>
        <v/>
      </c>
    </row>
    <row r="73" spans="1:10" hidden="1" x14ac:dyDescent="0.25">
      <c r="A73" s="68" t="str">
        <f>IF(LEFT(CT!$D69,3)=NKTT!$G$2,CT!A69,"")</f>
        <v/>
      </c>
      <c r="B73" s="68" t="str">
        <f>IF(LEFT(CT!$D69,3)=NKTT!$G$2,CT!B69,"")</f>
        <v/>
      </c>
      <c r="C73" s="68" t="str">
        <f>IF(LEFT(CT!$D69,3)=NKTT!$G$2,CT!C69,"")</f>
        <v/>
      </c>
      <c r="D73" s="69">
        <f>IF(LEFT(CT!$D69,3)=NKTT!$G$2,CT!H69,0)</f>
        <v>0</v>
      </c>
      <c r="E73" s="69">
        <f>IF(AND(LEFT(CT!$D69,3)=NKTT!$G$2,LEFT(CT!$E69,3)=NKTT!$E$6),CT!$H69,0)</f>
        <v>0</v>
      </c>
      <c r="F73" s="69">
        <f>IF(AND(LEFT(CT!$D69,3)=NKTT!$G$2,LEFT(CT!$E69,3)=NKTT!$F$6),CT!$H69,0)</f>
        <v>0</v>
      </c>
      <c r="G73" s="69">
        <f>IF(AND(LEFT(CT!$D69,3)=NKTT!$G$2,LEFT(CT!$E69,3)=NKTT!$G$6),CT!$H69,0)</f>
        <v>0</v>
      </c>
      <c r="H73" s="69">
        <f>IF(AND(LEFT(CT!$D69,3)=NKTT!$G$2,LEFT(CT!$E69,3)=NKTT!$H$6),CT!$H69,0)</f>
        <v>0</v>
      </c>
      <c r="I73" s="69">
        <f t="shared" si="0"/>
        <v>0</v>
      </c>
      <c r="J73" s="69" t="str">
        <f>IF(I73&gt;0,CT!E69,"")</f>
        <v/>
      </c>
    </row>
    <row r="74" spans="1:10" hidden="1" x14ac:dyDescent="0.25">
      <c r="A74" s="68" t="str">
        <f>IF(LEFT(CT!$D70,3)=NKTT!$G$2,CT!A70,"")</f>
        <v/>
      </c>
      <c r="B74" s="68" t="str">
        <f>IF(LEFT(CT!$D70,3)=NKTT!$G$2,CT!B70,"")</f>
        <v/>
      </c>
      <c r="C74" s="68" t="str">
        <f>IF(LEFT(CT!$D70,3)=NKTT!$G$2,CT!C70,"")</f>
        <v/>
      </c>
      <c r="D74" s="69">
        <f>IF(LEFT(CT!$D70,3)=NKTT!$G$2,CT!H70,0)</f>
        <v>0</v>
      </c>
      <c r="E74" s="69">
        <f>IF(AND(LEFT(CT!$D70,3)=NKTT!$G$2,LEFT(CT!$E70,3)=NKTT!$E$6),CT!$H70,0)</f>
        <v>0</v>
      </c>
      <c r="F74" s="69">
        <f>IF(AND(LEFT(CT!$D70,3)=NKTT!$G$2,LEFT(CT!$E70,3)=NKTT!$F$6),CT!$H70,0)</f>
        <v>0</v>
      </c>
      <c r="G74" s="69">
        <f>IF(AND(LEFT(CT!$D70,3)=NKTT!$G$2,LEFT(CT!$E70,3)=NKTT!$G$6),CT!$H70,0)</f>
        <v>0</v>
      </c>
      <c r="H74" s="69">
        <f>IF(AND(LEFT(CT!$D70,3)=NKTT!$G$2,LEFT(CT!$E70,3)=NKTT!$H$6),CT!$H70,0)</f>
        <v>0</v>
      </c>
      <c r="I74" s="69">
        <f t="shared" ref="I74:I137" si="1">IF(SUM(E74:H74)=0,D74,0)</f>
        <v>0</v>
      </c>
      <c r="J74" s="69" t="str">
        <f>IF(I74&gt;0,CT!E70,"")</f>
        <v/>
      </c>
    </row>
    <row r="75" spans="1:10" hidden="1" x14ac:dyDescent="0.25">
      <c r="A75" s="68" t="str">
        <f>IF(LEFT(CT!$D71,3)=NKTT!$G$2,CT!A71,"")</f>
        <v/>
      </c>
      <c r="B75" s="68" t="str">
        <f>IF(LEFT(CT!$D71,3)=NKTT!$G$2,CT!B71,"")</f>
        <v/>
      </c>
      <c r="C75" s="68" t="str">
        <f>IF(LEFT(CT!$D71,3)=NKTT!$G$2,CT!C71,"")</f>
        <v/>
      </c>
      <c r="D75" s="69">
        <f>IF(LEFT(CT!$D71,3)=NKTT!$G$2,CT!H71,0)</f>
        <v>0</v>
      </c>
      <c r="E75" s="69">
        <f>IF(AND(LEFT(CT!$D71,3)=NKTT!$G$2,LEFT(CT!$E71,3)=NKTT!$E$6),CT!$H71,0)</f>
        <v>0</v>
      </c>
      <c r="F75" s="69">
        <f>IF(AND(LEFT(CT!$D71,3)=NKTT!$G$2,LEFT(CT!$E71,3)=NKTT!$F$6),CT!$H71,0)</f>
        <v>0</v>
      </c>
      <c r="G75" s="69">
        <f>IF(AND(LEFT(CT!$D71,3)=NKTT!$G$2,LEFT(CT!$E71,3)=NKTT!$G$6),CT!$H71,0)</f>
        <v>0</v>
      </c>
      <c r="H75" s="69">
        <f>IF(AND(LEFT(CT!$D71,3)=NKTT!$G$2,LEFT(CT!$E71,3)=NKTT!$H$6),CT!$H71,0)</f>
        <v>0</v>
      </c>
      <c r="I75" s="69">
        <f t="shared" si="1"/>
        <v>0</v>
      </c>
      <c r="J75" s="69" t="str">
        <f>IF(I75&gt;0,CT!E71,"")</f>
        <v/>
      </c>
    </row>
    <row r="76" spans="1:10" hidden="1" x14ac:dyDescent="0.25">
      <c r="A76" s="68" t="str">
        <f>IF(LEFT(CT!$D72,3)=NKTT!$G$2,CT!A72,"")</f>
        <v/>
      </c>
      <c r="B76" s="68" t="str">
        <f>IF(LEFT(CT!$D72,3)=NKTT!$G$2,CT!B72,"")</f>
        <v/>
      </c>
      <c r="C76" s="68" t="str">
        <f>IF(LEFT(CT!$D72,3)=NKTT!$G$2,CT!C72,"")</f>
        <v/>
      </c>
      <c r="D76" s="69">
        <f>IF(LEFT(CT!$D72,3)=NKTT!$G$2,CT!H72,0)</f>
        <v>0</v>
      </c>
      <c r="E76" s="69">
        <f>IF(AND(LEFT(CT!$D72,3)=NKTT!$G$2,LEFT(CT!$E72,3)=NKTT!$E$6),CT!$H72,0)</f>
        <v>0</v>
      </c>
      <c r="F76" s="69">
        <f>IF(AND(LEFT(CT!$D72,3)=NKTT!$G$2,LEFT(CT!$E72,3)=NKTT!$F$6),CT!$H72,0)</f>
        <v>0</v>
      </c>
      <c r="G76" s="69">
        <f>IF(AND(LEFT(CT!$D72,3)=NKTT!$G$2,LEFT(CT!$E72,3)=NKTT!$G$6),CT!$H72,0)</f>
        <v>0</v>
      </c>
      <c r="H76" s="69">
        <f>IF(AND(LEFT(CT!$D72,3)=NKTT!$G$2,LEFT(CT!$E72,3)=NKTT!$H$6),CT!$H72,0)</f>
        <v>0</v>
      </c>
      <c r="I76" s="69">
        <f t="shared" si="1"/>
        <v>0</v>
      </c>
      <c r="J76" s="69" t="str">
        <f>IF(I76&gt;0,CT!E72,"")</f>
        <v/>
      </c>
    </row>
    <row r="77" spans="1:10" hidden="1" x14ac:dyDescent="0.25">
      <c r="A77" s="68" t="str">
        <f>IF(LEFT(CT!$D73,3)=NKTT!$G$2,CT!A73,"")</f>
        <v/>
      </c>
      <c r="B77" s="68" t="str">
        <f>IF(LEFT(CT!$D73,3)=NKTT!$G$2,CT!B73,"")</f>
        <v/>
      </c>
      <c r="C77" s="68" t="str">
        <f>IF(LEFT(CT!$D73,3)=NKTT!$G$2,CT!C73,"")</f>
        <v/>
      </c>
      <c r="D77" s="69">
        <f>IF(LEFT(CT!$D73,3)=NKTT!$G$2,CT!H73,0)</f>
        <v>0</v>
      </c>
      <c r="E77" s="69">
        <f>IF(AND(LEFT(CT!$D73,3)=NKTT!$G$2,LEFT(CT!$E73,3)=NKTT!$E$6),CT!$H73,0)</f>
        <v>0</v>
      </c>
      <c r="F77" s="69">
        <f>IF(AND(LEFT(CT!$D73,3)=NKTT!$G$2,LEFT(CT!$E73,3)=NKTT!$F$6),CT!$H73,0)</f>
        <v>0</v>
      </c>
      <c r="G77" s="69">
        <f>IF(AND(LEFT(CT!$D73,3)=NKTT!$G$2,LEFT(CT!$E73,3)=NKTT!$G$6),CT!$H73,0)</f>
        <v>0</v>
      </c>
      <c r="H77" s="69">
        <f>IF(AND(LEFT(CT!$D73,3)=NKTT!$G$2,LEFT(CT!$E73,3)=NKTT!$H$6),CT!$H73,0)</f>
        <v>0</v>
      </c>
      <c r="I77" s="69">
        <f t="shared" si="1"/>
        <v>0</v>
      </c>
      <c r="J77" s="69" t="str">
        <f>IF(I77&gt;0,CT!E73,"")</f>
        <v/>
      </c>
    </row>
    <row r="78" spans="1:10" hidden="1" x14ac:dyDescent="0.25">
      <c r="A78" s="68" t="str">
        <f>IF(LEFT(CT!$D74,3)=NKTT!$G$2,CT!A74,"")</f>
        <v/>
      </c>
      <c r="B78" s="68" t="str">
        <f>IF(LEFT(CT!$D74,3)=NKTT!$G$2,CT!B74,"")</f>
        <v/>
      </c>
      <c r="C78" s="68" t="str">
        <f>IF(LEFT(CT!$D74,3)=NKTT!$G$2,CT!C74,"")</f>
        <v/>
      </c>
      <c r="D78" s="69">
        <f>IF(LEFT(CT!$D74,3)=NKTT!$G$2,CT!H74,0)</f>
        <v>0</v>
      </c>
      <c r="E78" s="69">
        <f>IF(AND(LEFT(CT!$D74,3)=NKTT!$G$2,LEFT(CT!$E74,3)=NKTT!$E$6),CT!$H74,0)</f>
        <v>0</v>
      </c>
      <c r="F78" s="69">
        <f>IF(AND(LEFT(CT!$D74,3)=NKTT!$G$2,LEFT(CT!$E74,3)=NKTT!$F$6),CT!$H74,0)</f>
        <v>0</v>
      </c>
      <c r="G78" s="69">
        <f>IF(AND(LEFT(CT!$D74,3)=NKTT!$G$2,LEFT(CT!$E74,3)=NKTT!$G$6),CT!$H74,0)</f>
        <v>0</v>
      </c>
      <c r="H78" s="69">
        <f>IF(AND(LEFT(CT!$D74,3)=NKTT!$G$2,LEFT(CT!$E74,3)=NKTT!$H$6),CT!$H74,0)</f>
        <v>0</v>
      </c>
      <c r="I78" s="69">
        <f t="shared" si="1"/>
        <v>0</v>
      </c>
      <c r="J78" s="69" t="str">
        <f>IF(I78&gt;0,CT!E74,"")</f>
        <v/>
      </c>
    </row>
    <row r="79" spans="1:10" hidden="1" x14ac:dyDescent="0.25">
      <c r="A79" s="68" t="str">
        <f>IF(LEFT(CT!$D75,3)=NKTT!$G$2,CT!A75,"")</f>
        <v/>
      </c>
      <c r="B79" s="68" t="str">
        <f>IF(LEFT(CT!$D75,3)=NKTT!$G$2,CT!B75,"")</f>
        <v/>
      </c>
      <c r="C79" s="68" t="str">
        <f>IF(LEFT(CT!$D75,3)=NKTT!$G$2,CT!C75,"")</f>
        <v/>
      </c>
      <c r="D79" s="69">
        <f>IF(LEFT(CT!$D75,3)=NKTT!$G$2,CT!H75,0)</f>
        <v>0</v>
      </c>
      <c r="E79" s="69">
        <f>IF(AND(LEFT(CT!$D75,3)=NKTT!$G$2,LEFT(CT!$E75,3)=NKTT!$E$6),CT!$H75,0)</f>
        <v>0</v>
      </c>
      <c r="F79" s="69">
        <f>IF(AND(LEFT(CT!$D75,3)=NKTT!$G$2,LEFT(CT!$E75,3)=NKTT!$F$6),CT!$H75,0)</f>
        <v>0</v>
      </c>
      <c r="G79" s="69">
        <f>IF(AND(LEFT(CT!$D75,3)=NKTT!$G$2,LEFT(CT!$E75,3)=NKTT!$G$6),CT!$H75,0)</f>
        <v>0</v>
      </c>
      <c r="H79" s="69">
        <f>IF(AND(LEFT(CT!$D75,3)=NKTT!$G$2,LEFT(CT!$E75,3)=NKTT!$H$6),CT!$H75,0)</f>
        <v>0</v>
      </c>
      <c r="I79" s="69">
        <f t="shared" si="1"/>
        <v>0</v>
      </c>
      <c r="J79" s="69" t="str">
        <f>IF(I79&gt;0,CT!E75,"")</f>
        <v/>
      </c>
    </row>
    <row r="80" spans="1:10" hidden="1" x14ac:dyDescent="0.25">
      <c r="A80" s="68" t="str">
        <f>IF(LEFT(CT!$D76,3)=NKTT!$G$2,CT!A76,"")</f>
        <v/>
      </c>
      <c r="B80" s="68" t="str">
        <f>IF(LEFT(CT!$D76,3)=NKTT!$G$2,CT!B76,"")</f>
        <v/>
      </c>
      <c r="C80" s="68" t="str">
        <f>IF(LEFT(CT!$D76,3)=NKTT!$G$2,CT!C76,"")</f>
        <v/>
      </c>
      <c r="D80" s="69">
        <f>IF(LEFT(CT!$D76,3)=NKTT!$G$2,CT!H76,0)</f>
        <v>0</v>
      </c>
      <c r="E80" s="69">
        <f>IF(AND(LEFT(CT!$D76,3)=NKTT!$G$2,LEFT(CT!$E76,3)=NKTT!$E$6),CT!$H76,0)</f>
        <v>0</v>
      </c>
      <c r="F80" s="69">
        <f>IF(AND(LEFT(CT!$D76,3)=NKTT!$G$2,LEFT(CT!$E76,3)=NKTT!$F$6),CT!$H76,0)</f>
        <v>0</v>
      </c>
      <c r="G80" s="69">
        <f>IF(AND(LEFT(CT!$D76,3)=NKTT!$G$2,LEFT(CT!$E76,3)=NKTT!$G$6),CT!$H76,0)</f>
        <v>0</v>
      </c>
      <c r="H80" s="69">
        <f>IF(AND(LEFT(CT!$D76,3)=NKTT!$G$2,LEFT(CT!$E76,3)=NKTT!$H$6),CT!$H76,0)</f>
        <v>0</v>
      </c>
      <c r="I80" s="69">
        <f t="shared" si="1"/>
        <v>0</v>
      </c>
      <c r="J80" s="69" t="str">
        <f>IF(I80&gt;0,CT!E76,"")</f>
        <v/>
      </c>
    </row>
    <row r="81" spans="1:10" hidden="1" x14ac:dyDescent="0.25">
      <c r="A81" s="68" t="str">
        <f>IF(LEFT(CT!$D77,3)=NKTT!$G$2,CT!A77,"")</f>
        <v/>
      </c>
      <c r="B81" s="68" t="str">
        <f>IF(LEFT(CT!$D77,3)=NKTT!$G$2,CT!B77,"")</f>
        <v/>
      </c>
      <c r="C81" s="68" t="str">
        <f>IF(LEFT(CT!$D77,3)=NKTT!$G$2,CT!C77,"")</f>
        <v/>
      </c>
      <c r="D81" s="69">
        <f>IF(LEFT(CT!$D77,3)=NKTT!$G$2,CT!H77,0)</f>
        <v>0</v>
      </c>
      <c r="E81" s="69">
        <f>IF(AND(LEFT(CT!$D77,3)=NKTT!$G$2,LEFT(CT!$E77,3)=NKTT!$E$6),CT!$H77,0)</f>
        <v>0</v>
      </c>
      <c r="F81" s="69">
        <f>IF(AND(LEFT(CT!$D77,3)=NKTT!$G$2,LEFT(CT!$E77,3)=NKTT!$F$6),CT!$H77,0)</f>
        <v>0</v>
      </c>
      <c r="G81" s="69">
        <f>IF(AND(LEFT(CT!$D77,3)=NKTT!$G$2,LEFT(CT!$E77,3)=NKTT!$G$6),CT!$H77,0)</f>
        <v>0</v>
      </c>
      <c r="H81" s="69">
        <f>IF(AND(LEFT(CT!$D77,3)=NKTT!$G$2,LEFT(CT!$E77,3)=NKTT!$H$6),CT!$H77,0)</f>
        <v>0</v>
      </c>
      <c r="I81" s="69">
        <f t="shared" si="1"/>
        <v>0</v>
      </c>
      <c r="J81" s="69" t="str">
        <f>IF(I81&gt;0,CT!E77,"")</f>
        <v/>
      </c>
    </row>
    <row r="82" spans="1:10" hidden="1" x14ac:dyDescent="0.25">
      <c r="A82" s="68" t="str">
        <f>IF(LEFT(CT!$D78,3)=NKTT!$G$2,CT!A78,"")</f>
        <v/>
      </c>
      <c r="B82" s="68" t="str">
        <f>IF(LEFT(CT!$D78,3)=NKTT!$G$2,CT!B78,"")</f>
        <v/>
      </c>
      <c r="C82" s="68" t="str">
        <f>IF(LEFT(CT!$D78,3)=NKTT!$G$2,CT!C78,"")</f>
        <v/>
      </c>
      <c r="D82" s="69">
        <f>IF(LEFT(CT!$D78,3)=NKTT!$G$2,CT!H78,0)</f>
        <v>0</v>
      </c>
      <c r="E82" s="69">
        <f>IF(AND(LEFT(CT!$D78,3)=NKTT!$G$2,LEFT(CT!$E78,3)=NKTT!$E$6),CT!$H78,0)</f>
        <v>0</v>
      </c>
      <c r="F82" s="69">
        <f>IF(AND(LEFT(CT!$D78,3)=NKTT!$G$2,LEFT(CT!$E78,3)=NKTT!$F$6),CT!$H78,0)</f>
        <v>0</v>
      </c>
      <c r="G82" s="69">
        <f>IF(AND(LEFT(CT!$D78,3)=NKTT!$G$2,LEFT(CT!$E78,3)=NKTT!$G$6),CT!$H78,0)</f>
        <v>0</v>
      </c>
      <c r="H82" s="69">
        <f>IF(AND(LEFT(CT!$D78,3)=NKTT!$G$2,LEFT(CT!$E78,3)=NKTT!$H$6),CT!$H78,0)</f>
        <v>0</v>
      </c>
      <c r="I82" s="69">
        <f t="shared" si="1"/>
        <v>0</v>
      </c>
      <c r="J82" s="69" t="str">
        <f>IF(I82&gt;0,CT!E78,"")</f>
        <v/>
      </c>
    </row>
    <row r="83" spans="1:10" hidden="1" x14ac:dyDescent="0.25">
      <c r="A83" s="68" t="str">
        <f>IF(LEFT(CT!$D79,3)=NKTT!$G$2,CT!A79,"")</f>
        <v/>
      </c>
      <c r="B83" s="68" t="str">
        <f>IF(LEFT(CT!$D79,3)=NKTT!$G$2,CT!B79,"")</f>
        <v/>
      </c>
      <c r="C83" s="68" t="str">
        <f>IF(LEFT(CT!$D79,3)=NKTT!$G$2,CT!C79,"")</f>
        <v/>
      </c>
      <c r="D83" s="69">
        <f>IF(LEFT(CT!$D79,3)=NKTT!$G$2,CT!H79,0)</f>
        <v>0</v>
      </c>
      <c r="E83" s="69">
        <f>IF(AND(LEFT(CT!$D79,3)=NKTT!$G$2,LEFT(CT!$E79,3)=NKTT!$E$6),CT!$H79,0)</f>
        <v>0</v>
      </c>
      <c r="F83" s="69">
        <f>IF(AND(LEFT(CT!$D79,3)=NKTT!$G$2,LEFT(CT!$E79,3)=NKTT!$F$6),CT!$H79,0)</f>
        <v>0</v>
      </c>
      <c r="G83" s="69">
        <f>IF(AND(LEFT(CT!$D79,3)=NKTT!$G$2,LEFT(CT!$E79,3)=NKTT!$G$6),CT!$H79,0)</f>
        <v>0</v>
      </c>
      <c r="H83" s="69">
        <f>IF(AND(LEFT(CT!$D79,3)=NKTT!$G$2,LEFT(CT!$E79,3)=NKTT!$H$6),CT!$H79,0)</f>
        <v>0</v>
      </c>
      <c r="I83" s="69">
        <f t="shared" si="1"/>
        <v>0</v>
      </c>
      <c r="J83" s="69" t="str">
        <f>IF(I83&gt;0,CT!E79,"")</f>
        <v/>
      </c>
    </row>
    <row r="84" spans="1:10" hidden="1" x14ac:dyDescent="0.25">
      <c r="A84" s="68" t="str">
        <f>IF(LEFT(CT!$D80,3)=NKTT!$G$2,CT!A80,"")</f>
        <v/>
      </c>
      <c r="B84" s="68" t="str">
        <f>IF(LEFT(CT!$D80,3)=NKTT!$G$2,CT!B80,"")</f>
        <v/>
      </c>
      <c r="C84" s="68" t="str">
        <f>IF(LEFT(CT!$D80,3)=NKTT!$G$2,CT!C80,"")</f>
        <v/>
      </c>
      <c r="D84" s="69">
        <f>IF(LEFT(CT!$D80,3)=NKTT!$G$2,CT!H80,0)</f>
        <v>0</v>
      </c>
      <c r="E84" s="69">
        <f>IF(AND(LEFT(CT!$D80,3)=NKTT!$G$2,LEFT(CT!$E80,3)=NKTT!$E$6),CT!$H80,0)</f>
        <v>0</v>
      </c>
      <c r="F84" s="69">
        <f>IF(AND(LEFT(CT!$D80,3)=NKTT!$G$2,LEFT(CT!$E80,3)=NKTT!$F$6),CT!$H80,0)</f>
        <v>0</v>
      </c>
      <c r="G84" s="69">
        <f>IF(AND(LEFT(CT!$D80,3)=NKTT!$G$2,LEFT(CT!$E80,3)=NKTT!$G$6),CT!$H80,0)</f>
        <v>0</v>
      </c>
      <c r="H84" s="69">
        <f>IF(AND(LEFT(CT!$D80,3)=NKTT!$G$2,LEFT(CT!$E80,3)=NKTT!$H$6),CT!$H80,0)</f>
        <v>0</v>
      </c>
      <c r="I84" s="69">
        <f t="shared" si="1"/>
        <v>0</v>
      </c>
      <c r="J84" s="69" t="str">
        <f>IF(I84&gt;0,CT!E80,"")</f>
        <v/>
      </c>
    </row>
    <row r="85" spans="1:10" hidden="1" x14ac:dyDescent="0.25">
      <c r="A85" s="68" t="str">
        <f>IF(LEFT(CT!$D81,3)=NKTT!$G$2,CT!A81,"")</f>
        <v/>
      </c>
      <c r="B85" s="68" t="str">
        <f>IF(LEFT(CT!$D81,3)=NKTT!$G$2,CT!B81,"")</f>
        <v/>
      </c>
      <c r="C85" s="68" t="str">
        <f>IF(LEFT(CT!$D81,3)=NKTT!$G$2,CT!C81,"")</f>
        <v/>
      </c>
      <c r="D85" s="69">
        <f>IF(LEFT(CT!$D81,3)=NKTT!$G$2,CT!H81,0)</f>
        <v>0</v>
      </c>
      <c r="E85" s="69">
        <f>IF(AND(LEFT(CT!$D81,3)=NKTT!$G$2,LEFT(CT!$E81,3)=NKTT!$E$6),CT!$H81,0)</f>
        <v>0</v>
      </c>
      <c r="F85" s="69">
        <f>IF(AND(LEFT(CT!$D81,3)=NKTT!$G$2,LEFT(CT!$E81,3)=NKTT!$F$6),CT!$H81,0)</f>
        <v>0</v>
      </c>
      <c r="G85" s="69">
        <f>IF(AND(LEFT(CT!$D81,3)=NKTT!$G$2,LEFT(CT!$E81,3)=NKTT!$G$6),CT!$H81,0)</f>
        <v>0</v>
      </c>
      <c r="H85" s="69">
        <f>IF(AND(LEFT(CT!$D81,3)=NKTT!$G$2,LEFT(CT!$E81,3)=NKTT!$H$6),CT!$H81,0)</f>
        <v>0</v>
      </c>
      <c r="I85" s="69">
        <f t="shared" si="1"/>
        <v>0</v>
      </c>
      <c r="J85" s="69" t="str">
        <f>IF(I85&gt;0,CT!E81,"")</f>
        <v/>
      </c>
    </row>
    <row r="86" spans="1:10" hidden="1" x14ac:dyDescent="0.25">
      <c r="A86" s="68" t="str">
        <f>IF(LEFT(CT!$D82,3)=NKTT!$G$2,CT!A82,"")</f>
        <v/>
      </c>
      <c r="B86" s="68" t="str">
        <f>IF(LEFT(CT!$D82,3)=NKTT!$G$2,CT!B82,"")</f>
        <v/>
      </c>
      <c r="C86" s="68" t="str">
        <f>IF(LEFT(CT!$D82,3)=NKTT!$G$2,CT!C82,"")</f>
        <v/>
      </c>
      <c r="D86" s="69">
        <f>IF(LEFT(CT!$D82,3)=NKTT!$G$2,CT!H82,0)</f>
        <v>0</v>
      </c>
      <c r="E86" s="69">
        <f>IF(AND(LEFT(CT!$D82,3)=NKTT!$G$2,LEFT(CT!$E82,3)=NKTT!$E$6),CT!$H82,0)</f>
        <v>0</v>
      </c>
      <c r="F86" s="69">
        <f>IF(AND(LEFT(CT!$D82,3)=NKTT!$G$2,LEFT(CT!$E82,3)=NKTT!$F$6),CT!$H82,0)</f>
        <v>0</v>
      </c>
      <c r="G86" s="69">
        <f>IF(AND(LEFT(CT!$D82,3)=NKTT!$G$2,LEFT(CT!$E82,3)=NKTT!$G$6),CT!$H82,0)</f>
        <v>0</v>
      </c>
      <c r="H86" s="69">
        <f>IF(AND(LEFT(CT!$D82,3)=NKTT!$G$2,LEFT(CT!$E82,3)=NKTT!$H$6),CT!$H82,0)</f>
        <v>0</v>
      </c>
      <c r="I86" s="69">
        <f t="shared" si="1"/>
        <v>0</v>
      </c>
      <c r="J86" s="69" t="str">
        <f>IF(I86&gt;0,CT!E82,"")</f>
        <v/>
      </c>
    </row>
    <row r="87" spans="1:10" hidden="1" x14ac:dyDescent="0.25">
      <c r="A87" s="68" t="str">
        <f>IF(LEFT(CT!$D83,3)=NKTT!$G$2,CT!A83,"")</f>
        <v/>
      </c>
      <c r="B87" s="68" t="str">
        <f>IF(LEFT(CT!$D83,3)=NKTT!$G$2,CT!B83,"")</f>
        <v/>
      </c>
      <c r="C87" s="68" t="str">
        <f>IF(LEFT(CT!$D83,3)=NKTT!$G$2,CT!C83,"")</f>
        <v/>
      </c>
      <c r="D87" s="69">
        <f>IF(LEFT(CT!$D83,3)=NKTT!$G$2,CT!H83,0)</f>
        <v>0</v>
      </c>
      <c r="E87" s="69">
        <f>IF(AND(LEFT(CT!$D83,3)=NKTT!$G$2,LEFT(CT!$E83,3)=NKTT!$E$6),CT!$H83,0)</f>
        <v>0</v>
      </c>
      <c r="F87" s="69">
        <f>IF(AND(LEFT(CT!$D83,3)=NKTT!$G$2,LEFT(CT!$E83,3)=NKTT!$F$6),CT!$H83,0)</f>
        <v>0</v>
      </c>
      <c r="G87" s="69">
        <f>IF(AND(LEFT(CT!$D83,3)=NKTT!$G$2,LEFT(CT!$E83,3)=NKTT!$G$6),CT!$H83,0)</f>
        <v>0</v>
      </c>
      <c r="H87" s="69">
        <f>IF(AND(LEFT(CT!$D83,3)=NKTT!$G$2,LEFT(CT!$E83,3)=NKTT!$H$6),CT!$H83,0)</f>
        <v>0</v>
      </c>
      <c r="I87" s="69">
        <f t="shared" si="1"/>
        <v>0</v>
      </c>
      <c r="J87" s="69" t="str">
        <f>IF(I87&gt;0,CT!E83,"")</f>
        <v/>
      </c>
    </row>
    <row r="88" spans="1:10" hidden="1" x14ac:dyDescent="0.25">
      <c r="A88" s="68" t="str">
        <f>IF(LEFT(CT!$D84,3)=NKTT!$G$2,CT!A84,"")</f>
        <v/>
      </c>
      <c r="B88" s="68" t="str">
        <f>IF(LEFT(CT!$D84,3)=NKTT!$G$2,CT!B84,"")</f>
        <v/>
      </c>
      <c r="C88" s="68" t="str">
        <f>IF(LEFT(CT!$D84,3)=NKTT!$G$2,CT!C84,"")</f>
        <v/>
      </c>
      <c r="D88" s="69">
        <f>IF(LEFT(CT!$D84,3)=NKTT!$G$2,CT!H84,0)</f>
        <v>0</v>
      </c>
      <c r="E88" s="69">
        <f>IF(AND(LEFT(CT!$D84,3)=NKTT!$G$2,LEFT(CT!$E84,3)=NKTT!$E$6),CT!$H84,0)</f>
        <v>0</v>
      </c>
      <c r="F88" s="69">
        <f>IF(AND(LEFT(CT!$D84,3)=NKTT!$G$2,LEFT(CT!$E84,3)=NKTT!$F$6),CT!$H84,0)</f>
        <v>0</v>
      </c>
      <c r="G88" s="69">
        <f>IF(AND(LEFT(CT!$D84,3)=NKTT!$G$2,LEFT(CT!$E84,3)=NKTT!$G$6),CT!$H84,0)</f>
        <v>0</v>
      </c>
      <c r="H88" s="69">
        <f>IF(AND(LEFT(CT!$D84,3)=NKTT!$G$2,LEFT(CT!$E84,3)=NKTT!$H$6),CT!$H84,0)</f>
        <v>0</v>
      </c>
      <c r="I88" s="69">
        <f t="shared" si="1"/>
        <v>0</v>
      </c>
      <c r="J88" s="69" t="str">
        <f>IF(I88&gt;0,CT!E84,"")</f>
        <v/>
      </c>
    </row>
    <row r="89" spans="1:10" hidden="1" x14ac:dyDescent="0.25">
      <c r="A89" s="68" t="str">
        <f>IF(LEFT(CT!$D85,3)=NKTT!$G$2,CT!A85,"")</f>
        <v/>
      </c>
      <c r="B89" s="68" t="str">
        <f>IF(LEFT(CT!$D85,3)=NKTT!$G$2,CT!B85,"")</f>
        <v/>
      </c>
      <c r="C89" s="68" t="str">
        <f>IF(LEFT(CT!$D85,3)=NKTT!$G$2,CT!C85,"")</f>
        <v/>
      </c>
      <c r="D89" s="69">
        <f>IF(LEFT(CT!$D85,3)=NKTT!$G$2,CT!H85,0)</f>
        <v>0</v>
      </c>
      <c r="E89" s="69">
        <f>IF(AND(LEFT(CT!$D85,3)=NKTT!$G$2,LEFT(CT!$E85,3)=NKTT!$E$6),CT!$H85,0)</f>
        <v>0</v>
      </c>
      <c r="F89" s="69">
        <f>IF(AND(LEFT(CT!$D85,3)=NKTT!$G$2,LEFT(CT!$E85,3)=NKTT!$F$6),CT!$H85,0)</f>
        <v>0</v>
      </c>
      <c r="G89" s="69">
        <f>IF(AND(LEFT(CT!$D85,3)=NKTT!$G$2,LEFT(CT!$E85,3)=NKTT!$G$6),CT!$H85,0)</f>
        <v>0</v>
      </c>
      <c r="H89" s="69">
        <f>IF(AND(LEFT(CT!$D85,3)=NKTT!$G$2,LEFT(CT!$E85,3)=NKTT!$H$6),CT!$H85,0)</f>
        <v>0</v>
      </c>
      <c r="I89" s="69">
        <f t="shared" si="1"/>
        <v>0</v>
      </c>
      <c r="J89" s="69" t="str">
        <f>IF(I89&gt;0,CT!E85,"")</f>
        <v/>
      </c>
    </row>
    <row r="90" spans="1:10" hidden="1" x14ac:dyDescent="0.25">
      <c r="A90" s="68" t="str">
        <f>IF(LEFT(CT!$D86,3)=NKTT!$G$2,CT!A86,"")</f>
        <v/>
      </c>
      <c r="B90" s="68" t="str">
        <f>IF(LEFT(CT!$D86,3)=NKTT!$G$2,CT!B86,"")</f>
        <v/>
      </c>
      <c r="C90" s="68" t="str">
        <f>IF(LEFT(CT!$D86,3)=NKTT!$G$2,CT!C86,"")</f>
        <v/>
      </c>
      <c r="D90" s="69">
        <f>IF(LEFT(CT!$D86,3)=NKTT!$G$2,CT!H86,0)</f>
        <v>0</v>
      </c>
      <c r="E90" s="69">
        <f>IF(AND(LEFT(CT!$D86,3)=NKTT!$G$2,LEFT(CT!$E86,3)=NKTT!$E$6),CT!$H86,0)</f>
        <v>0</v>
      </c>
      <c r="F90" s="69">
        <f>IF(AND(LEFT(CT!$D86,3)=NKTT!$G$2,LEFT(CT!$E86,3)=NKTT!$F$6),CT!$H86,0)</f>
        <v>0</v>
      </c>
      <c r="G90" s="69">
        <f>IF(AND(LEFT(CT!$D86,3)=NKTT!$G$2,LEFT(CT!$E86,3)=NKTT!$G$6),CT!$H86,0)</f>
        <v>0</v>
      </c>
      <c r="H90" s="69">
        <f>IF(AND(LEFT(CT!$D86,3)=NKTT!$G$2,LEFT(CT!$E86,3)=NKTT!$H$6),CT!$H86,0)</f>
        <v>0</v>
      </c>
      <c r="I90" s="69">
        <f t="shared" si="1"/>
        <v>0</v>
      </c>
      <c r="J90" s="69" t="str">
        <f>IF(I90&gt;0,CT!E86,"")</f>
        <v/>
      </c>
    </row>
    <row r="91" spans="1:10" hidden="1" x14ac:dyDescent="0.25">
      <c r="A91" s="68" t="str">
        <f>IF(LEFT(CT!$D87,3)=NKTT!$G$2,CT!A87,"")</f>
        <v/>
      </c>
      <c r="B91" s="68" t="str">
        <f>IF(LEFT(CT!$D87,3)=NKTT!$G$2,CT!B87,"")</f>
        <v/>
      </c>
      <c r="C91" s="68" t="str">
        <f>IF(LEFT(CT!$D87,3)=NKTT!$G$2,CT!C87,"")</f>
        <v/>
      </c>
      <c r="D91" s="69">
        <f>IF(LEFT(CT!$D87,3)=NKTT!$G$2,CT!H87,0)</f>
        <v>0</v>
      </c>
      <c r="E91" s="69">
        <f>IF(AND(LEFT(CT!$D87,3)=NKTT!$G$2,LEFT(CT!$E87,3)=NKTT!$E$6),CT!$H87,0)</f>
        <v>0</v>
      </c>
      <c r="F91" s="69">
        <f>IF(AND(LEFT(CT!$D87,3)=NKTT!$G$2,LEFT(CT!$E87,3)=NKTT!$F$6),CT!$H87,0)</f>
        <v>0</v>
      </c>
      <c r="G91" s="69">
        <f>IF(AND(LEFT(CT!$D87,3)=NKTT!$G$2,LEFT(CT!$E87,3)=NKTT!$G$6),CT!$H87,0)</f>
        <v>0</v>
      </c>
      <c r="H91" s="69">
        <f>IF(AND(LEFT(CT!$D87,3)=NKTT!$G$2,LEFT(CT!$E87,3)=NKTT!$H$6),CT!$H87,0)</f>
        <v>0</v>
      </c>
      <c r="I91" s="69">
        <f t="shared" si="1"/>
        <v>0</v>
      </c>
      <c r="J91" s="69" t="str">
        <f>IF(I91&gt;0,CT!E87,"")</f>
        <v/>
      </c>
    </row>
    <row r="92" spans="1:10" hidden="1" x14ac:dyDescent="0.25">
      <c r="A92" s="68" t="str">
        <f>IF(LEFT(CT!$D88,3)=NKTT!$G$2,CT!A88,"")</f>
        <v/>
      </c>
      <c r="B92" s="68" t="str">
        <f>IF(LEFT(CT!$D88,3)=NKTT!$G$2,CT!B88,"")</f>
        <v/>
      </c>
      <c r="C92" s="68" t="str">
        <f>IF(LEFT(CT!$D88,3)=NKTT!$G$2,CT!C88,"")</f>
        <v/>
      </c>
      <c r="D92" s="69">
        <f>IF(LEFT(CT!$D88,3)=NKTT!$G$2,CT!H88,0)</f>
        <v>0</v>
      </c>
      <c r="E92" s="69">
        <f>IF(AND(LEFT(CT!$D88,3)=NKTT!$G$2,LEFT(CT!$E88,3)=NKTT!$E$6),CT!$H88,0)</f>
        <v>0</v>
      </c>
      <c r="F92" s="69">
        <f>IF(AND(LEFT(CT!$D88,3)=NKTT!$G$2,LEFT(CT!$E88,3)=NKTT!$F$6),CT!$H88,0)</f>
        <v>0</v>
      </c>
      <c r="G92" s="69">
        <f>IF(AND(LEFT(CT!$D88,3)=NKTT!$G$2,LEFT(CT!$E88,3)=NKTT!$G$6),CT!$H88,0)</f>
        <v>0</v>
      </c>
      <c r="H92" s="69">
        <f>IF(AND(LEFT(CT!$D88,3)=NKTT!$G$2,LEFT(CT!$E88,3)=NKTT!$H$6),CT!$H88,0)</f>
        <v>0</v>
      </c>
      <c r="I92" s="69">
        <f t="shared" si="1"/>
        <v>0</v>
      </c>
      <c r="J92" s="69" t="str">
        <f>IF(I92&gt;0,CT!E88,"")</f>
        <v/>
      </c>
    </row>
    <row r="93" spans="1:10" hidden="1" x14ac:dyDescent="0.25">
      <c r="A93" s="68" t="str">
        <f>IF(LEFT(CT!$D89,3)=NKTT!$G$2,CT!A89,"")</f>
        <v/>
      </c>
      <c r="B93" s="68" t="str">
        <f>IF(LEFT(CT!$D89,3)=NKTT!$G$2,CT!B89,"")</f>
        <v/>
      </c>
      <c r="C93" s="68" t="str">
        <f>IF(LEFT(CT!$D89,3)=NKTT!$G$2,CT!C89,"")</f>
        <v/>
      </c>
      <c r="D93" s="69">
        <f>IF(LEFT(CT!$D89,3)=NKTT!$G$2,CT!H89,0)</f>
        <v>0</v>
      </c>
      <c r="E93" s="69">
        <f>IF(AND(LEFT(CT!$D89,3)=NKTT!$G$2,LEFT(CT!$E89,3)=NKTT!$E$6),CT!$H89,0)</f>
        <v>0</v>
      </c>
      <c r="F93" s="69">
        <f>IF(AND(LEFT(CT!$D89,3)=NKTT!$G$2,LEFT(CT!$E89,3)=NKTT!$F$6),CT!$H89,0)</f>
        <v>0</v>
      </c>
      <c r="G93" s="69">
        <f>IF(AND(LEFT(CT!$D89,3)=NKTT!$G$2,LEFT(CT!$E89,3)=NKTT!$G$6),CT!$H89,0)</f>
        <v>0</v>
      </c>
      <c r="H93" s="69">
        <f>IF(AND(LEFT(CT!$D89,3)=NKTT!$G$2,LEFT(CT!$E89,3)=NKTT!$H$6),CT!$H89,0)</f>
        <v>0</v>
      </c>
      <c r="I93" s="69">
        <f t="shared" si="1"/>
        <v>0</v>
      </c>
      <c r="J93" s="69" t="str">
        <f>IF(I93&gt;0,CT!E89,"")</f>
        <v/>
      </c>
    </row>
    <row r="94" spans="1:10" hidden="1" x14ac:dyDescent="0.25">
      <c r="A94" s="68" t="str">
        <f>IF(LEFT(CT!$D90,3)=NKTT!$G$2,CT!A90,"")</f>
        <v/>
      </c>
      <c r="B94" s="68" t="str">
        <f>IF(LEFT(CT!$D90,3)=NKTT!$G$2,CT!B90,"")</f>
        <v/>
      </c>
      <c r="C94" s="68" t="str">
        <f>IF(LEFT(CT!$D90,3)=NKTT!$G$2,CT!C90,"")</f>
        <v/>
      </c>
      <c r="D94" s="69">
        <f>IF(LEFT(CT!$D90,3)=NKTT!$G$2,CT!H90,0)</f>
        <v>0</v>
      </c>
      <c r="E94" s="69">
        <f>IF(AND(LEFT(CT!$D90,3)=NKTT!$G$2,LEFT(CT!$E90,3)=NKTT!$E$6),CT!$H90,0)</f>
        <v>0</v>
      </c>
      <c r="F94" s="69">
        <f>IF(AND(LEFT(CT!$D90,3)=NKTT!$G$2,LEFT(CT!$E90,3)=NKTT!$F$6),CT!$H90,0)</f>
        <v>0</v>
      </c>
      <c r="G94" s="69">
        <f>IF(AND(LEFT(CT!$D90,3)=NKTT!$G$2,LEFT(CT!$E90,3)=NKTT!$G$6),CT!$H90,0)</f>
        <v>0</v>
      </c>
      <c r="H94" s="69">
        <f>IF(AND(LEFT(CT!$D90,3)=NKTT!$G$2,LEFT(CT!$E90,3)=NKTT!$H$6),CT!$H90,0)</f>
        <v>0</v>
      </c>
      <c r="I94" s="69">
        <f t="shared" si="1"/>
        <v>0</v>
      </c>
      <c r="J94" s="69" t="str">
        <f>IF(I94&gt;0,CT!E90,"")</f>
        <v/>
      </c>
    </row>
    <row r="95" spans="1:10" hidden="1" x14ac:dyDescent="0.25">
      <c r="A95" s="68" t="str">
        <f>IF(LEFT(CT!$D91,3)=NKTT!$G$2,CT!A91,"")</f>
        <v/>
      </c>
      <c r="B95" s="68" t="str">
        <f>IF(LEFT(CT!$D91,3)=NKTT!$G$2,CT!B91,"")</f>
        <v/>
      </c>
      <c r="C95" s="68" t="str">
        <f>IF(LEFT(CT!$D91,3)=NKTT!$G$2,CT!C91,"")</f>
        <v/>
      </c>
      <c r="D95" s="69">
        <f>IF(LEFT(CT!$D91,3)=NKTT!$G$2,CT!H91,0)</f>
        <v>0</v>
      </c>
      <c r="E95" s="69">
        <f>IF(AND(LEFT(CT!$D91,3)=NKTT!$G$2,LEFT(CT!$E91,3)=NKTT!$E$6),CT!$H91,0)</f>
        <v>0</v>
      </c>
      <c r="F95" s="69">
        <f>IF(AND(LEFT(CT!$D91,3)=NKTT!$G$2,LEFT(CT!$E91,3)=NKTT!$F$6),CT!$H91,0)</f>
        <v>0</v>
      </c>
      <c r="G95" s="69">
        <f>IF(AND(LEFT(CT!$D91,3)=NKTT!$G$2,LEFT(CT!$E91,3)=NKTT!$G$6),CT!$H91,0)</f>
        <v>0</v>
      </c>
      <c r="H95" s="69">
        <f>IF(AND(LEFT(CT!$D91,3)=NKTT!$G$2,LEFT(CT!$E91,3)=NKTT!$H$6),CT!$H91,0)</f>
        <v>0</v>
      </c>
      <c r="I95" s="69">
        <f t="shared" si="1"/>
        <v>0</v>
      </c>
      <c r="J95" s="69" t="str">
        <f>IF(I95&gt;0,CT!E91,"")</f>
        <v/>
      </c>
    </row>
    <row r="96" spans="1:10" hidden="1" x14ac:dyDescent="0.25">
      <c r="A96" s="68" t="str">
        <f>IF(LEFT(CT!$D92,3)=NKTT!$G$2,CT!A92,"")</f>
        <v/>
      </c>
      <c r="B96" s="68" t="str">
        <f>IF(LEFT(CT!$D92,3)=NKTT!$G$2,CT!B92,"")</f>
        <v/>
      </c>
      <c r="C96" s="68" t="str">
        <f>IF(LEFT(CT!$D92,3)=NKTT!$G$2,CT!C92,"")</f>
        <v/>
      </c>
      <c r="D96" s="69">
        <f>IF(LEFT(CT!$D92,3)=NKTT!$G$2,CT!H92,0)</f>
        <v>0</v>
      </c>
      <c r="E96" s="69">
        <f>IF(AND(LEFT(CT!$D92,3)=NKTT!$G$2,LEFT(CT!$E92,3)=NKTT!$E$6),CT!$H92,0)</f>
        <v>0</v>
      </c>
      <c r="F96" s="69">
        <f>IF(AND(LEFT(CT!$D92,3)=NKTT!$G$2,LEFT(CT!$E92,3)=NKTT!$F$6),CT!$H92,0)</f>
        <v>0</v>
      </c>
      <c r="G96" s="69">
        <f>IF(AND(LEFT(CT!$D92,3)=NKTT!$G$2,LEFT(CT!$E92,3)=NKTT!$G$6),CT!$H92,0)</f>
        <v>0</v>
      </c>
      <c r="H96" s="69">
        <f>IF(AND(LEFT(CT!$D92,3)=NKTT!$G$2,LEFT(CT!$E92,3)=NKTT!$H$6),CT!$H92,0)</f>
        <v>0</v>
      </c>
      <c r="I96" s="69">
        <f t="shared" si="1"/>
        <v>0</v>
      </c>
      <c r="J96" s="69" t="str">
        <f>IF(I96&gt;0,CT!E92,"")</f>
        <v/>
      </c>
    </row>
    <row r="97" spans="1:10" hidden="1" x14ac:dyDescent="0.25">
      <c r="A97" s="68" t="str">
        <f>IF(LEFT(CT!$D93,3)=NKTT!$G$2,CT!A93,"")</f>
        <v/>
      </c>
      <c r="B97" s="68" t="str">
        <f>IF(LEFT(CT!$D93,3)=NKTT!$G$2,CT!B93,"")</f>
        <v/>
      </c>
      <c r="C97" s="68" t="str">
        <f>IF(LEFT(CT!$D93,3)=NKTT!$G$2,CT!C93,"")</f>
        <v/>
      </c>
      <c r="D97" s="69">
        <f>IF(LEFT(CT!$D93,3)=NKTT!$G$2,CT!H93,0)</f>
        <v>0</v>
      </c>
      <c r="E97" s="69">
        <f>IF(AND(LEFT(CT!$D93,3)=NKTT!$G$2,LEFT(CT!$E93,3)=NKTT!$E$6),CT!$H93,0)</f>
        <v>0</v>
      </c>
      <c r="F97" s="69">
        <f>IF(AND(LEFT(CT!$D93,3)=NKTT!$G$2,LEFT(CT!$E93,3)=NKTT!$F$6),CT!$H93,0)</f>
        <v>0</v>
      </c>
      <c r="G97" s="69">
        <f>IF(AND(LEFT(CT!$D93,3)=NKTT!$G$2,LEFT(CT!$E93,3)=NKTT!$G$6),CT!$H93,0)</f>
        <v>0</v>
      </c>
      <c r="H97" s="69">
        <f>IF(AND(LEFT(CT!$D93,3)=NKTT!$G$2,LEFT(CT!$E93,3)=NKTT!$H$6),CT!$H93,0)</f>
        <v>0</v>
      </c>
      <c r="I97" s="69">
        <f t="shared" si="1"/>
        <v>0</v>
      </c>
      <c r="J97" s="69" t="str">
        <f>IF(I97&gt;0,CT!E93,"")</f>
        <v/>
      </c>
    </row>
    <row r="98" spans="1:10" hidden="1" x14ac:dyDescent="0.25">
      <c r="A98" s="68" t="str">
        <f>IF(LEFT(CT!$D94,3)=NKTT!$G$2,CT!A94,"")</f>
        <v/>
      </c>
      <c r="B98" s="68" t="str">
        <f>IF(LEFT(CT!$D94,3)=NKTT!$G$2,CT!B94,"")</f>
        <v/>
      </c>
      <c r="C98" s="68" t="str">
        <f>IF(LEFT(CT!$D94,3)=NKTT!$G$2,CT!C94,"")</f>
        <v/>
      </c>
      <c r="D98" s="69">
        <f>IF(LEFT(CT!$D94,3)=NKTT!$G$2,CT!H94,0)</f>
        <v>0</v>
      </c>
      <c r="E98" s="69">
        <f>IF(AND(LEFT(CT!$D94,3)=NKTT!$G$2,LEFT(CT!$E94,3)=NKTT!$E$6),CT!$H94,0)</f>
        <v>0</v>
      </c>
      <c r="F98" s="69">
        <f>IF(AND(LEFT(CT!$D94,3)=NKTT!$G$2,LEFT(CT!$E94,3)=NKTT!$F$6),CT!$H94,0)</f>
        <v>0</v>
      </c>
      <c r="G98" s="69">
        <f>IF(AND(LEFT(CT!$D94,3)=NKTT!$G$2,LEFT(CT!$E94,3)=NKTT!$G$6),CT!$H94,0)</f>
        <v>0</v>
      </c>
      <c r="H98" s="69">
        <f>IF(AND(LEFT(CT!$D94,3)=NKTT!$G$2,LEFT(CT!$E94,3)=NKTT!$H$6),CT!$H94,0)</f>
        <v>0</v>
      </c>
      <c r="I98" s="69">
        <f t="shared" si="1"/>
        <v>0</v>
      </c>
      <c r="J98" s="69" t="str">
        <f>IF(I98&gt;0,CT!E94,"")</f>
        <v/>
      </c>
    </row>
    <row r="99" spans="1:10" hidden="1" x14ac:dyDescent="0.25">
      <c r="A99" s="68" t="str">
        <f>IF(LEFT(CT!$D95,3)=NKTT!$G$2,CT!A95,"")</f>
        <v/>
      </c>
      <c r="B99" s="68" t="str">
        <f>IF(LEFT(CT!$D95,3)=NKTT!$G$2,CT!B95,"")</f>
        <v/>
      </c>
      <c r="C99" s="68" t="str">
        <f>IF(LEFT(CT!$D95,3)=NKTT!$G$2,CT!C95,"")</f>
        <v/>
      </c>
      <c r="D99" s="69">
        <f>IF(LEFT(CT!$D95,3)=NKTT!$G$2,CT!H95,0)</f>
        <v>0</v>
      </c>
      <c r="E99" s="69">
        <f>IF(AND(LEFT(CT!$D95,3)=NKTT!$G$2,LEFT(CT!$E95,3)=NKTT!$E$6),CT!$H95,0)</f>
        <v>0</v>
      </c>
      <c r="F99" s="69">
        <f>IF(AND(LEFT(CT!$D95,3)=NKTT!$G$2,LEFT(CT!$E95,3)=NKTT!$F$6),CT!$H95,0)</f>
        <v>0</v>
      </c>
      <c r="G99" s="69">
        <f>IF(AND(LEFT(CT!$D95,3)=NKTT!$G$2,LEFT(CT!$E95,3)=NKTT!$G$6),CT!$H95,0)</f>
        <v>0</v>
      </c>
      <c r="H99" s="69">
        <f>IF(AND(LEFT(CT!$D95,3)=NKTT!$G$2,LEFT(CT!$E95,3)=NKTT!$H$6),CT!$H95,0)</f>
        <v>0</v>
      </c>
      <c r="I99" s="69">
        <f t="shared" si="1"/>
        <v>0</v>
      </c>
      <c r="J99" s="69" t="str">
        <f>IF(I99&gt;0,CT!E95,"")</f>
        <v/>
      </c>
    </row>
    <row r="100" spans="1:10" hidden="1" x14ac:dyDescent="0.25">
      <c r="A100" s="68" t="str">
        <f>IF(LEFT(CT!$D96,3)=NKTT!$G$2,CT!A96,"")</f>
        <v/>
      </c>
      <c r="B100" s="68" t="str">
        <f>IF(LEFT(CT!$D96,3)=NKTT!$G$2,CT!B96,"")</f>
        <v/>
      </c>
      <c r="C100" s="68" t="str">
        <f>IF(LEFT(CT!$D96,3)=NKTT!$G$2,CT!C96,"")</f>
        <v/>
      </c>
      <c r="D100" s="69">
        <f>IF(LEFT(CT!$D96,3)=NKTT!$G$2,CT!H96,0)</f>
        <v>0</v>
      </c>
      <c r="E100" s="69">
        <f>IF(AND(LEFT(CT!$D96,3)=NKTT!$G$2,LEFT(CT!$E96,3)=NKTT!$E$6),CT!$H96,0)</f>
        <v>0</v>
      </c>
      <c r="F100" s="69">
        <f>IF(AND(LEFT(CT!$D96,3)=NKTT!$G$2,LEFT(CT!$E96,3)=NKTT!$F$6),CT!$H96,0)</f>
        <v>0</v>
      </c>
      <c r="G100" s="69">
        <f>IF(AND(LEFT(CT!$D96,3)=NKTT!$G$2,LEFT(CT!$E96,3)=NKTT!$G$6),CT!$H96,0)</f>
        <v>0</v>
      </c>
      <c r="H100" s="69">
        <f>IF(AND(LEFT(CT!$D96,3)=NKTT!$G$2,LEFT(CT!$E96,3)=NKTT!$H$6),CT!$H96,0)</f>
        <v>0</v>
      </c>
      <c r="I100" s="69">
        <f t="shared" si="1"/>
        <v>0</v>
      </c>
      <c r="J100" s="69" t="str">
        <f>IF(I100&gt;0,CT!E96,"")</f>
        <v/>
      </c>
    </row>
    <row r="101" spans="1:10" hidden="1" x14ac:dyDescent="0.25">
      <c r="A101" s="68" t="str">
        <f>IF(LEFT(CT!$D97,3)=NKTT!$G$2,CT!A97,"")</f>
        <v/>
      </c>
      <c r="B101" s="68" t="str">
        <f>IF(LEFT(CT!$D97,3)=NKTT!$G$2,CT!B97,"")</f>
        <v/>
      </c>
      <c r="C101" s="68" t="str">
        <f>IF(LEFT(CT!$D97,3)=NKTT!$G$2,CT!C97,"")</f>
        <v/>
      </c>
      <c r="D101" s="69">
        <f>IF(LEFT(CT!$D97,3)=NKTT!$G$2,CT!H97,0)</f>
        <v>0</v>
      </c>
      <c r="E101" s="69">
        <f>IF(AND(LEFT(CT!$D97,3)=NKTT!$G$2,LEFT(CT!$E97,3)=NKTT!$E$6),CT!$H97,0)</f>
        <v>0</v>
      </c>
      <c r="F101" s="69">
        <f>IF(AND(LEFT(CT!$D97,3)=NKTT!$G$2,LEFT(CT!$E97,3)=NKTT!$F$6),CT!$H97,0)</f>
        <v>0</v>
      </c>
      <c r="G101" s="69">
        <f>IF(AND(LEFT(CT!$D97,3)=NKTT!$G$2,LEFT(CT!$E97,3)=NKTT!$G$6),CT!$H97,0)</f>
        <v>0</v>
      </c>
      <c r="H101" s="69">
        <f>IF(AND(LEFT(CT!$D97,3)=NKTT!$G$2,LEFT(CT!$E97,3)=NKTT!$H$6),CT!$H97,0)</f>
        <v>0</v>
      </c>
      <c r="I101" s="69">
        <f t="shared" si="1"/>
        <v>0</v>
      </c>
      <c r="J101" s="69" t="str">
        <f>IF(I101&gt;0,CT!E97,"")</f>
        <v/>
      </c>
    </row>
    <row r="102" spans="1:10" hidden="1" x14ac:dyDescent="0.25">
      <c r="A102" s="68" t="str">
        <f>IF(LEFT(CT!$D98,3)=NKTT!$G$2,CT!A98,"")</f>
        <v/>
      </c>
      <c r="B102" s="68" t="str">
        <f>IF(LEFT(CT!$D98,3)=NKTT!$G$2,CT!B98,"")</f>
        <v/>
      </c>
      <c r="C102" s="68" t="str">
        <f>IF(LEFT(CT!$D98,3)=NKTT!$G$2,CT!C98,"")</f>
        <v/>
      </c>
      <c r="D102" s="69">
        <f>IF(LEFT(CT!$D98,3)=NKTT!$G$2,CT!H98,0)</f>
        <v>0</v>
      </c>
      <c r="E102" s="69">
        <f>IF(AND(LEFT(CT!$D98,3)=NKTT!$G$2,LEFT(CT!$E98,3)=NKTT!$E$6),CT!$H98,0)</f>
        <v>0</v>
      </c>
      <c r="F102" s="69">
        <f>IF(AND(LEFT(CT!$D98,3)=NKTT!$G$2,LEFT(CT!$E98,3)=NKTT!$F$6),CT!$H98,0)</f>
        <v>0</v>
      </c>
      <c r="G102" s="69">
        <f>IF(AND(LEFT(CT!$D98,3)=NKTT!$G$2,LEFT(CT!$E98,3)=NKTT!$G$6),CT!$H98,0)</f>
        <v>0</v>
      </c>
      <c r="H102" s="69">
        <f>IF(AND(LEFT(CT!$D98,3)=NKTT!$G$2,LEFT(CT!$E98,3)=NKTT!$H$6),CT!$H98,0)</f>
        <v>0</v>
      </c>
      <c r="I102" s="69">
        <f t="shared" si="1"/>
        <v>0</v>
      </c>
      <c r="J102" s="69" t="str">
        <f>IF(I102&gt;0,CT!E98,"")</f>
        <v/>
      </c>
    </row>
    <row r="103" spans="1:10" hidden="1" x14ac:dyDescent="0.25">
      <c r="A103" s="68" t="str">
        <f>IF(LEFT(CT!$D99,3)=NKTT!$G$2,CT!A99,"")</f>
        <v/>
      </c>
      <c r="B103" s="68" t="str">
        <f>IF(LEFT(CT!$D99,3)=NKTT!$G$2,CT!B99,"")</f>
        <v/>
      </c>
      <c r="C103" s="68" t="str">
        <f>IF(LEFT(CT!$D99,3)=NKTT!$G$2,CT!C99,"")</f>
        <v/>
      </c>
      <c r="D103" s="69">
        <f>IF(LEFT(CT!$D99,3)=NKTT!$G$2,CT!H99,0)</f>
        <v>0</v>
      </c>
      <c r="E103" s="69">
        <f>IF(AND(LEFT(CT!$D99,3)=NKTT!$G$2,LEFT(CT!$E99,3)=NKTT!$E$6),CT!$H99,0)</f>
        <v>0</v>
      </c>
      <c r="F103" s="69">
        <f>IF(AND(LEFT(CT!$D99,3)=NKTT!$G$2,LEFT(CT!$E99,3)=NKTT!$F$6),CT!$H99,0)</f>
        <v>0</v>
      </c>
      <c r="G103" s="69">
        <f>IF(AND(LEFT(CT!$D99,3)=NKTT!$G$2,LEFT(CT!$E99,3)=NKTT!$G$6),CT!$H99,0)</f>
        <v>0</v>
      </c>
      <c r="H103" s="69">
        <f>IF(AND(LEFT(CT!$D99,3)=NKTT!$G$2,LEFT(CT!$E99,3)=NKTT!$H$6),CT!$H99,0)</f>
        <v>0</v>
      </c>
      <c r="I103" s="69">
        <f t="shared" si="1"/>
        <v>0</v>
      </c>
      <c r="J103" s="69" t="str">
        <f>IF(I103&gt;0,CT!E99,"")</f>
        <v/>
      </c>
    </row>
    <row r="104" spans="1:10" hidden="1" x14ac:dyDescent="0.25">
      <c r="A104" s="68" t="str">
        <f>IF(LEFT(CT!$D100,3)=NKTT!$G$2,CT!A100,"")</f>
        <v/>
      </c>
      <c r="B104" s="68" t="str">
        <f>IF(LEFT(CT!$D100,3)=NKTT!$G$2,CT!B100,"")</f>
        <v/>
      </c>
      <c r="C104" s="68" t="str">
        <f>IF(LEFT(CT!$D100,3)=NKTT!$G$2,CT!C100,"")</f>
        <v/>
      </c>
      <c r="D104" s="69">
        <f>IF(LEFT(CT!$D100,3)=NKTT!$G$2,CT!H100,0)</f>
        <v>0</v>
      </c>
      <c r="E104" s="69">
        <f>IF(AND(LEFT(CT!$D100,3)=NKTT!$G$2,LEFT(CT!$E100,3)=NKTT!$E$6),CT!$H100,0)</f>
        <v>0</v>
      </c>
      <c r="F104" s="69">
        <f>IF(AND(LEFT(CT!$D100,3)=NKTT!$G$2,LEFT(CT!$E100,3)=NKTT!$F$6),CT!$H100,0)</f>
        <v>0</v>
      </c>
      <c r="G104" s="69">
        <f>IF(AND(LEFT(CT!$D100,3)=NKTT!$G$2,LEFT(CT!$E100,3)=NKTT!$G$6),CT!$H100,0)</f>
        <v>0</v>
      </c>
      <c r="H104" s="69">
        <f>IF(AND(LEFT(CT!$D100,3)=NKTT!$G$2,LEFT(CT!$E100,3)=NKTT!$H$6),CT!$H100,0)</f>
        <v>0</v>
      </c>
      <c r="I104" s="69">
        <f t="shared" si="1"/>
        <v>0</v>
      </c>
      <c r="J104" s="69" t="str">
        <f>IF(I104&gt;0,CT!E100,"")</f>
        <v/>
      </c>
    </row>
    <row r="105" spans="1:10" hidden="1" x14ac:dyDescent="0.25">
      <c r="A105" s="68" t="str">
        <f>IF(LEFT(CT!$D101,3)=NKTT!$G$2,CT!A101,"")</f>
        <v/>
      </c>
      <c r="B105" s="68" t="str">
        <f>IF(LEFT(CT!$D101,3)=NKTT!$G$2,CT!B101,"")</f>
        <v/>
      </c>
      <c r="C105" s="68" t="str">
        <f>IF(LEFT(CT!$D101,3)=NKTT!$G$2,CT!C101,"")</f>
        <v/>
      </c>
      <c r="D105" s="69">
        <f>IF(LEFT(CT!$D101,3)=NKTT!$G$2,CT!H101,0)</f>
        <v>0</v>
      </c>
      <c r="E105" s="69">
        <f>IF(AND(LEFT(CT!$D101,3)=NKTT!$G$2,LEFT(CT!$E101,3)=NKTT!$E$6),CT!$H101,0)</f>
        <v>0</v>
      </c>
      <c r="F105" s="69">
        <f>IF(AND(LEFT(CT!$D101,3)=NKTT!$G$2,LEFT(CT!$E101,3)=NKTT!$F$6),CT!$H101,0)</f>
        <v>0</v>
      </c>
      <c r="G105" s="69">
        <f>IF(AND(LEFT(CT!$D101,3)=NKTT!$G$2,LEFT(CT!$E101,3)=NKTT!$G$6),CT!$H101,0)</f>
        <v>0</v>
      </c>
      <c r="H105" s="69">
        <f>IF(AND(LEFT(CT!$D101,3)=NKTT!$G$2,LEFT(CT!$E101,3)=NKTT!$H$6),CT!$H101,0)</f>
        <v>0</v>
      </c>
      <c r="I105" s="69">
        <f t="shared" si="1"/>
        <v>0</v>
      </c>
      <c r="J105" s="69" t="str">
        <f>IF(I105&gt;0,CT!E101,"")</f>
        <v/>
      </c>
    </row>
    <row r="106" spans="1:10" hidden="1" x14ac:dyDescent="0.25">
      <c r="A106" s="68" t="str">
        <f>IF(LEFT(CT!$D102,3)=NKTT!$G$2,CT!A102,"")</f>
        <v/>
      </c>
      <c r="B106" s="68" t="str">
        <f>IF(LEFT(CT!$D102,3)=NKTT!$G$2,CT!B102,"")</f>
        <v/>
      </c>
      <c r="C106" s="68" t="str">
        <f>IF(LEFT(CT!$D102,3)=NKTT!$G$2,CT!C102,"")</f>
        <v/>
      </c>
      <c r="D106" s="69">
        <f>IF(LEFT(CT!$D102,3)=NKTT!$G$2,CT!H102,0)</f>
        <v>0</v>
      </c>
      <c r="E106" s="69">
        <f>IF(AND(LEFT(CT!$D102,3)=NKTT!$G$2,LEFT(CT!$E102,3)=NKTT!$E$6),CT!$H102,0)</f>
        <v>0</v>
      </c>
      <c r="F106" s="69">
        <f>IF(AND(LEFT(CT!$D102,3)=NKTT!$G$2,LEFT(CT!$E102,3)=NKTT!$F$6),CT!$H102,0)</f>
        <v>0</v>
      </c>
      <c r="G106" s="69">
        <f>IF(AND(LEFT(CT!$D102,3)=NKTT!$G$2,LEFT(CT!$E102,3)=NKTT!$G$6),CT!$H102,0)</f>
        <v>0</v>
      </c>
      <c r="H106" s="69">
        <f>IF(AND(LEFT(CT!$D102,3)=NKTT!$G$2,LEFT(CT!$E102,3)=NKTT!$H$6),CT!$H102,0)</f>
        <v>0</v>
      </c>
      <c r="I106" s="69">
        <f t="shared" si="1"/>
        <v>0</v>
      </c>
      <c r="J106" s="69" t="str">
        <f>IF(I106&gt;0,CT!E102,"")</f>
        <v/>
      </c>
    </row>
    <row r="107" spans="1:10" hidden="1" x14ac:dyDescent="0.25">
      <c r="A107" s="68" t="str">
        <f>IF(LEFT(CT!$D103,3)=NKTT!$G$2,CT!A103,"")</f>
        <v/>
      </c>
      <c r="B107" s="68" t="str">
        <f>IF(LEFT(CT!$D103,3)=NKTT!$G$2,CT!B103,"")</f>
        <v/>
      </c>
      <c r="C107" s="68" t="str">
        <f>IF(LEFT(CT!$D103,3)=NKTT!$G$2,CT!C103,"")</f>
        <v/>
      </c>
      <c r="D107" s="69">
        <f>IF(LEFT(CT!$D103,3)=NKTT!$G$2,CT!H103,0)</f>
        <v>0</v>
      </c>
      <c r="E107" s="69">
        <f>IF(AND(LEFT(CT!$D103,3)=NKTT!$G$2,LEFT(CT!$E103,3)=NKTT!$E$6),CT!$H103,0)</f>
        <v>0</v>
      </c>
      <c r="F107" s="69">
        <f>IF(AND(LEFT(CT!$D103,3)=NKTT!$G$2,LEFT(CT!$E103,3)=NKTT!$F$6),CT!$H103,0)</f>
        <v>0</v>
      </c>
      <c r="G107" s="69">
        <f>IF(AND(LEFT(CT!$D103,3)=NKTT!$G$2,LEFT(CT!$E103,3)=NKTT!$G$6),CT!$H103,0)</f>
        <v>0</v>
      </c>
      <c r="H107" s="69">
        <f>IF(AND(LEFT(CT!$D103,3)=NKTT!$G$2,LEFT(CT!$E103,3)=NKTT!$H$6),CT!$H103,0)</f>
        <v>0</v>
      </c>
      <c r="I107" s="69">
        <f t="shared" si="1"/>
        <v>0</v>
      </c>
      <c r="J107" s="69" t="str">
        <f>IF(I107&gt;0,CT!E103,"")</f>
        <v/>
      </c>
    </row>
    <row r="108" spans="1:10" hidden="1" x14ac:dyDescent="0.25">
      <c r="A108" s="68" t="str">
        <f>IF(LEFT(CT!$D104,3)=NKTT!$G$2,CT!A104,"")</f>
        <v/>
      </c>
      <c r="B108" s="68" t="str">
        <f>IF(LEFT(CT!$D104,3)=NKTT!$G$2,CT!B104,"")</f>
        <v/>
      </c>
      <c r="C108" s="68" t="str">
        <f>IF(LEFT(CT!$D104,3)=NKTT!$G$2,CT!C104,"")</f>
        <v/>
      </c>
      <c r="D108" s="69">
        <f>IF(LEFT(CT!$D104,3)=NKTT!$G$2,CT!H104,0)</f>
        <v>0</v>
      </c>
      <c r="E108" s="69">
        <f>IF(AND(LEFT(CT!$D104,3)=NKTT!$G$2,LEFT(CT!$E104,3)=NKTT!$E$6),CT!$H104,0)</f>
        <v>0</v>
      </c>
      <c r="F108" s="69">
        <f>IF(AND(LEFT(CT!$D104,3)=NKTT!$G$2,LEFT(CT!$E104,3)=NKTT!$F$6),CT!$H104,0)</f>
        <v>0</v>
      </c>
      <c r="G108" s="69">
        <f>IF(AND(LEFT(CT!$D104,3)=NKTT!$G$2,LEFT(CT!$E104,3)=NKTT!$G$6),CT!$H104,0)</f>
        <v>0</v>
      </c>
      <c r="H108" s="69">
        <f>IF(AND(LEFT(CT!$D104,3)=NKTT!$G$2,LEFT(CT!$E104,3)=NKTT!$H$6),CT!$H104,0)</f>
        <v>0</v>
      </c>
      <c r="I108" s="69">
        <f t="shared" si="1"/>
        <v>0</v>
      </c>
      <c r="J108" s="69" t="str">
        <f>IF(I108&gt;0,CT!E104,"")</f>
        <v/>
      </c>
    </row>
    <row r="109" spans="1:10" hidden="1" x14ac:dyDescent="0.25">
      <c r="A109" s="68" t="str">
        <f>IF(LEFT(CT!$D105,3)=NKTT!$G$2,CT!A105,"")</f>
        <v/>
      </c>
      <c r="B109" s="68" t="str">
        <f>IF(LEFT(CT!$D105,3)=NKTT!$G$2,CT!B105,"")</f>
        <v/>
      </c>
      <c r="C109" s="68" t="str">
        <f>IF(LEFT(CT!$D105,3)=NKTT!$G$2,CT!C105,"")</f>
        <v/>
      </c>
      <c r="D109" s="69">
        <f>IF(LEFT(CT!$D105,3)=NKTT!$G$2,CT!H105,0)</f>
        <v>0</v>
      </c>
      <c r="E109" s="69">
        <f>IF(AND(LEFT(CT!$D105,3)=NKTT!$G$2,LEFT(CT!$E105,3)=NKTT!$E$6),CT!$H105,0)</f>
        <v>0</v>
      </c>
      <c r="F109" s="69">
        <f>IF(AND(LEFT(CT!$D105,3)=NKTT!$G$2,LEFT(CT!$E105,3)=NKTT!$F$6),CT!$H105,0)</f>
        <v>0</v>
      </c>
      <c r="G109" s="69">
        <f>IF(AND(LEFT(CT!$D105,3)=NKTT!$G$2,LEFT(CT!$E105,3)=NKTT!$G$6),CT!$H105,0)</f>
        <v>0</v>
      </c>
      <c r="H109" s="69">
        <f>IF(AND(LEFT(CT!$D105,3)=NKTT!$G$2,LEFT(CT!$E105,3)=NKTT!$H$6),CT!$H105,0)</f>
        <v>0</v>
      </c>
      <c r="I109" s="69">
        <f t="shared" si="1"/>
        <v>0</v>
      </c>
      <c r="J109" s="69" t="str">
        <f>IF(I109&gt;0,CT!E105,"")</f>
        <v/>
      </c>
    </row>
    <row r="110" spans="1:10" hidden="1" x14ac:dyDescent="0.25">
      <c r="A110" s="68" t="str">
        <f>IF(LEFT(CT!$D106,3)=NKTT!$G$2,CT!A106,"")</f>
        <v/>
      </c>
      <c r="B110" s="68" t="str">
        <f>IF(LEFT(CT!$D106,3)=NKTT!$G$2,CT!B106,"")</f>
        <v/>
      </c>
      <c r="C110" s="68" t="str">
        <f>IF(LEFT(CT!$D106,3)=NKTT!$G$2,CT!C106,"")</f>
        <v/>
      </c>
      <c r="D110" s="69">
        <f>IF(LEFT(CT!$D106,3)=NKTT!$G$2,CT!H106,0)</f>
        <v>0</v>
      </c>
      <c r="E110" s="69">
        <f>IF(AND(LEFT(CT!$D106,3)=NKTT!$G$2,LEFT(CT!$E106,3)=NKTT!$E$6),CT!$H106,0)</f>
        <v>0</v>
      </c>
      <c r="F110" s="69">
        <f>IF(AND(LEFT(CT!$D106,3)=NKTT!$G$2,LEFT(CT!$E106,3)=NKTT!$F$6),CT!$H106,0)</f>
        <v>0</v>
      </c>
      <c r="G110" s="69">
        <f>IF(AND(LEFT(CT!$D106,3)=NKTT!$G$2,LEFT(CT!$E106,3)=NKTT!$G$6),CT!$H106,0)</f>
        <v>0</v>
      </c>
      <c r="H110" s="69">
        <f>IF(AND(LEFT(CT!$D106,3)=NKTT!$G$2,LEFT(CT!$E106,3)=NKTT!$H$6),CT!$H106,0)</f>
        <v>0</v>
      </c>
      <c r="I110" s="69">
        <f t="shared" si="1"/>
        <v>0</v>
      </c>
      <c r="J110" s="69" t="str">
        <f>IF(I110&gt;0,CT!E106,"")</f>
        <v/>
      </c>
    </row>
    <row r="111" spans="1:10" hidden="1" x14ac:dyDescent="0.25">
      <c r="A111" s="68" t="str">
        <f>IF(LEFT(CT!$D107,3)=NKTT!$G$2,CT!A107,"")</f>
        <v/>
      </c>
      <c r="B111" s="68" t="str">
        <f>IF(LEFT(CT!$D107,3)=NKTT!$G$2,CT!B107,"")</f>
        <v/>
      </c>
      <c r="C111" s="68" t="str">
        <f>IF(LEFT(CT!$D107,3)=NKTT!$G$2,CT!C107,"")</f>
        <v/>
      </c>
      <c r="D111" s="69">
        <f>IF(LEFT(CT!$D107,3)=NKTT!$G$2,CT!H107,0)</f>
        <v>0</v>
      </c>
      <c r="E111" s="69">
        <f>IF(AND(LEFT(CT!$D107,3)=NKTT!$G$2,LEFT(CT!$E107,3)=NKTT!$E$6),CT!$H107,0)</f>
        <v>0</v>
      </c>
      <c r="F111" s="69">
        <f>IF(AND(LEFT(CT!$D107,3)=NKTT!$G$2,LEFT(CT!$E107,3)=NKTT!$F$6),CT!$H107,0)</f>
        <v>0</v>
      </c>
      <c r="G111" s="69">
        <f>IF(AND(LEFT(CT!$D107,3)=NKTT!$G$2,LEFT(CT!$E107,3)=NKTT!$G$6),CT!$H107,0)</f>
        <v>0</v>
      </c>
      <c r="H111" s="69">
        <f>IF(AND(LEFT(CT!$D107,3)=NKTT!$G$2,LEFT(CT!$E107,3)=NKTT!$H$6),CT!$H107,0)</f>
        <v>0</v>
      </c>
      <c r="I111" s="69">
        <f t="shared" si="1"/>
        <v>0</v>
      </c>
      <c r="J111" s="69" t="str">
        <f>IF(I111&gt;0,CT!E107,"")</f>
        <v/>
      </c>
    </row>
    <row r="112" spans="1:10" hidden="1" x14ac:dyDescent="0.25">
      <c r="A112" s="68" t="str">
        <f>IF(LEFT(CT!$D108,3)=NKTT!$G$2,CT!A108,"")</f>
        <v/>
      </c>
      <c r="B112" s="68" t="str">
        <f>IF(LEFT(CT!$D108,3)=NKTT!$G$2,CT!B108,"")</f>
        <v/>
      </c>
      <c r="C112" s="68" t="str">
        <f>IF(LEFT(CT!$D108,3)=NKTT!$G$2,CT!C108,"")</f>
        <v/>
      </c>
      <c r="D112" s="69">
        <f>IF(LEFT(CT!$D108,3)=NKTT!$G$2,CT!H108,0)</f>
        <v>0</v>
      </c>
      <c r="E112" s="69">
        <f>IF(AND(LEFT(CT!$D108,3)=NKTT!$G$2,LEFT(CT!$E108,3)=NKTT!$E$6),CT!$H108,0)</f>
        <v>0</v>
      </c>
      <c r="F112" s="69">
        <f>IF(AND(LEFT(CT!$D108,3)=NKTT!$G$2,LEFT(CT!$E108,3)=NKTT!$F$6),CT!$H108,0)</f>
        <v>0</v>
      </c>
      <c r="G112" s="69">
        <f>IF(AND(LEFT(CT!$D108,3)=NKTT!$G$2,LEFT(CT!$E108,3)=NKTT!$G$6),CT!$H108,0)</f>
        <v>0</v>
      </c>
      <c r="H112" s="69">
        <f>IF(AND(LEFT(CT!$D108,3)=NKTT!$G$2,LEFT(CT!$E108,3)=NKTT!$H$6),CT!$H108,0)</f>
        <v>0</v>
      </c>
      <c r="I112" s="69">
        <f t="shared" si="1"/>
        <v>0</v>
      </c>
      <c r="J112" s="69" t="str">
        <f>IF(I112&gt;0,CT!E108,"")</f>
        <v/>
      </c>
    </row>
    <row r="113" spans="1:10" hidden="1" x14ac:dyDescent="0.25">
      <c r="A113" s="68" t="str">
        <f>IF(LEFT(CT!$D109,3)=NKTT!$G$2,CT!A109,"")</f>
        <v/>
      </c>
      <c r="B113" s="68" t="str">
        <f>IF(LEFT(CT!$D109,3)=NKTT!$G$2,CT!B109,"")</f>
        <v/>
      </c>
      <c r="C113" s="68" t="str">
        <f>IF(LEFT(CT!$D109,3)=NKTT!$G$2,CT!C109,"")</f>
        <v/>
      </c>
      <c r="D113" s="69">
        <f>IF(LEFT(CT!$D109,3)=NKTT!$G$2,CT!H109,0)</f>
        <v>0</v>
      </c>
      <c r="E113" s="69">
        <f>IF(AND(LEFT(CT!$D109,3)=NKTT!$G$2,LEFT(CT!$E109,3)=NKTT!$E$6),CT!$H109,0)</f>
        <v>0</v>
      </c>
      <c r="F113" s="69">
        <f>IF(AND(LEFT(CT!$D109,3)=NKTT!$G$2,LEFT(CT!$E109,3)=NKTT!$F$6),CT!$H109,0)</f>
        <v>0</v>
      </c>
      <c r="G113" s="69">
        <f>IF(AND(LEFT(CT!$D109,3)=NKTT!$G$2,LEFT(CT!$E109,3)=NKTT!$G$6),CT!$H109,0)</f>
        <v>0</v>
      </c>
      <c r="H113" s="69">
        <f>IF(AND(LEFT(CT!$D109,3)=NKTT!$G$2,LEFT(CT!$E109,3)=NKTT!$H$6),CT!$H109,0)</f>
        <v>0</v>
      </c>
      <c r="I113" s="69">
        <f t="shared" si="1"/>
        <v>0</v>
      </c>
      <c r="J113" s="69" t="str">
        <f>IF(I113&gt;0,CT!E109,"")</f>
        <v/>
      </c>
    </row>
    <row r="114" spans="1:10" hidden="1" x14ac:dyDescent="0.25">
      <c r="A114" s="68" t="str">
        <f>IF(LEFT(CT!$D110,3)=NKTT!$G$2,CT!A110,"")</f>
        <v/>
      </c>
      <c r="B114" s="68" t="str">
        <f>IF(LEFT(CT!$D110,3)=NKTT!$G$2,CT!B110,"")</f>
        <v/>
      </c>
      <c r="C114" s="68" t="str">
        <f>IF(LEFT(CT!$D110,3)=NKTT!$G$2,CT!C110,"")</f>
        <v/>
      </c>
      <c r="D114" s="69">
        <f>IF(LEFT(CT!$D110,3)=NKTT!$G$2,CT!H110,0)</f>
        <v>0</v>
      </c>
      <c r="E114" s="69">
        <f>IF(AND(LEFT(CT!$D110,3)=NKTT!$G$2,LEFT(CT!$E110,3)=NKTT!$E$6),CT!$H110,0)</f>
        <v>0</v>
      </c>
      <c r="F114" s="69">
        <f>IF(AND(LEFT(CT!$D110,3)=NKTT!$G$2,LEFT(CT!$E110,3)=NKTT!$F$6),CT!$H110,0)</f>
        <v>0</v>
      </c>
      <c r="G114" s="69">
        <f>IF(AND(LEFT(CT!$D110,3)=NKTT!$G$2,LEFT(CT!$E110,3)=NKTT!$G$6),CT!$H110,0)</f>
        <v>0</v>
      </c>
      <c r="H114" s="69">
        <f>IF(AND(LEFT(CT!$D110,3)=NKTT!$G$2,LEFT(CT!$E110,3)=NKTT!$H$6),CT!$H110,0)</f>
        <v>0</v>
      </c>
      <c r="I114" s="69">
        <f t="shared" si="1"/>
        <v>0</v>
      </c>
      <c r="J114" s="69" t="str">
        <f>IF(I114&gt;0,CT!E110,"")</f>
        <v/>
      </c>
    </row>
    <row r="115" spans="1:10" hidden="1" x14ac:dyDescent="0.25">
      <c r="A115" s="68" t="str">
        <f>IF(LEFT(CT!$D111,3)=NKTT!$G$2,CT!A111,"")</f>
        <v/>
      </c>
      <c r="B115" s="68" t="str">
        <f>IF(LEFT(CT!$D111,3)=NKTT!$G$2,CT!B111,"")</f>
        <v/>
      </c>
      <c r="C115" s="68" t="str">
        <f>IF(LEFT(CT!$D111,3)=NKTT!$G$2,CT!C111,"")</f>
        <v/>
      </c>
      <c r="D115" s="69">
        <f>IF(LEFT(CT!$D111,3)=NKTT!$G$2,CT!H111,0)</f>
        <v>0</v>
      </c>
      <c r="E115" s="69">
        <f>IF(AND(LEFT(CT!$D111,3)=NKTT!$G$2,LEFT(CT!$E111,3)=NKTT!$E$6),CT!$H111,0)</f>
        <v>0</v>
      </c>
      <c r="F115" s="69">
        <f>IF(AND(LEFT(CT!$D111,3)=NKTT!$G$2,LEFT(CT!$E111,3)=NKTT!$F$6),CT!$H111,0)</f>
        <v>0</v>
      </c>
      <c r="G115" s="69">
        <f>IF(AND(LEFT(CT!$D111,3)=NKTT!$G$2,LEFT(CT!$E111,3)=NKTT!$G$6),CT!$H111,0)</f>
        <v>0</v>
      </c>
      <c r="H115" s="69">
        <f>IF(AND(LEFT(CT!$D111,3)=NKTT!$G$2,LEFT(CT!$E111,3)=NKTT!$H$6),CT!$H111,0)</f>
        <v>0</v>
      </c>
      <c r="I115" s="69">
        <f t="shared" si="1"/>
        <v>0</v>
      </c>
      <c r="J115" s="69" t="str">
        <f>IF(I115&gt;0,CT!E111,"")</f>
        <v/>
      </c>
    </row>
    <row r="116" spans="1:10" hidden="1" x14ac:dyDescent="0.25">
      <c r="A116" s="68" t="str">
        <f>IF(LEFT(CT!$D112,3)=NKTT!$G$2,CT!A112,"")</f>
        <v/>
      </c>
      <c r="B116" s="68" t="str">
        <f>IF(LEFT(CT!$D112,3)=NKTT!$G$2,CT!B112,"")</f>
        <v/>
      </c>
      <c r="C116" s="68" t="str">
        <f>IF(LEFT(CT!$D112,3)=NKTT!$G$2,CT!C112,"")</f>
        <v/>
      </c>
      <c r="D116" s="69">
        <f>IF(LEFT(CT!$D112,3)=NKTT!$G$2,CT!H112,0)</f>
        <v>0</v>
      </c>
      <c r="E116" s="69">
        <f>IF(AND(LEFT(CT!$D112,3)=NKTT!$G$2,LEFT(CT!$E112,3)=NKTT!$E$6),CT!$H112,0)</f>
        <v>0</v>
      </c>
      <c r="F116" s="69">
        <f>IF(AND(LEFT(CT!$D112,3)=NKTT!$G$2,LEFT(CT!$E112,3)=NKTT!$F$6),CT!$H112,0)</f>
        <v>0</v>
      </c>
      <c r="G116" s="69">
        <f>IF(AND(LEFT(CT!$D112,3)=NKTT!$G$2,LEFT(CT!$E112,3)=NKTT!$G$6),CT!$H112,0)</f>
        <v>0</v>
      </c>
      <c r="H116" s="69">
        <f>IF(AND(LEFT(CT!$D112,3)=NKTT!$G$2,LEFT(CT!$E112,3)=NKTT!$H$6),CT!$H112,0)</f>
        <v>0</v>
      </c>
      <c r="I116" s="69">
        <f t="shared" si="1"/>
        <v>0</v>
      </c>
      <c r="J116" s="69" t="str">
        <f>IF(I116&gt;0,CT!E112,"")</f>
        <v/>
      </c>
    </row>
    <row r="117" spans="1:10" hidden="1" x14ac:dyDescent="0.25">
      <c r="A117" s="68" t="str">
        <f>IF(LEFT(CT!$D113,3)=NKTT!$G$2,CT!A113,"")</f>
        <v/>
      </c>
      <c r="B117" s="68" t="str">
        <f>IF(LEFT(CT!$D113,3)=NKTT!$G$2,CT!B113,"")</f>
        <v/>
      </c>
      <c r="C117" s="68" t="str">
        <f>IF(LEFT(CT!$D113,3)=NKTT!$G$2,CT!C113,"")</f>
        <v/>
      </c>
      <c r="D117" s="69">
        <f>IF(LEFT(CT!$D113,3)=NKTT!$G$2,CT!H113,0)</f>
        <v>0</v>
      </c>
      <c r="E117" s="69">
        <f>IF(AND(LEFT(CT!$D113,3)=NKTT!$G$2,LEFT(CT!$E113,3)=NKTT!$E$6),CT!$H113,0)</f>
        <v>0</v>
      </c>
      <c r="F117" s="69">
        <f>IF(AND(LEFT(CT!$D113,3)=NKTT!$G$2,LEFT(CT!$E113,3)=NKTT!$F$6),CT!$H113,0)</f>
        <v>0</v>
      </c>
      <c r="G117" s="69">
        <f>IF(AND(LEFT(CT!$D113,3)=NKTT!$G$2,LEFT(CT!$E113,3)=NKTT!$G$6),CT!$H113,0)</f>
        <v>0</v>
      </c>
      <c r="H117" s="69">
        <f>IF(AND(LEFT(CT!$D113,3)=NKTT!$G$2,LEFT(CT!$E113,3)=NKTT!$H$6),CT!$H113,0)</f>
        <v>0</v>
      </c>
      <c r="I117" s="69">
        <f t="shared" si="1"/>
        <v>0</v>
      </c>
      <c r="J117" s="69" t="str">
        <f>IF(I117&gt;0,CT!E113,"")</f>
        <v/>
      </c>
    </row>
    <row r="118" spans="1:10" hidden="1" x14ac:dyDescent="0.25">
      <c r="A118" s="68" t="str">
        <f>IF(LEFT(CT!$D114,3)=NKTT!$G$2,CT!A114,"")</f>
        <v/>
      </c>
      <c r="B118" s="68" t="str">
        <f>IF(LEFT(CT!$D114,3)=NKTT!$G$2,CT!B114,"")</f>
        <v/>
      </c>
      <c r="C118" s="68" t="str">
        <f>IF(LEFT(CT!$D114,3)=NKTT!$G$2,CT!C114,"")</f>
        <v/>
      </c>
      <c r="D118" s="69">
        <f>IF(LEFT(CT!$D114,3)=NKTT!$G$2,CT!H114,0)</f>
        <v>0</v>
      </c>
      <c r="E118" s="69">
        <f>IF(AND(LEFT(CT!$D114,3)=NKTT!$G$2,LEFT(CT!$E114,3)=NKTT!$E$6),CT!$H114,0)</f>
        <v>0</v>
      </c>
      <c r="F118" s="69">
        <f>IF(AND(LEFT(CT!$D114,3)=NKTT!$G$2,LEFT(CT!$E114,3)=NKTT!$F$6),CT!$H114,0)</f>
        <v>0</v>
      </c>
      <c r="G118" s="69">
        <f>IF(AND(LEFT(CT!$D114,3)=NKTT!$G$2,LEFT(CT!$E114,3)=NKTT!$G$6),CT!$H114,0)</f>
        <v>0</v>
      </c>
      <c r="H118" s="69">
        <f>IF(AND(LEFT(CT!$D114,3)=NKTT!$G$2,LEFT(CT!$E114,3)=NKTT!$H$6),CT!$H114,0)</f>
        <v>0</v>
      </c>
      <c r="I118" s="69">
        <f t="shared" si="1"/>
        <v>0</v>
      </c>
      <c r="J118" s="69" t="str">
        <f>IF(I118&gt;0,CT!E114,"")</f>
        <v/>
      </c>
    </row>
    <row r="119" spans="1:10" hidden="1" x14ac:dyDescent="0.25">
      <c r="A119" s="68" t="str">
        <f>IF(LEFT(CT!$D115,3)=NKTT!$G$2,CT!A115,"")</f>
        <v/>
      </c>
      <c r="B119" s="68" t="str">
        <f>IF(LEFT(CT!$D115,3)=NKTT!$G$2,CT!B115,"")</f>
        <v/>
      </c>
      <c r="C119" s="68" t="str">
        <f>IF(LEFT(CT!$D115,3)=NKTT!$G$2,CT!C115,"")</f>
        <v/>
      </c>
      <c r="D119" s="69">
        <f>IF(LEFT(CT!$D115,3)=NKTT!$G$2,CT!H115,0)</f>
        <v>0</v>
      </c>
      <c r="E119" s="69">
        <f>IF(AND(LEFT(CT!$D115,3)=NKTT!$G$2,LEFT(CT!$E115,3)=NKTT!$E$6),CT!$H115,0)</f>
        <v>0</v>
      </c>
      <c r="F119" s="69">
        <f>IF(AND(LEFT(CT!$D115,3)=NKTT!$G$2,LEFT(CT!$E115,3)=NKTT!$F$6),CT!$H115,0)</f>
        <v>0</v>
      </c>
      <c r="G119" s="69">
        <f>IF(AND(LEFT(CT!$D115,3)=NKTT!$G$2,LEFT(CT!$E115,3)=NKTT!$G$6),CT!$H115,0)</f>
        <v>0</v>
      </c>
      <c r="H119" s="69">
        <f>IF(AND(LEFT(CT!$D115,3)=NKTT!$G$2,LEFT(CT!$E115,3)=NKTT!$H$6),CT!$H115,0)</f>
        <v>0</v>
      </c>
      <c r="I119" s="69">
        <f t="shared" si="1"/>
        <v>0</v>
      </c>
      <c r="J119" s="69" t="str">
        <f>IF(I119&gt;0,CT!E115,"")</f>
        <v/>
      </c>
    </row>
    <row r="120" spans="1:10" hidden="1" x14ac:dyDescent="0.25">
      <c r="A120" s="68" t="str">
        <f>IF(LEFT(CT!$D116,3)=NKTT!$G$2,CT!A116,"")</f>
        <v/>
      </c>
      <c r="B120" s="68" t="str">
        <f>IF(LEFT(CT!$D116,3)=NKTT!$G$2,CT!B116,"")</f>
        <v/>
      </c>
      <c r="C120" s="68" t="str">
        <f>IF(LEFT(CT!$D116,3)=NKTT!$G$2,CT!C116,"")</f>
        <v/>
      </c>
      <c r="D120" s="69">
        <f>IF(LEFT(CT!$D116,3)=NKTT!$G$2,CT!H116,0)</f>
        <v>0</v>
      </c>
      <c r="E120" s="69">
        <f>IF(AND(LEFT(CT!$D116,3)=NKTT!$G$2,LEFT(CT!$E116,3)=NKTT!$E$6),CT!$H116,0)</f>
        <v>0</v>
      </c>
      <c r="F120" s="69">
        <f>IF(AND(LEFT(CT!$D116,3)=NKTT!$G$2,LEFT(CT!$E116,3)=NKTT!$F$6),CT!$H116,0)</f>
        <v>0</v>
      </c>
      <c r="G120" s="69">
        <f>IF(AND(LEFT(CT!$D116,3)=NKTT!$G$2,LEFT(CT!$E116,3)=NKTT!$G$6),CT!$H116,0)</f>
        <v>0</v>
      </c>
      <c r="H120" s="69">
        <f>IF(AND(LEFT(CT!$D116,3)=NKTT!$G$2,LEFT(CT!$E116,3)=NKTT!$H$6),CT!$H116,0)</f>
        <v>0</v>
      </c>
      <c r="I120" s="69">
        <f t="shared" si="1"/>
        <v>0</v>
      </c>
      <c r="J120" s="69" t="str">
        <f>IF(I120&gt;0,CT!E116,"")</f>
        <v/>
      </c>
    </row>
    <row r="121" spans="1:10" hidden="1" x14ac:dyDescent="0.25">
      <c r="A121" s="68" t="str">
        <f>IF(LEFT(CT!$D117,3)=NKTT!$G$2,CT!A117,"")</f>
        <v/>
      </c>
      <c r="B121" s="68" t="str">
        <f>IF(LEFT(CT!$D117,3)=NKTT!$G$2,CT!B117,"")</f>
        <v/>
      </c>
      <c r="C121" s="68" t="str">
        <f>IF(LEFT(CT!$D117,3)=NKTT!$G$2,CT!C117,"")</f>
        <v/>
      </c>
      <c r="D121" s="69">
        <f>IF(LEFT(CT!$D117,3)=NKTT!$G$2,CT!H117,0)</f>
        <v>0</v>
      </c>
      <c r="E121" s="69">
        <f>IF(AND(LEFT(CT!$D117,3)=NKTT!$G$2,LEFT(CT!$E117,3)=NKTT!$E$6),CT!$H117,0)</f>
        <v>0</v>
      </c>
      <c r="F121" s="69">
        <f>IF(AND(LEFT(CT!$D117,3)=NKTT!$G$2,LEFT(CT!$E117,3)=NKTT!$F$6),CT!$H117,0)</f>
        <v>0</v>
      </c>
      <c r="G121" s="69">
        <f>IF(AND(LEFT(CT!$D117,3)=NKTT!$G$2,LEFT(CT!$E117,3)=NKTT!$G$6),CT!$H117,0)</f>
        <v>0</v>
      </c>
      <c r="H121" s="69">
        <f>IF(AND(LEFT(CT!$D117,3)=NKTT!$G$2,LEFT(CT!$E117,3)=NKTT!$H$6),CT!$H117,0)</f>
        <v>0</v>
      </c>
      <c r="I121" s="69">
        <f t="shared" si="1"/>
        <v>0</v>
      </c>
      <c r="J121" s="69" t="str">
        <f>IF(I121&gt;0,CT!E117,"")</f>
        <v/>
      </c>
    </row>
    <row r="122" spans="1:10" hidden="1" x14ac:dyDescent="0.25">
      <c r="A122" s="68" t="str">
        <f>IF(LEFT(CT!$D118,3)=NKTT!$G$2,CT!A118,"")</f>
        <v/>
      </c>
      <c r="B122" s="68" t="str">
        <f>IF(LEFT(CT!$D118,3)=NKTT!$G$2,CT!B118,"")</f>
        <v/>
      </c>
      <c r="C122" s="68" t="str">
        <f>IF(LEFT(CT!$D118,3)=NKTT!$G$2,CT!C118,"")</f>
        <v/>
      </c>
      <c r="D122" s="69">
        <f>IF(LEFT(CT!$D118,3)=NKTT!$G$2,CT!H118,0)</f>
        <v>0</v>
      </c>
      <c r="E122" s="69">
        <f>IF(AND(LEFT(CT!$D118,3)=NKTT!$G$2,LEFT(CT!$E118,3)=NKTT!$E$6),CT!$H118,0)</f>
        <v>0</v>
      </c>
      <c r="F122" s="69">
        <f>IF(AND(LEFT(CT!$D118,3)=NKTT!$G$2,LEFT(CT!$E118,3)=NKTT!$F$6),CT!$H118,0)</f>
        <v>0</v>
      </c>
      <c r="G122" s="69">
        <f>IF(AND(LEFT(CT!$D118,3)=NKTT!$G$2,LEFT(CT!$E118,3)=NKTT!$G$6),CT!$H118,0)</f>
        <v>0</v>
      </c>
      <c r="H122" s="69">
        <f>IF(AND(LEFT(CT!$D118,3)=NKTT!$G$2,LEFT(CT!$E118,3)=NKTT!$H$6),CT!$H118,0)</f>
        <v>0</v>
      </c>
      <c r="I122" s="69">
        <f t="shared" si="1"/>
        <v>0</v>
      </c>
      <c r="J122" s="69" t="str">
        <f>IF(I122&gt;0,CT!E118,"")</f>
        <v/>
      </c>
    </row>
    <row r="123" spans="1:10" hidden="1" x14ac:dyDescent="0.25">
      <c r="A123" s="68" t="str">
        <f>IF(LEFT(CT!$D119,3)=NKTT!$G$2,CT!A119,"")</f>
        <v/>
      </c>
      <c r="B123" s="68" t="str">
        <f>IF(LEFT(CT!$D119,3)=NKTT!$G$2,CT!B119,"")</f>
        <v/>
      </c>
      <c r="C123" s="68" t="str">
        <f>IF(LEFT(CT!$D119,3)=NKTT!$G$2,CT!C119,"")</f>
        <v/>
      </c>
      <c r="D123" s="69">
        <f>IF(LEFT(CT!$D119,3)=NKTT!$G$2,CT!H119,0)</f>
        <v>0</v>
      </c>
      <c r="E123" s="69">
        <f>IF(AND(LEFT(CT!$D119,3)=NKTT!$G$2,LEFT(CT!$E119,3)=NKTT!$E$6),CT!$H119,0)</f>
        <v>0</v>
      </c>
      <c r="F123" s="69">
        <f>IF(AND(LEFT(CT!$D119,3)=NKTT!$G$2,LEFT(CT!$E119,3)=NKTT!$F$6),CT!$H119,0)</f>
        <v>0</v>
      </c>
      <c r="G123" s="69">
        <f>IF(AND(LEFT(CT!$D119,3)=NKTT!$G$2,LEFT(CT!$E119,3)=NKTT!$G$6),CT!$H119,0)</f>
        <v>0</v>
      </c>
      <c r="H123" s="69">
        <f>IF(AND(LEFT(CT!$D119,3)=NKTT!$G$2,LEFT(CT!$E119,3)=NKTT!$H$6),CT!$H119,0)</f>
        <v>0</v>
      </c>
      <c r="I123" s="69">
        <f t="shared" si="1"/>
        <v>0</v>
      </c>
      <c r="J123" s="69" t="str">
        <f>IF(I123&gt;0,CT!E119,"")</f>
        <v/>
      </c>
    </row>
    <row r="124" spans="1:10" hidden="1" x14ac:dyDescent="0.25">
      <c r="A124" s="68" t="str">
        <f>IF(LEFT(CT!$D120,3)=NKTT!$G$2,CT!A120,"")</f>
        <v/>
      </c>
      <c r="B124" s="68" t="str">
        <f>IF(LEFT(CT!$D120,3)=NKTT!$G$2,CT!B120,"")</f>
        <v/>
      </c>
      <c r="C124" s="68" t="str">
        <f>IF(LEFT(CT!$D120,3)=NKTT!$G$2,CT!C120,"")</f>
        <v/>
      </c>
      <c r="D124" s="69">
        <f>IF(LEFT(CT!$D120,3)=NKTT!$G$2,CT!H120,0)</f>
        <v>0</v>
      </c>
      <c r="E124" s="69">
        <f>IF(AND(LEFT(CT!$D120,3)=NKTT!$G$2,LEFT(CT!$E120,3)=NKTT!$E$6),CT!$H120,0)</f>
        <v>0</v>
      </c>
      <c r="F124" s="69">
        <f>IF(AND(LEFT(CT!$D120,3)=NKTT!$G$2,LEFT(CT!$E120,3)=NKTT!$F$6),CT!$H120,0)</f>
        <v>0</v>
      </c>
      <c r="G124" s="69">
        <f>IF(AND(LEFT(CT!$D120,3)=NKTT!$G$2,LEFT(CT!$E120,3)=NKTT!$G$6),CT!$H120,0)</f>
        <v>0</v>
      </c>
      <c r="H124" s="69">
        <f>IF(AND(LEFT(CT!$D120,3)=NKTT!$G$2,LEFT(CT!$E120,3)=NKTT!$H$6),CT!$H120,0)</f>
        <v>0</v>
      </c>
      <c r="I124" s="69">
        <f t="shared" si="1"/>
        <v>0</v>
      </c>
      <c r="J124" s="69" t="str">
        <f>IF(I124&gt;0,CT!E120,"")</f>
        <v/>
      </c>
    </row>
    <row r="125" spans="1:10" hidden="1" x14ac:dyDescent="0.25">
      <c r="A125" s="68" t="str">
        <f>IF(LEFT(CT!$D121,3)=NKTT!$G$2,CT!A121,"")</f>
        <v/>
      </c>
      <c r="B125" s="68" t="str">
        <f>IF(LEFT(CT!$D121,3)=NKTT!$G$2,CT!B121,"")</f>
        <v/>
      </c>
      <c r="C125" s="68" t="str">
        <f>IF(LEFT(CT!$D121,3)=NKTT!$G$2,CT!C121,"")</f>
        <v/>
      </c>
      <c r="D125" s="69">
        <f>IF(LEFT(CT!$D121,3)=NKTT!$G$2,CT!H121,0)</f>
        <v>0</v>
      </c>
      <c r="E125" s="69">
        <f>IF(AND(LEFT(CT!$D121,3)=NKTT!$G$2,LEFT(CT!$E121,3)=NKTT!$E$6),CT!$H121,0)</f>
        <v>0</v>
      </c>
      <c r="F125" s="69">
        <f>IF(AND(LEFT(CT!$D121,3)=NKTT!$G$2,LEFT(CT!$E121,3)=NKTT!$F$6),CT!$H121,0)</f>
        <v>0</v>
      </c>
      <c r="G125" s="69">
        <f>IF(AND(LEFT(CT!$D121,3)=NKTT!$G$2,LEFT(CT!$E121,3)=NKTT!$G$6),CT!$H121,0)</f>
        <v>0</v>
      </c>
      <c r="H125" s="69">
        <f>IF(AND(LEFT(CT!$D121,3)=NKTT!$G$2,LEFT(CT!$E121,3)=NKTT!$H$6),CT!$H121,0)</f>
        <v>0</v>
      </c>
      <c r="I125" s="69">
        <f t="shared" si="1"/>
        <v>0</v>
      </c>
      <c r="J125" s="69" t="str">
        <f>IF(I125&gt;0,CT!E121,"")</f>
        <v/>
      </c>
    </row>
    <row r="126" spans="1:10" hidden="1" x14ac:dyDescent="0.25">
      <c r="A126" s="68" t="str">
        <f>IF(LEFT(CT!$D122,3)=NKTT!$G$2,CT!A122,"")</f>
        <v/>
      </c>
      <c r="B126" s="68" t="str">
        <f>IF(LEFT(CT!$D122,3)=NKTT!$G$2,CT!B122,"")</f>
        <v/>
      </c>
      <c r="C126" s="68" t="str">
        <f>IF(LEFT(CT!$D122,3)=NKTT!$G$2,CT!C122,"")</f>
        <v/>
      </c>
      <c r="D126" s="69">
        <f>IF(LEFT(CT!$D122,3)=NKTT!$G$2,CT!H122,0)</f>
        <v>0</v>
      </c>
      <c r="E126" s="69">
        <f>IF(AND(LEFT(CT!$D122,3)=NKTT!$G$2,LEFT(CT!$E122,3)=NKTT!$E$6),CT!$H122,0)</f>
        <v>0</v>
      </c>
      <c r="F126" s="69">
        <f>IF(AND(LEFT(CT!$D122,3)=NKTT!$G$2,LEFT(CT!$E122,3)=NKTT!$F$6),CT!$H122,0)</f>
        <v>0</v>
      </c>
      <c r="G126" s="69">
        <f>IF(AND(LEFT(CT!$D122,3)=NKTT!$G$2,LEFT(CT!$E122,3)=NKTT!$G$6),CT!$H122,0)</f>
        <v>0</v>
      </c>
      <c r="H126" s="69">
        <f>IF(AND(LEFT(CT!$D122,3)=NKTT!$G$2,LEFT(CT!$E122,3)=NKTT!$H$6),CT!$H122,0)</f>
        <v>0</v>
      </c>
      <c r="I126" s="69">
        <f t="shared" si="1"/>
        <v>0</v>
      </c>
      <c r="J126" s="69" t="str">
        <f>IF(I126&gt;0,CT!E122,"")</f>
        <v/>
      </c>
    </row>
    <row r="127" spans="1:10" hidden="1" x14ac:dyDescent="0.25">
      <c r="A127" s="68" t="str">
        <f>IF(LEFT(CT!$D123,3)=NKTT!$G$2,CT!A123,"")</f>
        <v/>
      </c>
      <c r="B127" s="68" t="str">
        <f>IF(LEFT(CT!$D123,3)=NKTT!$G$2,CT!B123,"")</f>
        <v/>
      </c>
      <c r="C127" s="68" t="str">
        <f>IF(LEFT(CT!$D123,3)=NKTT!$G$2,CT!C123,"")</f>
        <v/>
      </c>
      <c r="D127" s="69">
        <f>IF(LEFT(CT!$D123,3)=NKTT!$G$2,CT!H123,0)</f>
        <v>0</v>
      </c>
      <c r="E127" s="69">
        <f>IF(AND(LEFT(CT!$D123,3)=NKTT!$G$2,LEFT(CT!$E123,3)=NKTT!$E$6),CT!$H123,0)</f>
        <v>0</v>
      </c>
      <c r="F127" s="69">
        <f>IF(AND(LEFT(CT!$D123,3)=NKTT!$G$2,LEFT(CT!$E123,3)=NKTT!$F$6),CT!$H123,0)</f>
        <v>0</v>
      </c>
      <c r="G127" s="69">
        <f>IF(AND(LEFT(CT!$D123,3)=NKTT!$G$2,LEFT(CT!$E123,3)=NKTT!$G$6),CT!$H123,0)</f>
        <v>0</v>
      </c>
      <c r="H127" s="69">
        <f>IF(AND(LEFT(CT!$D123,3)=NKTT!$G$2,LEFT(CT!$E123,3)=NKTT!$H$6),CT!$H123,0)</f>
        <v>0</v>
      </c>
      <c r="I127" s="69">
        <f t="shared" si="1"/>
        <v>0</v>
      </c>
      <c r="J127" s="69" t="str">
        <f>IF(I127&gt;0,CT!E123,"")</f>
        <v/>
      </c>
    </row>
    <row r="128" spans="1:10" hidden="1" x14ac:dyDescent="0.25">
      <c r="A128" s="68" t="str">
        <f>IF(LEFT(CT!$D124,3)=NKTT!$G$2,CT!A124,"")</f>
        <v/>
      </c>
      <c r="B128" s="68" t="str">
        <f>IF(LEFT(CT!$D124,3)=NKTT!$G$2,CT!B124,"")</f>
        <v/>
      </c>
      <c r="C128" s="68" t="str">
        <f>IF(LEFT(CT!$D124,3)=NKTT!$G$2,CT!C124,"")</f>
        <v/>
      </c>
      <c r="D128" s="69">
        <f>IF(LEFT(CT!$D124,3)=NKTT!$G$2,CT!H124,0)</f>
        <v>0</v>
      </c>
      <c r="E128" s="69">
        <f>IF(AND(LEFT(CT!$D124,3)=NKTT!$G$2,LEFT(CT!$E124,3)=NKTT!$E$6),CT!$H124,0)</f>
        <v>0</v>
      </c>
      <c r="F128" s="69">
        <f>IF(AND(LEFT(CT!$D124,3)=NKTT!$G$2,LEFT(CT!$E124,3)=NKTT!$F$6),CT!$H124,0)</f>
        <v>0</v>
      </c>
      <c r="G128" s="69">
        <f>IF(AND(LEFT(CT!$D124,3)=NKTT!$G$2,LEFT(CT!$E124,3)=NKTT!$G$6),CT!$H124,0)</f>
        <v>0</v>
      </c>
      <c r="H128" s="69">
        <f>IF(AND(LEFT(CT!$D124,3)=NKTT!$G$2,LEFT(CT!$E124,3)=NKTT!$H$6),CT!$H124,0)</f>
        <v>0</v>
      </c>
      <c r="I128" s="69">
        <f t="shared" si="1"/>
        <v>0</v>
      </c>
      <c r="J128" s="69" t="str">
        <f>IF(I128&gt;0,CT!E124,"")</f>
        <v/>
      </c>
    </row>
    <row r="129" spans="1:10" hidden="1" x14ac:dyDescent="0.25">
      <c r="A129" s="68" t="str">
        <f>IF(LEFT(CT!$D125,3)=NKTT!$G$2,CT!A125,"")</f>
        <v/>
      </c>
      <c r="B129" s="68" t="str">
        <f>IF(LEFT(CT!$D125,3)=NKTT!$G$2,CT!B125,"")</f>
        <v/>
      </c>
      <c r="C129" s="68" t="str">
        <f>IF(LEFT(CT!$D125,3)=NKTT!$G$2,CT!C125,"")</f>
        <v/>
      </c>
      <c r="D129" s="69">
        <f>IF(LEFT(CT!$D125,3)=NKTT!$G$2,CT!H125,0)</f>
        <v>0</v>
      </c>
      <c r="E129" s="69">
        <f>IF(AND(LEFT(CT!$D125,3)=NKTT!$G$2,LEFT(CT!$E125,3)=NKTT!$E$6),CT!$H125,0)</f>
        <v>0</v>
      </c>
      <c r="F129" s="69">
        <f>IF(AND(LEFT(CT!$D125,3)=NKTT!$G$2,LEFT(CT!$E125,3)=NKTT!$F$6),CT!$H125,0)</f>
        <v>0</v>
      </c>
      <c r="G129" s="69">
        <f>IF(AND(LEFT(CT!$D125,3)=NKTT!$G$2,LEFT(CT!$E125,3)=NKTT!$G$6),CT!$H125,0)</f>
        <v>0</v>
      </c>
      <c r="H129" s="69">
        <f>IF(AND(LEFT(CT!$D125,3)=NKTT!$G$2,LEFT(CT!$E125,3)=NKTT!$H$6),CT!$H125,0)</f>
        <v>0</v>
      </c>
      <c r="I129" s="69">
        <f t="shared" si="1"/>
        <v>0</v>
      </c>
      <c r="J129" s="69" t="str">
        <f>IF(I129&gt;0,CT!E125,"")</f>
        <v/>
      </c>
    </row>
    <row r="130" spans="1:10" hidden="1" x14ac:dyDescent="0.25">
      <c r="A130" s="68" t="str">
        <f>IF(LEFT(CT!$D126,3)=NKTT!$G$2,CT!A126,"")</f>
        <v/>
      </c>
      <c r="B130" s="68" t="str">
        <f>IF(LEFT(CT!$D126,3)=NKTT!$G$2,CT!B126,"")</f>
        <v/>
      </c>
      <c r="C130" s="68" t="str">
        <f>IF(LEFT(CT!$D126,3)=NKTT!$G$2,CT!C126,"")</f>
        <v/>
      </c>
      <c r="D130" s="69">
        <f>IF(LEFT(CT!$D126,3)=NKTT!$G$2,CT!H126,0)</f>
        <v>0</v>
      </c>
      <c r="E130" s="69">
        <f>IF(AND(LEFT(CT!$D126,3)=NKTT!$G$2,LEFT(CT!$E126,3)=NKTT!$E$6),CT!$H126,0)</f>
        <v>0</v>
      </c>
      <c r="F130" s="69">
        <f>IF(AND(LEFT(CT!$D126,3)=NKTT!$G$2,LEFT(CT!$E126,3)=NKTT!$F$6),CT!$H126,0)</f>
        <v>0</v>
      </c>
      <c r="G130" s="69">
        <f>IF(AND(LEFT(CT!$D126,3)=NKTT!$G$2,LEFT(CT!$E126,3)=NKTT!$G$6),CT!$H126,0)</f>
        <v>0</v>
      </c>
      <c r="H130" s="69">
        <f>IF(AND(LEFT(CT!$D126,3)=NKTT!$G$2,LEFT(CT!$E126,3)=NKTT!$H$6),CT!$H126,0)</f>
        <v>0</v>
      </c>
      <c r="I130" s="69">
        <f t="shared" si="1"/>
        <v>0</v>
      </c>
      <c r="J130" s="69" t="str">
        <f>IF(I130&gt;0,CT!E126,"")</f>
        <v/>
      </c>
    </row>
    <row r="131" spans="1:10" hidden="1" x14ac:dyDescent="0.25">
      <c r="A131" s="68" t="str">
        <f>IF(LEFT(CT!$D127,3)=NKTT!$G$2,CT!A127,"")</f>
        <v/>
      </c>
      <c r="B131" s="68" t="str">
        <f>IF(LEFT(CT!$D127,3)=NKTT!$G$2,CT!B127,"")</f>
        <v/>
      </c>
      <c r="C131" s="68" t="str">
        <f>IF(LEFT(CT!$D127,3)=NKTT!$G$2,CT!C127,"")</f>
        <v/>
      </c>
      <c r="D131" s="69">
        <f>IF(LEFT(CT!$D127,3)=NKTT!$G$2,CT!H127,0)</f>
        <v>0</v>
      </c>
      <c r="E131" s="69">
        <f>IF(AND(LEFT(CT!$D127,3)=NKTT!$G$2,LEFT(CT!$E127,3)=NKTT!$E$6),CT!$H127,0)</f>
        <v>0</v>
      </c>
      <c r="F131" s="69">
        <f>IF(AND(LEFT(CT!$D127,3)=NKTT!$G$2,LEFT(CT!$E127,3)=NKTT!$F$6),CT!$H127,0)</f>
        <v>0</v>
      </c>
      <c r="G131" s="69">
        <f>IF(AND(LEFT(CT!$D127,3)=NKTT!$G$2,LEFT(CT!$E127,3)=NKTT!$G$6),CT!$H127,0)</f>
        <v>0</v>
      </c>
      <c r="H131" s="69">
        <f>IF(AND(LEFT(CT!$D127,3)=NKTT!$G$2,LEFT(CT!$E127,3)=NKTT!$H$6),CT!$H127,0)</f>
        <v>0</v>
      </c>
      <c r="I131" s="69">
        <f t="shared" si="1"/>
        <v>0</v>
      </c>
      <c r="J131" s="69" t="str">
        <f>IF(I131&gt;0,CT!E127,"")</f>
        <v/>
      </c>
    </row>
    <row r="132" spans="1:10" hidden="1" x14ac:dyDescent="0.25">
      <c r="A132" s="68" t="str">
        <f>IF(LEFT(CT!$D128,3)=NKTT!$G$2,CT!A128,"")</f>
        <v/>
      </c>
      <c r="B132" s="68" t="str">
        <f>IF(LEFT(CT!$D128,3)=NKTT!$G$2,CT!B128,"")</f>
        <v/>
      </c>
      <c r="C132" s="68" t="str">
        <f>IF(LEFT(CT!$D128,3)=NKTT!$G$2,CT!C128,"")</f>
        <v/>
      </c>
      <c r="D132" s="69">
        <f>IF(LEFT(CT!$D128,3)=NKTT!$G$2,CT!H128,0)</f>
        <v>0</v>
      </c>
      <c r="E132" s="69">
        <f>IF(AND(LEFT(CT!$D128,3)=NKTT!$G$2,LEFT(CT!$E128,3)=NKTT!$E$6),CT!$H128,0)</f>
        <v>0</v>
      </c>
      <c r="F132" s="69">
        <f>IF(AND(LEFT(CT!$D128,3)=NKTT!$G$2,LEFT(CT!$E128,3)=NKTT!$F$6),CT!$H128,0)</f>
        <v>0</v>
      </c>
      <c r="G132" s="69">
        <f>IF(AND(LEFT(CT!$D128,3)=NKTT!$G$2,LEFT(CT!$E128,3)=NKTT!$G$6),CT!$H128,0)</f>
        <v>0</v>
      </c>
      <c r="H132" s="69">
        <f>IF(AND(LEFT(CT!$D128,3)=NKTT!$G$2,LEFT(CT!$E128,3)=NKTT!$H$6),CT!$H128,0)</f>
        <v>0</v>
      </c>
      <c r="I132" s="69">
        <f t="shared" si="1"/>
        <v>0</v>
      </c>
      <c r="J132" s="69" t="str">
        <f>IF(I132&gt;0,CT!E128,"")</f>
        <v/>
      </c>
    </row>
    <row r="133" spans="1:10" hidden="1" x14ac:dyDescent="0.25">
      <c r="A133" s="68" t="str">
        <f>IF(LEFT(CT!$D129,3)=NKTT!$G$2,CT!A129,"")</f>
        <v/>
      </c>
      <c r="B133" s="68" t="str">
        <f>IF(LEFT(CT!$D129,3)=NKTT!$G$2,CT!B129,"")</f>
        <v/>
      </c>
      <c r="C133" s="68" t="str">
        <f>IF(LEFT(CT!$D129,3)=NKTT!$G$2,CT!C129,"")</f>
        <v/>
      </c>
      <c r="D133" s="69">
        <f>IF(LEFT(CT!$D129,3)=NKTT!$G$2,CT!H129,0)</f>
        <v>0</v>
      </c>
      <c r="E133" s="69">
        <f>IF(AND(LEFT(CT!$D129,3)=NKTT!$G$2,LEFT(CT!$E129,3)=NKTT!$E$6),CT!$H129,0)</f>
        <v>0</v>
      </c>
      <c r="F133" s="69">
        <f>IF(AND(LEFT(CT!$D129,3)=NKTT!$G$2,LEFT(CT!$E129,3)=NKTT!$F$6),CT!$H129,0)</f>
        <v>0</v>
      </c>
      <c r="G133" s="69">
        <f>IF(AND(LEFT(CT!$D129,3)=NKTT!$G$2,LEFT(CT!$E129,3)=NKTT!$G$6),CT!$H129,0)</f>
        <v>0</v>
      </c>
      <c r="H133" s="69">
        <f>IF(AND(LEFT(CT!$D129,3)=NKTT!$G$2,LEFT(CT!$E129,3)=NKTT!$H$6),CT!$H129,0)</f>
        <v>0</v>
      </c>
      <c r="I133" s="69">
        <f t="shared" si="1"/>
        <v>0</v>
      </c>
      <c r="J133" s="69" t="str">
        <f>IF(I133&gt;0,CT!E129,"")</f>
        <v/>
      </c>
    </row>
    <row r="134" spans="1:10" hidden="1" x14ac:dyDescent="0.25">
      <c r="A134" s="68" t="str">
        <f>IF(LEFT(CT!$D130,3)=NKTT!$G$2,CT!A130,"")</f>
        <v/>
      </c>
      <c r="B134" s="68" t="str">
        <f>IF(LEFT(CT!$D130,3)=NKTT!$G$2,CT!B130,"")</f>
        <v/>
      </c>
      <c r="C134" s="68" t="str">
        <f>IF(LEFT(CT!$D130,3)=NKTT!$G$2,CT!C130,"")</f>
        <v/>
      </c>
      <c r="D134" s="69">
        <f>IF(LEFT(CT!$D130,3)=NKTT!$G$2,CT!H130,0)</f>
        <v>0</v>
      </c>
      <c r="E134" s="69">
        <f>IF(AND(LEFT(CT!$D130,3)=NKTT!$G$2,LEFT(CT!$E130,3)=NKTT!$E$6),CT!$H130,0)</f>
        <v>0</v>
      </c>
      <c r="F134" s="69">
        <f>IF(AND(LEFT(CT!$D130,3)=NKTT!$G$2,LEFT(CT!$E130,3)=NKTT!$F$6),CT!$H130,0)</f>
        <v>0</v>
      </c>
      <c r="G134" s="69">
        <f>IF(AND(LEFT(CT!$D130,3)=NKTT!$G$2,LEFT(CT!$E130,3)=NKTT!$G$6),CT!$H130,0)</f>
        <v>0</v>
      </c>
      <c r="H134" s="69">
        <f>IF(AND(LEFT(CT!$D130,3)=NKTT!$G$2,LEFT(CT!$E130,3)=NKTT!$H$6),CT!$H130,0)</f>
        <v>0</v>
      </c>
      <c r="I134" s="69">
        <f t="shared" si="1"/>
        <v>0</v>
      </c>
      <c r="J134" s="69" t="str">
        <f>IF(I134&gt;0,CT!E130,"")</f>
        <v/>
      </c>
    </row>
    <row r="135" spans="1:10" hidden="1" x14ac:dyDescent="0.25">
      <c r="A135" s="68" t="str">
        <f>IF(LEFT(CT!$D131,3)=NKTT!$G$2,CT!A131,"")</f>
        <v/>
      </c>
      <c r="B135" s="68" t="str">
        <f>IF(LEFT(CT!$D131,3)=NKTT!$G$2,CT!B131,"")</f>
        <v/>
      </c>
      <c r="C135" s="68" t="str">
        <f>IF(LEFT(CT!$D131,3)=NKTT!$G$2,CT!C131,"")</f>
        <v/>
      </c>
      <c r="D135" s="69">
        <f>IF(LEFT(CT!$D131,3)=NKTT!$G$2,CT!H131,0)</f>
        <v>0</v>
      </c>
      <c r="E135" s="69">
        <f>IF(AND(LEFT(CT!$D131,3)=NKTT!$G$2,LEFT(CT!$E131,3)=NKTT!$E$6),CT!$H131,0)</f>
        <v>0</v>
      </c>
      <c r="F135" s="69">
        <f>IF(AND(LEFT(CT!$D131,3)=NKTT!$G$2,LEFT(CT!$E131,3)=NKTT!$F$6),CT!$H131,0)</f>
        <v>0</v>
      </c>
      <c r="G135" s="69">
        <f>IF(AND(LEFT(CT!$D131,3)=NKTT!$G$2,LEFT(CT!$E131,3)=NKTT!$G$6),CT!$H131,0)</f>
        <v>0</v>
      </c>
      <c r="H135" s="69">
        <f>IF(AND(LEFT(CT!$D131,3)=NKTT!$G$2,LEFT(CT!$E131,3)=NKTT!$H$6),CT!$H131,0)</f>
        <v>0</v>
      </c>
      <c r="I135" s="69">
        <f t="shared" si="1"/>
        <v>0</v>
      </c>
      <c r="J135" s="69" t="str">
        <f>IF(I135&gt;0,CT!E131,"")</f>
        <v/>
      </c>
    </row>
    <row r="136" spans="1:10" hidden="1" x14ac:dyDescent="0.25">
      <c r="A136" s="68" t="str">
        <f>IF(LEFT(CT!$D132,3)=NKTT!$G$2,CT!A132,"")</f>
        <v/>
      </c>
      <c r="B136" s="68" t="str">
        <f>IF(LEFT(CT!$D132,3)=NKTT!$G$2,CT!B132,"")</f>
        <v/>
      </c>
      <c r="C136" s="68" t="str">
        <f>IF(LEFT(CT!$D132,3)=NKTT!$G$2,CT!C132,"")</f>
        <v/>
      </c>
      <c r="D136" s="69">
        <f>IF(LEFT(CT!$D132,3)=NKTT!$G$2,CT!H132,0)</f>
        <v>0</v>
      </c>
      <c r="E136" s="69">
        <f>IF(AND(LEFT(CT!$D132,3)=NKTT!$G$2,LEFT(CT!$E132,3)=NKTT!$E$6),CT!$H132,0)</f>
        <v>0</v>
      </c>
      <c r="F136" s="69">
        <f>IF(AND(LEFT(CT!$D132,3)=NKTT!$G$2,LEFT(CT!$E132,3)=NKTT!$F$6),CT!$H132,0)</f>
        <v>0</v>
      </c>
      <c r="G136" s="69">
        <f>IF(AND(LEFT(CT!$D132,3)=NKTT!$G$2,LEFT(CT!$E132,3)=NKTT!$G$6),CT!$H132,0)</f>
        <v>0</v>
      </c>
      <c r="H136" s="69">
        <f>IF(AND(LEFT(CT!$D132,3)=NKTT!$G$2,LEFT(CT!$E132,3)=NKTT!$H$6),CT!$H132,0)</f>
        <v>0</v>
      </c>
      <c r="I136" s="69">
        <f t="shared" si="1"/>
        <v>0</v>
      </c>
      <c r="J136" s="69" t="str">
        <f>IF(I136&gt;0,CT!E132,"")</f>
        <v/>
      </c>
    </row>
    <row r="137" spans="1:10" hidden="1" x14ac:dyDescent="0.25">
      <c r="A137" s="68" t="str">
        <f>IF(LEFT(CT!$D133,3)=NKTT!$G$2,CT!A133,"")</f>
        <v/>
      </c>
      <c r="B137" s="68" t="str">
        <f>IF(LEFT(CT!$D133,3)=NKTT!$G$2,CT!B133,"")</f>
        <v/>
      </c>
      <c r="C137" s="68" t="str">
        <f>IF(LEFT(CT!$D133,3)=NKTT!$G$2,CT!C133,"")</f>
        <v/>
      </c>
      <c r="D137" s="69">
        <f>IF(LEFT(CT!$D133,3)=NKTT!$G$2,CT!H133,0)</f>
        <v>0</v>
      </c>
      <c r="E137" s="69">
        <f>IF(AND(LEFT(CT!$D133,3)=NKTT!$G$2,LEFT(CT!$E133,3)=NKTT!$E$6),CT!$H133,0)</f>
        <v>0</v>
      </c>
      <c r="F137" s="69">
        <f>IF(AND(LEFT(CT!$D133,3)=NKTT!$G$2,LEFT(CT!$E133,3)=NKTT!$F$6),CT!$H133,0)</f>
        <v>0</v>
      </c>
      <c r="G137" s="69">
        <f>IF(AND(LEFT(CT!$D133,3)=NKTT!$G$2,LEFT(CT!$E133,3)=NKTT!$G$6),CT!$H133,0)</f>
        <v>0</v>
      </c>
      <c r="H137" s="69">
        <f>IF(AND(LEFT(CT!$D133,3)=NKTT!$G$2,LEFT(CT!$E133,3)=NKTT!$H$6),CT!$H133,0)</f>
        <v>0</v>
      </c>
      <c r="I137" s="69">
        <f t="shared" si="1"/>
        <v>0</v>
      </c>
      <c r="J137" s="69" t="str">
        <f>IF(I137&gt;0,CT!E133,"")</f>
        <v/>
      </c>
    </row>
    <row r="138" spans="1:10" hidden="1" x14ac:dyDescent="0.25">
      <c r="A138" s="68" t="str">
        <f>IF(LEFT(CT!$D134,3)=NKTT!$G$2,CT!A134,"")</f>
        <v/>
      </c>
      <c r="B138" s="68" t="str">
        <f>IF(LEFT(CT!$D134,3)=NKTT!$G$2,CT!B134,"")</f>
        <v/>
      </c>
      <c r="C138" s="68" t="str">
        <f>IF(LEFT(CT!$D134,3)=NKTT!$G$2,CT!C134,"")</f>
        <v/>
      </c>
      <c r="D138" s="69">
        <f>IF(LEFT(CT!$D134,3)=NKTT!$G$2,CT!H134,0)</f>
        <v>0</v>
      </c>
      <c r="E138" s="69">
        <f>IF(AND(LEFT(CT!$D134,3)=NKTT!$G$2,LEFT(CT!$E134,3)=NKTT!$E$6),CT!$H134,0)</f>
        <v>0</v>
      </c>
      <c r="F138" s="69">
        <f>IF(AND(LEFT(CT!$D134,3)=NKTT!$G$2,LEFT(CT!$E134,3)=NKTT!$F$6),CT!$H134,0)</f>
        <v>0</v>
      </c>
      <c r="G138" s="69">
        <f>IF(AND(LEFT(CT!$D134,3)=NKTT!$G$2,LEFT(CT!$E134,3)=NKTT!$G$6),CT!$H134,0)</f>
        <v>0</v>
      </c>
      <c r="H138" s="69">
        <f>IF(AND(LEFT(CT!$D134,3)=NKTT!$G$2,LEFT(CT!$E134,3)=NKTT!$H$6),CT!$H134,0)</f>
        <v>0</v>
      </c>
      <c r="I138" s="69">
        <f t="shared" ref="I138:I147" si="2">IF(SUM(E138:H138)=0,D138,0)</f>
        <v>0</v>
      </c>
      <c r="J138" s="69" t="str">
        <f>IF(I138&gt;0,CT!E134,"")</f>
        <v/>
      </c>
    </row>
    <row r="139" spans="1:10" hidden="1" x14ac:dyDescent="0.25">
      <c r="A139" s="68" t="str">
        <f>IF(LEFT(CT!$D135,3)=NKTT!$G$2,CT!A135,"")</f>
        <v/>
      </c>
      <c r="B139" s="68" t="str">
        <f>IF(LEFT(CT!$D135,3)=NKTT!$G$2,CT!B135,"")</f>
        <v/>
      </c>
      <c r="C139" s="68" t="str">
        <f>IF(LEFT(CT!$D135,3)=NKTT!$G$2,CT!C135,"")</f>
        <v/>
      </c>
      <c r="D139" s="69">
        <f>IF(LEFT(CT!$D135,3)=NKTT!$G$2,CT!H135,0)</f>
        <v>0</v>
      </c>
      <c r="E139" s="69">
        <f>IF(AND(LEFT(CT!$D135,3)=NKTT!$G$2,LEFT(CT!$E135,3)=NKTT!$E$6),CT!$H135,0)</f>
        <v>0</v>
      </c>
      <c r="F139" s="69">
        <f>IF(AND(LEFT(CT!$D135,3)=NKTT!$G$2,LEFT(CT!$E135,3)=NKTT!$F$6),CT!$H135,0)</f>
        <v>0</v>
      </c>
      <c r="G139" s="69">
        <f>IF(AND(LEFT(CT!$D135,3)=NKTT!$G$2,LEFT(CT!$E135,3)=NKTT!$G$6),CT!$H135,0)</f>
        <v>0</v>
      </c>
      <c r="H139" s="69">
        <f>IF(AND(LEFT(CT!$D135,3)=NKTT!$G$2,LEFT(CT!$E135,3)=NKTT!$H$6),CT!$H135,0)</f>
        <v>0</v>
      </c>
      <c r="I139" s="69">
        <f t="shared" si="2"/>
        <v>0</v>
      </c>
      <c r="J139" s="69" t="str">
        <f>IF(I139&gt;0,CT!E135,"")</f>
        <v/>
      </c>
    </row>
    <row r="140" spans="1:10" hidden="1" x14ac:dyDescent="0.25">
      <c r="A140" s="68" t="str">
        <f>IF(LEFT(CT!$D136,3)=NKTT!$G$2,CT!A136,"")</f>
        <v/>
      </c>
      <c r="B140" s="68" t="str">
        <f>IF(LEFT(CT!$D136,3)=NKTT!$G$2,CT!B136,"")</f>
        <v/>
      </c>
      <c r="C140" s="68" t="str">
        <f>IF(LEFT(CT!$D136,3)=NKTT!$G$2,CT!C136,"")</f>
        <v/>
      </c>
      <c r="D140" s="69">
        <f>IF(LEFT(CT!$D136,3)=NKTT!$G$2,CT!H136,0)</f>
        <v>0</v>
      </c>
      <c r="E140" s="69">
        <f>IF(AND(LEFT(CT!$D136,3)=NKTT!$G$2,LEFT(CT!$E136,3)=NKTT!$E$6),CT!$H136,0)</f>
        <v>0</v>
      </c>
      <c r="F140" s="69">
        <f>IF(AND(LEFT(CT!$D136,3)=NKTT!$G$2,LEFT(CT!$E136,3)=NKTT!$F$6),CT!$H136,0)</f>
        <v>0</v>
      </c>
      <c r="G140" s="69">
        <f>IF(AND(LEFT(CT!$D136,3)=NKTT!$G$2,LEFT(CT!$E136,3)=NKTT!$G$6),CT!$H136,0)</f>
        <v>0</v>
      </c>
      <c r="H140" s="69">
        <f>IF(AND(LEFT(CT!$D136,3)=NKTT!$G$2,LEFT(CT!$E136,3)=NKTT!$H$6),CT!$H136,0)</f>
        <v>0</v>
      </c>
      <c r="I140" s="69">
        <f t="shared" si="2"/>
        <v>0</v>
      </c>
      <c r="J140" s="69" t="str">
        <f>IF(I140&gt;0,CT!E136,"")</f>
        <v/>
      </c>
    </row>
    <row r="141" spans="1:10" hidden="1" x14ac:dyDescent="0.25">
      <c r="A141" s="68" t="str">
        <f>IF(LEFT(CT!$D137,3)=NKTT!$G$2,CT!A137,"")</f>
        <v/>
      </c>
      <c r="B141" s="68" t="str">
        <f>IF(LEFT(CT!$D137,3)=NKTT!$G$2,CT!B137,"")</f>
        <v/>
      </c>
      <c r="C141" s="68" t="str">
        <f>IF(LEFT(CT!$D137,3)=NKTT!$G$2,CT!C137,"")</f>
        <v/>
      </c>
      <c r="D141" s="69">
        <f>IF(LEFT(CT!$D137,3)=NKTT!$G$2,CT!H137,0)</f>
        <v>0</v>
      </c>
      <c r="E141" s="69">
        <f>IF(AND(LEFT(CT!$D137,3)=NKTT!$G$2,LEFT(CT!$E137,3)=NKTT!$E$6),CT!$H137,0)</f>
        <v>0</v>
      </c>
      <c r="F141" s="69">
        <f>IF(AND(LEFT(CT!$D137,3)=NKTT!$G$2,LEFT(CT!$E137,3)=NKTT!$F$6),CT!$H137,0)</f>
        <v>0</v>
      </c>
      <c r="G141" s="69">
        <f>IF(AND(LEFT(CT!$D137,3)=NKTT!$G$2,LEFT(CT!$E137,3)=NKTT!$G$6),CT!$H137,0)</f>
        <v>0</v>
      </c>
      <c r="H141" s="69">
        <f>IF(AND(LEFT(CT!$D137,3)=NKTT!$G$2,LEFT(CT!$E137,3)=NKTT!$H$6),CT!$H137,0)</f>
        <v>0</v>
      </c>
      <c r="I141" s="69">
        <f t="shared" si="2"/>
        <v>0</v>
      </c>
      <c r="J141" s="69" t="str">
        <f>IF(I141&gt;0,CT!E137,"")</f>
        <v/>
      </c>
    </row>
    <row r="142" spans="1:10" hidden="1" x14ac:dyDescent="0.25">
      <c r="A142" s="68" t="str">
        <f>IF(LEFT(CT!$D138,3)=NKTT!$G$2,CT!A138,"")</f>
        <v/>
      </c>
      <c r="B142" s="68" t="str">
        <f>IF(LEFT(CT!$D138,3)=NKTT!$G$2,CT!B138,"")</f>
        <v/>
      </c>
      <c r="C142" s="68" t="str">
        <f>IF(LEFT(CT!$D138,3)=NKTT!$G$2,CT!C138,"")</f>
        <v/>
      </c>
      <c r="D142" s="69">
        <f>IF(LEFT(CT!$D138,3)=NKTT!$G$2,CT!H138,0)</f>
        <v>0</v>
      </c>
      <c r="E142" s="69">
        <f>IF(AND(LEFT(CT!$D138,3)=NKTT!$G$2,LEFT(CT!$E138,3)=NKTT!$E$6),CT!$H138,0)</f>
        <v>0</v>
      </c>
      <c r="F142" s="69">
        <f>IF(AND(LEFT(CT!$D138,3)=NKTT!$G$2,LEFT(CT!$E138,3)=NKTT!$F$6),CT!$H138,0)</f>
        <v>0</v>
      </c>
      <c r="G142" s="69">
        <f>IF(AND(LEFT(CT!$D138,3)=NKTT!$G$2,LEFT(CT!$E138,3)=NKTT!$G$6),CT!$H138,0)</f>
        <v>0</v>
      </c>
      <c r="H142" s="69">
        <f>IF(AND(LEFT(CT!$D138,3)=NKTT!$G$2,LEFT(CT!$E138,3)=NKTT!$H$6),CT!$H138,0)</f>
        <v>0</v>
      </c>
      <c r="I142" s="69">
        <f t="shared" si="2"/>
        <v>0</v>
      </c>
      <c r="J142" s="69" t="str">
        <f>IF(I142&gt;0,CT!E138,"")</f>
        <v/>
      </c>
    </row>
    <row r="143" spans="1:10" hidden="1" x14ac:dyDescent="0.25">
      <c r="A143" s="68" t="str">
        <f>IF(LEFT(CT!$D139,3)=NKTT!$G$2,CT!A139,"")</f>
        <v/>
      </c>
      <c r="B143" s="68" t="str">
        <f>IF(LEFT(CT!$D139,3)=NKTT!$G$2,CT!B139,"")</f>
        <v/>
      </c>
      <c r="C143" s="68" t="str">
        <f>IF(LEFT(CT!$D139,3)=NKTT!$G$2,CT!C139,"")</f>
        <v/>
      </c>
      <c r="D143" s="69">
        <f>IF(LEFT(CT!$D139,3)=NKTT!$G$2,CT!H139,0)</f>
        <v>0</v>
      </c>
      <c r="E143" s="69">
        <f>IF(AND(LEFT(CT!$D139,3)=NKTT!$G$2,LEFT(CT!$E139,3)=NKTT!$E$6),CT!$H139,0)</f>
        <v>0</v>
      </c>
      <c r="F143" s="69">
        <f>IF(AND(LEFT(CT!$D139,3)=NKTT!$G$2,LEFT(CT!$E139,3)=NKTT!$F$6),CT!$H139,0)</f>
        <v>0</v>
      </c>
      <c r="G143" s="69">
        <f>IF(AND(LEFT(CT!$D139,3)=NKTT!$G$2,LEFT(CT!$E139,3)=NKTT!$G$6),CT!$H139,0)</f>
        <v>0</v>
      </c>
      <c r="H143" s="69">
        <f>IF(AND(LEFT(CT!$D139,3)=NKTT!$G$2,LEFT(CT!$E139,3)=NKTT!$H$6),CT!$H139,0)</f>
        <v>0</v>
      </c>
      <c r="I143" s="69">
        <f t="shared" si="2"/>
        <v>0</v>
      </c>
      <c r="J143" s="69" t="str">
        <f>IF(I143&gt;0,CT!E139,"")</f>
        <v/>
      </c>
    </row>
    <row r="144" spans="1:10" hidden="1" x14ac:dyDescent="0.25">
      <c r="A144" s="68" t="str">
        <f>IF(LEFT(CT!$D140,3)=NKTT!$G$2,CT!A140,"")</f>
        <v/>
      </c>
      <c r="B144" s="68" t="str">
        <f>IF(LEFT(CT!$D140,3)=NKTT!$G$2,CT!B140,"")</f>
        <v/>
      </c>
      <c r="C144" s="68" t="str">
        <f>IF(LEFT(CT!$D140,3)=NKTT!$G$2,CT!C140,"")</f>
        <v/>
      </c>
      <c r="D144" s="69">
        <f>IF(LEFT(CT!$D140,3)=NKTT!$G$2,CT!H140,0)</f>
        <v>0</v>
      </c>
      <c r="E144" s="69">
        <f>IF(AND(LEFT(CT!$D140,3)=NKTT!$G$2,LEFT(CT!$E140,3)=NKTT!$E$6),CT!$H140,0)</f>
        <v>0</v>
      </c>
      <c r="F144" s="69">
        <f>IF(AND(LEFT(CT!$D140,3)=NKTT!$G$2,LEFT(CT!$E140,3)=NKTT!$F$6),CT!$H140,0)</f>
        <v>0</v>
      </c>
      <c r="G144" s="69">
        <f>IF(AND(LEFT(CT!$D140,3)=NKTT!$G$2,LEFT(CT!$E140,3)=NKTT!$G$6),CT!$H140,0)</f>
        <v>0</v>
      </c>
      <c r="H144" s="69">
        <f>IF(AND(LEFT(CT!$D140,3)=NKTT!$G$2,LEFT(CT!$E140,3)=NKTT!$H$6),CT!$H140,0)</f>
        <v>0</v>
      </c>
      <c r="I144" s="69">
        <f t="shared" si="2"/>
        <v>0</v>
      </c>
      <c r="J144" s="69" t="str">
        <f>IF(I144&gt;0,CT!E140,"")</f>
        <v/>
      </c>
    </row>
    <row r="145" spans="1:10" hidden="1" x14ac:dyDescent="0.25">
      <c r="A145" s="68" t="str">
        <f>IF(LEFT(CT!$D141,3)=NKTT!$G$2,CT!A141,"")</f>
        <v/>
      </c>
      <c r="B145" s="68" t="str">
        <f>IF(LEFT(CT!$D141,3)=NKTT!$G$2,CT!B141,"")</f>
        <v/>
      </c>
      <c r="C145" s="68" t="str">
        <f>IF(LEFT(CT!$D141,3)=NKTT!$G$2,CT!C141,"")</f>
        <v/>
      </c>
      <c r="D145" s="69">
        <f>IF(LEFT(CT!$D141,3)=NKTT!$G$2,CT!H141,0)</f>
        <v>0</v>
      </c>
      <c r="E145" s="69">
        <f>IF(AND(LEFT(CT!$D141,3)=NKTT!$G$2,LEFT(CT!$E141,3)=NKTT!$E$6),CT!$H141,0)</f>
        <v>0</v>
      </c>
      <c r="F145" s="69">
        <f>IF(AND(LEFT(CT!$D141,3)=NKTT!$G$2,LEFT(CT!$E141,3)=NKTT!$F$6),CT!$H141,0)</f>
        <v>0</v>
      </c>
      <c r="G145" s="69">
        <f>IF(AND(LEFT(CT!$D141,3)=NKTT!$G$2,LEFT(CT!$E141,3)=NKTT!$G$6),CT!$H141,0)</f>
        <v>0</v>
      </c>
      <c r="H145" s="69">
        <f>IF(AND(LEFT(CT!$D141,3)=NKTT!$G$2,LEFT(CT!$E141,3)=NKTT!$H$6),CT!$H141,0)</f>
        <v>0</v>
      </c>
      <c r="I145" s="69">
        <f t="shared" si="2"/>
        <v>0</v>
      </c>
      <c r="J145" s="69" t="str">
        <f>IF(I145&gt;0,CT!E141,"")</f>
        <v/>
      </c>
    </row>
    <row r="146" spans="1:10" hidden="1" x14ac:dyDescent="0.25">
      <c r="A146" s="68" t="str">
        <f>IF(LEFT(CT!$D142,3)=NKTT!$G$2,CT!A142,"")</f>
        <v/>
      </c>
      <c r="B146" s="68" t="str">
        <f>IF(LEFT(CT!$D142,3)=NKTT!$G$2,CT!B142,"")</f>
        <v/>
      </c>
      <c r="C146" s="68" t="str">
        <f>IF(LEFT(CT!$D142,3)=NKTT!$G$2,CT!C142,"")</f>
        <v/>
      </c>
      <c r="D146" s="69">
        <f>IF(LEFT(CT!$D142,3)=NKTT!$G$2,CT!H142,0)</f>
        <v>0</v>
      </c>
      <c r="E146" s="69">
        <f>IF(AND(LEFT(CT!$D142,3)=NKTT!$G$2,LEFT(CT!$E142,3)=NKTT!$E$6),CT!$H142,0)</f>
        <v>0</v>
      </c>
      <c r="F146" s="69">
        <f>IF(AND(LEFT(CT!$D142,3)=NKTT!$G$2,LEFT(CT!$E142,3)=NKTT!$F$6),CT!$H142,0)</f>
        <v>0</v>
      </c>
      <c r="G146" s="69">
        <f>IF(AND(LEFT(CT!$D142,3)=NKTT!$G$2,LEFT(CT!$E142,3)=NKTT!$G$6),CT!$H142,0)</f>
        <v>0</v>
      </c>
      <c r="H146" s="69">
        <f>IF(AND(LEFT(CT!$D142,3)=NKTT!$G$2,LEFT(CT!$E142,3)=NKTT!$H$6),CT!$H142,0)</f>
        <v>0</v>
      </c>
      <c r="I146" s="69">
        <f t="shared" si="2"/>
        <v>0</v>
      </c>
      <c r="J146" s="69" t="str">
        <f>IF(I146&gt;0,CT!E142,"")</f>
        <v/>
      </c>
    </row>
    <row r="147" spans="1:10" hidden="1" x14ac:dyDescent="0.25">
      <c r="A147" s="68" t="str">
        <f>IF(LEFT(CT!$D143,3)=NKTT!$G$2,CT!A143,"")</f>
        <v/>
      </c>
      <c r="B147" s="68" t="str">
        <f>IF(LEFT(CT!$D143,3)=NKTT!$G$2,CT!B143,"")</f>
        <v/>
      </c>
      <c r="C147" s="68" t="str">
        <f>IF(LEFT(CT!$D143,3)=NKTT!$G$2,CT!C143,"")</f>
        <v/>
      </c>
      <c r="D147" s="69">
        <f>IF(LEFT(CT!$D143,3)=NKTT!$G$2,CT!H143,0)</f>
        <v>0</v>
      </c>
      <c r="E147" s="69">
        <f>IF(AND(LEFT(CT!$D143,3)=NKTT!$G$2,LEFT(CT!$E143,3)=NKTT!$E$6),CT!$H143,0)</f>
        <v>0</v>
      </c>
      <c r="F147" s="69">
        <f>IF(AND(LEFT(CT!$D143,3)=NKTT!$G$2,LEFT(CT!$E143,3)=NKTT!$F$6),CT!$H143,0)</f>
        <v>0</v>
      </c>
      <c r="G147" s="69">
        <f>IF(AND(LEFT(CT!$D143,3)=NKTT!$G$2,LEFT(CT!$E143,3)=NKTT!$G$6),CT!$H143,0)</f>
        <v>0</v>
      </c>
      <c r="H147" s="69">
        <f>IF(AND(LEFT(CT!$D143,3)=NKTT!$G$2,LEFT(CT!$E143,3)=NKTT!$H$6),CT!$H143,0)</f>
        <v>0</v>
      </c>
      <c r="I147" s="69">
        <f t="shared" si="2"/>
        <v>0</v>
      </c>
      <c r="J147" s="69" t="str">
        <f>IF(I147&gt;0,CT!E143,"")</f>
        <v/>
      </c>
    </row>
    <row r="148" spans="1:10" s="72" customFormat="1" ht="13.8" x14ac:dyDescent="0.25">
      <c r="C148" s="70" t="s">
        <v>838</v>
      </c>
      <c r="D148" s="81">
        <f>SUM(D9:D147)</f>
        <v>25200000</v>
      </c>
      <c r="E148" s="81">
        <f t="shared" ref="E148:I148" si="3">SUM(E9:E147)</f>
        <v>0</v>
      </c>
      <c r="F148" s="81">
        <f t="shared" si="3"/>
        <v>25000000</v>
      </c>
      <c r="G148" s="81">
        <f t="shared" si="3"/>
        <v>200000</v>
      </c>
      <c r="H148" s="81">
        <f t="shared" si="3"/>
        <v>0</v>
      </c>
      <c r="I148" s="81">
        <f t="shared" si="3"/>
        <v>0</v>
      </c>
    </row>
  </sheetData>
  <autoFilter ref="C8:C148" xr:uid="{CE63CCBB-DE05-474F-9F2E-EB23F9A44E3B}">
    <filterColumn colId="0">
      <customFilters>
        <customFilter operator="notEqual" val=" "/>
      </customFilters>
    </filterColumn>
  </autoFilter>
  <mergeCells count="12">
    <mergeCell ref="A6:A7"/>
    <mergeCell ref="B6:B7"/>
    <mergeCell ref="C5:C7"/>
    <mergeCell ref="D5:D7"/>
    <mergeCell ref="A1:J1"/>
    <mergeCell ref="A5:B5"/>
    <mergeCell ref="E5:J5"/>
    <mergeCell ref="I6:J6"/>
    <mergeCell ref="E6:E7"/>
    <mergeCell ref="F6:F7"/>
    <mergeCell ref="G6:G7"/>
    <mergeCell ref="H6:H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710A-1D67-42BE-8C7A-24B5364C7982}">
  <sheetPr filterMode="1">
    <tabColor rgb="FF002060"/>
  </sheetPr>
  <dimension ref="A1:G147"/>
  <sheetViews>
    <sheetView zoomScale="145" zoomScaleNormal="145" workbookViewId="0">
      <selection activeCell="A147" sqref="A147:XFD147"/>
    </sheetView>
  </sheetViews>
  <sheetFormatPr defaultRowHeight="13.2" x14ac:dyDescent="0.25"/>
  <cols>
    <col min="1" max="1" width="8.44140625" bestFit="1" customWidth="1"/>
    <col min="2" max="2" width="7.77734375" bestFit="1" customWidth="1"/>
    <col min="3" max="3" width="29.109375" bestFit="1" customWidth="1"/>
    <col min="4" max="4" width="22.33203125" bestFit="1" customWidth="1"/>
    <col min="5" max="5" width="10.109375" bestFit="1" customWidth="1"/>
    <col min="6" max="6" width="12.109375" bestFit="1" customWidth="1"/>
    <col min="7" max="7" width="8.109375" bestFit="1" customWidth="1"/>
  </cols>
  <sheetData>
    <row r="1" spans="1:7" ht="17.399999999999999" x14ac:dyDescent="0.25">
      <c r="A1" s="163" t="s">
        <v>839</v>
      </c>
      <c r="B1" s="163"/>
      <c r="C1" s="163"/>
      <c r="D1" s="163"/>
      <c r="E1" s="163"/>
      <c r="F1" s="163"/>
      <c r="G1" s="163"/>
    </row>
    <row r="2" spans="1:7" x14ac:dyDescent="0.25">
      <c r="D2" t="s">
        <v>840</v>
      </c>
      <c r="E2" s="64" t="s">
        <v>733</v>
      </c>
    </row>
    <row r="4" spans="1:7" x14ac:dyDescent="0.25">
      <c r="A4" s="161" t="s">
        <v>828</v>
      </c>
      <c r="B4" s="161"/>
      <c r="C4" s="161" t="s">
        <v>829</v>
      </c>
      <c r="D4" s="161" t="s">
        <v>841</v>
      </c>
      <c r="E4" s="161" t="s">
        <v>842</v>
      </c>
      <c r="F4" s="161"/>
      <c r="G4" s="161"/>
    </row>
    <row r="5" spans="1:7" x14ac:dyDescent="0.25">
      <c r="A5" s="66" t="s">
        <v>832</v>
      </c>
      <c r="B5" s="66" t="s">
        <v>833</v>
      </c>
      <c r="C5" s="161"/>
      <c r="D5" s="161"/>
      <c r="E5" s="66" t="s">
        <v>753</v>
      </c>
      <c r="F5" s="66" t="s">
        <v>843</v>
      </c>
      <c r="G5" s="66" t="s">
        <v>844</v>
      </c>
    </row>
    <row r="6" spans="1:7" x14ac:dyDescent="0.25">
      <c r="A6" s="145">
        <v>1</v>
      </c>
      <c r="B6" s="145">
        <v>2</v>
      </c>
      <c r="C6" s="145">
        <v>3</v>
      </c>
      <c r="D6" s="145">
        <v>4</v>
      </c>
      <c r="E6" s="145">
        <v>5</v>
      </c>
      <c r="F6" s="145">
        <v>6</v>
      </c>
      <c r="G6" s="145">
        <v>7</v>
      </c>
    </row>
    <row r="7" spans="1:7" hidden="1" x14ac:dyDescent="0.25">
      <c r="A7" s="68" t="str">
        <f>IF(AND(LEFT(CT!$D5,3)=NKBH!$E$2,LEFT(CT!$E5,3)="511"),CT!A5,"")</f>
        <v/>
      </c>
      <c r="B7" s="65" t="str">
        <f>IF(AND(LEFT(CT!$D5,3)=NKBH!$E$2,LEFT(CT!$E5,3)="511"),CT!B5,"")</f>
        <v/>
      </c>
      <c r="C7" s="65" t="str">
        <f>IF(AND(LEFT(CT!$D5,3)=NKBH!$E$2,LEFT(CT!$E5,3)="511"),CT!C5,"")</f>
        <v/>
      </c>
      <c r="D7" s="69" t="str">
        <f>IF(AND(LEFT(CT!$D5,3)=NKBH!$E$2,LEFT(CT!$E5,3)="511"),CT!H5,"")</f>
        <v/>
      </c>
      <c r="E7" s="69">
        <f>IF(LEFT(CT!$E5,4)="5111",CT!$H5,0)</f>
        <v>0</v>
      </c>
      <c r="F7" s="69">
        <f>IF(LEFT(CT!$E5,4)="5112",CT!$H5,0)</f>
        <v>0</v>
      </c>
      <c r="G7" s="69">
        <f>IF(LEFT(CT!$E5,4)="5113",CT!$H5,0)</f>
        <v>0</v>
      </c>
    </row>
    <row r="8" spans="1:7" hidden="1" x14ac:dyDescent="0.25">
      <c r="A8" s="68" t="str">
        <f>IF(AND(LEFT(CT!$D6,3)=NKBH!$E$2,LEFT(CT!$E6,3)="511"),CT!A6,"")</f>
        <v/>
      </c>
      <c r="B8" s="65" t="str">
        <f>IF(AND(LEFT(CT!$D6,3)=NKBH!$E$2,LEFT(CT!$E6,3)="511"),CT!B6,"")</f>
        <v/>
      </c>
      <c r="C8" s="65" t="str">
        <f>IF(AND(LEFT(CT!$D6,3)=NKBH!$E$2,LEFT(CT!$E6,3)="511"),CT!C6,"")</f>
        <v/>
      </c>
      <c r="D8" s="69" t="str">
        <f>IF(AND(LEFT(CT!$D6,3)=NKBH!$E$2,LEFT(CT!$E6,3)="511"),CT!H6,"")</f>
        <v/>
      </c>
      <c r="E8" s="69">
        <f>IF(LEFT(CT!$E6,4)="5111",CT!$H6,0)</f>
        <v>0</v>
      </c>
      <c r="F8" s="69">
        <f>IF(LEFT(CT!$E6,4)="5112",CT!$H6,0)</f>
        <v>0</v>
      </c>
      <c r="G8" s="69">
        <f>IF(LEFT(CT!$E6,4)="5113",CT!$H6,0)</f>
        <v>0</v>
      </c>
    </row>
    <row r="9" spans="1:7" hidden="1" x14ac:dyDescent="0.25">
      <c r="A9" s="68" t="str">
        <f>IF(AND(LEFT(CT!$D7,3)=NKBH!$E$2,LEFT(CT!$E7,3)="511"),CT!A7,"")</f>
        <v/>
      </c>
      <c r="B9" s="65" t="str">
        <f>IF(AND(LEFT(CT!$D7,3)=NKBH!$E$2,LEFT(CT!$E7,3)="511"),CT!B7,"")</f>
        <v/>
      </c>
      <c r="C9" s="65" t="str">
        <f>IF(AND(LEFT(CT!$D7,3)=NKBH!$E$2,LEFT(CT!$E7,3)="511"),CT!C7,"")</f>
        <v/>
      </c>
      <c r="D9" s="69" t="str">
        <f>IF(AND(LEFT(CT!$D7,3)=NKBH!$E$2,LEFT(CT!$E7,3)="511"),CT!H7,"")</f>
        <v/>
      </c>
      <c r="E9" s="69">
        <f>IF(LEFT(CT!$E7,4)="5111",CT!$H7,0)</f>
        <v>0</v>
      </c>
      <c r="F9" s="69">
        <f>IF(LEFT(CT!$E7,4)="5112",CT!$H7,0)</f>
        <v>0</v>
      </c>
      <c r="G9" s="69">
        <f>IF(LEFT(CT!$E7,4)="5113",CT!$H7,0)</f>
        <v>0</v>
      </c>
    </row>
    <row r="10" spans="1:7" hidden="1" x14ac:dyDescent="0.25">
      <c r="A10" s="68" t="str">
        <f>IF(AND(LEFT(CT!$D8,3)=NKBH!$E$2,LEFT(CT!$E8,3)="511"),CT!A8,"")</f>
        <v/>
      </c>
      <c r="B10" s="65" t="str">
        <f>IF(AND(LEFT(CT!$D8,3)=NKBH!$E$2,LEFT(CT!$E8,3)="511"),CT!B8,"")</f>
        <v/>
      </c>
      <c r="C10" s="65" t="str">
        <f>IF(AND(LEFT(CT!$D8,3)=NKBH!$E$2,LEFT(CT!$E8,3)="511"),CT!C8,"")</f>
        <v/>
      </c>
      <c r="D10" s="69" t="str">
        <f>IF(AND(LEFT(CT!$D8,3)=NKBH!$E$2,LEFT(CT!$E8,3)="511"),CT!H8,"")</f>
        <v/>
      </c>
      <c r="E10" s="69">
        <f>IF(LEFT(CT!$E8,4)="5111",CT!$H8,0)</f>
        <v>0</v>
      </c>
      <c r="F10" s="69">
        <f>IF(LEFT(CT!$E8,4)="5112",CT!$H8,0)</f>
        <v>0</v>
      </c>
      <c r="G10" s="69">
        <f>IF(LEFT(CT!$E8,4)="5113",CT!$H8,0)</f>
        <v>0</v>
      </c>
    </row>
    <row r="11" spans="1:7" hidden="1" x14ac:dyDescent="0.25">
      <c r="A11" s="68" t="str">
        <f>IF(AND(LEFT(CT!$D9,3)=NKBH!$E$2,LEFT(CT!$E9,3)="511"),CT!A9,"")</f>
        <v/>
      </c>
      <c r="B11" s="65" t="str">
        <f>IF(AND(LEFT(CT!$D9,3)=NKBH!$E$2,LEFT(CT!$E9,3)="511"),CT!B9,"")</f>
        <v/>
      </c>
      <c r="C11" s="65" t="str">
        <f>IF(AND(LEFT(CT!$D9,3)=NKBH!$E$2,LEFT(CT!$E9,3)="511"),CT!C9,"")</f>
        <v/>
      </c>
      <c r="D11" s="69" t="str">
        <f>IF(AND(LEFT(CT!$D9,3)=NKBH!$E$2,LEFT(CT!$E9,3)="511"),CT!H9,"")</f>
        <v/>
      </c>
      <c r="E11" s="69">
        <f>IF(LEFT(CT!$E9,4)="5111",CT!$H9,0)</f>
        <v>0</v>
      </c>
      <c r="F11" s="69">
        <f>IF(LEFT(CT!$E9,4)="5112",CT!$H9,0)</f>
        <v>0</v>
      </c>
      <c r="G11" s="69">
        <f>IF(LEFT(CT!$E9,4)="5113",CT!$H9,0)</f>
        <v>0</v>
      </c>
    </row>
    <row r="12" spans="1:7" hidden="1" x14ac:dyDescent="0.25">
      <c r="A12" s="68" t="str">
        <f>IF(AND(LEFT(CT!$D10,3)=NKBH!$E$2,LEFT(CT!$E10,3)="511"),CT!A10,"")</f>
        <v/>
      </c>
      <c r="B12" s="65" t="str">
        <f>IF(AND(LEFT(CT!$D10,3)=NKBH!$E$2,LEFT(CT!$E10,3)="511"),CT!B10,"")</f>
        <v/>
      </c>
      <c r="C12" s="65" t="str">
        <f>IF(AND(LEFT(CT!$D10,3)=NKBH!$E$2,LEFT(CT!$E10,3)="511"),CT!C10,"")</f>
        <v/>
      </c>
      <c r="D12" s="69" t="str">
        <f>IF(AND(LEFT(CT!$D10,3)=NKBH!$E$2,LEFT(CT!$E10,3)="511"),CT!H10,"")</f>
        <v/>
      </c>
      <c r="E12" s="69">
        <f>IF(LEFT(CT!$E10,4)="5111",CT!$H10,0)</f>
        <v>0</v>
      </c>
      <c r="F12" s="69">
        <f>IF(LEFT(CT!$E10,4)="5112",CT!$H10,0)</f>
        <v>0</v>
      </c>
      <c r="G12" s="69">
        <f>IF(LEFT(CT!$E10,4)="5113",CT!$H10,0)</f>
        <v>0</v>
      </c>
    </row>
    <row r="13" spans="1:7" hidden="1" x14ac:dyDescent="0.25">
      <c r="A13" s="68" t="str">
        <f>IF(AND(LEFT(CT!$D11,3)=NKBH!$E$2,LEFT(CT!$E11,3)="511"),CT!A11,"")</f>
        <v/>
      </c>
      <c r="B13" s="65" t="str">
        <f>IF(AND(LEFT(CT!$D11,3)=NKBH!$E$2,LEFT(CT!$E11,3)="511"),CT!B11,"")</f>
        <v/>
      </c>
      <c r="C13" s="65" t="str">
        <f>IF(AND(LEFT(CT!$D11,3)=NKBH!$E$2,LEFT(CT!$E11,3)="511"),CT!C11,"")</f>
        <v/>
      </c>
      <c r="D13" s="69" t="str">
        <f>IF(AND(LEFT(CT!$D11,3)=NKBH!$E$2,LEFT(CT!$E11,3)="511"),CT!H11,"")</f>
        <v/>
      </c>
      <c r="E13" s="69">
        <f>IF(LEFT(CT!$E11,4)="5111",CT!$H11,0)</f>
        <v>0</v>
      </c>
      <c r="F13" s="69">
        <f>IF(LEFT(CT!$E11,4)="5112",CT!$H11,0)</f>
        <v>0</v>
      </c>
      <c r="G13" s="69">
        <f>IF(LEFT(CT!$E11,4)="5113",CT!$H11,0)</f>
        <v>0</v>
      </c>
    </row>
    <row r="14" spans="1:7" hidden="1" x14ac:dyDescent="0.25">
      <c r="A14" s="68" t="str">
        <f>IF(AND(LEFT(CT!$D12,3)=NKBH!$E$2,LEFT(CT!$E12,3)="511"),CT!A12,"")</f>
        <v/>
      </c>
      <c r="B14" s="65" t="str">
        <f>IF(AND(LEFT(CT!$D12,3)=NKBH!$E$2,LEFT(CT!$E12,3)="511"),CT!B12,"")</f>
        <v/>
      </c>
      <c r="C14" s="65" t="str">
        <f>IF(AND(LEFT(CT!$D12,3)=NKBH!$E$2,LEFT(CT!$E12,3)="511"),CT!C12,"")</f>
        <v/>
      </c>
      <c r="D14" s="69" t="str">
        <f>IF(AND(LEFT(CT!$D12,3)=NKBH!$E$2,LEFT(CT!$E12,3)="511"),CT!H12,"")</f>
        <v/>
      </c>
      <c r="E14" s="69">
        <f>IF(LEFT(CT!$E12,4)="5111",CT!$H12,0)</f>
        <v>0</v>
      </c>
      <c r="F14" s="69">
        <f>IF(LEFT(CT!$E12,4)="5112",CT!$H12,0)</f>
        <v>0</v>
      </c>
      <c r="G14" s="69">
        <f>IF(LEFT(CT!$E12,4)="5113",CT!$H12,0)</f>
        <v>0</v>
      </c>
    </row>
    <row r="15" spans="1:7" hidden="1" x14ac:dyDescent="0.25">
      <c r="A15" s="68" t="str">
        <f>IF(AND(LEFT(CT!$D13,3)=NKBH!$E$2,LEFT(CT!$E13,3)="511"),CT!A13,"")</f>
        <v/>
      </c>
      <c r="B15" s="65" t="str">
        <f>IF(AND(LEFT(CT!$D13,3)=NKBH!$E$2,LEFT(CT!$E13,3)="511"),CT!B13,"")</f>
        <v/>
      </c>
      <c r="C15" s="65" t="str">
        <f>IF(AND(LEFT(CT!$D13,3)=NKBH!$E$2,LEFT(CT!$E13,3)="511"),CT!C13,"")</f>
        <v/>
      </c>
      <c r="D15" s="69" t="str">
        <f>IF(AND(LEFT(CT!$D13,3)=NKBH!$E$2,LEFT(CT!$E13,3)="511"),CT!H13,"")</f>
        <v/>
      </c>
      <c r="E15" s="69">
        <f>IF(LEFT(CT!$E13,4)="5111",CT!$H13,0)</f>
        <v>0</v>
      </c>
      <c r="F15" s="69">
        <f>IF(LEFT(CT!$E13,4)="5112",CT!$H13,0)</f>
        <v>0</v>
      </c>
      <c r="G15" s="69">
        <f>IF(LEFT(CT!$E13,4)="5113",CT!$H13,0)</f>
        <v>0</v>
      </c>
    </row>
    <row r="16" spans="1:7" hidden="1" x14ac:dyDescent="0.25">
      <c r="A16" s="68" t="str">
        <f>IF(AND(LEFT(CT!$D14,3)=NKBH!$E$2,LEFT(CT!$E14,3)="511"),CT!A14,"")</f>
        <v/>
      </c>
      <c r="B16" s="65" t="str">
        <f>IF(AND(LEFT(CT!$D14,3)=NKBH!$E$2,LEFT(CT!$E14,3)="511"),CT!B14,"")</f>
        <v/>
      </c>
      <c r="C16" s="65" t="str">
        <f>IF(AND(LEFT(CT!$D14,3)=NKBH!$E$2,LEFT(CT!$E14,3)="511"),CT!C14,"")</f>
        <v/>
      </c>
      <c r="D16" s="69" t="str">
        <f>IF(AND(LEFT(CT!$D14,3)=NKBH!$E$2,LEFT(CT!$E14,3)="511"),CT!H14,"")</f>
        <v/>
      </c>
      <c r="E16" s="69">
        <f>IF(LEFT(CT!$E14,4)="5111",CT!$H14,0)</f>
        <v>0</v>
      </c>
      <c r="F16" s="69">
        <f>IF(LEFT(CT!$E14,4)="5112",CT!$H14,0)</f>
        <v>0</v>
      </c>
      <c r="G16" s="69">
        <f>IF(LEFT(CT!$E14,4)="5113",CT!$H14,0)</f>
        <v>0</v>
      </c>
    </row>
    <row r="17" spans="1:7" hidden="1" x14ac:dyDescent="0.25">
      <c r="A17" s="68" t="str">
        <f>IF(AND(LEFT(CT!$D15,3)=NKBH!$E$2,LEFT(CT!$E15,3)="511"),CT!A15,"")</f>
        <v/>
      </c>
      <c r="B17" s="65" t="str">
        <f>IF(AND(LEFT(CT!$D15,3)=NKBH!$E$2,LEFT(CT!$E15,3)="511"),CT!B15,"")</f>
        <v/>
      </c>
      <c r="C17" s="65" t="str">
        <f>IF(AND(LEFT(CT!$D15,3)=NKBH!$E$2,LEFT(CT!$E15,3)="511"),CT!C15,"")</f>
        <v/>
      </c>
      <c r="D17" s="69" t="str">
        <f>IF(AND(LEFT(CT!$D15,3)=NKBH!$E$2,LEFT(CT!$E15,3)="511"),CT!H15,"")</f>
        <v/>
      </c>
      <c r="E17" s="69">
        <f>IF(LEFT(CT!$E15,4)="5111",CT!$H15,0)</f>
        <v>0</v>
      </c>
      <c r="F17" s="69">
        <f>IF(LEFT(CT!$E15,4)="5112",CT!$H15,0)</f>
        <v>0</v>
      </c>
      <c r="G17" s="69">
        <f>IF(LEFT(CT!$E15,4)="5113",CT!$H15,0)</f>
        <v>0</v>
      </c>
    </row>
    <row r="18" spans="1:7" hidden="1" x14ac:dyDescent="0.25">
      <c r="A18" s="68" t="str">
        <f>IF(AND(LEFT(CT!$D16,3)=NKBH!$E$2,LEFT(CT!$E16,3)="511"),CT!A16,"")</f>
        <v/>
      </c>
      <c r="B18" s="65" t="str">
        <f>IF(AND(LEFT(CT!$D16,3)=NKBH!$E$2,LEFT(CT!$E16,3)="511"),CT!B16,"")</f>
        <v/>
      </c>
      <c r="C18" s="65" t="str">
        <f>IF(AND(LEFT(CT!$D16,3)=NKBH!$E$2,LEFT(CT!$E16,3)="511"),CT!C16,"")</f>
        <v/>
      </c>
      <c r="D18" s="69" t="str">
        <f>IF(AND(LEFT(CT!$D16,3)=NKBH!$E$2,LEFT(CT!$E16,3)="511"),CT!H16,"")</f>
        <v/>
      </c>
      <c r="E18" s="69">
        <f>IF(LEFT(CT!$E16,4)="5111",CT!$H16,0)</f>
        <v>0</v>
      </c>
      <c r="F18" s="69">
        <f>IF(LEFT(CT!$E16,4)="5112",CT!$H16,0)</f>
        <v>0</v>
      </c>
      <c r="G18" s="69">
        <f>IF(LEFT(CT!$E16,4)="5113",CT!$H16,0)</f>
        <v>0</v>
      </c>
    </row>
    <row r="19" spans="1:7" hidden="1" x14ac:dyDescent="0.25">
      <c r="A19" s="68" t="str">
        <f>IF(AND(LEFT(CT!$D17,3)=NKBH!$E$2,LEFT(CT!$E17,3)="511"),CT!A17,"")</f>
        <v/>
      </c>
      <c r="B19" s="65" t="str">
        <f>IF(AND(LEFT(CT!$D17,3)=NKBH!$E$2,LEFT(CT!$E17,3)="511"),CT!B17,"")</f>
        <v/>
      </c>
      <c r="C19" s="65" t="str">
        <f>IF(AND(LEFT(CT!$D17,3)=NKBH!$E$2,LEFT(CT!$E17,3)="511"),CT!C17,"")</f>
        <v/>
      </c>
      <c r="D19" s="69" t="str">
        <f>IF(AND(LEFT(CT!$D17,3)=NKBH!$E$2,LEFT(CT!$E17,3)="511"),CT!H17,"")</f>
        <v/>
      </c>
      <c r="E19" s="69">
        <f>IF(LEFT(CT!$E17,4)="5111",CT!$H17,0)</f>
        <v>0</v>
      </c>
      <c r="F19" s="69">
        <f>IF(LEFT(CT!$E17,4)="5112",CT!$H17,0)</f>
        <v>0</v>
      </c>
      <c r="G19" s="69">
        <f>IF(LEFT(CT!$E17,4)="5113",CT!$H17,0)</f>
        <v>0</v>
      </c>
    </row>
    <row r="20" spans="1:7" hidden="1" x14ac:dyDescent="0.25">
      <c r="A20" s="68" t="str">
        <f>IF(AND(LEFT(CT!$D18,3)=NKBH!$E$2,LEFT(CT!$E18,3)="511"),CT!A18,"")</f>
        <v/>
      </c>
      <c r="B20" s="65" t="str">
        <f>IF(AND(LEFT(CT!$D18,3)=NKBH!$E$2,LEFT(CT!$E18,3)="511"),CT!B18,"")</f>
        <v/>
      </c>
      <c r="C20" s="65" t="str">
        <f>IF(AND(LEFT(CT!$D18,3)=NKBH!$E$2,LEFT(CT!$E18,3)="511"),CT!C18,"")</f>
        <v/>
      </c>
      <c r="D20" s="69" t="str">
        <f>IF(AND(LEFT(CT!$D18,3)=NKBH!$E$2,LEFT(CT!$E18,3)="511"),CT!H18,"")</f>
        <v/>
      </c>
      <c r="E20" s="69">
        <f>IF(LEFT(CT!$E18,4)="5111",CT!$H18,0)</f>
        <v>0</v>
      </c>
      <c r="F20" s="69">
        <f>IF(LEFT(CT!$E18,4)="5112",CT!$H18,0)</f>
        <v>0</v>
      </c>
      <c r="G20" s="69">
        <f>IF(LEFT(CT!$E18,4)="5113",CT!$H18,0)</f>
        <v>0</v>
      </c>
    </row>
    <row r="21" spans="1:7" hidden="1" x14ac:dyDescent="0.25">
      <c r="A21" s="68" t="str">
        <f>IF(AND(LEFT(CT!$D19,3)=NKBH!$E$2,LEFT(CT!$E19,3)="511"),CT!A19,"")</f>
        <v/>
      </c>
      <c r="B21" s="65" t="str">
        <f>IF(AND(LEFT(CT!$D19,3)=NKBH!$E$2,LEFT(CT!$E19,3)="511"),CT!B19,"")</f>
        <v/>
      </c>
      <c r="C21" s="65" t="str">
        <f>IF(AND(LEFT(CT!$D19,3)=NKBH!$E$2,LEFT(CT!$E19,3)="511"),CT!C19,"")</f>
        <v/>
      </c>
      <c r="D21" s="69" t="str">
        <f>IF(AND(LEFT(CT!$D19,3)=NKBH!$E$2,LEFT(CT!$E19,3)="511"),CT!H19,"")</f>
        <v/>
      </c>
      <c r="E21" s="69">
        <f>IF(LEFT(CT!$E19,4)="5111",CT!$H19,0)</f>
        <v>0</v>
      </c>
      <c r="F21" s="69">
        <f>IF(LEFT(CT!$E19,4)="5112",CT!$H19,0)</f>
        <v>0</v>
      </c>
      <c r="G21" s="69">
        <f>IF(LEFT(CT!$E19,4)="5113",CT!$H19,0)</f>
        <v>0</v>
      </c>
    </row>
    <row r="22" spans="1:7" hidden="1" x14ac:dyDescent="0.25">
      <c r="A22" s="68" t="str">
        <f>IF(AND(LEFT(CT!$D20,3)=NKBH!$E$2,LEFT(CT!$E20,3)="511"),CT!A20,"")</f>
        <v/>
      </c>
      <c r="B22" s="65" t="str">
        <f>IF(AND(LEFT(CT!$D20,3)=NKBH!$E$2,LEFT(CT!$E20,3)="511"),CT!B20,"")</f>
        <v/>
      </c>
      <c r="C22" s="65" t="str">
        <f>IF(AND(LEFT(CT!$D20,3)=NKBH!$E$2,LEFT(CT!$E20,3)="511"),CT!C20,"")</f>
        <v/>
      </c>
      <c r="D22" s="69" t="str">
        <f>IF(AND(LEFT(CT!$D20,3)=NKBH!$E$2,LEFT(CT!$E20,3)="511"),CT!H20,"")</f>
        <v/>
      </c>
      <c r="E22" s="69">
        <f>IF(LEFT(CT!$E20,4)="5111",CT!$H20,0)</f>
        <v>0</v>
      </c>
      <c r="F22" s="69">
        <f>IF(LEFT(CT!$E20,4)="5112",CT!$H20,0)</f>
        <v>0</v>
      </c>
      <c r="G22" s="69">
        <f>IF(LEFT(CT!$E20,4)="5113",CT!$H20,0)</f>
        <v>0</v>
      </c>
    </row>
    <row r="23" spans="1:7" hidden="1" x14ac:dyDescent="0.25">
      <c r="A23" s="68" t="str">
        <f>IF(AND(LEFT(CT!$D21,3)=NKBH!$E$2,LEFT(CT!$E21,3)="511"),CT!A21,"")</f>
        <v/>
      </c>
      <c r="B23" s="65" t="str">
        <f>IF(AND(LEFT(CT!$D21,3)=NKBH!$E$2,LEFT(CT!$E21,3)="511"),CT!B21,"")</f>
        <v/>
      </c>
      <c r="C23" s="65" t="str">
        <f>IF(AND(LEFT(CT!$D21,3)=NKBH!$E$2,LEFT(CT!$E21,3)="511"),CT!C21,"")</f>
        <v/>
      </c>
      <c r="D23" s="69" t="str">
        <f>IF(AND(LEFT(CT!$D21,3)=NKBH!$E$2,LEFT(CT!$E21,3)="511"),CT!H21,"")</f>
        <v/>
      </c>
      <c r="E23" s="69">
        <f>IF(LEFT(CT!$E21,4)="5111",CT!$H21,0)</f>
        <v>0</v>
      </c>
      <c r="F23" s="69">
        <f>IF(LEFT(CT!$E21,4)="5112",CT!$H21,0)</f>
        <v>0</v>
      </c>
      <c r="G23" s="69">
        <f>IF(LEFT(CT!$E21,4)="5113",CT!$H21,0)</f>
        <v>0</v>
      </c>
    </row>
    <row r="24" spans="1:7" hidden="1" x14ac:dyDescent="0.25">
      <c r="A24" s="68" t="str">
        <f>IF(AND(LEFT(CT!$D22,3)=NKBH!$E$2,LEFT(CT!$E22,3)="511"),CT!A22,"")</f>
        <v/>
      </c>
      <c r="B24" s="65" t="str">
        <f>IF(AND(LEFT(CT!$D22,3)=NKBH!$E$2,LEFT(CT!$E22,3)="511"),CT!B22,"")</f>
        <v/>
      </c>
      <c r="C24" s="65" t="str">
        <f>IF(AND(LEFT(CT!$D22,3)=NKBH!$E$2,LEFT(CT!$E22,3)="511"),CT!C22,"")</f>
        <v/>
      </c>
      <c r="D24" s="69" t="str">
        <f>IF(AND(LEFT(CT!$D22,3)=NKBH!$E$2,LEFT(CT!$E22,3)="511"),CT!H22,"")</f>
        <v/>
      </c>
      <c r="E24" s="69">
        <f>IF(LEFT(CT!$E22,4)="5111",CT!$H22,0)</f>
        <v>0</v>
      </c>
      <c r="F24" s="69">
        <f>IF(LEFT(CT!$E22,4)="5112",CT!$H22,0)</f>
        <v>0</v>
      </c>
      <c r="G24" s="69">
        <f>IF(LEFT(CT!$E22,4)="5113",CT!$H22,0)</f>
        <v>0</v>
      </c>
    </row>
    <row r="25" spans="1:7" hidden="1" x14ac:dyDescent="0.25">
      <c r="A25" s="68" t="str">
        <f>IF(AND(LEFT(CT!$D23,3)=NKBH!$E$2,LEFT(CT!$E23,3)="511"),CT!A23,"")</f>
        <v/>
      </c>
      <c r="B25" s="65" t="str">
        <f>IF(AND(LEFT(CT!$D23,3)=NKBH!$E$2,LEFT(CT!$E23,3)="511"),CT!B23,"")</f>
        <v/>
      </c>
      <c r="C25" s="65" t="str">
        <f>IF(AND(LEFT(CT!$D23,3)=NKBH!$E$2,LEFT(CT!$E23,3)="511"),CT!C23,"")</f>
        <v/>
      </c>
      <c r="D25" s="69" t="str">
        <f>IF(AND(LEFT(CT!$D23,3)=NKBH!$E$2,LEFT(CT!$E23,3)="511"),CT!H23,"")</f>
        <v/>
      </c>
      <c r="E25" s="69">
        <f>IF(LEFT(CT!$E23,4)="5111",CT!$H23,0)</f>
        <v>0</v>
      </c>
      <c r="F25" s="69">
        <f>IF(LEFT(CT!$E23,4)="5112",CT!$H23,0)</f>
        <v>0</v>
      </c>
      <c r="G25" s="69">
        <f>IF(LEFT(CT!$E23,4)="5113",CT!$H23,0)</f>
        <v>0</v>
      </c>
    </row>
    <row r="26" spans="1:7" hidden="1" x14ac:dyDescent="0.25">
      <c r="A26" s="68" t="str">
        <f>IF(AND(LEFT(CT!$D24,3)=NKBH!$E$2,LEFT(CT!$E24,3)="511"),CT!A24,"")</f>
        <v/>
      </c>
      <c r="B26" s="65" t="str">
        <f>IF(AND(LEFT(CT!$D24,3)=NKBH!$E$2,LEFT(CT!$E24,3)="511"),CT!B24,"")</f>
        <v/>
      </c>
      <c r="C26" s="65" t="str">
        <f>IF(AND(LEFT(CT!$D24,3)=NKBH!$E$2,LEFT(CT!$E24,3)="511"),CT!C24,"")</f>
        <v/>
      </c>
      <c r="D26" s="69" t="str">
        <f>IF(AND(LEFT(CT!$D24,3)=NKBH!$E$2,LEFT(CT!$E24,3)="511"),CT!H24,"")</f>
        <v/>
      </c>
      <c r="E26" s="69">
        <f>IF(LEFT(CT!$E24,4)="5111",CT!$H24,0)</f>
        <v>0</v>
      </c>
      <c r="F26" s="69">
        <f>IF(LEFT(CT!$E24,4)="5112",CT!$H24,0)</f>
        <v>0</v>
      </c>
      <c r="G26" s="69">
        <f>IF(LEFT(CT!$E24,4)="5113",CT!$H24,0)</f>
        <v>0</v>
      </c>
    </row>
    <row r="27" spans="1:7" hidden="1" x14ac:dyDescent="0.25">
      <c r="A27" s="68" t="str">
        <f>IF(AND(LEFT(CT!$D25,3)=NKBH!$E$2,LEFT(CT!$E25,3)="511"),CT!A25,"")</f>
        <v/>
      </c>
      <c r="B27" s="65" t="str">
        <f>IF(AND(LEFT(CT!$D25,3)=NKBH!$E$2,LEFT(CT!$E25,3)="511"),CT!B25,"")</f>
        <v/>
      </c>
      <c r="C27" s="65" t="str">
        <f>IF(AND(LEFT(CT!$D25,3)=NKBH!$E$2,LEFT(CT!$E25,3)="511"),CT!C25,"")</f>
        <v/>
      </c>
      <c r="D27" s="69" t="str">
        <f>IF(AND(LEFT(CT!$D25,3)=NKBH!$E$2,LEFT(CT!$E25,3)="511"),CT!H25,"")</f>
        <v/>
      </c>
      <c r="E27" s="69">
        <f>IF(LEFT(CT!$E25,4)="5111",CT!$H25,0)</f>
        <v>0</v>
      </c>
      <c r="F27" s="69">
        <f>IF(LEFT(CT!$E25,4)="5112",CT!$H25,0)</f>
        <v>0</v>
      </c>
      <c r="G27" s="69">
        <f>IF(LEFT(CT!$E25,4)="5113",CT!$H25,0)</f>
        <v>0</v>
      </c>
    </row>
    <row r="28" spans="1:7" hidden="1" x14ac:dyDescent="0.25">
      <c r="A28" s="68" t="str">
        <f>IF(AND(LEFT(CT!$D26,3)=NKBH!$E$2,LEFT(CT!$E26,3)="511"),CT!A26,"")</f>
        <v/>
      </c>
      <c r="B28" s="65" t="str">
        <f>IF(AND(LEFT(CT!$D26,3)=NKBH!$E$2,LEFT(CT!$E26,3)="511"),CT!B26,"")</f>
        <v/>
      </c>
      <c r="C28" s="65" t="str">
        <f>IF(AND(LEFT(CT!$D26,3)=NKBH!$E$2,LEFT(CT!$E26,3)="511"),CT!C26,"")</f>
        <v/>
      </c>
      <c r="D28" s="69" t="str">
        <f>IF(AND(LEFT(CT!$D26,3)=NKBH!$E$2,LEFT(CT!$E26,3)="511"),CT!H26,"")</f>
        <v/>
      </c>
      <c r="E28" s="69">
        <f>IF(LEFT(CT!$E26,4)="5111",CT!$H26,0)</f>
        <v>0</v>
      </c>
      <c r="F28" s="69">
        <f>IF(LEFT(CT!$E26,4)="5112",CT!$H26,0)</f>
        <v>0</v>
      </c>
      <c r="G28" s="69">
        <f>IF(LEFT(CT!$E26,4)="5113",CT!$H26,0)</f>
        <v>0</v>
      </c>
    </row>
    <row r="29" spans="1:7" hidden="1" x14ac:dyDescent="0.25">
      <c r="A29" s="68" t="str">
        <f>IF(AND(LEFT(CT!$D27,3)=NKBH!$E$2,LEFT(CT!$E27,3)="511"),CT!A27,"")</f>
        <v/>
      </c>
      <c r="B29" s="65" t="str">
        <f>IF(AND(LEFT(CT!$D27,3)=NKBH!$E$2,LEFT(CT!$E27,3)="511"),CT!B27,"")</f>
        <v/>
      </c>
      <c r="C29" s="65" t="str">
        <f>IF(AND(LEFT(CT!$D27,3)=NKBH!$E$2,LEFT(CT!$E27,3)="511"),CT!C27,"")</f>
        <v/>
      </c>
      <c r="D29" s="69" t="str">
        <f>IF(AND(LEFT(CT!$D27,3)=NKBH!$E$2,LEFT(CT!$E27,3)="511"),CT!H27,"")</f>
        <v/>
      </c>
      <c r="E29" s="69">
        <f>IF(LEFT(CT!$E27,4)="5111",CT!$H27,0)</f>
        <v>0</v>
      </c>
      <c r="F29" s="69">
        <f>IF(LEFT(CT!$E27,4)="5112",CT!$H27,0)</f>
        <v>0</v>
      </c>
      <c r="G29" s="69">
        <f>IF(LEFT(CT!$E27,4)="5113",CT!$H27,0)</f>
        <v>0</v>
      </c>
    </row>
    <row r="30" spans="1:7" hidden="1" x14ac:dyDescent="0.25">
      <c r="A30" s="68" t="str">
        <f>IF(AND(LEFT(CT!$D28,3)=NKBH!$E$2,LEFT(CT!$E28,3)="511"),CT!A28,"")</f>
        <v/>
      </c>
      <c r="B30" s="65" t="str">
        <f>IF(AND(LEFT(CT!$D28,3)=NKBH!$E$2,LEFT(CT!$E28,3)="511"),CT!B28,"")</f>
        <v/>
      </c>
      <c r="C30" s="65" t="str">
        <f>IF(AND(LEFT(CT!$D28,3)=NKBH!$E$2,LEFT(CT!$E28,3)="511"),CT!C28,"")</f>
        <v/>
      </c>
      <c r="D30" s="69" t="str">
        <f>IF(AND(LEFT(CT!$D28,3)=NKBH!$E$2,LEFT(CT!$E28,3)="511"),CT!H28,"")</f>
        <v/>
      </c>
      <c r="E30" s="69">
        <f>IF(LEFT(CT!$E28,4)="5111",CT!$H28,0)</f>
        <v>0</v>
      </c>
      <c r="F30" s="69">
        <f>IF(LEFT(CT!$E28,4)="5112",CT!$H28,0)</f>
        <v>0</v>
      </c>
      <c r="G30" s="69">
        <f>IF(LEFT(CT!$E28,4)="5113",CT!$H28,0)</f>
        <v>0</v>
      </c>
    </row>
    <row r="31" spans="1:7" hidden="1" x14ac:dyDescent="0.25">
      <c r="A31" s="68" t="str">
        <f>IF(AND(LEFT(CT!$D29,3)=NKBH!$E$2,LEFT(CT!$E29,3)="511"),CT!A29,"")</f>
        <v/>
      </c>
      <c r="B31" s="65" t="str">
        <f>IF(AND(LEFT(CT!$D29,3)=NKBH!$E$2,LEFT(CT!$E29,3)="511"),CT!B29,"")</f>
        <v/>
      </c>
      <c r="C31" s="65" t="str">
        <f>IF(AND(LEFT(CT!$D29,3)=NKBH!$E$2,LEFT(CT!$E29,3)="511"),CT!C29,"")</f>
        <v/>
      </c>
      <c r="D31" s="69" t="str">
        <f>IF(AND(LEFT(CT!$D29,3)=NKBH!$E$2,LEFT(CT!$E29,3)="511"),CT!H29,"")</f>
        <v/>
      </c>
      <c r="E31" s="69">
        <f>IF(LEFT(CT!$E29,4)="5111",CT!$H29,0)</f>
        <v>0</v>
      </c>
      <c r="F31" s="69">
        <f>IF(LEFT(CT!$E29,4)="5112",CT!$H29,0)</f>
        <v>0</v>
      </c>
      <c r="G31" s="69">
        <f>IF(LEFT(CT!$E29,4)="5113",CT!$H29,0)</f>
        <v>0</v>
      </c>
    </row>
    <row r="32" spans="1:7" hidden="1" x14ac:dyDescent="0.25">
      <c r="A32" s="68" t="str">
        <f>IF(AND(LEFT(CT!$D30,3)=NKBH!$E$2,LEFT(CT!$E30,3)="511"),CT!A30,"")</f>
        <v/>
      </c>
      <c r="B32" s="65" t="str">
        <f>IF(AND(LEFT(CT!$D30,3)=NKBH!$E$2,LEFT(CT!$E30,3)="511"),CT!B30,"")</f>
        <v/>
      </c>
      <c r="C32" s="65" t="str">
        <f>IF(AND(LEFT(CT!$D30,3)=NKBH!$E$2,LEFT(CT!$E30,3)="511"),CT!C30,"")</f>
        <v/>
      </c>
      <c r="D32" s="69" t="str">
        <f>IF(AND(LEFT(CT!$D30,3)=NKBH!$E$2,LEFT(CT!$E30,3)="511"),CT!H30,"")</f>
        <v/>
      </c>
      <c r="E32" s="69">
        <f>IF(LEFT(CT!$E30,4)="5111",CT!$H30,0)</f>
        <v>0</v>
      </c>
      <c r="F32" s="69">
        <f>IF(LEFT(CT!$E30,4)="5112",CT!$H30,0)</f>
        <v>0</v>
      </c>
      <c r="G32" s="69">
        <f>IF(LEFT(CT!$E30,4)="5113",CT!$H30,0)</f>
        <v>0</v>
      </c>
    </row>
    <row r="33" spans="1:7" hidden="1" x14ac:dyDescent="0.25">
      <c r="A33" s="68" t="str">
        <f>IF(AND(LEFT(CT!$D31,3)=NKBH!$E$2,LEFT(CT!$E31,3)="511"),CT!A31,"")</f>
        <v/>
      </c>
      <c r="B33" s="65" t="str">
        <f>IF(AND(LEFT(CT!$D31,3)=NKBH!$E$2,LEFT(CT!$E31,3)="511"),CT!B31,"")</f>
        <v/>
      </c>
      <c r="C33" s="65" t="str">
        <f>IF(AND(LEFT(CT!$D31,3)=NKBH!$E$2,LEFT(CT!$E31,3)="511"),CT!C31,"")</f>
        <v/>
      </c>
      <c r="D33" s="69" t="str">
        <f>IF(AND(LEFT(CT!$D31,3)=NKBH!$E$2,LEFT(CT!$E31,3)="511"),CT!H31,"")</f>
        <v/>
      </c>
      <c r="E33" s="69">
        <f>IF(LEFT(CT!$E31,4)="5111",CT!$H31,0)</f>
        <v>0</v>
      </c>
      <c r="F33" s="69">
        <f>IF(LEFT(CT!$E31,4)="5112",CT!$H31,0)</f>
        <v>0</v>
      </c>
      <c r="G33" s="69">
        <f>IF(LEFT(CT!$E31,4)="5113",CT!$H31,0)</f>
        <v>0</v>
      </c>
    </row>
    <row r="34" spans="1:7" hidden="1" x14ac:dyDescent="0.25">
      <c r="A34" s="68" t="str">
        <f>IF(AND(LEFT(CT!$D32,3)=NKBH!$E$2,LEFT(CT!$E32,3)="511"),CT!A32,"")</f>
        <v/>
      </c>
      <c r="B34" s="65" t="str">
        <f>IF(AND(LEFT(CT!$D32,3)=NKBH!$E$2,LEFT(CT!$E32,3)="511"),CT!B32,"")</f>
        <v/>
      </c>
      <c r="C34" s="65" t="str">
        <f>IF(AND(LEFT(CT!$D32,3)=NKBH!$E$2,LEFT(CT!$E32,3)="511"),CT!C32,"")</f>
        <v/>
      </c>
      <c r="D34" s="69" t="str">
        <f>IF(AND(LEFT(CT!$D32,3)=NKBH!$E$2,LEFT(CT!$E32,3)="511"),CT!H32,"")</f>
        <v/>
      </c>
      <c r="E34" s="69">
        <f>IF(LEFT(CT!$E32,4)="5111",CT!$H32,0)</f>
        <v>0</v>
      </c>
      <c r="F34" s="69">
        <f>IF(LEFT(CT!$E32,4)="5112",CT!$H32,0)</f>
        <v>0</v>
      </c>
      <c r="G34" s="69">
        <f>IF(LEFT(CT!$E32,4)="5113",CT!$H32,0)</f>
        <v>0</v>
      </c>
    </row>
    <row r="35" spans="1:7" hidden="1" x14ac:dyDescent="0.25">
      <c r="A35" s="68" t="str">
        <f>IF(AND(LEFT(CT!$D33,3)=NKBH!$E$2,LEFT(CT!$E33,3)="511"),CT!A33,"")</f>
        <v/>
      </c>
      <c r="B35" s="65" t="str">
        <f>IF(AND(LEFT(CT!$D33,3)=NKBH!$E$2,LEFT(CT!$E33,3)="511"),CT!B33,"")</f>
        <v/>
      </c>
      <c r="C35" s="65" t="str">
        <f>IF(AND(LEFT(CT!$D33,3)=NKBH!$E$2,LEFT(CT!$E33,3)="511"),CT!C33,"")</f>
        <v/>
      </c>
      <c r="D35" s="69" t="str">
        <f>IF(AND(LEFT(CT!$D33,3)=NKBH!$E$2,LEFT(CT!$E33,3)="511"),CT!H33,"")</f>
        <v/>
      </c>
      <c r="E35" s="69">
        <f>IF(LEFT(CT!$E33,4)="5111",CT!$H33,0)</f>
        <v>0</v>
      </c>
      <c r="F35" s="69">
        <f>IF(LEFT(CT!$E33,4)="5112",CT!$H33,0)</f>
        <v>0</v>
      </c>
      <c r="G35" s="69">
        <f>IF(LEFT(CT!$E33,4)="5113",CT!$H33,0)</f>
        <v>0</v>
      </c>
    </row>
    <row r="36" spans="1:7" hidden="1" x14ac:dyDescent="0.25">
      <c r="A36" s="68" t="str">
        <f>IF(AND(LEFT(CT!$D34,3)=NKBH!$E$2,LEFT(CT!$E34,3)="511"),CT!A34,"")</f>
        <v/>
      </c>
      <c r="B36" s="65" t="str">
        <f>IF(AND(LEFT(CT!$D34,3)=NKBH!$E$2,LEFT(CT!$E34,3)="511"),CT!B34,"")</f>
        <v/>
      </c>
      <c r="C36" s="65" t="str">
        <f>IF(AND(LEFT(CT!$D34,3)=NKBH!$E$2,LEFT(CT!$E34,3)="511"),CT!C34,"")</f>
        <v/>
      </c>
      <c r="D36" s="69" t="str">
        <f>IF(AND(LEFT(CT!$D34,3)=NKBH!$E$2,LEFT(CT!$E34,3)="511"),CT!H34,"")</f>
        <v/>
      </c>
      <c r="E36" s="69">
        <f>IF(LEFT(CT!$E34,4)="5111",CT!$H34,0)</f>
        <v>0</v>
      </c>
      <c r="F36" s="69">
        <f>IF(LEFT(CT!$E34,4)="5112",CT!$H34,0)</f>
        <v>0</v>
      </c>
      <c r="G36" s="69">
        <f>IF(LEFT(CT!$E34,4)="5113",CT!$H34,0)</f>
        <v>0</v>
      </c>
    </row>
    <row r="37" spans="1:7" hidden="1" x14ac:dyDescent="0.25">
      <c r="A37" s="68" t="str">
        <f>IF(AND(LEFT(CT!$D35,3)=NKBH!$E$2,LEFT(CT!$E35,3)="511"),CT!A35,"")</f>
        <v/>
      </c>
      <c r="B37" s="65" t="str">
        <f>IF(AND(LEFT(CT!$D35,3)=NKBH!$E$2,LEFT(CT!$E35,3)="511"),CT!B35,"")</f>
        <v/>
      </c>
      <c r="C37" s="65" t="str">
        <f>IF(AND(LEFT(CT!$D35,3)=NKBH!$E$2,LEFT(CT!$E35,3)="511"),CT!C35,"")</f>
        <v/>
      </c>
      <c r="D37" s="69" t="str">
        <f>IF(AND(LEFT(CT!$D35,3)=NKBH!$E$2,LEFT(CT!$E35,3)="511"),CT!H35,"")</f>
        <v/>
      </c>
      <c r="E37" s="69">
        <f>IF(LEFT(CT!$E35,4)="5111",CT!$H35,0)</f>
        <v>0</v>
      </c>
      <c r="F37" s="69">
        <f>IF(LEFT(CT!$E35,4)="5112",CT!$H35,0)</f>
        <v>0</v>
      </c>
      <c r="G37" s="69">
        <f>IF(LEFT(CT!$E35,4)="5113",CT!$H35,0)</f>
        <v>0</v>
      </c>
    </row>
    <row r="38" spans="1:7" hidden="1" x14ac:dyDescent="0.25">
      <c r="A38" s="68" t="str">
        <f>IF(AND(LEFT(CT!$D36,3)=NKBH!$E$2,LEFT(CT!$E36,3)="511"),CT!A36,"")</f>
        <v/>
      </c>
      <c r="B38" s="65" t="str">
        <f>IF(AND(LEFT(CT!$D36,3)=NKBH!$E$2,LEFT(CT!$E36,3)="511"),CT!B36,"")</f>
        <v/>
      </c>
      <c r="C38" s="65" t="str">
        <f>IF(AND(LEFT(CT!$D36,3)=NKBH!$E$2,LEFT(CT!$E36,3)="511"),CT!C36,"")</f>
        <v/>
      </c>
      <c r="D38" s="69" t="str">
        <f>IF(AND(LEFT(CT!$D36,3)=NKBH!$E$2,LEFT(CT!$E36,3)="511"),CT!H36,"")</f>
        <v/>
      </c>
      <c r="E38" s="69">
        <f>IF(LEFT(CT!$E36,4)="5111",CT!$H36,0)</f>
        <v>0</v>
      </c>
      <c r="F38" s="69">
        <f>IF(LEFT(CT!$E36,4)="5112",CT!$H36,0)</f>
        <v>0</v>
      </c>
      <c r="G38" s="69">
        <f>IF(LEFT(CT!$E36,4)="5113",CT!$H36,0)</f>
        <v>0</v>
      </c>
    </row>
    <row r="39" spans="1:7" hidden="1" x14ac:dyDescent="0.25">
      <c r="A39" s="68" t="str">
        <f>IF(AND(LEFT(CT!$D37,3)=NKBH!$E$2,LEFT(CT!$E37,3)="511"),CT!A37,"")</f>
        <v/>
      </c>
      <c r="B39" s="65" t="str">
        <f>IF(AND(LEFT(CT!$D37,3)=NKBH!$E$2,LEFT(CT!$E37,3)="511"),CT!B37,"")</f>
        <v/>
      </c>
      <c r="C39" s="65" t="str">
        <f>IF(AND(LEFT(CT!$D37,3)=NKBH!$E$2,LEFT(CT!$E37,3)="511"),CT!C37,"")</f>
        <v/>
      </c>
      <c r="D39" s="69" t="str">
        <f>IF(AND(LEFT(CT!$D37,3)=NKBH!$E$2,LEFT(CT!$E37,3)="511"),CT!H37,"")</f>
        <v/>
      </c>
      <c r="E39" s="69">
        <f>IF(LEFT(CT!$E37,4)="5111",CT!$H37,0)</f>
        <v>0</v>
      </c>
      <c r="F39" s="69">
        <f>IF(LEFT(CT!$E37,4)="5112",CT!$H37,0)</f>
        <v>0</v>
      </c>
      <c r="G39" s="69">
        <f>IF(LEFT(CT!$E37,4)="5113",CT!$H37,0)</f>
        <v>0</v>
      </c>
    </row>
    <row r="40" spans="1:7" hidden="1" x14ac:dyDescent="0.25">
      <c r="A40" s="68" t="str">
        <f>IF(AND(LEFT(CT!$D38,3)=NKBH!$E$2,LEFT(CT!$E38,3)="511"),CT!A38,"")</f>
        <v/>
      </c>
      <c r="B40" s="65" t="str">
        <f>IF(AND(LEFT(CT!$D38,3)=NKBH!$E$2,LEFT(CT!$E38,3)="511"),CT!B38,"")</f>
        <v/>
      </c>
      <c r="C40" s="65" t="str">
        <f>IF(AND(LEFT(CT!$D38,3)=NKBH!$E$2,LEFT(CT!$E38,3)="511"),CT!C38,"")</f>
        <v/>
      </c>
      <c r="D40" s="69" t="str">
        <f>IF(AND(LEFT(CT!$D38,3)=NKBH!$E$2,LEFT(CT!$E38,3)="511"),CT!H38,"")</f>
        <v/>
      </c>
      <c r="E40" s="69">
        <f>IF(LEFT(CT!$E38,4)="5111",CT!$H38,0)</f>
        <v>0</v>
      </c>
      <c r="F40" s="69">
        <f>IF(LEFT(CT!$E38,4)="5112",CT!$H38,0)</f>
        <v>0</v>
      </c>
      <c r="G40" s="69">
        <f>IF(LEFT(CT!$E38,4)="5113",CT!$H38,0)</f>
        <v>0</v>
      </c>
    </row>
    <row r="41" spans="1:7" hidden="1" x14ac:dyDescent="0.25">
      <c r="A41" s="68" t="str">
        <f>IF(AND(LEFT(CT!$D39,3)=NKBH!$E$2,LEFT(CT!$E39,3)="511"),CT!A39,"")</f>
        <v/>
      </c>
      <c r="B41" s="65" t="str">
        <f>IF(AND(LEFT(CT!$D39,3)=NKBH!$E$2,LEFT(CT!$E39,3)="511"),CT!B39,"")</f>
        <v/>
      </c>
      <c r="C41" s="65" t="str">
        <f>IF(AND(LEFT(CT!$D39,3)=NKBH!$E$2,LEFT(CT!$E39,3)="511"),CT!C39,"")</f>
        <v/>
      </c>
      <c r="D41" s="69" t="str">
        <f>IF(AND(LEFT(CT!$D39,3)=NKBH!$E$2,LEFT(CT!$E39,3)="511"),CT!H39,"")</f>
        <v/>
      </c>
      <c r="E41" s="69">
        <f>IF(LEFT(CT!$E39,4)="5111",CT!$H39,0)</f>
        <v>0</v>
      </c>
      <c r="F41" s="69">
        <f>IF(LEFT(CT!$E39,4)="5112",CT!$H39,0)</f>
        <v>0</v>
      </c>
      <c r="G41" s="69">
        <f>IF(LEFT(CT!$E39,4)="5113",CT!$H39,0)</f>
        <v>0</v>
      </c>
    </row>
    <row r="42" spans="1:7" hidden="1" x14ac:dyDescent="0.25">
      <c r="A42" s="68" t="str">
        <f>IF(AND(LEFT(CT!$D40,3)=NKBH!$E$2,LEFT(CT!$E40,3)="511"),CT!A40,"")</f>
        <v/>
      </c>
      <c r="B42" s="65" t="str">
        <f>IF(AND(LEFT(CT!$D40,3)=NKBH!$E$2,LEFT(CT!$E40,3)="511"),CT!B40,"")</f>
        <v/>
      </c>
      <c r="C42" s="65" t="str">
        <f>IF(AND(LEFT(CT!$D40,3)=NKBH!$E$2,LEFT(CT!$E40,3)="511"),CT!C40,"")</f>
        <v/>
      </c>
      <c r="D42" s="69" t="str">
        <f>IF(AND(LEFT(CT!$D40,3)=NKBH!$E$2,LEFT(CT!$E40,3)="511"),CT!H40,"")</f>
        <v/>
      </c>
      <c r="E42" s="69">
        <f>IF(LEFT(CT!$E40,4)="5111",CT!$H40,0)</f>
        <v>0</v>
      </c>
      <c r="F42" s="69">
        <f>IF(LEFT(CT!$E40,4)="5112",CT!$H40,0)</f>
        <v>0</v>
      </c>
      <c r="G42" s="69">
        <f>IF(LEFT(CT!$E40,4)="5113",CT!$H40,0)</f>
        <v>0</v>
      </c>
    </row>
    <row r="43" spans="1:7" hidden="1" x14ac:dyDescent="0.25">
      <c r="A43" s="68" t="str">
        <f>IF(AND(LEFT(CT!$D41,3)=NKBH!$E$2,LEFT(CT!$E41,3)="511"),CT!A41,"")</f>
        <v/>
      </c>
      <c r="B43" s="65" t="str">
        <f>IF(AND(LEFT(CT!$D41,3)=NKBH!$E$2,LEFT(CT!$E41,3)="511"),CT!B41,"")</f>
        <v/>
      </c>
      <c r="C43" s="65" t="str">
        <f>IF(AND(LEFT(CT!$D41,3)=NKBH!$E$2,LEFT(CT!$E41,3)="511"),CT!C41,"")</f>
        <v/>
      </c>
      <c r="D43" s="69" t="str">
        <f>IF(AND(LEFT(CT!$D41,3)=NKBH!$E$2,LEFT(CT!$E41,3)="511"),CT!H41,"")</f>
        <v/>
      </c>
      <c r="E43" s="69">
        <f>IF(LEFT(CT!$E41,4)="5111",CT!$H41,0)</f>
        <v>0</v>
      </c>
      <c r="F43" s="69">
        <f>IF(LEFT(CT!$E41,4)="5112",CT!$H41,0)</f>
        <v>0</v>
      </c>
      <c r="G43" s="69">
        <f>IF(LEFT(CT!$E41,4)="5113",CT!$H41,0)</f>
        <v>0</v>
      </c>
    </row>
    <row r="44" spans="1:7" hidden="1" x14ac:dyDescent="0.25">
      <c r="A44" s="68" t="str">
        <f>IF(AND(LEFT(CT!$D42,3)=NKBH!$E$2,LEFT(CT!$E42,3)="511"),CT!A42,"")</f>
        <v/>
      </c>
      <c r="B44" s="65" t="str">
        <f>IF(AND(LEFT(CT!$D42,3)=NKBH!$E$2,LEFT(CT!$E42,3)="511"),CT!B42,"")</f>
        <v/>
      </c>
      <c r="C44" s="65" t="str">
        <f>IF(AND(LEFT(CT!$D42,3)=NKBH!$E$2,LEFT(CT!$E42,3)="511"),CT!C42,"")</f>
        <v/>
      </c>
      <c r="D44" s="69" t="str">
        <f>IF(AND(LEFT(CT!$D42,3)=NKBH!$E$2,LEFT(CT!$E42,3)="511"),CT!H42,"")</f>
        <v/>
      </c>
      <c r="E44" s="69">
        <f>IF(LEFT(CT!$E42,4)="5111",CT!$H42,0)</f>
        <v>0</v>
      </c>
      <c r="F44" s="69">
        <f>IF(LEFT(CT!$E42,4)="5112",CT!$H42,0)</f>
        <v>0</v>
      </c>
      <c r="G44" s="69">
        <f>IF(LEFT(CT!$E42,4)="5113",CT!$H42,0)</f>
        <v>0</v>
      </c>
    </row>
    <row r="45" spans="1:7" hidden="1" x14ac:dyDescent="0.25">
      <c r="A45" s="68" t="str">
        <f>IF(AND(LEFT(CT!$D43,3)=NKBH!$E$2,LEFT(CT!$E43,3)="511"),CT!A43,"")</f>
        <v/>
      </c>
      <c r="B45" s="65" t="str">
        <f>IF(AND(LEFT(CT!$D43,3)=NKBH!$E$2,LEFT(CT!$E43,3)="511"),CT!B43,"")</f>
        <v/>
      </c>
      <c r="C45" s="65" t="str">
        <f>IF(AND(LEFT(CT!$D43,3)=NKBH!$E$2,LEFT(CT!$E43,3)="511"),CT!C43,"")</f>
        <v/>
      </c>
      <c r="D45" s="69" t="str">
        <f>IF(AND(LEFT(CT!$D43,3)=NKBH!$E$2,LEFT(CT!$E43,3)="511"),CT!H43,"")</f>
        <v/>
      </c>
      <c r="E45" s="69">
        <f>IF(LEFT(CT!$E43,4)="5111",CT!$H43,0)</f>
        <v>0</v>
      </c>
      <c r="F45" s="69">
        <f>IF(LEFT(CT!$E43,4)="5112",CT!$H43,0)</f>
        <v>0</v>
      </c>
      <c r="G45" s="69">
        <f>IF(LEFT(CT!$E43,4)="5113",CT!$H43,0)</f>
        <v>0</v>
      </c>
    </row>
    <row r="46" spans="1:7" hidden="1" x14ac:dyDescent="0.25">
      <c r="A46" s="68" t="str">
        <f>IF(AND(LEFT(CT!$D44,3)=NKBH!$E$2,LEFT(CT!$E44,3)="511"),CT!A44,"")</f>
        <v/>
      </c>
      <c r="B46" s="65" t="str">
        <f>IF(AND(LEFT(CT!$D44,3)=NKBH!$E$2,LEFT(CT!$E44,3)="511"),CT!B44,"")</f>
        <v/>
      </c>
      <c r="C46" s="65" t="str">
        <f>IF(AND(LEFT(CT!$D44,3)=NKBH!$E$2,LEFT(CT!$E44,3)="511"),CT!C44,"")</f>
        <v/>
      </c>
      <c r="D46" s="69" t="str">
        <f>IF(AND(LEFT(CT!$D44,3)=NKBH!$E$2,LEFT(CT!$E44,3)="511"),CT!H44,"")</f>
        <v/>
      </c>
      <c r="E46" s="69">
        <f>IF(LEFT(CT!$E44,4)="5111",CT!$H44,0)</f>
        <v>0</v>
      </c>
      <c r="F46" s="69">
        <f>IF(LEFT(CT!$E44,4)="5112",CT!$H44,0)</f>
        <v>0</v>
      </c>
      <c r="G46" s="69">
        <f>IF(LEFT(CT!$E44,4)="5113",CT!$H44,0)</f>
        <v>0</v>
      </c>
    </row>
    <row r="47" spans="1:7" hidden="1" x14ac:dyDescent="0.25">
      <c r="A47" s="68" t="str">
        <f>IF(AND(LEFT(CT!$D45,3)=NKBH!$E$2,LEFT(CT!$E45,3)="511"),CT!A45,"")</f>
        <v/>
      </c>
      <c r="B47" s="65" t="str">
        <f>IF(AND(LEFT(CT!$D45,3)=NKBH!$E$2,LEFT(CT!$E45,3)="511"),CT!B45,"")</f>
        <v/>
      </c>
      <c r="C47" s="65" t="str">
        <f>IF(AND(LEFT(CT!$D45,3)=NKBH!$E$2,LEFT(CT!$E45,3)="511"),CT!C45,"")</f>
        <v/>
      </c>
      <c r="D47" s="69" t="str">
        <f>IF(AND(LEFT(CT!$D45,3)=NKBH!$E$2,LEFT(CT!$E45,3)="511"),CT!H45,"")</f>
        <v/>
      </c>
      <c r="E47" s="69">
        <f>IF(LEFT(CT!$E45,4)="5111",CT!$H45,0)</f>
        <v>0</v>
      </c>
      <c r="F47" s="69">
        <f>IF(LEFT(CT!$E45,4)="5112",CT!$H45,0)</f>
        <v>0</v>
      </c>
      <c r="G47" s="69">
        <f>IF(LEFT(CT!$E45,4)="5113",CT!$H45,0)</f>
        <v>0</v>
      </c>
    </row>
    <row r="48" spans="1:7" hidden="1" x14ac:dyDescent="0.25">
      <c r="A48" s="68" t="str">
        <f>IF(AND(LEFT(CT!$D46,3)=NKBH!$E$2,LEFT(CT!$E46,3)="511"),CT!A46,"")</f>
        <v/>
      </c>
      <c r="B48" s="65" t="str">
        <f>IF(AND(LEFT(CT!$D46,3)=NKBH!$E$2,LEFT(CT!$E46,3)="511"),CT!B46,"")</f>
        <v/>
      </c>
      <c r="C48" s="65" t="str">
        <f>IF(AND(LEFT(CT!$D46,3)=NKBH!$E$2,LEFT(CT!$E46,3)="511"),CT!C46,"")</f>
        <v/>
      </c>
      <c r="D48" s="69" t="str">
        <f>IF(AND(LEFT(CT!$D46,3)=NKBH!$E$2,LEFT(CT!$E46,3)="511"),CT!H46,"")</f>
        <v/>
      </c>
      <c r="E48" s="69">
        <f>IF(LEFT(CT!$E46,4)="5111",CT!$H46,0)</f>
        <v>0</v>
      </c>
      <c r="F48" s="69">
        <f>IF(LEFT(CT!$E46,4)="5112",CT!$H46,0)</f>
        <v>0</v>
      </c>
      <c r="G48" s="69">
        <f>IF(LEFT(CT!$E46,4)="5113",CT!$H46,0)</f>
        <v>0</v>
      </c>
    </row>
    <row r="49" spans="1:7" hidden="1" x14ac:dyDescent="0.25">
      <c r="A49" s="68" t="str">
        <f>IF(AND(LEFT(CT!$D47,3)=NKBH!$E$2,LEFT(CT!$E47,3)="511"),CT!A47,"")</f>
        <v/>
      </c>
      <c r="B49" s="65" t="str">
        <f>IF(AND(LEFT(CT!$D47,3)=NKBH!$E$2,LEFT(CT!$E47,3)="511"),CT!B47,"")</f>
        <v/>
      </c>
      <c r="C49" s="65" t="str">
        <f>IF(AND(LEFT(CT!$D47,3)=NKBH!$E$2,LEFT(CT!$E47,3)="511"),CT!C47,"")</f>
        <v/>
      </c>
      <c r="D49" s="69" t="str">
        <f>IF(AND(LEFT(CT!$D47,3)=NKBH!$E$2,LEFT(CT!$E47,3)="511"),CT!H47,"")</f>
        <v/>
      </c>
      <c r="E49" s="69">
        <f>IF(LEFT(CT!$E47,4)="5111",CT!$H47,0)</f>
        <v>0</v>
      </c>
      <c r="F49" s="69">
        <f>IF(LEFT(CT!$E47,4)="5112",CT!$H47,0)</f>
        <v>0</v>
      </c>
      <c r="G49" s="69">
        <f>IF(LEFT(CT!$E47,4)="5113",CT!$H47,0)</f>
        <v>0</v>
      </c>
    </row>
    <row r="50" spans="1:7" x14ac:dyDescent="0.25">
      <c r="A50" s="68">
        <f>IF(AND(LEFT(CT!$D48,3)=NKBH!$E$2,LEFT(CT!$E48,3)="511"),CT!A48,"")</f>
        <v>45316</v>
      </c>
      <c r="B50" s="65" t="str">
        <f>IF(AND(LEFT(CT!$D48,3)=NKBH!$E$2,LEFT(CT!$E48,3)="511"),CT!B48,"")</f>
        <v>02/BTP</v>
      </c>
      <c r="C50" s="65" t="str">
        <f>IF(AND(LEFT(CT!$D48,3)=NKBH!$E$2,LEFT(CT!$E48,3)="511"),CT!C48,"")</f>
        <v>Bán GKT cho Cty XNK Vật Tư</v>
      </c>
      <c r="D50" s="69">
        <f>IF(AND(LEFT(CT!$D48,3)=NKBH!$E$2,LEFT(CT!$E48,3)="511"),CT!H48,"")</f>
        <v>28000000</v>
      </c>
      <c r="E50" s="69">
        <f>IF(LEFT(CT!$E48,4)="5111",CT!$H48,0)</f>
        <v>0</v>
      </c>
      <c r="F50" s="69">
        <f>IF(LEFT(CT!$E48,4)="5112",CT!$H48,0)</f>
        <v>28000000</v>
      </c>
      <c r="G50" s="69">
        <f>IF(LEFT(CT!$E48,4)="5113",CT!$H48,0)</f>
        <v>0</v>
      </c>
    </row>
    <row r="51" spans="1:7" x14ac:dyDescent="0.25">
      <c r="A51" s="68">
        <f>IF(AND(LEFT(CT!$D49,3)=NKBH!$E$2,LEFT(CT!$E49,3)="511"),CT!A49,"")</f>
        <v>45316</v>
      </c>
      <c r="B51" s="65" t="str">
        <f>IF(AND(LEFT(CT!$D49,3)=NKBH!$E$2,LEFT(CT!$E49,3)="511"),CT!B49,"")</f>
        <v>01/BTP</v>
      </c>
      <c r="C51" s="65" t="str">
        <f>IF(AND(LEFT(CT!$D49,3)=NKBH!$E$2,LEFT(CT!$E49,3)="511"),CT!C49,"")</f>
        <v>Bán GTV cho Cty Nam Việt</v>
      </c>
      <c r="D51" s="69">
        <f>IF(AND(LEFT(CT!$D49,3)=NKBH!$E$2,LEFT(CT!$E49,3)="511"),CT!H49,"")</f>
        <v>30000000</v>
      </c>
      <c r="E51" s="69">
        <f>IF(LEFT(CT!$E49,4)="5111",CT!$H49,0)</f>
        <v>0</v>
      </c>
      <c r="F51" s="69">
        <f>IF(LEFT(CT!$E49,4)="5112",CT!$H49,0)</f>
        <v>30000000</v>
      </c>
      <c r="G51" s="69">
        <f>IF(LEFT(CT!$E49,4)="5113",CT!$H49,0)</f>
        <v>0</v>
      </c>
    </row>
    <row r="52" spans="1:7" x14ac:dyDescent="0.25">
      <c r="A52" s="68">
        <f>IF(AND(LEFT(CT!$D50,3)=NKBH!$E$2,LEFT(CT!$E50,3)="511"),CT!A50,"")</f>
        <v>45316</v>
      </c>
      <c r="B52" s="65" t="str">
        <f>IF(AND(LEFT(CT!$D50,3)=NKBH!$E$2,LEFT(CT!$E50,3)="511"),CT!B50,"")</f>
        <v>02/BTP</v>
      </c>
      <c r="C52" s="65" t="str">
        <f>IF(AND(LEFT(CT!$D50,3)=NKBH!$E$2,LEFT(CT!$E50,3)="511"),CT!C50,"")</f>
        <v>Bán BO cho Cty XNK Vật Tư</v>
      </c>
      <c r="D52" s="69">
        <f>IF(AND(LEFT(CT!$D50,3)=NKBH!$E$2,LEFT(CT!$E50,3)="511"),CT!H50,"")</f>
        <v>30000000</v>
      </c>
      <c r="E52" s="69">
        <f>IF(LEFT(CT!$E50,4)="5111",CT!$H50,0)</f>
        <v>0</v>
      </c>
      <c r="F52" s="69">
        <f>IF(LEFT(CT!$E50,4)="5112",CT!$H50,0)</f>
        <v>30000000</v>
      </c>
      <c r="G52" s="69">
        <f>IF(LEFT(CT!$E50,4)="5113",CT!$H50,0)</f>
        <v>0</v>
      </c>
    </row>
    <row r="53" spans="1:7" hidden="1" x14ac:dyDescent="0.25">
      <c r="A53" s="68" t="str">
        <f>IF(AND(LEFT(CT!$D51,3)=NKBH!$E$2,LEFT(CT!$E51,3)="511"),CT!A51,"")</f>
        <v/>
      </c>
      <c r="B53" s="65" t="str">
        <f>IF(AND(LEFT(CT!$D51,3)=NKBH!$E$2,LEFT(CT!$E51,3)="511"),CT!B51,"")</f>
        <v/>
      </c>
      <c r="C53" s="65" t="str">
        <f>IF(AND(LEFT(CT!$D51,3)=NKBH!$E$2,LEFT(CT!$E51,3)="511"),CT!C51,"")</f>
        <v/>
      </c>
      <c r="D53" s="69" t="str">
        <f>IF(AND(LEFT(CT!$D51,3)=NKBH!$E$2,LEFT(CT!$E51,3)="511"),CT!H51,"")</f>
        <v/>
      </c>
      <c r="E53" s="69">
        <f>IF(LEFT(CT!$E51,4)="5111",CT!$H51,0)</f>
        <v>0</v>
      </c>
      <c r="F53" s="69">
        <f>IF(LEFT(CT!$E51,4)="5112",CT!$H51,0)</f>
        <v>0</v>
      </c>
      <c r="G53" s="69">
        <f>IF(LEFT(CT!$E51,4)="5113",CT!$H51,0)</f>
        <v>0</v>
      </c>
    </row>
    <row r="54" spans="1:7" hidden="1" x14ac:dyDescent="0.25">
      <c r="A54" s="68" t="str">
        <f>IF(AND(LEFT(CT!$D52,3)=NKBH!$E$2,LEFT(CT!$E52,3)="511"),CT!A52,"")</f>
        <v/>
      </c>
      <c r="B54" s="65" t="str">
        <f>IF(AND(LEFT(CT!$D52,3)=NKBH!$E$2,LEFT(CT!$E52,3)="511"),CT!B52,"")</f>
        <v/>
      </c>
      <c r="C54" s="65" t="str">
        <f>IF(AND(LEFT(CT!$D52,3)=NKBH!$E$2,LEFT(CT!$E52,3)="511"),CT!C52,"")</f>
        <v/>
      </c>
      <c r="D54" s="69" t="str">
        <f>IF(AND(LEFT(CT!$D52,3)=NKBH!$E$2,LEFT(CT!$E52,3)="511"),CT!H52,"")</f>
        <v/>
      </c>
      <c r="E54" s="69">
        <f>IF(LEFT(CT!$E52,4)="5111",CT!$H52,0)</f>
        <v>0</v>
      </c>
      <c r="F54" s="69">
        <f>IF(LEFT(CT!$E52,4)="5112",CT!$H52,0)</f>
        <v>0</v>
      </c>
      <c r="G54" s="69">
        <f>IF(LEFT(CT!$E52,4)="5113",CT!$H52,0)</f>
        <v>0</v>
      </c>
    </row>
    <row r="55" spans="1:7" hidden="1" x14ac:dyDescent="0.25">
      <c r="A55" s="68" t="str">
        <f>IF(AND(LEFT(CT!$D53,3)=NKBH!$E$2,LEFT(CT!$E53,3)="511"),CT!A53,"")</f>
        <v/>
      </c>
      <c r="B55" s="65" t="str">
        <f>IF(AND(LEFT(CT!$D53,3)=NKBH!$E$2,LEFT(CT!$E53,3)="511"),CT!B53,"")</f>
        <v/>
      </c>
      <c r="C55" s="65" t="str">
        <f>IF(AND(LEFT(CT!$D53,3)=NKBH!$E$2,LEFT(CT!$E53,3)="511"),CT!C53,"")</f>
        <v/>
      </c>
      <c r="D55" s="69" t="str">
        <f>IF(AND(LEFT(CT!$D53,3)=NKBH!$E$2,LEFT(CT!$E53,3)="511"),CT!H53,"")</f>
        <v/>
      </c>
      <c r="E55" s="69">
        <f>IF(LEFT(CT!$E53,4)="5111",CT!$H53,0)</f>
        <v>0</v>
      </c>
      <c r="F55" s="69">
        <f>IF(LEFT(CT!$E53,4)="5112",CT!$H53,0)</f>
        <v>0</v>
      </c>
      <c r="G55" s="69">
        <f>IF(LEFT(CT!$E53,4)="5113",CT!$H53,0)</f>
        <v>0</v>
      </c>
    </row>
    <row r="56" spans="1:7" hidden="1" x14ac:dyDescent="0.25">
      <c r="A56" s="68" t="str">
        <f>IF(AND(LEFT(CT!$D54,3)=NKBH!$E$2,LEFT(CT!$E54,3)="511"),CT!A54,"")</f>
        <v/>
      </c>
      <c r="B56" s="65" t="str">
        <f>IF(AND(LEFT(CT!$D54,3)=NKBH!$E$2,LEFT(CT!$E54,3)="511"),CT!B54,"")</f>
        <v/>
      </c>
      <c r="C56" s="65" t="str">
        <f>IF(AND(LEFT(CT!$D54,3)=NKBH!$E$2,LEFT(CT!$E54,3)="511"),CT!C54,"")</f>
        <v/>
      </c>
      <c r="D56" s="69" t="str">
        <f>IF(AND(LEFT(CT!$D54,3)=NKBH!$E$2,LEFT(CT!$E54,3)="511"),CT!H54,"")</f>
        <v/>
      </c>
      <c r="E56" s="69">
        <f>IF(LEFT(CT!$E54,4)="5111",CT!$H54,0)</f>
        <v>0</v>
      </c>
      <c r="F56" s="69">
        <f>IF(LEFT(CT!$E54,4)="5112",CT!$H54,0)</f>
        <v>0</v>
      </c>
      <c r="G56" s="69">
        <f>IF(LEFT(CT!$E54,4)="5113",CT!$H54,0)</f>
        <v>0</v>
      </c>
    </row>
    <row r="57" spans="1:7" hidden="1" x14ac:dyDescent="0.25">
      <c r="A57" s="68" t="str">
        <f>IF(AND(LEFT(CT!$D55,3)=NKBH!$E$2,LEFT(CT!$E55,3)="511"),CT!A55,"")</f>
        <v/>
      </c>
      <c r="B57" s="65" t="str">
        <f>IF(AND(LEFT(CT!$D55,3)=NKBH!$E$2,LEFT(CT!$E55,3)="511"),CT!B55,"")</f>
        <v/>
      </c>
      <c r="C57" s="65" t="str">
        <f>IF(AND(LEFT(CT!$D55,3)=NKBH!$E$2,LEFT(CT!$E55,3)="511"),CT!C55,"")</f>
        <v/>
      </c>
      <c r="D57" s="69" t="str">
        <f>IF(AND(LEFT(CT!$D55,3)=NKBH!$E$2,LEFT(CT!$E55,3)="511"),CT!H55,"")</f>
        <v/>
      </c>
      <c r="E57" s="69">
        <f>IF(LEFT(CT!$E55,4)="5111",CT!$H55,0)</f>
        <v>0</v>
      </c>
      <c r="F57" s="69">
        <f>IF(LEFT(CT!$E55,4)="5112",CT!$H55,0)</f>
        <v>0</v>
      </c>
      <c r="G57" s="69">
        <f>IF(LEFT(CT!$E55,4)="5113",CT!$H55,0)</f>
        <v>0</v>
      </c>
    </row>
    <row r="58" spans="1:7" hidden="1" x14ac:dyDescent="0.25">
      <c r="A58" s="68" t="str">
        <f>IF(AND(LEFT(CT!$D56,3)=NKBH!$E$2,LEFT(CT!$E56,3)="511"),CT!A56,"")</f>
        <v/>
      </c>
      <c r="B58" s="65" t="str">
        <f>IF(AND(LEFT(CT!$D56,3)=NKBH!$E$2,LEFT(CT!$E56,3)="511"),CT!B56,"")</f>
        <v/>
      </c>
      <c r="C58" s="65" t="str">
        <f>IF(AND(LEFT(CT!$D56,3)=NKBH!$E$2,LEFT(CT!$E56,3)="511"),CT!C56,"")</f>
        <v/>
      </c>
      <c r="D58" s="69" t="str">
        <f>IF(AND(LEFT(CT!$D56,3)=NKBH!$E$2,LEFT(CT!$E56,3)="511"),CT!H56,"")</f>
        <v/>
      </c>
      <c r="E58" s="69">
        <f>IF(LEFT(CT!$E56,4)="5111",CT!$H56,0)</f>
        <v>0</v>
      </c>
      <c r="F58" s="69">
        <f>IF(LEFT(CT!$E56,4)="5112",CT!$H56,0)</f>
        <v>0</v>
      </c>
      <c r="G58" s="69">
        <f>IF(LEFT(CT!$E56,4)="5113",CT!$H56,0)</f>
        <v>0</v>
      </c>
    </row>
    <row r="59" spans="1:7" hidden="1" x14ac:dyDescent="0.25">
      <c r="A59" s="68" t="str">
        <f>IF(AND(LEFT(CT!$D57,3)=NKBH!$E$2,LEFT(CT!$E57,3)="511"),CT!A57,"")</f>
        <v/>
      </c>
      <c r="B59" s="65" t="str">
        <f>IF(AND(LEFT(CT!$D57,3)=NKBH!$E$2,LEFT(CT!$E57,3)="511"),CT!B57,"")</f>
        <v/>
      </c>
      <c r="C59" s="65" t="str">
        <f>IF(AND(LEFT(CT!$D57,3)=NKBH!$E$2,LEFT(CT!$E57,3)="511"),CT!C57,"")</f>
        <v/>
      </c>
      <c r="D59" s="69" t="str">
        <f>IF(AND(LEFT(CT!$D57,3)=NKBH!$E$2,LEFT(CT!$E57,3)="511"),CT!H57,"")</f>
        <v/>
      </c>
      <c r="E59" s="69">
        <f>IF(LEFT(CT!$E57,4)="5111",CT!$H57,0)</f>
        <v>0</v>
      </c>
      <c r="F59" s="69">
        <f>IF(LEFT(CT!$E57,4)="5112",CT!$H57,0)</f>
        <v>0</v>
      </c>
      <c r="G59" s="69">
        <f>IF(LEFT(CT!$E57,4)="5113",CT!$H57,0)</f>
        <v>0</v>
      </c>
    </row>
    <row r="60" spans="1:7" hidden="1" x14ac:dyDescent="0.25">
      <c r="A60" s="68" t="str">
        <f>IF(AND(LEFT(CT!$D58,3)=NKBH!$E$2,LEFT(CT!$E58,3)="511"),CT!A58,"")</f>
        <v/>
      </c>
      <c r="B60" s="65" t="str">
        <f>IF(AND(LEFT(CT!$D58,3)=NKBH!$E$2,LEFT(CT!$E58,3)="511"),CT!B58,"")</f>
        <v/>
      </c>
      <c r="C60" s="65" t="str">
        <f>IF(AND(LEFT(CT!$D58,3)=NKBH!$E$2,LEFT(CT!$E58,3)="511"),CT!C58,"")</f>
        <v/>
      </c>
      <c r="D60" s="69" t="str">
        <f>IF(AND(LEFT(CT!$D58,3)=NKBH!$E$2,LEFT(CT!$E58,3)="511"),CT!H58,"")</f>
        <v/>
      </c>
      <c r="E60" s="69">
        <f>IF(LEFT(CT!$E58,4)="5111",CT!$H58,0)</f>
        <v>0</v>
      </c>
      <c r="F60" s="69">
        <f>IF(LEFT(CT!$E58,4)="5112",CT!$H58,0)</f>
        <v>0</v>
      </c>
      <c r="G60" s="69">
        <f>IF(LEFT(CT!$E58,4)="5113",CT!$H58,0)</f>
        <v>0</v>
      </c>
    </row>
    <row r="61" spans="1:7" hidden="1" x14ac:dyDescent="0.25">
      <c r="A61" s="68" t="str">
        <f>IF(AND(LEFT(CT!$D59,3)=NKBH!$E$2,LEFT(CT!$E59,3)="511"),CT!A59,"")</f>
        <v/>
      </c>
      <c r="B61" s="65" t="str">
        <f>IF(AND(LEFT(CT!$D59,3)=NKBH!$E$2,LEFT(CT!$E59,3)="511"),CT!B59,"")</f>
        <v/>
      </c>
      <c r="C61" s="65" t="str">
        <f>IF(AND(LEFT(CT!$D59,3)=NKBH!$E$2,LEFT(CT!$E59,3)="511"),CT!C59,"")</f>
        <v/>
      </c>
      <c r="D61" s="69" t="str">
        <f>IF(AND(LEFT(CT!$D59,3)=NKBH!$E$2,LEFT(CT!$E59,3)="511"),CT!H59,"")</f>
        <v/>
      </c>
      <c r="E61" s="69">
        <f>IF(LEFT(CT!$E59,4)="5111",CT!$H59,0)</f>
        <v>0</v>
      </c>
      <c r="F61" s="69">
        <f>IF(LEFT(CT!$E59,4)="5112",CT!$H59,0)</f>
        <v>0</v>
      </c>
      <c r="G61" s="69">
        <f>IF(LEFT(CT!$E59,4)="5113",CT!$H59,0)</f>
        <v>0</v>
      </c>
    </row>
    <row r="62" spans="1:7" hidden="1" x14ac:dyDescent="0.25">
      <c r="A62" s="68" t="str">
        <f>IF(AND(LEFT(CT!$D60,3)=NKBH!$E$2,LEFT(CT!$E60,3)="511"),CT!A60,"")</f>
        <v/>
      </c>
      <c r="B62" s="65" t="str">
        <f>IF(AND(LEFT(CT!$D60,3)=NKBH!$E$2,LEFT(CT!$E60,3)="511"),CT!B60,"")</f>
        <v/>
      </c>
      <c r="C62" s="65" t="str">
        <f>IF(AND(LEFT(CT!$D60,3)=NKBH!$E$2,LEFT(CT!$E60,3)="511"),CT!C60,"")</f>
        <v/>
      </c>
      <c r="D62" s="69" t="str">
        <f>IF(AND(LEFT(CT!$D60,3)=NKBH!$E$2,LEFT(CT!$E60,3)="511"),CT!H60,"")</f>
        <v/>
      </c>
      <c r="E62" s="69">
        <f>IF(LEFT(CT!$E60,4)="5111",CT!$H60,0)</f>
        <v>0</v>
      </c>
      <c r="F62" s="69">
        <f>IF(LEFT(CT!$E60,4)="5112",CT!$H60,0)</f>
        <v>0</v>
      </c>
      <c r="G62" s="69">
        <f>IF(LEFT(CT!$E60,4)="5113",CT!$H60,0)</f>
        <v>0</v>
      </c>
    </row>
    <row r="63" spans="1:7" hidden="1" x14ac:dyDescent="0.25">
      <c r="A63" s="68" t="str">
        <f>IF(AND(LEFT(CT!$D61,3)=NKBH!$E$2,LEFT(CT!$E61,3)="511"),CT!A61,"")</f>
        <v/>
      </c>
      <c r="B63" s="65" t="str">
        <f>IF(AND(LEFT(CT!$D61,3)=NKBH!$E$2,LEFT(CT!$E61,3)="511"),CT!B61,"")</f>
        <v/>
      </c>
      <c r="C63" s="65" t="str">
        <f>IF(AND(LEFT(CT!$D61,3)=NKBH!$E$2,LEFT(CT!$E61,3)="511"),CT!C61,"")</f>
        <v/>
      </c>
      <c r="D63" s="69" t="str">
        <f>IF(AND(LEFT(CT!$D61,3)=NKBH!$E$2,LEFT(CT!$E61,3)="511"),CT!H61,"")</f>
        <v/>
      </c>
      <c r="E63" s="69">
        <f>IF(LEFT(CT!$E61,4)="5111",CT!$H61,0)</f>
        <v>0</v>
      </c>
      <c r="F63" s="69">
        <f>IF(LEFT(CT!$E61,4)="5112",CT!$H61,0)</f>
        <v>0</v>
      </c>
      <c r="G63" s="69">
        <f>IF(LEFT(CT!$E61,4)="5113",CT!$H61,0)</f>
        <v>0</v>
      </c>
    </row>
    <row r="64" spans="1:7" hidden="1" x14ac:dyDescent="0.25">
      <c r="A64" s="68" t="str">
        <f>IF(AND(LEFT(CT!$D62,3)=NKBH!$E$2,LEFT(CT!$E62,3)="511"),CT!A62,"")</f>
        <v/>
      </c>
      <c r="B64" s="65" t="str">
        <f>IF(AND(LEFT(CT!$D62,3)=NKBH!$E$2,LEFT(CT!$E62,3)="511"),CT!B62,"")</f>
        <v/>
      </c>
      <c r="C64" s="65" t="str">
        <f>IF(AND(LEFT(CT!$D62,3)=NKBH!$E$2,LEFT(CT!$E62,3)="511"),CT!C62,"")</f>
        <v/>
      </c>
      <c r="D64" s="69" t="str">
        <f>IF(AND(LEFT(CT!$D62,3)=NKBH!$E$2,LEFT(CT!$E62,3)="511"),CT!H62,"")</f>
        <v/>
      </c>
      <c r="E64" s="69">
        <f>IF(LEFT(CT!$E62,4)="5111",CT!$H62,0)</f>
        <v>0</v>
      </c>
      <c r="F64" s="69">
        <f>IF(LEFT(CT!$E62,4)="5112",CT!$H62,0)</f>
        <v>0</v>
      </c>
      <c r="G64" s="69">
        <f>IF(LEFT(CT!$E62,4)="5113",CT!$H62,0)</f>
        <v>0</v>
      </c>
    </row>
    <row r="65" spans="1:7" hidden="1" x14ac:dyDescent="0.25">
      <c r="A65" s="68" t="str">
        <f>IF(AND(LEFT(CT!$D63,3)=NKBH!$E$2,LEFT(CT!$E63,3)="511"),CT!A63,"")</f>
        <v/>
      </c>
      <c r="B65" s="65" t="str">
        <f>IF(AND(LEFT(CT!$D63,3)=NKBH!$E$2,LEFT(CT!$E63,3)="511"),CT!B63,"")</f>
        <v/>
      </c>
      <c r="C65" s="65" t="str">
        <f>IF(AND(LEFT(CT!$D63,3)=NKBH!$E$2,LEFT(CT!$E63,3)="511"),CT!C63,"")</f>
        <v/>
      </c>
      <c r="D65" s="69" t="str">
        <f>IF(AND(LEFT(CT!$D63,3)=NKBH!$E$2,LEFT(CT!$E63,3)="511"),CT!H63,"")</f>
        <v/>
      </c>
      <c r="E65" s="69">
        <f>IF(LEFT(CT!$E63,4)="5111",CT!$H63,0)</f>
        <v>0</v>
      </c>
      <c r="F65" s="69">
        <f>IF(LEFT(CT!$E63,4)="5112",CT!$H63,0)</f>
        <v>0</v>
      </c>
      <c r="G65" s="69">
        <f>IF(LEFT(CT!$E63,4)="5113",CT!$H63,0)</f>
        <v>0</v>
      </c>
    </row>
    <row r="66" spans="1:7" hidden="1" x14ac:dyDescent="0.25">
      <c r="A66" s="68" t="str">
        <f>IF(AND(LEFT(CT!$D64,3)=NKBH!$E$2,LEFT(CT!$E64,3)="511"),CT!A64,"")</f>
        <v/>
      </c>
      <c r="B66" s="65" t="str">
        <f>IF(AND(LEFT(CT!$D64,3)=NKBH!$E$2,LEFT(CT!$E64,3)="511"),CT!B64,"")</f>
        <v/>
      </c>
      <c r="C66" s="65" t="str">
        <f>IF(AND(LEFT(CT!$D64,3)=NKBH!$E$2,LEFT(CT!$E64,3)="511"),CT!C64,"")</f>
        <v/>
      </c>
      <c r="D66" s="69" t="str">
        <f>IF(AND(LEFT(CT!$D64,3)=NKBH!$E$2,LEFT(CT!$E64,3)="511"),CT!H64,"")</f>
        <v/>
      </c>
      <c r="E66" s="69">
        <f>IF(LEFT(CT!$E64,4)="5111",CT!$H64,0)</f>
        <v>0</v>
      </c>
      <c r="F66" s="69">
        <f>IF(LEFT(CT!$E64,4)="5112",CT!$H64,0)</f>
        <v>0</v>
      </c>
      <c r="G66" s="69">
        <f>IF(LEFT(CT!$E64,4)="5113",CT!$H64,0)</f>
        <v>0</v>
      </c>
    </row>
    <row r="67" spans="1:7" hidden="1" x14ac:dyDescent="0.25">
      <c r="A67" s="68" t="str">
        <f>IF(AND(LEFT(CT!$D65,3)=NKBH!$E$2,LEFT(CT!$E65,3)="511"),CT!A65,"")</f>
        <v/>
      </c>
      <c r="B67" s="65" t="str">
        <f>IF(AND(LEFT(CT!$D65,3)=NKBH!$E$2,LEFT(CT!$E65,3)="511"),CT!B65,"")</f>
        <v/>
      </c>
      <c r="C67" s="65" t="str">
        <f>IF(AND(LEFT(CT!$D65,3)=NKBH!$E$2,LEFT(CT!$E65,3)="511"),CT!C65,"")</f>
        <v/>
      </c>
      <c r="D67" s="69" t="str">
        <f>IF(AND(LEFT(CT!$D65,3)=NKBH!$E$2,LEFT(CT!$E65,3)="511"),CT!H65,"")</f>
        <v/>
      </c>
      <c r="E67" s="69">
        <f>IF(LEFT(CT!$E65,4)="5111",CT!$H65,0)</f>
        <v>0</v>
      </c>
      <c r="F67" s="69">
        <f>IF(LEFT(CT!$E65,4)="5112",CT!$H65,0)</f>
        <v>0</v>
      </c>
      <c r="G67" s="69">
        <f>IF(LEFT(CT!$E65,4)="5113",CT!$H65,0)</f>
        <v>0</v>
      </c>
    </row>
    <row r="68" spans="1:7" hidden="1" x14ac:dyDescent="0.25">
      <c r="A68" s="68" t="str">
        <f>IF(AND(LEFT(CT!$D66,3)=NKBH!$E$2,LEFT(CT!$E66,3)="511"),CT!A66,"")</f>
        <v/>
      </c>
      <c r="B68" s="65" t="str">
        <f>IF(AND(LEFT(CT!$D66,3)=NKBH!$E$2,LEFT(CT!$E66,3)="511"),CT!B66,"")</f>
        <v/>
      </c>
      <c r="C68" s="65" t="str">
        <f>IF(AND(LEFT(CT!$D66,3)=NKBH!$E$2,LEFT(CT!$E66,3)="511"),CT!C66,"")</f>
        <v/>
      </c>
      <c r="D68" s="69" t="str">
        <f>IF(AND(LEFT(CT!$D66,3)=NKBH!$E$2,LEFT(CT!$E66,3)="511"),CT!H66,"")</f>
        <v/>
      </c>
      <c r="E68" s="69">
        <f>IF(LEFT(CT!$E66,4)="5111",CT!$H66,0)</f>
        <v>0</v>
      </c>
      <c r="F68" s="69">
        <f>IF(LEFT(CT!$E66,4)="5112",CT!$H66,0)</f>
        <v>0</v>
      </c>
      <c r="G68" s="69">
        <f>IF(LEFT(CT!$E66,4)="5113",CT!$H66,0)</f>
        <v>0</v>
      </c>
    </row>
    <row r="69" spans="1:7" hidden="1" x14ac:dyDescent="0.25">
      <c r="A69" s="68" t="str">
        <f>IF(AND(LEFT(CT!$D67,3)=NKBH!$E$2,LEFT(CT!$E67,3)="511"),CT!A67,"")</f>
        <v/>
      </c>
      <c r="B69" s="65" t="str">
        <f>IF(AND(LEFT(CT!$D67,3)=NKBH!$E$2,LEFT(CT!$E67,3)="511"),CT!B67,"")</f>
        <v/>
      </c>
      <c r="C69" s="65" t="str">
        <f>IF(AND(LEFT(CT!$D67,3)=NKBH!$E$2,LEFT(CT!$E67,3)="511"),CT!C67,"")</f>
        <v/>
      </c>
      <c r="D69" s="69" t="str">
        <f>IF(AND(LEFT(CT!$D67,3)=NKBH!$E$2,LEFT(CT!$E67,3)="511"),CT!H67,"")</f>
        <v/>
      </c>
      <c r="E69" s="69">
        <f>IF(LEFT(CT!$E67,4)="5111",CT!$H67,0)</f>
        <v>0</v>
      </c>
      <c r="F69" s="69">
        <f>IF(LEFT(CT!$E67,4)="5112",CT!$H67,0)</f>
        <v>0</v>
      </c>
      <c r="G69" s="69">
        <f>IF(LEFT(CT!$E67,4)="5113",CT!$H67,0)</f>
        <v>0</v>
      </c>
    </row>
    <row r="70" spans="1:7" hidden="1" x14ac:dyDescent="0.25">
      <c r="A70" s="68" t="str">
        <f>IF(AND(LEFT(CT!$D68,3)=NKBH!$E$2,LEFT(CT!$E68,3)="511"),CT!A68,"")</f>
        <v/>
      </c>
      <c r="B70" s="65" t="str">
        <f>IF(AND(LEFT(CT!$D68,3)=NKBH!$E$2,LEFT(CT!$E68,3)="511"),CT!B68,"")</f>
        <v/>
      </c>
      <c r="C70" s="65" t="str">
        <f>IF(AND(LEFT(CT!$D68,3)=NKBH!$E$2,LEFT(CT!$E68,3)="511"),CT!C68,"")</f>
        <v/>
      </c>
      <c r="D70" s="69" t="str">
        <f>IF(AND(LEFT(CT!$D68,3)=NKBH!$E$2,LEFT(CT!$E68,3)="511"),CT!H68,"")</f>
        <v/>
      </c>
      <c r="E70" s="69">
        <f>IF(LEFT(CT!$E68,4)="5111",CT!$H68,0)</f>
        <v>0</v>
      </c>
      <c r="F70" s="69">
        <f>IF(LEFT(CT!$E68,4)="5112",CT!$H68,0)</f>
        <v>0</v>
      </c>
      <c r="G70" s="69">
        <f>IF(LEFT(CT!$E68,4)="5113",CT!$H68,0)</f>
        <v>0</v>
      </c>
    </row>
    <row r="71" spans="1:7" hidden="1" x14ac:dyDescent="0.25">
      <c r="A71" s="68" t="str">
        <f>IF(AND(LEFT(CT!$D69,3)=NKBH!$E$2,LEFT(CT!$E69,3)="511"),CT!A69,"")</f>
        <v/>
      </c>
      <c r="B71" s="65" t="str">
        <f>IF(AND(LEFT(CT!$D69,3)=NKBH!$E$2,LEFT(CT!$E69,3)="511"),CT!B69,"")</f>
        <v/>
      </c>
      <c r="C71" s="65" t="str">
        <f>IF(AND(LEFT(CT!$D69,3)=NKBH!$E$2,LEFT(CT!$E69,3)="511"),CT!C69,"")</f>
        <v/>
      </c>
      <c r="D71" s="69" t="str">
        <f>IF(AND(LEFT(CT!$D69,3)=NKBH!$E$2,LEFT(CT!$E69,3)="511"),CT!H69,"")</f>
        <v/>
      </c>
      <c r="E71" s="69">
        <f>IF(LEFT(CT!$E69,4)="5111",CT!$H69,0)</f>
        <v>0</v>
      </c>
      <c r="F71" s="69">
        <f>IF(LEFT(CT!$E69,4)="5112",CT!$H69,0)</f>
        <v>0</v>
      </c>
      <c r="G71" s="69">
        <f>IF(LEFT(CT!$E69,4)="5113",CT!$H69,0)</f>
        <v>0</v>
      </c>
    </row>
    <row r="72" spans="1:7" hidden="1" x14ac:dyDescent="0.25">
      <c r="A72" s="68" t="str">
        <f>IF(AND(LEFT(CT!$D70,3)=NKBH!$E$2,LEFT(CT!$E70,3)="511"),CT!A70,"")</f>
        <v/>
      </c>
      <c r="B72" s="65" t="str">
        <f>IF(AND(LEFT(CT!$D70,3)=NKBH!$E$2,LEFT(CT!$E70,3)="511"),CT!B70,"")</f>
        <v/>
      </c>
      <c r="C72" s="65" t="str">
        <f>IF(AND(LEFT(CT!$D70,3)=NKBH!$E$2,LEFT(CT!$E70,3)="511"),CT!C70,"")</f>
        <v/>
      </c>
      <c r="D72" s="69" t="str">
        <f>IF(AND(LEFT(CT!$D70,3)=NKBH!$E$2,LEFT(CT!$E70,3)="511"),CT!H70,"")</f>
        <v/>
      </c>
      <c r="E72" s="69">
        <f>IF(LEFT(CT!$E70,4)="5111",CT!$H70,0)</f>
        <v>0</v>
      </c>
      <c r="F72" s="69">
        <f>IF(LEFT(CT!$E70,4)="5112",CT!$H70,0)</f>
        <v>0</v>
      </c>
      <c r="G72" s="69">
        <f>IF(LEFT(CT!$E70,4)="5113",CT!$H70,0)</f>
        <v>0</v>
      </c>
    </row>
    <row r="73" spans="1:7" hidden="1" x14ac:dyDescent="0.25">
      <c r="A73" s="68" t="str">
        <f>IF(AND(LEFT(CT!$D71,3)=NKBH!$E$2,LEFT(CT!$E71,3)="511"),CT!A71,"")</f>
        <v/>
      </c>
      <c r="B73" s="65" t="str">
        <f>IF(AND(LEFT(CT!$D71,3)=NKBH!$E$2,LEFT(CT!$E71,3)="511"),CT!B71,"")</f>
        <v/>
      </c>
      <c r="C73" s="65" t="str">
        <f>IF(AND(LEFT(CT!$D71,3)=NKBH!$E$2,LEFT(CT!$E71,3)="511"),CT!C71,"")</f>
        <v/>
      </c>
      <c r="D73" s="69" t="str">
        <f>IF(AND(LEFT(CT!$D71,3)=NKBH!$E$2,LEFT(CT!$E71,3)="511"),CT!H71,"")</f>
        <v/>
      </c>
      <c r="E73" s="69">
        <f>IF(LEFT(CT!$E71,4)="5111",CT!$H71,0)</f>
        <v>0</v>
      </c>
      <c r="F73" s="69">
        <f>IF(LEFT(CT!$E71,4)="5112",CT!$H71,0)</f>
        <v>0</v>
      </c>
      <c r="G73" s="69">
        <f>IF(LEFT(CT!$E71,4)="5113",CT!$H71,0)</f>
        <v>0</v>
      </c>
    </row>
    <row r="74" spans="1:7" hidden="1" x14ac:dyDescent="0.25">
      <c r="A74" s="68" t="str">
        <f>IF(AND(LEFT(CT!$D72,3)=NKBH!$E$2,LEFT(CT!$E72,3)="511"),CT!A72,"")</f>
        <v/>
      </c>
      <c r="B74" s="65" t="str">
        <f>IF(AND(LEFT(CT!$D72,3)=NKBH!$E$2,LEFT(CT!$E72,3)="511"),CT!B72,"")</f>
        <v/>
      </c>
      <c r="C74" s="65" t="str">
        <f>IF(AND(LEFT(CT!$D72,3)=NKBH!$E$2,LEFT(CT!$E72,3)="511"),CT!C72,"")</f>
        <v/>
      </c>
      <c r="D74" s="69" t="str">
        <f>IF(AND(LEFT(CT!$D72,3)=NKBH!$E$2,LEFT(CT!$E72,3)="511"),CT!H72,"")</f>
        <v/>
      </c>
      <c r="E74" s="69">
        <f>IF(LEFT(CT!$E72,4)="5111",CT!$H72,0)</f>
        <v>0</v>
      </c>
      <c r="F74" s="69">
        <f>IF(LEFT(CT!$E72,4)="5112",CT!$H72,0)</f>
        <v>0</v>
      </c>
      <c r="G74" s="69">
        <f>IF(LEFT(CT!$E72,4)="5113",CT!$H72,0)</f>
        <v>0</v>
      </c>
    </row>
    <row r="75" spans="1:7" hidden="1" x14ac:dyDescent="0.25">
      <c r="A75" s="68" t="str">
        <f>IF(AND(LEFT(CT!$D73,3)=NKBH!$E$2,LEFT(CT!$E73,3)="511"),CT!A73,"")</f>
        <v/>
      </c>
      <c r="B75" s="65" t="str">
        <f>IF(AND(LEFT(CT!$D73,3)=NKBH!$E$2,LEFT(CT!$E73,3)="511"),CT!B73,"")</f>
        <v/>
      </c>
      <c r="C75" s="65" t="str">
        <f>IF(AND(LEFT(CT!$D73,3)=NKBH!$E$2,LEFT(CT!$E73,3)="511"),CT!C73,"")</f>
        <v/>
      </c>
      <c r="D75" s="69" t="str">
        <f>IF(AND(LEFT(CT!$D73,3)=NKBH!$E$2,LEFT(CT!$E73,3)="511"),CT!H73,"")</f>
        <v/>
      </c>
      <c r="E75" s="69">
        <f>IF(LEFT(CT!$E73,4)="5111",CT!$H73,0)</f>
        <v>0</v>
      </c>
      <c r="F75" s="69">
        <f>IF(LEFT(CT!$E73,4)="5112",CT!$H73,0)</f>
        <v>0</v>
      </c>
      <c r="G75" s="69">
        <f>IF(LEFT(CT!$E73,4)="5113",CT!$H73,0)</f>
        <v>0</v>
      </c>
    </row>
    <row r="76" spans="1:7" hidden="1" x14ac:dyDescent="0.25">
      <c r="A76" s="68" t="str">
        <f>IF(AND(LEFT(CT!$D74,3)=NKBH!$E$2,LEFT(CT!$E74,3)="511"),CT!A74,"")</f>
        <v/>
      </c>
      <c r="B76" s="65" t="str">
        <f>IF(AND(LEFT(CT!$D74,3)=NKBH!$E$2,LEFT(CT!$E74,3)="511"),CT!B74,"")</f>
        <v/>
      </c>
      <c r="C76" s="65" t="str">
        <f>IF(AND(LEFT(CT!$D74,3)=NKBH!$E$2,LEFT(CT!$E74,3)="511"),CT!C74,"")</f>
        <v/>
      </c>
      <c r="D76" s="69" t="str">
        <f>IF(AND(LEFT(CT!$D74,3)=NKBH!$E$2,LEFT(CT!$E74,3)="511"),CT!H74,"")</f>
        <v/>
      </c>
      <c r="E76" s="69">
        <f>IF(LEFT(CT!$E74,4)="5111",CT!$H74,0)</f>
        <v>0</v>
      </c>
      <c r="F76" s="69">
        <f>IF(LEFT(CT!$E74,4)="5112",CT!$H74,0)</f>
        <v>0</v>
      </c>
      <c r="G76" s="69">
        <f>IF(LEFT(CT!$E74,4)="5113",CT!$H74,0)</f>
        <v>0</v>
      </c>
    </row>
    <row r="77" spans="1:7" hidden="1" x14ac:dyDescent="0.25">
      <c r="A77" s="68" t="str">
        <f>IF(AND(LEFT(CT!$D75,3)=NKBH!$E$2,LEFT(CT!$E75,3)="511"),CT!A75,"")</f>
        <v/>
      </c>
      <c r="B77" s="65" t="str">
        <f>IF(AND(LEFT(CT!$D75,3)=NKBH!$E$2,LEFT(CT!$E75,3)="511"),CT!B75,"")</f>
        <v/>
      </c>
      <c r="C77" s="65" t="str">
        <f>IF(AND(LEFT(CT!$D75,3)=NKBH!$E$2,LEFT(CT!$E75,3)="511"),CT!C75,"")</f>
        <v/>
      </c>
      <c r="D77" s="69" t="str">
        <f>IF(AND(LEFT(CT!$D75,3)=NKBH!$E$2,LEFT(CT!$E75,3)="511"),CT!H75,"")</f>
        <v/>
      </c>
      <c r="E77" s="69">
        <f>IF(LEFT(CT!$E75,4)="5111",CT!$H75,0)</f>
        <v>0</v>
      </c>
      <c r="F77" s="69">
        <f>IF(LEFT(CT!$E75,4)="5112",CT!$H75,0)</f>
        <v>0</v>
      </c>
      <c r="G77" s="69">
        <f>IF(LEFT(CT!$E75,4)="5113",CT!$H75,0)</f>
        <v>0</v>
      </c>
    </row>
    <row r="78" spans="1:7" hidden="1" x14ac:dyDescent="0.25">
      <c r="A78" s="68" t="str">
        <f>IF(AND(LEFT(CT!$D76,3)=NKBH!$E$2,LEFT(CT!$E76,3)="511"),CT!A76,"")</f>
        <v/>
      </c>
      <c r="B78" s="65" t="str">
        <f>IF(AND(LEFT(CT!$D76,3)=NKBH!$E$2,LEFT(CT!$E76,3)="511"),CT!B76,"")</f>
        <v/>
      </c>
      <c r="C78" s="65" t="str">
        <f>IF(AND(LEFT(CT!$D76,3)=NKBH!$E$2,LEFT(CT!$E76,3)="511"),CT!C76,"")</f>
        <v/>
      </c>
      <c r="D78" s="69" t="str">
        <f>IF(AND(LEFT(CT!$D76,3)=NKBH!$E$2,LEFT(CT!$E76,3)="511"),CT!H76,"")</f>
        <v/>
      </c>
      <c r="E78" s="69">
        <f>IF(LEFT(CT!$E76,4)="5111",CT!$H76,0)</f>
        <v>0</v>
      </c>
      <c r="F78" s="69">
        <f>IF(LEFT(CT!$E76,4)="5112",CT!$H76,0)</f>
        <v>0</v>
      </c>
      <c r="G78" s="69">
        <f>IF(LEFT(CT!$E76,4)="5113",CT!$H76,0)</f>
        <v>0</v>
      </c>
    </row>
    <row r="79" spans="1:7" hidden="1" x14ac:dyDescent="0.25">
      <c r="A79" s="68" t="str">
        <f>IF(AND(LEFT(CT!$D77,3)=NKBH!$E$2,LEFT(CT!$E77,3)="511"),CT!A77,"")</f>
        <v/>
      </c>
      <c r="B79" s="65" t="str">
        <f>IF(AND(LEFT(CT!$D77,3)=NKBH!$E$2,LEFT(CT!$E77,3)="511"),CT!B77,"")</f>
        <v/>
      </c>
      <c r="C79" s="65" t="str">
        <f>IF(AND(LEFT(CT!$D77,3)=NKBH!$E$2,LEFT(CT!$E77,3)="511"),CT!C77,"")</f>
        <v/>
      </c>
      <c r="D79" s="69" t="str">
        <f>IF(AND(LEFT(CT!$D77,3)=NKBH!$E$2,LEFT(CT!$E77,3)="511"),CT!H77,"")</f>
        <v/>
      </c>
      <c r="E79" s="69">
        <f>IF(LEFT(CT!$E77,4)="5111",CT!$H77,0)</f>
        <v>0</v>
      </c>
      <c r="F79" s="69">
        <f>IF(LEFT(CT!$E77,4)="5112",CT!$H77,0)</f>
        <v>0</v>
      </c>
      <c r="G79" s="69">
        <f>IF(LEFT(CT!$E77,4)="5113",CT!$H77,0)</f>
        <v>0</v>
      </c>
    </row>
    <row r="80" spans="1:7" hidden="1" x14ac:dyDescent="0.25">
      <c r="A80" s="68" t="str">
        <f>IF(AND(LEFT(CT!$D78,3)=NKBH!$E$2,LEFT(CT!$E78,3)="511"),CT!A78,"")</f>
        <v/>
      </c>
      <c r="B80" s="65" t="str">
        <f>IF(AND(LEFT(CT!$D78,3)=NKBH!$E$2,LEFT(CT!$E78,3)="511"),CT!B78,"")</f>
        <v/>
      </c>
      <c r="C80" s="65" t="str">
        <f>IF(AND(LEFT(CT!$D78,3)=NKBH!$E$2,LEFT(CT!$E78,3)="511"),CT!C78,"")</f>
        <v/>
      </c>
      <c r="D80" s="69" t="str">
        <f>IF(AND(LEFT(CT!$D78,3)=NKBH!$E$2,LEFT(CT!$E78,3)="511"),CT!H78,"")</f>
        <v/>
      </c>
      <c r="E80" s="69">
        <f>IF(LEFT(CT!$E78,4)="5111",CT!$H78,0)</f>
        <v>0</v>
      </c>
      <c r="F80" s="69">
        <f>IF(LEFT(CT!$E78,4)="5112",CT!$H78,0)</f>
        <v>0</v>
      </c>
      <c r="G80" s="69">
        <f>IF(LEFT(CT!$E78,4)="5113",CT!$H78,0)</f>
        <v>0</v>
      </c>
    </row>
    <row r="81" spans="1:7" hidden="1" x14ac:dyDescent="0.25">
      <c r="A81" s="68" t="str">
        <f>IF(AND(LEFT(CT!$D79,3)=NKBH!$E$2,LEFT(CT!$E79,3)="511"),CT!A79,"")</f>
        <v/>
      </c>
      <c r="B81" s="65" t="str">
        <f>IF(AND(LEFT(CT!$D79,3)=NKBH!$E$2,LEFT(CT!$E79,3)="511"),CT!B79,"")</f>
        <v/>
      </c>
      <c r="C81" s="65" t="str">
        <f>IF(AND(LEFT(CT!$D79,3)=NKBH!$E$2,LEFT(CT!$E79,3)="511"),CT!C79,"")</f>
        <v/>
      </c>
      <c r="D81" s="69" t="str">
        <f>IF(AND(LEFT(CT!$D79,3)=NKBH!$E$2,LEFT(CT!$E79,3)="511"),CT!H79,"")</f>
        <v/>
      </c>
      <c r="E81" s="69">
        <f>IF(LEFT(CT!$E79,4)="5111",CT!$H79,0)</f>
        <v>0</v>
      </c>
      <c r="F81" s="69">
        <f>IF(LEFT(CT!$E79,4)="5112",CT!$H79,0)</f>
        <v>0</v>
      </c>
      <c r="G81" s="69">
        <f>IF(LEFT(CT!$E79,4)="5113",CT!$H79,0)</f>
        <v>0</v>
      </c>
    </row>
    <row r="82" spans="1:7" hidden="1" x14ac:dyDescent="0.25">
      <c r="A82" s="68" t="str">
        <f>IF(AND(LEFT(CT!$D80,3)=NKBH!$E$2,LEFT(CT!$E80,3)="511"),CT!A80,"")</f>
        <v/>
      </c>
      <c r="B82" s="65" t="str">
        <f>IF(AND(LEFT(CT!$D80,3)=NKBH!$E$2,LEFT(CT!$E80,3)="511"),CT!B80,"")</f>
        <v/>
      </c>
      <c r="C82" s="65" t="str">
        <f>IF(AND(LEFT(CT!$D80,3)=NKBH!$E$2,LEFT(CT!$E80,3)="511"),CT!C80,"")</f>
        <v/>
      </c>
      <c r="D82" s="69" t="str">
        <f>IF(AND(LEFT(CT!$D80,3)=NKBH!$E$2,LEFT(CT!$E80,3)="511"),CT!H80,"")</f>
        <v/>
      </c>
      <c r="E82" s="69">
        <f>IF(LEFT(CT!$E80,4)="5111",CT!$H80,0)</f>
        <v>0</v>
      </c>
      <c r="F82" s="69">
        <f>IF(LEFT(CT!$E80,4)="5112",CT!$H80,0)</f>
        <v>0</v>
      </c>
      <c r="G82" s="69">
        <f>IF(LEFT(CT!$E80,4)="5113",CT!$H80,0)</f>
        <v>0</v>
      </c>
    </row>
    <row r="83" spans="1:7" hidden="1" x14ac:dyDescent="0.25">
      <c r="A83" s="68" t="str">
        <f>IF(AND(LEFT(CT!$D81,3)=NKBH!$E$2,LEFT(CT!$E81,3)="511"),CT!A81,"")</f>
        <v/>
      </c>
      <c r="B83" s="65" t="str">
        <f>IF(AND(LEFT(CT!$D81,3)=NKBH!$E$2,LEFT(CT!$E81,3)="511"),CT!B81,"")</f>
        <v/>
      </c>
      <c r="C83" s="65" t="str">
        <f>IF(AND(LEFT(CT!$D81,3)=NKBH!$E$2,LEFT(CT!$E81,3)="511"),CT!C81,"")</f>
        <v/>
      </c>
      <c r="D83" s="69" t="str">
        <f>IF(AND(LEFT(CT!$D81,3)=NKBH!$E$2,LEFT(CT!$E81,3)="511"),CT!H81,"")</f>
        <v/>
      </c>
      <c r="E83" s="69">
        <f>IF(LEFT(CT!$E81,4)="5111",CT!$H81,0)</f>
        <v>0</v>
      </c>
      <c r="F83" s="69">
        <f>IF(LEFT(CT!$E81,4)="5112",CT!$H81,0)</f>
        <v>0</v>
      </c>
      <c r="G83" s="69">
        <f>IF(LEFT(CT!$E81,4)="5113",CT!$H81,0)</f>
        <v>0</v>
      </c>
    </row>
    <row r="84" spans="1:7" hidden="1" x14ac:dyDescent="0.25">
      <c r="A84" s="68" t="str">
        <f>IF(AND(LEFT(CT!$D82,3)=NKBH!$E$2,LEFT(CT!$E82,3)="511"),CT!A82,"")</f>
        <v/>
      </c>
      <c r="B84" s="65" t="str">
        <f>IF(AND(LEFT(CT!$D82,3)=NKBH!$E$2,LEFT(CT!$E82,3)="511"),CT!B82,"")</f>
        <v/>
      </c>
      <c r="C84" s="65" t="str">
        <f>IF(AND(LEFT(CT!$D82,3)=NKBH!$E$2,LEFT(CT!$E82,3)="511"),CT!C82,"")</f>
        <v/>
      </c>
      <c r="D84" s="69" t="str">
        <f>IF(AND(LEFT(CT!$D82,3)=NKBH!$E$2,LEFT(CT!$E82,3)="511"),CT!H82,"")</f>
        <v/>
      </c>
      <c r="E84" s="69">
        <f>IF(LEFT(CT!$E82,4)="5111",CT!$H82,0)</f>
        <v>0</v>
      </c>
      <c r="F84" s="69">
        <f>IF(LEFT(CT!$E82,4)="5112",CT!$H82,0)</f>
        <v>0</v>
      </c>
      <c r="G84" s="69">
        <f>IF(LEFT(CT!$E82,4)="5113",CT!$H82,0)</f>
        <v>0</v>
      </c>
    </row>
    <row r="85" spans="1:7" hidden="1" x14ac:dyDescent="0.25">
      <c r="A85" s="68" t="str">
        <f>IF(AND(LEFT(CT!$D83,3)=NKBH!$E$2,LEFT(CT!$E83,3)="511"),CT!A83,"")</f>
        <v/>
      </c>
      <c r="B85" s="65" t="str">
        <f>IF(AND(LEFT(CT!$D83,3)=NKBH!$E$2,LEFT(CT!$E83,3)="511"),CT!B83,"")</f>
        <v/>
      </c>
      <c r="C85" s="65" t="str">
        <f>IF(AND(LEFT(CT!$D83,3)=NKBH!$E$2,LEFT(CT!$E83,3)="511"),CT!C83,"")</f>
        <v/>
      </c>
      <c r="D85" s="69" t="str">
        <f>IF(AND(LEFT(CT!$D83,3)=NKBH!$E$2,LEFT(CT!$E83,3)="511"),CT!H83,"")</f>
        <v/>
      </c>
      <c r="E85" s="69">
        <f>IF(LEFT(CT!$E83,4)="5111",CT!$H83,0)</f>
        <v>0</v>
      </c>
      <c r="F85" s="69">
        <f>IF(LEFT(CT!$E83,4)="5112",CT!$H83,0)</f>
        <v>0</v>
      </c>
      <c r="G85" s="69">
        <f>IF(LEFT(CT!$E83,4)="5113",CT!$H83,0)</f>
        <v>0</v>
      </c>
    </row>
    <row r="86" spans="1:7" hidden="1" x14ac:dyDescent="0.25">
      <c r="A86" s="68" t="str">
        <f>IF(AND(LEFT(CT!$D84,3)=NKBH!$E$2,LEFT(CT!$E84,3)="511"),CT!A84,"")</f>
        <v/>
      </c>
      <c r="B86" s="65" t="str">
        <f>IF(AND(LEFT(CT!$D84,3)=NKBH!$E$2,LEFT(CT!$E84,3)="511"),CT!B84,"")</f>
        <v/>
      </c>
      <c r="C86" s="65" t="str">
        <f>IF(AND(LEFT(CT!$D84,3)=NKBH!$E$2,LEFT(CT!$E84,3)="511"),CT!C84,"")</f>
        <v/>
      </c>
      <c r="D86" s="69" t="str">
        <f>IF(AND(LEFT(CT!$D84,3)=NKBH!$E$2,LEFT(CT!$E84,3)="511"),CT!H84,"")</f>
        <v/>
      </c>
      <c r="E86" s="69">
        <f>IF(LEFT(CT!$E84,4)="5111",CT!$H84,0)</f>
        <v>0</v>
      </c>
      <c r="F86" s="69">
        <f>IF(LEFT(CT!$E84,4)="5112",CT!$H84,0)</f>
        <v>0</v>
      </c>
      <c r="G86" s="69">
        <f>IF(LEFT(CT!$E84,4)="5113",CT!$H84,0)</f>
        <v>0</v>
      </c>
    </row>
    <row r="87" spans="1:7" hidden="1" x14ac:dyDescent="0.25">
      <c r="A87" s="68" t="str">
        <f>IF(AND(LEFT(CT!$D85,3)=NKBH!$E$2,LEFT(CT!$E85,3)="511"),CT!A85,"")</f>
        <v/>
      </c>
      <c r="B87" s="65" t="str">
        <f>IF(AND(LEFT(CT!$D85,3)=NKBH!$E$2,LEFT(CT!$E85,3)="511"),CT!B85,"")</f>
        <v/>
      </c>
      <c r="C87" s="65" t="str">
        <f>IF(AND(LEFT(CT!$D85,3)=NKBH!$E$2,LEFT(CT!$E85,3)="511"),CT!C85,"")</f>
        <v/>
      </c>
      <c r="D87" s="69" t="str">
        <f>IF(AND(LEFT(CT!$D85,3)=NKBH!$E$2,LEFT(CT!$E85,3)="511"),CT!H85,"")</f>
        <v/>
      </c>
      <c r="E87" s="69">
        <f>IF(LEFT(CT!$E85,4)="5111",CT!$H85,0)</f>
        <v>0</v>
      </c>
      <c r="F87" s="69">
        <f>IF(LEFT(CT!$E85,4)="5112",CT!$H85,0)</f>
        <v>0</v>
      </c>
      <c r="G87" s="69">
        <f>IF(LEFT(CT!$E85,4)="5113",CT!$H85,0)</f>
        <v>0</v>
      </c>
    </row>
    <row r="88" spans="1:7" hidden="1" x14ac:dyDescent="0.25">
      <c r="A88" s="68" t="str">
        <f>IF(AND(LEFT(CT!$D86,3)=NKBH!$E$2,LEFT(CT!$E86,3)="511"),CT!A86,"")</f>
        <v/>
      </c>
      <c r="B88" s="65" t="str">
        <f>IF(AND(LEFT(CT!$D86,3)=NKBH!$E$2,LEFT(CT!$E86,3)="511"),CT!B86,"")</f>
        <v/>
      </c>
      <c r="C88" s="65" t="str">
        <f>IF(AND(LEFT(CT!$D86,3)=NKBH!$E$2,LEFT(CT!$E86,3)="511"),CT!C86,"")</f>
        <v/>
      </c>
      <c r="D88" s="69" t="str">
        <f>IF(AND(LEFT(CT!$D86,3)=NKBH!$E$2,LEFT(CT!$E86,3)="511"),CT!H86,"")</f>
        <v/>
      </c>
      <c r="E88" s="69">
        <f>IF(LEFT(CT!$E86,4)="5111",CT!$H86,0)</f>
        <v>0</v>
      </c>
      <c r="F88" s="69">
        <f>IF(LEFT(CT!$E86,4)="5112",CT!$H86,0)</f>
        <v>0</v>
      </c>
      <c r="G88" s="69">
        <f>IF(LEFT(CT!$E86,4)="5113",CT!$H86,0)</f>
        <v>0</v>
      </c>
    </row>
    <row r="89" spans="1:7" hidden="1" x14ac:dyDescent="0.25">
      <c r="A89" s="68" t="str">
        <f>IF(AND(LEFT(CT!$D87,3)=NKBH!$E$2,LEFT(CT!$E87,3)="511"),CT!A87,"")</f>
        <v/>
      </c>
      <c r="B89" s="65" t="str">
        <f>IF(AND(LEFT(CT!$D87,3)=NKBH!$E$2,LEFT(CT!$E87,3)="511"),CT!B87,"")</f>
        <v/>
      </c>
      <c r="C89" s="65" t="str">
        <f>IF(AND(LEFT(CT!$D87,3)=NKBH!$E$2,LEFT(CT!$E87,3)="511"),CT!C87,"")</f>
        <v/>
      </c>
      <c r="D89" s="69" t="str">
        <f>IF(AND(LEFT(CT!$D87,3)=NKBH!$E$2,LEFT(CT!$E87,3)="511"),CT!H87,"")</f>
        <v/>
      </c>
      <c r="E89" s="69">
        <f>IF(LEFT(CT!$E87,4)="5111",CT!$H87,0)</f>
        <v>0</v>
      </c>
      <c r="F89" s="69">
        <f>IF(LEFT(CT!$E87,4)="5112",CT!$H87,0)</f>
        <v>0</v>
      </c>
      <c r="G89" s="69">
        <f>IF(LEFT(CT!$E87,4)="5113",CT!$H87,0)</f>
        <v>0</v>
      </c>
    </row>
    <row r="90" spans="1:7" hidden="1" x14ac:dyDescent="0.25">
      <c r="A90" s="68" t="str">
        <f>IF(AND(LEFT(CT!$D88,3)=NKBH!$E$2,LEFT(CT!$E88,3)="511"),CT!A88,"")</f>
        <v/>
      </c>
      <c r="B90" s="65" t="str">
        <f>IF(AND(LEFT(CT!$D88,3)=NKBH!$E$2,LEFT(CT!$E88,3)="511"),CT!B88,"")</f>
        <v/>
      </c>
      <c r="C90" s="65" t="str">
        <f>IF(AND(LEFT(CT!$D88,3)=NKBH!$E$2,LEFT(CT!$E88,3)="511"),CT!C88,"")</f>
        <v/>
      </c>
      <c r="D90" s="69" t="str">
        <f>IF(AND(LEFT(CT!$D88,3)=NKBH!$E$2,LEFT(CT!$E88,3)="511"),CT!H88,"")</f>
        <v/>
      </c>
      <c r="E90" s="69">
        <f>IF(LEFT(CT!$E88,4)="5111",CT!$H88,0)</f>
        <v>0</v>
      </c>
      <c r="F90" s="69">
        <f>IF(LEFT(CT!$E88,4)="5112",CT!$H88,0)</f>
        <v>0</v>
      </c>
      <c r="G90" s="69">
        <f>IF(LEFT(CT!$E88,4)="5113",CT!$H88,0)</f>
        <v>0</v>
      </c>
    </row>
    <row r="91" spans="1:7" hidden="1" x14ac:dyDescent="0.25">
      <c r="A91" s="68" t="str">
        <f>IF(AND(LEFT(CT!$D89,3)=NKBH!$E$2,LEFT(CT!$E89,3)="511"),CT!A89,"")</f>
        <v/>
      </c>
      <c r="B91" s="65" t="str">
        <f>IF(AND(LEFT(CT!$D89,3)=NKBH!$E$2,LEFT(CT!$E89,3)="511"),CT!B89,"")</f>
        <v/>
      </c>
      <c r="C91" s="65" t="str">
        <f>IF(AND(LEFT(CT!$D89,3)=NKBH!$E$2,LEFT(CT!$E89,3)="511"),CT!C89,"")</f>
        <v/>
      </c>
      <c r="D91" s="69" t="str">
        <f>IF(AND(LEFT(CT!$D89,3)=NKBH!$E$2,LEFT(CT!$E89,3)="511"),CT!H89,"")</f>
        <v/>
      </c>
      <c r="E91" s="69">
        <f>IF(LEFT(CT!$E89,4)="5111",CT!$H89,0)</f>
        <v>0</v>
      </c>
      <c r="F91" s="69">
        <f>IF(LEFT(CT!$E89,4)="5112",CT!$H89,0)</f>
        <v>0</v>
      </c>
      <c r="G91" s="69">
        <f>IF(LEFT(CT!$E89,4)="5113",CT!$H89,0)</f>
        <v>0</v>
      </c>
    </row>
    <row r="92" spans="1:7" hidden="1" x14ac:dyDescent="0.25">
      <c r="A92" s="68" t="str">
        <f>IF(AND(LEFT(CT!$D90,3)=NKBH!$E$2,LEFT(CT!$E90,3)="511"),CT!A90,"")</f>
        <v/>
      </c>
      <c r="B92" s="65" t="str">
        <f>IF(AND(LEFT(CT!$D90,3)=NKBH!$E$2,LEFT(CT!$E90,3)="511"),CT!B90,"")</f>
        <v/>
      </c>
      <c r="C92" s="65" t="str">
        <f>IF(AND(LEFT(CT!$D90,3)=NKBH!$E$2,LEFT(CT!$E90,3)="511"),CT!C90,"")</f>
        <v/>
      </c>
      <c r="D92" s="69" t="str">
        <f>IF(AND(LEFT(CT!$D90,3)=NKBH!$E$2,LEFT(CT!$E90,3)="511"),CT!H90,"")</f>
        <v/>
      </c>
      <c r="E92" s="69">
        <f>IF(LEFT(CT!$E90,4)="5111",CT!$H90,0)</f>
        <v>0</v>
      </c>
      <c r="F92" s="69">
        <f>IF(LEFT(CT!$E90,4)="5112",CT!$H90,0)</f>
        <v>0</v>
      </c>
      <c r="G92" s="69">
        <f>IF(LEFT(CT!$E90,4)="5113",CT!$H90,0)</f>
        <v>0</v>
      </c>
    </row>
    <row r="93" spans="1:7" hidden="1" x14ac:dyDescent="0.25">
      <c r="A93" s="68" t="str">
        <f>IF(AND(LEFT(CT!$D91,3)=NKBH!$E$2,LEFT(CT!$E91,3)="511"),CT!A91,"")</f>
        <v/>
      </c>
      <c r="B93" s="65" t="str">
        <f>IF(AND(LEFT(CT!$D91,3)=NKBH!$E$2,LEFT(CT!$E91,3)="511"),CT!B91,"")</f>
        <v/>
      </c>
      <c r="C93" s="65" t="str">
        <f>IF(AND(LEFT(CT!$D91,3)=NKBH!$E$2,LEFT(CT!$E91,3)="511"),CT!C91,"")</f>
        <v/>
      </c>
      <c r="D93" s="69" t="str">
        <f>IF(AND(LEFT(CT!$D91,3)=NKBH!$E$2,LEFT(CT!$E91,3)="511"),CT!H91,"")</f>
        <v/>
      </c>
      <c r="E93" s="69">
        <f>IF(LEFT(CT!$E91,4)="5111",CT!$H91,0)</f>
        <v>0</v>
      </c>
      <c r="F93" s="69">
        <f>IF(LEFT(CT!$E91,4)="5112",CT!$H91,0)</f>
        <v>0</v>
      </c>
      <c r="G93" s="69">
        <f>IF(LEFT(CT!$E91,4)="5113",CT!$H91,0)</f>
        <v>0</v>
      </c>
    </row>
    <row r="94" spans="1:7" hidden="1" x14ac:dyDescent="0.25">
      <c r="A94" s="68" t="str">
        <f>IF(AND(LEFT(CT!$D92,3)=NKBH!$E$2,LEFT(CT!$E92,3)="511"),CT!A92,"")</f>
        <v/>
      </c>
      <c r="B94" s="65" t="str">
        <f>IF(AND(LEFT(CT!$D92,3)=NKBH!$E$2,LEFT(CT!$E92,3)="511"),CT!B92,"")</f>
        <v/>
      </c>
      <c r="C94" s="65" t="str">
        <f>IF(AND(LEFT(CT!$D92,3)=NKBH!$E$2,LEFT(CT!$E92,3)="511"),CT!C92,"")</f>
        <v/>
      </c>
      <c r="D94" s="69" t="str">
        <f>IF(AND(LEFT(CT!$D92,3)=NKBH!$E$2,LEFT(CT!$E92,3)="511"),CT!H92,"")</f>
        <v/>
      </c>
      <c r="E94" s="69">
        <f>IF(LEFT(CT!$E92,4)="5111",CT!$H92,0)</f>
        <v>0</v>
      </c>
      <c r="F94" s="69">
        <f>IF(LEFT(CT!$E92,4)="5112",CT!$H92,0)</f>
        <v>0</v>
      </c>
      <c r="G94" s="69">
        <f>IF(LEFT(CT!$E92,4)="5113",CT!$H92,0)</f>
        <v>0</v>
      </c>
    </row>
    <row r="95" spans="1:7" hidden="1" x14ac:dyDescent="0.25">
      <c r="A95" s="68" t="str">
        <f>IF(AND(LEFT(CT!$D93,3)=NKBH!$E$2,LEFT(CT!$E93,3)="511"),CT!A93,"")</f>
        <v/>
      </c>
      <c r="B95" s="65" t="str">
        <f>IF(AND(LEFT(CT!$D93,3)=NKBH!$E$2,LEFT(CT!$E93,3)="511"),CT!B93,"")</f>
        <v/>
      </c>
      <c r="C95" s="65" t="str">
        <f>IF(AND(LEFT(CT!$D93,3)=NKBH!$E$2,LEFT(CT!$E93,3)="511"),CT!C93,"")</f>
        <v/>
      </c>
      <c r="D95" s="69" t="str">
        <f>IF(AND(LEFT(CT!$D93,3)=NKBH!$E$2,LEFT(CT!$E93,3)="511"),CT!H93,"")</f>
        <v/>
      </c>
      <c r="E95" s="69">
        <f>IF(LEFT(CT!$E93,4)="5111",CT!$H93,0)</f>
        <v>0</v>
      </c>
      <c r="F95" s="69">
        <f>IF(LEFT(CT!$E93,4)="5112",CT!$H93,0)</f>
        <v>0</v>
      </c>
      <c r="G95" s="69">
        <f>IF(LEFT(CT!$E93,4)="5113",CT!$H93,0)</f>
        <v>0</v>
      </c>
    </row>
    <row r="96" spans="1:7" hidden="1" x14ac:dyDescent="0.25">
      <c r="A96" s="68" t="str">
        <f>IF(AND(LEFT(CT!$D94,3)=NKBH!$E$2,LEFT(CT!$E94,3)="511"),CT!A94,"")</f>
        <v/>
      </c>
      <c r="B96" s="65" t="str">
        <f>IF(AND(LEFT(CT!$D94,3)=NKBH!$E$2,LEFT(CT!$E94,3)="511"),CT!B94,"")</f>
        <v/>
      </c>
      <c r="C96" s="65" t="str">
        <f>IF(AND(LEFT(CT!$D94,3)=NKBH!$E$2,LEFT(CT!$E94,3)="511"),CT!C94,"")</f>
        <v/>
      </c>
      <c r="D96" s="69" t="str">
        <f>IF(AND(LEFT(CT!$D94,3)=NKBH!$E$2,LEFT(CT!$E94,3)="511"),CT!H94,"")</f>
        <v/>
      </c>
      <c r="E96" s="69">
        <f>IF(LEFT(CT!$E94,4)="5111",CT!$H94,0)</f>
        <v>0</v>
      </c>
      <c r="F96" s="69">
        <f>IF(LEFT(CT!$E94,4)="5112",CT!$H94,0)</f>
        <v>0</v>
      </c>
      <c r="G96" s="69">
        <f>IF(LEFT(CT!$E94,4)="5113",CT!$H94,0)</f>
        <v>0</v>
      </c>
    </row>
    <row r="97" spans="1:7" hidden="1" x14ac:dyDescent="0.25">
      <c r="A97" s="68" t="str">
        <f>IF(AND(LEFT(CT!$D95,3)=NKBH!$E$2,LEFT(CT!$E95,3)="511"),CT!A95,"")</f>
        <v/>
      </c>
      <c r="B97" s="65" t="str">
        <f>IF(AND(LEFT(CT!$D95,3)=NKBH!$E$2,LEFT(CT!$E95,3)="511"),CT!B95,"")</f>
        <v/>
      </c>
      <c r="C97" s="65" t="str">
        <f>IF(AND(LEFT(CT!$D95,3)=NKBH!$E$2,LEFT(CT!$E95,3)="511"),CT!C95,"")</f>
        <v/>
      </c>
      <c r="D97" s="69" t="str">
        <f>IF(AND(LEFT(CT!$D95,3)=NKBH!$E$2,LEFT(CT!$E95,3)="511"),CT!H95,"")</f>
        <v/>
      </c>
      <c r="E97" s="69">
        <f>IF(LEFT(CT!$E95,4)="5111",CT!$H95,0)</f>
        <v>0</v>
      </c>
      <c r="F97" s="69">
        <f>IF(LEFT(CT!$E95,4)="5112",CT!$H95,0)</f>
        <v>0</v>
      </c>
      <c r="G97" s="69">
        <f>IF(LEFT(CT!$E95,4)="5113",CT!$H95,0)</f>
        <v>0</v>
      </c>
    </row>
    <row r="98" spans="1:7" hidden="1" x14ac:dyDescent="0.25">
      <c r="A98" s="68" t="str">
        <f>IF(AND(LEFT(CT!$D96,3)=NKBH!$E$2,LEFT(CT!$E96,3)="511"),CT!A96,"")</f>
        <v/>
      </c>
      <c r="B98" s="65" t="str">
        <f>IF(AND(LEFT(CT!$D96,3)=NKBH!$E$2,LEFT(CT!$E96,3)="511"),CT!B96,"")</f>
        <v/>
      </c>
      <c r="C98" s="65" t="str">
        <f>IF(AND(LEFT(CT!$D96,3)=NKBH!$E$2,LEFT(CT!$E96,3)="511"),CT!C96,"")</f>
        <v/>
      </c>
      <c r="D98" s="69" t="str">
        <f>IF(AND(LEFT(CT!$D96,3)=NKBH!$E$2,LEFT(CT!$E96,3)="511"),CT!H96,"")</f>
        <v/>
      </c>
      <c r="E98" s="69">
        <f>IF(LEFT(CT!$E96,4)="5111",CT!$H96,0)</f>
        <v>0</v>
      </c>
      <c r="F98" s="69">
        <f>IF(LEFT(CT!$E96,4)="5112",CT!$H96,0)</f>
        <v>0</v>
      </c>
      <c r="G98" s="69">
        <f>IF(LEFT(CT!$E96,4)="5113",CT!$H96,0)</f>
        <v>0</v>
      </c>
    </row>
    <row r="99" spans="1:7" hidden="1" x14ac:dyDescent="0.25">
      <c r="A99" s="68" t="str">
        <f>IF(AND(LEFT(CT!$D97,3)=NKBH!$E$2,LEFT(CT!$E97,3)="511"),CT!A97,"")</f>
        <v/>
      </c>
      <c r="B99" s="65" t="str">
        <f>IF(AND(LEFT(CT!$D97,3)=NKBH!$E$2,LEFT(CT!$E97,3)="511"),CT!B97,"")</f>
        <v/>
      </c>
      <c r="C99" s="65" t="str">
        <f>IF(AND(LEFT(CT!$D97,3)=NKBH!$E$2,LEFT(CT!$E97,3)="511"),CT!C97,"")</f>
        <v/>
      </c>
      <c r="D99" s="69" t="str">
        <f>IF(AND(LEFT(CT!$D97,3)=NKBH!$E$2,LEFT(CT!$E97,3)="511"),CT!H97,"")</f>
        <v/>
      </c>
      <c r="E99" s="69">
        <f>IF(LEFT(CT!$E97,4)="5111",CT!$H97,0)</f>
        <v>0</v>
      </c>
      <c r="F99" s="69">
        <f>IF(LEFT(CT!$E97,4)="5112",CT!$H97,0)</f>
        <v>0</v>
      </c>
      <c r="G99" s="69">
        <f>IF(LEFT(CT!$E97,4)="5113",CT!$H97,0)</f>
        <v>0</v>
      </c>
    </row>
    <row r="100" spans="1:7" hidden="1" x14ac:dyDescent="0.25">
      <c r="A100" s="68" t="str">
        <f>IF(AND(LEFT(CT!$D98,3)=NKBH!$E$2,LEFT(CT!$E98,3)="511"),CT!A98,"")</f>
        <v/>
      </c>
      <c r="B100" s="65" t="str">
        <f>IF(AND(LEFT(CT!$D98,3)=NKBH!$E$2,LEFT(CT!$E98,3)="511"),CT!B98,"")</f>
        <v/>
      </c>
      <c r="C100" s="65" t="str">
        <f>IF(AND(LEFT(CT!$D98,3)=NKBH!$E$2,LEFT(CT!$E98,3)="511"),CT!C98,"")</f>
        <v/>
      </c>
      <c r="D100" s="69" t="str">
        <f>IF(AND(LEFT(CT!$D98,3)=NKBH!$E$2,LEFT(CT!$E98,3)="511"),CT!H98,"")</f>
        <v/>
      </c>
      <c r="E100" s="69">
        <f>IF(LEFT(CT!$E98,4)="5111",CT!$H98,0)</f>
        <v>0</v>
      </c>
      <c r="F100" s="69">
        <f>IF(LEFT(CT!$E98,4)="5112",CT!$H98,0)</f>
        <v>0</v>
      </c>
      <c r="G100" s="69">
        <f>IF(LEFT(CT!$E98,4)="5113",CT!$H98,0)</f>
        <v>0</v>
      </c>
    </row>
    <row r="101" spans="1:7" hidden="1" x14ac:dyDescent="0.25">
      <c r="A101" s="68" t="str">
        <f>IF(AND(LEFT(CT!$D99,3)=NKBH!$E$2,LEFT(CT!$E99,3)="511"),CT!A99,"")</f>
        <v/>
      </c>
      <c r="B101" s="65" t="str">
        <f>IF(AND(LEFT(CT!$D99,3)=NKBH!$E$2,LEFT(CT!$E99,3)="511"),CT!B99,"")</f>
        <v/>
      </c>
      <c r="C101" s="65" t="str">
        <f>IF(AND(LEFT(CT!$D99,3)=NKBH!$E$2,LEFT(CT!$E99,3)="511"),CT!C99,"")</f>
        <v/>
      </c>
      <c r="D101" s="69" t="str">
        <f>IF(AND(LEFT(CT!$D99,3)=NKBH!$E$2,LEFT(CT!$E99,3)="511"),CT!H99,"")</f>
        <v/>
      </c>
      <c r="E101" s="69">
        <f>IF(LEFT(CT!$E99,4)="5111",CT!$H99,0)</f>
        <v>0</v>
      </c>
      <c r="F101" s="69">
        <f>IF(LEFT(CT!$E99,4)="5112",CT!$H99,0)</f>
        <v>0</v>
      </c>
      <c r="G101" s="69">
        <f>IF(LEFT(CT!$E99,4)="5113",CT!$H99,0)</f>
        <v>0</v>
      </c>
    </row>
    <row r="102" spans="1:7" hidden="1" x14ac:dyDescent="0.25">
      <c r="A102" s="68" t="str">
        <f>IF(AND(LEFT(CT!$D100,3)=NKBH!$E$2,LEFT(CT!$E100,3)="511"),CT!A100,"")</f>
        <v/>
      </c>
      <c r="B102" s="65" t="str">
        <f>IF(AND(LEFT(CT!$D100,3)=NKBH!$E$2,LEFT(CT!$E100,3)="511"),CT!B100,"")</f>
        <v/>
      </c>
      <c r="C102" s="65" t="str">
        <f>IF(AND(LEFT(CT!$D100,3)=NKBH!$E$2,LEFT(CT!$E100,3)="511"),CT!C100,"")</f>
        <v/>
      </c>
      <c r="D102" s="69" t="str">
        <f>IF(AND(LEFT(CT!$D100,3)=NKBH!$E$2,LEFT(CT!$E100,3)="511"),CT!H100,"")</f>
        <v/>
      </c>
      <c r="E102" s="69">
        <f>IF(LEFT(CT!$E100,4)="5111",CT!$H100,0)</f>
        <v>0</v>
      </c>
      <c r="F102" s="69">
        <f>IF(LEFT(CT!$E100,4)="5112",CT!$H100,0)</f>
        <v>0</v>
      </c>
      <c r="G102" s="69">
        <f>IF(LEFT(CT!$E100,4)="5113",CT!$H100,0)</f>
        <v>0</v>
      </c>
    </row>
    <row r="103" spans="1:7" hidden="1" x14ac:dyDescent="0.25">
      <c r="A103" s="68" t="str">
        <f>IF(AND(LEFT(CT!$D101,3)=NKBH!$E$2,LEFT(CT!$E101,3)="511"),CT!A101,"")</f>
        <v/>
      </c>
      <c r="B103" s="65" t="str">
        <f>IF(AND(LEFT(CT!$D101,3)=NKBH!$E$2,LEFT(CT!$E101,3)="511"),CT!B101,"")</f>
        <v/>
      </c>
      <c r="C103" s="65" t="str">
        <f>IF(AND(LEFT(CT!$D101,3)=NKBH!$E$2,LEFT(CT!$E101,3)="511"),CT!C101,"")</f>
        <v/>
      </c>
      <c r="D103" s="69" t="str">
        <f>IF(AND(LEFT(CT!$D101,3)=NKBH!$E$2,LEFT(CT!$E101,3)="511"),CT!H101,"")</f>
        <v/>
      </c>
      <c r="E103" s="69">
        <f>IF(LEFT(CT!$E101,4)="5111",CT!$H101,0)</f>
        <v>0</v>
      </c>
      <c r="F103" s="69">
        <f>IF(LEFT(CT!$E101,4)="5112",CT!$H101,0)</f>
        <v>0</v>
      </c>
      <c r="G103" s="69">
        <f>IF(LEFT(CT!$E101,4)="5113",CT!$H101,0)</f>
        <v>0</v>
      </c>
    </row>
    <row r="104" spans="1:7" hidden="1" x14ac:dyDescent="0.25">
      <c r="A104" s="68" t="str">
        <f>IF(AND(LEFT(CT!$D102,3)=NKBH!$E$2,LEFT(CT!$E102,3)="511"),CT!A102,"")</f>
        <v/>
      </c>
      <c r="B104" s="65" t="str">
        <f>IF(AND(LEFT(CT!$D102,3)=NKBH!$E$2,LEFT(CT!$E102,3)="511"),CT!B102,"")</f>
        <v/>
      </c>
      <c r="C104" s="65" t="str">
        <f>IF(AND(LEFT(CT!$D102,3)=NKBH!$E$2,LEFT(CT!$E102,3)="511"),CT!C102,"")</f>
        <v/>
      </c>
      <c r="D104" s="69" t="str">
        <f>IF(AND(LEFT(CT!$D102,3)=NKBH!$E$2,LEFT(CT!$E102,3)="511"),CT!H102,"")</f>
        <v/>
      </c>
      <c r="E104" s="69">
        <f>IF(LEFT(CT!$E102,4)="5111",CT!$H102,0)</f>
        <v>0</v>
      </c>
      <c r="F104" s="69">
        <f>IF(LEFT(CT!$E102,4)="5112",CT!$H102,0)</f>
        <v>0</v>
      </c>
      <c r="G104" s="69">
        <f>IF(LEFT(CT!$E102,4)="5113",CT!$H102,0)</f>
        <v>0</v>
      </c>
    </row>
    <row r="105" spans="1:7" hidden="1" x14ac:dyDescent="0.25">
      <c r="A105" s="68" t="str">
        <f>IF(AND(LEFT(CT!$D103,3)=NKBH!$E$2,LEFT(CT!$E103,3)="511"),CT!A103,"")</f>
        <v/>
      </c>
      <c r="B105" s="65" t="str">
        <f>IF(AND(LEFT(CT!$D103,3)=NKBH!$E$2,LEFT(CT!$E103,3)="511"),CT!B103,"")</f>
        <v/>
      </c>
      <c r="C105" s="65" t="str">
        <f>IF(AND(LEFT(CT!$D103,3)=NKBH!$E$2,LEFT(CT!$E103,3)="511"),CT!C103,"")</f>
        <v/>
      </c>
      <c r="D105" s="69" t="str">
        <f>IF(AND(LEFT(CT!$D103,3)=NKBH!$E$2,LEFT(CT!$E103,3)="511"),CT!H103,"")</f>
        <v/>
      </c>
      <c r="E105" s="69">
        <f>IF(LEFT(CT!$E103,4)="5111",CT!$H103,0)</f>
        <v>0</v>
      </c>
      <c r="F105" s="69">
        <f>IF(LEFT(CT!$E103,4)="5112",CT!$H103,0)</f>
        <v>0</v>
      </c>
      <c r="G105" s="69">
        <f>IF(LEFT(CT!$E103,4)="5113",CT!$H103,0)</f>
        <v>0</v>
      </c>
    </row>
    <row r="106" spans="1:7" hidden="1" x14ac:dyDescent="0.25">
      <c r="A106" s="68" t="str">
        <f>IF(AND(LEFT(CT!$D104,3)=NKBH!$E$2,LEFT(CT!$E104,3)="511"),CT!A104,"")</f>
        <v/>
      </c>
      <c r="B106" s="65" t="str">
        <f>IF(AND(LEFT(CT!$D104,3)=NKBH!$E$2,LEFT(CT!$E104,3)="511"),CT!B104,"")</f>
        <v/>
      </c>
      <c r="C106" s="65" t="str">
        <f>IF(AND(LEFT(CT!$D104,3)=NKBH!$E$2,LEFT(CT!$E104,3)="511"),CT!C104,"")</f>
        <v/>
      </c>
      <c r="D106" s="69" t="str">
        <f>IF(AND(LEFT(CT!$D104,3)=NKBH!$E$2,LEFT(CT!$E104,3)="511"),CT!H104,"")</f>
        <v/>
      </c>
      <c r="E106" s="69">
        <f>IF(LEFT(CT!$E104,4)="5111",CT!$H104,0)</f>
        <v>0</v>
      </c>
      <c r="F106" s="69">
        <f>IF(LEFT(CT!$E104,4)="5112",CT!$H104,0)</f>
        <v>0</v>
      </c>
      <c r="G106" s="69">
        <f>IF(LEFT(CT!$E104,4)="5113",CT!$H104,0)</f>
        <v>0</v>
      </c>
    </row>
    <row r="107" spans="1:7" hidden="1" x14ac:dyDescent="0.25">
      <c r="A107" s="68" t="str">
        <f>IF(AND(LEFT(CT!$D105,3)=NKBH!$E$2,LEFT(CT!$E105,3)="511"),CT!A105,"")</f>
        <v/>
      </c>
      <c r="B107" s="65" t="str">
        <f>IF(AND(LEFT(CT!$D105,3)=NKBH!$E$2,LEFT(CT!$E105,3)="511"),CT!B105,"")</f>
        <v/>
      </c>
      <c r="C107" s="65" t="str">
        <f>IF(AND(LEFT(CT!$D105,3)=NKBH!$E$2,LEFT(CT!$E105,3)="511"),CT!C105,"")</f>
        <v/>
      </c>
      <c r="D107" s="69" t="str">
        <f>IF(AND(LEFT(CT!$D105,3)=NKBH!$E$2,LEFT(CT!$E105,3)="511"),CT!H105,"")</f>
        <v/>
      </c>
      <c r="E107" s="69">
        <f>IF(LEFT(CT!$E105,4)="5111",CT!$H105,0)</f>
        <v>0</v>
      </c>
      <c r="F107" s="69">
        <f>IF(LEFT(CT!$E105,4)="5112",CT!$H105,0)</f>
        <v>0</v>
      </c>
      <c r="G107" s="69">
        <f>IF(LEFT(CT!$E105,4)="5113",CT!$H105,0)</f>
        <v>0</v>
      </c>
    </row>
    <row r="108" spans="1:7" hidden="1" x14ac:dyDescent="0.25">
      <c r="A108" s="68" t="str">
        <f>IF(AND(LEFT(CT!$D106,3)=NKBH!$E$2,LEFT(CT!$E106,3)="511"),CT!A106,"")</f>
        <v/>
      </c>
      <c r="B108" s="65" t="str">
        <f>IF(AND(LEFT(CT!$D106,3)=NKBH!$E$2,LEFT(CT!$E106,3)="511"),CT!B106,"")</f>
        <v/>
      </c>
      <c r="C108" s="65" t="str">
        <f>IF(AND(LEFT(CT!$D106,3)=NKBH!$E$2,LEFT(CT!$E106,3)="511"),CT!C106,"")</f>
        <v/>
      </c>
      <c r="D108" s="69" t="str">
        <f>IF(AND(LEFT(CT!$D106,3)=NKBH!$E$2,LEFT(CT!$E106,3)="511"),CT!H106,"")</f>
        <v/>
      </c>
      <c r="E108" s="69">
        <f>IF(LEFT(CT!$E106,4)="5111",CT!$H106,0)</f>
        <v>0</v>
      </c>
      <c r="F108" s="69">
        <f>IF(LEFT(CT!$E106,4)="5112",CT!$H106,0)</f>
        <v>0</v>
      </c>
      <c r="G108" s="69">
        <f>IF(LEFT(CT!$E106,4)="5113",CT!$H106,0)</f>
        <v>0</v>
      </c>
    </row>
    <row r="109" spans="1:7" hidden="1" x14ac:dyDescent="0.25">
      <c r="A109" s="68" t="str">
        <f>IF(AND(LEFT(CT!$D107,3)=NKBH!$E$2,LEFT(CT!$E107,3)="511"),CT!A107,"")</f>
        <v/>
      </c>
      <c r="B109" s="65" t="str">
        <f>IF(AND(LEFT(CT!$D107,3)=NKBH!$E$2,LEFT(CT!$E107,3)="511"),CT!B107,"")</f>
        <v/>
      </c>
      <c r="C109" s="65" t="str">
        <f>IF(AND(LEFT(CT!$D107,3)=NKBH!$E$2,LEFT(CT!$E107,3)="511"),CT!C107,"")</f>
        <v/>
      </c>
      <c r="D109" s="69" t="str">
        <f>IF(AND(LEFT(CT!$D107,3)=NKBH!$E$2,LEFT(CT!$E107,3)="511"),CT!H107,"")</f>
        <v/>
      </c>
      <c r="E109" s="69">
        <f>IF(LEFT(CT!$E107,4)="5111",CT!$H107,0)</f>
        <v>0</v>
      </c>
      <c r="F109" s="69">
        <f>IF(LEFT(CT!$E107,4)="5112",CT!$H107,0)</f>
        <v>0</v>
      </c>
      <c r="G109" s="69">
        <f>IF(LEFT(CT!$E107,4)="5113",CT!$H107,0)</f>
        <v>0</v>
      </c>
    </row>
    <row r="110" spans="1:7" hidden="1" x14ac:dyDescent="0.25">
      <c r="A110" s="68" t="str">
        <f>IF(AND(LEFT(CT!$D108,3)=NKBH!$E$2,LEFT(CT!$E108,3)="511"),CT!A108,"")</f>
        <v/>
      </c>
      <c r="B110" s="65" t="str">
        <f>IF(AND(LEFT(CT!$D108,3)=NKBH!$E$2,LEFT(CT!$E108,3)="511"),CT!B108,"")</f>
        <v/>
      </c>
      <c r="C110" s="65" t="str">
        <f>IF(AND(LEFT(CT!$D108,3)=NKBH!$E$2,LEFT(CT!$E108,3)="511"),CT!C108,"")</f>
        <v/>
      </c>
      <c r="D110" s="69" t="str">
        <f>IF(AND(LEFT(CT!$D108,3)=NKBH!$E$2,LEFT(CT!$E108,3)="511"),CT!H108,"")</f>
        <v/>
      </c>
      <c r="E110" s="69">
        <f>IF(LEFT(CT!$E108,4)="5111",CT!$H108,0)</f>
        <v>0</v>
      </c>
      <c r="F110" s="69">
        <f>IF(LEFT(CT!$E108,4)="5112",CT!$H108,0)</f>
        <v>0</v>
      </c>
      <c r="G110" s="69">
        <f>IF(LEFT(CT!$E108,4)="5113",CT!$H108,0)</f>
        <v>0</v>
      </c>
    </row>
    <row r="111" spans="1:7" hidden="1" x14ac:dyDescent="0.25">
      <c r="A111" s="68" t="str">
        <f>IF(AND(LEFT(CT!$D109,3)=NKBH!$E$2,LEFT(CT!$E109,3)="511"),CT!A109,"")</f>
        <v/>
      </c>
      <c r="B111" s="65" t="str">
        <f>IF(AND(LEFT(CT!$D109,3)=NKBH!$E$2,LEFT(CT!$E109,3)="511"),CT!B109,"")</f>
        <v/>
      </c>
      <c r="C111" s="65" t="str">
        <f>IF(AND(LEFT(CT!$D109,3)=NKBH!$E$2,LEFT(CT!$E109,3)="511"),CT!C109,"")</f>
        <v/>
      </c>
      <c r="D111" s="69" t="str">
        <f>IF(AND(LEFT(CT!$D109,3)=NKBH!$E$2,LEFT(CT!$E109,3)="511"),CT!H109,"")</f>
        <v/>
      </c>
      <c r="E111" s="69">
        <f>IF(LEFT(CT!$E109,4)="5111",CT!$H109,0)</f>
        <v>0</v>
      </c>
      <c r="F111" s="69">
        <f>IF(LEFT(CT!$E109,4)="5112",CT!$H109,0)</f>
        <v>0</v>
      </c>
      <c r="G111" s="69">
        <f>IF(LEFT(CT!$E109,4)="5113",CT!$H109,0)</f>
        <v>0</v>
      </c>
    </row>
    <row r="112" spans="1:7" hidden="1" x14ac:dyDescent="0.25">
      <c r="A112" s="68" t="str">
        <f>IF(AND(LEFT(CT!$D110,3)=NKBH!$E$2,LEFT(CT!$E110,3)="511"),CT!A110,"")</f>
        <v/>
      </c>
      <c r="B112" s="65" t="str">
        <f>IF(AND(LEFT(CT!$D110,3)=NKBH!$E$2,LEFT(CT!$E110,3)="511"),CT!B110,"")</f>
        <v/>
      </c>
      <c r="C112" s="65" t="str">
        <f>IF(AND(LEFT(CT!$D110,3)=NKBH!$E$2,LEFT(CT!$E110,3)="511"),CT!C110,"")</f>
        <v/>
      </c>
      <c r="D112" s="69" t="str">
        <f>IF(AND(LEFT(CT!$D110,3)=NKBH!$E$2,LEFT(CT!$E110,3)="511"),CT!H110,"")</f>
        <v/>
      </c>
      <c r="E112" s="69">
        <f>IF(LEFT(CT!$E110,4)="5111",CT!$H110,0)</f>
        <v>0</v>
      </c>
      <c r="F112" s="69">
        <f>IF(LEFT(CT!$E110,4)="5112",CT!$H110,0)</f>
        <v>0</v>
      </c>
      <c r="G112" s="69">
        <f>IF(LEFT(CT!$E110,4)="5113",CT!$H110,0)</f>
        <v>0</v>
      </c>
    </row>
    <row r="113" spans="1:7" hidden="1" x14ac:dyDescent="0.25">
      <c r="A113" s="68" t="str">
        <f>IF(AND(LEFT(CT!$D111,3)=NKBH!$E$2,LEFT(CT!$E111,3)="511"),CT!A111,"")</f>
        <v/>
      </c>
      <c r="B113" s="65" t="str">
        <f>IF(AND(LEFT(CT!$D111,3)=NKBH!$E$2,LEFT(CT!$E111,3)="511"),CT!B111,"")</f>
        <v/>
      </c>
      <c r="C113" s="65" t="str">
        <f>IF(AND(LEFT(CT!$D111,3)=NKBH!$E$2,LEFT(CT!$E111,3)="511"),CT!C111,"")</f>
        <v/>
      </c>
      <c r="D113" s="69" t="str">
        <f>IF(AND(LEFT(CT!$D111,3)=NKBH!$E$2,LEFT(CT!$E111,3)="511"),CT!H111,"")</f>
        <v/>
      </c>
      <c r="E113" s="69">
        <f>IF(LEFT(CT!$E111,4)="5111",CT!$H111,0)</f>
        <v>0</v>
      </c>
      <c r="F113" s="69">
        <f>IF(LEFT(CT!$E111,4)="5112",CT!$H111,0)</f>
        <v>0</v>
      </c>
      <c r="G113" s="69">
        <f>IF(LEFT(CT!$E111,4)="5113",CT!$H111,0)</f>
        <v>0</v>
      </c>
    </row>
    <row r="114" spans="1:7" hidden="1" x14ac:dyDescent="0.25">
      <c r="A114" s="68" t="str">
        <f>IF(AND(LEFT(CT!$D112,3)=NKBH!$E$2,LEFT(CT!$E112,3)="511"),CT!A112,"")</f>
        <v/>
      </c>
      <c r="B114" s="65" t="str">
        <f>IF(AND(LEFT(CT!$D112,3)=NKBH!$E$2,LEFT(CT!$E112,3)="511"),CT!B112,"")</f>
        <v/>
      </c>
      <c r="C114" s="65" t="str">
        <f>IF(AND(LEFT(CT!$D112,3)=NKBH!$E$2,LEFT(CT!$E112,3)="511"),CT!C112,"")</f>
        <v/>
      </c>
      <c r="D114" s="69" t="str">
        <f>IF(AND(LEFT(CT!$D112,3)=NKBH!$E$2,LEFT(CT!$E112,3)="511"),CT!H112,"")</f>
        <v/>
      </c>
      <c r="E114" s="69">
        <f>IF(LEFT(CT!$E112,4)="5111",CT!$H112,0)</f>
        <v>0</v>
      </c>
      <c r="F114" s="69">
        <f>IF(LEFT(CT!$E112,4)="5112",CT!$H112,0)</f>
        <v>0</v>
      </c>
      <c r="G114" s="69">
        <f>IF(LEFT(CT!$E112,4)="5113",CT!$H112,0)</f>
        <v>0</v>
      </c>
    </row>
    <row r="115" spans="1:7" hidden="1" x14ac:dyDescent="0.25">
      <c r="A115" s="68" t="str">
        <f>IF(AND(LEFT(CT!$D113,3)=NKBH!$E$2,LEFT(CT!$E113,3)="511"),CT!A113,"")</f>
        <v/>
      </c>
      <c r="B115" s="65" t="str">
        <f>IF(AND(LEFT(CT!$D113,3)=NKBH!$E$2,LEFT(CT!$E113,3)="511"),CT!B113,"")</f>
        <v/>
      </c>
      <c r="C115" s="65" t="str">
        <f>IF(AND(LEFT(CT!$D113,3)=NKBH!$E$2,LEFT(CT!$E113,3)="511"),CT!C113,"")</f>
        <v/>
      </c>
      <c r="D115" s="69" t="str">
        <f>IF(AND(LEFT(CT!$D113,3)=NKBH!$E$2,LEFT(CT!$E113,3)="511"),CT!H113,"")</f>
        <v/>
      </c>
      <c r="E115" s="69">
        <f>IF(LEFT(CT!$E113,4)="5111",CT!$H113,0)</f>
        <v>0</v>
      </c>
      <c r="F115" s="69">
        <f>IF(LEFT(CT!$E113,4)="5112",CT!$H113,0)</f>
        <v>0</v>
      </c>
      <c r="G115" s="69">
        <f>IF(LEFT(CT!$E113,4)="5113",CT!$H113,0)</f>
        <v>0</v>
      </c>
    </row>
    <row r="116" spans="1:7" hidden="1" x14ac:dyDescent="0.25">
      <c r="A116" s="68" t="str">
        <f>IF(AND(LEFT(CT!$D114,3)=NKBH!$E$2,LEFT(CT!$E114,3)="511"),CT!A114,"")</f>
        <v/>
      </c>
      <c r="B116" s="65" t="str">
        <f>IF(AND(LEFT(CT!$D114,3)=NKBH!$E$2,LEFT(CT!$E114,3)="511"),CT!B114,"")</f>
        <v/>
      </c>
      <c r="C116" s="65" t="str">
        <f>IF(AND(LEFT(CT!$D114,3)=NKBH!$E$2,LEFT(CT!$E114,3)="511"),CT!C114,"")</f>
        <v/>
      </c>
      <c r="D116" s="69" t="str">
        <f>IF(AND(LEFT(CT!$D114,3)=NKBH!$E$2,LEFT(CT!$E114,3)="511"),CT!H114,"")</f>
        <v/>
      </c>
      <c r="E116" s="69">
        <f>IF(LEFT(CT!$E114,4)="5111",CT!$H114,0)</f>
        <v>0</v>
      </c>
      <c r="F116" s="69">
        <f>IF(LEFT(CT!$E114,4)="5112",CT!$H114,0)</f>
        <v>0</v>
      </c>
      <c r="G116" s="69">
        <f>IF(LEFT(CT!$E114,4)="5113",CT!$H114,0)</f>
        <v>0</v>
      </c>
    </row>
    <row r="117" spans="1:7" hidden="1" x14ac:dyDescent="0.25">
      <c r="A117" s="68" t="str">
        <f>IF(AND(LEFT(CT!$D115,3)=NKBH!$E$2,LEFT(CT!$E115,3)="511"),CT!A115,"")</f>
        <v/>
      </c>
      <c r="B117" s="65" t="str">
        <f>IF(AND(LEFT(CT!$D115,3)=NKBH!$E$2,LEFT(CT!$E115,3)="511"),CT!B115,"")</f>
        <v/>
      </c>
      <c r="C117" s="65" t="str">
        <f>IF(AND(LEFT(CT!$D115,3)=NKBH!$E$2,LEFT(CT!$E115,3)="511"),CT!C115,"")</f>
        <v/>
      </c>
      <c r="D117" s="69" t="str">
        <f>IF(AND(LEFT(CT!$D115,3)=NKBH!$E$2,LEFT(CT!$E115,3)="511"),CT!H115,"")</f>
        <v/>
      </c>
      <c r="E117" s="69">
        <f>IF(LEFT(CT!$E115,4)="5111",CT!$H115,0)</f>
        <v>0</v>
      </c>
      <c r="F117" s="69">
        <f>IF(LEFT(CT!$E115,4)="5112",CT!$H115,0)</f>
        <v>0</v>
      </c>
      <c r="G117" s="69">
        <f>IF(LEFT(CT!$E115,4)="5113",CT!$H115,0)</f>
        <v>0</v>
      </c>
    </row>
    <row r="118" spans="1:7" hidden="1" x14ac:dyDescent="0.25">
      <c r="A118" s="68" t="str">
        <f>IF(AND(LEFT(CT!$D116,3)=NKBH!$E$2,LEFT(CT!$E116,3)="511"),CT!A116,"")</f>
        <v/>
      </c>
      <c r="B118" s="65" t="str">
        <f>IF(AND(LEFT(CT!$D116,3)=NKBH!$E$2,LEFT(CT!$E116,3)="511"),CT!B116,"")</f>
        <v/>
      </c>
      <c r="C118" s="65" t="str">
        <f>IF(AND(LEFT(CT!$D116,3)=NKBH!$E$2,LEFT(CT!$E116,3)="511"),CT!C116,"")</f>
        <v/>
      </c>
      <c r="D118" s="69" t="str">
        <f>IF(AND(LEFT(CT!$D116,3)=NKBH!$E$2,LEFT(CT!$E116,3)="511"),CT!H116,"")</f>
        <v/>
      </c>
      <c r="E118" s="69">
        <f>IF(LEFT(CT!$E116,4)="5111",CT!$H116,0)</f>
        <v>0</v>
      </c>
      <c r="F118" s="69">
        <f>IF(LEFT(CT!$E116,4)="5112",CT!$H116,0)</f>
        <v>0</v>
      </c>
      <c r="G118" s="69">
        <f>IF(LEFT(CT!$E116,4)="5113",CT!$H116,0)</f>
        <v>0</v>
      </c>
    </row>
    <row r="119" spans="1:7" hidden="1" x14ac:dyDescent="0.25">
      <c r="A119" s="68" t="str">
        <f>IF(AND(LEFT(CT!$D117,3)=NKBH!$E$2,LEFT(CT!$E117,3)="511"),CT!A117,"")</f>
        <v/>
      </c>
      <c r="B119" s="65" t="str">
        <f>IF(AND(LEFT(CT!$D117,3)=NKBH!$E$2,LEFT(CT!$E117,3)="511"),CT!B117,"")</f>
        <v/>
      </c>
      <c r="C119" s="65" t="str">
        <f>IF(AND(LEFT(CT!$D117,3)=NKBH!$E$2,LEFT(CT!$E117,3)="511"),CT!C117,"")</f>
        <v/>
      </c>
      <c r="D119" s="69" t="str">
        <f>IF(AND(LEFT(CT!$D117,3)=NKBH!$E$2,LEFT(CT!$E117,3)="511"),CT!H117,"")</f>
        <v/>
      </c>
      <c r="E119" s="69">
        <f>IF(LEFT(CT!$E117,4)="5111",CT!$H117,0)</f>
        <v>0</v>
      </c>
      <c r="F119" s="69">
        <f>IF(LEFT(CT!$E117,4)="5112",CT!$H117,0)</f>
        <v>0</v>
      </c>
      <c r="G119" s="69">
        <f>IF(LEFT(CT!$E117,4)="5113",CT!$H117,0)</f>
        <v>0</v>
      </c>
    </row>
    <row r="120" spans="1:7" hidden="1" x14ac:dyDescent="0.25">
      <c r="A120" s="68" t="str">
        <f>IF(AND(LEFT(CT!$D118,3)=NKBH!$E$2,LEFT(CT!$E118,3)="511"),CT!A118,"")</f>
        <v/>
      </c>
      <c r="B120" s="65" t="str">
        <f>IF(AND(LEFT(CT!$D118,3)=NKBH!$E$2,LEFT(CT!$E118,3)="511"),CT!B118,"")</f>
        <v/>
      </c>
      <c r="C120" s="65" t="str">
        <f>IF(AND(LEFT(CT!$D118,3)=NKBH!$E$2,LEFT(CT!$E118,3)="511"),CT!C118,"")</f>
        <v/>
      </c>
      <c r="D120" s="69" t="str">
        <f>IF(AND(LEFT(CT!$D118,3)=NKBH!$E$2,LEFT(CT!$E118,3)="511"),CT!H118,"")</f>
        <v/>
      </c>
      <c r="E120" s="69">
        <f>IF(LEFT(CT!$E118,4)="5111",CT!$H118,0)</f>
        <v>0</v>
      </c>
      <c r="F120" s="69">
        <f>IF(LEFT(CT!$E118,4)="5112",CT!$H118,0)</f>
        <v>0</v>
      </c>
      <c r="G120" s="69">
        <f>IF(LEFT(CT!$E118,4)="5113",CT!$H118,0)</f>
        <v>0</v>
      </c>
    </row>
    <row r="121" spans="1:7" hidden="1" x14ac:dyDescent="0.25">
      <c r="A121" s="68" t="str">
        <f>IF(AND(LEFT(CT!$D119,3)=NKBH!$E$2,LEFT(CT!$E119,3)="511"),CT!A119,"")</f>
        <v/>
      </c>
      <c r="B121" s="65" t="str">
        <f>IF(AND(LEFT(CT!$D119,3)=NKBH!$E$2,LEFT(CT!$E119,3)="511"),CT!B119,"")</f>
        <v/>
      </c>
      <c r="C121" s="65" t="str">
        <f>IF(AND(LEFT(CT!$D119,3)=NKBH!$E$2,LEFT(CT!$E119,3)="511"),CT!C119,"")</f>
        <v/>
      </c>
      <c r="D121" s="69" t="str">
        <f>IF(AND(LEFT(CT!$D119,3)=NKBH!$E$2,LEFT(CT!$E119,3)="511"),CT!H119,"")</f>
        <v/>
      </c>
      <c r="E121" s="69">
        <f>IF(LEFT(CT!$E119,4)="5111",CT!$H119,0)</f>
        <v>0</v>
      </c>
      <c r="F121" s="69">
        <f>IF(LEFT(CT!$E119,4)="5112",CT!$H119,0)</f>
        <v>0</v>
      </c>
      <c r="G121" s="69">
        <f>IF(LEFT(CT!$E119,4)="5113",CT!$H119,0)</f>
        <v>0</v>
      </c>
    </row>
    <row r="122" spans="1:7" hidden="1" x14ac:dyDescent="0.25">
      <c r="A122" s="68" t="str">
        <f>IF(AND(LEFT(CT!$D120,3)=NKBH!$E$2,LEFT(CT!$E120,3)="511"),CT!A120,"")</f>
        <v/>
      </c>
      <c r="B122" s="65" t="str">
        <f>IF(AND(LEFT(CT!$D120,3)=NKBH!$E$2,LEFT(CT!$E120,3)="511"),CT!B120,"")</f>
        <v/>
      </c>
      <c r="C122" s="65" t="str">
        <f>IF(AND(LEFT(CT!$D120,3)=NKBH!$E$2,LEFT(CT!$E120,3)="511"),CT!C120,"")</f>
        <v/>
      </c>
      <c r="D122" s="69" t="str">
        <f>IF(AND(LEFT(CT!$D120,3)=NKBH!$E$2,LEFT(CT!$E120,3)="511"),CT!H120,"")</f>
        <v/>
      </c>
      <c r="E122" s="69">
        <f>IF(LEFT(CT!$E120,4)="5111",CT!$H120,0)</f>
        <v>0</v>
      </c>
      <c r="F122" s="69">
        <f>IF(LEFT(CT!$E120,4)="5112",CT!$H120,0)</f>
        <v>0</v>
      </c>
      <c r="G122" s="69">
        <f>IF(LEFT(CT!$E120,4)="5113",CT!$H120,0)</f>
        <v>0</v>
      </c>
    </row>
    <row r="123" spans="1:7" hidden="1" x14ac:dyDescent="0.25">
      <c r="A123" s="68" t="str">
        <f>IF(AND(LEFT(CT!$D121,3)=NKBH!$E$2,LEFT(CT!$E121,3)="511"),CT!A121,"")</f>
        <v/>
      </c>
      <c r="B123" s="65" t="str">
        <f>IF(AND(LEFT(CT!$D121,3)=NKBH!$E$2,LEFT(CT!$E121,3)="511"),CT!B121,"")</f>
        <v/>
      </c>
      <c r="C123" s="65" t="str">
        <f>IF(AND(LEFT(CT!$D121,3)=NKBH!$E$2,LEFT(CT!$E121,3)="511"),CT!C121,"")</f>
        <v/>
      </c>
      <c r="D123" s="69" t="str">
        <f>IF(AND(LEFT(CT!$D121,3)=NKBH!$E$2,LEFT(CT!$E121,3)="511"),CT!H121,"")</f>
        <v/>
      </c>
      <c r="E123" s="69">
        <f>IF(LEFT(CT!$E121,4)="5111",CT!$H121,0)</f>
        <v>0</v>
      </c>
      <c r="F123" s="69">
        <f>IF(LEFT(CT!$E121,4)="5112",CT!$H121,0)</f>
        <v>0</v>
      </c>
      <c r="G123" s="69">
        <f>IF(LEFT(CT!$E121,4)="5113",CT!$H121,0)</f>
        <v>0</v>
      </c>
    </row>
    <row r="124" spans="1:7" hidden="1" x14ac:dyDescent="0.25">
      <c r="A124" s="68" t="str">
        <f>IF(AND(LEFT(CT!$D122,3)=NKBH!$E$2,LEFT(CT!$E122,3)="511"),CT!A122,"")</f>
        <v/>
      </c>
      <c r="B124" s="65" t="str">
        <f>IF(AND(LEFT(CT!$D122,3)=NKBH!$E$2,LEFT(CT!$E122,3)="511"),CT!B122,"")</f>
        <v/>
      </c>
      <c r="C124" s="65" t="str">
        <f>IF(AND(LEFT(CT!$D122,3)=NKBH!$E$2,LEFT(CT!$E122,3)="511"),CT!C122,"")</f>
        <v/>
      </c>
      <c r="D124" s="69" t="str">
        <f>IF(AND(LEFT(CT!$D122,3)=NKBH!$E$2,LEFT(CT!$E122,3)="511"),CT!H122,"")</f>
        <v/>
      </c>
      <c r="E124" s="69">
        <f>IF(LEFT(CT!$E122,4)="5111",CT!$H122,0)</f>
        <v>0</v>
      </c>
      <c r="F124" s="69">
        <f>IF(LEFT(CT!$E122,4)="5112",CT!$H122,0)</f>
        <v>0</v>
      </c>
      <c r="G124" s="69">
        <f>IF(LEFT(CT!$E122,4)="5113",CT!$H122,0)</f>
        <v>0</v>
      </c>
    </row>
    <row r="125" spans="1:7" hidden="1" x14ac:dyDescent="0.25">
      <c r="A125" s="68" t="str">
        <f>IF(AND(LEFT(CT!$D123,3)=NKBH!$E$2,LEFT(CT!$E123,3)="511"),CT!A123,"")</f>
        <v/>
      </c>
      <c r="B125" s="65" t="str">
        <f>IF(AND(LEFT(CT!$D123,3)=NKBH!$E$2,LEFT(CT!$E123,3)="511"),CT!B123,"")</f>
        <v/>
      </c>
      <c r="C125" s="65" t="str">
        <f>IF(AND(LEFT(CT!$D123,3)=NKBH!$E$2,LEFT(CT!$E123,3)="511"),CT!C123,"")</f>
        <v/>
      </c>
      <c r="D125" s="69" t="str">
        <f>IF(AND(LEFT(CT!$D123,3)=NKBH!$E$2,LEFT(CT!$E123,3)="511"),CT!H123,"")</f>
        <v/>
      </c>
      <c r="E125" s="69">
        <f>IF(LEFT(CT!$E123,4)="5111",CT!$H123,0)</f>
        <v>0</v>
      </c>
      <c r="F125" s="69">
        <f>IF(LEFT(CT!$E123,4)="5112",CT!$H123,0)</f>
        <v>0</v>
      </c>
      <c r="G125" s="69">
        <f>IF(LEFT(CT!$E123,4)="5113",CT!$H123,0)</f>
        <v>0</v>
      </c>
    </row>
    <row r="126" spans="1:7" hidden="1" x14ac:dyDescent="0.25">
      <c r="A126" s="68" t="str">
        <f>IF(AND(LEFT(CT!$D124,3)=NKBH!$E$2,LEFT(CT!$E124,3)="511"),CT!A124,"")</f>
        <v/>
      </c>
      <c r="B126" s="65" t="str">
        <f>IF(AND(LEFT(CT!$D124,3)=NKBH!$E$2,LEFT(CT!$E124,3)="511"),CT!B124,"")</f>
        <v/>
      </c>
      <c r="C126" s="65" t="str">
        <f>IF(AND(LEFT(CT!$D124,3)=NKBH!$E$2,LEFT(CT!$E124,3)="511"),CT!C124,"")</f>
        <v/>
      </c>
      <c r="D126" s="69" t="str">
        <f>IF(AND(LEFT(CT!$D124,3)=NKBH!$E$2,LEFT(CT!$E124,3)="511"),CT!H124,"")</f>
        <v/>
      </c>
      <c r="E126" s="69">
        <f>IF(LEFT(CT!$E124,4)="5111",CT!$H124,0)</f>
        <v>0</v>
      </c>
      <c r="F126" s="69">
        <f>IF(LEFT(CT!$E124,4)="5112",CT!$H124,0)</f>
        <v>0</v>
      </c>
      <c r="G126" s="69">
        <f>IF(LEFT(CT!$E124,4)="5113",CT!$H124,0)</f>
        <v>0</v>
      </c>
    </row>
    <row r="127" spans="1:7" hidden="1" x14ac:dyDescent="0.25">
      <c r="A127" s="68" t="str">
        <f>IF(AND(LEFT(CT!$D125,3)=NKBH!$E$2,LEFT(CT!$E125,3)="511"),CT!A125,"")</f>
        <v/>
      </c>
      <c r="B127" s="65" t="str">
        <f>IF(AND(LEFT(CT!$D125,3)=NKBH!$E$2,LEFT(CT!$E125,3)="511"),CT!B125,"")</f>
        <v/>
      </c>
      <c r="C127" s="65" t="str">
        <f>IF(AND(LEFT(CT!$D125,3)=NKBH!$E$2,LEFT(CT!$E125,3)="511"),CT!C125,"")</f>
        <v/>
      </c>
      <c r="D127" s="69" t="str">
        <f>IF(AND(LEFT(CT!$D125,3)=NKBH!$E$2,LEFT(CT!$E125,3)="511"),CT!H125,"")</f>
        <v/>
      </c>
      <c r="E127" s="69">
        <f>IF(LEFT(CT!$E125,4)="5111",CT!$H125,0)</f>
        <v>0</v>
      </c>
      <c r="F127" s="69">
        <f>IF(LEFT(CT!$E125,4)="5112",CT!$H125,0)</f>
        <v>0</v>
      </c>
      <c r="G127" s="69">
        <f>IF(LEFT(CT!$E125,4)="5113",CT!$H125,0)</f>
        <v>0</v>
      </c>
    </row>
    <row r="128" spans="1:7" hidden="1" x14ac:dyDescent="0.25">
      <c r="A128" s="68" t="str">
        <f>IF(AND(LEFT(CT!$D126,3)=NKBH!$E$2,LEFT(CT!$E126,3)="511"),CT!A126,"")</f>
        <v/>
      </c>
      <c r="B128" s="65" t="str">
        <f>IF(AND(LEFT(CT!$D126,3)=NKBH!$E$2,LEFT(CT!$E126,3)="511"),CT!B126,"")</f>
        <v/>
      </c>
      <c r="C128" s="65" t="str">
        <f>IF(AND(LEFT(CT!$D126,3)=NKBH!$E$2,LEFT(CT!$E126,3)="511"),CT!C126,"")</f>
        <v/>
      </c>
      <c r="D128" s="69" t="str">
        <f>IF(AND(LEFT(CT!$D126,3)=NKBH!$E$2,LEFT(CT!$E126,3)="511"),CT!H126,"")</f>
        <v/>
      </c>
      <c r="E128" s="69">
        <f>IF(LEFT(CT!$E126,4)="5111",CT!$H126,0)</f>
        <v>0</v>
      </c>
      <c r="F128" s="69">
        <f>IF(LEFT(CT!$E126,4)="5112",CT!$H126,0)</f>
        <v>0</v>
      </c>
      <c r="G128" s="69">
        <f>IF(LEFT(CT!$E126,4)="5113",CT!$H126,0)</f>
        <v>0</v>
      </c>
    </row>
    <row r="129" spans="1:7" hidden="1" x14ac:dyDescent="0.25">
      <c r="A129" s="68" t="str">
        <f>IF(AND(LEFT(CT!$D127,3)=NKBH!$E$2,LEFT(CT!$E127,3)="511"),CT!A127,"")</f>
        <v/>
      </c>
      <c r="B129" s="65" t="str">
        <f>IF(AND(LEFT(CT!$D127,3)=NKBH!$E$2,LEFT(CT!$E127,3)="511"),CT!B127,"")</f>
        <v/>
      </c>
      <c r="C129" s="65" t="str">
        <f>IF(AND(LEFT(CT!$D127,3)=NKBH!$E$2,LEFT(CT!$E127,3)="511"),CT!C127,"")</f>
        <v/>
      </c>
      <c r="D129" s="69" t="str">
        <f>IF(AND(LEFT(CT!$D127,3)=NKBH!$E$2,LEFT(CT!$E127,3)="511"),CT!H127,"")</f>
        <v/>
      </c>
      <c r="E129" s="69">
        <f>IF(LEFT(CT!$E127,4)="5111",CT!$H127,0)</f>
        <v>0</v>
      </c>
      <c r="F129" s="69">
        <f>IF(LEFT(CT!$E127,4)="5112",CT!$H127,0)</f>
        <v>0</v>
      </c>
      <c r="G129" s="69">
        <f>IF(LEFT(CT!$E127,4)="5113",CT!$H127,0)</f>
        <v>0</v>
      </c>
    </row>
    <row r="130" spans="1:7" hidden="1" x14ac:dyDescent="0.25">
      <c r="A130" s="68" t="str">
        <f>IF(AND(LEFT(CT!$D128,3)=NKBH!$E$2,LEFT(CT!$E128,3)="511"),CT!A128,"")</f>
        <v/>
      </c>
      <c r="B130" s="65" t="str">
        <f>IF(AND(LEFT(CT!$D128,3)=NKBH!$E$2,LEFT(CT!$E128,3)="511"),CT!B128,"")</f>
        <v/>
      </c>
      <c r="C130" s="65" t="str">
        <f>IF(AND(LEFT(CT!$D128,3)=NKBH!$E$2,LEFT(CT!$E128,3)="511"),CT!C128,"")</f>
        <v/>
      </c>
      <c r="D130" s="69" t="str">
        <f>IF(AND(LEFT(CT!$D128,3)=NKBH!$E$2,LEFT(CT!$E128,3)="511"),CT!H128,"")</f>
        <v/>
      </c>
      <c r="E130" s="69">
        <f>IF(LEFT(CT!$E128,4)="5111",CT!$H128,0)</f>
        <v>0</v>
      </c>
      <c r="F130" s="69">
        <f>IF(LEFT(CT!$E128,4)="5112",CT!$H128,0)</f>
        <v>0</v>
      </c>
      <c r="G130" s="69">
        <f>IF(LEFT(CT!$E128,4)="5113",CT!$H128,0)</f>
        <v>0</v>
      </c>
    </row>
    <row r="131" spans="1:7" hidden="1" x14ac:dyDescent="0.25">
      <c r="A131" s="68" t="str">
        <f>IF(AND(LEFT(CT!$D129,3)=NKBH!$E$2,LEFT(CT!$E129,3)="511"),CT!A129,"")</f>
        <v/>
      </c>
      <c r="B131" s="65" t="str">
        <f>IF(AND(LEFT(CT!$D129,3)=NKBH!$E$2,LEFT(CT!$E129,3)="511"),CT!B129,"")</f>
        <v/>
      </c>
      <c r="C131" s="65" t="str">
        <f>IF(AND(LEFT(CT!$D129,3)=NKBH!$E$2,LEFT(CT!$E129,3)="511"),CT!C129,"")</f>
        <v/>
      </c>
      <c r="D131" s="69" t="str">
        <f>IF(AND(LEFT(CT!$D129,3)=NKBH!$E$2,LEFT(CT!$E129,3)="511"),CT!H129,"")</f>
        <v/>
      </c>
      <c r="E131" s="69">
        <f>IF(LEFT(CT!$E129,4)="5111",CT!$H129,0)</f>
        <v>0</v>
      </c>
      <c r="F131" s="69">
        <f>IF(LEFT(CT!$E129,4)="5112",CT!$H129,0)</f>
        <v>0</v>
      </c>
      <c r="G131" s="69">
        <f>IF(LEFT(CT!$E129,4)="5113",CT!$H129,0)</f>
        <v>0</v>
      </c>
    </row>
    <row r="132" spans="1:7" hidden="1" x14ac:dyDescent="0.25">
      <c r="A132" s="68" t="str">
        <f>IF(AND(LEFT(CT!$D130,3)=NKBH!$E$2,LEFT(CT!$E130,3)="511"),CT!A130,"")</f>
        <v/>
      </c>
      <c r="B132" s="65" t="str">
        <f>IF(AND(LEFT(CT!$D130,3)=NKBH!$E$2,LEFT(CT!$E130,3)="511"),CT!B130,"")</f>
        <v/>
      </c>
      <c r="C132" s="65" t="str">
        <f>IF(AND(LEFT(CT!$D130,3)=NKBH!$E$2,LEFT(CT!$E130,3)="511"),CT!C130,"")</f>
        <v/>
      </c>
      <c r="D132" s="69" t="str">
        <f>IF(AND(LEFT(CT!$D130,3)=NKBH!$E$2,LEFT(CT!$E130,3)="511"),CT!H130,"")</f>
        <v/>
      </c>
      <c r="E132" s="69">
        <f>IF(LEFT(CT!$E130,4)="5111",CT!$H130,0)</f>
        <v>0</v>
      </c>
      <c r="F132" s="69">
        <f>IF(LEFT(CT!$E130,4)="5112",CT!$H130,0)</f>
        <v>0</v>
      </c>
      <c r="G132" s="69">
        <f>IF(LEFT(CT!$E130,4)="5113",CT!$H130,0)</f>
        <v>0</v>
      </c>
    </row>
    <row r="133" spans="1:7" hidden="1" x14ac:dyDescent="0.25">
      <c r="A133" s="68" t="str">
        <f>IF(AND(LEFT(CT!$D131,3)=NKBH!$E$2,LEFT(CT!$E131,3)="511"),CT!A131,"")</f>
        <v/>
      </c>
      <c r="B133" s="65" t="str">
        <f>IF(AND(LEFT(CT!$D131,3)=NKBH!$E$2,LEFT(CT!$E131,3)="511"),CT!B131,"")</f>
        <v/>
      </c>
      <c r="C133" s="65" t="str">
        <f>IF(AND(LEFT(CT!$D131,3)=NKBH!$E$2,LEFT(CT!$E131,3)="511"),CT!C131,"")</f>
        <v/>
      </c>
      <c r="D133" s="69" t="str">
        <f>IF(AND(LEFT(CT!$D131,3)=NKBH!$E$2,LEFT(CT!$E131,3)="511"),CT!H131,"")</f>
        <v/>
      </c>
      <c r="E133" s="69">
        <f>IF(LEFT(CT!$E131,4)="5111",CT!$H131,0)</f>
        <v>0</v>
      </c>
      <c r="F133" s="69">
        <f>IF(LEFT(CT!$E131,4)="5112",CT!$H131,0)</f>
        <v>0</v>
      </c>
      <c r="G133" s="69">
        <f>IF(LEFT(CT!$E131,4)="5113",CT!$H131,0)</f>
        <v>0</v>
      </c>
    </row>
    <row r="134" spans="1:7" hidden="1" x14ac:dyDescent="0.25">
      <c r="A134" s="68" t="str">
        <f>IF(AND(LEFT(CT!$D132,3)=NKBH!$E$2,LEFT(CT!$E132,3)="511"),CT!A132,"")</f>
        <v/>
      </c>
      <c r="B134" s="65" t="str">
        <f>IF(AND(LEFT(CT!$D132,3)=NKBH!$E$2,LEFT(CT!$E132,3)="511"),CT!B132,"")</f>
        <v/>
      </c>
      <c r="C134" s="65" t="str">
        <f>IF(AND(LEFT(CT!$D132,3)=NKBH!$E$2,LEFT(CT!$E132,3)="511"),CT!C132,"")</f>
        <v/>
      </c>
      <c r="D134" s="69" t="str">
        <f>IF(AND(LEFT(CT!$D132,3)=NKBH!$E$2,LEFT(CT!$E132,3)="511"),CT!H132,"")</f>
        <v/>
      </c>
      <c r="E134" s="69">
        <f>IF(LEFT(CT!$E132,4)="5111",CT!$H132,0)</f>
        <v>0</v>
      </c>
      <c r="F134" s="69">
        <f>IF(LEFT(CT!$E132,4)="5112",CT!$H132,0)</f>
        <v>0</v>
      </c>
      <c r="G134" s="69">
        <f>IF(LEFT(CT!$E132,4)="5113",CT!$H132,0)</f>
        <v>0</v>
      </c>
    </row>
    <row r="135" spans="1:7" hidden="1" x14ac:dyDescent="0.25">
      <c r="A135" s="68" t="str">
        <f>IF(AND(LEFT(CT!$D133,3)=NKBH!$E$2,LEFT(CT!$E133,3)="511"),CT!A133,"")</f>
        <v/>
      </c>
      <c r="B135" s="65" t="str">
        <f>IF(AND(LEFT(CT!$D133,3)=NKBH!$E$2,LEFT(CT!$E133,3)="511"),CT!B133,"")</f>
        <v/>
      </c>
      <c r="C135" s="65" t="str">
        <f>IF(AND(LEFT(CT!$D133,3)=NKBH!$E$2,LEFT(CT!$E133,3)="511"),CT!C133,"")</f>
        <v/>
      </c>
      <c r="D135" s="69" t="str">
        <f>IF(AND(LEFT(CT!$D133,3)=NKBH!$E$2,LEFT(CT!$E133,3)="511"),CT!H133,"")</f>
        <v/>
      </c>
      <c r="E135" s="69">
        <f>IF(LEFT(CT!$E133,4)="5111",CT!$H133,0)</f>
        <v>0</v>
      </c>
      <c r="F135" s="69">
        <f>IF(LEFT(CT!$E133,4)="5112",CT!$H133,0)</f>
        <v>0</v>
      </c>
      <c r="G135" s="69">
        <f>IF(LEFT(CT!$E133,4)="5113",CT!$H133,0)</f>
        <v>0</v>
      </c>
    </row>
    <row r="136" spans="1:7" hidden="1" x14ac:dyDescent="0.25">
      <c r="A136" s="68" t="str">
        <f>IF(AND(LEFT(CT!$D134,3)=NKBH!$E$2,LEFT(CT!$E134,3)="511"),CT!A134,"")</f>
        <v/>
      </c>
      <c r="B136" s="65" t="str">
        <f>IF(AND(LEFT(CT!$D134,3)=NKBH!$E$2,LEFT(CT!$E134,3)="511"),CT!B134,"")</f>
        <v/>
      </c>
      <c r="C136" s="65" t="str">
        <f>IF(AND(LEFT(CT!$D134,3)=NKBH!$E$2,LEFT(CT!$E134,3)="511"),CT!C134,"")</f>
        <v/>
      </c>
      <c r="D136" s="69" t="str">
        <f>IF(AND(LEFT(CT!$D134,3)=NKBH!$E$2,LEFT(CT!$E134,3)="511"),CT!H134,"")</f>
        <v/>
      </c>
      <c r="E136" s="69">
        <f>IF(LEFT(CT!$E134,4)="5111",CT!$H134,0)</f>
        <v>0</v>
      </c>
      <c r="F136" s="69">
        <f>IF(LEFT(CT!$E134,4)="5112",CT!$H134,0)</f>
        <v>0</v>
      </c>
      <c r="G136" s="69">
        <f>IF(LEFT(CT!$E134,4)="5113",CT!$H134,0)</f>
        <v>0</v>
      </c>
    </row>
    <row r="137" spans="1:7" hidden="1" x14ac:dyDescent="0.25">
      <c r="A137" s="68" t="str">
        <f>IF(AND(LEFT(CT!$D135,3)=NKBH!$E$2,LEFT(CT!$E135,3)="511"),CT!A135,"")</f>
        <v/>
      </c>
      <c r="B137" s="65" t="str">
        <f>IF(AND(LEFT(CT!$D135,3)=NKBH!$E$2,LEFT(CT!$E135,3)="511"),CT!B135,"")</f>
        <v/>
      </c>
      <c r="C137" s="65" t="str">
        <f>IF(AND(LEFT(CT!$D135,3)=NKBH!$E$2,LEFT(CT!$E135,3)="511"),CT!C135,"")</f>
        <v/>
      </c>
      <c r="D137" s="69" t="str">
        <f>IF(AND(LEFT(CT!$D135,3)=NKBH!$E$2,LEFT(CT!$E135,3)="511"),CT!H135,"")</f>
        <v/>
      </c>
      <c r="E137" s="69">
        <f>IF(LEFT(CT!$E135,4)="5111",CT!$H135,0)</f>
        <v>0</v>
      </c>
      <c r="F137" s="69">
        <f>IF(LEFT(CT!$E135,4)="5112",CT!$H135,0)</f>
        <v>0</v>
      </c>
      <c r="G137" s="69">
        <f>IF(LEFT(CT!$E135,4)="5113",CT!$H135,0)</f>
        <v>0</v>
      </c>
    </row>
    <row r="138" spans="1:7" hidden="1" x14ac:dyDescent="0.25">
      <c r="A138" s="68" t="str">
        <f>IF(AND(LEFT(CT!$D136,3)=NKBH!$E$2,LEFT(CT!$E136,3)="511"),CT!A136,"")</f>
        <v/>
      </c>
      <c r="B138" s="65" t="str">
        <f>IF(AND(LEFT(CT!$D136,3)=NKBH!$E$2,LEFT(CT!$E136,3)="511"),CT!B136,"")</f>
        <v/>
      </c>
      <c r="C138" s="65" t="str">
        <f>IF(AND(LEFT(CT!$D136,3)=NKBH!$E$2,LEFT(CT!$E136,3)="511"),CT!C136,"")</f>
        <v/>
      </c>
      <c r="D138" s="69" t="str">
        <f>IF(AND(LEFT(CT!$D136,3)=NKBH!$E$2,LEFT(CT!$E136,3)="511"),CT!H136,"")</f>
        <v/>
      </c>
      <c r="E138" s="69">
        <f>IF(LEFT(CT!$E136,4)="5111",CT!$H136,0)</f>
        <v>0</v>
      </c>
      <c r="F138" s="69">
        <f>IF(LEFT(CT!$E136,4)="5112",CT!$H136,0)</f>
        <v>0</v>
      </c>
      <c r="G138" s="69">
        <f>IF(LEFT(CT!$E136,4)="5113",CT!$H136,0)</f>
        <v>0</v>
      </c>
    </row>
    <row r="139" spans="1:7" hidden="1" x14ac:dyDescent="0.25">
      <c r="A139" s="68" t="str">
        <f>IF(AND(LEFT(CT!$D137,3)=NKBH!$E$2,LEFT(CT!$E137,3)="511"),CT!A137,"")</f>
        <v/>
      </c>
      <c r="B139" s="65" t="str">
        <f>IF(AND(LEFT(CT!$D137,3)=NKBH!$E$2,LEFT(CT!$E137,3)="511"),CT!B137,"")</f>
        <v/>
      </c>
      <c r="C139" s="65" t="str">
        <f>IF(AND(LEFT(CT!$D137,3)=NKBH!$E$2,LEFT(CT!$E137,3)="511"),CT!C137,"")</f>
        <v/>
      </c>
      <c r="D139" s="69" t="str">
        <f>IF(AND(LEFT(CT!$D137,3)=NKBH!$E$2,LEFT(CT!$E137,3)="511"),CT!H137,"")</f>
        <v/>
      </c>
      <c r="E139" s="69">
        <f>IF(LEFT(CT!$E137,4)="5111",CT!$H137,0)</f>
        <v>0</v>
      </c>
      <c r="F139" s="69">
        <f>IF(LEFT(CT!$E137,4)="5112",CT!$H137,0)</f>
        <v>0</v>
      </c>
      <c r="G139" s="69">
        <f>IF(LEFT(CT!$E137,4)="5113",CT!$H137,0)</f>
        <v>0</v>
      </c>
    </row>
    <row r="140" spans="1:7" hidden="1" x14ac:dyDescent="0.25">
      <c r="A140" s="68" t="str">
        <f>IF(AND(LEFT(CT!$D138,3)=NKBH!$E$2,LEFT(CT!$E138,3)="511"),CT!A138,"")</f>
        <v/>
      </c>
      <c r="B140" s="65" t="str">
        <f>IF(AND(LEFT(CT!$D138,3)=NKBH!$E$2,LEFT(CT!$E138,3)="511"),CT!B138,"")</f>
        <v/>
      </c>
      <c r="C140" s="65" t="str">
        <f>IF(AND(LEFT(CT!$D138,3)=NKBH!$E$2,LEFT(CT!$E138,3)="511"),CT!C138,"")</f>
        <v/>
      </c>
      <c r="D140" s="69" t="str">
        <f>IF(AND(LEFT(CT!$D138,3)=NKBH!$E$2,LEFT(CT!$E138,3)="511"),CT!H138,"")</f>
        <v/>
      </c>
      <c r="E140" s="69">
        <f>IF(LEFT(CT!$E138,4)="5111",CT!$H138,0)</f>
        <v>0</v>
      </c>
      <c r="F140" s="69">
        <f>IF(LEFT(CT!$E138,4)="5112",CT!$H138,0)</f>
        <v>0</v>
      </c>
      <c r="G140" s="69">
        <f>IF(LEFT(CT!$E138,4)="5113",CT!$H138,0)</f>
        <v>0</v>
      </c>
    </row>
    <row r="141" spans="1:7" hidden="1" x14ac:dyDescent="0.25">
      <c r="A141" s="68" t="str">
        <f>IF(AND(LEFT(CT!$D139,3)=NKBH!$E$2,LEFT(CT!$E139,3)="511"),CT!A139,"")</f>
        <v/>
      </c>
      <c r="B141" s="65" t="str">
        <f>IF(AND(LEFT(CT!$D139,3)=NKBH!$E$2,LEFT(CT!$E139,3)="511"),CT!B139,"")</f>
        <v/>
      </c>
      <c r="C141" s="65" t="str">
        <f>IF(AND(LEFT(CT!$D139,3)=NKBH!$E$2,LEFT(CT!$E139,3)="511"),CT!C139,"")</f>
        <v/>
      </c>
      <c r="D141" s="69" t="str">
        <f>IF(AND(LEFT(CT!$D139,3)=NKBH!$E$2,LEFT(CT!$E139,3)="511"),CT!H139,"")</f>
        <v/>
      </c>
      <c r="E141" s="69">
        <f>IF(LEFT(CT!$E139,4)="5111",CT!$H139,0)</f>
        <v>0</v>
      </c>
      <c r="F141" s="69">
        <f>IF(LEFT(CT!$E139,4)="5112",CT!$H139,0)</f>
        <v>0</v>
      </c>
      <c r="G141" s="69">
        <f>IF(LEFT(CT!$E139,4)="5113",CT!$H139,0)</f>
        <v>0</v>
      </c>
    </row>
    <row r="142" spans="1:7" hidden="1" x14ac:dyDescent="0.25">
      <c r="A142" s="68" t="str">
        <f>IF(AND(LEFT(CT!$D140,3)=NKBH!$E$2,LEFT(CT!$E140,3)="511"),CT!A140,"")</f>
        <v/>
      </c>
      <c r="B142" s="65" t="str">
        <f>IF(AND(LEFT(CT!$D140,3)=NKBH!$E$2,LEFT(CT!$E140,3)="511"),CT!B140,"")</f>
        <v/>
      </c>
      <c r="C142" s="65" t="str">
        <f>IF(AND(LEFT(CT!$D140,3)=NKBH!$E$2,LEFT(CT!$E140,3)="511"),CT!C140,"")</f>
        <v/>
      </c>
      <c r="D142" s="69" t="str">
        <f>IF(AND(LEFT(CT!$D140,3)=NKBH!$E$2,LEFT(CT!$E140,3)="511"),CT!H140,"")</f>
        <v/>
      </c>
      <c r="E142" s="69">
        <f>IF(LEFT(CT!$E140,4)="5111",CT!$H140,0)</f>
        <v>0</v>
      </c>
      <c r="F142" s="69">
        <f>IF(LEFT(CT!$E140,4)="5112",CT!$H140,0)</f>
        <v>0</v>
      </c>
      <c r="G142" s="69">
        <f>IF(LEFT(CT!$E140,4)="5113",CT!$H140,0)</f>
        <v>0</v>
      </c>
    </row>
    <row r="143" spans="1:7" hidden="1" x14ac:dyDescent="0.25">
      <c r="A143" s="68" t="str">
        <f>IF(AND(LEFT(CT!$D141,3)=NKBH!$E$2,LEFT(CT!$E141,3)="511"),CT!A141,"")</f>
        <v/>
      </c>
      <c r="B143" s="65" t="str">
        <f>IF(AND(LEFT(CT!$D141,3)=NKBH!$E$2,LEFT(CT!$E141,3)="511"),CT!B141,"")</f>
        <v/>
      </c>
      <c r="C143" s="65" t="str">
        <f>IF(AND(LEFT(CT!$D141,3)=NKBH!$E$2,LEFT(CT!$E141,3)="511"),CT!C141,"")</f>
        <v/>
      </c>
      <c r="D143" s="69" t="str">
        <f>IF(AND(LEFT(CT!$D141,3)=NKBH!$E$2,LEFT(CT!$E141,3)="511"),CT!H141,"")</f>
        <v/>
      </c>
      <c r="E143" s="69">
        <f>IF(LEFT(CT!$E141,4)="5111",CT!$H141,0)</f>
        <v>0</v>
      </c>
      <c r="F143" s="69">
        <f>IF(LEFT(CT!$E141,4)="5112",CT!$H141,0)</f>
        <v>0</v>
      </c>
      <c r="G143" s="69">
        <f>IF(LEFT(CT!$E141,4)="5113",CT!$H141,0)</f>
        <v>0</v>
      </c>
    </row>
    <row r="144" spans="1:7" hidden="1" x14ac:dyDescent="0.25">
      <c r="A144" s="68" t="str">
        <f>IF(AND(LEFT(CT!$D142,3)=NKBH!$E$2,LEFT(CT!$E142,3)="511"),CT!A142,"")</f>
        <v/>
      </c>
      <c r="B144" s="65" t="str">
        <f>IF(AND(LEFT(CT!$D142,3)=NKBH!$E$2,LEFT(CT!$E142,3)="511"),CT!B142,"")</f>
        <v/>
      </c>
      <c r="C144" s="65" t="str">
        <f>IF(AND(LEFT(CT!$D142,3)=NKBH!$E$2,LEFT(CT!$E142,3)="511"),CT!C142,"")</f>
        <v/>
      </c>
      <c r="D144" s="69" t="str">
        <f>IF(AND(LEFT(CT!$D142,3)=NKBH!$E$2,LEFT(CT!$E142,3)="511"),CT!H142,"")</f>
        <v/>
      </c>
      <c r="E144" s="69">
        <f>IF(LEFT(CT!$E142,4)="5111",CT!$H142,0)</f>
        <v>0</v>
      </c>
      <c r="F144" s="69">
        <f>IF(LEFT(CT!$E142,4)="5112",CT!$H142,0)</f>
        <v>0</v>
      </c>
      <c r="G144" s="69">
        <f>IF(LEFT(CT!$E142,4)="5113",CT!$H142,0)</f>
        <v>0</v>
      </c>
    </row>
    <row r="145" spans="1:7" hidden="1" x14ac:dyDescent="0.25">
      <c r="A145" s="68" t="str">
        <f>IF(AND(LEFT(CT!$D143,3)=NKBH!$E$2,LEFT(CT!$E143,3)="511"),CT!A143,"")</f>
        <v/>
      </c>
      <c r="B145" s="65" t="str">
        <f>IF(AND(LEFT(CT!$D143,3)=NKBH!$E$2,LEFT(CT!$E143,3)="511"),CT!B143,"")</f>
        <v/>
      </c>
      <c r="C145" s="65" t="str">
        <f>IF(AND(LEFT(CT!$D143,3)=NKBH!$E$2,LEFT(CT!$E143,3)="511"),CT!C143,"")</f>
        <v/>
      </c>
      <c r="D145" s="69" t="str">
        <f>IF(AND(LEFT(CT!$D143,3)=NKBH!$E$2,LEFT(CT!$E143,3)="511"),CT!H143,"")</f>
        <v/>
      </c>
      <c r="E145" s="69">
        <f>IF(LEFT(CT!$E143,4)="5111",CT!$H143,0)</f>
        <v>0</v>
      </c>
      <c r="F145" s="69">
        <f>IF(LEFT(CT!$E143,4)="5112",CT!$H143,0)</f>
        <v>0</v>
      </c>
      <c r="G145" s="69">
        <f>IF(LEFT(CT!$E143,4)="5113",CT!$H143,0)</f>
        <v>0</v>
      </c>
    </row>
    <row r="146" spans="1:7" hidden="1" x14ac:dyDescent="0.25">
      <c r="A146" s="68" t="str">
        <f>IF(AND(LEFT(CT!$D144,3)=NKBH!$E$2,LEFT(CT!$E144,3)="511"),CT!A144,"")</f>
        <v/>
      </c>
      <c r="B146" s="65" t="str">
        <f>IF(AND(LEFT(CT!$D144,3)=NKBH!$E$2,LEFT(CT!$E144,3)="511"),CT!B144,"")</f>
        <v/>
      </c>
      <c r="C146" s="65" t="str">
        <f>IF(AND(LEFT(CT!$D144,3)=NKBH!$E$2,LEFT(CT!$E144,3)="511"),CT!C144,"")</f>
        <v/>
      </c>
      <c r="D146" s="69" t="str">
        <f>IF(AND(LEFT(CT!$D144,3)=NKBH!$E$2,LEFT(CT!$E144,3)="511"),CT!H144,"")</f>
        <v/>
      </c>
      <c r="E146" s="69">
        <f>IF(LEFT(CT!$E144,4)="5111",CT!$H144,0)</f>
        <v>0</v>
      </c>
      <c r="F146" s="69">
        <f>IF(LEFT(CT!$E144,4)="5112",CT!$H144,0)</f>
        <v>0</v>
      </c>
      <c r="G146" s="69">
        <f>IF(LEFT(CT!$E144,4)="5113",CT!$H144,0)</f>
        <v>0</v>
      </c>
    </row>
    <row r="147" spans="1:7" s="72" customFormat="1" x14ac:dyDescent="0.25">
      <c r="C147" s="72" t="s">
        <v>838</v>
      </c>
      <c r="D147" s="81">
        <f>SUM(D7:D146)</f>
        <v>88000000</v>
      </c>
      <c r="E147" s="81">
        <f t="shared" ref="E147:G147" si="0">SUM(E7:E146)</f>
        <v>0</v>
      </c>
      <c r="F147" s="81">
        <f t="shared" si="0"/>
        <v>88000000</v>
      </c>
      <c r="G147" s="81">
        <f t="shared" si="0"/>
        <v>0</v>
      </c>
    </row>
  </sheetData>
  <autoFilter ref="C6:C147" xr:uid="{13138779-B24F-426C-A0AB-0A9F0C8A469A}">
    <filterColumn colId="0">
      <customFilters>
        <customFilter operator="notEqual" val=" "/>
      </customFilters>
    </filterColumn>
  </autoFilter>
  <mergeCells count="5">
    <mergeCell ref="A1:G1"/>
    <mergeCell ref="A4:B4"/>
    <mergeCell ref="C4:C5"/>
    <mergeCell ref="D4:D5"/>
    <mergeCell ref="E4:G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4711-684A-4CCF-803E-450931821764}">
  <sheetPr filterMode="1">
    <tabColor rgb="FF7030A0"/>
  </sheetPr>
  <dimension ref="A1:J149"/>
  <sheetViews>
    <sheetView zoomScale="142" zoomScaleNormal="142" workbookViewId="0">
      <selection activeCell="D148" sqref="D148"/>
    </sheetView>
  </sheetViews>
  <sheetFormatPr defaultRowHeight="13.2" x14ac:dyDescent="0.25"/>
  <cols>
    <col min="2" max="2" width="7" bestFit="1" customWidth="1"/>
    <col min="3" max="3" width="27.6640625" bestFit="1" customWidth="1"/>
    <col min="4" max="4" width="15.6640625" bestFit="1" customWidth="1"/>
    <col min="5" max="5" width="10.77734375" bestFit="1" customWidth="1"/>
    <col min="6" max="6" width="7.77734375" bestFit="1" customWidth="1"/>
    <col min="7" max="7" width="13.109375" bestFit="1" customWidth="1"/>
    <col min="8" max="8" width="10.77734375" bestFit="1" customWidth="1"/>
    <col min="9" max="9" width="13.109375" bestFit="1" customWidth="1"/>
    <col min="10" max="10" width="9.109375" bestFit="1" customWidth="1"/>
  </cols>
  <sheetData>
    <row r="1" spans="1:10" ht="17.399999999999999" x14ac:dyDescent="0.3">
      <c r="A1" s="160" t="s">
        <v>845</v>
      </c>
      <c r="B1" s="160"/>
      <c r="C1" s="160"/>
      <c r="D1" s="160"/>
      <c r="E1" s="160"/>
      <c r="F1" s="160"/>
      <c r="G1" s="160"/>
      <c r="H1" s="160"/>
      <c r="I1" s="160"/>
      <c r="J1" s="160"/>
    </row>
    <row r="2" spans="1:10" x14ac:dyDescent="0.25">
      <c r="F2" t="s">
        <v>827</v>
      </c>
      <c r="G2" s="64" t="s">
        <v>723</v>
      </c>
    </row>
    <row r="5" spans="1:10" x14ac:dyDescent="0.25">
      <c r="A5" s="161" t="s">
        <v>828</v>
      </c>
      <c r="B5" s="161"/>
      <c r="C5" s="157" t="s">
        <v>829</v>
      </c>
      <c r="D5" s="157" t="s">
        <v>846</v>
      </c>
      <c r="E5" s="161" t="s">
        <v>847</v>
      </c>
      <c r="F5" s="161"/>
      <c r="G5" s="161"/>
      <c r="H5" s="161"/>
      <c r="I5" s="161"/>
      <c r="J5" s="161"/>
    </row>
    <row r="6" spans="1:10" x14ac:dyDescent="0.25">
      <c r="A6" s="157" t="s">
        <v>832</v>
      </c>
      <c r="B6" s="157" t="s">
        <v>833</v>
      </c>
      <c r="C6" s="159"/>
      <c r="D6" s="159"/>
      <c r="E6" s="162" t="s">
        <v>741</v>
      </c>
      <c r="F6" s="162" t="s">
        <v>773</v>
      </c>
      <c r="G6" s="162" t="s">
        <v>777</v>
      </c>
      <c r="H6" s="162" t="s">
        <v>821</v>
      </c>
      <c r="I6" s="161" t="s">
        <v>834</v>
      </c>
      <c r="J6" s="161"/>
    </row>
    <row r="7" spans="1:10" x14ac:dyDescent="0.25">
      <c r="A7" s="158"/>
      <c r="B7" s="158"/>
      <c r="C7" s="158"/>
      <c r="D7" s="158"/>
      <c r="E7" s="162"/>
      <c r="F7" s="162"/>
      <c r="G7" s="162"/>
      <c r="H7" s="162"/>
      <c r="I7" s="66" t="s">
        <v>835</v>
      </c>
      <c r="J7" s="66" t="s">
        <v>827</v>
      </c>
    </row>
    <row r="8" spans="1:10" x14ac:dyDescent="0.25">
      <c r="A8" s="144" t="s">
        <v>16</v>
      </c>
      <c r="B8" s="144" t="s">
        <v>17</v>
      </c>
      <c r="C8" s="144" t="s">
        <v>18</v>
      </c>
      <c r="D8" s="144" t="s">
        <v>19</v>
      </c>
      <c r="E8" s="144" t="s">
        <v>20</v>
      </c>
      <c r="F8" s="144" t="s">
        <v>21</v>
      </c>
      <c r="G8" s="144" t="s">
        <v>22</v>
      </c>
      <c r="H8" s="144" t="s">
        <v>23</v>
      </c>
      <c r="I8" s="144" t="s">
        <v>836</v>
      </c>
      <c r="J8" s="144" t="s">
        <v>837</v>
      </c>
    </row>
    <row r="9" spans="1:10" hidden="1" x14ac:dyDescent="0.25">
      <c r="A9" s="68" t="str">
        <f>IF(LEFT(CT!$E5,3)=NKCT!$G$2,CT!A5,"")</f>
        <v/>
      </c>
      <c r="B9" s="68" t="str">
        <f>IF(LEFT(CT!$E5,3)=NKCT!$G$2,CT!B5,"")</f>
        <v/>
      </c>
      <c r="C9" s="68" t="str">
        <f>IF(LEFT(CT!$E5,3)=NKCT!$G$2,CT!C5,"")</f>
        <v/>
      </c>
      <c r="D9" s="69">
        <f>IF(LEFT(CT!$E5,3)=NKCT!$G$2,CT!$H5,0)</f>
        <v>0</v>
      </c>
      <c r="E9" s="69">
        <f>IF(AND(LEFT(CT!$E5,3)=NKCT!$G$2,LEFT(CT!$D5,3)=NKCT!E$6),CT!$H5,0)</f>
        <v>0</v>
      </c>
      <c r="F9" s="69">
        <f>IF(AND(LEFT(CT!$E5,3)=NKCT!$G$2,LEFT(CT!$D5,3)=NKCT!F$6),CT!$H5,0)</f>
        <v>0</v>
      </c>
      <c r="G9" s="69">
        <f>IF(AND(LEFT(CT!$E5,3)=NKCT!$G$2,LEFT(CT!$D5,3)=NKCT!G$6),CT!$H5,0)</f>
        <v>0</v>
      </c>
      <c r="H9" s="69">
        <f>IF(AND(LEFT(CT!$E5,3)=NKCT!$G$2,LEFT(CT!$D5,3)=NKCT!H$6),CT!$H5,0)</f>
        <v>0</v>
      </c>
      <c r="I9" s="69">
        <f>IF(SUM(E9:H9)=0,D9,0)</f>
        <v>0</v>
      </c>
      <c r="J9" s="69" t="str">
        <f>IF(I9&gt;0,CT!D5,"")</f>
        <v/>
      </c>
    </row>
    <row r="10" spans="1:10" hidden="1" x14ac:dyDescent="0.25">
      <c r="A10" s="68" t="str">
        <f>IF(LEFT(CT!$E6,3)=NKCT!$G$2,CT!A6,"")</f>
        <v/>
      </c>
      <c r="B10" s="68" t="str">
        <f>IF(LEFT(CT!$E6,3)=NKCT!$G$2,CT!B6,"")</f>
        <v/>
      </c>
      <c r="C10" s="68" t="str">
        <f>IF(LEFT(CT!$E6,3)=NKCT!$G$2,CT!C6,"")</f>
        <v/>
      </c>
      <c r="D10" s="69">
        <f>IF(LEFT(CT!$E6,3)=NKCT!$G$2,CT!$H6,0)</f>
        <v>0</v>
      </c>
      <c r="E10" s="69">
        <f>IF(AND(LEFT(CT!$E6,3)=NKCT!$G$2,LEFT(CT!$D6,3)=NKCT!E$6),CT!$H6,0)</f>
        <v>0</v>
      </c>
      <c r="F10" s="69">
        <f>IF(AND(LEFT(CT!$E6,3)=NKCT!$G$2,LEFT(CT!$D6,3)=NKCT!F$6),CT!$H6,0)</f>
        <v>0</v>
      </c>
      <c r="G10" s="69">
        <f>IF(AND(LEFT(CT!$E6,3)=NKCT!$G$2,LEFT(CT!$D6,3)=NKCT!G$6),CT!$H6,0)</f>
        <v>0</v>
      </c>
      <c r="H10" s="69">
        <f>IF(AND(LEFT(CT!$E6,3)=NKCT!$G$2,LEFT(CT!$D6,3)=NKCT!H$6),CT!$H6,0)</f>
        <v>0</v>
      </c>
      <c r="I10" s="69">
        <f t="shared" ref="I10:I73" si="0">IF(SUM(E10:H10)=0,D10,0)</f>
        <v>0</v>
      </c>
      <c r="J10" s="69" t="str">
        <f>IF(I10&gt;0,CT!D6,"")</f>
        <v/>
      </c>
    </row>
    <row r="11" spans="1:10" x14ac:dyDescent="0.25">
      <c r="A11" s="68">
        <f>IF(LEFT(CT!$E7,3)=NKCT!$G$2,CT!A7,"")</f>
        <v>45295</v>
      </c>
      <c r="B11" s="68" t="str">
        <f>IF(LEFT(CT!$E7,3)=NKCT!$G$2,CT!B7,"")</f>
        <v>01/PC</v>
      </c>
      <c r="C11" s="68" t="str">
        <f>IF(LEFT(CT!$E7,3)=NKCT!$G$2,CT!C7,"")</f>
        <v>Chi tạm ứng cho Hồ Sĩ Nhật</v>
      </c>
      <c r="D11" s="69">
        <f>IF(LEFT(CT!$E7,3)=NKCT!$G$2,CT!$H7,0)</f>
        <v>2000000</v>
      </c>
      <c r="E11" s="69">
        <f>IF(AND(LEFT(CT!$E7,3)=NKCT!$G$2,LEFT(CT!$D7,3)=NKCT!E$6),CT!$H7,0)</f>
        <v>2000000</v>
      </c>
      <c r="F11" s="69">
        <f>IF(AND(LEFT(CT!$E7,3)=NKCT!$G$2,LEFT(CT!$D7,3)=NKCT!F$6),CT!$H7,0)</f>
        <v>0</v>
      </c>
      <c r="G11" s="69">
        <f>IF(AND(LEFT(CT!$E7,3)=NKCT!$G$2,LEFT(CT!$D7,3)=NKCT!G$6),CT!$H7,0)</f>
        <v>0</v>
      </c>
      <c r="H11" s="69">
        <f>IF(AND(LEFT(CT!$E7,3)=NKCT!$G$2,LEFT(CT!$D7,3)=NKCT!H$6),CT!$H7,0)</f>
        <v>0</v>
      </c>
      <c r="I11" s="69">
        <f t="shared" si="0"/>
        <v>0</v>
      </c>
      <c r="J11" s="69" t="str">
        <f>IF(I11&gt;0,CT!D7,"")</f>
        <v/>
      </c>
    </row>
    <row r="12" spans="1:10" hidden="1" x14ac:dyDescent="0.25">
      <c r="A12" s="68" t="str">
        <f>IF(LEFT(CT!$E8,3)=NKCT!$G$2,CT!A8,"")</f>
        <v/>
      </c>
      <c r="B12" s="68" t="str">
        <f>IF(LEFT(CT!$E8,3)=NKCT!$G$2,CT!B8,"")</f>
        <v/>
      </c>
      <c r="C12" s="68" t="str">
        <f>IF(LEFT(CT!$E8,3)=NKCT!$G$2,CT!C8,"")</f>
        <v/>
      </c>
      <c r="D12" s="69">
        <f>IF(LEFT(CT!$E8,3)=NKCT!$G$2,CT!$H8,0)</f>
        <v>0</v>
      </c>
      <c r="E12" s="69">
        <f>IF(AND(LEFT(CT!$E8,3)=NKCT!$G$2,LEFT(CT!$D8,3)=NKCT!E$6),CT!$H8,0)</f>
        <v>0</v>
      </c>
      <c r="F12" s="69">
        <f>IF(AND(LEFT(CT!$E8,3)=NKCT!$G$2,LEFT(CT!$D8,3)=NKCT!F$6),CT!$H8,0)</f>
        <v>0</v>
      </c>
      <c r="G12" s="69">
        <f>IF(AND(LEFT(CT!$E8,3)=NKCT!$G$2,LEFT(CT!$D8,3)=NKCT!G$6),CT!$H8,0)</f>
        <v>0</v>
      </c>
      <c r="H12" s="69">
        <f>IF(AND(LEFT(CT!$E8,3)=NKCT!$G$2,LEFT(CT!$D8,3)=NKCT!H$6),CT!$H8,0)</f>
        <v>0</v>
      </c>
      <c r="I12" s="69">
        <f t="shared" si="0"/>
        <v>0</v>
      </c>
      <c r="J12" s="69" t="str">
        <f>IF(I12&gt;0,CT!D8,"")</f>
        <v/>
      </c>
    </row>
    <row r="13" spans="1:10" hidden="1" x14ac:dyDescent="0.25">
      <c r="A13" s="68" t="str">
        <f>IF(LEFT(CT!$E9,3)=NKCT!$G$2,CT!A9,"")</f>
        <v/>
      </c>
      <c r="B13" s="68" t="str">
        <f>IF(LEFT(CT!$E9,3)=NKCT!$G$2,CT!B9,"")</f>
        <v/>
      </c>
      <c r="C13" s="68" t="str">
        <f>IF(LEFT(CT!$E9,3)=NKCT!$G$2,CT!C9,"")</f>
        <v/>
      </c>
      <c r="D13" s="69">
        <f>IF(LEFT(CT!$E9,3)=NKCT!$G$2,CT!$H9,0)</f>
        <v>0</v>
      </c>
      <c r="E13" s="69">
        <f>IF(AND(LEFT(CT!$E9,3)=NKCT!$G$2,LEFT(CT!$D9,3)=NKCT!E$6),CT!$H9,0)</f>
        <v>0</v>
      </c>
      <c r="F13" s="69">
        <f>IF(AND(LEFT(CT!$E9,3)=NKCT!$G$2,LEFT(CT!$D9,3)=NKCT!F$6),CT!$H9,0)</f>
        <v>0</v>
      </c>
      <c r="G13" s="69">
        <f>IF(AND(LEFT(CT!$E9,3)=NKCT!$G$2,LEFT(CT!$D9,3)=NKCT!G$6),CT!$H9,0)</f>
        <v>0</v>
      </c>
      <c r="H13" s="69">
        <f>IF(AND(LEFT(CT!$E9,3)=NKCT!$G$2,LEFT(CT!$D9,3)=NKCT!H$6),CT!$H9,0)</f>
        <v>0</v>
      </c>
      <c r="I13" s="69">
        <f t="shared" si="0"/>
        <v>0</v>
      </c>
      <c r="J13" s="69" t="str">
        <f>IF(I13&gt;0,CT!D9,"")</f>
        <v/>
      </c>
    </row>
    <row r="14" spans="1:10" x14ac:dyDescent="0.25">
      <c r="A14" s="68">
        <f>IF(LEFT(CT!$E10,3)=NKCT!$G$2,CT!A10,"")</f>
        <v>45296</v>
      </c>
      <c r="B14" s="68" t="str">
        <f>IF(LEFT(CT!$E10,3)=NKCT!$G$2,CT!B10,"")</f>
        <v>02/PC</v>
      </c>
      <c r="C14" s="68" t="str">
        <f>IF(LEFT(CT!$E10,3)=NKCT!$G$2,CT!C10,"")</f>
        <v>Thuế GTGT mua VPP</v>
      </c>
      <c r="D14" s="69">
        <f>IF(LEFT(CT!$E10,3)=NKCT!$G$2,CT!$H10,0)</f>
        <v>100000</v>
      </c>
      <c r="E14" s="69">
        <f>IF(AND(LEFT(CT!$E10,3)=NKCT!$G$2,LEFT(CT!$D10,3)=NKCT!E$6),CT!$H10,0)</f>
        <v>0</v>
      </c>
      <c r="F14" s="69">
        <f>IF(AND(LEFT(CT!$E10,3)=NKCT!$G$2,LEFT(CT!$D10,3)=NKCT!F$6),CT!$H10,0)</f>
        <v>0</v>
      </c>
      <c r="G14" s="69">
        <f>IF(AND(LEFT(CT!$E10,3)=NKCT!$G$2,LEFT(CT!$D10,3)=NKCT!G$6),CT!$H10,0)</f>
        <v>0</v>
      </c>
      <c r="H14" s="69">
        <f>IF(AND(LEFT(CT!$E10,3)=NKCT!$G$2,LEFT(CT!$D10,3)=NKCT!H$6),CT!$H10,0)</f>
        <v>0</v>
      </c>
      <c r="I14" s="69">
        <f t="shared" si="0"/>
        <v>100000</v>
      </c>
      <c r="J14" s="69" t="str">
        <f>IF(I14&gt;0,CT!D10,"")</f>
        <v>1331</v>
      </c>
    </row>
    <row r="15" spans="1:10" x14ac:dyDescent="0.25">
      <c r="A15" s="68">
        <f>IF(LEFT(CT!$E11,3)=NKCT!$G$2,CT!A11,"")</f>
        <v>45296</v>
      </c>
      <c r="B15" s="68" t="str">
        <f>IF(LEFT(CT!$E11,3)=NKCT!$G$2,CT!B11,"")</f>
        <v>02/PC</v>
      </c>
      <c r="C15" s="68" t="str">
        <f>IF(LEFT(CT!$E11,3)=NKCT!$G$2,CT!C11,"")</f>
        <v>Mua VPP cho BPVP</v>
      </c>
      <c r="D15" s="69">
        <f>IF(LEFT(CT!$E11,3)=NKCT!$G$2,CT!$H11,0)</f>
        <v>1000000</v>
      </c>
      <c r="E15" s="69">
        <f>IF(AND(LEFT(CT!$E11,3)=NKCT!$G$2,LEFT(CT!$D11,3)=NKCT!E$6),CT!$H11,0)</f>
        <v>0</v>
      </c>
      <c r="F15" s="69">
        <f>IF(AND(LEFT(CT!$E11,3)=NKCT!$G$2,LEFT(CT!$D11,3)=NKCT!F$6),CT!$H11,0)</f>
        <v>0</v>
      </c>
      <c r="G15" s="69">
        <f>IF(AND(LEFT(CT!$E11,3)=NKCT!$G$2,LEFT(CT!$D11,3)=NKCT!G$6),CT!$H11,0)</f>
        <v>0</v>
      </c>
      <c r="H15" s="69">
        <f>IF(AND(LEFT(CT!$E11,3)=NKCT!$G$2,LEFT(CT!$D11,3)=NKCT!H$6),CT!$H11,0)</f>
        <v>1000000</v>
      </c>
      <c r="I15" s="69">
        <f t="shared" si="0"/>
        <v>0</v>
      </c>
      <c r="J15" s="69" t="str">
        <f>IF(I15&gt;0,CT!D11,"")</f>
        <v/>
      </c>
    </row>
    <row r="16" spans="1:10" hidden="1" x14ac:dyDescent="0.25">
      <c r="A16" s="68" t="str">
        <f>IF(LEFT(CT!$E12,3)=NKCT!$G$2,CT!A12,"")</f>
        <v/>
      </c>
      <c r="B16" s="68" t="str">
        <f>IF(LEFT(CT!$E12,3)=NKCT!$G$2,CT!B12,"")</f>
        <v/>
      </c>
      <c r="C16" s="68" t="str">
        <f>IF(LEFT(CT!$E12,3)=NKCT!$G$2,CT!C12,"")</f>
        <v/>
      </c>
      <c r="D16" s="69">
        <f>IF(LEFT(CT!$E12,3)=NKCT!$G$2,CT!$H12,0)</f>
        <v>0</v>
      </c>
      <c r="E16" s="69">
        <f>IF(AND(LEFT(CT!$E12,3)=NKCT!$G$2,LEFT(CT!$D12,3)=NKCT!E$6),CT!$H12,0)</f>
        <v>0</v>
      </c>
      <c r="F16" s="69">
        <f>IF(AND(LEFT(CT!$E12,3)=NKCT!$G$2,LEFT(CT!$D12,3)=NKCT!F$6),CT!$H12,0)</f>
        <v>0</v>
      </c>
      <c r="G16" s="69">
        <f>IF(AND(LEFT(CT!$E12,3)=NKCT!$G$2,LEFT(CT!$D12,3)=NKCT!G$6),CT!$H12,0)</f>
        <v>0</v>
      </c>
      <c r="H16" s="69">
        <f>IF(AND(LEFT(CT!$E12,3)=NKCT!$G$2,LEFT(CT!$D12,3)=NKCT!H$6),CT!$H12,0)</f>
        <v>0</v>
      </c>
      <c r="I16" s="69">
        <f t="shared" si="0"/>
        <v>0</v>
      </c>
      <c r="J16" s="69" t="str">
        <f>IF(I16&gt;0,CT!D12,"")</f>
        <v/>
      </c>
    </row>
    <row r="17" spans="1:10" hidden="1" x14ac:dyDescent="0.25">
      <c r="A17" s="68" t="str">
        <f>IF(LEFT(CT!$E13,3)=NKCT!$G$2,CT!A13,"")</f>
        <v/>
      </c>
      <c r="B17" s="68" t="str">
        <f>IF(LEFT(CT!$E13,3)=NKCT!$G$2,CT!B13,"")</f>
        <v/>
      </c>
      <c r="C17" s="68" t="str">
        <f>IF(LEFT(CT!$E13,3)=NKCT!$G$2,CT!C13,"")</f>
        <v/>
      </c>
      <c r="D17" s="69">
        <f>IF(LEFT(CT!$E13,3)=NKCT!$G$2,CT!$H13,0)</f>
        <v>0</v>
      </c>
      <c r="E17" s="69">
        <f>IF(AND(LEFT(CT!$E13,3)=NKCT!$G$2,LEFT(CT!$D13,3)=NKCT!E$6),CT!$H13,0)</f>
        <v>0</v>
      </c>
      <c r="F17" s="69">
        <f>IF(AND(LEFT(CT!$E13,3)=NKCT!$G$2,LEFT(CT!$D13,3)=NKCT!F$6),CT!$H13,0)</f>
        <v>0</v>
      </c>
      <c r="G17" s="69">
        <f>IF(AND(LEFT(CT!$E13,3)=NKCT!$G$2,LEFT(CT!$D13,3)=NKCT!G$6),CT!$H13,0)</f>
        <v>0</v>
      </c>
      <c r="H17" s="69">
        <f>IF(AND(LEFT(CT!$E13,3)=NKCT!$G$2,LEFT(CT!$D13,3)=NKCT!H$6),CT!$H13,0)</f>
        <v>0</v>
      </c>
      <c r="I17" s="69">
        <f t="shared" si="0"/>
        <v>0</v>
      </c>
      <c r="J17" s="69" t="str">
        <f>IF(I17&gt;0,CT!D13,"")</f>
        <v/>
      </c>
    </row>
    <row r="18" spans="1:10" hidden="1" x14ac:dyDescent="0.25">
      <c r="A18" s="68" t="str">
        <f>IF(LEFT(CT!$E14,3)=NKCT!$G$2,CT!A14,"")</f>
        <v/>
      </c>
      <c r="B18" s="68" t="str">
        <f>IF(LEFT(CT!$E14,3)=NKCT!$G$2,CT!B14,"")</f>
        <v/>
      </c>
      <c r="C18" s="68" t="str">
        <f>IF(LEFT(CT!$E14,3)=NKCT!$G$2,CT!C14,"")</f>
        <v/>
      </c>
      <c r="D18" s="69">
        <f>IF(LEFT(CT!$E14,3)=NKCT!$G$2,CT!$H14,0)</f>
        <v>0</v>
      </c>
      <c r="E18" s="69">
        <f>IF(AND(LEFT(CT!$E14,3)=NKCT!$G$2,LEFT(CT!$D14,3)=NKCT!E$6),CT!$H14,0)</f>
        <v>0</v>
      </c>
      <c r="F18" s="69">
        <f>IF(AND(LEFT(CT!$E14,3)=NKCT!$G$2,LEFT(CT!$D14,3)=NKCT!F$6),CT!$H14,0)</f>
        <v>0</v>
      </c>
      <c r="G18" s="69">
        <f>IF(AND(LEFT(CT!$E14,3)=NKCT!$G$2,LEFT(CT!$D14,3)=NKCT!G$6),CT!$H14,0)</f>
        <v>0</v>
      </c>
      <c r="H18" s="69">
        <f>IF(AND(LEFT(CT!$E14,3)=NKCT!$G$2,LEFT(CT!$D14,3)=NKCT!H$6),CT!$H14,0)</f>
        <v>0</v>
      </c>
      <c r="I18" s="69">
        <f t="shared" si="0"/>
        <v>0</v>
      </c>
      <c r="J18" s="69" t="str">
        <f>IF(I18&gt;0,CT!D14,"")</f>
        <v/>
      </c>
    </row>
    <row r="19" spans="1:10" hidden="1" x14ac:dyDescent="0.25">
      <c r="A19" s="68" t="str">
        <f>IF(LEFT(CT!$E15,3)=NKCT!$G$2,CT!A15,"")</f>
        <v/>
      </c>
      <c r="B19" s="68" t="str">
        <f>IF(LEFT(CT!$E15,3)=NKCT!$G$2,CT!B15,"")</f>
        <v/>
      </c>
      <c r="C19" s="68" t="str">
        <f>IF(LEFT(CT!$E15,3)=NKCT!$G$2,CT!C15,"")</f>
        <v/>
      </c>
      <c r="D19" s="69">
        <f>IF(LEFT(CT!$E15,3)=NKCT!$G$2,CT!$H15,0)</f>
        <v>0</v>
      </c>
      <c r="E19" s="69">
        <f>IF(AND(LEFT(CT!$E15,3)=NKCT!$G$2,LEFT(CT!$D15,3)=NKCT!E$6),CT!$H15,0)</f>
        <v>0</v>
      </c>
      <c r="F19" s="69">
        <f>IF(AND(LEFT(CT!$E15,3)=NKCT!$G$2,LEFT(CT!$D15,3)=NKCT!F$6),CT!$H15,0)</f>
        <v>0</v>
      </c>
      <c r="G19" s="69">
        <f>IF(AND(LEFT(CT!$E15,3)=NKCT!$G$2,LEFT(CT!$D15,3)=NKCT!G$6),CT!$H15,0)</f>
        <v>0</v>
      </c>
      <c r="H19" s="69">
        <f>IF(AND(LEFT(CT!$E15,3)=NKCT!$G$2,LEFT(CT!$D15,3)=NKCT!H$6),CT!$H15,0)</f>
        <v>0</v>
      </c>
      <c r="I19" s="69">
        <f t="shared" si="0"/>
        <v>0</v>
      </c>
      <c r="J19" s="69" t="str">
        <f>IF(I19&gt;0,CT!D15,"")</f>
        <v/>
      </c>
    </row>
    <row r="20" spans="1:10" hidden="1" x14ac:dyDescent="0.25">
      <c r="A20" s="68" t="str">
        <f>IF(LEFT(CT!$E16,3)=NKCT!$G$2,CT!A16,"")</f>
        <v/>
      </c>
      <c r="B20" s="68" t="str">
        <f>IF(LEFT(CT!$E16,3)=NKCT!$G$2,CT!B16,"")</f>
        <v/>
      </c>
      <c r="C20" s="68" t="str">
        <f>IF(LEFT(CT!$E16,3)=NKCT!$G$2,CT!C16,"")</f>
        <v/>
      </c>
      <c r="D20" s="69">
        <f>IF(LEFT(CT!$E16,3)=NKCT!$G$2,CT!$H16,0)</f>
        <v>0</v>
      </c>
      <c r="E20" s="69">
        <f>IF(AND(LEFT(CT!$E16,3)=NKCT!$G$2,LEFT(CT!$D16,3)=NKCT!E$6),CT!$H16,0)</f>
        <v>0</v>
      </c>
      <c r="F20" s="69">
        <f>IF(AND(LEFT(CT!$E16,3)=NKCT!$G$2,LEFT(CT!$D16,3)=NKCT!F$6),CT!$H16,0)</f>
        <v>0</v>
      </c>
      <c r="G20" s="69">
        <f>IF(AND(LEFT(CT!$E16,3)=NKCT!$G$2,LEFT(CT!$D16,3)=NKCT!G$6),CT!$H16,0)</f>
        <v>0</v>
      </c>
      <c r="H20" s="69">
        <f>IF(AND(LEFT(CT!$E16,3)=NKCT!$G$2,LEFT(CT!$D16,3)=NKCT!H$6),CT!$H16,0)</f>
        <v>0</v>
      </c>
      <c r="I20" s="69">
        <f t="shared" si="0"/>
        <v>0</v>
      </c>
      <c r="J20" s="69" t="str">
        <f>IF(I20&gt;0,CT!D16,"")</f>
        <v/>
      </c>
    </row>
    <row r="21" spans="1:10" hidden="1" x14ac:dyDescent="0.25">
      <c r="A21" s="68" t="str">
        <f>IF(LEFT(CT!$E17,3)=NKCT!$G$2,CT!A17,"")</f>
        <v/>
      </c>
      <c r="B21" s="68" t="str">
        <f>IF(LEFT(CT!$E17,3)=NKCT!$G$2,CT!B17,"")</f>
        <v/>
      </c>
      <c r="C21" s="68" t="str">
        <f>IF(LEFT(CT!$E17,3)=NKCT!$G$2,CT!C17,"")</f>
        <v/>
      </c>
      <c r="D21" s="69">
        <f>IF(LEFT(CT!$E17,3)=NKCT!$G$2,CT!$H17,0)</f>
        <v>0</v>
      </c>
      <c r="E21" s="69">
        <f>IF(AND(LEFT(CT!$E17,3)=NKCT!$G$2,LEFT(CT!$D17,3)=NKCT!E$6),CT!$H17,0)</f>
        <v>0</v>
      </c>
      <c r="F21" s="69">
        <f>IF(AND(LEFT(CT!$E17,3)=NKCT!$G$2,LEFT(CT!$D17,3)=NKCT!F$6),CT!$H17,0)</f>
        <v>0</v>
      </c>
      <c r="G21" s="69">
        <f>IF(AND(LEFT(CT!$E17,3)=NKCT!$G$2,LEFT(CT!$D17,3)=NKCT!G$6),CT!$H17,0)</f>
        <v>0</v>
      </c>
      <c r="H21" s="69">
        <f>IF(AND(LEFT(CT!$E17,3)=NKCT!$G$2,LEFT(CT!$D17,3)=NKCT!H$6),CT!$H17,0)</f>
        <v>0</v>
      </c>
      <c r="I21" s="69">
        <f t="shared" si="0"/>
        <v>0</v>
      </c>
      <c r="J21" s="69" t="str">
        <f>IF(I21&gt;0,CT!D17,"")</f>
        <v/>
      </c>
    </row>
    <row r="22" spans="1:10" x14ac:dyDescent="0.25">
      <c r="A22" s="68">
        <f>IF(LEFT(CT!$E18,3)=NKCT!$G$2,CT!A18,"")</f>
        <v>45306</v>
      </c>
      <c r="B22" s="68" t="str">
        <f>IF(LEFT(CT!$E18,3)=NKCT!$G$2,CT!B18,"")</f>
        <v>03/PC</v>
      </c>
      <c r="C22" s="68" t="str">
        <f>IF(LEFT(CT!$E18,3)=NKCT!$G$2,CT!C18,"")</f>
        <v>Chi lương cho NVBH</v>
      </c>
      <c r="D22" s="69">
        <f>IF(LEFT(CT!$E18,3)=NKCT!$G$2,CT!$H18,0)</f>
        <v>5000000</v>
      </c>
      <c r="E22" s="69">
        <f>IF(AND(LEFT(CT!$E18,3)=NKCT!$G$2,LEFT(CT!$D18,3)=NKCT!E$6),CT!$H18,0)</f>
        <v>0</v>
      </c>
      <c r="F22" s="69">
        <f>IF(AND(LEFT(CT!$E18,3)=NKCT!$G$2,LEFT(CT!$D18,3)=NKCT!F$6),CT!$H18,0)</f>
        <v>0</v>
      </c>
      <c r="G22" s="69">
        <f>IF(AND(LEFT(CT!$E18,3)=NKCT!$G$2,LEFT(CT!$D18,3)=NKCT!G$6),CT!$H18,0)</f>
        <v>5000000</v>
      </c>
      <c r="H22" s="69">
        <f>IF(AND(LEFT(CT!$E18,3)=NKCT!$G$2,LEFT(CT!$D18,3)=NKCT!H$6),CT!$H18,0)</f>
        <v>0</v>
      </c>
      <c r="I22" s="69">
        <f t="shared" si="0"/>
        <v>0</v>
      </c>
      <c r="J22" s="69" t="str">
        <f>IF(I22&gt;0,CT!D18,"")</f>
        <v/>
      </c>
    </row>
    <row r="23" spans="1:10" x14ac:dyDescent="0.25">
      <c r="A23" s="68">
        <f>IF(LEFT(CT!$E19,3)=NKCT!$G$2,CT!A19,"")</f>
        <v>45306</v>
      </c>
      <c r="B23" s="68" t="str">
        <f>IF(LEFT(CT!$E19,3)=NKCT!$G$2,CT!B19,"")</f>
        <v>03/PC</v>
      </c>
      <c r="C23" s="68" t="str">
        <f>IF(LEFT(CT!$E19,3)=NKCT!$G$2,CT!C19,"")</f>
        <v>Chi lương cho CB QLDN</v>
      </c>
      <c r="D23" s="69">
        <f>IF(LEFT(CT!$E19,3)=NKCT!$G$2,CT!$H19,0)</f>
        <v>7000000</v>
      </c>
      <c r="E23" s="69">
        <f>IF(AND(LEFT(CT!$E19,3)=NKCT!$G$2,LEFT(CT!$D19,3)=NKCT!E$6),CT!$H19,0)</f>
        <v>0</v>
      </c>
      <c r="F23" s="69">
        <f>IF(AND(LEFT(CT!$E19,3)=NKCT!$G$2,LEFT(CT!$D19,3)=NKCT!F$6),CT!$H19,0)</f>
        <v>0</v>
      </c>
      <c r="G23" s="69">
        <f>IF(AND(LEFT(CT!$E19,3)=NKCT!$G$2,LEFT(CT!$D19,3)=NKCT!G$6),CT!$H19,0)</f>
        <v>7000000</v>
      </c>
      <c r="H23" s="69">
        <f>IF(AND(LEFT(CT!$E19,3)=NKCT!$G$2,LEFT(CT!$D19,3)=NKCT!H$6),CT!$H19,0)</f>
        <v>0</v>
      </c>
      <c r="I23" s="69">
        <f t="shared" si="0"/>
        <v>0</v>
      </c>
      <c r="J23" s="69" t="str">
        <f>IF(I23&gt;0,CT!D19,"")</f>
        <v/>
      </c>
    </row>
    <row r="24" spans="1:10" hidden="1" x14ac:dyDescent="0.25">
      <c r="A24" s="68" t="str">
        <f>IF(LEFT(CT!$E20,3)=NKCT!$G$2,CT!A20,"")</f>
        <v/>
      </c>
      <c r="B24" s="68" t="str">
        <f>IF(LEFT(CT!$E20,3)=NKCT!$G$2,CT!B20,"")</f>
        <v/>
      </c>
      <c r="C24" s="68" t="str">
        <f>IF(LEFT(CT!$E20,3)=NKCT!$G$2,CT!C20,"")</f>
        <v/>
      </c>
      <c r="D24" s="69">
        <f>IF(LEFT(CT!$E20,3)=NKCT!$G$2,CT!$H20,0)</f>
        <v>0</v>
      </c>
      <c r="E24" s="69">
        <f>IF(AND(LEFT(CT!$E20,3)=NKCT!$G$2,LEFT(CT!$D20,3)=NKCT!E$6),CT!$H20,0)</f>
        <v>0</v>
      </c>
      <c r="F24" s="69">
        <f>IF(AND(LEFT(CT!$E20,3)=NKCT!$G$2,LEFT(CT!$D20,3)=NKCT!F$6),CT!$H20,0)</f>
        <v>0</v>
      </c>
      <c r="G24" s="69">
        <f>IF(AND(LEFT(CT!$E20,3)=NKCT!$G$2,LEFT(CT!$D20,3)=NKCT!G$6),CT!$H20,0)</f>
        <v>0</v>
      </c>
      <c r="H24" s="69">
        <f>IF(AND(LEFT(CT!$E20,3)=NKCT!$G$2,LEFT(CT!$D20,3)=NKCT!H$6),CT!$H20,0)</f>
        <v>0</v>
      </c>
      <c r="I24" s="69">
        <f t="shared" si="0"/>
        <v>0</v>
      </c>
      <c r="J24" s="69" t="str">
        <f>IF(I24&gt;0,CT!D20,"")</f>
        <v/>
      </c>
    </row>
    <row r="25" spans="1:10" hidden="1" x14ac:dyDescent="0.25">
      <c r="A25" s="68" t="str">
        <f>IF(LEFT(CT!$E21,3)=NKCT!$G$2,CT!A21,"")</f>
        <v/>
      </c>
      <c r="B25" s="68" t="str">
        <f>IF(LEFT(CT!$E21,3)=NKCT!$G$2,CT!B21,"")</f>
        <v/>
      </c>
      <c r="C25" s="68" t="str">
        <f>IF(LEFT(CT!$E21,3)=NKCT!$G$2,CT!C21,"")</f>
        <v/>
      </c>
      <c r="D25" s="69">
        <f>IF(LEFT(CT!$E21,3)=NKCT!$G$2,CT!$H21,0)</f>
        <v>0</v>
      </c>
      <c r="E25" s="69">
        <f>IF(AND(LEFT(CT!$E21,3)=NKCT!$G$2,LEFT(CT!$D21,3)=NKCT!E$6),CT!$H21,0)</f>
        <v>0</v>
      </c>
      <c r="F25" s="69">
        <f>IF(AND(LEFT(CT!$E21,3)=NKCT!$G$2,LEFT(CT!$D21,3)=NKCT!F$6),CT!$H21,0)</f>
        <v>0</v>
      </c>
      <c r="G25" s="69">
        <f>IF(AND(LEFT(CT!$E21,3)=NKCT!$G$2,LEFT(CT!$D21,3)=NKCT!G$6),CT!$H21,0)</f>
        <v>0</v>
      </c>
      <c r="H25" s="69">
        <f>IF(AND(LEFT(CT!$E21,3)=NKCT!$G$2,LEFT(CT!$D21,3)=NKCT!H$6),CT!$H21,0)</f>
        <v>0</v>
      </c>
      <c r="I25" s="69">
        <f t="shared" si="0"/>
        <v>0</v>
      </c>
      <c r="J25" s="69" t="str">
        <f>IF(I25&gt;0,CT!D21,"")</f>
        <v/>
      </c>
    </row>
    <row r="26" spans="1:10" x14ac:dyDescent="0.25">
      <c r="A26" s="68">
        <f>IF(LEFT(CT!$E22,3)=NKCT!$G$2,CT!A22,"")</f>
        <v>45306</v>
      </c>
      <c r="B26" s="68" t="str">
        <f>IF(LEFT(CT!$E22,3)=NKCT!$G$2,CT!B22,"")</f>
        <v>03/PC</v>
      </c>
      <c r="C26" s="68" t="str">
        <f>IF(LEFT(CT!$E22,3)=NKCT!$G$2,CT!C22,"")</f>
        <v>Chi lương cho NV QLPX</v>
      </c>
      <c r="D26" s="69">
        <f>IF(LEFT(CT!$E22,3)=NKCT!$G$2,CT!$H22,0)</f>
        <v>35000000</v>
      </c>
      <c r="E26" s="69">
        <f>IF(AND(LEFT(CT!$E22,3)=NKCT!$G$2,LEFT(CT!$D22,3)=NKCT!E$6),CT!$H22,0)</f>
        <v>0</v>
      </c>
      <c r="F26" s="69">
        <f>IF(AND(LEFT(CT!$E22,3)=NKCT!$G$2,LEFT(CT!$D22,3)=NKCT!F$6),CT!$H22,0)</f>
        <v>0</v>
      </c>
      <c r="G26" s="69">
        <f>IF(AND(LEFT(CT!$E22,3)=NKCT!$G$2,LEFT(CT!$D22,3)=NKCT!G$6),CT!$H22,0)</f>
        <v>35000000</v>
      </c>
      <c r="H26" s="69">
        <f>IF(AND(LEFT(CT!$E22,3)=NKCT!$G$2,LEFT(CT!$D22,3)=NKCT!H$6),CT!$H22,0)</f>
        <v>0</v>
      </c>
      <c r="I26" s="69">
        <f t="shared" si="0"/>
        <v>0</v>
      </c>
      <c r="J26" s="69" t="str">
        <f>IF(I26&gt;0,CT!D22,"")</f>
        <v/>
      </c>
    </row>
    <row r="27" spans="1:10" x14ac:dyDescent="0.25">
      <c r="A27" s="68">
        <f>IF(LEFT(CT!$E23,3)=NKCT!$G$2,CT!A23,"")</f>
        <v>45306</v>
      </c>
      <c r="B27" s="68" t="str">
        <f>IF(LEFT(CT!$E23,3)=NKCT!$G$2,CT!B23,"")</f>
        <v>03/PC</v>
      </c>
      <c r="C27" s="68" t="str">
        <f>IF(LEFT(CT!$E23,3)=NKCT!$G$2,CT!C23,"")</f>
        <v>Chi lương cho CNSX GTV</v>
      </c>
      <c r="D27" s="69">
        <f>IF(LEFT(CT!$E23,3)=NKCT!$G$2,CT!$H23,0)</f>
        <v>40000000</v>
      </c>
      <c r="E27" s="69">
        <f>IF(AND(LEFT(CT!$E23,3)=NKCT!$G$2,LEFT(CT!$D23,3)=NKCT!E$6),CT!$H23,0)</f>
        <v>0</v>
      </c>
      <c r="F27" s="69">
        <f>IF(AND(LEFT(CT!$E23,3)=NKCT!$G$2,LEFT(CT!$D23,3)=NKCT!F$6),CT!$H23,0)</f>
        <v>0</v>
      </c>
      <c r="G27" s="69">
        <f>IF(AND(LEFT(CT!$E23,3)=NKCT!$G$2,LEFT(CT!$D23,3)=NKCT!G$6),CT!$H23,0)</f>
        <v>40000000</v>
      </c>
      <c r="H27" s="69">
        <f>IF(AND(LEFT(CT!$E23,3)=NKCT!$G$2,LEFT(CT!$D23,3)=NKCT!H$6),CT!$H23,0)</f>
        <v>0</v>
      </c>
      <c r="I27" s="69">
        <f t="shared" si="0"/>
        <v>0</v>
      </c>
      <c r="J27" s="69" t="str">
        <f>IF(I27&gt;0,CT!D23,"")</f>
        <v/>
      </c>
    </row>
    <row r="28" spans="1:10" x14ac:dyDescent="0.25">
      <c r="A28" s="68">
        <f>IF(LEFT(CT!$E24,3)=NKCT!$G$2,CT!A24,"")</f>
        <v>45306</v>
      </c>
      <c r="B28" s="68" t="str">
        <f>IF(LEFT(CT!$E24,3)=NKCT!$G$2,CT!B24,"")</f>
        <v>03/PC</v>
      </c>
      <c r="C28" s="68" t="str">
        <f>IF(LEFT(CT!$E24,3)=NKCT!$G$2,CT!C24,"")</f>
        <v>Chi lương cho CNSX GKT</v>
      </c>
      <c r="D28" s="69">
        <f>IF(LEFT(CT!$E24,3)=NKCT!$G$2,CT!$H24,0)</f>
        <v>40000000</v>
      </c>
      <c r="E28" s="69">
        <f>IF(AND(LEFT(CT!$E24,3)=NKCT!$G$2,LEFT(CT!$D24,3)=NKCT!E$6),CT!$H24,0)</f>
        <v>0</v>
      </c>
      <c r="F28" s="69">
        <f>IF(AND(LEFT(CT!$E24,3)=NKCT!$G$2,LEFT(CT!$D24,3)=NKCT!F$6),CT!$H24,0)</f>
        <v>0</v>
      </c>
      <c r="G28" s="69">
        <f>IF(AND(LEFT(CT!$E24,3)=NKCT!$G$2,LEFT(CT!$D24,3)=NKCT!G$6),CT!$H24,0)</f>
        <v>40000000</v>
      </c>
      <c r="H28" s="69">
        <f>IF(AND(LEFT(CT!$E24,3)=NKCT!$G$2,LEFT(CT!$D24,3)=NKCT!H$6),CT!$H24,0)</f>
        <v>0</v>
      </c>
      <c r="I28" s="69">
        <f t="shared" si="0"/>
        <v>0</v>
      </c>
      <c r="J28" s="69" t="str">
        <f>IF(I28&gt;0,CT!D24,"")</f>
        <v/>
      </c>
    </row>
    <row r="29" spans="1:10" x14ac:dyDescent="0.25">
      <c r="A29" s="68">
        <f>IF(LEFT(CT!$E25,3)=NKCT!$G$2,CT!A25,"")</f>
        <v>45306</v>
      </c>
      <c r="B29" s="68" t="str">
        <f>IF(LEFT(CT!$E25,3)=NKCT!$G$2,CT!B25,"")</f>
        <v>03/PC</v>
      </c>
      <c r="C29" s="68" t="str">
        <f>IF(LEFT(CT!$E25,3)=NKCT!$G$2,CT!C25,"")</f>
        <v>Chi lương cho CNSX GTV</v>
      </c>
      <c r="D29" s="69">
        <f>IF(LEFT(CT!$E25,3)=NKCT!$G$2,CT!$H25,0)</f>
        <v>40000000</v>
      </c>
      <c r="E29" s="69">
        <f>IF(AND(LEFT(CT!$E25,3)=NKCT!$G$2,LEFT(CT!$D25,3)=NKCT!E$6),CT!$H25,0)</f>
        <v>0</v>
      </c>
      <c r="F29" s="69">
        <f>IF(AND(LEFT(CT!$E25,3)=NKCT!$G$2,LEFT(CT!$D25,3)=NKCT!F$6),CT!$H25,0)</f>
        <v>0</v>
      </c>
      <c r="G29" s="69">
        <f>IF(AND(LEFT(CT!$E25,3)=NKCT!$G$2,LEFT(CT!$D25,3)=NKCT!G$6),CT!$H25,0)</f>
        <v>40000000</v>
      </c>
      <c r="H29" s="69">
        <f>IF(AND(LEFT(CT!$E25,3)=NKCT!$G$2,LEFT(CT!$D25,3)=NKCT!H$6),CT!$H25,0)</f>
        <v>0</v>
      </c>
      <c r="I29" s="69">
        <f t="shared" si="0"/>
        <v>0</v>
      </c>
      <c r="J29" s="69" t="str">
        <f>IF(I29&gt;0,CT!D25,"")</f>
        <v/>
      </c>
    </row>
    <row r="30" spans="1:10" x14ac:dyDescent="0.25">
      <c r="A30" s="68">
        <f>IF(LEFT(CT!$E26,3)=NKCT!$G$2,CT!A26,"")</f>
        <v>45306</v>
      </c>
      <c r="B30" s="68" t="str">
        <f>IF(LEFT(CT!$E26,3)=NKCT!$G$2,CT!B26,"")</f>
        <v>03/PC</v>
      </c>
      <c r="C30" s="68" t="str">
        <f>IF(LEFT(CT!$E26,3)=NKCT!$G$2,CT!C26,"")</f>
        <v>Chi lương cho CNSX BT</v>
      </c>
      <c r="D30" s="69">
        <f>IF(LEFT(CT!$E26,3)=NKCT!$G$2,CT!$H26,0)</f>
        <v>40000000</v>
      </c>
      <c r="E30" s="69">
        <f>IF(AND(LEFT(CT!$E26,3)=NKCT!$G$2,LEFT(CT!$D26,3)=NKCT!E$6),CT!$H26,0)</f>
        <v>0</v>
      </c>
      <c r="F30" s="69">
        <f>IF(AND(LEFT(CT!$E26,3)=NKCT!$G$2,LEFT(CT!$D26,3)=NKCT!F$6),CT!$H26,0)</f>
        <v>0</v>
      </c>
      <c r="G30" s="69">
        <f>IF(AND(LEFT(CT!$E26,3)=NKCT!$G$2,LEFT(CT!$D26,3)=NKCT!G$6),CT!$H26,0)</f>
        <v>40000000</v>
      </c>
      <c r="H30" s="69">
        <f>IF(AND(LEFT(CT!$E26,3)=NKCT!$G$2,LEFT(CT!$D26,3)=NKCT!H$6),CT!$H26,0)</f>
        <v>0</v>
      </c>
      <c r="I30" s="69">
        <f t="shared" si="0"/>
        <v>0</v>
      </c>
      <c r="J30" s="69" t="str">
        <f>IF(I30&gt;0,CT!D26,"")</f>
        <v/>
      </c>
    </row>
    <row r="31" spans="1:10" x14ac:dyDescent="0.25">
      <c r="A31" s="68">
        <f>IF(LEFT(CT!$E27,3)=NKCT!$G$2,CT!A27,"")</f>
        <v>45306</v>
      </c>
      <c r="B31" s="68" t="str">
        <f>IF(LEFT(CT!$E27,3)=NKCT!$G$2,CT!B27,"")</f>
        <v>03/PC</v>
      </c>
      <c r="C31" s="68" t="str">
        <f>IF(LEFT(CT!$E27,3)=NKCT!$G$2,CT!C27,"")</f>
        <v>Chi lương cho CNSX BO</v>
      </c>
      <c r="D31" s="69">
        <f>IF(LEFT(CT!$E27,3)=NKCT!$G$2,CT!$H27,0)</f>
        <v>40000000</v>
      </c>
      <c r="E31" s="69">
        <f>IF(AND(LEFT(CT!$E27,3)=NKCT!$G$2,LEFT(CT!$D27,3)=NKCT!E$6),CT!$H27,0)</f>
        <v>0</v>
      </c>
      <c r="F31" s="69">
        <f>IF(AND(LEFT(CT!$E27,3)=NKCT!$G$2,LEFT(CT!$D27,3)=NKCT!F$6),CT!$H27,0)</f>
        <v>0</v>
      </c>
      <c r="G31" s="69">
        <f>IF(AND(LEFT(CT!$E27,3)=NKCT!$G$2,LEFT(CT!$D27,3)=NKCT!G$6),CT!$H27,0)</f>
        <v>40000000</v>
      </c>
      <c r="H31" s="69">
        <f>IF(AND(LEFT(CT!$E27,3)=NKCT!$G$2,LEFT(CT!$D27,3)=NKCT!H$6),CT!$H27,0)</f>
        <v>0</v>
      </c>
      <c r="I31" s="69">
        <f t="shared" si="0"/>
        <v>0</v>
      </c>
      <c r="J31" s="69" t="str">
        <f>IF(I31&gt;0,CT!D27,"")</f>
        <v/>
      </c>
    </row>
    <row r="32" spans="1:10" hidden="1" x14ac:dyDescent="0.25">
      <c r="A32" s="68" t="str">
        <f>IF(LEFT(CT!$E28,3)=NKCT!$G$2,CT!A28,"")</f>
        <v/>
      </c>
      <c r="B32" s="68" t="str">
        <f>IF(LEFT(CT!$E28,3)=NKCT!$G$2,CT!B28,"")</f>
        <v/>
      </c>
      <c r="C32" s="68" t="str">
        <f>IF(LEFT(CT!$E28,3)=NKCT!$G$2,CT!C28,"")</f>
        <v/>
      </c>
      <c r="D32" s="69">
        <f>IF(LEFT(CT!$E28,3)=NKCT!$G$2,CT!$H28,0)</f>
        <v>0</v>
      </c>
      <c r="E32" s="69">
        <f>IF(AND(LEFT(CT!$E28,3)=NKCT!$G$2,LEFT(CT!$D28,3)=NKCT!E$6),CT!$H28,0)</f>
        <v>0</v>
      </c>
      <c r="F32" s="69">
        <f>IF(AND(LEFT(CT!$E28,3)=NKCT!$G$2,LEFT(CT!$D28,3)=NKCT!F$6),CT!$H28,0)</f>
        <v>0</v>
      </c>
      <c r="G32" s="69">
        <f>IF(AND(LEFT(CT!$E28,3)=NKCT!$G$2,LEFT(CT!$D28,3)=NKCT!G$6),CT!$H28,0)</f>
        <v>0</v>
      </c>
      <c r="H32" s="69">
        <f>IF(AND(LEFT(CT!$E28,3)=NKCT!$G$2,LEFT(CT!$D28,3)=NKCT!H$6),CT!$H28,0)</f>
        <v>0</v>
      </c>
      <c r="I32" s="69">
        <f t="shared" si="0"/>
        <v>0</v>
      </c>
      <c r="J32" s="69" t="str">
        <f>IF(I32&gt;0,CT!D28,"")</f>
        <v/>
      </c>
    </row>
    <row r="33" spans="1:10" hidden="1" x14ac:dyDescent="0.25">
      <c r="A33" s="68" t="str">
        <f>IF(LEFT(CT!$E29,3)=NKCT!$G$2,CT!A29,"")</f>
        <v/>
      </c>
      <c r="B33" s="68" t="str">
        <f>IF(LEFT(CT!$E29,3)=NKCT!$G$2,CT!B29,"")</f>
        <v/>
      </c>
      <c r="C33" s="68" t="str">
        <f>IF(LEFT(CT!$E29,3)=NKCT!$G$2,CT!C29,"")</f>
        <v/>
      </c>
      <c r="D33" s="69">
        <f>IF(LEFT(CT!$E29,3)=NKCT!$G$2,CT!$H29,0)</f>
        <v>0</v>
      </c>
      <c r="E33" s="69">
        <f>IF(AND(LEFT(CT!$E29,3)=NKCT!$G$2,LEFT(CT!$D29,3)=NKCT!E$6),CT!$H29,0)</f>
        <v>0</v>
      </c>
      <c r="F33" s="69">
        <f>IF(AND(LEFT(CT!$E29,3)=NKCT!$G$2,LEFT(CT!$D29,3)=NKCT!F$6),CT!$H29,0)</f>
        <v>0</v>
      </c>
      <c r="G33" s="69">
        <f>IF(AND(LEFT(CT!$E29,3)=NKCT!$G$2,LEFT(CT!$D29,3)=NKCT!G$6),CT!$H29,0)</f>
        <v>0</v>
      </c>
      <c r="H33" s="69">
        <f>IF(AND(LEFT(CT!$E29,3)=NKCT!$G$2,LEFT(CT!$D29,3)=NKCT!H$6),CT!$H29,0)</f>
        <v>0</v>
      </c>
      <c r="I33" s="69">
        <f t="shared" si="0"/>
        <v>0</v>
      </c>
      <c r="J33" s="69" t="str">
        <f>IF(I33&gt;0,CT!D29,"")</f>
        <v/>
      </c>
    </row>
    <row r="34" spans="1:10" hidden="1" x14ac:dyDescent="0.25">
      <c r="A34" s="68" t="str">
        <f>IF(LEFT(CT!$E30,3)=NKCT!$G$2,CT!A30,"")</f>
        <v/>
      </c>
      <c r="B34" s="68" t="str">
        <f>IF(LEFT(CT!$E30,3)=NKCT!$G$2,CT!B30,"")</f>
        <v/>
      </c>
      <c r="C34" s="68" t="str">
        <f>IF(LEFT(CT!$E30,3)=NKCT!$G$2,CT!C30,"")</f>
        <v/>
      </c>
      <c r="D34" s="69">
        <f>IF(LEFT(CT!$E30,3)=NKCT!$G$2,CT!$H30,0)</f>
        <v>0</v>
      </c>
      <c r="E34" s="69">
        <f>IF(AND(LEFT(CT!$E30,3)=NKCT!$G$2,LEFT(CT!$D30,3)=NKCT!E$6),CT!$H30,0)</f>
        <v>0</v>
      </c>
      <c r="F34" s="69">
        <f>IF(AND(LEFT(CT!$E30,3)=NKCT!$G$2,LEFT(CT!$D30,3)=NKCT!F$6),CT!$H30,0)</f>
        <v>0</v>
      </c>
      <c r="G34" s="69">
        <f>IF(AND(LEFT(CT!$E30,3)=NKCT!$G$2,LEFT(CT!$D30,3)=NKCT!G$6),CT!$H30,0)</f>
        <v>0</v>
      </c>
      <c r="H34" s="69">
        <f>IF(AND(LEFT(CT!$E30,3)=NKCT!$G$2,LEFT(CT!$D30,3)=NKCT!H$6),CT!$H30,0)</f>
        <v>0</v>
      </c>
      <c r="I34" s="69">
        <f t="shared" si="0"/>
        <v>0</v>
      </c>
      <c r="J34" s="69" t="str">
        <f>IF(I34&gt;0,CT!D30,"")</f>
        <v/>
      </c>
    </row>
    <row r="35" spans="1:10" hidden="1" x14ac:dyDescent="0.25">
      <c r="A35" s="68" t="str">
        <f>IF(LEFT(CT!$E31,3)=NKCT!$G$2,CT!A31,"")</f>
        <v/>
      </c>
      <c r="B35" s="68" t="str">
        <f>IF(LEFT(CT!$E31,3)=NKCT!$G$2,CT!B31,"")</f>
        <v/>
      </c>
      <c r="C35" s="68" t="str">
        <f>IF(LEFT(CT!$E31,3)=NKCT!$G$2,CT!C31,"")</f>
        <v/>
      </c>
      <c r="D35" s="69">
        <f>IF(LEFT(CT!$E31,3)=NKCT!$G$2,CT!$H31,0)</f>
        <v>0</v>
      </c>
      <c r="E35" s="69">
        <f>IF(AND(LEFT(CT!$E31,3)=NKCT!$G$2,LEFT(CT!$D31,3)=NKCT!E$6),CT!$H31,0)</f>
        <v>0</v>
      </c>
      <c r="F35" s="69">
        <f>IF(AND(LEFT(CT!$E31,3)=NKCT!$G$2,LEFT(CT!$D31,3)=NKCT!F$6),CT!$H31,0)</f>
        <v>0</v>
      </c>
      <c r="G35" s="69">
        <f>IF(AND(LEFT(CT!$E31,3)=NKCT!$G$2,LEFT(CT!$D31,3)=NKCT!G$6),CT!$H31,0)</f>
        <v>0</v>
      </c>
      <c r="H35" s="69">
        <f>IF(AND(LEFT(CT!$E31,3)=NKCT!$G$2,LEFT(CT!$D31,3)=NKCT!H$6),CT!$H31,0)</f>
        <v>0</v>
      </c>
      <c r="I35" s="69">
        <f t="shared" si="0"/>
        <v>0</v>
      </c>
      <c r="J35" s="69" t="str">
        <f>IF(I35&gt;0,CT!D31,"")</f>
        <v/>
      </c>
    </row>
    <row r="36" spans="1:10" hidden="1" x14ac:dyDescent="0.25">
      <c r="A36" s="68" t="str">
        <f>IF(LEFT(CT!$E32,3)=NKCT!$G$2,CT!A32,"")</f>
        <v/>
      </c>
      <c r="B36" s="68" t="str">
        <f>IF(LEFT(CT!$E32,3)=NKCT!$G$2,CT!B32,"")</f>
        <v/>
      </c>
      <c r="C36" s="68" t="str">
        <f>IF(LEFT(CT!$E32,3)=NKCT!$G$2,CT!C32,"")</f>
        <v/>
      </c>
      <c r="D36" s="69">
        <f>IF(LEFT(CT!$E32,3)=NKCT!$G$2,CT!$H32,0)</f>
        <v>0</v>
      </c>
      <c r="E36" s="69">
        <f>IF(AND(LEFT(CT!$E32,3)=NKCT!$G$2,LEFT(CT!$D32,3)=NKCT!E$6),CT!$H32,0)</f>
        <v>0</v>
      </c>
      <c r="F36" s="69">
        <f>IF(AND(LEFT(CT!$E32,3)=NKCT!$G$2,LEFT(CT!$D32,3)=NKCT!F$6),CT!$H32,0)</f>
        <v>0</v>
      </c>
      <c r="G36" s="69">
        <f>IF(AND(LEFT(CT!$E32,3)=NKCT!$G$2,LEFT(CT!$D32,3)=NKCT!G$6),CT!$H32,0)</f>
        <v>0</v>
      </c>
      <c r="H36" s="69">
        <f>IF(AND(LEFT(CT!$E32,3)=NKCT!$G$2,LEFT(CT!$D32,3)=NKCT!H$6),CT!$H32,0)</f>
        <v>0</v>
      </c>
      <c r="I36" s="69">
        <f t="shared" si="0"/>
        <v>0</v>
      </c>
      <c r="J36" s="69" t="str">
        <f>IF(I36&gt;0,CT!D32,"")</f>
        <v/>
      </c>
    </row>
    <row r="37" spans="1:10" hidden="1" x14ac:dyDescent="0.25">
      <c r="A37" s="68" t="str">
        <f>IF(LEFT(CT!$E33,3)=NKCT!$G$2,CT!A33,"")</f>
        <v/>
      </c>
      <c r="B37" s="68" t="str">
        <f>IF(LEFT(CT!$E33,3)=NKCT!$G$2,CT!B33,"")</f>
        <v/>
      </c>
      <c r="C37" s="68" t="str">
        <f>IF(LEFT(CT!$E33,3)=NKCT!$G$2,CT!C33,"")</f>
        <v/>
      </c>
      <c r="D37" s="69">
        <f>IF(LEFT(CT!$E33,3)=NKCT!$G$2,CT!$H33,0)</f>
        <v>0</v>
      </c>
      <c r="E37" s="69">
        <f>IF(AND(LEFT(CT!$E33,3)=NKCT!$G$2,LEFT(CT!$D33,3)=NKCT!E$6),CT!$H33,0)</f>
        <v>0</v>
      </c>
      <c r="F37" s="69">
        <f>IF(AND(LEFT(CT!$E33,3)=NKCT!$G$2,LEFT(CT!$D33,3)=NKCT!F$6),CT!$H33,0)</f>
        <v>0</v>
      </c>
      <c r="G37" s="69">
        <f>IF(AND(LEFT(CT!$E33,3)=NKCT!$G$2,LEFT(CT!$D33,3)=NKCT!G$6),CT!$H33,0)</f>
        <v>0</v>
      </c>
      <c r="H37" s="69">
        <f>IF(AND(LEFT(CT!$E33,3)=NKCT!$G$2,LEFT(CT!$D33,3)=NKCT!H$6),CT!$H33,0)</f>
        <v>0</v>
      </c>
      <c r="I37" s="69">
        <f t="shared" si="0"/>
        <v>0</v>
      </c>
      <c r="J37" s="69" t="str">
        <f>IF(I37&gt;0,CT!D33,"")</f>
        <v/>
      </c>
    </row>
    <row r="38" spans="1:10" hidden="1" x14ac:dyDescent="0.25">
      <c r="A38" s="68" t="str">
        <f>IF(LEFT(CT!$E34,3)=NKCT!$G$2,CT!A34,"")</f>
        <v/>
      </c>
      <c r="B38" s="68" t="str">
        <f>IF(LEFT(CT!$E34,3)=NKCT!$G$2,CT!B34,"")</f>
        <v/>
      </c>
      <c r="C38" s="68" t="str">
        <f>IF(LEFT(CT!$E34,3)=NKCT!$G$2,CT!C34,"")</f>
        <v/>
      </c>
      <c r="D38" s="69">
        <f>IF(LEFT(CT!$E34,3)=NKCT!$G$2,CT!$H34,0)</f>
        <v>0</v>
      </c>
      <c r="E38" s="69">
        <f>IF(AND(LEFT(CT!$E34,3)=NKCT!$G$2,LEFT(CT!$D34,3)=NKCT!E$6),CT!$H34,0)</f>
        <v>0</v>
      </c>
      <c r="F38" s="69">
        <f>IF(AND(LEFT(CT!$E34,3)=NKCT!$G$2,LEFT(CT!$D34,3)=NKCT!F$6),CT!$H34,0)</f>
        <v>0</v>
      </c>
      <c r="G38" s="69">
        <f>IF(AND(LEFT(CT!$E34,3)=NKCT!$G$2,LEFT(CT!$D34,3)=NKCT!G$6),CT!$H34,0)</f>
        <v>0</v>
      </c>
      <c r="H38" s="69">
        <f>IF(AND(LEFT(CT!$E34,3)=NKCT!$G$2,LEFT(CT!$D34,3)=NKCT!H$6),CT!$H34,0)</f>
        <v>0</v>
      </c>
      <c r="I38" s="69">
        <f t="shared" si="0"/>
        <v>0</v>
      </c>
      <c r="J38" s="69" t="str">
        <f>IF(I38&gt;0,CT!D34,"")</f>
        <v/>
      </c>
    </row>
    <row r="39" spans="1:10" hidden="1" x14ac:dyDescent="0.25">
      <c r="A39" s="68" t="str">
        <f>IF(LEFT(CT!$E35,3)=NKCT!$G$2,CT!A35,"")</f>
        <v/>
      </c>
      <c r="B39" s="68" t="str">
        <f>IF(LEFT(CT!$E35,3)=NKCT!$G$2,CT!B35,"")</f>
        <v/>
      </c>
      <c r="C39" s="68" t="str">
        <f>IF(LEFT(CT!$E35,3)=NKCT!$G$2,CT!C35,"")</f>
        <v/>
      </c>
      <c r="D39" s="69">
        <f>IF(LEFT(CT!$E35,3)=NKCT!$G$2,CT!$H35,0)</f>
        <v>0</v>
      </c>
      <c r="E39" s="69">
        <f>IF(AND(LEFT(CT!$E35,3)=NKCT!$G$2,LEFT(CT!$D35,3)=NKCT!E$6),CT!$H35,0)</f>
        <v>0</v>
      </c>
      <c r="F39" s="69">
        <f>IF(AND(LEFT(CT!$E35,3)=NKCT!$G$2,LEFT(CT!$D35,3)=NKCT!F$6),CT!$H35,0)</f>
        <v>0</v>
      </c>
      <c r="G39" s="69">
        <f>IF(AND(LEFT(CT!$E35,3)=NKCT!$G$2,LEFT(CT!$D35,3)=NKCT!G$6),CT!$H35,0)</f>
        <v>0</v>
      </c>
      <c r="H39" s="69">
        <f>IF(AND(LEFT(CT!$E35,3)=NKCT!$G$2,LEFT(CT!$D35,3)=NKCT!H$6),CT!$H35,0)</f>
        <v>0</v>
      </c>
      <c r="I39" s="69">
        <f t="shared" si="0"/>
        <v>0</v>
      </c>
      <c r="J39" s="69" t="str">
        <f>IF(I39&gt;0,CT!D35,"")</f>
        <v/>
      </c>
    </row>
    <row r="40" spans="1:10" hidden="1" x14ac:dyDescent="0.25">
      <c r="A40" s="68" t="str">
        <f>IF(LEFT(CT!$E36,3)=NKCT!$G$2,CT!A36,"")</f>
        <v/>
      </c>
      <c r="B40" s="68" t="str">
        <f>IF(LEFT(CT!$E36,3)=NKCT!$G$2,CT!B36,"")</f>
        <v/>
      </c>
      <c r="C40" s="68" t="str">
        <f>IF(LEFT(CT!$E36,3)=NKCT!$G$2,CT!C36,"")</f>
        <v/>
      </c>
      <c r="D40" s="69">
        <f>IF(LEFT(CT!$E36,3)=NKCT!$G$2,CT!$H36,0)</f>
        <v>0</v>
      </c>
      <c r="E40" s="69">
        <f>IF(AND(LEFT(CT!$E36,3)=NKCT!$G$2,LEFT(CT!$D36,3)=NKCT!E$6),CT!$H36,0)</f>
        <v>0</v>
      </c>
      <c r="F40" s="69">
        <f>IF(AND(LEFT(CT!$E36,3)=NKCT!$G$2,LEFT(CT!$D36,3)=NKCT!F$6),CT!$H36,0)</f>
        <v>0</v>
      </c>
      <c r="G40" s="69">
        <f>IF(AND(LEFT(CT!$E36,3)=NKCT!$G$2,LEFT(CT!$D36,3)=NKCT!G$6),CT!$H36,0)</f>
        <v>0</v>
      </c>
      <c r="H40" s="69">
        <f>IF(AND(LEFT(CT!$E36,3)=NKCT!$G$2,LEFT(CT!$D36,3)=NKCT!H$6),CT!$H36,0)</f>
        <v>0</v>
      </c>
      <c r="I40" s="69">
        <f t="shared" si="0"/>
        <v>0</v>
      </c>
      <c r="J40" s="69" t="str">
        <f>IF(I40&gt;0,CT!D36,"")</f>
        <v/>
      </c>
    </row>
    <row r="41" spans="1:10" hidden="1" x14ac:dyDescent="0.25">
      <c r="A41" s="68" t="str">
        <f>IF(LEFT(CT!$E37,3)=NKCT!$G$2,CT!A37,"")</f>
        <v/>
      </c>
      <c r="B41" s="68" t="str">
        <f>IF(LEFT(CT!$E37,3)=NKCT!$G$2,CT!B37,"")</f>
        <v/>
      </c>
      <c r="C41" s="68" t="str">
        <f>IF(LEFT(CT!$E37,3)=NKCT!$G$2,CT!C37,"")</f>
        <v/>
      </c>
      <c r="D41" s="69">
        <f>IF(LEFT(CT!$E37,3)=NKCT!$G$2,CT!$H37,0)</f>
        <v>0</v>
      </c>
      <c r="E41" s="69">
        <f>IF(AND(LEFT(CT!$E37,3)=NKCT!$G$2,LEFT(CT!$D37,3)=NKCT!E$6),CT!$H37,0)</f>
        <v>0</v>
      </c>
      <c r="F41" s="69">
        <f>IF(AND(LEFT(CT!$E37,3)=NKCT!$G$2,LEFT(CT!$D37,3)=NKCT!F$6),CT!$H37,0)</f>
        <v>0</v>
      </c>
      <c r="G41" s="69">
        <f>IF(AND(LEFT(CT!$E37,3)=NKCT!$G$2,LEFT(CT!$D37,3)=NKCT!G$6),CT!$H37,0)</f>
        <v>0</v>
      </c>
      <c r="H41" s="69">
        <f>IF(AND(LEFT(CT!$E37,3)=NKCT!$G$2,LEFT(CT!$D37,3)=NKCT!H$6),CT!$H37,0)</f>
        <v>0</v>
      </c>
      <c r="I41" s="69">
        <f t="shared" si="0"/>
        <v>0</v>
      </c>
      <c r="J41" s="69" t="str">
        <f>IF(I41&gt;0,CT!D37,"")</f>
        <v/>
      </c>
    </row>
    <row r="42" spans="1:10" hidden="1" x14ac:dyDescent="0.25">
      <c r="A42" s="68" t="str">
        <f>IF(LEFT(CT!$E38,3)=NKCT!$G$2,CT!A38,"")</f>
        <v/>
      </c>
      <c r="B42" s="68" t="str">
        <f>IF(LEFT(CT!$E38,3)=NKCT!$G$2,CT!B38,"")</f>
        <v/>
      </c>
      <c r="C42" s="68" t="str">
        <f>IF(LEFT(CT!$E38,3)=NKCT!$G$2,CT!C38,"")</f>
        <v/>
      </c>
      <c r="D42" s="69">
        <f>IF(LEFT(CT!$E38,3)=NKCT!$G$2,CT!$H38,0)</f>
        <v>0</v>
      </c>
      <c r="E42" s="69">
        <f>IF(AND(LEFT(CT!$E38,3)=NKCT!$G$2,LEFT(CT!$D38,3)=NKCT!E$6),CT!$H38,0)</f>
        <v>0</v>
      </c>
      <c r="F42" s="69">
        <f>IF(AND(LEFT(CT!$E38,3)=NKCT!$G$2,LEFT(CT!$D38,3)=NKCT!F$6),CT!$H38,0)</f>
        <v>0</v>
      </c>
      <c r="G42" s="69">
        <f>IF(AND(LEFT(CT!$E38,3)=NKCT!$G$2,LEFT(CT!$D38,3)=NKCT!G$6),CT!$H38,0)</f>
        <v>0</v>
      </c>
      <c r="H42" s="69">
        <f>IF(AND(LEFT(CT!$E38,3)=NKCT!$G$2,LEFT(CT!$D38,3)=NKCT!H$6),CT!$H38,0)</f>
        <v>0</v>
      </c>
      <c r="I42" s="69">
        <f t="shared" si="0"/>
        <v>0</v>
      </c>
      <c r="J42" s="69" t="str">
        <f>IF(I42&gt;0,CT!D38,"")</f>
        <v/>
      </c>
    </row>
    <row r="43" spans="1:10" hidden="1" x14ac:dyDescent="0.25">
      <c r="A43" s="68" t="str">
        <f>IF(LEFT(CT!$E39,3)=NKCT!$G$2,CT!A39,"")</f>
        <v/>
      </c>
      <c r="B43" s="68" t="str">
        <f>IF(LEFT(CT!$E39,3)=NKCT!$G$2,CT!B39,"")</f>
        <v/>
      </c>
      <c r="C43" s="68" t="str">
        <f>IF(LEFT(CT!$E39,3)=NKCT!$G$2,CT!C39,"")</f>
        <v/>
      </c>
      <c r="D43" s="69">
        <f>IF(LEFT(CT!$E39,3)=NKCT!$G$2,CT!$H39,0)</f>
        <v>0</v>
      </c>
      <c r="E43" s="69">
        <f>IF(AND(LEFT(CT!$E39,3)=NKCT!$G$2,LEFT(CT!$D39,3)=NKCT!E$6),CT!$H39,0)</f>
        <v>0</v>
      </c>
      <c r="F43" s="69">
        <f>IF(AND(LEFT(CT!$E39,3)=NKCT!$G$2,LEFT(CT!$D39,3)=NKCT!F$6),CT!$H39,0)</f>
        <v>0</v>
      </c>
      <c r="G43" s="69">
        <f>IF(AND(LEFT(CT!$E39,3)=NKCT!$G$2,LEFT(CT!$D39,3)=NKCT!G$6),CT!$H39,0)</f>
        <v>0</v>
      </c>
      <c r="H43" s="69">
        <f>IF(AND(LEFT(CT!$E39,3)=NKCT!$G$2,LEFT(CT!$D39,3)=NKCT!H$6),CT!$H39,0)</f>
        <v>0</v>
      </c>
      <c r="I43" s="69">
        <f t="shared" si="0"/>
        <v>0</v>
      </c>
      <c r="J43" s="69" t="str">
        <f>IF(I43&gt;0,CT!D39,"")</f>
        <v/>
      </c>
    </row>
    <row r="44" spans="1:10" hidden="1" x14ac:dyDescent="0.25">
      <c r="A44" s="68" t="str">
        <f>IF(LEFT(CT!$E40,3)=NKCT!$G$2,CT!A40,"")</f>
        <v/>
      </c>
      <c r="B44" s="68" t="str">
        <f>IF(LEFT(CT!$E40,3)=NKCT!$G$2,CT!B40,"")</f>
        <v/>
      </c>
      <c r="C44" s="68" t="str">
        <f>IF(LEFT(CT!$E40,3)=NKCT!$G$2,CT!C40,"")</f>
        <v/>
      </c>
      <c r="D44" s="69">
        <f>IF(LEFT(CT!$E40,3)=NKCT!$G$2,CT!$H40,0)</f>
        <v>0</v>
      </c>
      <c r="E44" s="69">
        <f>IF(AND(LEFT(CT!$E40,3)=NKCT!$G$2,LEFT(CT!$D40,3)=NKCT!E$6),CT!$H40,0)</f>
        <v>0</v>
      </c>
      <c r="F44" s="69">
        <f>IF(AND(LEFT(CT!$E40,3)=NKCT!$G$2,LEFT(CT!$D40,3)=NKCT!F$6),CT!$H40,0)</f>
        <v>0</v>
      </c>
      <c r="G44" s="69">
        <f>IF(AND(LEFT(CT!$E40,3)=NKCT!$G$2,LEFT(CT!$D40,3)=NKCT!G$6),CT!$H40,0)</f>
        <v>0</v>
      </c>
      <c r="H44" s="69">
        <f>IF(AND(LEFT(CT!$E40,3)=NKCT!$G$2,LEFT(CT!$D40,3)=NKCT!H$6),CT!$H40,0)</f>
        <v>0</v>
      </c>
      <c r="I44" s="69">
        <f t="shared" si="0"/>
        <v>0</v>
      </c>
      <c r="J44" s="69" t="str">
        <f>IF(I44&gt;0,CT!D40,"")</f>
        <v/>
      </c>
    </row>
    <row r="45" spans="1:10" hidden="1" x14ac:dyDescent="0.25">
      <c r="A45" s="68" t="str">
        <f>IF(LEFT(CT!$E41,3)=NKCT!$G$2,CT!A41,"")</f>
        <v/>
      </c>
      <c r="B45" s="68" t="str">
        <f>IF(LEFT(CT!$E41,3)=NKCT!$G$2,CT!B41,"")</f>
        <v/>
      </c>
      <c r="C45" s="68" t="str">
        <f>IF(LEFT(CT!$E41,3)=NKCT!$G$2,CT!C41,"")</f>
        <v/>
      </c>
      <c r="D45" s="69">
        <f>IF(LEFT(CT!$E41,3)=NKCT!$G$2,CT!$H41,0)</f>
        <v>0</v>
      </c>
      <c r="E45" s="69">
        <f>IF(AND(LEFT(CT!$E41,3)=NKCT!$G$2,LEFT(CT!$D41,3)=NKCT!E$6),CT!$H41,0)</f>
        <v>0</v>
      </c>
      <c r="F45" s="69">
        <f>IF(AND(LEFT(CT!$E41,3)=NKCT!$G$2,LEFT(CT!$D41,3)=NKCT!F$6),CT!$H41,0)</f>
        <v>0</v>
      </c>
      <c r="G45" s="69">
        <f>IF(AND(LEFT(CT!$E41,3)=NKCT!$G$2,LEFT(CT!$D41,3)=NKCT!G$6),CT!$H41,0)</f>
        <v>0</v>
      </c>
      <c r="H45" s="69">
        <f>IF(AND(LEFT(CT!$E41,3)=NKCT!$G$2,LEFT(CT!$D41,3)=NKCT!H$6),CT!$H41,0)</f>
        <v>0</v>
      </c>
      <c r="I45" s="69">
        <f t="shared" si="0"/>
        <v>0</v>
      </c>
      <c r="J45" s="69" t="str">
        <f>IF(I45&gt;0,CT!D41,"")</f>
        <v/>
      </c>
    </row>
    <row r="46" spans="1:10" hidden="1" x14ac:dyDescent="0.25">
      <c r="A46" s="68" t="str">
        <f>IF(LEFT(CT!$E42,3)=NKCT!$G$2,CT!A42,"")</f>
        <v/>
      </c>
      <c r="B46" s="68" t="str">
        <f>IF(LEFT(CT!$E42,3)=NKCT!$G$2,CT!B42,"")</f>
        <v/>
      </c>
      <c r="C46" s="68" t="str">
        <f>IF(LEFT(CT!$E42,3)=NKCT!$G$2,CT!C42,"")</f>
        <v/>
      </c>
      <c r="D46" s="69">
        <f>IF(LEFT(CT!$E42,3)=NKCT!$G$2,CT!$H42,0)</f>
        <v>0</v>
      </c>
      <c r="E46" s="69">
        <f>IF(AND(LEFT(CT!$E42,3)=NKCT!$G$2,LEFT(CT!$D42,3)=NKCT!E$6),CT!$H42,0)</f>
        <v>0</v>
      </c>
      <c r="F46" s="69">
        <f>IF(AND(LEFT(CT!$E42,3)=NKCT!$G$2,LEFT(CT!$D42,3)=NKCT!F$6),CT!$H42,0)</f>
        <v>0</v>
      </c>
      <c r="G46" s="69">
        <f>IF(AND(LEFT(CT!$E42,3)=NKCT!$G$2,LEFT(CT!$D42,3)=NKCT!G$6),CT!$H42,0)</f>
        <v>0</v>
      </c>
      <c r="H46" s="69">
        <f>IF(AND(LEFT(CT!$E42,3)=NKCT!$G$2,LEFT(CT!$D42,3)=NKCT!H$6),CT!$H42,0)</f>
        <v>0</v>
      </c>
      <c r="I46" s="69">
        <f t="shared" si="0"/>
        <v>0</v>
      </c>
      <c r="J46" s="69" t="str">
        <f>IF(I46&gt;0,CT!D42,"")</f>
        <v/>
      </c>
    </row>
    <row r="47" spans="1:10" hidden="1" x14ac:dyDescent="0.25">
      <c r="A47" s="68" t="str">
        <f>IF(LEFT(CT!$E43,3)=NKCT!$G$2,CT!A43,"")</f>
        <v/>
      </c>
      <c r="B47" s="68" t="str">
        <f>IF(LEFT(CT!$E43,3)=NKCT!$G$2,CT!B43,"")</f>
        <v/>
      </c>
      <c r="C47" s="68" t="str">
        <f>IF(LEFT(CT!$E43,3)=NKCT!$G$2,CT!C43,"")</f>
        <v/>
      </c>
      <c r="D47" s="69">
        <f>IF(LEFT(CT!$E43,3)=NKCT!$G$2,CT!$H43,0)</f>
        <v>0</v>
      </c>
      <c r="E47" s="69">
        <f>IF(AND(LEFT(CT!$E43,3)=NKCT!$G$2,LEFT(CT!$D43,3)=NKCT!E$6),CT!$H43,0)</f>
        <v>0</v>
      </c>
      <c r="F47" s="69">
        <f>IF(AND(LEFT(CT!$E43,3)=NKCT!$G$2,LEFT(CT!$D43,3)=NKCT!F$6),CT!$H43,0)</f>
        <v>0</v>
      </c>
      <c r="G47" s="69">
        <f>IF(AND(LEFT(CT!$E43,3)=NKCT!$G$2,LEFT(CT!$D43,3)=NKCT!G$6),CT!$H43,0)</f>
        <v>0</v>
      </c>
      <c r="H47" s="69">
        <f>IF(AND(LEFT(CT!$E43,3)=NKCT!$G$2,LEFT(CT!$D43,3)=NKCT!H$6),CT!$H43,0)</f>
        <v>0</v>
      </c>
      <c r="I47" s="69">
        <f t="shared" si="0"/>
        <v>0</v>
      </c>
      <c r="J47" s="69" t="str">
        <f>IF(I47&gt;0,CT!D43,"")</f>
        <v/>
      </c>
    </row>
    <row r="48" spans="1:10" hidden="1" x14ac:dyDescent="0.25">
      <c r="A48" s="68" t="str">
        <f>IF(LEFT(CT!$E44,3)=NKCT!$G$2,CT!A44,"")</f>
        <v/>
      </c>
      <c r="B48" s="68" t="str">
        <f>IF(LEFT(CT!$E44,3)=NKCT!$G$2,CT!B44,"")</f>
        <v/>
      </c>
      <c r="C48" s="68" t="str">
        <f>IF(LEFT(CT!$E44,3)=NKCT!$G$2,CT!C44,"")</f>
        <v/>
      </c>
      <c r="D48" s="69">
        <f>IF(LEFT(CT!$E44,3)=NKCT!$G$2,CT!$H44,0)</f>
        <v>0</v>
      </c>
      <c r="E48" s="69">
        <f>IF(AND(LEFT(CT!$E44,3)=NKCT!$G$2,LEFT(CT!$D44,3)=NKCT!E$6),CT!$H44,0)</f>
        <v>0</v>
      </c>
      <c r="F48" s="69">
        <f>IF(AND(LEFT(CT!$E44,3)=NKCT!$G$2,LEFT(CT!$D44,3)=NKCT!F$6),CT!$H44,0)</f>
        <v>0</v>
      </c>
      <c r="G48" s="69">
        <f>IF(AND(LEFT(CT!$E44,3)=NKCT!$G$2,LEFT(CT!$D44,3)=NKCT!G$6),CT!$H44,0)</f>
        <v>0</v>
      </c>
      <c r="H48" s="69">
        <f>IF(AND(LEFT(CT!$E44,3)=NKCT!$G$2,LEFT(CT!$D44,3)=NKCT!H$6),CT!$H44,0)</f>
        <v>0</v>
      </c>
      <c r="I48" s="69">
        <f t="shared" si="0"/>
        <v>0</v>
      </c>
      <c r="J48" s="69" t="str">
        <f>IF(I48&gt;0,CT!D44,"")</f>
        <v/>
      </c>
    </row>
    <row r="49" spans="1:10" hidden="1" x14ac:dyDescent="0.25">
      <c r="A49" s="68" t="str">
        <f>IF(LEFT(CT!$E45,3)=NKCT!$G$2,CT!A45,"")</f>
        <v/>
      </c>
      <c r="B49" s="68" t="str">
        <f>IF(LEFT(CT!$E45,3)=NKCT!$G$2,CT!B45,"")</f>
        <v/>
      </c>
      <c r="C49" s="68" t="str">
        <f>IF(LEFT(CT!$E45,3)=NKCT!$G$2,CT!C45,"")</f>
        <v/>
      </c>
      <c r="D49" s="69">
        <f>IF(LEFT(CT!$E45,3)=NKCT!$G$2,CT!$H45,0)</f>
        <v>0</v>
      </c>
      <c r="E49" s="69">
        <f>IF(AND(LEFT(CT!$E45,3)=NKCT!$G$2,LEFT(CT!$D45,3)=NKCT!E$6),CT!$H45,0)</f>
        <v>0</v>
      </c>
      <c r="F49" s="69">
        <f>IF(AND(LEFT(CT!$E45,3)=NKCT!$G$2,LEFT(CT!$D45,3)=NKCT!F$6),CT!$H45,0)</f>
        <v>0</v>
      </c>
      <c r="G49" s="69">
        <f>IF(AND(LEFT(CT!$E45,3)=NKCT!$G$2,LEFT(CT!$D45,3)=NKCT!G$6),CT!$H45,0)</f>
        <v>0</v>
      </c>
      <c r="H49" s="69">
        <f>IF(AND(LEFT(CT!$E45,3)=NKCT!$G$2,LEFT(CT!$D45,3)=NKCT!H$6),CT!$H45,0)</f>
        <v>0</v>
      </c>
      <c r="I49" s="69">
        <f t="shared" si="0"/>
        <v>0</v>
      </c>
      <c r="J49" s="69" t="str">
        <f>IF(I49&gt;0,CT!D45,"")</f>
        <v/>
      </c>
    </row>
    <row r="50" spans="1:10" hidden="1" x14ac:dyDescent="0.25">
      <c r="A50" s="68" t="str">
        <f>IF(LEFT(CT!$E46,3)=NKCT!$G$2,CT!A46,"")</f>
        <v/>
      </c>
      <c r="B50" s="68" t="str">
        <f>IF(LEFT(CT!$E46,3)=NKCT!$G$2,CT!B46,"")</f>
        <v/>
      </c>
      <c r="C50" s="68" t="str">
        <f>IF(LEFT(CT!$E46,3)=NKCT!$G$2,CT!C46,"")</f>
        <v/>
      </c>
      <c r="D50" s="69">
        <f>IF(LEFT(CT!$E46,3)=NKCT!$G$2,CT!$H46,0)</f>
        <v>0</v>
      </c>
      <c r="E50" s="69">
        <f>IF(AND(LEFT(CT!$E46,3)=NKCT!$G$2,LEFT(CT!$D46,3)=NKCT!E$6),CT!$H46,0)</f>
        <v>0</v>
      </c>
      <c r="F50" s="69">
        <f>IF(AND(LEFT(CT!$E46,3)=NKCT!$G$2,LEFT(CT!$D46,3)=NKCT!F$6),CT!$H46,0)</f>
        <v>0</v>
      </c>
      <c r="G50" s="69">
        <f>IF(AND(LEFT(CT!$E46,3)=NKCT!$G$2,LEFT(CT!$D46,3)=NKCT!G$6),CT!$H46,0)</f>
        <v>0</v>
      </c>
      <c r="H50" s="69">
        <f>IF(AND(LEFT(CT!$E46,3)=NKCT!$G$2,LEFT(CT!$D46,3)=NKCT!H$6),CT!$H46,0)</f>
        <v>0</v>
      </c>
      <c r="I50" s="69">
        <f t="shared" si="0"/>
        <v>0</v>
      </c>
      <c r="J50" s="69" t="str">
        <f>IF(I50&gt;0,CT!D46,"")</f>
        <v/>
      </c>
    </row>
    <row r="51" spans="1:10" hidden="1" x14ac:dyDescent="0.25">
      <c r="A51" s="68" t="str">
        <f>IF(LEFT(CT!$E47,3)=NKCT!$G$2,CT!A47,"")</f>
        <v/>
      </c>
      <c r="B51" s="68" t="str">
        <f>IF(LEFT(CT!$E47,3)=NKCT!$G$2,CT!B47,"")</f>
        <v/>
      </c>
      <c r="C51" s="68" t="str">
        <f>IF(LEFT(CT!$E47,3)=NKCT!$G$2,CT!C47,"")</f>
        <v/>
      </c>
      <c r="D51" s="69">
        <f>IF(LEFT(CT!$E47,3)=NKCT!$G$2,CT!$H47,0)</f>
        <v>0</v>
      </c>
      <c r="E51" s="69">
        <f>IF(AND(LEFT(CT!$E47,3)=NKCT!$G$2,LEFT(CT!$D47,3)=NKCT!E$6),CT!$H47,0)</f>
        <v>0</v>
      </c>
      <c r="F51" s="69">
        <f>IF(AND(LEFT(CT!$E47,3)=NKCT!$G$2,LEFT(CT!$D47,3)=NKCT!F$6),CT!$H47,0)</f>
        <v>0</v>
      </c>
      <c r="G51" s="69">
        <f>IF(AND(LEFT(CT!$E47,3)=NKCT!$G$2,LEFT(CT!$D47,3)=NKCT!G$6),CT!$H47,0)</f>
        <v>0</v>
      </c>
      <c r="H51" s="69">
        <f>IF(AND(LEFT(CT!$E47,3)=NKCT!$G$2,LEFT(CT!$D47,3)=NKCT!H$6),CT!$H47,0)</f>
        <v>0</v>
      </c>
      <c r="I51" s="69">
        <f t="shared" si="0"/>
        <v>0</v>
      </c>
      <c r="J51" s="69" t="str">
        <f>IF(I51&gt;0,CT!D47,"")</f>
        <v/>
      </c>
    </row>
    <row r="52" spans="1:10" hidden="1" x14ac:dyDescent="0.25">
      <c r="A52" s="68" t="str">
        <f>IF(LEFT(CT!$E48,3)=NKCT!$G$2,CT!A48,"")</f>
        <v/>
      </c>
      <c r="B52" s="68" t="str">
        <f>IF(LEFT(CT!$E48,3)=NKCT!$G$2,CT!B48,"")</f>
        <v/>
      </c>
      <c r="C52" s="68" t="str">
        <f>IF(LEFT(CT!$E48,3)=NKCT!$G$2,CT!C48,"")</f>
        <v/>
      </c>
      <c r="D52" s="69">
        <f>IF(LEFT(CT!$E48,3)=NKCT!$G$2,CT!$H48,0)</f>
        <v>0</v>
      </c>
      <c r="E52" s="69">
        <f>IF(AND(LEFT(CT!$E48,3)=NKCT!$G$2,LEFT(CT!$D48,3)=NKCT!E$6),CT!$H48,0)</f>
        <v>0</v>
      </c>
      <c r="F52" s="69">
        <f>IF(AND(LEFT(CT!$E48,3)=NKCT!$G$2,LEFT(CT!$D48,3)=NKCT!F$6),CT!$H48,0)</f>
        <v>0</v>
      </c>
      <c r="G52" s="69">
        <f>IF(AND(LEFT(CT!$E48,3)=NKCT!$G$2,LEFT(CT!$D48,3)=NKCT!G$6),CT!$H48,0)</f>
        <v>0</v>
      </c>
      <c r="H52" s="69">
        <f>IF(AND(LEFT(CT!$E48,3)=NKCT!$G$2,LEFT(CT!$D48,3)=NKCT!H$6),CT!$H48,0)</f>
        <v>0</v>
      </c>
      <c r="I52" s="69">
        <f t="shared" si="0"/>
        <v>0</v>
      </c>
      <c r="J52" s="69" t="str">
        <f>IF(I52&gt;0,CT!D48,"")</f>
        <v/>
      </c>
    </row>
    <row r="53" spans="1:10" hidden="1" x14ac:dyDescent="0.25">
      <c r="A53" s="68" t="str">
        <f>IF(LEFT(CT!$E49,3)=NKCT!$G$2,CT!A49,"")</f>
        <v/>
      </c>
      <c r="B53" s="68" t="str">
        <f>IF(LEFT(CT!$E49,3)=NKCT!$G$2,CT!B49,"")</f>
        <v/>
      </c>
      <c r="C53" s="68" t="str">
        <f>IF(LEFT(CT!$E49,3)=NKCT!$G$2,CT!C49,"")</f>
        <v/>
      </c>
      <c r="D53" s="69">
        <f>IF(LEFT(CT!$E49,3)=NKCT!$G$2,CT!$H49,0)</f>
        <v>0</v>
      </c>
      <c r="E53" s="69">
        <f>IF(AND(LEFT(CT!$E49,3)=NKCT!$G$2,LEFT(CT!$D49,3)=NKCT!E$6),CT!$H49,0)</f>
        <v>0</v>
      </c>
      <c r="F53" s="69">
        <f>IF(AND(LEFT(CT!$E49,3)=NKCT!$G$2,LEFT(CT!$D49,3)=NKCT!F$6),CT!$H49,0)</f>
        <v>0</v>
      </c>
      <c r="G53" s="69">
        <f>IF(AND(LEFT(CT!$E49,3)=NKCT!$G$2,LEFT(CT!$D49,3)=NKCT!G$6),CT!$H49,0)</f>
        <v>0</v>
      </c>
      <c r="H53" s="69">
        <f>IF(AND(LEFT(CT!$E49,3)=NKCT!$G$2,LEFT(CT!$D49,3)=NKCT!H$6),CT!$H49,0)</f>
        <v>0</v>
      </c>
      <c r="I53" s="69">
        <f t="shared" si="0"/>
        <v>0</v>
      </c>
      <c r="J53" s="69" t="str">
        <f>IF(I53&gt;0,CT!D49,"")</f>
        <v/>
      </c>
    </row>
    <row r="54" spans="1:10" hidden="1" x14ac:dyDescent="0.25">
      <c r="A54" s="68" t="str">
        <f>IF(LEFT(CT!$E50,3)=NKCT!$G$2,CT!A50,"")</f>
        <v/>
      </c>
      <c r="B54" s="68" t="str">
        <f>IF(LEFT(CT!$E50,3)=NKCT!$G$2,CT!B50,"")</f>
        <v/>
      </c>
      <c r="C54" s="68" t="str">
        <f>IF(LEFT(CT!$E50,3)=NKCT!$G$2,CT!C50,"")</f>
        <v/>
      </c>
      <c r="D54" s="69">
        <f>IF(LEFT(CT!$E50,3)=NKCT!$G$2,CT!$H50,0)</f>
        <v>0</v>
      </c>
      <c r="E54" s="69">
        <f>IF(AND(LEFT(CT!$E50,3)=NKCT!$G$2,LEFT(CT!$D50,3)=NKCT!E$6),CT!$H50,0)</f>
        <v>0</v>
      </c>
      <c r="F54" s="69">
        <f>IF(AND(LEFT(CT!$E50,3)=NKCT!$G$2,LEFT(CT!$D50,3)=NKCT!F$6),CT!$H50,0)</f>
        <v>0</v>
      </c>
      <c r="G54" s="69">
        <f>IF(AND(LEFT(CT!$E50,3)=NKCT!$G$2,LEFT(CT!$D50,3)=NKCT!G$6),CT!$H50,0)</f>
        <v>0</v>
      </c>
      <c r="H54" s="69">
        <f>IF(AND(LEFT(CT!$E50,3)=NKCT!$G$2,LEFT(CT!$D50,3)=NKCT!H$6),CT!$H50,0)</f>
        <v>0</v>
      </c>
      <c r="I54" s="69">
        <f t="shared" si="0"/>
        <v>0</v>
      </c>
      <c r="J54" s="69" t="str">
        <f>IF(I54&gt;0,CT!D50,"")</f>
        <v/>
      </c>
    </row>
    <row r="55" spans="1:10" hidden="1" x14ac:dyDescent="0.25">
      <c r="A55" s="68" t="str">
        <f>IF(LEFT(CT!$E51,3)=NKCT!$G$2,CT!A51,"")</f>
        <v/>
      </c>
      <c r="B55" s="68" t="str">
        <f>IF(LEFT(CT!$E51,3)=NKCT!$G$2,CT!B51,"")</f>
        <v/>
      </c>
      <c r="C55" s="68" t="str">
        <f>IF(LEFT(CT!$E51,3)=NKCT!$G$2,CT!C51,"")</f>
        <v/>
      </c>
      <c r="D55" s="69">
        <f>IF(LEFT(CT!$E51,3)=NKCT!$G$2,CT!$H51,0)</f>
        <v>0</v>
      </c>
      <c r="E55" s="69">
        <f>IF(AND(LEFT(CT!$E51,3)=NKCT!$G$2,LEFT(CT!$D51,3)=NKCT!E$6),CT!$H51,0)</f>
        <v>0</v>
      </c>
      <c r="F55" s="69">
        <f>IF(AND(LEFT(CT!$E51,3)=NKCT!$G$2,LEFT(CT!$D51,3)=NKCT!F$6),CT!$H51,0)</f>
        <v>0</v>
      </c>
      <c r="G55" s="69">
        <f>IF(AND(LEFT(CT!$E51,3)=NKCT!$G$2,LEFT(CT!$D51,3)=NKCT!G$6),CT!$H51,0)</f>
        <v>0</v>
      </c>
      <c r="H55" s="69">
        <f>IF(AND(LEFT(CT!$E51,3)=NKCT!$G$2,LEFT(CT!$D51,3)=NKCT!H$6),CT!$H51,0)</f>
        <v>0</v>
      </c>
      <c r="I55" s="69">
        <f t="shared" si="0"/>
        <v>0</v>
      </c>
      <c r="J55" s="69" t="str">
        <f>IF(I55&gt;0,CT!D51,"")</f>
        <v/>
      </c>
    </row>
    <row r="56" spans="1:10" hidden="1" x14ac:dyDescent="0.25">
      <c r="A56" s="68" t="str">
        <f>IF(LEFT(CT!$E52,3)=NKCT!$G$2,CT!A52,"")</f>
        <v/>
      </c>
      <c r="B56" s="68" t="str">
        <f>IF(LEFT(CT!$E52,3)=NKCT!$G$2,CT!B52,"")</f>
        <v/>
      </c>
      <c r="C56" s="68" t="str">
        <f>IF(LEFT(CT!$E52,3)=NKCT!$G$2,CT!C52,"")</f>
        <v/>
      </c>
      <c r="D56" s="69">
        <f>IF(LEFT(CT!$E52,3)=NKCT!$G$2,CT!$H52,0)</f>
        <v>0</v>
      </c>
      <c r="E56" s="69">
        <f>IF(AND(LEFT(CT!$E52,3)=NKCT!$G$2,LEFT(CT!$D52,3)=NKCT!E$6),CT!$H52,0)</f>
        <v>0</v>
      </c>
      <c r="F56" s="69">
        <f>IF(AND(LEFT(CT!$E52,3)=NKCT!$G$2,LEFT(CT!$D52,3)=NKCT!F$6),CT!$H52,0)</f>
        <v>0</v>
      </c>
      <c r="G56" s="69">
        <f>IF(AND(LEFT(CT!$E52,3)=NKCT!$G$2,LEFT(CT!$D52,3)=NKCT!G$6),CT!$H52,0)</f>
        <v>0</v>
      </c>
      <c r="H56" s="69">
        <f>IF(AND(LEFT(CT!$E52,3)=NKCT!$G$2,LEFT(CT!$D52,3)=NKCT!H$6),CT!$H52,0)</f>
        <v>0</v>
      </c>
      <c r="I56" s="69">
        <f t="shared" si="0"/>
        <v>0</v>
      </c>
      <c r="J56" s="69" t="str">
        <f>IF(I56&gt;0,CT!D52,"")</f>
        <v/>
      </c>
    </row>
    <row r="57" spans="1:10" x14ac:dyDescent="0.25">
      <c r="A57" s="68">
        <f>IF(LEFT(CT!$E53,3)=NKCT!$G$2,CT!A53,"")</f>
        <v>45319</v>
      </c>
      <c r="B57" s="68" t="str">
        <f>IF(LEFT(CT!$E53,3)=NKCT!$G$2,CT!B53,"")</f>
        <v>04/PC</v>
      </c>
      <c r="C57" s="68" t="str">
        <f>IF(LEFT(CT!$E53,3)=NKCT!$G$2,CT!C53,"")</f>
        <v>Thuế GTGT mua máy xẻ gỗ</v>
      </c>
      <c r="D57" s="69">
        <f>IF(LEFT(CT!$E53,3)=NKCT!$G$2,CT!$H53,0)</f>
        <v>14000000</v>
      </c>
      <c r="E57" s="69">
        <f>IF(AND(LEFT(CT!$E53,3)=NKCT!$G$2,LEFT(CT!$D53,3)=NKCT!E$6),CT!$H53,0)</f>
        <v>0</v>
      </c>
      <c r="F57" s="69">
        <f>IF(AND(LEFT(CT!$E53,3)=NKCT!$G$2,LEFT(CT!$D53,3)=NKCT!F$6),CT!$H53,0)</f>
        <v>0</v>
      </c>
      <c r="G57" s="69">
        <f>IF(AND(LEFT(CT!$E53,3)=NKCT!$G$2,LEFT(CT!$D53,3)=NKCT!G$6),CT!$H53,0)</f>
        <v>0</v>
      </c>
      <c r="H57" s="69">
        <f>IF(AND(LEFT(CT!$E53,3)=NKCT!$G$2,LEFT(CT!$D53,3)=NKCT!H$6),CT!$H53,0)</f>
        <v>0</v>
      </c>
      <c r="I57" s="69">
        <f t="shared" si="0"/>
        <v>14000000</v>
      </c>
      <c r="J57" s="69" t="str">
        <f>IF(I57&gt;0,CT!D53,"")</f>
        <v>1332</v>
      </c>
    </row>
    <row r="58" spans="1:10" x14ac:dyDescent="0.25">
      <c r="A58" s="68">
        <f>IF(LEFT(CT!$E54,3)=NKCT!$G$2,CT!A54,"")</f>
        <v>45319</v>
      </c>
      <c r="B58" s="68" t="str">
        <f>IF(LEFT(CT!$E54,3)=NKCT!$G$2,CT!B54,"")</f>
        <v>04/PC</v>
      </c>
      <c r="C58" s="68" t="str">
        <f>IF(LEFT(CT!$E54,3)=NKCT!$G$2,CT!C54,"")</f>
        <v>Mua máy xẻ gỗ</v>
      </c>
      <c r="D58" s="69">
        <f>IF(LEFT(CT!$E54,3)=NKCT!$G$2,CT!$H54,0)</f>
        <v>140000000</v>
      </c>
      <c r="E58" s="69">
        <f>IF(AND(LEFT(CT!$E54,3)=NKCT!$G$2,LEFT(CT!$D54,3)=NKCT!E$6),CT!$H54,0)</f>
        <v>0</v>
      </c>
      <c r="F58" s="69">
        <f>IF(AND(LEFT(CT!$E54,3)=NKCT!$G$2,LEFT(CT!$D54,3)=NKCT!F$6),CT!$H54,0)</f>
        <v>0</v>
      </c>
      <c r="G58" s="69">
        <f>IF(AND(LEFT(CT!$E54,3)=NKCT!$G$2,LEFT(CT!$D54,3)=NKCT!G$6),CT!$H54,0)</f>
        <v>0</v>
      </c>
      <c r="H58" s="69">
        <f>IF(AND(LEFT(CT!$E54,3)=NKCT!$G$2,LEFT(CT!$D54,3)=NKCT!H$6),CT!$H54,0)</f>
        <v>0</v>
      </c>
      <c r="I58" s="69">
        <f t="shared" si="0"/>
        <v>140000000</v>
      </c>
      <c r="J58" s="69" t="str">
        <f>IF(I58&gt;0,CT!D54,"")</f>
        <v>2112.04</v>
      </c>
    </row>
    <row r="59" spans="1:10" hidden="1" x14ac:dyDescent="0.25">
      <c r="A59" s="68" t="str">
        <f>IF(LEFT(CT!$E55,3)=NKCT!$G$2,CT!A55,"")</f>
        <v/>
      </c>
      <c r="B59" s="68" t="str">
        <f>IF(LEFT(CT!$E55,3)=NKCT!$G$2,CT!B55,"")</f>
        <v/>
      </c>
      <c r="C59" s="68" t="str">
        <f>IF(LEFT(CT!$E55,3)=NKCT!$G$2,CT!C55,"")</f>
        <v/>
      </c>
      <c r="D59" s="69">
        <f>IF(LEFT(CT!$E55,3)=NKCT!$G$2,CT!$H55,0)</f>
        <v>0</v>
      </c>
      <c r="E59" s="69">
        <f>IF(AND(LEFT(CT!$E55,3)=NKCT!$G$2,LEFT(CT!$D55,3)=NKCT!E$6),CT!$H55,0)</f>
        <v>0</v>
      </c>
      <c r="F59" s="69">
        <f>IF(AND(LEFT(CT!$E55,3)=NKCT!$G$2,LEFT(CT!$D55,3)=NKCT!F$6),CT!$H55,0)</f>
        <v>0</v>
      </c>
      <c r="G59" s="69">
        <f>IF(AND(LEFT(CT!$E55,3)=NKCT!$G$2,LEFT(CT!$D55,3)=NKCT!G$6),CT!$H55,0)</f>
        <v>0</v>
      </c>
      <c r="H59" s="69">
        <f>IF(AND(LEFT(CT!$E55,3)=NKCT!$G$2,LEFT(CT!$D55,3)=NKCT!H$6),CT!$H55,0)</f>
        <v>0</v>
      </c>
      <c r="I59" s="69">
        <f t="shared" si="0"/>
        <v>0</v>
      </c>
      <c r="J59" s="69" t="str">
        <f>IF(I59&gt;0,CT!D55,"")</f>
        <v/>
      </c>
    </row>
    <row r="60" spans="1:10" hidden="1" x14ac:dyDescent="0.25">
      <c r="A60" s="68" t="str">
        <f>IF(LEFT(CT!$E56,3)=NKCT!$G$2,CT!A56,"")</f>
        <v/>
      </c>
      <c r="B60" s="68" t="str">
        <f>IF(LEFT(CT!$E56,3)=NKCT!$G$2,CT!B56,"")</f>
        <v/>
      </c>
      <c r="C60" s="68" t="str">
        <f>IF(LEFT(CT!$E56,3)=NKCT!$G$2,CT!C56,"")</f>
        <v/>
      </c>
      <c r="D60" s="69">
        <f>IF(LEFT(CT!$E56,3)=NKCT!$G$2,CT!$H56,0)</f>
        <v>0</v>
      </c>
      <c r="E60" s="69">
        <f>IF(AND(LEFT(CT!$E56,3)=NKCT!$G$2,LEFT(CT!$D56,3)=NKCT!E$6),CT!$H56,0)</f>
        <v>0</v>
      </c>
      <c r="F60" s="69">
        <f>IF(AND(LEFT(CT!$E56,3)=NKCT!$G$2,LEFT(CT!$D56,3)=NKCT!F$6),CT!$H56,0)</f>
        <v>0</v>
      </c>
      <c r="G60" s="69">
        <f>IF(AND(LEFT(CT!$E56,3)=NKCT!$G$2,LEFT(CT!$D56,3)=NKCT!G$6),CT!$H56,0)</f>
        <v>0</v>
      </c>
      <c r="H60" s="69">
        <f>IF(AND(LEFT(CT!$E56,3)=NKCT!$G$2,LEFT(CT!$D56,3)=NKCT!H$6),CT!$H56,0)</f>
        <v>0</v>
      </c>
      <c r="I60" s="69">
        <f t="shared" si="0"/>
        <v>0</v>
      </c>
      <c r="J60" s="69" t="str">
        <f>IF(I60&gt;0,CT!D56,"")</f>
        <v/>
      </c>
    </row>
    <row r="61" spans="1:10" hidden="1" x14ac:dyDescent="0.25">
      <c r="A61" s="68" t="str">
        <f>IF(LEFT(CT!$E57,3)=NKCT!$G$2,CT!A57,"")</f>
        <v/>
      </c>
      <c r="B61" s="68" t="str">
        <f>IF(LEFT(CT!$E57,3)=NKCT!$G$2,CT!B57,"")</f>
        <v/>
      </c>
      <c r="C61" s="68" t="str">
        <f>IF(LEFT(CT!$E57,3)=NKCT!$G$2,CT!C57,"")</f>
        <v/>
      </c>
      <c r="D61" s="69">
        <f>IF(LEFT(CT!$E57,3)=NKCT!$G$2,CT!$H57,0)</f>
        <v>0</v>
      </c>
      <c r="E61" s="69">
        <f>IF(AND(LEFT(CT!$E57,3)=NKCT!$G$2,LEFT(CT!$D57,3)=NKCT!E$6),CT!$H57,0)</f>
        <v>0</v>
      </c>
      <c r="F61" s="69">
        <f>IF(AND(LEFT(CT!$E57,3)=NKCT!$G$2,LEFT(CT!$D57,3)=NKCT!F$6),CT!$H57,0)</f>
        <v>0</v>
      </c>
      <c r="G61" s="69">
        <f>IF(AND(LEFT(CT!$E57,3)=NKCT!$G$2,LEFT(CT!$D57,3)=NKCT!G$6),CT!$H57,0)</f>
        <v>0</v>
      </c>
      <c r="H61" s="69">
        <f>IF(AND(LEFT(CT!$E57,3)=NKCT!$G$2,LEFT(CT!$D57,3)=NKCT!H$6),CT!$H57,0)</f>
        <v>0</v>
      </c>
      <c r="I61" s="69">
        <f t="shared" si="0"/>
        <v>0</v>
      </c>
      <c r="J61" s="69" t="str">
        <f>IF(I61&gt;0,CT!D57,"")</f>
        <v/>
      </c>
    </row>
    <row r="62" spans="1:10" hidden="1" x14ac:dyDescent="0.25">
      <c r="A62" s="68" t="str">
        <f>IF(LEFT(CT!$E58,3)=NKCT!$G$2,CT!A58,"")</f>
        <v/>
      </c>
      <c r="B62" s="68" t="str">
        <f>IF(LEFT(CT!$E58,3)=NKCT!$G$2,CT!B58,"")</f>
        <v/>
      </c>
      <c r="C62" s="68" t="str">
        <f>IF(LEFT(CT!$E58,3)=NKCT!$G$2,CT!C58,"")</f>
        <v/>
      </c>
      <c r="D62" s="69">
        <f>IF(LEFT(CT!$E58,3)=NKCT!$G$2,CT!$H58,0)</f>
        <v>0</v>
      </c>
      <c r="E62" s="69">
        <f>IF(AND(LEFT(CT!$E58,3)=NKCT!$G$2,LEFT(CT!$D58,3)=NKCT!E$6),CT!$H58,0)</f>
        <v>0</v>
      </c>
      <c r="F62" s="69">
        <f>IF(AND(LEFT(CT!$E58,3)=NKCT!$G$2,LEFT(CT!$D58,3)=NKCT!F$6),CT!$H58,0)</f>
        <v>0</v>
      </c>
      <c r="G62" s="69">
        <f>IF(AND(LEFT(CT!$E58,3)=NKCT!$G$2,LEFT(CT!$D58,3)=NKCT!G$6),CT!$H58,0)</f>
        <v>0</v>
      </c>
      <c r="H62" s="69">
        <f>IF(AND(LEFT(CT!$E58,3)=NKCT!$G$2,LEFT(CT!$D58,3)=NKCT!H$6),CT!$H58,0)</f>
        <v>0</v>
      </c>
      <c r="I62" s="69">
        <f t="shared" si="0"/>
        <v>0</v>
      </c>
      <c r="J62" s="69" t="str">
        <f>IF(I62&gt;0,CT!D58,"")</f>
        <v/>
      </c>
    </row>
    <row r="63" spans="1:10" hidden="1" x14ac:dyDescent="0.25">
      <c r="A63" s="68" t="str">
        <f>IF(LEFT(CT!$E59,3)=NKCT!$G$2,CT!A59,"")</f>
        <v/>
      </c>
      <c r="B63" s="68" t="str">
        <f>IF(LEFT(CT!$E59,3)=NKCT!$G$2,CT!B59,"")</f>
        <v/>
      </c>
      <c r="C63" s="68" t="str">
        <f>IF(LEFT(CT!$E59,3)=NKCT!$G$2,CT!C59,"")</f>
        <v/>
      </c>
      <c r="D63" s="69">
        <f>IF(LEFT(CT!$E59,3)=NKCT!$G$2,CT!$H59,0)</f>
        <v>0</v>
      </c>
      <c r="E63" s="69">
        <f>IF(AND(LEFT(CT!$E59,3)=NKCT!$G$2,LEFT(CT!$D59,3)=NKCT!E$6),CT!$H59,0)</f>
        <v>0</v>
      </c>
      <c r="F63" s="69">
        <f>IF(AND(LEFT(CT!$E59,3)=NKCT!$G$2,LEFT(CT!$D59,3)=NKCT!F$6),CT!$H59,0)</f>
        <v>0</v>
      </c>
      <c r="G63" s="69">
        <f>IF(AND(LEFT(CT!$E59,3)=NKCT!$G$2,LEFT(CT!$D59,3)=NKCT!G$6),CT!$H59,0)</f>
        <v>0</v>
      </c>
      <c r="H63" s="69">
        <f>IF(AND(LEFT(CT!$E59,3)=NKCT!$G$2,LEFT(CT!$D59,3)=NKCT!H$6),CT!$H59,0)</f>
        <v>0</v>
      </c>
      <c r="I63" s="69">
        <f t="shared" si="0"/>
        <v>0</v>
      </c>
      <c r="J63" s="69" t="str">
        <f>IF(I63&gt;0,CT!D59,"")</f>
        <v/>
      </c>
    </row>
    <row r="64" spans="1:10" hidden="1" x14ac:dyDescent="0.25">
      <c r="A64" s="68" t="str">
        <f>IF(LEFT(CT!$E60,3)=NKCT!$G$2,CT!A60,"")</f>
        <v/>
      </c>
      <c r="B64" s="68" t="str">
        <f>IF(LEFT(CT!$E60,3)=NKCT!$G$2,CT!B60,"")</f>
        <v/>
      </c>
      <c r="C64" s="68" t="str">
        <f>IF(LEFT(CT!$E60,3)=NKCT!$G$2,CT!C60,"")</f>
        <v/>
      </c>
      <c r="D64" s="69">
        <f>IF(LEFT(CT!$E60,3)=NKCT!$G$2,CT!$H60,0)</f>
        <v>0</v>
      </c>
      <c r="E64" s="69">
        <f>IF(AND(LEFT(CT!$E60,3)=NKCT!$G$2,LEFT(CT!$D60,3)=NKCT!E$6),CT!$H60,0)</f>
        <v>0</v>
      </c>
      <c r="F64" s="69">
        <f>IF(AND(LEFT(CT!$E60,3)=NKCT!$G$2,LEFT(CT!$D60,3)=NKCT!F$6),CT!$H60,0)</f>
        <v>0</v>
      </c>
      <c r="G64" s="69">
        <f>IF(AND(LEFT(CT!$E60,3)=NKCT!$G$2,LEFT(CT!$D60,3)=NKCT!G$6),CT!$H60,0)</f>
        <v>0</v>
      </c>
      <c r="H64" s="69">
        <f>IF(AND(LEFT(CT!$E60,3)=NKCT!$G$2,LEFT(CT!$D60,3)=NKCT!H$6),CT!$H60,0)</f>
        <v>0</v>
      </c>
      <c r="I64" s="69">
        <f t="shared" si="0"/>
        <v>0</v>
      </c>
      <c r="J64" s="69" t="str">
        <f>IF(I64&gt;0,CT!D60,"")</f>
        <v/>
      </c>
    </row>
    <row r="65" spans="1:10" hidden="1" x14ac:dyDescent="0.25">
      <c r="A65" s="68" t="str">
        <f>IF(LEFT(CT!$E61,3)=NKCT!$G$2,CT!A61,"")</f>
        <v/>
      </c>
      <c r="B65" s="68" t="str">
        <f>IF(LEFT(CT!$E61,3)=NKCT!$G$2,CT!B61,"")</f>
        <v/>
      </c>
      <c r="C65" s="68" t="str">
        <f>IF(LEFT(CT!$E61,3)=NKCT!$G$2,CT!C61,"")</f>
        <v/>
      </c>
      <c r="D65" s="69">
        <f>IF(LEFT(CT!$E61,3)=NKCT!$G$2,CT!$H61,0)</f>
        <v>0</v>
      </c>
      <c r="E65" s="69">
        <f>IF(AND(LEFT(CT!$E61,3)=NKCT!$G$2,LEFT(CT!$D61,3)=NKCT!E$6),CT!$H61,0)</f>
        <v>0</v>
      </c>
      <c r="F65" s="69">
        <f>IF(AND(LEFT(CT!$E61,3)=NKCT!$G$2,LEFT(CT!$D61,3)=NKCT!F$6),CT!$H61,0)</f>
        <v>0</v>
      </c>
      <c r="G65" s="69">
        <f>IF(AND(LEFT(CT!$E61,3)=NKCT!$G$2,LEFT(CT!$D61,3)=NKCT!G$6),CT!$H61,0)</f>
        <v>0</v>
      </c>
      <c r="H65" s="69">
        <f>IF(AND(LEFT(CT!$E61,3)=NKCT!$G$2,LEFT(CT!$D61,3)=NKCT!H$6),CT!$H61,0)</f>
        <v>0</v>
      </c>
      <c r="I65" s="69">
        <f t="shared" si="0"/>
        <v>0</v>
      </c>
      <c r="J65" s="69" t="str">
        <f>IF(I65&gt;0,CT!D61,"")</f>
        <v/>
      </c>
    </row>
    <row r="66" spans="1:10" hidden="1" x14ac:dyDescent="0.25">
      <c r="A66" s="68" t="str">
        <f>IF(LEFT(CT!$E62,3)=NKCT!$G$2,CT!A62,"")</f>
        <v/>
      </c>
      <c r="B66" s="68" t="str">
        <f>IF(LEFT(CT!$E62,3)=NKCT!$G$2,CT!B62,"")</f>
        <v/>
      </c>
      <c r="C66" s="68" t="str">
        <f>IF(LEFT(CT!$E62,3)=NKCT!$G$2,CT!C62,"")</f>
        <v/>
      </c>
      <c r="D66" s="69">
        <f>IF(LEFT(CT!$E62,3)=NKCT!$G$2,CT!$H62,0)</f>
        <v>0</v>
      </c>
      <c r="E66" s="69">
        <f>IF(AND(LEFT(CT!$E62,3)=NKCT!$G$2,LEFT(CT!$D62,3)=NKCT!E$6),CT!$H62,0)</f>
        <v>0</v>
      </c>
      <c r="F66" s="69">
        <f>IF(AND(LEFT(CT!$E62,3)=NKCT!$G$2,LEFT(CT!$D62,3)=NKCT!F$6),CT!$H62,0)</f>
        <v>0</v>
      </c>
      <c r="G66" s="69">
        <f>IF(AND(LEFT(CT!$E62,3)=NKCT!$G$2,LEFT(CT!$D62,3)=NKCT!G$6),CT!$H62,0)</f>
        <v>0</v>
      </c>
      <c r="H66" s="69">
        <f>IF(AND(LEFT(CT!$E62,3)=NKCT!$G$2,LEFT(CT!$D62,3)=NKCT!H$6),CT!$H62,0)</f>
        <v>0</v>
      </c>
      <c r="I66" s="69">
        <f t="shared" si="0"/>
        <v>0</v>
      </c>
      <c r="J66" s="69" t="str">
        <f>IF(I66&gt;0,CT!D62,"")</f>
        <v/>
      </c>
    </row>
    <row r="67" spans="1:10" hidden="1" x14ac:dyDescent="0.25">
      <c r="A67" s="68" t="str">
        <f>IF(LEFT(CT!$E63,3)=NKCT!$G$2,CT!A63,"")</f>
        <v/>
      </c>
      <c r="B67" s="68" t="str">
        <f>IF(LEFT(CT!$E63,3)=NKCT!$G$2,CT!B63,"")</f>
        <v/>
      </c>
      <c r="C67" s="68" t="str">
        <f>IF(LEFT(CT!$E63,3)=NKCT!$G$2,CT!C63,"")</f>
        <v/>
      </c>
      <c r="D67" s="69">
        <f>IF(LEFT(CT!$E63,3)=NKCT!$G$2,CT!$H63,0)</f>
        <v>0</v>
      </c>
      <c r="E67" s="69">
        <f>IF(AND(LEFT(CT!$E63,3)=NKCT!$G$2,LEFT(CT!$D63,3)=NKCT!E$6),CT!$H63,0)</f>
        <v>0</v>
      </c>
      <c r="F67" s="69">
        <f>IF(AND(LEFT(CT!$E63,3)=NKCT!$G$2,LEFT(CT!$D63,3)=NKCT!F$6),CT!$H63,0)</f>
        <v>0</v>
      </c>
      <c r="G67" s="69">
        <f>IF(AND(LEFT(CT!$E63,3)=NKCT!$G$2,LEFT(CT!$D63,3)=NKCT!G$6),CT!$H63,0)</f>
        <v>0</v>
      </c>
      <c r="H67" s="69">
        <f>IF(AND(LEFT(CT!$E63,3)=NKCT!$G$2,LEFT(CT!$D63,3)=NKCT!H$6),CT!$H63,0)</f>
        <v>0</v>
      </c>
      <c r="I67" s="69">
        <f t="shared" si="0"/>
        <v>0</v>
      </c>
      <c r="J67" s="69" t="str">
        <f>IF(I67&gt;0,CT!D63,"")</f>
        <v/>
      </c>
    </row>
    <row r="68" spans="1:10" hidden="1" x14ac:dyDescent="0.25">
      <c r="A68" s="68" t="str">
        <f>IF(LEFT(CT!$E64,3)=NKCT!$G$2,CT!A64,"")</f>
        <v/>
      </c>
      <c r="B68" s="68" t="str">
        <f>IF(LEFT(CT!$E64,3)=NKCT!$G$2,CT!B64,"")</f>
        <v/>
      </c>
      <c r="C68" s="68" t="str">
        <f>IF(LEFT(CT!$E64,3)=NKCT!$G$2,CT!C64,"")</f>
        <v/>
      </c>
      <c r="D68" s="69">
        <f>IF(LEFT(CT!$E64,3)=NKCT!$G$2,CT!$H64,0)</f>
        <v>0</v>
      </c>
      <c r="E68" s="69">
        <f>IF(AND(LEFT(CT!$E64,3)=NKCT!$G$2,LEFT(CT!$D64,3)=NKCT!E$6),CT!$H64,0)</f>
        <v>0</v>
      </c>
      <c r="F68" s="69">
        <f>IF(AND(LEFT(CT!$E64,3)=NKCT!$G$2,LEFT(CT!$D64,3)=NKCT!F$6),CT!$H64,0)</f>
        <v>0</v>
      </c>
      <c r="G68" s="69">
        <f>IF(AND(LEFT(CT!$E64,3)=NKCT!$G$2,LEFT(CT!$D64,3)=NKCT!G$6),CT!$H64,0)</f>
        <v>0</v>
      </c>
      <c r="H68" s="69">
        <f>IF(AND(LEFT(CT!$E64,3)=NKCT!$G$2,LEFT(CT!$D64,3)=NKCT!H$6),CT!$H64,0)</f>
        <v>0</v>
      </c>
      <c r="I68" s="69">
        <f t="shared" si="0"/>
        <v>0</v>
      </c>
      <c r="J68" s="69" t="str">
        <f>IF(I68&gt;0,CT!D64,"")</f>
        <v/>
      </c>
    </row>
    <row r="69" spans="1:10" hidden="1" x14ac:dyDescent="0.25">
      <c r="A69" s="68" t="str">
        <f>IF(LEFT(CT!$E65,3)=NKCT!$G$2,CT!A65,"")</f>
        <v/>
      </c>
      <c r="B69" s="68" t="str">
        <f>IF(LEFT(CT!$E65,3)=NKCT!$G$2,CT!B65,"")</f>
        <v/>
      </c>
      <c r="C69" s="68" t="str">
        <f>IF(LEFT(CT!$E65,3)=NKCT!$G$2,CT!C65,"")</f>
        <v/>
      </c>
      <c r="D69" s="69">
        <f>IF(LEFT(CT!$E65,3)=NKCT!$G$2,CT!$H65,0)</f>
        <v>0</v>
      </c>
      <c r="E69" s="69">
        <f>IF(AND(LEFT(CT!$E65,3)=NKCT!$G$2,LEFT(CT!$D65,3)=NKCT!E$6),CT!$H65,0)</f>
        <v>0</v>
      </c>
      <c r="F69" s="69">
        <f>IF(AND(LEFT(CT!$E65,3)=NKCT!$G$2,LEFT(CT!$D65,3)=NKCT!F$6),CT!$H65,0)</f>
        <v>0</v>
      </c>
      <c r="G69" s="69">
        <f>IF(AND(LEFT(CT!$E65,3)=NKCT!$G$2,LEFT(CT!$D65,3)=NKCT!G$6),CT!$H65,0)</f>
        <v>0</v>
      </c>
      <c r="H69" s="69">
        <f>IF(AND(LEFT(CT!$E65,3)=NKCT!$G$2,LEFT(CT!$D65,3)=NKCT!H$6),CT!$H65,0)</f>
        <v>0</v>
      </c>
      <c r="I69" s="69">
        <f t="shared" si="0"/>
        <v>0</v>
      </c>
      <c r="J69" s="69" t="str">
        <f>IF(I69&gt;0,CT!D65,"")</f>
        <v/>
      </c>
    </row>
    <row r="70" spans="1:10" hidden="1" x14ac:dyDescent="0.25">
      <c r="A70" s="68" t="str">
        <f>IF(LEFT(CT!$E66,3)=NKCT!$G$2,CT!A66,"")</f>
        <v/>
      </c>
      <c r="B70" s="68" t="str">
        <f>IF(LEFT(CT!$E66,3)=NKCT!$G$2,CT!B66,"")</f>
        <v/>
      </c>
      <c r="C70" s="68" t="str">
        <f>IF(LEFT(CT!$E66,3)=NKCT!$G$2,CT!C66,"")</f>
        <v/>
      </c>
      <c r="D70" s="69">
        <f>IF(LEFT(CT!$E66,3)=NKCT!$G$2,CT!$H66,0)</f>
        <v>0</v>
      </c>
      <c r="E70" s="69">
        <f>IF(AND(LEFT(CT!$E66,3)=NKCT!$G$2,LEFT(CT!$D66,3)=NKCT!E$6),CT!$H66,0)</f>
        <v>0</v>
      </c>
      <c r="F70" s="69">
        <f>IF(AND(LEFT(CT!$E66,3)=NKCT!$G$2,LEFT(CT!$D66,3)=NKCT!F$6),CT!$H66,0)</f>
        <v>0</v>
      </c>
      <c r="G70" s="69">
        <f>IF(AND(LEFT(CT!$E66,3)=NKCT!$G$2,LEFT(CT!$D66,3)=NKCT!G$6),CT!$H66,0)</f>
        <v>0</v>
      </c>
      <c r="H70" s="69">
        <f>IF(AND(LEFT(CT!$E66,3)=NKCT!$G$2,LEFT(CT!$D66,3)=NKCT!H$6),CT!$H66,0)</f>
        <v>0</v>
      </c>
      <c r="I70" s="69">
        <f t="shared" si="0"/>
        <v>0</v>
      </c>
      <c r="J70" s="69" t="str">
        <f>IF(I70&gt;0,CT!D66,"")</f>
        <v/>
      </c>
    </row>
    <row r="71" spans="1:10" hidden="1" x14ac:dyDescent="0.25">
      <c r="A71" s="68" t="str">
        <f>IF(LEFT(CT!$E67,3)=NKCT!$G$2,CT!A67,"")</f>
        <v/>
      </c>
      <c r="B71" s="68" t="str">
        <f>IF(LEFT(CT!$E67,3)=NKCT!$G$2,CT!B67,"")</f>
        <v/>
      </c>
      <c r="C71" s="68" t="str">
        <f>IF(LEFT(CT!$E67,3)=NKCT!$G$2,CT!C67,"")</f>
        <v/>
      </c>
      <c r="D71" s="69">
        <f>IF(LEFT(CT!$E67,3)=NKCT!$G$2,CT!$H67,0)</f>
        <v>0</v>
      </c>
      <c r="E71" s="69">
        <f>IF(AND(LEFT(CT!$E67,3)=NKCT!$G$2,LEFT(CT!$D67,3)=NKCT!E$6),CT!$H67,0)</f>
        <v>0</v>
      </c>
      <c r="F71" s="69">
        <f>IF(AND(LEFT(CT!$E67,3)=NKCT!$G$2,LEFT(CT!$D67,3)=NKCT!F$6),CT!$H67,0)</f>
        <v>0</v>
      </c>
      <c r="G71" s="69">
        <f>IF(AND(LEFT(CT!$E67,3)=NKCT!$G$2,LEFT(CT!$D67,3)=NKCT!G$6),CT!$H67,0)</f>
        <v>0</v>
      </c>
      <c r="H71" s="69">
        <f>IF(AND(LEFT(CT!$E67,3)=NKCT!$G$2,LEFT(CT!$D67,3)=NKCT!H$6),CT!$H67,0)</f>
        <v>0</v>
      </c>
      <c r="I71" s="69">
        <f t="shared" si="0"/>
        <v>0</v>
      </c>
      <c r="J71" s="69" t="str">
        <f>IF(I71&gt;0,CT!D67,"")</f>
        <v/>
      </c>
    </row>
    <row r="72" spans="1:10" hidden="1" x14ac:dyDescent="0.25">
      <c r="A72" s="68" t="str">
        <f>IF(LEFT(CT!$E68,3)=NKCT!$G$2,CT!A68,"")</f>
        <v/>
      </c>
      <c r="B72" s="68" t="str">
        <f>IF(LEFT(CT!$E68,3)=NKCT!$G$2,CT!B68,"")</f>
        <v/>
      </c>
      <c r="C72" s="68" t="str">
        <f>IF(LEFT(CT!$E68,3)=NKCT!$G$2,CT!C68,"")</f>
        <v/>
      </c>
      <c r="D72" s="69">
        <f>IF(LEFT(CT!$E68,3)=NKCT!$G$2,CT!$H68,0)</f>
        <v>0</v>
      </c>
      <c r="E72" s="69">
        <f>IF(AND(LEFT(CT!$E68,3)=NKCT!$G$2,LEFT(CT!$D68,3)=NKCT!E$6),CT!$H68,0)</f>
        <v>0</v>
      </c>
      <c r="F72" s="69">
        <f>IF(AND(LEFT(CT!$E68,3)=NKCT!$G$2,LEFT(CT!$D68,3)=NKCT!F$6),CT!$H68,0)</f>
        <v>0</v>
      </c>
      <c r="G72" s="69">
        <f>IF(AND(LEFT(CT!$E68,3)=NKCT!$G$2,LEFT(CT!$D68,3)=NKCT!G$6),CT!$H68,0)</f>
        <v>0</v>
      </c>
      <c r="H72" s="69">
        <f>IF(AND(LEFT(CT!$E68,3)=NKCT!$G$2,LEFT(CT!$D68,3)=NKCT!H$6),CT!$H68,0)</f>
        <v>0</v>
      </c>
      <c r="I72" s="69">
        <f t="shared" si="0"/>
        <v>0</v>
      </c>
      <c r="J72" s="69" t="str">
        <f>IF(I72&gt;0,CT!D68,"")</f>
        <v/>
      </c>
    </row>
    <row r="73" spans="1:10" hidden="1" x14ac:dyDescent="0.25">
      <c r="A73" s="68" t="str">
        <f>IF(LEFT(CT!$E69,3)=NKCT!$G$2,CT!A69,"")</f>
        <v/>
      </c>
      <c r="B73" s="68" t="str">
        <f>IF(LEFT(CT!$E69,3)=NKCT!$G$2,CT!B69,"")</f>
        <v/>
      </c>
      <c r="C73" s="68" t="str">
        <f>IF(LEFT(CT!$E69,3)=NKCT!$G$2,CT!C69,"")</f>
        <v/>
      </c>
      <c r="D73" s="69">
        <f>IF(LEFT(CT!$E69,3)=NKCT!$G$2,CT!$H69,0)</f>
        <v>0</v>
      </c>
      <c r="E73" s="69">
        <f>IF(AND(LEFT(CT!$E69,3)=NKCT!$G$2,LEFT(CT!$D69,3)=NKCT!E$6),CT!$H69,0)</f>
        <v>0</v>
      </c>
      <c r="F73" s="69">
        <f>IF(AND(LEFT(CT!$E69,3)=NKCT!$G$2,LEFT(CT!$D69,3)=NKCT!F$6),CT!$H69,0)</f>
        <v>0</v>
      </c>
      <c r="G73" s="69">
        <f>IF(AND(LEFT(CT!$E69,3)=NKCT!$G$2,LEFT(CT!$D69,3)=NKCT!G$6),CT!$H69,0)</f>
        <v>0</v>
      </c>
      <c r="H73" s="69">
        <f>IF(AND(LEFT(CT!$E69,3)=NKCT!$G$2,LEFT(CT!$D69,3)=NKCT!H$6),CT!$H69,0)</f>
        <v>0</v>
      </c>
      <c r="I73" s="69">
        <f t="shared" si="0"/>
        <v>0</v>
      </c>
      <c r="J73" s="69" t="str">
        <f>IF(I73&gt;0,CT!D69,"")</f>
        <v/>
      </c>
    </row>
    <row r="74" spans="1:10" hidden="1" x14ac:dyDescent="0.25">
      <c r="A74" s="68" t="str">
        <f>IF(LEFT(CT!$E70,3)=NKCT!$G$2,CT!A70,"")</f>
        <v/>
      </c>
      <c r="B74" s="68" t="str">
        <f>IF(LEFT(CT!$E70,3)=NKCT!$G$2,CT!B70,"")</f>
        <v/>
      </c>
      <c r="C74" s="68" t="str">
        <f>IF(LEFT(CT!$E70,3)=NKCT!$G$2,CT!C70,"")</f>
        <v/>
      </c>
      <c r="D74" s="69">
        <f>IF(LEFT(CT!$E70,3)=NKCT!$G$2,CT!$H70,0)</f>
        <v>0</v>
      </c>
      <c r="E74" s="69">
        <f>IF(AND(LEFT(CT!$E70,3)=NKCT!$G$2,LEFT(CT!$D70,3)=NKCT!E$6),CT!$H70,0)</f>
        <v>0</v>
      </c>
      <c r="F74" s="69">
        <f>IF(AND(LEFT(CT!$E70,3)=NKCT!$G$2,LEFT(CT!$D70,3)=NKCT!F$6),CT!$H70,0)</f>
        <v>0</v>
      </c>
      <c r="G74" s="69">
        <f>IF(AND(LEFT(CT!$E70,3)=NKCT!$G$2,LEFT(CT!$D70,3)=NKCT!G$6),CT!$H70,0)</f>
        <v>0</v>
      </c>
      <c r="H74" s="69">
        <f>IF(AND(LEFT(CT!$E70,3)=NKCT!$G$2,LEFT(CT!$D70,3)=NKCT!H$6),CT!$H70,0)</f>
        <v>0</v>
      </c>
      <c r="I74" s="69">
        <f t="shared" ref="I74:I137" si="1">IF(SUM(E74:H74)=0,D74,0)</f>
        <v>0</v>
      </c>
      <c r="J74" s="69" t="str">
        <f>IF(I74&gt;0,CT!D70,"")</f>
        <v/>
      </c>
    </row>
    <row r="75" spans="1:10" hidden="1" x14ac:dyDescent="0.25">
      <c r="A75" s="68" t="str">
        <f>IF(LEFT(CT!$E71,3)=NKCT!$G$2,CT!A71,"")</f>
        <v/>
      </c>
      <c r="B75" s="68" t="str">
        <f>IF(LEFT(CT!$E71,3)=NKCT!$G$2,CT!B71,"")</f>
        <v/>
      </c>
      <c r="C75" s="68" t="str">
        <f>IF(LEFT(CT!$E71,3)=NKCT!$G$2,CT!C71,"")</f>
        <v/>
      </c>
      <c r="D75" s="69">
        <f>IF(LEFT(CT!$E71,3)=NKCT!$G$2,CT!$H71,0)</f>
        <v>0</v>
      </c>
      <c r="E75" s="69">
        <f>IF(AND(LEFT(CT!$E71,3)=NKCT!$G$2,LEFT(CT!$D71,3)=NKCT!E$6),CT!$H71,0)</f>
        <v>0</v>
      </c>
      <c r="F75" s="69">
        <f>IF(AND(LEFT(CT!$E71,3)=NKCT!$G$2,LEFT(CT!$D71,3)=NKCT!F$6),CT!$H71,0)</f>
        <v>0</v>
      </c>
      <c r="G75" s="69">
        <f>IF(AND(LEFT(CT!$E71,3)=NKCT!$G$2,LEFT(CT!$D71,3)=NKCT!G$6),CT!$H71,0)</f>
        <v>0</v>
      </c>
      <c r="H75" s="69">
        <f>IF(AND(LEFT(CT!$E71,3)=NKCT!$G$2,LEFT(CT!$D71,3)=NKCT!H$6),CT!$H71,0)</f>
        <v>0</v>
      </c>
      <c r="I75" s="69">
        <f t="shared" si="1"/>
        <v>0</v>
      </c>
      <c r="J75" s="69" t="str">
        <f>IF(I75&gt;0,CT!D71,"")</f>
        <v/>
      </c>
    </row>
    <row r="76" spans="1:10" hidden="1" x14ac:dyDescent="0.25">
      <c r="A76" s="68" t="str">
        <f>IF(LEFT(CT!$E72,3)=NKCT!$G$2,CT!A72,"")</f>
        <v/>
      </c>
      <c r="B76" s="68" t="str">
        <f>IF(LEFT(CT!$E72,3)=NKCT!$G$2,CT!B72,"")</f>
        <v/>
      </c>
      <c r="C76" s="68" t="str">
        <f>IF(LEFT(CT!$E72,3)=NKCT!$G$2,CT!C72,"")</f>
        <v/>
      </c>
      <c r="D76" s="69">
        <f>IF(LEFT(CT!$E72,3)=NKCT!$G$2,CT!$H72,0)</f>
        <v>0</v>
      </c>
      <c r="E76" s="69">
        <f>IF(AND(LEFT(CT!$E72,3)=NKCT!$G$2,LEFT(CT!$D72,3)=NKCT!E$6),CT!$H72,0)</f>
        <v>0</v>
      </c>
      <c r="F76" s="69">
        <f>IF(AND(LEFT(CT!$E72,3)=NKCT!$G$2,LEFT(CT!$D72,3)=NKCT!F$6),CT!$H72,0)</f>
        <v>0</v>
      </c>
      <c r="G76" s="69">
        <f>IF(AND(LEFT(CT!$E72,3)=NKCT!$G$2,LEFT(CT!$D72,3)=NKCT!G$6),CT!$H72,0)</f>
        <v>0</v>
      </c>
      <c r="H76" s="69">
        <f>IF(AND(LEFT(CT!$E72,3)=NKCT!$G$2,LEFT(CT!$D72,3)=NKCT!H$6),CT!$H72,0)</f>
        <v>0</v>
      </c>
      <c r="I76" s="69">
        <f t="shared" si="1"/>
        <v>0</v>
      </c>
      <c r="J76" s="69" t="str">
        <f>IF(I76&gt;0,CT!D72,"")</f>
        <v/>
      </c>
    </row>
    <row r="77" spans="1:10" hidden="1" x14ac:dyDescent="0.25">
      <c r="A77" s="68" t="str">
        <f>IF(LEFT(CT!$E73,3)=NKCT!$G$2,CT!A73,"")</f>
        <v/>
      </c>
      <c r="B77" s="68" t="str">
        <f>IF(LEFT(CT!$E73,3)=NKCT!$G$2,CT!B73,"")</f>
        <v/>
      </c>
      <c r="C77" s="68" t="str">
        <f>IF(LEFT(CT!$E73,3)=NKCT!$G$2,CT!C73,"")</f>
        <v/>
      </c>
      <c r="D77" s="69">
        <f>IF(LEFT(CT!$E73,3)=NKCT!$G$2,CT!$H73,0)</f>
        <v>0</v>
      </c>
      <c r="E77" s="69">
        <f>IF(AND(LEFT(CT!$E73,3)=NKCT!$G$2,LEFT(CT!$D73,3)=NKCT!E$6),CT!$H73,0)</f>
        <v>0</v>
      </c>
      <c r="F77" s="69">
        <f>IF(AND(LEFT(CT!$E73,3)=NKCT!$G$2,LEFT(CT!$D73,3)=NKCT!F$6),CT!$H73,0)</f>
        <v>0</v>
      </c>
      <c r="G77" s="69">
        <f>IF(AND(LEFT(CT!$E73,3)=NKCT!$G$2,LEFT(CT!$D73,3)=NKCT!G$6),CT!$H73,0)</f>
        <v>0</v>
      </c>
      <c r="H77" s="69">
        <f>IF(AND(LEFT(CT!$E73,3)=NKCT!$G$2,LEFT(CT!$D73,3)=NKCT!H$6),CT!$H73,0)</f>
        <v>0</v>
      </c>
      <c r="I77" s="69">
        <f t="shared" si="1"/>
        <v>0</v>
      </c>
      <c r="J77" s="69" t="str">
        <f>IF(I77&gt;0,CT!D73,"")</f>
        <v/>
      </c>
    </row>
    <row r="78" spans="1:10" hidden="1" x14ac:dyDescent="0.25">
      <c r="A78" s="68" t="str">
        <f>IF(LEFT(CT!$E74,3)=NKCT!$G$2,CT!A74,"")</f>
        <v/>
      </c>
      <c r="B78" s="68" t="str">
        <f>IF(LEFT(CT!$E74,3)=NKCT!$G$2,CT!B74,"")</f>
        <v/>
      </c>
      <c r="C78" s="68" t="str">
        <f>IF(LEFT(CT!$E74,3)=NKCT!$G$2,CT!C74,"")</f>
        <v/>
      </c>
      <c r="D78" s="69">
        <f>IF(LEFT(CT!$E74,3)=NKCT!$G$2,CT!$H74,0)</f>
        <v>0</v>
      </c>
      <c r="E78" s="69">
        <f>IF(AND(LEFT(CT!$E74,3)=NKCT!$G$2,LEFT(CT!$D74,3)=NKCT!E$6),CT!$H74,0)</f>
        <v>0</v>
      </c>
      <c r="F78" s="69">
        <f>IF(AND(LEFT(CT!$E74,3)=NKCT!$G$2,LEFT(CT!$D74,3)=NKCT!F$6),CT!$H74,0)</f>
        <v>0</v>
      </c>
      <c r="G78" s="69">
        <f>IF(AND(LEFT(CT!$E74,3)=NKCT!$G$2,LEFT(CT!$D74,3)=NKCT!G$6),CT!$H74,0)</f>
        <v>0</v>
      </c>
      <c r="H78" s="69">
        <f>IF(AND(LEFT(CT!$E74,3)=NKCT!$G$2,LEFT(CT!$D74,3)=NKCT!H$6),CT!$H74,0)</f>
        <v>0</v>
      </c>
      <c r="I78" s="69">
        <f t="shared" si="1"/>
        <v>0</v>
      </c>
      <c r="J78" s="69" t="str">
        <f>IF(I78&gt;0,CT!D74,"")</f>
        <v/>
      </c>
    </row>
    <row r="79" spans="1:10" hidden="1" x14ac:dyDescent="0.25">
      <c r="A79" s="68" t="str">
        <f>IF(LEFT(CT!$E75,3)=NKCT!$G$2,CT!A75,"")</f>
        <v/>
      </c>
      <c r="B79" s="68" t="str">
        <f>IF(LEFT(CT!$E75,3)=NKCT!$G$2,CT!B75,"")</f>
        <v/>
      </c>
      <c r="C79" s="68" t="str">
        <f>IF(LEFT(CT!$E75,3)=NKCT!$G$2,CT!C75,"")</f>
        <v/>
      </c>
      <c r="D79" s="69">
        <f>IF(LEFT(CT!$E75,3)=NKCT!$G$2,CT!$H75,0)</f>
        <v>0</v>
      </c>
      <c r="E79" s="69">
        <f>IF(AND(LEFT(CT!$E75,3)=NKCT!$G$2,LEFT(CT!$D75,3)=NKCT!E$6),CT!$H75,0)</f>
        <v>0</v>
      </c>
      <c r="F79" s="69">
        <f>IF(AND(LEFT(CT!$E75,3)=NKCT!$G$2,LEFT(CT!$D75,3)=NKCT!F$6),CT!$H75,0)</f>
        <v>0</v>
      </c>
      <c r="G79" s="69">
        <f>IF(AND(LEFT(CT!$E75,3)=NKCT!$G$2,LEFT(CT!$D75,3)=NKCT!G$6),CT!$H75,0)</f>
        <v>0</v>
      </c>
      <c r="H79" s="69">
        <f>IF(AND(LEFT(CT!$E75,3)=NKCT!$G$2,LEFT(CT!$D75,3)=NKCT!H$6),CT!$H75,0)</f>
        <v>0</v>
      </c>
      <c r="I79" s="69">
        <f t="shared" si="1"/>
        <v>0</v>
      </c>
      <c r="J79" s="69" t="str">
        <f>IF(I79&gt;0,CT!D75,"")</f>
        <v/>
      </c>
    </row>
    <row r="80" spans="1:10" hidden="1" x14ac:dyDescent="0.25">
      <c r="A80" s="68" t="str">
        <f>IF(LEFT(CT!$E76,3)=NKCT!$G$2,CT!A76,"")</f>
        <v/>
      </c>
      <c r="B80" s="68" t="str">
        <f>IF(LEFT(CT!$E76,3)=NKCT!$G$2,CT!B76,"")</f>
        <v/>
      </c>
      <c r="C80" s="68" t="str">
        <f>IF(LEFT(CT!$E76,3)=NKCT!$G$2,CT!C76,"")</f>
        <v/>
      </c>
      <c r="D80" s="69">
        <f>IF(LEFT(CT!$E76,3)=NKCT!$G$2,CT!$H76,0)</f>
        <v>0</v>
      </c>
      <c r="E80" s="69">
        <f>IF(AND(LEFT(CT!$E76,3)=NKCT!$G$2,LEFT(CT!$D76,3)=NKCT!E$6),CT!$H76,0)</f>
        <v>0</v>
      </c>
      <c r="F80" s="69">
        <f>IF(AND(LEFT(CT!$E76,3)=NKCT!$G$2,LEFT(CT!$D76,3)=NKCT!F$6),CT!$H76,0)</f>
        <v>0</v>
      </c>
      <c r="G80" s="69">
        <f>IF(AND(LEFT(CT!$E76,3)=NKCT!$G$2,LEFT(CT!$D76,3)=NKCT!G$6),CT!$H76,0)</f>
        <v>0</v>
      </c>
      <c r="H80" s="69">
        <f>IF(AND(LEFT(CT!$E76,3)=NKCT!$G$2,LEFT(CT!$D76,3)=NKCT!H$6),CT!$H76,0)</f>
        <v>0</v>
      </c>
      <c r="I80" s="69">
        <f t="shared" si="1"/>
        <v>0</v>
      </c>
      <c r="J80" s="69" t="str">
        <f>IF(I80&gt;0,CT!D76,"")</f>
        <v/>
      </c>
    </row>
    <row r="81" spans="1:10" hidden="1" x14ac:dyDescent="0.25">
      <c r="A81" s="68" t="str">
        <f>IF(LEFT(CT!$E77,3)=NKCT!$G$2,CT!A77,"")</f>
        <v/>
      </c>
      <c r="B81" s="68" t="str">
        <f>IF(LEFT(CT!$E77,3)=NKCT!$G$2,CT!B77,"")</f>
        <v/>
      </c>
      <c r="C81" s="68" t="str">
        <f>IF(LEFT(CT!$E77,3)=NKCT!$G$2,CT!C77,"")</f>
        <v/>
      </c>
      <c r="D81" s="69">
        <f>IF(LEFT(CT!$E77,3)=NKCT!$G$2,CT!$H77,0)</f>
        <v>0</v>
      </c>
      <c r="E81" s="69">
        <f>IF(AND(LEFT(CT!$E77,3)=NKCT!$G$2,LEFT(CT!$D77,3)=NKCT!E$6),CT!$H77,0)</f>
        <v>0</v>
      </c>
      <c r="F81" s="69">
        <f>IF(AND(LEFT(CT!$E77,3)=NKCT!$G$2,LEFT(CT!$D77,3)=NKCT!F$6),CT!$H77,0)</f>
        <v>0</v>
      </c>
      <c r="G81" s="69">
        <f>IF(AND(LEFT(CT!$E77,3)=NKCT!$G$2,LEFT(CT!$D77,3)=NKCT!G$6),CT!$H77,0)</f>
        <v>0</v>
      </c>
      <c r="H81" s="69">
        <f>IF(AND(LEFT(CT!$E77,3)=NKCT!$G$2,LEFT(CT!$D77,3)=NKCT!H$6),CT!$H77,0)</f>
        <v>0</v>
      </c>
      <c r="I81" s="69">
        <f t="shared" si="1"/>
        <v>0</v>
      </c>
      <c r="J81" s="69" t="str">
        <f>IF(I81&gt;0,CT!D77,"")</f>
        <v/>
      </c>
    </row>
    <row r="82" spans="1:10" hidden="1" x14ac:dyDescent="0.25">
      <c r="A82" s="68" t="str">
        <f>IF(LEFT(CT!$E78,3)=NKCT!$G$2,CT!A78,"")</f>
        <v/>
      </c>
      <c r="B82" s="68" t="str">
        <f>IF(LEFT(CT!$E78,3)=NKCT!$G$2,CT!B78,"")</f>
        <v/>
      </c>
      <c r="C82" s="68" t="str">
        <f>IF(LEFT(CT!$E78,3)=NKCT!$G$2,CT!C78,"")</f>
        <v/>
      </c>
      <c r="D82" s="69">
        <f>IF(LEFT(CT!$E78,3)=NKCT!$G$2,CT!$H78,0)</f>
        <v>0</v>
      </c>
      <c r="E82" s="69">
        <f>IF(AND(LEFT(CT!$E78,3)=NKCT!$G$2,LEFT(CT!$D78,3)=NKCT!E$6),CT!$H78,0)</f>
        <v>0</v>
      </c>
      <c r="F82" s="69">
        <f>IF(AND(LEFT(CT!$E78,3)=NKCT!$G$2,LEFT(CT!$D78,3)=NKCT!F$6),CT!$H78,0)</f>
        <v>0</v>
      </c>
      <c r="G82" s="69">
        <f>IF(AND(LEFT(CT!$E78,3)=NKCT!$G$2,LEFT(CT!$D78,3)=NKCT!G$6),CT!$H78,0)</f>
        <v>0</v>
      </c>
      <c r="H82" s="69">
        <f>IF(AND(LEFT(CT!$E78,3)=NKCT!$G$2,LEFT(CT!$D78,3)=NKCT!H$6),CT!$H78,0)</f>
        <v>0</v>
      </c>
      <c r="I82" s="69">
        <f t="shared" si="1"/>
        <v>0</v>
      </c>
      <c r="J82" s="69" t="str">
        <f>IF(I82&gt;0,CT!D78,"")</f>
        <v/>
      </c>
    </row>
    <row r="83" spans="1:10" hidden="1" x14ac:dyDescent="0.25">
      <c r="A83" s="68" t="str">
        <f>IF(LEFT(CT!$E79,3)=NKCT!$G$2,CT!A79,"")</f>
        <v/>
      </c>
      <c r="B83" s="68" t="str">
        <f>IF(LEFT(CT!$E79,3)=NKCT!$G$2,CT!B79,"")</f>
        <v/>
      </c>
      <c r="C83" s="68" t="str">
        <f>IF(LEFT(CT!$E79,3)=NKCT!$G$2,CT!C79,"")</f>
        <v/>
      </c>
      <c r="D83" s="69">
        <f>IF(LEFT(CT!$E79,3)=NKCT!$G$2,CT!$H79,0)</f>
        <v>0</v>
      </c>
      <c r="E83" s="69">
        <f>IF(AND(LEFT(CT!$E79,3)=NKCT!$G$2,LEFT(CT!$D79,3)=NKCT!E$6),CT!$H79,0)</f>
        <v>0</v>
      </c>
      <c r="F83" s="69">
        <f>IF(AND(LEFT(CT!$E79,3)=NKCT!$G$2,LEFT(CT!$D79,3)=NKCT!F$6),CT!$H79,0)</f>
        <v>0</v>
      </c>
      <c r="G83" s="69">
        <f>IF(AND(LEFT(CT!$E79,3)=NKCT!$G$2,LEFT(CT!$D79,3)=NKCT!G$6),CT!$H79,0)</f>
        <v>0</v>
      </c>
      <c r="H83" s="69">
        <f>IF(AND(LEFT(CT!$E79,3)=NKCT!$G$2,LEFT(CT!$D79,3)=NKCT!H$6),CT!$H79,0)</f>
        <v>0</v>
      </c>
      <c r="I83" s="69">
        <f t="shared" si="1"/>
        <v>0</v>
      </c>
      <c r="J83" s="69" t="str">
        <f>IF(I83&gt;0,CT!D79,"")</f>
        <v/>
      </c>
    </row>
    <row r="84" spans="1:10" hidden="1" x14ac:dyDescent="0.25">
      <c r="A84" s="68" t="str">
        <f>IF(LEFT(CT!$E80,3)=NKCT!$G$2,CT!A80,"")</f>
        <v/>
      </c>
      <c r="B84" s="68" t="str">
        <f>IF(LEFT(CT!$E80,3)=NKCT!$G$2,CT!B80,"")</f>
        <v/>
      </c>
      <c r="C84" s="68" t="str">
        <f>IF(LEFT(CT!$E80,3)=NKCT!$G$2,CT!C80,"")</f>
        <v/>
      </c>
      <c r="D84" s="69">
        <f>IF(LEFT(CT!$E80,3)=NKCT!$G$2,CT!$H80,0)</f>
        <v>0</v>
      </c>
      <c r="E84" s="69">
        <f>IF(AND(LEFT(CT!$E80,3)=NKCT!$G$2,LEFT(CT!$D80,3)=NKCT!E$6),CT!$H80,0)</f>
        <v>0</v>
      </c>
      <c r="F84" s="69">
        <f>IF(AND(LEFT(CT!$E80,3)=NKCT!$G$2,LEFT(CT!$D80,3)=NKCT!F$6),CT!$H80,0)</f>
        <v>0</v>
      </c>
      <c r="G84" s="69">
        <f>IF(AND(LEFT(CT!$E80,3)=NKCT!$G$2,LEFT(CT!$D80,3)=NKCT!G$6),CT!$H80,0)</f>
        <v>0</v>
      </c>
      <c r="H84" s="69">
        <f>IF(AND(LEFT(CT!$E80,3)=NKCT!$G$2,LEFT(CT!$D80,3)=NKCT!H$6),CT!$H80,0)</f>
        <v>0</v>
      </c>
      <c r="I84" s="69">
        <f t="shared" si="1"/>
        <v>0</v>
      </c>
      <c r="J84" s="69" t="str">
        <f>IF(I84&gt;0,CT!D80,"")</f>
        <v/>
      </c>
    </row>
    <row r="85" spans="1:10" hidden="1" x14ac:dyDescent="0.25">
      <c r="A85" s="68" t="str">
        <f>IF(LEFT(CT!$E81,3)=NKCT!$G$2,CT!A81,"")</f>
        <v/>
      </c>
      <c r="B85" s="68" t="str">
        <f>IF(LEFT(CT!$E81,3)=NKCT!$G$2,CT!B81,"")</f>
        <v/>
      </c>
      <c r="C85" s="68" t="str">
        <f>IF(LEFT(CT!$E81,3)=NKCT!$G$2,CT!C81,"")</f>
        <v/>
      </c>
      <c r="D85" s="69">
        <f>IF(LEFT(CT!$E81,3)=NKCT!$G$2,CT!$H81,0)</f>
        <v>0</v>
      </c>
      <c r="E85" s="69">
        <f>IF(AND(LEFT(CT!$E81,3)=NKCT!$G$2,LEFT(CT!$D81,3)=NKCT!E$6),CT!$H81,0)</f>
        <v>0</v>
      </c>
      <c r="F85" s="69">
        <f>IF(AND(LEFT(CT!$E81,3)=NKCT!$G$2,LEFT(CT!$D81,3)=NKCT!F$6),CT!$H81,0)</f>
        <v>0</v>
      </c>
      <c r="G85" s="69">
        <f>IF(AND(LEFT(CT!$E81,3)=NKCT!$G$2,LEFT(CT!$D81,3)=NKCT!G$6),CT!$H81,0)</f>
        <v>0</v>
      </c>
      <c r="H85" s="69">
        <f>IF(AND(LEFT(CT!$E81,3)=NKCT!$G$2,LEFT(CT!$D81,3)=NKCT!H$6),CT!$H81,0)</f>
        <v>0</v>
      </c>
      <c r="I85" s="69">
        <f t="shared" si="1"/>
        <v>0</v>
      </c>
      <c r="J85" s="69" t="str">
        <f>IF(I85&gt;0,CT!D81,"")</f>
        <v/>
      </c>
    </row>
    <row r="86" spans="1:10" hidden="1" x14ac:dyDescent="0.25">
      <c r="A86" s="68" t="str">
        <f>IF(LEFT(CT!$E82,3)=NKCT!$G$2,CT!A82,"")</f>
        <v/>
      </c>
      <c r="B86" s="68" t="str">
        <f>IF(LEFT(CT!$E82,3)=NKCT!$G$2,CT!B82,"")</f>
        <v/>
      </c>
      <c r="C86" s="68" t="str">
        <f>IF(LEFT(CT!$E82,3)=NKCT!$G$2,CT!C82,"")</f>
        <v/>
      </c>
      <c r="D86" s="69">
        <f>IF(LEFT(CT!$E82,3)=NKCT!$G$2,CT!$H82,0)</f>
        <v>0</v>
      </c>
      <c r="E86" s="69">
        <f>IF(AND(LEFT(CT!$E82,3)=NKCT!$G$2,LEFT(CT!$D82,3)=NKCT!E$6),CT!$H82,0)</f>
        <v>0</v>
      </c>
      <c r="F86" s="69">
        <f>IF(AND(LEFT(CT!$E82,3)=NKCT!$G$2,LEFT(CT!$D82,3)=NKCT!F$6),CT!$H82,0)</f>
        <v>0</v>
      </c>
      <c r="G86" s="69">
        <f>IF(AND(LEFT(CT!$E82,3)=NKCT!$G$2,LEFT(CT!$D82,3)=NKCT!G$6),CT!$H82,0)</f>
        <v>0</v>
      </c>
      <c r="H86" s="69">
        <f>IF(AND(LEFT(CT!$E82,3)=NKCT!$G$2,LEFT(CT!$D82,3)=NKCT!H$6),CT!$H82,0)</f>
        <v>0</v>
      </c>
      <c r="I86" s="69">
        <f t="shared" si="1"/>
        <v>0</v>
      </c>
      <c r="J86" s="69" t="str">
        <f>IF(I86&gt;0,CT!D82,"")</f>
        <v/>
      </c>
    </row>
    <row r="87" spans="1:10" hidden="1" x14ac:dyDescent="0.25">
      <c r="A87" s="68" t="str">
        <f>IF(LEFT(CT!$E83,3)=NKCT!$G$2,CT!A83,"")</f>
        <v/>
      </c>
      <c r="B87" s="68" t="str">
        <f>IF(LEFT(CT!$E83,3)=NKCT!$G$2,CT!B83,"")</f>
        <v/>
      </c>
      <c r="C87" s="68" t="str">
        <f>IF(LEFT(CT!$E83,3)=NKCT!$G$2,CT!C83,"")</f>
        <v/>
      </c>
      <c r="D87" s="69">
        <f>IF(LEFT(CT!$E83,3)=NKCT!$G$2,CT!$H83,0)</f>
        <v>0</v>
      </c>
      <c r="E87" s="69">
        <f>IF(AND(LEFT(CT!$E83,3)=NKCT!$G$2,LEFT(CT!$D83,3)=NKCT!E$6),CT!$H83,0)</f>
        <v>0</v>
      </c>
      <c r="F87" s="69">
        <f>IF(AND(LEFT(CT!$E83,3)=NKCT!$G$2,LEFT(CT!$D83,3)=NKCT!F$6),CT!$H83,0)</f>
        <v>0</v>
      </c>
      <c r="G87" s="69">
        <f>IF(AND(LEFT(CT!$E83,3)=NKCT!$G$2,LEFT(CT!$D83,3)=NKCT!G$6),CT!$H83,0)</f>
        <v>0</v>
      </c>
      <c r="H87" s="69">
        <f>IF(AND(LEFT(CT!$E83,3)=NKCT!$G$2,LEFT(CT!$D83,3)=NKCT!H$6),CT!$H83,0)</f>
        <v>0</v>
      </c>
      <c r="I87" s="69">
        <f t="shared" si="1"/>
        <v>0</v>
      </c>
      <c r="J87" s="69" t="str">
        <f>IF(I87&gt;0,CT!D83,"")</f>
        <v/>
      </c>
    </row>
    <row r="88" spans="1:10" hidden="1" x14ac:dyDescent="0.25">
      <c r="A88" s="68" t="str">
        <f>IF(LEFT(CT!$E84,3)=NKCT!$G$2,CT!A84,"")</f>
        <v/>
      </c>
      <c r="B88" s="68" t="str">
        <f>IF(LEFT(CT!$E84,3)=NKCT!$G$2,CT!B84,"")</f>
        <v/>
      </c>
      <c r="C88" s="68" t="str">
        <f>IF(LEFT(CT!$E84,3)=NKCT!$G$2,CT!C84,"")</f>
        <v/>
      </c>
      <c r="D88" s="69">
        <f>IF(LEFT(CT!$E84,3)=NKCT!$G$2,CT!$H84,0)</f>
        <v>0</v>
      </c>
      <c r="E88" s="69">
        <f>IF(AND(LEFT(CT!$E84,3)=NKCT!$G$2,LEFT(CT!$D84,3)=NKCT!E$6),CT!$H84,0)</f>
        <v>0</v>
      </c>
      <c r="F88" s="69">
        <f>IF(AND(LEFT(CT!$E84,3)=NKCT!$G$2,LEFT(CT!$D84,3)=NKCT!F$6),CT!$H84,0)</f>
        <v>0</v>
      </c>
      <c r="G88" s="69">
        <f>IF(AND(LEFT(CT!$E84,3)=NKCT!$G$2,LEFT(CT!$D84,3)=NKCT!G$6),CT!$H84,0)</f>
        <v>0</v>
      </c>
      <c r="H88" s="69">
        <f>IF(AND(LEFT(CT!$E84,3)=NKCT!$G$2,LEFT(CT!$D84,3)=NKCT!H$6),CT!$H84,0)</f>
        <v>0</v>
      </c>
      <c r="I88" s="69">
        <f t="shared" si="1"/>
        <v>0</v>
      </c>
      <c r="J88" s="69" t="str">
        <f>IF(I88&gt;0,CT!D84,"")</f>
        <v/>
      </c>
    </row>
    <row r="89" spans="1:10" hidden="1" x14ac:dyDescent="0.25">
      <c r="A89" s="68" t="str">
        <f>IF(LEFT(CT!$E85,3)=NKCT!$G$2,CT!A85,"")</f>
        <v/>
      </c>
      <c r="B89" s="68" t="str">
        <f>IF(LEFT(CT!$E85,3)=NKCT!$G$2,CT!B85,"")</f>
        <v/>
      </c>
      <c r="C89" s="68" t="str">
        <f>IF(LEFT(CT!$E85,3)=NKCT!$G$2,CT!C85,"")</f>
        <v/>
      </c>
      <c r="D89" s="69">
        <f>IF(LEFT(CT!$E85,3)=NKCT!$G$2,CT!$H85,0)</f>
        <v>0</v>
      </c>
      <c r="E89" s="69">
        <f>IF(AND(LEFT(CT!$E85,3)=NKCT!$G$2,LEFT(CT!$D85,3)=NKCT!E$6),CT!$H85,0)</f>
        <v>0</v>
      </c>
      <c r="F89" s="69">
        <f>IF(AND(LEFT(CT!$E85,3)=NKCT!$G$2,LEFT(CT!$D85,3)=NKCT!F$6),CT!$H85,0)</f>
        <v>0</v>
      </c>
      <c r="G89" s="69">
        <f>IF(AND(LEFT(CT!$E85,3)=NKCT!$G$2,LEFT(CT!$D85,3)=NKCT!G$6),CT!$H85,0)</f>
        <v>0</v>
      </c>
      <c r="H89" s="69">
        <f>IF(AND(LEFT(CT!$E85,3)=NKCT!$G$2,LEFT(CT!$D85,3)=NKCT!H$6),CT!$H85,0)</f>
        <v>0</v>
      </c>
      <c r="I89" s="69">
        <f t="shared" si="1"/>
        <v>0</v>
      </c>
      <c r="J89" s="69" t="str">
        <f>IF(I89&gt;0,CT!D85,"")</f>
        <v/>
      </c>
    </row>
    <row r="90" spans="1:10" hidden="1" x14ac:dyDescent="0.25">
      <c r="A90" s="68" t="str">
        <f>IF(LEFT(CT!$E86,3)=NKCT!$G$2,CT!A86,"")</f>
        <v/>
      </c>
      <c r="B90" s="68" t="str">
        <f>IF(LEFT(CT!$E86,3)=NKCT!$G$2,CT!B86,"")</f>
        <v/>
      </c>
      <c r="C90" s="68" t="str">
        <f>IF(LEFT(CT!$E86,3)=NKCT!$G$2,CT!C86,"")</f>
        <v/>
      </c>
      <c r="D90" s="69">
        <f>IF(LEFT(CT!$E86,3)=NKCT!$G$2,CT!$H86,0)</f>
        <v>0</v>
      </c>
      <c r="E90" s="69">
        <f>IF(AND(LEFT(CT!$E86,3)=NKCT!$G$2,LEFT(CT!$D86,3)=NKCT!E$6),CT!$H86,0)</f>
        <v>0</v>
      </c>
      <c r="F90" s="69">
        <f>IF(AND(LEFT(CT!$E86,3)=NKCT!$G$2,LEFT(CT!$D86,3)=NKCT!F$6),CT!$H86,0)</f>
        <v>0</v>
      </c>
      <c r="G90" s="69">
        <f>IF(AND(LEFT(CT!$E86,3)=NKCT!$G$2,LEFT(CT!$D86,3)=NKCT!G$6),CT!$H86,0)</f>
        <v>0</v>
      </c>
      <c r="H90" s="69">
        <f>IF(AND(LEFT(CT!$E86,3)=NKCT!$G$2,LEFT(CT!$D86,3)=NKCT!H$6),CT!$H86,0)</f>
        <v>0</v>
      </c>
      <c r="I90" s="69">
        <f t="shared" si="1"/>
        <v>0</v>
      </c>
      <c r="J90" s="69" t="str">
        <f>IF(I90&gt;0,CT!D86,"")</f>
        <v/>
      </c>
    </row>
    <row r="91" spans="1:10" hidden="1" x14ac:dyDescent="0.25">
      <c r="A91" s="68" t="str">
        <f>IF(LEFT(CT!$E87,3)=NKCT!$G$2,CT!A87,"")</f>
        <v/>
      </c>
      <c r="B91" s="68" t="str">
        <f>IF(LEFT(CT!$E87,3)=NKCT!$G$2,CT!B87,"")</f>
        <v/>
      </c>
      <c r="C91" s="68" t="str">
        <f>IF(LEFT(CT!$E87,3)=NKCT!$G$2,CT!C87,"")</f>
        <v/>
      </c>
      <c r="D91" s="69">
        <f>IF(LEFT(CT!$E87,3)=NKCT!$G$2,CT!$H87,0)</f>
        <v>0</v>
      </c>
      <c r="E91" s="69">
        <f>IF(AND(LEFT(CT!$E87,3)=NKCT!$G$2,LEFT(CT!$D87,3)=NKCT!E$6),CT!$H87,0)</f>
        <v>0</v>
      </c>
      <c r="F91" s="69">
        <f>IF(AND(LEFT(CT!$E87,3)=NKCT!$G$2,LEFT(CT!$D87,3)=NKCT!F$6),CT!$H87,0)</f>
        <v>0</v>
      </c>
      <c r="G91" s="69">
        <f>IF(AND(LEFT(CT!$E87,3)=NKCT!$G$2,LEFT(CT!$D87,3)=NKCT!G$6),CT!$H87,0)</f>
        <v>0</v>
      </c>
      <c r="H91" s="69">
        <f>IF(AND(LEFT(CT!$E87,3)=NKCT!$G$2,LEFT(CT!$D87,3)=NKCT!H$6),CT!$H87,0)</f>
        <v>0</v>
      </c>
      <c r="I91" s="69">
        <f t="shared" si="1"/>
        <v>0</v>
      </c>
      <c r="J91" s="69" t="str">
        <f>IF(I91&gt;0,CT!D87,"")</f>
        <v/>
      </c>
    </row>
    <row r="92" spans="1:10" hidden="1" x14ac:dyDescent="0.25">
      <c r="A92" s="68" t="str">
        <f>IF(LEFT(CT!$E88,3)=NKCT!$G$2,CT!A88,"")</f>
        <v/>
      </c>
      <c r="B92" s="68" t="str">
        <f>IF(LEFT(CT!$E88,3)=NKCT!$G$2,CT!B88,"")</f>
        <v/>
      </c>
      <c r="C92" s="68" t="str">
        <f>IF(LEFT(CT!$E88,3)=NKCT!$G$2,CT!C88,"")</f>
        <v/>
      </c>
      <c r="D92" s="69">
        <f>IF(LEFT(CT!$E88,3)=NKCT!$G$2,CT!$H88,0)</f>
        <v>0</v>
      </c>
      <c r="E92" s="69">
        <f>IF(AND(LEFT(CT!$E88,3)=NKCT!$G$2,LEFT(CT!$D88,3)=NKCT!E$6),CT!$H88,0)</f>
        <v>0</v>
      </c>
      <c r="F92" s="69">
        <f>IF(AND(LEFT(CT!$E88,3)=NKCT!$G$2,LEFT(CT!$D88,3)=NKCT!F$6),CT!$H88,0)</f>
        <v>0</v>
      </c>
      <c r="G92" s="69">
        <f>IF(AND(LEFT(CT!$E88,3)=NKCT!$G$2,LEFT(CT!$D88,3)=NKCT!G$6),CT!$H88,0)</f>
        <v>0</v>
      </c>
      <c r="H92" s="69">
        <f>IF(AND(LEFT(CT!$E88,3)=NKCT!$G$2,LEFT(CT!$D88,3)=NKCT!H$6),CT!$H88,0)</f>
        <v>0</v>
      </c>
      <c r="I92" s="69">
        <f t="shared" si="1"/>
        <v>0</v>
      </c>
      <c r="J92" s="69" t="str">
        <f>IF(I92&gt;0,CT!D88,"")</f>
        <v/>
      </c>
    </row>
    <row r="93" spans="1:10" hidden="1" x14ac:dyDescent="0.25">
      <c r="A93" s="68" t="str">
        <f>IF(LEFT(CT!$E89,3)=NKCT!$G$2,CT!A89,"")</f>
        <v/>
      </c>
      <c r="B93" s="68" t="str">
        <f>IF(LEFT(CT!$E89,3)=NKCT!$G$2,CT!B89,"")</f>
        <v/>
      </c>
      <c r="C93" s="68" t="str">
        <f>IF(LEFT(CT!$E89,3)=NKCT!$G$2,CT!C89,"")</f>
        <v/>
      </c>
      <c r="D93" s="69">
        <f>IF(LEFT(CT!$E89,3)=NKCT!$G$2,CT!$H89,0)</f>
        <v>0</v>
      </c>
      <c r="E93" s="69">
        <f>IF(AND(LEFT(CT!$E89,3)=NKCT!$G$2,LEFT(CT!$D89,3)=NKCT!E$6),CT!$H89,0)</f>
        <v>0</v>
      </c>
      <c r="F93" s="69">
        <f>IF(AND(LEFT(CT!$E89,3)=NKCT!$G$2,LEFT(CT!$D89,3)=NKCT!F$6),CT!$H89,0)</f>
        <v>0</v>
      </c>
      <c r="G93" s="69">
        <f>IF(AND(LEFT(CT!$E89,3)=NKCT!$G$2,LEFT(CT!$D89,3)=NKCT!G$6),CT!$H89,0)</f>
        <v>0</v>
      </c>
      <c r="H93" s="69">
        <f>IF(AND(LEFT(CT!$E89,3)=NKCT!$G$2,LEFT(CT!$D89,3)=NKCT!H$6),CT!$H89,0)</f>
        <v>0</v>
      </c>
      <c r="I93" s="69">
        <f t="shared" si="1"/>
        <v>0</v>
      </c>
      <c r="J93" s="69" t="str">
        <f>IF(I93&gt;0,CT!D89,"")</f>
        <v/>
      </c>
    </row>
    <row r="94" spans="1:10" hidden="1" x14ac:dyDescent="0.25">
      <c r="A94" s="68" t="str">
        <f>IF(LEFT(CT!$E90,3)=NKCT!$G$2,CT!A90,"")</f>
        <v/>
      </c>
      <c r="B94" s="68" t="str">
        <f>IF(LEFT(CT!$E90,3)=NKCT!$G$2,CT!B90,"")</f>
        <v/>
      </c>
      <c r="C94" s="68" t="str">
        <f>IF(LEFT(CT!$E90,3)=NKCT!$G$2,CT!C90,"")</f>
        <v/>
      </c>
      <c r="D94" s="69">
        <f>IF(LEFT(CT!$E90,3)=NKCT!$G$2,CT!$H90,0)</f>
        <v>0</v>
      </c>
      <c r="E94" s="69">
        <f>IF(AND(LEFT(CT!$E90,3)=NKCT!$G$2,LEFT(CT!$D90,3)=NKCT!E$6),CT!$H90,0)</f>
        <v>0</v>
      </c>
      <c r="F94" s="69">
        <f>IF(AND(LEFT(CT!$E90,3)=NKCT!$G$2,LEFT(CT!$D90,3)=NKCT!F$6),CT!$H90,0)</f>
        <v>0</v>
      </c>
      <c r="G94" s="69">
        <f>IF(AND(LEFT(CT!$E90,3)=NKCT!$G$2,LEFT(CT!$D90,3)=NKCT!G$6),CT!$H90,0)</f>
        <v>0</v>
      </c>
      <c r="H94" s="69">
        <f>IF(AND(LEFT(CT!$E90,3)=NKCT!$G$2,LEFT(CT!$D90,3)=NKCT!H$6),CT!$H90,0)</f>
        <v>0</v>
      </c>
      <c r="I94" s="69">
        <f t="shared" si="1"/>
        <v>0</v>
      </c>
      <c r="J94" s="69" t="str">
        <f>IF(I94&gt;0,CT!D90,"")</f>
        <v/>
      </c>
    </row>
    <row r="95" spans="1:10" hidden="1" x14ac:dyDescent="0.25">
      <c r="A95" s="68" t="str">
        <f>IF(LEFT(CT!$E91,3)=NKCT!$G$2,CT!A91,"")</f>
        <v/>
      </c>
      <c r="B95" s="68" t="str">
        <f>IF(LEFT(CT!$E91,3)=NKCT!$G$2,CT!B91,"")</f>
        <v/>
      </c>
      <c r="C95" s="68" t="str">
        <f>IF(LEFT(CT!$E91,3)=NKCT!$G$2,CT!C91,"")</f>
        <v/>
      </c>
      <c r="D95" s="69">
        <f>IF(LEFT(CT!$E91,3)=NKCT!$G$2,CT!$H91,0)</f>
        <v>0</v>
      </c>
      <c r="E95" s="69">
        <f>IF(AND(LEFT(CT!$E91,3)=NKCT!$G$2,LEFT(CT!$D91,3)=NKCT!E$6),CT!$H91,0)</f>
        <v>0</v>
      </c>
      <c r="F95" s="69">
        <f>IF(AND(LEFT(CT!$E91,3)=NKCT!$G$2,LEFT(CT!$D91,3)=NKCT!F$6),CT!$H91,0)</f>
        <v>0</v>
      </c>
      <c r="G95" s="69">
        <f>IF(AND(LEFT(CT!$E91,3)=NKCT!$G$2,LEFT(CT!$D91,3)=NKCT!G$6),CT!$H91,0)</f>
        <v>0</v>
      </c>
      <c r="H95" s="69">
        <f>IF(AND(LEFT(CT!$E91,3)=NKCT!$G$2,LEFT(CT!$D91,3)=NKCT!H$6),CT!$H91,0)</f>
        <v>0</v>
      </c>
      <c r="I95" s="69">
        <f t="shared" si="1"/>
        <v>0</v>
      </c>
      <c r="J95" s="69" t="str">
        <f>IF(I95&gt;0,CT!D91,"")</f>
        <v/>
      </c>
    </row>
    <row r="96" spans="1:10" hidden="1" x14ac:dyDescent="0.25">
      <c r="A96" s="68" t="str">
        <f>IF(LEFT(CT!$E92,3)=NKCT!$G$2,CT!A92,"")</f>
        <v/>
      </c>
      <c r="B96" s="68" t="str">
        <f>IF(LEFT(CT!$E92,3)=NKCT!$G$2,CT!B92,"")</f>
        <v/>
      </c>
      <c r="C96" s="68" t="str">
        <f>IF(LEFT(CT!$E92,3)=NKCT!$G$2,CT!C92,"")</f>
        <v/>
      </c>
      <c r="D96" s="69">
        <f>IF(LEFT(CT!$E92,3)=NKCT!$G$2,CT!$H92,0)</f>
        <v>0</v>
      </c>
      <c r="E96" s="69">
        <f>IF(AND(LEFT(CT!$E92,3)=NKCT!$G$2,LEFT(CT!$D92,3)=NKCT!E$6),CT!$H92,0)</f>
        <v>0</v>
      </c>
      <c r="F96" s="69">
        <f>IF(AND(LEFT(CT!$E92,3)=NKCT!$G$2,LEFT(CT!$D92,3)=NKCT!F$6),CT!$H92,0)</f>
        <v>0</v>
      </c>
      <c r="G96" s="69">
        <f>IF(AND(LEFT(CT!$E92,3)=NKCT!$G$2,LEFT(CT!$D92,3)=NKCT!G$6),CT!$H92,0)</f>
        <v>0</v>
      </c>
      <c r="H96" s="69">
        <f>IF(AND(LEFT(CT!$E92,3)=NKCT!$G$2,LEFT(CT!$D92,3)=NKCT!H$6),CT!$H92,0)</f>
        <v>0</v>
      </c>
      <c r="I96" s="69">
        <f t="shared" si="1"/>
        <v>0</v>
      </c>
      <c r="J96" s="69" t="str">
        <f>IF(I96&gt;0,CT!D92,"")</f>
        <v/>
      </c>
    </row>
    <row r="97" spans="1:10" hidden="1" x14ac:dyDescent="0.25">
      <c r="A97" s="68" t="str">
        <f>IF(LEFT(CT!$E93,3)=NKCT!$G$2,CT!A93,"")</f>
        <v/>
      </c>
      <c r="B97" s="68" t="str">
        <f>IF(LEFT(CT!$E93,3)=NKCT!$G$2,CT!B93,"")</f>
        <v/>
      </c>
      <c r="C97" s="68" t="str">
        <f>IF(LEFT(CT!$E93,3)=NKCT!$G$2,CT!C93,"")</f>
        <v/>
      </c>
      <c r="D97" s="69">
        <f>IF(LEFT(CT!$E93,3)=NKCT!$G$2,CT!$H93,0)</f>
        <v>0</v>
      </c>
      <c r="E97" s="69">
        <f>IF(AND(LEFT(CT!$E93,3)=NKCT!$G$2,LEFT(CT!$D93,3)=NKCT!E$6),CT!$H93,0)</f>
        <v>0</v>
      </c>
      <c r="F97" s="69">
        <f>IF(AND(LEFT(CT!$E93,3)=NKCT!$G$2,LEFT(CT!$D93,3)=NKCT!F$6),CT!$H93,0)</f>
        <v>0</v>
      </c>
      <c r="G97" s="69">
        <f>IF(AND(LEFT(CT!$E93,3)=NKCT!$G$2,LEFT(CT!$D93,3)=NKCT!G$6),CT!$H93,0)</f>
        <v>0</v>
      </c>
      <c r="H97" s="69">
        <f>IF(AND(LEFT(CT!$E93,3)=NKCT!$G$2,LEFT(CT!$D93,3)=NKCT!H$6),CT!$H93,0)</f>
        <v>0</v>
      </c>
      <c r="I97" s="69">
        <f t="shared" si="1"/>
        <v>0</v>
      </c>
      <c r="J97" s="69" t="str">
        <f>IF(I97&gt;0,CT!D93,"")</f>
        <v/>
      </c>
    </row>
    <row r="98" spans="1:10" hidden="1" x14ac:dyDescent="0.25">
      <c r="A98" s="68" t="str">
        <f>IF(LEFT(CT!$E94,3)=NKCT!$G$2,CT!A94,"")</f>
        <v/>
      </c>
      <c r="B98" s="68" t="str">
        <f>IF(LEFT(CT!$E94,3)=NKCT!$G$2,CT!B94,"")</f>
        <v/>
      </c>
      <c r="C98" s="68" t="str">
        <f>IF(LEFT(CT!$E94,3)=NKCT!$G$2,CT!C94,"")</f>
        <v/>
      </c>
      <c r="D98" s="69">
        <f>IF(LEFT(CT!$E94,3)=NKCT!$G$2,CT!$H94,0)</f>
        <v>0</v>
      </c>
      <c r="E98" s="69">
        <f>IF(AND(LEFT(CT!$E94,3)=NKCT!$G$2,LEFT(CT!$D94,3)=NKCT!E$6),CT!$H94,0)</f>
        <v>0</v>
      </c>
      <c r="F98" s="69">
        <f>IF(AND(LEFT(CT!$E94,3)=NKCT!$G$2,LEFT(CT!$D94,3)=NKCT!F$6),CT!$H94,0)</f>
        <v>0</v>
      </c>
      <c r="G98" s="69">
        <f>IF(AND(LEFT(CT!$E94,3)=NKCT!$G$2,LEFT(CT!$D94,3)=NKCT!G$6),CT!$H94,0)</f>
        <v>0</v>
      </c>
      <c r="H98" s="69">
        <f>IF(AND(LEFT(CT!$E94,3)=NKCT!$G$2,LEFT(CT!$D94,3)=NKCT!H$6),CT!$H94,0)</f>
        <v>0</v>
      </c>
      <c r="I98" s="69">
        <f t="shared" si="1"/>
        <v>0</v>
      </c>
      <c r="J98" s="69" t="str">
        <f>IF(I98&gt;0,CT!D94,"")</f>
        <v/>
      </c>
    </row>
    <row r="99" spans="1:10" hidden="1" x14ac:dyDescent="0.25">
      <c r="A99" s="68" t="str">
        <f>IF(LEFT(CT!$E95,3)=NKCT!$G$2,CT!A95,"")</f>
        <v/>
      </c>
      <c r="B99" s="68" t="str">
        <f>IF(LEFT(CT!$E95,3)=NKCT!$G$2,CT!B95,"")</f>
        <v/>
      </c>
      <c r="C99" s="68" t="str">
        <f>IF(LEFT(CT!$E95,3)=NKCT!$G$2,CT!C95,"")</f>
        <v/>
      </c>
      <c r="D99" s="69">
        <f>IF(LEFT(CT!$E95,3)=NKCT!$G$2,CT!$H95,0)</f>
        <v>0</v>
      </c>
      <c r="E99" s="69">
        <f>IF(AND(LEFT(CT!$E95,3)=NKCT!$G$2,LEFT(CT!$D95,3)=NKCT!E$6),CT!$H95,0)</f>
        <v>0</v>
      </c>
      <c r="F99" s="69">
        <f>IF(AND(LEFT(CT!$E95,3)=NKCT!$G$2,LEFT(CT!$D95,3)=NKCT!F$6),CT!$H95,0)</f>
        <v>0</v>
      </c>
      <c r="G99" s="69">
        <f>IF(AND(LEFT(CT!$E95,3)=NKCT!$G$2,LEFT(CT!$D95,3)=NKCT!G$6),CT!$H95,0)</f>
        <v>0</v>
      </c>
      <c r="H99" s="69">
        <f>IF(AND(LEFT(CT!$E95,3)=NKCT!$G$2,LEFT(CT!$D95,3)=NKCT!H$6),CT!$H95,0)</f>
        <v>0</v>
      </c>
      <c r="I99" s="69">
        <f t="shared" si="1"/>
        <v>0</v>
      </c>
      <c r="J99" s="69" t="str">
        <f>IF(I99&gt;0,CT!D95,"")</f>
        <v/>
      </c>
    </row>
    <row r="100" spans="1:10" hidden="1" x14ac:dyDescent="0.25">
      <c r="A100" s="68" t="str">
        <f>IF(LEFT(CT!$E96,3)=NKCT!$G$2,CT!A96,"")</f>
        <v/>
      </c>
      <c r="B100" s="68" t="str">
        <f>IF(LEFT(CT!$E96,3)=NKCT!$G$2,CT!B96,"")</f>
        <v/>
      </c>
      <c r="C100" s="68" t="str">
        <f>IF(LEFT(CT!$E96,3)=NKCT!$G$2,CT!C96,"")</f>
        <v/>
      </c>
      <c r="D100" s="69">
        <f>IF(LEFT(CT!$E96,3)=NKCT!$G$2,CT!$H96,0)</f>
        <v>0</v>
      </c>
      <c r="E100" s="69">
        <f>IF(AND(LEFT(CT!$E96,3)=NKCT!$G$2,LEFT(CT!$D96,3)=NKCT!E$6),CT!$H96,0)</f>
        <v>0</v>
      </c>
      <c r="F100" s="69">
        <f>IF(AND(LEFT(CT!$E96,3)=NKCT!$G$2,LEFT(CT!$D96,3)=NKCT!F$6),CT!$H96,0)</f>
        <v>0</v>
      </c>
      <c r="G100" s="69">
        <f>IF(AND(LEFT(CT!$E96,3)=NKCT!$G$2,LEFT(CT!$D96,3)=NKCT!G$6),CT!$H96,0)</f>
        <v>0</v>
      </c>
      <c r="H100" s="69">
        <f>IF(AND(LEFT(CT!$E96,3)=NKCT!$G$2,LEFT(CT!$D96,3)=NKCT!H$6),CT!$H96,0)</f>
        <v>0</v>
      </c>
      <c r="I100" s="69">
        <f t="shared" si="1"/>
        <v>0</v>
      </c>
      <c r="J100" s="69" t="str">
        <f>IF(I100&gt;0,CT!D96,"")</f>
        <v/>
      </c>
    </row>
    <row r="101" spans="1:10" hidden="1" x14ac:dyDescent="0.25">
      <c r="A101" s="68" t="str">
        <f>IF(LEFT(CT!$E97,3)=NKCT!$G$2,CT!A97,"")</f>
        <v/>
      </c>
      <c r="B101" s="68" t="str">
        <f>IF(LEFT(CT!$E97,3)=NKCT!$G$2,CT!B97,"")</f>
        <v/>
      </c>
      <c r="C101" s="68" t="str">
        <f>IF(LEFT(CT!$E97,3)=NKCT!$G$2,CT!C97,"")</f>
        <v/>
      </c>
      <c r="D101" s="69">
        <f>IF(LEFT(CT!$E97,3)=NKCT!$G$2,CT!$H97,0)</f>
        <v>0</v>
      </c>
      <c r="E101" s="69">
        <f>IF(AND(LEFT(CT!$E97,3)=NKCT!$G$2,LEFT(CT!$D97,3)=NKCT!E$6),CT!$H97,0)</f>
        <v>0</v>
      </c>
      <c r="F101" s="69">
        <f>IF(AND(LEFT(CT!$E97,3)=NKCT!$G$2,LEFT(CT!$D97,3)=NKCT!F$6),CT!$H97,0)</f>
        <v>0</v>
      </c>
      <c r="G101" s="69">
        <f>IF(AND(LEFT(CT!$E97,3)=NKCT!$G$2,LEFT(CT!$D97,3)=NKCT!G$6),CT!$H97,0)</f>
        <v>0</v>
      </c>
      <c r="H101" s="69">
        <f>IF(AND(LEFT(CT!$E97,3)=NKCT!$G$2,LEFT(CT!$D97,3)=NKCT!H$6),CT!$H97,0)</f>
        <v>0</v>
      </c>
      <c r="I101" s="69">
        <f t="shared" si="1"/>
        <v>0</v>
      </c>
      <c r="J101" s="69" t="str">
        <f>IF(I101&gt;0,CT!D97,"")</f>
        <v/>
      </c>
    </row>
    <row r="102" spans="1:10" hidden="1" x14ac:dyDescent="0.25">
      <c r="A102" s="68" t="str">
        <f>IF(LEFT(CT!$E98,3)=NKCT!$G$2,CT!A98,"")</f>
        <v/>
      </c>
      <c r="B102" s="68" t="str">
        <f>IF(LEFT(CT!$E98,3)=NKCT!$G$2,CT!B98,"")</f>
        <v/>
      </c>
      <c r="C102" s="68" t="str">
        <f>IF(LEFT(CT!$E98,3)=NKCT!$G$2,CT!C98,"")</f>
        <v/>
      </c>
      <c r="D102" s="69">
        <f>IF(LEFT(CT!$E98,3)=NKCT!$G$2,CT!$H98,0)</f>
        <v>0</v>
      </c>
      <c r="E102" s="69">
        <f>IF(AND(LEFT(CT!$E98,3)=NKCT!$G$2,LEFT(CT!$D98,3)=NKCT!E$6),CT!$H98,0)</f>
        <v>0</v>
      </c>
      <c r="F102" s="69">
        <f>IF(AND(LEFT(CT!$E98,3)=NKCT!$G$2,LEFT(CT!$D98,3)=NKCT!F$6),CT!$H98,0)</f>
        <v>0</v>
      </c>
      <c r="G102" s="69">
        <f>IF(AND(LEFT(CT!$E98,3)=NKCT!$G$2,LEFT(CT!$D98,3)=NKCT!G$6),CT!$H98,0)</f>
        <v>0</v>
      </c>
      <c r="H102" s="69">
        <f>IF(AND(LEFT(CT!$E98,3)=NKCT!$G$2,LEFT(CT!$D98,3)=NKCT!H$6),CT!$H98,0)</f>
        <v>0</v>
      </c>
      <c r="I102" s="69">
        <f t="shared" si="1"/>
        <v>0</v>
      </c>
      <c r="J102" s="69" t="str">
        <f>IF(I102&gt;0,CT!D98,"")</f>
        <v/>
      </c>
    </row>
    <row r="103" spans="1:10" hidden="1" x14ac:dyDescent="0.25">
      <c r="A103" s="68" t="str">
        <f>IF(LEFT(CT!$E99,3)=NKCT!$G$2,CT!A99,"")</f>
        <v/>
      </c>
      <c r="B103" s="68" t="str">
        <f>IF(LEFT(CT!$E99,3)=NKCT!$G$2,CT!B99,"")</f>
        <v/>
      </c>
      <c r="C103" s="68" t="str">
        <f>IF(LEFT(CT!$E99,3)=NKCT!$G$2,CT!C99,"")</f>
        <v/>
      </c>
      <c r="D103" s="69">
        <f>IF(LEFT(CT!$E99,3)=NKCT!$G$2,CT!$H99,0)</f>
        <v>0</v>
      </c>
      <c r="E103" s="69">
        <f>IF(AND(LEFT(CT!$E99,3)=NKCT!$G$2,LEFT(CT!$D99,3)=NKCT!E$6),CT!$H99,0)</f>
        <v>0</v>
      </c>
      <c r="F103" s="69">
        <f>IF(AND(LEFT(CT!$E99,3)=NKCT!$G$2,LEFT(CT!$D99,3)=NKCT!F$6),CT!$H99,0)</f>
        <v>0</v>
      </c>
      <c r="G103" s="69">
        <f>IF(AND(LEFT(CT!$E99,3)=NKCT!$G$2,LEFT(CT!$D99,3)=NKCT!G$6),CT!$H99,0)</f>
        <v>0</v>
      </c>
      <c r="H103" s="69">
        <f>IF(AND(LEFT(CT!$E99,3)=NKCT!$G$2,LEFT(CT!$D99,3)=NKCT!H$6),CT!$H99,0)</f>
        <v>0</v>
      </c>
      <c r="I103" s="69">
        <f t="shared" si="1"/>
        <v>0</v>
      </c>
      <c r="J103" s="69" t="str">
        <f>IF(I103&gt;0,CT!D99,"")</f>
        <v/>
      </c>
    </row>
    <row r="104" spans="1:10" hidden="1" x14ac:dyDescent="0.25">
      <c r="A104" s="68" t="str">
        <f>IF(LEFT(CT!$E100,3)=NKCT!$G$2,CT!A100,"")</f>
        <v/>
      </c>
      <c r="B104" s="68" t="str">
        <f>IF(LEFT(CT!$E100,3)=NKCT!$G$2,CT!B100,"")</f>
        <v/>
      </c>
      <c r="C104" s="68" t="str">
        <f>IF(LEFT(CT!$E100,3)=NKCT!$G$2,CT!C100,"")</f>
        <v/>
      </c>
      <c r="D104" s="69">
        <f>IF(LEFT(CT!$E100,3)=NKCT!$G$2,CT!$H100,0)</f>
        <v>0</v>
      </c>
      <c r="E104" s="69">
        <f>IF(AND(LEFT(CT!$E100,3)=NKCT!$G$2,LEFT(CT!$D100,3)=NKCT!E$6),CT!$H100,0)</f>
        <v>0</v>
      </c>
      <c r="F104" s="69">
        <f>IF(AND(LEFT(CT!$E100,3)=NKCT!$G$2,LEFT(CT!$D100,3)=NKCT!F$6),CT!$H100,0)</f>
        <v>0</v>
      </c>
      <c r="G104" s="69">
        <f>IF(AND(LEFT(CT!$E100,3)=NKCT!$G$2,LEFT(CT!$D100,3)=NKCT!G$6),CT!$H100,0)</f>
        <v>0</v>
      </c>
      <c r="H104" s="69">
        <f>IF(AND(LEFT(CT!$E100,3)=NKCT!$G$2,LEFT(CT!$D100,3)=NKCT!H$6),CT!$H100,0)</f>
        <v>0</v>
      </c>
      <c r="I104" s="69">
        <f t="shared" si="1"/>
        <v>0</v>
      </c>
      <c r="J104" s="69" t="str">
        <f>IF(I104&gt;0,CT!D100,"")</f>
        <v/>
      </c>
    </row>
    <row r="105" spans="1:10" hidden="1" x14ac:dyDescent="0.25">
      <c r="A105" s="68" t="str">
        <f>IF(LEFT(CT!$E101,3)=NKCT!$G$2,CT!A101,"")</f>
        <v/>
      </c>
      <c r="B105" s="68" t="str">
        <f>IF(LEFT(CT!$E101,3)=NKCT!$G$2,CT!B101,"")</f>
        <v/>
      </c>
      <c r="C105" s="68" t="str">
        <f>IF(LEFT(CT!$E101,3)=NKCT!$G$2,CT!C101,"")</f>
        <v/>
      </c>
      <c r="D105" s="69">
        <f>IF(LEFT(CT!$E101,3)=NKCT!$G$2,CT!$H101,0)</f>
        <v>0</v>
      </c>
      <c r="E105" s="69">
        <f>IF(AND(LEFT(CT!$E101,3)=NKCT!$G$2,LEFT(CT!$D101,3)=NKCT!E$6),CT!$H101,0)</f>
        <v>0</v>
      </c>
      <c r="F105" s="69">
        <f>IF(AND(LEFT(CT!$E101,3)=NKCT!$G$2,LEFT(CT!$D101,3)=NKCT!F$6),CT!$H101,0)</f>
        <v>0</v>
      </c>
      <c r="G105" s="69">
        <f>IF(AND(LEFT(CT!$E101,3)=NKCT!$G$2,LEFT(CT!$D101,3)=NKCT!G$6),CT!$H101,0)</f>
        <v>0</v>
      </c>
      <c r="H105" s="69">
        <f>IF(AND(LEFT(CT!$E101,3)=NKCT!$G$2,LEFT(CT!$D101,3)=NKCT!H$6),CT!$H101,0)</f>
        <v>0</v>
      </c>
      <c r="I105" s="69">
        <f t="shared" si="1"/>
        <v>0</v>
      </c>
      <c r="J105" s="69" t="str">
        <f>IF(I105&gt;0,CT!D101,"")</f>
        <v/>
      </c>
    </row>
    <row r="106" spans="1:10" hidden="1" x14ac:dyDescent="0.25">
      <c r="A106" s="68" t="str">
        <f>IF(LEFT(CT!$E102,3)=NKCT!$G$2,CT!A102,"")</f>
        <v/>
      </c>
      <c r="B106" s="68" t="str">
        <f>IF(LEFT(CT!$E102,3)=NKCT!$G$2,CT!B102,"")</f>
        <v/>
      </c>
      <c r="C106" s="68" t="str">
        <f>IF(LEFT(CT!$E102,3)=NKCT!$G$2,CT!C102,"")</f>
        <v/>
      </c>
      <c r="D106" s="69">
        <f>IF(LEFT(CT!$E102,3)=NKCT!$G$2,CT!$H102,0)</f>
        <v>0</v>
      </c>
      <c r="E106" s="69">
        <f>IF(AND(LEFT(CT!$E102,3)=NKCT!$G$2,LEFT(CT!$D102,3)=NKCT!E$6),CT!$H102,0)</f>
        <v>0</v>
      </c>
      <c r="F106" s="69">
        <f>IF(AND(LEFT(CT!$E102,3)=NKCT!$G$2,LEFT(CT!$D102,3)=NKCT!F$6),CT!$H102,0)</f>
        <v>0</v>
      </c>
      <c r="G106" s="69">
        <f>IF(AND(LEFT(CT!$E102,3)=NKCT!$G$2,LEFT(CT!$D102,3)=NKCT!G$6),CT!$H102,0)</f>
        <v>0</v>
      </c>
      <c r="H106" s="69">
        <f>IF(AND(LEFT(CT!$E102,3)=NKCT!$G$2,LEFT(CT!$D102,3)=NKCT!H$6),CT!$H102,0)</f>
        <v>0</v>
      </c>
      <c r="I106" s="69">
        <f t="shared" si="1"/>
        <v>0</v>
      </c>
      <c r="J106" s="69" t="str">
        <f>IF(I106&gt;0,CT!D102,"")</f>
        <v/>
      </c>
    </row>
    <row r="107" spans="1:10" hidden="1" x14ac:dyDescent="0.25">
      <c r="A107" s="68" t="str">
        <f>IF(LEFT(CT!$E103,3)=NKCT!$G$2,CT!A103,"")</f>
        <v/>
      </c>
      <c r="B107" s="68" t="str">
        <f>IF(LEFT(CT!$E103,3)=NKCT!$G$2,CT!B103,"")</f>
        <v/>
      </c>
      <c r="C107" s="68" t="str">
        <f>IF(LEFT(CT!$E103,3)=NKCT!$G$2,CT!C103,"")</f>
        <v/>
      </c>
      <c r="D107" s="69">
        <f>IF(LEFT(CT!$E103,3)=NKCT!$G$2,CT!$H103,0)</f>
        <v>0</v>
      </c>
      <c r="E107" s="69">
        <f>IF(AND(LEFT(CT!$E103,3)=NKCT!$G$2,LEFT(CT!$D103,3)=NKCT!E$6),CT!$H103,0)</f>
        <v>0</v>
      </c>
      <c r="F107" s="69">
        <f>IF(AND(LEFT(CT!$E103,3)=NKCT!$G$2,LEFT(CT!$D103,3)=NKCT!F$6),CT!$H103,0)</f>
        <v>0</v>
      </c>
      <c r="G107" s="69">
        <f>IF(AND(LEFT(CT!$E103,3)=NKCT!$G$2,LEFT(CT!$D103,3)=NKCT!G$6),CT!$H103,0)</f>
        <v>0</v>
      </c>
      <c r="H107" s="69">
        <f>IF(AND(LEFT(CT!$E103,3)=NKCT!$G$2,LEFT(CT!$D103,3)=NKCT!H$6),CT!$H103,0)</f>
        <v>0</v>
      </c>
      <c r="I107" s="69">
        <f t="shared" si="1"/>
        <v>0</v>
      </c>
      <c r="J107" s="69" t="str">
        <f>IF(I107&gt;0,CT!D103,"")</f>
        <v/>
      </c>
    </row>
    <row r="108" spans="1:10" hidden="1" x14ac:dyDescent="0.25">
      <c r="A108" s="68" t="str">
        <f>IF(LEFT(CT!$E104,3)=NKCT!$G$2,CT!A104,"")</f>
        <v/>
      </c>
      <c r="B108" s="68" t="str">
        <f>IF(LEFT(CT!$E104,3)=NKCT!$G$2,CT!B104,"")</f>
        <v/>
      </c>
      <c r="C108" s="68" t="str">
        <f>IF(LEFT(CT!$E104,3)=NKCT!$G$2,CT!C104,"")</f>
        <v/>
      </c>
      <c r="D108" s="69">
        <f>IF(LEFT(CT!$E104,3)=NKCT!$G$2,CT!$H104,0)</f>
        <v>0</v>
      </c>
      <c r="E108" s="69">
        <f>IF(AND(LEFT(CT!$E104,3)=NKCT!$G$2,LEFT(CT!$D104,3)=NKCT!E$6),CT!$H104,0)</f>
        <v>0</v>
      </c>
      <c r="F108" s="69">
        <f>IF(AND(LEFT(CT!$E104,3)=NKCT!$G$2,LEFT(CT!$D104,3)=NKCT!F$6),CT!$H104,0)</f>
        <v>0</v>
      </c>
      <c r="G108" s="69">
        <f>IF(AND(LEFT(CT!$E104,3)=NKCT!$G$2,LEFT(CT!$D104,3)=NKCT!G$6),CT!$H104,0)</f>
        <v>0</v>
      </c>
      <c r="H108" s="69">
        <f>IF(AND(LEFT(CT!$E104,3)=NKCT!$G$2,LEFT(CT!$D104,3)=NKCT!H$6),CT!$H104,0)</f>
        <v>0</v>
      </c>
      <c r="I108" s="69">
        <f t="shared" si="1"/>
        <v>0</v>
      </c>
      <c r="J108" s="69" t="str">
        <f>IF(I108&gt;0,CT!D104,"")</f>
        <v/>
      </c>
    </row>
    <row r="109" spans="1:10" hidden="1" x14ac:dyDescent="0.25">
      <c r="A109" s="68" t="str">
        <f>IF(LEFT(CT!$E105,3)=NKCT!$G$2,CT!A105,"")</f>
        <v/>
      </c>
      <c r="B109" s="68" t="str">
        <f>IF(LEFT(CT!$E105,3)=NKCT!$G$2,CT!B105,"")</f>
        <v/>
      </c>
      <c r="C109" s="68" t="str">
        <f>IF(LEFT(CT!$E105,3)=NKCT!$G$2,CT!C105,"")</f>
        <v/>
      </c>
      <c r="D109" s="69">
        <f>IF(LEFT(CT!$E105,3)=NKCT!$G$2,CT!$H105,0)</f>
        <v>0</v>
      </c>
      <c r="E109" s="69">
        <f>IF(AND(LEFT(CT!$E105,3)=NKCT!$G$2,LEFT(CT!$D105,3)=NKCT!E$6),CT!$H105,0)</f>
        <v>0</v>
      </c>
      <c r="F109" s="69">
        <f>IF(AND(LEFT(CT!$E105,3)=NKCT!$G$2,LEFT(CT!$D105,3)=NKCT!F$6),CT!$H105,0)</f>
        <v>0</v>
      </c>
      <c r="G109" s="69">
        <f>IF(AND(LEFT(CT!$E105,3)=NKCT!$G$2,LEFT(CT!$D105,3)=NKCT!G$6),CT!$H105,0)</f>
        <v>0</v>
      </c>
      <c r="H109" s="69">
        <f>IF(AND(LEFT(CT!$E105,3)=NKCT!$G$2,LEFT(CT!$D105,3)=NKCT!H$6),CT!$H105,0)</f>
        <v>0</v>
      </c>
      <c r="I109" s="69">
        <f t="shared" si="1"/>
        <v>0</v>
      </c>
      <c r="J109" s="69" t="str">
        <f>IF(I109&gt;0,CT!D105,"")</f>
        <v/>
      </c>
    </row>
    <row r="110" spans="1:10" hidden="1" x14ac:dyDescent="0.25">
      <c r="A110" s="68" t="str">
        <f>IF(LEFT(CT!$E106,3)=NKCT!$G$2,CT!A106,"")</f>
        <v/>
      </c>
      <c r="B110" s="68" t="str">
        <f>IF(LEFT(CT!$E106,3)=NKCT!$G$2,CT!B106,"")</f>
        <v/>
      </c>
      <c r="C110" s="68" t="str">
        <f>IF(LEFT(CT!$E106,3)=NKCT!$G$2,CT!C106,"")</f>
        <v/>
      </c>
      <c r="D110" s="69">
        <f>IF(LEFT(CT!$E106,3)=NKCT!$G$2,CT!$H106,0)</f>
        <v>0</v>
      </c>
      <c r="E110" s="69">
        <f>IF(AND(LEFT(CT!$E106,3)=NKCT!$G$2,LEFT(CT!$D106,3)=NKCT!E$6),CT!$H106,0)</f>
        <v>0</v>
      </c>
      <c r="F110" s="69">
        <f>IF(AND(LEFT(CT!$E106,3)=NKCT!$G$2,LEFT(CT!$D106,3)=NKCT!F$6),CT!$H106,0)</f>
        <v>0</v>
      </c>
      <c r="G110" s="69">
        <f>IF(AND(LEFT(CT!$E106,3)=NKCT!$G$2,LEFT(CT!$D106,3)=NKCT!G$6),CT!$H106,0)</f>
        <v>0</v>
      </c>
      <c r="H110" s="69">
        <f>IF(AND(LEFT(CT!$E106,3)=NKCT!$G$2,LEFT(CT!$D106,3)=NKCT!H$6),CT!$H106,0)</f>
        <v>0</v>
      </c>
      <c r="I110" s="69">
        <f t="shared" si="1"/>
        <v>0</v>
      </c>
      <c r="J110" s="69" t="str">
        <f>IF(I110&gt;0,CT!D106,"")</f>
        <v/>
      </c>
    </row>
    <row r="111" spans="1:10" hidden="1" x14ac:dyDescent="0.25">
      <c r="A111" s="68" t="str">
        <f>IF(LEFT(CT!$E107,3)=NKCT!$G$2,CT!A107,"")</f>
        <v/>
      </c>
      <c r="B111" s="68" t="str">
        <f>IF(LEFT(CT!$E107,3)=NKCT!$G$2,CT!B107,"")</f>
        <v/>
      </c>
      <c r="C111" s="68" t="str">
        <f>IF(LEFT(CT!$E107,3)=NKCT!$G$2,CT!C107,"")</f>
        <v/>
      </c>
      <c r="D111" s="69">
        <f>IF(LEFT(CT!$E107,3)=NKCT!$G$2,CT!$H107,0)</f>
        <v>0</v>
      </c>
      <c r="E111" s="69">
        <f>IF(AND(LEFT(CT!$E107,3)=NKCT!$G$2,LEFT(CT!$D107,3)=NKCT!E$6),CT!$H107,0)</f>
        <v>0</v>
      </c>
      <c r="F111" s="69">
        <f>IF(AND(LEFT(CT!$E107,3)=NKCT!$G$2,LEFT(CT!$D107,3)=NKCT!F$6),CT!$H107,0)</f>
        <v>0</v>
      </c>
      <c r="G111" s="69">
        <f>IF(AND(LEFT(CT!$E107,3)=NKCT!$G$2,LEFT(CT!$D107,3)=NKCT!G$6),CT!$H107,0)</f>
        <v>0</v>
      </c>
      <c r="H111" s="69">
        <f>IF(AND(LEFT(CT!$E107,3)=NKCT!$G$2,LEFT(CT!$D107,3)=NKCT!H$6),CT!$H107,0)</f>
        <v>0</v>
      </c>
      <c r="I111" s="69">
        <f t="shared" si="1"/>
        <v>0</v>
      </c>
      <c r="J111" s="69" t="str">
        <f>IF(I111&gt;0,CT!D107,"")</f>
        <v/>
      </c>
    </row>
    <row r="112" spans="1:10" hidden="1" x14ac:dyDescent="0.25">
      <c r="A112" s="68" t="str">
        <f>IF(LEFT(CT!$E108,3)=NKCT!$G$2,CT!A108,"")</f>
        <v/>
      </c>
      <c r="B112" s="68" t="str">
        <f>IF(LEFT(CT!$E108,3)=NKCT!$G$2,CT!B108,"")</f>
        <v/>
      </c>
      <c r="C112" s="68" t="str">
        <f>IF(LEFT(CT!$E108,3)=NKCT!$G$2,CT!C108,"")</f>
        <v/>
      </c>
      <c r="D112" s="69">
        <f>IF(LEFT(CT!$E108,3)=NKCT!$G$2,CT!$H108,0)</f>
        <v>0</v>
      </c>
      <c r="E112" s="69">
        <f>IF(AND(LEFT(CT!$E108,3)=NKCT!$G$2,LEFT(CT!$D108,3)=NKCT!E$6),CT!$H108,0)</f>
        <v>0</v>
      </c>
      <c r="F112" s="69">
        <f>IF(AND(LEFT(CT!$E108,3)=NKCT!$G$2,LEFT(CT!$D108,3)=NKCT!F$6),CT!$H108,0)</f>
        <v>0</v>
      </c>
      <c r="G112" s="69">
        <f>IF(AND(LEFT(CT!$E108,3)=NKCT!$G$2,LEFT(CT!$D108,3)=NKCT!G$6),CT!$H108,0)</f>
        <v>0</v>
      </c>
      <c r="H112" s="69">
        <f>IF(AND(LEFT(CT!$E108,3)=NKCT!$G$2,LEFT(CT!$D108,3)=NKCT!H$6),CT!$H108,0)</f>
        <v>0</v>
      </c>
      <c r="I112" s="69">
        <f t="shared" si="1"/>
        <v>0</v>
      </c>
      <c r="J112" s="69" t="str">
        <f>IF(I112&gt;0,CT!D108,"")</f>
        <v/>
      </c>
    </row>
    <row r="113" spans="1:10" hidden="1" x14ac:dyDescent="0.25">
      <c r="A113" s="68" t="str">
        <f>IF(LEFT(CT!$E109,3)=NKCT!$G$2,CT!A109,"")</f>
        <v/>
      </c>
      <c r="B113" s="68" t="str">
        <f>IF(LEFT(CT!$E109,3)=NKCT!$G$2,CT!B109,"")</f>
        <v/>
      </c>
      <c r="C113" s="68" t="str">
        <f>IF(LEFT(CT!$E109,3)=NKCT!$G$2,CT!C109,"")</f>
        <v/>
      </c>
      <c r="D113" s="69">
        <f>IF(LEFT(CT!$E109,3)=NKCT!$G$2,CT!$H109,0)</f>
        <v>0</v>
      </c>
      <c r="E113" s="69">
        <f>IF(AND(LEFT(CT!$E109,3)=NKCT!$G$2,LEFT(CT!$D109,3)=NKCT!E$6),CT!$H109,0)</f>
        <v>0</v>
      </c>
      <c r="F113" s="69">
        <f>IF(AND(LEFT(CT!$E109,3)=NKCT!$G$2,LEFT(CT!$D109,3)=NKCT!F$6),CT!$H109,0)</f>
        <v>0</v>
      </c>
      <c r="G113" s="69">
        <f>IF(AND(LEFT(CT!$E109,3)=NKCT!$G$2,LEFT(CT!$D109,3)=NKCT!G$6),CT!$H109,0)</f>
        <v>0</v>
      </c>
      <c r="H113" s="69">
        <f>IF(AND(LEFT(CT!$E109,3)=NKCT!$G$2,LEFT(CT!$D109,3)=NKCT!H$6),CT!$H109,0)</f>
        <v>0</v>
      </c>
      <c r="I113" s="69">
        <f t="shared" si="1"/>
        <v>0</v>
      </c>
      <c r="J113" s="69" t="str">
        <f>IF(I113&gt;0,CT!D109,"")</f>
        <v/>
      </c>
    </row>
    <row r="114" spans="1:10" hidden="1" x14ac:dyDescent="0.25">
      <c r="A114" s="68" t="str">
        <f>IF(LEFT(CT!$E110,3)=NKCT!$G$2,CT!A110,"")</f>
        <v/>
      </c>
      <c r="B114" s="68" t="str">
        <f>IF(LEFT(CT!$E110,3)=NKCT!$G$2,CT!B110,"")</f>
        <v/>
      </c>
      <c r="C114" s="68" t="str">
        <f>IF(LEFT(CT!$E110,3)=NKCT!$G$2,CT!C110,"")</f>
        <v/>
      </c>
      <c r="D114" s="69">
        <f>IF(LEFT(CT!$E110,3)=NKCT!$G$2,CT!$H110,0)</f>
        <v>0</v>
      </c>
      <c r="E114" s="69">
        <f>IF(AND(LEFT(CT!$E110,3)=NKCT!$G$2,LEFT(CT!$D110,3)=NKCT!E$6),CT!$H110,0)</f>
        <v>0</v>
      </c>
      <c r="F114" s="69">
        <f>IF(AND(LEFT(CT!$E110,3)=NKCT!$G$2,LEFT(CT!$D110,3)=NKCT!F$6),CT!$H110,0)</f>
        <v>0</v>
      </c>
      <c r="G114" s="69">
        <f>IF(AND(LEFT(CT!$E110,3)=NKCT!$G$2,LEFT(CT!$D110,3)=NKCT!G$6),CT!$H110,0)</f>
        <v>0</v>
      </c>
      <c r="H114" s="69">
        <f>IF(AND(LEFT(CT!$E110,3)=NKCT!$G$2,LEFT(CT!$D110,3)=NKCT!H$6),CT!$H110,0)</f>
        <v>0</v>
      </c>
      <c r="I114" s="69">
        <f t="shared" si="1"/>
        <v>0</v>
      </c>
      <c r="J114" s="69" t="str">
        <f>IF(I114&gt;0,CT!D110,"")</f>
        <v/>
      </c>
    </row>
    <row r="115" spans="1:10" hidden="1" x14ac:dyDescent="0.25">
      <c r="A115" s="68" t="str">
        <f>IF(LEFT(CT!$E111,3)=NKCT!$G$2,CT!A111,"")</f>
        <v/>
      </c>
      <c r="B115" s="68" t="str">
        <f>IF(LEFT(CT!$E111,3)=NKCT!$G$2,CT!B111,"")</f>
        <v/>
      </c>
      <c r="C115" s="68" t="str">
        <f>IF(LEFT(CT!$E111,3)=NKCT!$G$2,CT!C111,"")</f>
        <v/>
      </c>
      <c r="D115" s="69">
        <f>IF(LEFT(CT!$E111,3)=NKCT!$G$2,CT!$H111,0)</f>
        <v>0</v>
      </c>
      <c r="E115" s="69">
        <f>IF(AND(LEFT(CT!$E111,3)=NKCT!$G$2,LEFT(CT!$D111,3)=NKCT!E$6),CT!$H111,0)</f>
        <v>0</v>
      </c>
      <c r="F115" s="69">
        <f>IF(AND(LEFT(CT!$E111,3)=NKCT!$G$2,LEFT(CT!$D111,3)=NKCT!F$6),CT!$H111,0)</f>
        <v>0</v>
      </c>
      <c r="G115" s="69">
        <f>IF(AND(LEFT(CT!$E111,3)=NKCT!$G$2,LEFT(CT!$D111,3)=NKCT!G$6),CT!$H111,0)</f>
        <v>0</v>
      </c>
      <c r="H115" s="69">
        <f>IF(AND(LEFT(CT!$E111,3)=NKCT!$G$2,LEFT(CT!$D111,3)=NKCT!H$6),CT!$H111,0)</f>
        <v>0</v>
      </c>
      <c r="I115" s="69">
        <f t="shared" si="1"/>
        <v>0</v>
      </c>
      <c r="J115" s="69" t="str">
        <f>IF(I115&gt;0,CT!D111,"")</f>
        <v/>
      </c>
    </row>
    <row r="116" spans="1:10" hidden="1" x14ac:dyDescent="0.25">
      <c r="A116" s="68" t="str">
        <f>IF(LEFT(CT!$E112,3)=NKCT!$G$2,CT!A112,"")</f>
        <v/>
      </c>
      <c r="B116" s="68" t="str">
        <f>IF(LEFT(CT!$E112,3)=NKCT!$G$2,CT!B112,"")</f>
        <v/>
      </c>
      <c r="C116" s="68" t="str">
        <f>IF(LEFT(CT!$E112,3)=NKCT!$G$2,CT!C112,"")</f>
        <v/>
      </c>
      <c r="D116" s="69">
        <f>IF(LEFT(CT!$E112,3)=NKCT!$G$2,CT!$H112,0)</f>
        <v>0</v>
      </c>
      <c r="E116" s="69">
        <f>IF(AND(LEFT(CT!$E112,3)=NKCT!$G$2,LEFT(CT!$D112,3)=NKCT!E$6),CT!$H112,0)</f>
        <v>0</v>
      </c>
      <c r="F116" s="69">
        <f>IF(AND(LEFT(CT!$E112,3)=NKCT!$G$2,LEFT(CT!$D112,3)=NKCT!F$6),CT!$H112,0)</f>
        <v>0</v>
      </c>
      <c r="G116" s="69">
        <f>IF(AND(LEFT(CT!$E112,3)=NKCT!$G$2,LEFT(CT!$D112,3)=NKCT!G$6),CT!$H112,0)</f>
        <v>0</v>
      </c>
      <c r="H116" s="69">
        <f>IF(AND(LEFT(CT!$E112,3)=NKCT!$G$2,LEFT(CT!$D112,3)=NKCT!H$6),CT!$H112,0)</f>
        <v>0</v>
      </c>
      <c r="I116" s="69">
        <f t="shared" si="1"/>
        <v>0</v>
      </c>
      <c r="J116" s="69" t="str">
        <f>IF(I116&gt;0,CT!D112,"")</f>
        <v/>
      </c>
    </row>
    <row r="117" spans="1:10" hidden="1" x14ac:dyDescent="0.25">
      <c r="A117" s="68" t="str">
        <f>IF(LEFT(CT!$E113,3)=NKCT!$G$2,CT!A113,"")</f>
        <v/>
      </c>
      <c r="B117" s="68" t="str">
        <f>IF(LEFT(CT!$E113,3)=NKCT!$G$2,CT!B113,"")</f>
        <v/>
      </c>
      <c r="C117" s="68" t="str">
        <f>IF(LEFT(CT!$E113,3)=NKCT!$G$2,CT!C113,"")</f>
        <v/>
      </c>
      <c r="D117" s="69">
        <f>IF(LEFT(CT!$E113,3)=NKCT!$G$2,CT!$H113,0)</f>
        <v>0</v>
      </c>
      <c r="E117" s="69">
        <f>IF(AND(LEFT(CT!$E113,3)=NKCT!$G$2,LEFT(CT!$D113,3)=NKCT!E$6),CT!$H113,0)</f>
        <v>0</v>
      </c>
      <c r="F117" s="69">
        <f>IF(AND(LEFT(CT!$E113,3)=NKCT!$G$2,LEFT(CT!$D113,3)=NKCT!F$6),CT!$H113,0)</f>
        <v>0</v>
      </c>
      <c r="G117" s="69">
        <f>IF(AND(LEFT(CT!$E113,3)=NKCT!$G$2,LEFT(CT!$D113,3)=NKCT!G$6),CT!$H113,0)</f>
        <v>0</v>
      </c>
      <c r="H117" s="69">
        <f>IF(AND(LEFT(CT!$E113,3)=NKCT!$G$2,LEFT(CT!$D113,3)=NKCT!H$6),CT!$H113,0)</f>
        <v>0</v>
      </c>
      <c r="I117" s="69">
        <f t="shared" si="1"/>
        <v>0</v>
      </c>
      <c r="J117" s="69" t="str">
        <f>IF(I117&gt;0,CT!D113,"")</f>
        <v/>
      </c>
    </row>
    <row r="118" spans="1:10" hidden="1" x14ac:dyDescent="0.25">
      <c r="A118" s="68" t="str">
        <f>IF(LEFT(CT!$E114,3)=NKCT!$G$2,CT!A114,"")</f>
        <v/>
      </c>
      <c r="B118" s="68" t="str">
        <f>IF(LEFT(CT!$E114,3)=NKCT!$G$2,CT!B114,"")</f>
        <v/>
      </c>
      <c r="C118" s="68" t="str">
        <f>IF(LEFT(CT!$E114,3)=NKCT!$G$2,CT!C114,"")</f>
        <v/>
      </c>
      <c r="D118" s="69">
        <f>IF(LEFT(CT!$E114,3)=NKCT!$G$2,CT!$H114,0)</f>
        <v>0</v>
      </c>
      <c r="E118" s="69">
        <f>IF(AND(LEFT(CT!$E114,3)=NKCT!$G$2,LEFT(CT!$D114,3)=NKCT!E$6),CT!$H114,0)</f>
        <v>0</v>
      </c>
      <c r="F118" s="69">
        <f>IF(AND(LEFT(CT!$E114,3)=NKCT!$G$2,LEFT(CT!$D114,3)=NKCT!F$6),CT!$H114,0)</f>
        <v>0</v>
      </c>
      <c r="G118" s="69">
        <f>IF(AND(LEFT(CT!$E114,3)=NKCT!$G$2,LEFT(CT!$D114,3)=NKCT!G$6),CT!$H114,0)</f>
        <v>0</v>
      </c>
      <c r="H118" s="69">
        <f>IF(AND(LEFT(CT!$E114,3)=NKCT!$G$2,LEFT(CT!$D114,3)=NKCT!H$6),CT!$H114,0)</f>
        <v>0</v>
      </c>
      <c r="I118" s="69">
        <f t="shared" si="1"/>
        <v>0</v>
      </c>
      <c r="J118" s="69" t="str">
        <f>IF(I118&gt;0,CT!D114,"")</f>
        <v/>
      </c>
    </row>
    <row r="119" spans="1:10" hidden="1" x14ac:dyDescent="0.25">
      <c r="A119" s="68" t="str">
        <f>IF(LEFT(CT!$E115,3)=NKCT!$G$2,CT!A115,"")</f>
        <v/>
      </c>
      <c r="B119" s="68" t="str">
        <f>IF(LEFT(CT!$E115,3)=NKCT!$G$2,CT!B115,"")</f>
        <v/>
      </c>
      <c r="C119" s="68" t="str">
        <f>IF(LEFT(CT!$E115,3)=NKCT!$G$2,CT!C115,"")</f>
        <v/>
      </c>
      <c r="D119" s="69">
        <f>IF(LEFT(CT!$E115,3)=NKCT!$G$2,CT!$H115,0)</f>
        <v>0</v>
      </c>
      <c r="E119" s="69">
        <f>IF(AND(LEFT(CT!$E115,3)=NKCT!$G$2,LEFT(CT!$D115,3)=NKCT!E$6),CT!$H115,0)</f>
        <v>0</v>
      </c>
      <c r="F119" s="69">
        <f>IF(AND(LEFT(CT!$E115,3)=NKCT!$G$2,LEFT(CT!$D115,3)=NKCT!F$6),CT!$H115,0)</f>
        <v>0</v>
      </c>
      <c r="G119" s="69">
        <f>IF(AND(LEFT(CT!$E115,3)=NKCT!$G$2,LEFT(CT!$D115,3)=NKCT!G$6),CT!$H115,0)</f>
        <v>0</v>
      </c>
      <c r="H119" s="69">
        <f>IF(AND(LEFT(CT!$E115,3)=NKCT!$G$2,LEFT(CT!$D115,3)=NKCT!H$6),CT!$H115,0)</f>
        <v>0</v>
      </c>
      <c r="I119" s="69">
        <f t="shared" si="1"/>
        <v>0</v>
      </c>
      <c r="J119" s="69" t="str">
        <f>IF(I119&gt;0,CT!D115,"")</f>
        <v/>
      </c>
    </row>
    <row r="120" spans="1:10" hidden="1" x14ac:dyDescent="0.25">
      <c r="A120" s="68" t="str">
        <f>IF(LEFT(CT!$E116,3)=NKCT!$G$2,CT!A116,"")</f>
        <v/>
      </c>
      <c r="B120" s="68" t="str">
        <f>IF(LEFT(CT!$E116,3)=NKCT!$G$2,CT!B116,"")</f>
        <v/>
      </c>
      <c r="C120" s="68" t="str">
        <f>IF(LEFT(CT!$E116,3)=NKCT!$G$2,CT!C116,"")</f>
        <v/>
      </c>
      <c r="D120" s="69">
        <f>IF(LEFT(CT!$E116,3)=NKCT!$G$2,CT!$H116,0)</f>
        <v>0</v>
      </c>
      <c r="E120" s="69">
        <f>IF(AND(LEFT(CT!$E116,3)=NKCT!$G$2,LEFT(CT!$D116,3)=NKCT!E$6),CT!$H116,0)</f>
        <v>0</v>
      </c>
      <c r="F120" s="69">
        <f>IF(AND(LEFT(CT!$E116,3)=NKCT!$G$2,LEFT(CT!$D116,3)=NKCT!F$6),CT!$H116,0)</f>
        <v>0</v>
      </c>
      <c r="G120" s="69">
        <f>IF(AND(LEFT(CT!$E116,3)=NKCT!$G$2,LEFT(CT!$D116,3)=NKCT!G$6),CT!$H116,0)</f>
        <v>0</v>
      </c>
      <c r="H120" s="69">
        <f>IF(AND(LEFT(CT!$E116,3)=NKCT!$G$2,LEFT(CT!$D116,3)=NKCT!H$6),CT!$H116,0)</f>
        <v>0</v>
      </c>
      <c r="I120" s="69">
        <f t="shared" si="1"/>
        <v>0</v>
      </c>
      <c r="J120" s="69" t="str">
        <f>IF(I120&gt;0,CT!D116,"")</f>
        <v/>
      </c>
    </row>
    <row r="121" spans="1:10" hidden="1" x14ac:dyDescent="0.25">
      <c r="A121" s="68" t="str">
        <f>IF(LEFT(CT!$E117,3)=NKCT!$G$2,CT!A117,"")</f>
        <v/>
      </c>
      <c r="B121" s="68" t="str">
        <f>IF(LEFT(CT!$E117,3)=NKCT!$G$2,CT!B117,"")</f>
        <v/>
      </c>
      <c r="C121" s="68" t="str">
        <f>IF(LEFT(CT!$E117,3)=NKCT!$G$2,CT!C117,"")</f>
        <v/>
      </c>
      <c r="D121" s="69">
        <f>IF(LEFT(CT!$E117,3)=NKCT!$G$2,CT!$H117,0)</f>
        <v>0</v>
      </c>
      <c r="E121" s="69">
        <f>IF(AND(LEFT(CT!$E117,3)=NKCT!$G$2,LEFT(CT!$D117,3)=NKCT!E$6),CT!$H117,0)</f>
        <v>0</v>
      </c>
      <c r="F121" s="69">
        <f>IF(AND(LEFT(CT!$E117,3)=NKCT!$G$2,LEFT(CT!$D117,3)=NKCT!F$6),CT!$H117,0)</f>
        <v>0</v>
      </c>
      <c r="G121" s="69">
        <f>IF(AND(LEFT(CT!$E117,3)=NKCT!$G$2,LEFT(CT!$D117,3)=NKCT!G$6),CT!$H117,0)</f>
        <v>0</v>
      </c>
      <c r="H121" s="69">
        <f>IF(AND(LEFT(CT!$E117,3)=NKCT!$G$2,LEFT(CT!$D117,3)=NKCT!H$6),CT!$H117,0)</f>
        <v>0</v>
      </c>
      <c r="I121" s="69">
        <f t="shared" si="1"/>
        <v>0</v>
      </c>
      <c r="J121" s="69" t="str">
        <f>IF(I121&gt;0,CT!D117,"")</f>
        <v/>
      </c>
    </row>
    <row r="122" spans="1:10" hidden="1" x14ac:dyDescent="0.25">
      <c r="A122" s="68" t="str">
        <f>IF(LEFT(CT!$E118,3)=NKCT!$G$2,CT!A118,"")</f>
        <v/>
      </c>
      <c r="B122" s="68" t="str">
        <f>IF(LEFT(CT!$E118,3)=NKCT!$G$2,CT!B118,"")</f>
        <v/>
      </c>
      <c r="C122" s="68" t="str">
        <f>IF(LEFT(CT!$E118,3)=NKCT!$G$2,CT!C118,"")</f>
        <v/>
      </c>
      <c r="D122" s="69">
        <f>IF(LEFT(CT!$E118,3)=NKCT!$G$2,CT!$H118,0)</f>
        <v>0</v>
      </c>
      <c r="E122" s="69">
        <f>IF(AND(LEFT(CT!$E118,3)=NKCT!$G$2,LEFT(CT!$D118,3)=NKCT!E$6),CT!$H118,0)</f>
        <v>0</v>
      </c>
      <c r="F122" s="69">
        <f>IF(AND(LEFT(CT!$E118,3)=NKCT!$G$2,LEFT(CT!$D118,3)=NKCT!F$6),CT!$H118,0)</f>
        <v>0</v>
      </c>
      <c r="G122" s="69">
        <f>IF(AND(LEFT(CT!$E118,3)=NKCT!$G$2,LEFT(CT!$D118,3)=NKCT!G$6),CT!$H118,0)</f>
        <v>0</v>
      </c>
      <c r="H122" s="69">
        <f>IF(AND(LEFT(CT!$E118,3)=NKCT!$G$2,LEFT(CT!$D118,3)=NKCT!H$6),CT!$H118,0)</f>
        <v>0</v>
      </c>
      <c r="I122" s="69">
        <f t="shared" si="1"/>
        <v>0</v>
      </c>
      <c r="J122" s="69" t="str">
        <f>IF(I122&gt;0,CT!D118,"")</f>
        <v/>
      </c>
    </row>
    <row r="123" spans="1:10" hidden="1" x14ac:dyDescent="0.25">
      <c r="A123" s="68" t="str">
        <f>IF(LEFT(CT!$E119,3)=NKCT!$G$2,CT!A119,"")</f>
        <v/>
      </c>
      <c r="B123" s="68" t="str">
        <f>IF(LEFT(CT!$E119,3)=NKCT!$G$2,CT!B119,"")</f>
        <v/>
      </c>
      <c r="C123" s="68" t="str">
        <f>IF(LEFT(CT!$E119,3)=NKCT!$G$2,CT!C119,"")</f>
        <v/>
      </c>
      <c r="D123" s="69">
        <f>IF(LEFT(CT!$E119,3)=NKCT!$G$2,CT!$H119,0)</f>
        <v>0</v>
      </c>
      <c r="E123" s="69">
        <f>IF(AND(LEFT(CT!$E119,3)=NKCT!$G$2,LEFT(CT!$D119,3)=NKCT!E$6),CT!$H119,0)</f>
        <v>0</v>
      </c>
      <c r="F123" s="69">
        <f>IF(AND(LEFT(CT!$E119,3)=NKCT!$G$2,LEFT(CT!$D119,3)=NKCT!F$6),CT!$H119,0)</f>
        <v>0</v>
      </c>
      <c r="G123" s="69">
        <f>IF(AND(LEFT(CT!$E119,3)=NKCT!$G$2,LEFT(CT!$D119,3)=NKCT!G$6),CT!$H119,0)</f>
        <v>0</v>
      </c>
      <c r="H123" s="69">
        <f>IF(AND(LEFT(CT!$E119,3)=NKCT!$G$2,LEFT(CT!$D119,3)=NKCT!H$6),CT!$H119,0)</f>
        <v>0</v>
      </c>
      <c r="I123" s="69">
        <f t="shared" si="1"/>
        <v>0</v>
      </c>
      <c r="J123" s="69" t="str">
        <f>IF(I123&gt;0,CT!D119,"")</f>
        <v/>
      </c>
    </row>
    <row r="124" spans="1:10" hidden="1" x14ac:dyDescent="0.25">
      <c r="A124" s="68" t="str">
        <f>IF(LEFT(CT!$E120,3)=NKCT!$G$2,CT!A120,"")</f>
        <v/>
      </c>
      <c r="B124" s="68" t="str">
        <f>IF(LEFT(CT!$E120,3)=NKCT!$G$2,CT!B120,"")</f>
        <v/>
      </c>
      <c r="C124" s="68" t="str">
        <f>IF(LEFT(CT!$E120,3)=NKCT!$G$2,CT!C120,"")</f>
        <v/>
      </c>
      <c r="D124" s="69">
        <f>IF(LEFT(CT!$E120,3)=NKCT!$G$2,CT!$H120,0)</f>
        <v>0</v>
      </c>
      <c r="E124" s="69">
        <f>IF(AND(LEFT(CT!$E120,3)=NKCT!$G$2,LEFT(CT!$D120,3)=NKCT!E$6),CT!$H120,0)</f>
        <v>0</v>
      </c>
      <c r="F124" s="69">
        <f>IF(AND(LEFT(CT!$E120,3)=NKCT!$G$2,LEFT(CT!$D120,3)=NKCT!F$6),CT!$H120,0)</f>
        <v>0</v>
      </c>
      <c r="G124" s="69">
        <f>IF(AND(LEFT(CT!$E120,3)=NKCT!$G$2,LEFT(CT!$D120,3)=NKCT!G$6),CT!$H120,0)</f>
        <v>0</v>
      </c>
      <c r="H124" s="69">
        <f>IF(AND(LEFT(CT!$E120,3)=NKCT!$G$2,LEFT(CT!$D120,3)=NKCT!H$6),CT!$H120,0)</f>
        <v>0</v>
      </c>
      <c r="I124" s="69">
        <f t="shared" si="1"/>
        <v>0</v>
      </c>
      <c r="J124" s="69" t="str">
        <f>IF(I124&gt;0,CT!D120,"")</f>
        <v/>
      </c>
    </row>
    <row r="125" spans="1:10" hidden="1" x14ac:dyDescent="0.25">
      <c r="A125" s="68" t="str">
        <f>IF(LEFT(CT!$E121,3)=NKCT!$G$2,CT!A121,"")</f>
        <v/>
      </c>
      <c r="B125" s="68" t="str">
        <f>IF(LEFT(CT!$E121,3)=NKCT!$G$2,CT!B121,"")</f>
        <v/>
      </c>
      <c r="C125" s="68" t="str">
        <f>IF(LEFT(CT!$E121,3)=NKCT!$G$2,CT!C121,"")</f>
        <v/>
      </c>
      <c r="D125" s="69">
        <f>IF(LEFT(CT!$E121,3)=NKCT!$G$2,CT!$H121,0)</f>
        <v>0</v>
      </c>
      <c r="E125" s="69">
        <f>IF(AND(LEFT(CT!$E121,3)=NKCT!$G$2,LEFT(CT!$D121,3)=NKCT!E$6),CT!$H121,0)</f>
        <v>0</v>
      </c>
      <c r="F125" s="69">
        <f>IF(AND(LEFT(CT!$E121,3)=NKCT!$G$2,LEFT(CT!$D121,3)=NKCT!F$6),CT!$H121,0)</f>
        <v>0</v>
      </c>
      <c r="G125" s="69">
        <f>IF(AND(LEFT(CT!$E121,3)=NKCT!$G$2,LEFT(CT!$D121,3)=NKCT!G$6),CT!$H121,0)</f>
        <v>0</v>
      </c>
      <c r="H125" s="69">
        <f>IF(AND(LEFT(CT!$E121,3)=NKCT!$G$2,LEFT(CT!$D121,3)=NKCT!H$6),CT!$H121,0)</f>
        <v>0</v>
      </c>
      <c r="I125" s="69">
        <f t="shared" si="1"/>
        <v>0</v>
      </c>
      <c r="J125" s="69" t="str">
        <f>IF(I125&gt;0,CT!D121,"")</f>
        <v/>
      </c>
    </row>
    <row r="126" spans="1:10" hidden="1" x14ac:dyDescent="0.25">
      <c r="A126" s="68" t="str">
        <f>IF(LEFT(CT!$E122,3)=NKCT!$G$2,CT!A122,"")</f>
        <v/>
      </c>
      <c r="B126" s="68" t="str">
        <f>IF(LEFT(CT!$E122,3)=NKCT!$G$2,CT!B122,"")</f>
        <v/>
      </c>
      <c r="C126" s="68" t="str">
        <f>IF(LEFT(CT!$E122,3)=NKCT!$G$2,CT!C122,"")</f>
        <v/>
      </c>
      <c r="D126" s="69">
        <f>IF(LEFT(CT!$E122,3)=NKCT!$G$2,CT!$H122,0)</f>
        <v>0</v>
      </c>
      <c r="E126" s="69">
        <f>IF(AND(LEFT(CT!$E122,3)=NKCT!$G$2,LEFT(CT!$D122,3)=NKCT!E$6),CT!$H122,0)</f>
        <v>0</v>
      </c>
      <c r="F126" s="69">
        <f>IF(AND(LEFT(CT!$E122,3)=NKCT!$G$2,LEFT(CT!$D122,3)=NKCT!F$6),CT!$H122,0)</f>
        <v>0</v>
      </c>
      <c r="G126" s="69">
        <f>IF(AND(LEFT(CT!$E122,3)=NKCT!$G$2,LEFT(CT!$D122,3)=NKCT!G$6),CT!$H122,0)</f>
        <v>0</v>
      </c>
      <c r="H126" s="69">
        <f>IF(AND(LEFT(CT!$E122,3)=NKCT!$G$2,LEFT(CT!$D122,3)=NKCT!H$6),CT!$H122,0)</f>
        <v>0</v>
      </c>
      <c r="I126" s="69">
        <f t="shared" si="1"/>
        <v>0</v>
      </c>
      <c r="J126" s="69" t="str">
        <f>IF(I126&gt;0,CT!D122,"")</f>
        <v/>
      </c>
    </row>
    <row r="127" spans="1:10" hidden="1" x14ac:dyDescent="0.25">
      <c r="A127" s="68" t="str">
        <f>IF(LEFT(CT!$E123,3)=NKCT!$G$2,CT!A123,"")</f>
        <v/>
      </c>
      <c r="B127" s="68" t="str">
        <f>IF(LEFT(CT!$E123,3)=NKCT!$G$2,CT!B123,"")</f>
        <v/>
      </c>
      <c r="C127" s="68" t="str">
        <f>IF(LEFT(CT!$E123,3)=NKCT!$G$2,CT!C123,"")</f>
        <v/>
      </c>
      <c r="D127" s="69">
        <f>IF(LEFT(CT!$E123,3)=NKCT!$G$2,CT!$H123,0)</f>
        <v>0</v>
      </c>
      <c r="E127" s="69">
        <f>IF(AND(LEFT(CT!$E123,3)=NKCT!$G$2,LEFT(CT!$D123,3)=NKCT!E$6),CT!$H123,0)</f>
        <v>0</v>
      </c>
      <c r="F127" s="69">
        <f>IF(AND(LEFT(CT!$E123,3)=NKCT!$G$2,LEFT(CT!$D123,3)=NKCT!F$6),CT!$H123,0)</f>
        <v>0</v>
      </c>
      <c r="G127" s="69">
        <f>IF(AND(LEFT(CT!$E123,3)=NKCT!$G$2,LEFT(CT!$D123,3)=NKCT!G$6),CT!$H123,0)</f>
        <v>0</v>
      </c>
      <c r="H127" s="69">
        <f>IF(AND(LEFT(CT!$E123,3)=NKCT!$G$2,LEFT(CT!$D123,3)=NKCT!H$6),CT!$H123,0)</f>
        <v>0</v>
      </c>
      <c r="I127" s="69">
        <f t="shared" si="1"/>
        <v>0</v>
      </c>
      <c r="J127" s="69" t="str">
        <f>IF(I127&gt;0,CT!D123,"")</f>
        <v/>
      </c>
    </row>
    <row r="128" spans="1:10" hidden="1" x14ac:dyDescent="0.25">
      <c r="A128" s="68" t="str">
        <f>IF(LEFT(CT!$E124,3)=NKCT!$G$2,CT!A124,"")</f>
        <v/>
      </c>
      <c r="B128" s="68" t="str">
        <f>IF(LEFT(CT!$E124,3)=NKCT!$G$2,CT!B124,"")</f>
        <v/>
      </c>
      <c r="C128" s="68" t="str">
        <f>IF(LEFT(CT!$E124,3)=NKCT!$G$2,CT!C124,"")</f>
        <v/>
      </c>
      <c r="D128" s="69">
        <f>IF(LEFT(CT!$E124,3)=NKCT!$G$2,CT!$H124,0)</f>
        <v>0</v>
      </c>
      <c r="E128" s="69">
        <f>IF(AND(LEFT(CT!$E124,3)=NKCT!$G$2,LEFT(CT!$D124,3)=NKCT!E$6),CT!$H124,0)</f>
        <v>0</v>
      </c>
      <c r="F128" s="69">
        <f>IF(AND(LEFT(CT!$E124,3)=NKCT!$G$2,LEFT(CT!$D124,3)=NKCT!F$6),CT!$H124,0)</f>
        <v>0</v>
      </c>
      <c r="G128" s="69">
        <f>IF(AND(LEFT(CT!$E124,3)=NKCT!$G$2,LEFT(CT!$D124,3)=NKCT!G$6),CT!$H124,0)</f>
        <v>0</v>
      </c>
      <c r="H128" s="69">
        <f>IF(AND(LEFT(CT!$E124,3)=NKCT!$G$2,LEFT(CT!$D124,3)=NKCT!H$6),CT!$H124,0)</f>
        <v>0</v>
      </c>
      <c r="I128" s="69">
        <f t="shared" si="1"/>
        <v>0</v>
      </c>
      <c r="J128" s="69" t="str">
        <f>IF(I128&gt;0,CT!D124,"")</f>
        <v/>
      </c>
    </row>
    <row r="129" spans="1:10" hidden="1" x14ac:dyDescent="0.25">
      <c r="A129" s="68" t="str">
        <f>IF(LEFT(CT!$E125,3)=NKCT!$G$2,CT!A125,"")</f>
        <v/>
      </c>
      <c r="B129" s="68" t="str">
        <f>IF(LEFT(CT!$E125,3)=NKCT!$G$2,CT!B125,"")</f>
        <v/>
      </c>
      <c r="C129" s="68" t="str">
        <f>IF(LEFT(CT!$E125,3)=NKCT!$G$2,CT!C125,"")</f>
        <v/>
      </c>
      <c r="D129" s="69">
        <f>IF(LEFT(CT!$E125,3)=NKCT!$G$2,CT!$H125,0)</f>
        <v>0</v>
      </c>
      <c r="E129" s="69">
        <f>IF(AND(LEFT(CT!$E125,3)=NKCT!$G$2,LEFT(CT!$D125,3)=NKCT!E$6),CT!$H125,0)</f>
        <v>0</v>
      </c>
      <c r="F129" s="69">
        <f>IF(AND(LEFT(CT!$E125,3)=NKCT!$G$2,LEFT(CT!$D125,3)=NKCT!F$6),CT!$H125,0)</f>
        <v>0</v>
      </c>
      <c r="G129" s="69">
        <f>IF(AND(LEFT(CT!$E125,3)=NKCT!$G$2,LEFT(CT!$D125,3)=NKCT!G$6),CT!$H125,0)</f>
        <v>0</v>
      </c>
      <c r="H129" s="69">
        <f>IF(AND(LEFT(CT!$E125,3)=NKCT!$G$2,LEFT(CT!$D125,3)=NKCT!H$6),CT!$H125,0)</f>
        <v>0</v>
      </c>
      <c r="I129" s="69">
        <f t="shared" si="1"/>
        <v>0</v>
      </c>
      <c r="J129" s="69" t="str">
        <f>IF(I129&gt;0,CT!D125,"")</f>
        <v/>
      </c>
    </row>
    <row r="130" spans="1:10" hidden="1" x14ac:dyDescent="0.25">
      <c r="A130" s="68" t="str">
        <f>IF(LEFT(CT!$E126,3)=NKCT!$G$2,CT!A126,"")</f>
        <v/>
      </c>
      <c r="B130" s="68" t="str">
        <f>IF(LEFT(CT!$E126,3)=NKCT!$G$2,CT!B126,"")</f>
        <v/>
      </c>
      <c r="C130" s="68" t="str">
        <f>IF(LEFT(CT!$E126,3)=NKCT!$G$2,CT!C126,"")</f>
        <v/>
      </c>
      <c r="D130" s="69">
        <f>IF(LEFT(CT!$E126,3)=NKCT!$G$2,CT!$H126,0)</f>
        <v>0</v>
      </c>
      <c r="E130" s="69">
        <f>IF(AND(LEFT(CT!$E126,3)=NKCT!$G$2,LEFT(CT!$D126,3)=NKCT!E$6),CT!$H126,0)</f>
        <v>0</v>
      </c>
      <c r="F130" s="69">
        <f>IF(AND(LEFT(CT!$E126,3)=NKCT!$G$2,LEFT(CT!$D126,3)=NKCT!F$6),CT!$H126,0)</f>
        <v>0</v>
      </c>
      <c r="G130" s="69">
        <f>IF(AND(LEFT(CT!$E126,3)=NKCT!$G$2,LEFT(CT!$D126,3)=NKCT!G$6),CT!$H126,0)</f>
        <v>0</v>
      </c>
      <c r="H130" s="69">
        <f>IF(AND(LEFT(CT!$E126,3)=NKCT!$G$2,LEFT(CT!$D126,3)=NKCT!H$6),CT!$H126,0)</f>
        <v>0</v>
      </c>
      <c r="I130" s="69">
        <f t="shared" si="1"/>
        <v>0</v>
      </c>
      <c r="J130" s="69" t="str">
        <f>IF(I130&gt;0,CT!D126,"")</f>
        <v/>
      </c>
    </row>
    <row r="131" spans="1:10" hidden="1" x14ac:dyDescent="0.25">
      <c r="A131" s="68" t="str">
        <f>IF(LEFT(CT!$E127,3)=NKCT!$G$2,CT!A127,"")</f>
        <v/>
      </c>
      <c r="B131" s="68" t="str">
        <f>IF(LEFT(CT!$E127,3)=NKCT!$G$2,CT!B127,"")</f>
        <v/>
      </c>
      <c r="C131" s="68" t="str">
        <f>IF(LEFT(CT!$E127,3)=NKCT!$G$2,CT!C127,"")</f>
        <v/>
      </c>
      <c r="D131" s="69">
        <f>IF(LEFT(CT!$E127,3)=NKCT!$G$2,CT!$H127,0)</f>
        <v>0</v>
      </c>
      <c r="E131" s="69">
        <f>IF(AND(LEFT(CT!$E127,3)=NKCT!$G$2,LEFT(CT!$D127,3)=NKCT!E$6),CT!$H127,0)</f>
        <v>0</v>
      </c>
      <c r="F131" s="69">
        <f>IF(AND(LEFT(CT!$E127,3)=NKCT!$G$2,LEFT(CT!$D127,3)=NKCT!F$6),CT!$H127,0)</f>
        <v>0</v>
      </c>
      <c r="G131" s="69">
        <f>IF(AND(LEFT(CT!$E127,3)=NKCT!$G$2,LEFT(CT!$D127,3)=NKCT!G$6),CT!$H127,0)</f>
        <v>0</v>
      </c>
      <c r="H131" s="69">
        <f>IF(AND(LEFT(CT!$E127,3)=NKCT!$G$2,LEFT(CT!$D127,3)=NKCT!H$6),CT!$H127,0)</f>
        <v>0</v>
      </c>
      <c r="I131" s="69">
        <f t="shared" si="1"/>
        <v>0</v>
      </c>
      <c r="J131" s="69" t="str">
        <f>IF(I131&gt;0,CT!D127,"")</f>
        <v/>
      </c>
    </row>
    <row r="132" spans="1:10" hidden="1" x14ac:dyDescent="0.25">
      <c r="A132" s="68" t="str">
        <f>IF(LEFT(CT!$E128,3)=NKCT!$G$2,CT!A128,"")</f>
        <v/>
      </c>
      <c r="B132" s="68" t="str">
        <f>IF(LEFT(CT!$E128,3)=NKCT!$G$2,CT!B128,"")</f>
        <v/>
      </c>
      <c r="C132" s="68" t="str">
        <f>IF(LEFT(CT!$E128,3)=NKCT!$G$2,CT!C128,"")</f>
        <v/>
      </c>
      <c r="D132" s="69">
        <f>IF(LEFT(CT!$E128,3)=NKCT!$G$2,CT!$H128,0)</f>
        <v>0</v>
      </c>
      <c r="E132" s="69">
        <f>IF(AND(LEFT(CT!$E128,3)=NKCT!$G$2,LEFT(CT!$D128,3)=NKCT!E$6),CT!$H128,0)</f>
        <v>0</v>
      </c>
      <c r="F132" s="69">
        <f>IF(AND(LEFT(CT!$E128,3)=NKCT!$G$2,LEFT(CT!$D128,3)=NKCT!F$6),CT!$H128,0)</f>
        <v>0</v>
      </c>
      <c r="G132" s="69">
        <f>IF(AND(LEFT(CT!$E128,3)=NKCT!$G$2,LEFT(CT!$D128,3)=NKCT!G$6),CT!$H128,0)</f>
        <v>0</v>
      </c>
      <c r="H132" s="69">
        <f>IF(AND(LEFT(CT!$E128,3)=NKCT!$G$2,LEFT(CT!$D128,3)=NKCT!H$6),CT!$H128,0)</f>
        <v>0</v>
      </c>
      <c r="I132" s="69">
        <f t="shared" si="1"/>
        <v>0</v>
      </c>
      <c r="J132" s="69" t="str">
        <f>IF(I132&gt;0,CT!D128,"")</f>
        <v/>
      </c>
    </row>
    <row r="133" spans="1:10" hidden="1" x14ac:dyDescent="0.25">
      <c r="A133" s="68" t="str">
        <f>IF(LEFT(CT!$E129,3)=NKCT!$G$2,CT!A129,"")</f>
        <v/>
      </c>
      <c r="B133" s="68" t="str">
        <f>IF(LEFT(CT!$E129,3)=NKCT!$G$2,CT!B129,"")</f>
        <v/>
      </c>
      <c r="C133" s="68" t="str">
        <f>IF(LEFT(CT!$E129,3)=NKCT!$G$2,CT!C129,"")</f>
        <v/>
      </c>
      <c r="D133" s="69">
        <f>IF(LEFT(CT!$E129,3)=NKCT!$G$2,CT!$H129,0)</f>
        <v>0</v>
      </c>
      <c r="E133" s="69">
        <f>IF(AND(LEFT(CT!$E129,3)=NKCT!$G$2,LEFT(CT!$D129,3)=NKCT!E$6),CT!$H129,0)</f>
        <v>0</v>
      </c>
      <c r="F133" s="69">
        <f>IF(AND(LEFT(CT!$E129,3)=NKCT!$G$2,LEFT(CT!$D129,3)=NKCT!F$6),CT!$H129,0)</f>
        <v>0</v>
      </c>
      <c r="G133" s="69">
        <f>IF(AND(LEFT(CT!$E129,3)=NKCT!$G$2,LEFT(CT!$D129,3)=NKCT!G$6),CT!$H129,0)</f>
        <v>0</v>
      </c>
      <c r="H133" s="69">
        <f>IF(AND(LEFT(CT!$E129,3)=NKCT!$G$2,LEFT(CT!$D129,3)=NKCT!H$6),CT!$H129,0)</f>
        <v>0</v>
      </c>
      <c r="I133" s="69">
        <f t="shared" si="1"/>
        <v>0</v>
      </c>
      <c r="J133" s="69" t="str">
        <f>IF(I133&gt;0,CT!D129,"")</f>
        <v/>
      </c>
    </row>
    <row r="134" spans="1:10" hidden="1" x14ac:dyDescent="0.25">
      <c r="A134" s="68" t="str">
        <f>IF(LEFT(CT!$E130,3)=NKCT!$G$2,CT!A130,"")</f>
        <v/>
      </c>
      <c r="B134" s="68" t="str">
        <f>IF(LEFT(CT!$E130,3)=NKCT!$G$2,CT!B130,"")</f>
        <v/>
      </c>
      <c r="C134" s="68" t="str">
        <f>IF(LEFT(CT!$E130,3)=NKCT!$G$2,CT!C130,"")</f>
        <v/>
      </c>
      <c r="D134" s="69">
        <f>IF(LEFT(CT!$E130,3)=NKCT!$G$2,CT!$H130,0)</f>
        <v>0</v>
      </c>
      <c r="E134" s="69">
        <f>IF(AND(LEFT(CT!$E130,3)=NKCT!$G$2,LEFT(CT!$D130,3)=NKCT!E$6),CT!$H130,0)</f>
        <v>0</v>
      </c>
      <c r="F134" s="69">
        <f>IF(AND(LEFT(CT!$E130,3)=NKCT!$G$2,LEFT(CT!$D130,3)=NKCT!F$6),CT!$H130,0)</f>
        <v>0</v>
      </c>
      <c r="G134" s="69">
        <f>IF(AND(LEFT(CT!$E130,3)=NKCT!$G$2,LEFT(CT!$D130,3)=NKCT!G$6),CT!$H130,0)</f>
        <v>0</v>
      </c>
      <c r="H134" s="69">
        <f>IF(AND(LEFT(CT!$E130,3)=NKCT!$G$2,LEFT(CT!$D130,3)=NKCT!H$6),CT!$H130,0)</f>
        <v>0</v>
      </c>
      <c r="I134" s="69">
        <f t="shared" si="1"/>
        <v>0</v>
      </c>
      <c r="J134" s="69" t="str">
        <f>IF(I134&gt;0,CT!D130,"")</f>
        <v/>
      </c>
    </row>
    <row r="135" spans="1:10" hidden="1" x14ac:dyDescent="0.25">
      <c r="A135" s="68" t="str">
        <f>IF(LEFT(CT!$E131,3)=NKCT!$G$2,CT!A131,"")</f>
        <v/>
      </c>
      <c r="B135" s="68" t="str">
        <f>IF(LEFT(CT!$E131,3)=NKCT!$G$2,CT!B131,"")</f>
        <v/>
      </c>
      <c r="C135" s="68" t="str">
        <f>IF(LEFT(CT!$E131,3)=NKCT!$G$2,CT!C131,"")</f>
        <v/>
      </c>
      <c r="D135" s="69">
        <f>IF(LEFT(CT!$E131,3)=NKCT!$G$2,CT!$H131,0)</f>
        <v>0</v>
      </c>
      <c r="E135" s="69">
        <f>IF(AND(LEFT(CT!$E131,3)=NKCT!$G$2,LEFT(CT!$D131,3)=NKCT!E$6),CT!$H131,0)</f>
        <v>0</v>
      </c>
      <c r="F135" s="69">
        <f>IF(AND(LEFT(CT!$E131,3)=NKCT!$G$2,LEFT(CT!$D131,3)=NKCT!F$6),CT!$H131,0)</f>
        <v>0</v>
      </c>
      <c r="G135" s="69">
        <f>IF(AND(LEFT(CT!$E131,3)=NKCT!$G$2,LEFT(CT!$D131,3)=NKCT!G$6),CT!$H131,0)</f>
        <v>0</v>
      </c>
      <c r="H135" s="69">
        <f>IF(AND(LEFT(CT!$E131,3)=NKCT!$G$2,LEFT(CT!$D131,3)=NKCT!H$6),CT!$H131,0)</f>
        <v>0</v>
      </c>
      <c r="I135" s="69">
        <f t="shared" si="1"/>
        <v>0</v>
      </c>
      <c r="J135" s="69" t="str">
        <f>IF(I135&gt;0,CT!D131,"")</f>
        <v/>
      </c>
    </row>
    <row r="136" spans="1:10" hidden="1" x14ac:dyDescent="0.25">
      <c r="A136" s="68" t="str">
        <f>IF(LEFT(CT!$E132,3)=NKCT!$G$2,CT!A132,"")</f>
        <v/>
      </c>
      <c r="B136" s="68" t="str">
        <f>IF(LEFT(CT!$E132,3)=NKCT!$G$2,CT!B132,"")</f>
        <v/>
      </c>
      <c r="C136" s="68" t="str">
        <f>IF(LEFT(CT!$E132,3)=NKCT!$G$2,CT!C132,"")</f>
        <v/>
      </c>
      <c r="D136" s="69">
        <f>IF(LEFT(CT!$E132,3)=NKCT!$G$2,CT!$H132,0)</f>
        <v>0</v>
      </c>
      <c r="E136" s="69">
        <f>IF(AND(LEFT(CT!$E132,3)=NKCT!$G$2,LEFT(CT!$D132,3)=NKCT!E$6),CT!$H132,0)</f>
        <v>0</v>
      </c>
      <c r="F136" s="69">
        <f>IF(AND(LEFT(CT!$E132,3)=NKCT!$G$2,LEFT(CT!$D132,3)=NKCT!F$6),CT!$H132,0)</f>
        <v>0</v>
      </c>
      <c r="G136" s="69">
        <f>IF(AND(LEFT(CT!$E132,3)=NKCT!$G$2,LEFT(CT!$D132,3)=NKCT!G$6),CT!$H132,0)</f>
        <v>0</v>
      </c>
      <c r="H136" s="69">
        <f>IF(AND(LEFT(CT!$E132,3)=NKCT!$G$2,LEFT(CT!$D132,3)=NKCT!H$6),CT!$H132,0)</f>
        <v>0</v>
      </c>
      <c r="I136" s="69">
        <f t="shared" si="1"/>
        <v>0</v>
      </c>
      <c r="J136" s="69" t="str">
        <f>IF(I136&gt;0,CT!D132,"")</f>
        <v/>
      </c>
    </row>
    <row r="137" spans="1:10" hidden="1" x14ac:dyDescent="0.25">
      <c r="A137" s="68" t="str">
        <f>IF(LEFT(CT!$E133,3)=NKCT!$G$2,CT!A133,"")</f>
        <v/>
      </c>
      <c r="B137" s="68" t="str">
        <f>IF(LEFT(CT!$E133,3)=NKCT!$G$2,CT!B133,"")</f>
        <v/>
      </c>
      <c r="C137" s="68" t="str">
        <f>IF(LEFT(CT!$E133,3)=NKCT!$G$2,CT!C133,"")</f>
        <v/>
      </c>
      <c r="D137" s="69">
        <f>IF(LEFT(CT!$E133,3)=NKCT!$G$2,CT!$H133,0)</f>
        <v>0</v>
      </c>
      <c r="E137" s="69">
        <f>IF(AND(LEFT(CT!$E133,3)=NKCT!$G$2,LEFT(CT!$D133,3)=NKCT!E$6),CT!$H133,0)</f>
        <v>0</v>
      </c>
      <c r="F137" s="69">
        <f>IF(AND(LEFT(CT!$E133,3)=NKCT!$G$2,LEFT(CT!$D133,3)=NKCT!F$6),CT!$H133,0)</f>
        <v>0</v>
      </c>
      <c r="G137" s="69">
        <f>IF(AND(LEFT(CT!$E133,3)=NKCT!$G$2,LEFT(CT!$D133,3)=NKCT!G$6),CT!$H133,0)</f>
        <v>0</v>
      </c>
      <c r="H137" s="69">
        <f>IF(AND(LEFT(CT!$E133,3)=NKCT!$G$2,LEFT(CT!$D133,3)=NKCT!H$6),CT!$H133,0)</f>
        <v>0</v>
      </c>
      <c r="I137" s="69">
        <f t="shared" si="1"/>
        <v>0</v>
      </c>
      <c r="J137" s="69" t="str">
        <f>IF(I137&gt;0,CT!D133,"")</f>
        <v/>
      </c>
    </row>
    <row r="138" spans="1:10" hidden="1" x14ac:dyDescent="0.25">
      <c r="A138" s="68" t="str">
        <f>IF(LEFT(CT!$E134,3)=NKCT!$G$2,CT!A134,"")</f>
        <v/>
      </c>
      <c r="B138" s="68" t="str">
        <f>IF(LEFT(CT!$E134,3)=NKCT!$G$2,CT!B134,"")</f>
        <v/>
      </c>
      <c r="C138" s="68" t="str">
        <f>IF(LEFT(CT!$E134,3)=NKCT!$G$2,CT!C134,"")</f>
        <v/>
      </c>
      <c r="D138" s="69">
        <f>IF(LEFT(CT!$E134,3)=NKCT!$G$2,CT!$H134,0)</f>
        <v>0</v>
      </c>
      <c r="E138" s="69">
        <f>IF(AND(LEFT(CT!$E134,3)=NKCT!$G$2,LEFT(CT!$D134,3)=NKCT!E$6),CT!$H134,0)</f>
        <v>0</v>
      </c>
      <c r="F138" s="69">
        <f>IF(AND(LEFT(CT!$E134,3)=NKCT!$G$2,LEFT(CT!$D134,3)=NKCT!F$6),CT!$H134,0)</f>
        <v>0</v>
      </c>
      <c r="G138" s="69">
        <f>IF(AND(LEFT(CT!$E134,3)=NKCT!$G$2,LEFT(CT!$D134,3)=NKCT!G$6),CT!$H134,0)</f>
        <v>0</v>
      </c>
      <c r="H138" s="69">
        <f>IF(AND(LEFT(CT!$E134,3)=NKCT!$G$2,LEFT(CT!$D134,3)=NKCT!H$6),CT!$H134,0)</f>
        <v>0</v>
      </c>
      <c r="I138" s="69">
        <f t="shared" ref="I138:I147" si="2">IF(SUM(E138:H138)=0,D138,0)</f>
        <v>0</v>
      </c>
      <c r="J138" s="69" t="str">
        <f>IF(I138&gt;0,CT!D134,"")</f>
        <v/>
      </c>
    </row>
    <row r="139" spans="1:10" hidden="1" x14ac:dyDescent="0.25">
      <c r="A139" s="68" t="str">
        <f>IF(LEFT(CT!$E135,3)=NKCT!$G$2,CT!A135,"")</f>
        <v/>
      </c>
      <c r="B139" s="68" t="str">
        <f>IF(LEFT(CT!$E135,3)=NKCT!$G$2,CT!B135,"")</f>
        <v/>
      </c>
      <c r="C139" s="68" t="str">
        <f>IF(LEFT(CT!$E135,3)=NKCT!$G$2,CT!C135,"")</f>
        <v/>
      </c>
      <c r="D139" s="69">
        <f>IF(LEFT(CT!$E135,3)=NKCT!$G$2,CT!$H135,0)</f>
        <v>0</v>
      </c>
      <c r="E139" s="69">
        <f>IF(AND(LEFT(CT!$E135,3)=NKCT!$G$2,LEFT(CT!$D135,3)=NKCT!E$6),CT!$H135,0)</f>
        <v>0</v>
      </c>
      <c r="F139" s="69">
        <f>IF(AND(LEFT(CT!$E135,3)=NKCT!$G$2,LEFT(CT!$D135,3)=NKCT!F$6),CT!$H135,0)</f>
        <v>0</v>
      </c>
      <c r="G139" s="69">
        <f>IF(AND(LEFT(CT!$E135,3)=NKCT!$G$2,LEFT(CT!$D135,3)=NKCT!G$6),CT!$H135,0)</f>
        <v>0</v>
      </c>
      <c r="H139" s="69">
        <f>IF(AND(LEFT(CT!$E135,3)=NKCT!$G$2,LEFT(CT!$D135,3)=NKCT!H$6),CT!$H135,0)</f>
        <v>0</v>
      </c>
      <c r="I139" s="69">
        <f t="shared" si="2"/>
        <v>0</v>
      </c>
      <c r="J139" s="69" t="str">
        <f>IF(I139&gt;0,CT!D135,"")</f>
        <v/>
      </c>
    </row>
    <row r="140" spans="1:10" hidden="1" x14ac:dyDescent="0.25">
      <c r="A140" s="68" t="str">
        <f>IF(LEFT(CT!$E136,3)=NKCT!$G$2,CT!A136,"")</f>
        <v/>
      </c>
      <c r="B140" s="68" t="str">
        <f>IF(LEFT(CT!$E136,3)=NKCT!$G$2,CT!B136,"")</f>
        <v/>
      </c>
      <c r="C140" s="68" t="str">
        <f>IF(LEFT(CT!$E136,3)=NKCT!$G$2,CT!C136,"")</f>
        <v/>
      </c>
      <c r="D140" s="69">
        <f>IF(LEFT(CT!$E136,3)=NKCT!$G$2,CT!$H136,0)</f>
        <v>0</v>
      </c>
      <c r="E140" s="69">
        <f>IF(AND(LEFT(CT!$E136,3)=NKCT!$G$2,LEFT(CT!$D136,3)=NKCT!E$6),CT!$H136,0)</f>
        <v>0</v>
      </c>
      <c r="F140" s="69">
        <f>IF(AND(LEFT(CT!$E136,3)=NKCT!$G$2,LEFT(CT!$D136,3)=NKCT!F$6),CT!$H136,0)</f>
        <v>0</v>
      </c>
      <c r="G140" s="69">
        <f>IF(AND(LEFT(CT!$E136,3)=NKCT!$G$2,LEFT(CT!$D136,3)=NKCT!G$6),CT!$H136,0)</f>
        <v>0</v>
      </c>
      <c r="H140" s="69">
        <f>IF(AND(LEFT(CT!$E136,3)=NKCT!$G$2,LEFT(CT!$D136,3)=NKCT!H$6),CT!$H136,0)</f>
        <v>0</v>
      </c>
      <c r="I140" s="69">
        <f t="shared" si="2"/>
        <v>0</v>
      </c>
      <c r="J140" s="69" t="str">
        <f>IF(I140&gt;0,CT!D136,"")</f>
        <v/>
      </c>
    </row>
    <row r="141" spans="1:10" hidden="1" x14ac:dyDescent="0.25">
      <c r="A141" s="68" t="str">
        <f>IF(LEFT(CT!$E137,3)=NKCT!$G$2,CT!A137,"")</f>
        <v/>
      </c>
      <c r="B141" s="68" t="str">
        <f>IF(LEFT(CT!$E137,3)=NKCT!$G$2,CT!B137,"")</f>
        <v/>
      </c>
      <c r="C141" s="68" t="str">
        <f>IF(LEFT(CT!$E137,3)=NKCT!$G$2,CT!C137,"")</f>
        <v/>
      </c>
      <c r="D141" s="69">
        <f>IF(LEFT(CT!$E137,3)=NKCT!$G$2,CT!$H137,0)</f>
        <v>0</v>
      </c>
      <c r="E141" s="69">
        <f>IF(AND(LEFT(CT!$E137,3)=NKCT!$G$2,LEFT(CT!$D137,3)=NKCT!E$6),CT!$H137,0)</f>
        <v>0</v>
      </c>
      <c r="F141" s="69">
        <f>IF(AND(LEFT(CT!$E137,3)=NKCT!$G$2,LEFT(CT!$D137,3)=NKCT!F$6),CT!$H137,0)</f>
        <v>0</v>
      </c>
      <c r="G141" s="69">
        <f>IF(AND(LEFT(CT!$E137,3)=NKCT!$G$2,LEFT(CT!$D137,3)=NKCT!G$6),CT!$H137,0)</f>
        <v>0</v>
      </c>
      <c r="H141" s="69">
        <f>IF(AND(LEFT(CT!$E137,3)=NKCT!$G$2,LEFT(CT!$D137,3)=NKCT!H$6),CT!$H137,0)</f>
        <v>0</v>
      </c>
      <c r="I141" s="69">
        <f t="shared" si="2"/>
        <v>0</v>
      </c>
      <c r="J141" s="69" t="str">
        <f>IF(I141&gt;0,CT!D137,"")</f>
        <v/>
      </c>
    </row>
    <row r="142" spans="1:10" hidden="1" x14ac:dyDescent="0.25">
      <c r="A142" s="68" t="str">
        <f>IF(LEFT(CT!$E138,3)=NKCT!$G$2,CT!A138,"")</f>
        <v/>
      </c>
      <c r="B142" s="68" t="str">
        <f>IF(LEFT(CT!$E138,3)=NKCT!$G$2,CT!B138,"")</f>
        <v/>
      </c>
      <c r="C142" s="68" t="str">
        <f>IF(LEFT(CT!$E138,3)=NKCT!$G$2,CT!C138,"")</f>
        <v/>
      </c>
      <c r="D142" s="69">
        <f>IF(LEFT(CT!$E138,3)=NKCT!$G$2,CT!$H138,0)</f>
        <v>0</v>
      </c>
      <c r="E142" s="69">
        <f>IF(AND(LEFT(CT!$E138,3)=NKCT!$G$2,LEFT(CT!$D138,3)=NKCT!E$6),CT!$H138,0)</f>
        <v>0</v>
      </c>
      <c r="F142" s="69">
        <f>IF(AND(LEFT(CT!$E138,3)=NKCT!$G$2,LEFT(CT!$D138,3)=NKCT!F$6),CT!$H138,0)</f>
        <v>0</v>
      </c>
      <c r="G142" s="69">
        <f>IF(AND(LEFT(CT!$E138,3)=NKCT!$G$2,LEFT(CT!$D138,3)=NKCT!G$6),CT!$H138,0)</f>
        <v>0</v>
      </c>
      <c r="H142" s="69">
        <f>IF(AND(LEFT(CT!$E138,3)=NKCT!$G$2,LEFT(CT!$D138,3)=NKCT!H$6),CT!$H138,0)</f>
        <v>0</v>
      </c>
      <c r="I142" s="69">
        <f t="shared" si="2"/>
        <v>0</v>
      </c>
      <c r="J142" s="69" t="str">
        <f>IF(I142&gt;0,CT!D138,"")</f>
        <v/>
      </c>
    </row>
    <row r="143" spans="1:10" hidden="1" x14ac:dyDescent="0.25">
      <c r="A143" s="68" t="str">
        <f>IF(LEFT(CT!$E139,3)=NKCT!$G$2,CT!A139,"")</f>
        <v/>
      </c>
      <c r="B143" s="68" t="str">
        <f>IF(LEFT(CT!$E139,3)=NKCT!$G$2,CT!B139,"")</f>
        <v/>
      </c>
      <c r="C143" s="68" t="str">
        <f>IF(LEFT(CT!$E139,3)=NKCT!$G$2,CT!C139,"")</f>
        <v/>
      </c>
      <c r="D143" s="69">
        <f>IF(LEFT(CT!$E139,3)=NKCT!$G$2,CT!$H139,0)</f>
        <v>0</v>
      </c>
      <c r="E143" s="69">
        <f>IF(AND(LEFT(CT!$E139,3)=NKCT!$G$2,LEFT(CT!$D139,3)=NKCT!E$6),CT!$H139,0)</f>
        <v>0</v>
      </c>
      <c r="F143" s="69">
        <f>IF(AND(LEFT(CT!$E139,3)=NKCT!$G$2,LEFT(CT!$D139,3)=NKCT!F$6),CT!$H139,0)</f>
        <v>0</v>
      </c>
      <c r="G143" s="69">
        <f>IF(AND(LEFT(CT!$E139,3)=NKCT!$G$2,LEFT(CT!$D139,3)=NKCT!G$6),CT!$H139,0)</f>
        <v>0</v>
      </c>
      <c r="H143" s="69">
        <f>IF(AND(LEFT(CT!$E139,3)=NKCT!$G$2,LEFT(CT!$D139,3)=NKCT!H$6),CT!$H139,0)</f>
        <v>0</v>
      </c>
      <c r="I143" s="69">
        <f t="shared" si="2"/>
        <v>0</v>
      </c>
      <c r="J143" s="69" t="str">
        <f>IF(I143&gt;0,CT!D139,"")</f>
        <v/>
      </c>
    </row>
    <row r="144" spans="1:10" hidden="1" x14ac:dyDescent="0.25">
      <c r="A144" s="68" t="str">
        <f>IF(LEFT(CT!$E140,3)=NKCT!$G$2,CT!A140,"")</f>
        <v/>
      </c>
      <c r="B144" s="68" t="str">
        <f>IF(LEFT(CT!$E140,3)=NKCT!$G$2,CT!B140,"")</f>
        <v/>
      </c>
      <c r="C144" s="68" t="str">
        <f>IF(LEFT(CT!$E140,3)=NKCT!$G$2,CT!C140,"")</f>
        <v/>
      </c>
      <c r="D144" s="69">
        <f>IF(LEFT(CT!$E140,3)=NKCT!$G$2,CT!$H140,0)</f>
        <v>0</v>
      </c>
      <c r="E144" s="69">
        <f>IF(AND(LEFT(CT!$E140,3)=NKCT!$G$2,LEFT(CT!$D140,3)=NKCT!E$6),CT!$H140,0)</f>
        <v>0</v>
      </c>
      <c r="F144" s="69">
        <f>IF(AND(LEFT(CT!$E140,3)=NKCT!$G$2,LEFT(CT!$D140,3)=NKCT!F$6),CT!$H140,0)</f>
        <v>0</v>
      </c>
      <c r="G144" s="69">
        <f>IF(AND(LEFT(CT!$E140,3)=NKCT!$G$2,LEFT(CT!$D140,3)=NKCT!G$6),CT!$H140,0)</f>
        <v>0</v>
      </c>
      <c r="H144" s="69">
        <f>IF(AND(LEFT(CT!$E140,3)=NKCT!$G$2,LEFT(CT!$D140,3)=NKCT!H$6),CT!$H140,0)</f>
        <v>0</v>
      </c>
      <c r="I144" s="69">
        <f t="shared" si="2"/>
        <v>0</v>
      </c>
      <c r="J144" s="69" t="str">
        <f>IF(I144&gt;0,CT!D140,"")</f>
        <v/>
      </c>
    </row>
    <row r="145" spans="1:10" hidden="1" x14ac:dyDescent="0.25">
      <c r="A145" s="68" t="str">
        <f>IF(LEFT(CT!$E141,3)=NKCT!$G$2,CT!A141,"")</f>
        <v/>
      </c>
      <c r="B145" s="68" t="str">
        <f>IF(LEFT(CT!$E141,3)=NKCT!$G$2,CT!B141,"")</f>
        <v/>
      </c>
      <c r="C145" s="68" t="str">
        <f>IF(LEFT(CT!$E141,3)=NKCT!$G$2,CT!C141,"")</f>
        <v/>
      </c>
      <c r="D145" s="69">
        <f>IF(LEFT(CT!$E141,3)=NKCT!$G$2,CT!$H141,0)</f>
        <v>0</v>
      </c>
      <c r="E145" s="69">
        <f>IF(AND(LEFT(CT!$E141,3)=NKCT!$G$2,LEFT(CT!$D141,3)=NKCT!E$6),CT!$H141,0)</f>
        <v>0</v>
      </c>
      <c r="F145" s="69">
        <f>IF(AND(LEFT(CT!$E141,3)=NKCT!$G$2,LEFT(CT!$D141,3)=NKCT!F$6),CT!$H141,0)</f>
        <v>0</v>
      </c>
      <c r="G145" s="69">
        <f>IF(AND(LEFT(CT!$E141,3)=NKCT!$G$2,LEFT(CT!$D141,3)=NKCT!G$6),CT!$H141,0)</f>
        <v>0</v>
      </c>
      <c r="H145" s="69">
        <f>IF(AND(LEFT(CT!$E141,3)=NKCT!$G$2,LEFT(CT!$D141,3)=NKCT!H$6),CT!$H141,0)</f>
        <v>0</v>
      </c>
      <c r="I145" s="69">
        <f t="shared" si="2"/>
        <v>0</v>
      </c>
      <c r="J145" s="69" t="str">
        <f>IF(I145&gt;0,CT!D141,"")</f>
        <v/>
      </c>
    </row>
    <row r="146" spans="1:10" hidden="1" x14ac:dyDescent="0.25">
      <c r="A146" s="68" t="str">
        <f>IF(LEFT(CT!$E142,3)=NKCT!$G$2,CT!A142,"")</f>
        <v/>
      </c>
      <c r="B146" s="68" t="str">
        <f>IF(LEFT(CT!$E142,3)=NKCT!$G$2,CT!B142,"")</f>
        <v/>
      </c>
      <c r="C146" s="68" t="str">
        <f>IF(LEFT(CT!$E142,3)=NKCT!$G$2,CT!C142,"")</f>
        <v/>
      </c>
      <c r="D146" s="69">
        <f>IF(LEFT(CT!$E142,3)=NKCT!$G$2,CT!$H142,0)</f>
        <v>0</v>
      </c>
      <c r="E146" s="69">
        <f>IF(AND(LEFT(CT!$E142,3)=NKCT!$G$2,LEFT(CT!$D142,3)=NKCT!E$6),CT!$H142,0)</f>
        <v>0</v>
      </c>
      <c r="F146" s="69">
        <f>IF(AND(LEFT(CT!$E142,3)=NKCT!$G$2,LEFT(CT!$D142,3)=NKCT!F$6),CT!$H142,0)</f>
        <v>0</v>
      </c>
      <c r="G146" s="69">
        <f>IF(AND(LEFT(CT!$E142,3)=NKCT!$G$2,LEFT(CT!$D142,3)=NKCT!G$6),CT!$H142,0)</f>
        <v>0</v>
      </c>
      <c r="H146" s="69">
        <f>IF(AND(LEFT(CT!$E142,3)=NKCT!$G$2,LEFT(CT!$D142,3)=NKCT!H$6),CT!$H142,0)</f>
        <v>0</v>
      </c>
      <c r="I146" s="69">
        <f t="shared" si="2"/>
        <v>0</v>
      </c>
      <c r="J146" s="69" t="str">
        <f>IF(I146&gt;0,CT!D142,"")</f>
        <v/>
      </c>
    </row>
    <row r="147" spans="1:10" hidden="1" x14ac:dyDescent="0.25">
      <c r="A147" s="141" t="str">
        <f>IF(LEFT(CT!$E143,3)=NKCT!$G$2,CT!A143,"")</f>
        <v/>
      </c>
      <c r="B147" s="141" t="str">
        <f>IF(LEFT(CT!$E143,3)=NKCT!$G$2,CT!B143,"")</f>
        <v/>
      </c>
      <c r="C147" s="141" t="str">
        <f>IF(LEFT(CT!$E143,3)=NKCT!$G$2,CT!C143,"")</f>
        <v/>
      </c>
      <c r="D147" s="137">
        <f>IF(LEFT(CT!$E143,3)=NKCT!$G$2,CT!$H143,0)</f>
        <v>0</v>
      </c>
      <c r="E147" s="137">
        <f>IF(AND(LEFT(CT!$E143,3)=NKCT!$G$2,LEFT(CT!$D143,3)=NKCT!E$6),CT!$H143,0)</f>
        <v>0</v>
      </c>
      <c r="F147" s="137">
        <f>IF(AND(LEFT(CT!$E143,3)=NKCT!$G$2,LEFT(CT!$D143,3)=NKCT!F$6),CT!$H143,0)</f>
        <v>0</v>
      </c>
      <c r="G147" s="137">
        <f>IF(AND(LEFT(CT!$E143,3)=NKCT!$G$2,LEFT(CT!$D143,3)=NKCT!G$6),CT!$H143,0)</f>
        <v>0</v>
      </c>
      <c r="H147" s="137">
        <f>IF(AND(LEFT(CT!$E143,3)=NKCT!$G$2,LEFT(CT!$D143,3)=NKCT!H$6),CT!$H143,0)</f>
        <v>0</v>
      </c>
      <c r="I147" s="137">
        <f t="shared" si="2"/>
        <v>0</v>
      </c>
      <c r="J147" s="137" t="str">
        <f>IF(I147&gt;0,CT!D143,"")</f>
        <v/>
      </c>
    </row>
    <row r="148" spans="1:10" s="72" customFormat="1" x14ac:dyDescent="0.25">
      <c r="C148" s="72" t="s">
        <v>838</v>
      </c>
      <c r="D148" s="81">
        <f>SUM(D9:D147)</f>
        <v>404100000</v>
      </c>
      <c r="E148" s="81">
        <f t="shared" ref="E148:I148" si="3">SUM(E9:E147)</f>
        <v>2000000</v>
      </c>
      <c r="F148" s="81">
        <f t="shared" si="3"/>
        <v>0</v>
      </c>
      <c r="G148" s="81">
        <f t="shared" si="3"/>
        <v>247000000</v>
      </c>
      <c r="H148" s="81">
        <f t="shared" si="3"/>
        <v>1000000</v>
      </c>
      <c r="I148" s="81">
        <f t="shared" si="3"/>
        <v>154100000</v>
      </c>
    </row>
    <row r="149" spans="1:10" x14ac:dyDescent="0.25">
      <c r="E149" s="67"/>
    </row>
  </sheetData>
  <autoFilter ref="C8:C148" xr:uid="{62C58F46-D88A-47E7-8777-4C7E8A3EA55C}">
    <filterColumn colId="0">
      <customFilters>
        <customFilter operator="notEqual" val=" "/>
      </customFilters>
    </filterColumn>
  </autoFilter>
  <mergeCells count="12">
    <mergeCell ref="H6:H7"/>
    <mergeCell ref="I6:J6"/>
    <mergeCell ref="A1:J1"/>
    <mergeCell ref="A5:B5"/>
    <mergeCell ref="C5:C7"/>
    <mergeCell ref="D5:D7"/>
    <mergeCell ref="E5:J5"/>
    <mergeCell ref="A6:A7"/>
    <mergeCell ref="B6:B7"/>
    <mergeCell ref="E6:E7"/>
    <mergeCell ref="F6:F7"/>
    <mergeCell ref="G6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998-1027-4A36-B21E-CE0A4C22AA2C}">
  <sheetPr filterMode="1">
    <tabColor theme="9" tint="0.79998168889431442"/>
  </sheetPr>
  <dimension ref="A1:J148"/>
  <sheetViews>
    <sheetView zoomScale="130" zoomScaleNormal="130" workbookViewId="0">
      <selection activeCell="C156" sqref="C156"/>
    </sheetView>
  </sheetViews>
  <sheetFormatPr defaultRowHeight="13.2" x14ac:dyDescent="0.25"/>
  <cols>
    <col min="1" max="1" width="11.77734375" customWidth="1"/>
    <col min="2" max="2" width="7.77734375" bestFit="1" customWidth="1"/>
    <col min="3" max="3" width="36.33203125" bestFit="1" customWidth="1"/>
    <col min="4" max="4" width="9.6640625" bestFit="1" customWidth="1"/>
    <col min="5" max="5" width="20" bestFit="1" customWidth="1"/>
    <col min="6" max="6" width="13.109375" customWidth="1"/>
    <col min="7" max="7" width="9.6640625" bestFit="1" customWidth="1"/>
    <col min="8" max="8" width="26.44140625" bestFit="1" customWidth="1"/>
  </cols>
  <sheetData>
    <row r="1" spans="1:10" ht="15.6" x14ac:dyDescent="0.25">
      <c r="A1" s="164" t="s">
        <v>848</v>
      </c>
      <c r="B1" s="164"/>
      <c r="C1" s="164"/>
      <c r="D1" s="164"/>
      <c r="E1" s="164"/>
      <c r="F1" s="164"/>
      <c r="G1" s="164"/>
      <c r="H1" s="164"/>
      <c r="I1" s="164"/>
    </row>
    <row r="2" spans="1:10" x14ac:dyDescent="0.25">
      <c r="E2" t="s">
        <v>840</v>
      </c>
      <c r="F2" s="64" t="s">
        <v>773</v>
      </c>
    </row>
    <row r="4" spans="1:10" x14ac:dyDescent="0.25">
      <c r="A4" s="161" t="s">
        <v>828</v>
      </c>
      <c r="B4" s="161"/>
      <c r="C4" s="157" t="s">
        <v>829</v>
      </c>
      <c r="D4" s="161" t="s">
        <v>849</v>
      </c>
      <c r="E4" s="161"/>
      <c r="F4" s="161"/>
      <c r="G4" s="66"/>
      <c r="H4" s="161" t="s">
        <v>850</v>
      </c>
      <c r="I4" s="73"/>
      <c r="J4" s="73"/>
    </row>
    <row r="5" spans="1:10" x14ac:dyDescent="0.25">
      <c r="A5" s="157" t="s">
        <v>832</v>
      </c>
      <c r="B5" s="157" t="s">
        <v>833</v>
      </c>
      <c r="C5" s="159"/>
      <c r="D5" s="161" t="s">
        <v>753</v>
      </c>
      <c r="E5" s="161" t="s">
        <v>745</v>
      </c>
      <c r="F5" s="161" t="s">
        <v>851</v>
      </c>
      <c r="G5" s="161"/>
      <c r="H5" s="161"/>
      <c r="I5" s="73"/>
      <c r="J5" s="73"/>
    </row>
    <row r="6" spans="1:10" x14ac:dyDescent="0.25">
      <c r="A6" s="158"/>
      <c r="B6" s="158"/>
      <c r="C6" s="158"/>
      <c r="D6" s="161"/>
      <c r="E6" s="161"/>
      <c r="F6" s="66" t="s">
        <v>835</v>
      </c>
      <c r="G6" s="66" t="s">
        <v>827</v>
      </c>
      <c r="H6" s="161"/>
      <c r="I6" s="73"/>
      <c r="J6" s="73"/>
    </row>
    <row r="7" spans="1:10" x14ac:dyDescent="0.25">
      <c r="A7" s="145">
        <v>1</v>
      </c>
      <c r="B7" s="145">
        <v>2</v>
      </c>
      <c r="C7" s="145">
        <v>3</v>
      </c>
      <c r="D7" s="145">
        <v>4</v>
      </c>
      <c r="E7" s="145">
        <v>5</v>
      </c>
      <c r="F7" s="145">
        <v>6</v>
      </c>
      <c r="G7" s="145">
        <v>7</v>
      </c>
      <c r="H7" s="145">
        <v>8</v>
      </c>
    </row>
    <row r="8" spans="1:10" hidden="1" x14ac:dyDescent="0.25">
      <c r="A8" s="68" t="str">
        <f>IF(LEFT(CT!$E5,3)=NKMH!$F$2,CT!A5,"")</f>
        <v/>
      </c>
      <c r="B8" s="68" t="str">
        <f>IF(LEFT(CT!$E5,3)=NKMH!$F$2,CT!B5,"")</f>
        <v/>
      </c>
      <c r="C8" s="68" t="str">
        <f>IF(LEFT(CT!$E5,3)=NKMH!$F$2,CT!C5,"")</f>
        <v/>
      </c>
      <c r="D8" s="69">
        <f>IF(AND(LEFT(CT!$E5,3)=NKMH!$F$2,LEFT(CT!$D5,3)="156"),CT!$H5,0)</f>
        <v>0</v>
      </c>
      <c r="E8" s="69">
        <f>IF(AND(LEFT(CT!$E5,3)=NKMH!$F$2,LEFT(CT!$D5,3)="152"),CT!$H5,0)</f>
        <v>0</v>
      </c>
      <c r="F8" s="69">
        <f>IF(SUM(D8:E8)=0,H8,0)</f>
        <v>0</v>
      </c>
      <c r="G8" s="65" t="str">
        <f>IF(F8&gt;0,CT!D5,"")</f>
        <v/>
      </c>
      <c r="H8" s="69">
        <f>IF(LEFT(CT!$E5,3)=NKMH!$F$2,CT!$H5,0)</f>
        <v>0</v>
      </c>
    </row>
    <row r="9" spans="1:10" hidden="1" x14ac:dyDescent="0.25">
      <c r="A9" s="68" t="str">
        <f>IF(LEFT(CT!$E6,3)=NKMH!$F$2,CT!A6,"")</f>
        <v/>
      </c>
      <c r="B9" s="68" t="str">
        <f>IF(LEFT(CT!$E6,3)=NKMH!$F$2,CT!B6,"")</f>
        <v/>
      </c>
      <c r="C9" s="68" t="str">
        <f>IF(LEFT(CT!$E6,3)=NKMH!$F$2,CT!C6,"")</f>
        <v/>
      </c>
      <c r="D9" s="69">
        <f>IF(AND(LEFT(CT!$E6,3)=NKMH!$F$2,LEFT(CT!$D6,3)="156"),CT!$H6,0)</f>
        <v>0</v>
      </c>
      <c r="E9" s="69">
        <f>IF(AND(LEFT(CT!$E6,3)=NKMH!$F$2,LEFT(CT!$D6,3)="152"),CT!$H6,0)</f>
        <v>0</v>
      </c>
      <c r="F9" s="69">
        <f t="shared" ref="F9:F72" si="0">IF(SUM(D9:E9)=0,H9,0)</f>
        <v>0</v>
      </c>
      <c r="G9" s="65" t="str">
        <f>IF(F9&gt;0,CT!D6,"")</f>
        <v/>
      </c>
      <c r="H9" s="69">
        <f>IF(LEFT(CT!$E6,3)=NKMH!$F$2,CT!$H6,0)</f>
        <v>0</v>
      </c>
    </row>
    <row r="10" spans="1:10" hidden="1" x14ac:dyDescent="0.25">
      <c r="A10" s="68" t="str">
        <f>IF(LEFT(CT!$E7,3)=NKMH!$F$2,CT!A7,"")</f>
        <v/>
      </c>
      <c r="B10" s="68" t="str">
        <f>IF(LEFT(CT!$E7,3)=NKMH!$F$2,CT!B7,"")</f>
        <v/>
      </c>
      <c r="C10" s="68" t="str">
        <f>IF(LEFT(CT!$E7,3)=NKMH!$F$2,CT!C7,"")</f>
        <v/>
      </c>
      <c r="D10" s="69">
        <f>IF(AND(LEFT(CT!$E7,3)=NKMH!$F$2,LEFT(CT!$D7,3)="156"),CT!$H7,0)</f>
        <v>0</v>
      </c>
      <c r="E10" s="69">
        <f>IF(AND(LEFT(CT!$E7,3)=NKMH!$F$2,LEFT(CT!$D7,3)="152"),CT!$H7,0)</f>
        <v>0</v>
      </c>
      <c r="F10" s="69">
        <f t="shared" si="0"/>
        <v>0</v>
      </c>
      <c r="G10" s="65" t="str">
        <f>IF(F10&gt;0,CT!D7,"")</f>
        <v/>
      </c>
      <c r="H10" s="69">
        <f>IF(LEFT(CT!$E7,3)=NKMH!$F$2,CT!$H7,0)</f>
        <v>0</v>
      </c>
    </row>
    <row r="11" spans="1:10" x14ac:dyDescent="0.25">
      <c r="A11" s="68">
        <f>IF(LEFT(CT!$E8,3)=NKMH!$F$2,CT!A8,"")</f>
        <v>45295</v>
      </c>
      <c r="B11" s="68" t="str">
        <f>IF(LEFT(CT!$E8,3)=NKMH!$F$2,CT!B8,"")</f>
        <v>01/NVL</v>
      </c>
      <c r="C11" s="68" t="str">
        <f>IF(LEFT(CT!$E8,3)=NKMH!$F$2,CT!C8,"")</f>
        <v>Thuế GTGT mua gỗ tràm bông vàng</v>
      </c>
      <c r="D11" s="69">
        <f>IF(AND(LEFT(CT!$E8,3)=NKMH!$F$2,LEFT(CT!$D8,3)="156"),CT!$H8,0)</f>
        <v>0</v>
      </c>
      <c r="E11" s="69">
        <f>IF(AND(LEFT(CT!$E8,3)=NKMH!$F$2,LEFT(CT!$D8,3)="152"),CT!$H8,0)</f>
        <v>0</v>
      </c>
      <c r="F11" s="69">
        <f t="shared" si="0"/>
        <v>1000000</v>
      </c>
      <c r="G11" s="65" t="str">
        <f>IF(F11&gt;0,CT!D8,"")</f>
        <v>1331</v>
      </c>
      <c r="H11" s="69">
        <f>IF(LEFT(CT!$E8,3)=NKMH!$F$2,CT!$H8,0)</f>
        <v>1000000</v>
      </c>
    </row>
    <row r="12" spans="1:10" x14ac:dyDescent="0.25">
      <c r="A12" s="68">
        <f>IF(LEFT(CT!$E9,3)=NKMH!$F$2,CT!A9,"")</f>
        <v>45295</v>
      </c>
      <c r="B12" s="68" t="str">
        <f>IF(LEFT(CT!$E9,3)=NKMH!$F$2,CT!B9,"")</f>
        <v>01/NVL</v>
      </c>
      <c r="C12" s="68" t="str">
        <f>IF(LEFT(CT!$E9,3)=NKMH!$F$2,CT!C9,"")</f>
        <v>Mua gỗ tràm bông vàng</v>
      </c>
      <c r="D12" s="69">
        <f>IF(AND(LEFT(CT!$E9,3)=NKMH!$F$2,LEFT(CT!$D9,3)="156"),CT!$H9,0)</f>
        <v>0</v>
      </c>
      <c r="E12" s="69">
        <f>IF(AND(LEFT(CT!$E9,3)=NKMH!$F$2,LEFT(CT!$D9,3)="152"),CT!$H9,0)</f>
        <v>22500000</v>
      </c>
      <c r="F12" s="69">
        <f t="shared" si="0"/>
        <v>0</v>
      </c>
      <c r="G12" s="65" t="str">
        <f>IF(F12&gt;0,CT!D9,"")</f>
        <v/>
      </c>
      <c r="H12" s="69">
        <f>IF(LEFT(CT!$E9,3)=NKMH!$F$2,CT!$H9,0)</f>
        <v>22500000</v>
      </c>
    </row>
    <row r="13" spans="1:10" hidden="1" x14ac:dyDescent="0.25">
      <c r="A13" s="68" t="str">
        <f>IF(LEFT(CT!$E10,3)=NKMH!$F$2,CT!A10,"")</f>
        <v/>
      </c>
      <c r="B13" s="68" t="str">
        <f>IF(LEFT(CT!$E10,3)=NKMH!$F$2,CT!B10,"")</f>
        <v/>
      </c>
      <c r="C13" s="68" t="str">
        <f>IF(LEFT(CT!$E10,3)=NKMH!$F$2,CT!C10,"")</f>
        <v/>
      </c>
      <c r="D13" s="69">
        <f>IF(AND(LEFT(CT!$E10,3)=NKMH!$F$2,LEFT(CT!$D10,3)="156"),CT!$H10,0)</f>
        <v>0</v>
      </c>
      <c r="E13" s="69">
        <f>IF(AND(LEFT(CT!$E10,3)=NKMH!$F$2,LEFT(CT!$D10,3)="152"),CT!$H10,0)</f>
        <v>0</v>
      </c>
      <c r="F13" s="69">
        <f t="shared" si="0"/>
        <v>0</v>
      </c>
      <c r="G13" s="65" t="str">
        <f>IF(F13&gt;0,CT!D10,"")</f>
        <v/>
      </c>
      <c r="H13" s="69">
        <f>IF(LEFT(CT!$E10,3)=NKMH!$F$2,CT!$H10,0)</f>
        <v>0</v>
      </c>
    </row>
    <row r="14" spans="1:10" hidden="1" x14ac:dyDescent="0.25">
      <c r="A14" s="68" t="str">
        <f>IF(LEFT(CT!$E11,3)=NKMH!$F$2,CT!A11,"")</f>
        <v/>
      </c>
      <c r="B14" s="68" t="str">
        <f>IF(LEFT(CT!$E11,3)=NKMH!$F$2,CT!B11,"")</f>
        <v/>
      </c>
      <c r="C14" s="68" t="str">
        <f>IF(LEFT(CT!$E11,3)=NKMH!$F$2,CT!C11,"")</f>
        <v/>
      </c>
      <c r="D14" s="69">
        <f>IF(AND(LEFT(CT!$E11,3)=NKMH!$F$2,LEFT(CT!$D11,3)="156"),CT!$H11,0)</f>
        <v>0</v>
      </c>
      <c r="E14" s="69">
        <f>IF(AND(LEFT(CT!$E11,3)=NKMH!$F$2,LEFT(CT!$D11,3)="152"),CT!$H11,0)</f>
        <v>0</v>
      </c>
      <c r="F14" s="69">
        <f t="shared" si="0"/>
        <v>0</v>
      </c>
      <c r="G14" s="65" t="str">
        <f>IF(F14&gt;0,CT!D11,"")</f>
        <v/>
      </c>
      <c r="H14" s="69">
        <f>IF(LEFT(CT!$E11,3)=NKMH!$F$2,CT!$H11,0)</f>
        <v>0</v>
      </c>
    </row>
    <row r="15" spans="1:10" x14ac:dyDescent="0.25">
      <c r="A15" s="68">
        <f>IF(LEFT(CT!$E12,3)=NKMH!$F$2,CT!A12,"")</f>
        <v>45301</v>
      </c>
      <c r="B15" s="68" t="str">
        <f>IF(LEFT(CT!$E12,3)=NKMH!$F$2,CT!B12,"")</f>
        <v>02/NVL</v>
      </c>
      <c r="C15" s="68" t="str">
        <f>IF(LEFT(CT!$E12,3)=NKMH!$F$2,CT!C12,"")</f>
        <v>Thuế GTGT mua AC chuối, Dầu thông</v>
      </c>
      <c r="D15" s="69">
        <f>IF(AND(LEFT(CT!$E12,3)=NKMH!$F$2,LEFT(CT!$D12,3)="156"),CT!$H12,0)</f>
        <v>0</v>
      </c>
      <c r="E15" s="69">
        <f>IF(AND(LEFT(CT!$E12,3)=NKMH!$F$2,LEFT(CT!$D12,3)="152"),CT!$H12,0)</f>
        <v>0</v>
      </c>
      <c r="F15" s="69">
        <f t="shared" si="0"/>
        <v>55000</v>
      </c>
      <c r="G15" s="65" t="str">
        <f>IF(F15&gt;0,CT!D12,"")</f>
        <v>1331</v>
      </c>
      <c r="H15" s="69">
        <f>IF(LEFT(CT!$E12,3)=NKMH!$F$2,CT!$H12,0)</f>
        <v>55000</v>
      </c>
    </row>
    <row r="16" spans="1:10" x14ac:dyDescent="0.25">
      <c r="A16" s="68">
        <f>IF(LEFT(CT!$E13,3)=NKMH!$F$2,CT!A13,"")</f>
        <v>45301</v>
      </c>
      <c r="B16" s="68" t="str">
        <f>IF(LEFT(CT!$E13,3)=NKMH!$F$2,CT!B13,"")</f>
        <v>02/NVL</v>
      </c>
      <c r="C16" s="68" t="str">
        <f>IF(LEFT(CT!$E13,3)=NKMH!$F$2,CT!C13,"")</f>
        <v>Mua Dầu thông</v>
      </c>
      <c r="D16" s="69">
        <f>IF(AND(LEFT(CT!$E13,3)=NKMH!$F$2,LEFT(CT!$D13,3)="156"),CT!$H13,0)</f>
        <v>0</v>
      </c>
      <c r="E16" s="69">
        <f>IF(AND(LEFT(CT!$E13,3)=NKMH!$F$2,LEFT(CT!$D13,3)="152"),CT!$H13,0)</f>
        <v>1500000</v>
      </c>
      <c r="F16" s="69">
        <f t="shared" si="0"/>
        <v>0</v>
      </c>
      <c r="G16" s="65" t="str">
        <f>IF(F16&gt;0,CT!D13,"")</f>
        <v/>
      </c>
      <c r="H16" s="69">
        <f>IF(LEFT(CT!$E13,3)=NKMH!$F$2,CT!$H13,0)</f>
        <v>1500000</v>
      </c>
    </row>
    <row r="17" spans="1:8" x14ac:dyDescent="0.25">
      <c r="A17" s="68">
        <f>IF(LEFT(CT!$E14,3)=NKMH!$F$2,CT!A14,"")</f>
        <v>45301</v>
      </c>
      <c r="B17" s="68" t="str">
        <f>IF(LEFT(CT!$E14,3)=NKMH!$F$2,CT!B14,"")</f>
        <v>02/NVL</v>
      </c>
      <c r="C17" s="68" t="str">
        <f>IF(LEFT(CT!$E14,3)=NKMH!$F$2,CT!C14,"")</f>
        <v>Mua AC chuối</v>
      </c>
      <c r="D17" s="69">
        <f>IF(AND(LEFT(CT!$E14,3)=NKMH!$F$2,LEFT(CT!$D14,3)="156"),CT!$H14,0)</f>
        <v>0</v>
      </c>
      <c r="E17" s="69">
        <f>IF(AND(LEFT(CT!$E14,3)=NKMH!$F$2,LEFT(CT!$D14,3)="152"),CT!$H14,0)</f>
        <v>3200000</v>
      </c>
      <c r="F17" s="69">
        <f t="shared" si="0"/>
        <v>0</v>
      </c>
      <c r="G17" s="65" t="str">
        <f>IF(F17&gt;0,CT!D14,"")</f>
        <v/>
      </c>
      <c r="H17" s="69">
        <f>IF(LEFT(CT!$E14,3)=NKMH!$F$2,CT!$H14,0)</f>
        <v>3200000</v>
      </c>
    </row>
    <row r="18" spans="1:8" x14ac:dyDescent="0.25">
      <c r="A18" s="68">
        <f>IF(LEFT(CT!$E15,3)=NKMH!$F$2,CT!A15,"")</f>
        <v>45302</v>
      </c>
      <c r="B18" s="68" t="str">
        <f>IF(LEFT(CT!$E15,3)=NKMH!$F$2,CT!B15,"")</f>
        <v>03/NVL</v>
      </c>
      <c r="C18" s="68" t="str">
        <f>IF(LEFT(CT!$E15,3)=NKMH!$F$2,CT!C15,"")</f>
        <v>Thuế GTGT Nhập kho keo AB</v>
      </c>
      <c r="D18" s="69">
        <f>IF(AND(LEFT(CT!$E15,3)=NKMH!$F$2,LEFT(CT!$D15,3)="156"),CT!$H15,0)</f>
        <v>0</v>
      </c>
      <c r="E18" s="69">
        <f>IF(AND(LEFT(CT!$E15,3)=NKMH!$F$2,LEFT(CT!$D15,3)="152"),CT!$H15,0)</f>
        <v>0</v>
      </c>
      <c r="F18" s="69">
        <f t="shared" si="0"/>
        <v>500000</v>
      </c>
      <c r="G18" s="65" t="str">
        <f>IF(F18&gt;0,CT!D15,"")</f>
        <v>1331</v>
      </c>
      <c r="H18" s="69">
        <f>IF(LEFT(CT!$E15,3)=NKMH!$F$2,CT!$H15,0)</f>
        <v>500000</v>
      </c>
    </row>
    <row r="19" spans="1:8" x14ac:dyDescent="0.25">
      <c r="A19" s="68">
        <f>IF(LEFT(CT!$E16,3)=NKMH!$F$2,CT!A16,"")</f>
        <v>45302</v>
      </c>
      <c r="B19" s="68" t="str">
        <f>IF(LEFT(CT!$E16,3)=NKMH!$F$2,CT!B16,"")</f>
        <v>03/NVL</v>
      </c>
      <c r="C19" s="68" t="str">
        <f>IF(LEFT(CT!$E16,3)=NKMH!$F$2,CT!C16,"")</f>
        <v>Nhập kho keo AB</v>
      </c>
      <c r="D19" s="69">
        <f>IF(AND(LEFT(CT!$E16,3)=NKMH!$F$2,LEFT(CT!$D16,3)="156"),CT!$H16,0)</f>
        <v>0</v>
      </c>
      <c r="E19" s="69">
        <f>IF(AND(LEFT(CT!$E16,3)=NKMH!$F$2,LEFT(CT!$D16,3)="152"),CT!$H16,0)</f>
        <v>5000000</v>
      </c>
      <c r="F19" s="69">
        <f t="shared" si="0"/>
        <v>0</v>
      </c>
      <c r="G19" s="65" t="str">
        <f>IF(F19&gt;0,CT!D16,"")</f>
        <v/>
      </c>
      <c r="H19" s="69">
        <f>IF(LEFT(CT!$E16,3)=NKMH!$F$2,CT!$H16,0)</f>
        <v>5000000</v>
      </c>
    </row>
    <row r="20" spans="1:8" hidden="1" x14ac:dyDescent="0.25">
      <c r="A20" s="68" t="str">
        <f>IF(LEFT(CT!$E17,3)=NKMH!$F$2,CT!A17,"")</f>
        <v/>
      </c>
      <c r="B20" s="68" t="str">
        <f>IF(LEFT(CT!$E17,3)=NKMH!$F$2,CT!B17,"")</f>
        <v/>
      </c>
      <c r="C20" s="68" t="str">
        <f>IF(LEFT(CT!$E17,3)=NKMH!$F$2,CT!C17,"")</f>
        <v/>
      </c>
      <c r="D20" s="69">
        <f>IF(AND(LEFT(CT!$E17,3)=NKMH!$F$2,LEFT(CT!$D17,3)="156"),CT!$H17,0)</f>
        <v>0</v>
      </c>
      <c r="E20" s="69">
        <f>IF(AND(LEFT(CT!$E17,3)=NKMH!$F$2,LEFT(CT!$D17,3)="152"),CT!$H17,0)</f>
        <v>0</v>
      </c>
      <c r="F20" s="69">
        <f t="shared" si="0"/>
        <v>0</v>
      </c>
      <c r="G20" s="65" t="str">
        <f>IF(F20&gt;0,CT!D17,"")</f>
        <v/>
      </c>
      <c r="H20" s="69">
        <f>IF(LEFT(CT!$E17,3)=NKMH!$F$2,CT!$H17,0)</f>
        <v>0</v>
      </c>
    </row>
    <row r="21" spans="1:8" hidden="1" x14ac:dyDescent="0.25">
      <c r="A21" s="68" t="str">
        <f>IF(LEFT(CT!$E18,3)=NKMH!$F$2,CT!A18,"")</f>
        <v/>
      </c>
      <c r="B21" s="68" t="str">
        <f>IF(LEFT(CT!$E18,3)=NKMH!$F$2,CT!B18,"")</f>
        <v/>
      </c>
      <c r="C21" s="68" t="str">
        <f>IF(LEFT(CT!$E18,3)=NKMH!$F$2,CT!C18,"")</f>
        <v/>
      </c>
      <c r="D21" s="69">
        <f>IF(AND(LEFT(CT!$E18,3)=NKMH!$F$2,LEFT(CT!$D18,3)="156"),CT!$H18,0)</f>
        <v>0</v>
      </c>
      <c r="E21" s="69">
        <f>IF(AND(LEFT(CT!$E18,3)=NKMH!$F$2,LEFT(CT!$D18,3)="152"),CT!$H18,0)</f>
        <v>0</v>
      </c>
      <c r="F21" s="69">
        <f t="shared" si="0"/>
        <v>0</v>
      </c>
      <c r="G21" s="65" t="str">
        <f>IF(F21&gt;0,CT!D18,"")</f>
        <v/>
      </c>
      <c r="H21" s="69">
        <f>IF(LEFT(CT!$E18,3)=NKMH!$F$2,CT!$H18,0)</f>
        <v>0</v>
      </c>
    </row>
    <row r="22" spans="1:8" hidden="1" x14ac:dyDescent="0.25">
      <c r="A22" s="68" t="str">
        <f>IF(LEFT(CT!$E19,3)=NKMH!$F$2,CT!A19,"")</f>
        <v/>
      </c>
      <c r="B22" s="68" t="str">
        <f>IF(LEFT(CT!$E19,3)=NKMH!$F$2,CT!B19,"")</f>
        <v/>
      </c>
      <c r="C22" s="68" t="str">
        <f>IF(LEFT(CT!$E19,3)=NKMH!$F$2,CT!C19,"")</f>
        <v/>
      </c>
      <c r="D22" s="69">
        <f>IF(AND(LEFT(CT!$E19,3)=NKMH!$F$2,LEFT(CT!$D19,3)="156"),CT!$H19,0)</f>
        <v>0</v>
      </c>
      <c r="E22" s="69">
        <f>IF(AND(LEFT(CT!$E19,3)=NKMH!$F$2,LEFT(CT!$D19,3)="152"),CT!$H19,0)</f>
        <v>0</v>
      </c>
      <c r="F22" s="69">
        <f t="shared" si="0"/>
        <v>0</v>
      </c>
      <c r="G22" s="65" t="str">
        <f>IF(F22&gt;0,CT!D19,"")</f>
        <v/>
      </c>
      <c r="H22" s="69">
        <f>IF(LEFT(CT!$E19,3)=NKMH!$F$2,CT!$H19,0)</f>
        <v>0</v>
      </c>
    </row>
    <row r="23" spans="1:8" hidden="1" x14ac:dyDescent="0.25">
      <c r="A23" s="68" t="str">
        <f>IF(LEFT(CT!$E20,3)=NKMH!$F$2,CT!A20,"")</f>
        <v/>
      </c>
      <c r="B23" s="68" t="str">
        <f>IF(LEFT(CT!$E20,3)=NKMH!$F$2,CT!B20,"")</f>
        <v/>
      </c>
      <c r="C23" s="68" t="str">
        <f>IF(LEFT(CT!$E20,3)=NKMH!$F$2,CT!C20,"")</f>
        <v/>
      </c>
      <c r="D23" s="69">
        <f>IF(AND(LEFT(CT!$E20,3)=NKMH!$F$2,LEFT(CT!$D20,3)="156"),CT!$H20,0)</f>
        <v>0</v>
      </c>
      <c r="E23" s="69">
        <f>IF(AND(LEFT(CT!$E20,3)=NKMH!$F$2,LEFT(CT!$D20,3)="152"),CT!$H20,0)</f>
        <v>0</v>
      </c>
      <c r="F23" s="69">
        <f t="shared" si="0"/>
        <v>0</v>
      </c>
      <c r="G23" s="65" t="str">
        <f>IF(F23&gt;0,CT!D20,"")</f>
        <v/>
      </c>
      <c r="H23" s="69">
        <f>IF(LEFT(CT!$E20,3)=NKMH!$F$2,CT!$H20,0)</f>
        <v>0</v>
      </c>
    </row>
    <row r="24" spans="1:8" hidden="1" x14ac:dyDescent="0.25">
      <c r="A24" s="68" t="str">
        <f>IF(LEFT(CT!$E21,3)=NKMH!$F$2,CT!A21,"")</f>
        <v/>
      </c>
      <c r="B24" s="68" t="str">
        <f>IF(LEFT(CT!$E21,3)=NKMH!$F$2,CT!B21,"")</f>
        <v/>
      </c>
      <c r="C24" s="68" t="str">
        <f>IF(LEFT(CT!$E21,3)=NKMH!$F$2,CT!C21,"")</f>
        <v/>
      </c>
      <c r="D24" s="69">
        <f>IF(AND(LEFT(CT!$E21,3)=NKMH!$F$2,LEFT(CT!$D21,3)="156"),CT!$H21,0)</f>
        <v>0</v>
      </c>
      <c r="E24" s="69">
        <f>IF(AND(LEFT(CT!$E21,3)=NKMH!$F$2,LEFT(CT!$D21,3)="152"),CT!$H21,0)</f>
        <v>0</v>
      </c>
      <c r="F24" s="69">
        <f t="shared" si="0"/>
        <v>0</v>
      </c>
      <c r="G24" s="65" t="str">
        <f>IF(F24&gt;0,CT!D21,"")</f>
        <v/>
      </c>
      <c r="H24" s="69">
        <f>IF(LEFT(CT!$E21,3)=NKMH!$F$2,CT!$H21,0)</f>
        <v>0</v>
      </c>
    </row>
    <row r="25" spans="1:8" hidden="1" x14ac:dyDescent="0.25">
      <c r="A25" s="68" t="str">
        <f>IF(LEFT(CT!$E22,3)=NKMH!$F$2,CT!A22,"")</f>
        <v/>
      </c>
      <c r="B25" s="68" t="str">
        <f>IF(LEFT(CT!$E22,3)=NKMH!$F$2,CT!B22,"")</f>
        <v/>
      </c>
      <c r="C25" s="68" t="str">
        <f>IF(LEFT(CT!$E22,3)=NKMH!$F$2,CT!C22,"")</f>
        <v/>
      </c>
      <c r="D25" s="69">
        <f>IF(AND(LEFT(CT!$E22,3)=NKMH!$F$2,LEFT(CT!$D22,3)="156"),CT!$H22,0)</f>
        <v>0</v>
      </c>
      <c r="E25" s="69">
        <f>IF(AND(LEFT(CT!$E22,3)=NKMH!$F$2,LEFT(CT!$D22,3)="152"),CT!$H22,0)</f>
        <v>0</v>
      </c>
      <c r="F25" s="69">
        <f t="shared" si="0"/>
        <v>0</v>
      </c>
      <c r="G25" s="65" t="str">
        <f>IF(F25&gt;0,CT!D22,"")</f>
        <v/>
      </c>
      <c r="H25" s="69">
        <f>IF(LEFT(CT!$E22,3)=NKMH!$F$2,CT!$H22,0)</f>
        <v>0</v>
      </c>
    </row>
    <row r="26" spans="1:8" hidden="1" x14ac:dyDescent="0.25">
      <c r="A26" s="68" t="str">
        <f>IF(LEFT(CT!$E23,3)=NKMH!$F$2,CT!A23,"")</f>
        <v/>
      </c>
      <c r="B26" s="68" t="str">
        <f>IF(LEFT(CT!$E23,3)=NKMH!$F$2,CT!B23,"")</f>
        <v/>
      </c>
      <c r="C26" s="68" t="str">
        <f>IF(LEFT(CT!$E23,3)=NKMH!$F$2,CT!C23,"")</f>
        <v/>
      </c>
      <c r="D26" s="69">
        <f>IF(AND(LEFT(CT!$E23,3)=NKMH!$F$2,LEFT(CT!$D23,3)="156"),CT!$H23,0)</f>
        <v>0</v>
      </c>
      <c r="E26" s="69">
        <f>IF(AND(LEFT(CT!$E23,3)=NKMH!$F$2,LEFT(CT!$D23,3)="152"),CT!$H23,0)</f>
        <v>0</v>
      </c>
      <c r="F26" s="69">
        <f t="shared" si="0"/>
        <v>0</v>
      </c>
      <c r="G26" s="65" t="str">
        <f>IF(F26&gt;0,CT!D23,"")</f>
        <v/>
      </c>
      <c r="H26" s="69">
        <f>IF(LEFT(CT!$E23,3)=NKMH!$F$2,CT!$H23,0)</f>
        <v>0</v>
      </c>
    </row>
    <row r="27" spans="1:8" hidden="1" x14ac:dyDescent="0.25">
      <c r="A27" s="68" t="str">
        <f>IF(LEFT(CT!$E24,3)=NKMH!$F$2,CT!A24,"")</f>
        <v/>
      </c>
      <c r="B27" s="68" t="str">
        <f>IF(LEFT(CT!$E24,3)=NKMH!$F$2,CT!B24,"")</f>
        <v/>
      </c>
      <c r="C27" s="68" t="str">
        <f>IF(LEFT(CT!$E24,3)=NKMH!$F$2,CT!C24,"")</f>
        <v/>
      </c>
      <c r="D27" s="69">
        <f>IF(AND(LEFT(CT!$E24,3)=NKMH!$F$2,LEFT(CT!$D24,3)="156"),CT!$H24,0)</f>
        <v>0</v>
      </c>
      <c r="E27" s="69">
        <f>IF(AND(LEFT(CT!$E24,3)=NKMH!$F$2,LEFT(CT!$D24,3)="152"),CT!$H24,0)</f>
        <v>0</v>
      </c>
      <c r="F27" s="69">
        <f t="shared" si="0"/>
        <v>0</v>
      </c>
      <c r="G27" s="65" t="str">
        <f>IF(F27&gt;0,CT!D24,"")</f>
        <v/>
      </c>
      <c r="H27" s="69">
        <f>IF(LEFT(CT!$E24,3)=NKMH!$F$2,CT!$H24,0)</f>
        <v>0</v>
      </c>
    </row>
    <row r="28" spans="1:8" hidden="1" x14ac:dyDescent="0.25">
      <c r="A28" s="68" t="str">
        <f>IF(LEFT(CT!$E25,3)=NKMH!$F$2,CT!A25,"")</f>
        <v/>
      </c>
      <c r="B28" s="68" t="str">
        <f>IF(LEFT(CT!$E25,3)=NKMH!$F$2,CT!B25,"")</f>
        <v/>
      </c>
      <c r="C28" s="68" t="str">
        <f>IF(LEFT(CT!$E25,3)=NKMH!$F$2,CT!C25,"")</f>
        <v/>
      </c>
      <c r="D28" s="69">
        <f>IF(AND(LEFT(CT!$E25,3)=NKMH!$F$2,LEFT(CT!$D25,3)="156"),CT!$H25,0)</f>
        <v>0</v>
      </c>
      <c r="E28" s="69">
        <f>IF(AND(LEFT(CT!$E25,3)=NKMH!$F$2,LEFT(CT!$D25,3)="152"),CT!$H25,0)</f>
        <v>0</v>
      </c>
      <c r="F28" s="69">
        <f t="shared" si="0"/>
        <v>0</v>
      </c>
      <c r="G28" s="65" t="str">
        <f>IF(F28&gt;0,CT!D25,"")</f>
        <v/>
      </c>
      <c r="H28" s="69">
        <f>IF(LEFT(CT!$E25,3)=NKMH!$F$2,CT!$H25,0)</f>
        <v>0</v>
      </c>
    </row>
    <row r="29" spans="1:8" hidden="1" x14ac:dyDescent="0.25">
      <c r="A29" s="68" t="str">
        <f>IF(LEFT(CT!$E26,3)=NKMH!$F$2,CT!A26,"")</f>
        <v/>
      </c>
      <c r="B29" s="68" t="str">
        <f>IF(LEFT(CT!$E26,3)=NKMH!$F$2,CT!B26,"")</f>
        <v/>
      </c>
      <c r="C29" s="68" t="str">
        <f>IF(LEFT(CT!$E26,3)=NKMH!$F$2,CT!C26,"")</f>
        <v/>
      </c>
      <c r="D29" s="69">
        <f>IF(AND(LEFT(CT!$E26,3)=NKMH!$F$2,LEFT(CT!$D26,3)="156"),CT!$H26,0)</f>
        <v>0</v>
      </c>
      <c r="E29" s="69">
        <f>IF(AND(LEFT(CT!$E26,3)=NKMH!$F$2,LEFT(CT!$D26,3)="152"),CT!$H26,0)</f>
        <v>0</v>
      </c>
      <c r="F29" s="69">
        <f t="shared" si="0"/>
        <v>0</v>
      </c>
      <c r="G29" s="65" t="str">
        <f>IF(F29&gt;0,CT!D26,"")</f>
        <v/>
      </c>
      <c r="H29" s="69">
        <f>IF(LEFT(CT!$E26,3)=NKMH!$F$2,CT!$H26,0)</f>
        <v>0</v>
      </c>
    </row>
    <row r="30" spans="1:8" hidden="1" x14ac:dyDescent="0.25">
      <c r="A30" s="68" t="str">
        <f>IF(LEFT(CT!$E27,3)=NKMH!$F$2,CT!A27,"")</f>
        <v/>
      </c>
      <c r="B30" s="68" t="str">
        <f>IF(LEFT(CT!$E27,3)=NKMH!$F$2,CT!B27,"")</f>
        <v/>
      </c>
      <c r="C30" s="68" t="str">
        <f>IF(LEFT(CT!$E27,3)=NKMH!$F$2,CT!C27,"")</f>
        <v/>
      </c>
      <c r="D30" s="69">
        <f>IF(AND(LEFT(CT!$E27,3)=NKMH!$F$2,LEFT(CT!$D27,3)="156"),CT!$H27,0)</f>
        <v>0</v>
      </c>
      <c r="E30" s="69">
        <f>IF(AND(LEFT(CT!$E27,3)=NKMH!$F$2,LEFT(CT!$D27,3)="152"),CT!$H27,0)</f>
        <v>0</v>
      </c>
      <c r="F30" s="69">
        <f t="shared" si="0"/>
        <v>0</v>
      </c>
      <c r="G30" s="65" t="str">
        <f>IF(F30&gt;0,CT!D27,"")</f>
        <v/>
      </c>
      <c r="H30" s="69">
        <f>IF(LEFT(CT!$E27,3)=NKMH!$F$2,CT!$H27,0)</f>
        <v>0</v>
      </c>
    </row>
    <row r="31" spans="1:8" hidden="1" x14ac:dyDescent="0.25">
      <c r="A31" s="68" t="str">
        <f>IF(LEFT(CT!$E28,3)=NKMH!$F$2,CT!A28,"")</f>
        <v/>
      </c>
      <c r="B31" s="68" t="str">
        <f>IF(LEFT(CT!$E28,3)=NKMH!$F$2,CT!B28,"")</f>
        <v/>
      </c>
      <c r="C31" s="68" t="str">
        <f>IF(LEFT(CT!$E28,3)=NKMH!$F$2,CT!C28,"")</f>
        <v/>
      </c>
      <c r="D31" s="69">
        <f>IF(AND(LEFT(CT!$E28,3)=NKMH!$F$2,LEFT(CT!$D28,3)="156"),CT!$H28,0)</f>
        <v>0</v>
      </c>
      <c r="E31" s="69">
        <f>IF(AND(LEFT(CT!$E28,3)=NKMH!$F$2,LEFT(CT!$D28,3)="152"),CT!$H28,0)</f>
        <v>0</v>
      </c>
      <c r="F31" s="69">
        <f t="shared" si="0"/>
        <v>0</v>
      </c>
      <c r="G31" s="65" t="str">
        <f>IF(F31&gt;0,CT!D28,"")</f>
        <v/>
      </c>
      <c r="H31" s="69">
        <f>IF(LEFT(CT!$E28,3)=NKMH!$F$2,CT!$H28,0)</f>
        <v>0</v>
      </c>
    </row>
    <row r="32" spans="1:8" hidden="1" x14ac:dyDescent="0.25">
      <c r="A32" s="68" t="str">
        <f>IF(LEFT(CT!$E29,3)=NKMH!$F$2,CT!A29,"")</f>
        <v/>
      </c>
      <c r="B32" s="68" t="str">
        <f>IF(LEFT(CT!$E29,3)=NKMH!$F$2,CT!B29,"")</f>
        <v/>
      </c>
      <c r="C32" s="68" t="str">
        <f>IF(LEFT(CT!$E29,3)=NKMH!$F$2,CT!C29,"")</f>
        <v/>
      </c>
      <c r="D32" s="69">
        <f>IF(AND(LEFT(CT!$E29,3)=NKMH!$F$2,LEFT(CT!$D29,3)="156"),CT!$H29,0)</f>
        <v>0</v>
      </c>
      <c r="E32" s="69">
        <f>IF(AND(LEFT(CT!$E29,3)=NKMH!$F$2,LEFT(CT!$D29,3)="152"),CT!$H29,0)</f>
        <v>0</v>
      </c>
      <c r="F32" s="69">
        <f t="shared" si="0"/>
        <v>0</v>
      </c>
      <c r="G32" s="65" t="str">
        <f>IF(F32&gt;0,CT!D29,"")</f>
        <v/>
      </c>
      <c r="H32" s="69">
        <f>IF(LEFT(CT!$E29,3)=NKMH!$F$2,CT!$H29,0)</f>
        <v>0</v>
      </c>
    </row>
    <row r="33" spans="1:8" hidden="1" x14ac:dyDescent="0.25">
      <c r="A33" s="68" t="str">
        <f>IF(LEFT(CT!$E30,3)=NKMH!$F$2,CT!A30,"")</f>
        <v/>
      </c>
      <c r="B33" s="68" t="str">
        <f>IF(LEFT(CT!$E30,3)=NKMH!$F$2,CT!B30,"")</f>
        <v/>
      </c>
      <c r="C33" s="68" t="str">
        <f>IF(LEFT(CT!$E30,3)=NKMH!$F$2,CT!C30,"")</f>
        <v/>
      </c>
      <c r="D33" s="69">
        <f>IF(AND(LEFT(CT!$E30,3)=NKMH!$F$2,LEFT(CT!$D30,3)="156"),CT!$H30,0)</f>
        <v>0</v>
      </c>
      <c r="E33" s="69">
        <f>IF(AND(LEFT(CT!$E30,3)=NKMH!$F$2,LEFT(CT!$D30,3)="152"),CT!$H30,0)</f>
        <v>0</v>
      </c>
      <c r="F33" s="69">
        <f t="shared" si="0"/>
        <v>0</v>
      </c>
      <c r="G33" s="65" t="str">
        <f>IF(F33&gt;0,CT!D30,"")</f>
        <v/>
      </c>
      <c r="H33" s="69">
        <f>IF(LEFT(CT!$E30,3)=NKMH!$F$2,CT!$H30,0)</f>
        <v>0</v>
      </c>
    </row>
    <row r="34" spans="1:8" hidden="1" x14ac:dyDescent="0.25">
      <c r="A34" s="68" t="str">
        <f>IF(LEFT(CT!$E31,3)=NKMH!$F$2,CT!A31,"")</f>
        <v/>
      </c>
      <c r="B34" s="68" t="str">
        <f>IF(LEFT(CT!$E31,3)=NKMH!$F$2,CT!B31,"")</f>
        <v/>
      </c>
      <c r="C34" s="68" t="str">
        <f>IF(LEFT(CT!$E31,3)=NKMH!$F$2,CT!C31,"")</f>
        <v/>
      </c>
      <c r="D34" s="69">
        <f>IF(AND(LEFT(CT!$E31,3)=NKMH!$F$2,LEFT(CT!$D31,3)="156"),CT!$H31,0)</f>
        <v>0</v>
      </c>
      <c r="E34" s="69">
        <f>IF(AND(LEFT(CT!$E31,3)=NKMH!$F$2,LEFT(CT!$D31,3)="152"),CT!$H31,0)</f>
        <v>0</v>
      </c>
      <c r="F34" s="69">
        <f t="shared" si="0"/>
        <v>0</v>
      </c>
      <c r="G34" s="65" t="str">
        <f>IF(F34&gt;0,CT!D31,"")</f>
        <v/>
      </c>
      <c r="H34" s="69">
        <f>IF(LEFT(CT!$E31,3)=NKMH!$F$2,CT!$H31,0)</f>
        <v>0</v>
      </c>
    </row>
    <row r="35" spans="1:8" hidden="1" x14ac:dyDescent="0.25">
      <c r="A35" s="68" t="str">
        <f>IF(LEFT(CT!$E32,3)=NKMH!$F$2,CT!A32,"")</f>
        <v/>
      </c>
      <c r="B35" s="68" t="str">
        <f>IF(LEFT(CT!$E32,3)=NKMH!$F$2,CT!B32,"")</f>
        <v/>
      </c>
      <c r="C35" s="68" t="str">
        <f>IF(LEFT(CT!$E32,3)=NKMH!$F$2,CT!C32,"")</f>
        <v/>
      </c>
      <c r="D35" s="69">
        <f>IF(AND(LEFT(CT!$E32,3)=NKMH!$F$2,LEFT(CT!$D32,3)="156"),CT!$H32,0)</f>
        <v>0</v>
      </c>
      <c r="E35" s="69">
        <f>IF(AND(LEFT(CT!$E32,3)=NKMH!$F$2,LEFT(CT!$D32,3)="152"),CT!$H32,0)</f>
        <v>0</v>
      </c>
      <c r="F35" s="69">
        <f t="shared" si="0"/>
        <v>0</v>
      </c>
      <c r="G35" s="65" t="str">
        <f>IF(F35&gt;0,CT!D32,"")</f>
        <v/>
      </c>
      <c r="H35" s="69">
        <f>IF(LEFT(CT!$E32,3)=NKMH!$F$2,CT!$H32,0)</f>
        <v>0</v>
      </c>
    </row>
    <row r="36" spans="1:8" hidden="1" x14ac:dyDescent="0.25">
      <c r="A36" s="68" t="str">
        <f>IF(LEFT(CT!$E33,3)=NKMH!$F$2,CT!A33,"")</f>
        <v/>
      </c>
      <c r="B36" s="68" t="str">
        <f>IF(LEFT(CT!$E33,3)=NKMH!$F$2,CT!B33,"")</f>
        <v/>
      </c>
      <c r="C36" s="68" t="str">
        <f>IF(LEFT(CT!$E33,3)=NKMH!$F$2,CT!C33,"")</f>
        <v/>
      </c>
      <c r="D36" s="69">
        <f>IF(AND(LEFT(CT!$E33,3)=NKMH!$F$2,LEFT(CT!$D33,3)="156"),CT!$H33,0)</f>
        <v>0</v>
      </c>
      <c r="E36" s="69">
        <f>IF(AND(LEFT(CT!$E33,3)=NKMH!$F$2,LEFT(CT!$D33,3)="152"),CT!$H33,0)</f>
        <v>0</v>
      </c>
      <c r="F36" s="69">
        <f t="shared" si="0"/>
        <v>0</v>
      </c>
      <c r="G36" s="65" t="str">
        <f>IF(F36&gt;0,CT!D33,"")</f>
        <v/>
      </c>
      <c r="H36" s="69">
        <f>IF(LEFT(CT!$E33,3)=NKMH!$F$2,CT!$H33,0)</f>
        <v>0</v>
      </c>
    </row>
    <row r="37" spans="1:8" hidden="1" x14ac:dyDescent="0.25">
      <c r="A37" s="68" t="str">
        <f>IF(LEFT(CT!$E34,3)=NKMH!$F$2,CT!A34,"")</f>
        <v/>
      </c>
      <c r="B37" s="68" t="str">
        <f>IF(LEFT(CT!$E34,3)=NKMH!$F$2,CT!B34,"")</f>
        <v/>
      </c>
      <c r="C37" s="68" t="str">
        <f>IF(LEFT(CT!$E34,3)=NKMH!$F$2,CT!C34,"")</f>
        <v/>
      </c>
      <c r="D37" s="69">
        <f>IF(AND(LEFT(CT!$E34,3)=NKMH!$F$2,LEFT(CT!$D34,3)="156"),CT!$H34,0)</f>
        <v>0</v>
      </c>
      <c r="E37" s="69">
        <f>IF(AND(LEFT(CT!$E34,3)=NKMH!$F$2,LEFT(CT!$D34,3)="152"),CT!$H34,0)</f>
        <v>0</v>
      </c>
      <c r="F37" s="69">
        <f t="shared" si="0"/>
        <v>0</v>
      </c>
      <c r="G37" s="65" t="str">
        <f>IF(F37&gt;0,CT!D34,"")</f>
        <v/>
      </c>
      <c r="H37" s="69">
        <f>IF(LEFT(CT!$E34,3)=NKMH!$F$2,CT!$H34,0)</f>
        <v>0</v>
      </c>
    </row>
    <row r="38" spans="1:8" hidden="1" x14ac:dyDescent="0.25">
      <c r="A38" s="68" t="str">
        <f>IF(LEFT(CT!$E35,3)=NKMH!$F$2,CT!A35,"")</f>
        <v/>
      </c>
      <c r="B38" s="68" t="str">
        <f>IF(LEFT(CT!$E35,3)=NKMH!$F$2,CT!B35,"")</f>
        <v/>
      </c>
      <c r="C38" s="68" t="str">
        <f>IF(LEFT(CT!$E35,3)=NKMH!$F$2,CT!C35,"")</f>
        <v/>
      </c>
      <c r="D38" s="69">
        <f>IF(AND(LEFT(CT!$E35,3)=NKMH!$F$2,LEFT(CT!$D35,3)="156"),CT!$H35,0)</f>
        <v>0</v>
      </c>
      <c r="E38" s="69">
        <f>IF(AND(LEFT(CT!$E35,3)=NKMH!$F$2,LEFT(CT!$D35,3)="152"),CT!$H35,0)</f>
        <v>0</v>
      </c>
      <c r="F38" s="69">
        <f t="shared" si="0"/>
        <v>0</v>
      </c>
      <c r="G38" s="65" t="str">
        <f>IF(F38&gt;0,CT!D35,"")</f>
        <v/>
      </c>
      <c r="H38" s="69">
        <f>IF(LEFT(CT!$E35,3)=NKMH!$F$2,CT!$H35,0)</f>
        <v>0</v>
      </c>
    </row>
    <row r="39" spans="1:8" hidden="1" x14ac:dyDescent="0.25">
      <c r="A39" s="68" t="str">
        <f>IF(LEFT(CT!$E36,3)=NKMH!$F$2,CT!A36,"")</f>
        <v/>
      </c>
      <c r="B39" s="68" t="str">
        <f>IF(LEFT(CT!$E36,3)=NKMH!$F$2,CT!B36,"")</f>
        <v/>
      </c>
      <c r="C39" s="68" t="str">
        <f>IF(LEFT(CT!$E36,3)=NKMH!$F$2,CT!C36,"")</f>
        <v/>
      </c>
      <c r="D39" s="69">
        <f>IF(AND(LEFT(CT!$E36,3)=NKMH!$F$2,LEFT(CT!$D36,3)="156"),CT!$H36,0)</f>
        <v>0</v>
      </c>
      <c r="E39" s="69">
        <f>IF(AND(LEFT(CT!$E36,3)=NKMH!$F$2,LEFT(CT!$D36,3)="152"),CT!$H36,0)</f>
        <v>0</v>
      </c>
      <c r="F39" s="69">
        <f t="shared" si="0"/>
        <v>0</v>
      </c>
      <c r="G39" s="65" t="str">
        <f>IF(F39&gt;0,CT!D36,"")</f>
        <v/>
      </c>
      <c r="H39" s="69">
        <f>IF(LEFT(CT!$E36,3)=NKMH!$F$2,CT!$H36,0)</f>
        <v>0</v>
      </c>
    </row>
    <row r="40" spans="1:8" hidden="1" x14ac:dyDescent="0.25">
      <c r="A40" s="68" t="str">
        <f>IF(LEFT(CT!$E37,3)=NKMH!$F$2,CT!A37,"")</f>
        <v/>
      </c>
      <c r="B40" s="68" t="str">
        <f>IF(LEFT(CT!$E37,3)=NKMH!$F$2,CT!B37,"")</f>
        <v/>
      </c>
      <c r="C40" s="68" t="str">
        <f>IF(LEFT(CT!$E37,3)=NKMH!$F$2,CT!C37,"")</f>
        <v/>
      </c>
      <c r="D40" s="69">
        <f>IF(AND(LEFT(CT!$E37,3)=NKMH!$F$2,LEFT(CT!$D37,3)="156"),CT!$H37,0)</f>
        <v>0</v>
      </c>
      <c r="E40" s="69">
        <f>IF(AND(LEFT(CT!$E37,3)=NKMH!$F$2,LEFT(CT!$D37,3)="152"),CT!$H37,0)</f>
        <v>0</v>
      </c>
      <c r="F40" s="69">
        <f t="shared" si="0"/>
        <v>0</v>
      </c>
      <c r="G40" s="65" t="str">
        <f>IF(F40&gt;0,CT!D37,"")</f>
        <v/>
      </c>
      <c r="H40" s="69">
        <f>IF(LEFT(CT!$E37,3)=NKMH!$F$2,CT!$H37,0)</f>
        <v>0</v>
      </c>
    </row>
    <row r="41" spans="1:8" hidden="1" x14ac:dyDescent="0.25">
      <c r="A41" s="68" t="str">
        <f>IF(LEFT(CT!$E38,3)=NKMH!$F$2,CT!A38,"")</f>
        <v/>
      </c>
      <c r="B41" s="68" t="str">
        <f>IF(LEFT(CT!$E38,3)=NKMH!$F$2,CT!B38,"")</f>
        <v/>
      </c>
      <c r="C41" s="68" t="str">
        <f>IF(LEFT(CT!$E38,3)=NKMH!$F$2,CT!C38,"")</f>
        <v/>
      </c>
      <c r="D41" s="69">
        <f>IF(AND(LEFT(CT!$E38,3)=NKMH!$F$2,LEFT(CT!$D38,3)="156"),CT!$H38,0)</f>
        <v>0</v>
      </c>
      <c r="E41" s="69">
        <f>IF(AND(LEFT(CT!$E38,3)=NKMH!$F$2,LEFT(CT!$D38,3)="152"),CT!$H38,0)</f>
        <v>0</v>
      </c>
      <c r="F41" s="69">
        <f t="shared" si="0"/>
        <v>0</v>
      </c>
      <c r="G41" s="65" t="str">
        <f>IF(F41&gt;0,CT!D38,"")</f>
        <v/>
      </c>
      <c r="H41" s="69">
        <f>IF(LEFT(CT!$E38,3)=NKMH!$F$2,CT!$H38,0)</f>
        <v>0</v>
      </c>
    </row>
    <row r="42" spans="1:8" hidden="1" x14ac:dyDescent="0.25">
      <c r="A42" s="68" t="str">
        <f>IF(LEFT(CT!$E39,3)=NKMH!$F$2,CT!A39,"")</f>
        <v/>
      </c>
      <c r="B42" s="68" t="str">
        <f>IF(LEFT(CT!$E39,3)=NKMH!$F$2,CT!B39,"")</f>
        <v/>
      </c>
      <c r="C42" s="68" t="str">
        <f>IF(LEFT(CT!$E39,3)=NKMH!$F$2,CT!C39,"")</f>
        <v/>
      </c>
      <c r="D42" s="69">
        <f>IF(AND(LEFT(CT!$E39,3)=NKMH!$F$2,LEFT(CT!$D39,3)="156"),CT!$H39,0)</f>
        <v>0</v>
      </c>
      <c r="E42" s="69">
        <f>IF(AND(LEFT(CT!$E39,3)=NKMH!$F$2,LEFT(CT!$D39,3)="152"),CT!$H39,0)</f>
        <v>0</v>
      </c>
      <c r="F42" s="69">
        <f t="shared" si="0"/>
        <v>0</v>
      </c>
      <c r="G42" s="65" t="str">
        <f>IF(F42&gt;0,CT!D39,"")</f>
        <v/>
      </c>
      <c r="H42" s="69">
        <f>IF(LEFT(CT!$E39,3)=NKMH!$F$2,CT!$H39,0)</f>
        <v>0</v>
      </c>
    </row>
    <row r="43" spans="1:8" hidden="1" x14ac:dyDescent="0.25">
      <c r="A43" s="68" t="str">
        <f>IF(LEFT(CT!$E40,3)=NKMH!$F$2,CT!A40,"")</f>
        <v/>
      </c>
      <c r="B43" s="68" t="str">
        <f>IF(LEFT(CT!$E40,3)=NKMH!$F$2,CT!B40,"")</f>
        <v/>
      </c>
      <c r="C43" s="68" t="str">
        <f>IF(LEFT(CT!$E40,3)=NKMH!$F$2,CT!C40,"")</f>
        <v/>
      </c>
      <c r="D43" s="69">
        <f>IF(AND(LEFT(CT!$E40,3)=NKMH!$F$2,LEFT(CT!$D40,3)="156"),CT!$H40,0)</f>
        <v>0</v>
      </c>
      <c r="E43" s="69">
        <f>IF(AND(LEFT(CT!$E40,3)=NKMH!$F$2,LEFT(CT!$D40,3)="152"),CT!$H40,0)</f>
        <v>0</v>
      </c>
      <c r="F43" s="69">
        <f t="shared" si="0"/>
        <v>0</v>
      </c>
      <c r="G43" s="65" t="str">
        <f>IF(F43&gt;0,CT!D40,"")</f>
        <v/>
      </c>
      <c r="H43" s="69">
        <f>IF(LEFT(CT!$E40,3)=NKMH!$F$2,CT!$H40,0)</f>
        <v>0</v>
      </c>
    </row>
    <row r="44" spans="1:8" hidden="1" x14ac:dyDescent="0.25">
      <c r="A44" s="68" t="str">
        <f>IF(LEFT(CT!$E41,3)=NKMH!$F$2,CT!A41,"")</f>
        <v/>
      </c>
      <c r="B44" s="68" t="str">
        <f>IF(LEFT(CT!$E41,3)=NKMH!$F$2,CT!B41,"")</f>
        <v/>
      </c>
      <c r="C44" s="68" t="str">
        <f>IF(LEFT(CT!$E41,3)=NKMH!$F$2,CT!C41,"")</f>
        <v/>
      </c>
      <c r="D44" s="69">
        <f>IF(AND(LEFT(CT!$E41,3)=NKMH!$F$2,LEFT(CT!$D41,3)="156"),CT!$H41,0)</f>
        <v>0</v>
      </c>
      <c r="E44" s="69">
        <f>IF(AND(LEFT(CT!$E41,3)=NKMH!$F$2,LEFT(CT!$D41,3)="152"),CT!$H41,0)</f>
        <v>0</v>
      </c>
      <c r="F44" s="69">
        <f t="shared" si="0"/>
        <v>0</v>
      </c>
      <c r="G44" s="65" t="str">
        <f>IF(F44&gt;0,CT!D41,"")</f>
        <v/>
      </c>
      <c r="H44" s="69">
        <f>IF(LEFT(CT!$E41,3)=NKMH!$F$2,CT!$H41,0)</f>
        <v>0</v>
      </c>
    </row>
    <row r="45" spans="1:8" hidden="1" x14ac:dyDescent="0.25">
      <c r="A45" s="68" t="str">
        <f>IF(LEFT(CT!$E42,3)=NKMH!$F$2,CT!A42,"")</f>
        <v/>
      </c>
      <c r="B45" s="68" t="str">
        <f>IF(LEFT(CT!$E42,3)=NKMH!$F$2,CT!B42,"")</f>
        <v/>
      </c>
      <c r="C45" s="68" t="str">
        <f>IF(LEFT(CT!$E42,3)=NKMH!$F$2,CT!C42,"")</f>
        <v/>
      </c>
      <c r="D45" s="69">
        <f>IF(AND(LEFT(CT!$E42,3)=NKMH!$F$2,LEFT(CT!$D42,3)="156"),CT!$H42,0)</f>
        <v>0</v>
      </c>
      <c r="E45" s="69">
        <f>IF(AND(LEFT(CT!$E42,3)=NKMH!$F$2,LEFT(CT!$D42,3)="152"),CT!$H42,0)</f>
        <v>0</v>
      </c>
      <c r="F45" s="69">
        <f t="shared" si="0"/>
        <v>0</v>
      </c>
      <c r="G45" s="65" t="str">
        <f>IF(F45&gt;0,CT!D42,"")</f>
        <v/>
      </c>
      <c r="H45" s="69">
        <f>IF(LEFT(CT!$E42,3)=NKMH!$F$2,CT!$H42,0)</f>
        <v>0</v>
      </c>
    </row>
    <row r="46" spans="1:8" hidden="1" x14ac:dyDescent="0.25">
      <c r="A46" s="68" t="str">
        <f>IF(LEFT(CT!$E43,3)=NKMH!$F$2,CT!A43,"")</f>
        <v/>
      </c>
      <c r="B46" s="68" t="str">
        <f>IF(LEFT(CT!$E43,3)=NKMH!$F$2,CT!B43,"")</f>
        <v/>
      </c>
      <c r="C46" s="68" t="str">
        <f>IF(LEFT(CT!$E43,3)=NKMH!$F$2,CT!C43,"")</f>
        <v/>
      </c>
      <c r="D46" s="69">
        <f>IF(AND(LEFT(CT!$E43,3)=NKMH!$F$2,LEFT(CT!$D43,3)="156"),CT!$H43,0)</f>
        <v>0</v>
      </c>
      <c r="E46" s="69">
        <f>IF(AND(LEFT(CT!$E43,3)=NKMH!$F$2,LEFT(CT!$D43,3)="152"),CT!$H43,0)</f>
        <v>0</v>
      </c>
      <c r="F46" s="69">
        <f t="shared" si="0"/>
        <v>0</v>
      </c>
      <c r="G46" s="65" t="str">
        <f>IF(F46&gt;0,CT!D43,"")</f>
        <v/>
      </c>
      <c r="H46" s="69">
        <f>IF(LEFT(CT!$E43,3)=NKMH!$F$2,CT!$H43,0)</f>
        <v>0</v>
      </c>
    </row>
    <row r="47" spans="1:8" hidden="1" x14ac:dyDescent="0.25">
      <c r="A47" s="68" t="str">
        <f>IF(LEFT(CT!$E44,3)=NKMH!$F$2,CT!A44,"")</f>
        <v/>
      </c>
      <c r="B47" s="68" t="str">
        <f>IF(LEFT(CT!$E44,3)=NKMH!$F$2,CT!B44,"")</f>
        <v/>
      </c>
      <c r="C47" s="68" t="str">
        <f>IF(LEFT(CT!$E44,3)=NKMH!$F$2,CT!C44,"")</f>
        <v/>
      </c>
      <c r="D47" s="69">
        <f>IF(AND(LEFT(CT!$E44,3)=NKMH!$F$2,LEFT(CT!$D44,3)="156"),CT!$H44,0)</f>
        <v>0</v>
      </c>
      <c r="E47" s="69">
        <f>IF(AND(LEFT(CT!$E44,3)=NKMH!$F$2,LEFT(CT!$D44,3)="152"),CT!$H44,0)</f>
        <v>0</v>
      </c>
      <c r="F47" s="69">
        <f t="shared" si="0"/>
        <v>0</v>
      </c>
      <c r="G47" s="65" t="str">
        <f>IF(F47&gt;0,CT!D44,"")</f>
        <v/>
      </c>
      <c r="H47" s="69">
        <f>IF(LEFT(CT!$E44,3)=NKMH!$F$2,CT!$H44,0)</f>
        <v>0</v>
      </c>
    </row>
    <row r="48" spans="1:8" hidden="1" x14ac:dyDescent="0.25">
      <c r="A48" s="68" t="str">
        <f>IF(LEFT(CT!$E45,3)=NKMH!$F$2,CT!A45,"")</f>
        <v/>
      </c>
      <c r="B48" s="68" t="str">
        <f>IF(LEFT(CT!$E45,3)=NKMH!$F$2,CT!B45,"")</f>
        <v/>
      </c>
      <c r="C48" s="68" t="str">
        <f>IF(LEFT(CT!$E45,3)=NKMH!$F$2,CT!C45,"")</f>
        <v/>
      </c>
      <c r="D48" s="69">
        <f>IF(AND(LEFT(CT!$E45,3)=NKMH!$F$2,LEFT(CT!$D45,3)="156"),CT!$H45,0)</f>
        <v>0</v>
      </c>
      <c r="E48" s="69">
        <f>IF(AND(LEFT(CT!$E45,3)=NKMH!$F$2,LEFT(CT!$D45,3)="152"),CT!$H45,0)</f>
        <v>0</v>
      </c>
      <c r="F48" s="69">
        <f t="shared" si="0"/>
        <v>0</v>
      </c>
      <c r="G48" s="65" t="str">
        <f>IF(F48&gt;0,CT!D45,"")</f>
        <v/>
      </c>
      <c r="H48" s="69">
        <f>IF(LEFT(CT!$E45,3)=NKMH!$F$2,CT!$H45,0)</f>
        <v>0</v>
      </c>
    </row>
    <row r="49" spans="1:8" hidden="1" x14ac:dyDescent="0.25">
      <c r="A49" s="68" t="str">
        <f>IF(LEFT(CT!$E46,3)=NKMH!$F$2,CT!A46,"")</f>
        <v/>
      </c>
      <c r="B49" s="68" t="str">
        <f>IF(LEFT(CT!$E46,3)=NKMH!$F$2,CT!B46,"")</f>
        <v/>
      </c>
      <c r="C49" s="68" t="str">
        <f>IF(LEFT(CT!$E46,3)=NKMH!$F$2,CT!C46,"")</f>
        <v/>
      </c>
      <c r="D49" s="69">
        <f>IF(AND(LEFT(CT!$E46,3)=NKMH!$F$2,LEFT(CT!$D46,3)="156"),CT!$H46,0)</f>
        <v>0</v>
      </c>
      <c r="E49" s="69">
        <f>IF(AND(LEFT(CT!$E46,3)=NKMH!$F$2,LEFT(CT!$D46,3)="152"),CT!$H46,0)</f>
        <v>0</v>
      </c>
      <c r="F49" s="69">
        <f t="shared" si="0"/>
        <v>0</v>
      </c>
      <c r="G49" s="65" t="str">
        <f>IF(F49&gt;0,CT!D46,"")</f>
        <v/>
      </c>
      <c r="H49" s="69">
        <f>IF(LEFT(CT!$E46,3)=NKMH!$F$2,CT!$H46,0)</f>
        <v>0</v>
      </c>
    </row>
    <row r="50" spans="1:8" hidden="1" x14ac:dyDescent="0.25">
      <c r="A50" s="68" t="str">
        <f>IF(LEFT(CT!$E47,3)=NKMH!$F$2,CT!A47,"")</f>
        <v/>
      </c>
      <c r="B50" s="68" t="str">
        <f>IF(LEFT(CT!$E47,3)=NKMH!$F$2,CT!B47,"")</f>
        <v/>
      </c>
      <c r="C50" s="68" t="str">
        <f>IF(LEFT(CT!$E47,3)=NKMH!$F$2,CT!C47,"")</f>
        <v/>
      </c>
      <c r="D50" s="69">
        <f>IF(AND(LEFT(CT!$E47,3)=NKMH!$F$2,LEFT(CT!$D47,3)="156"),CT!$H47,0)</f>
        <v>0</v>
      </c>
      <c r="E50" s="69">
        <f>IF(AND(LEFT(CT!$E47,3)=NKMH!$F$2,LEFT(CT!$D47,3)="152"),CT!$H47,0)</f>
        <v>0</v>
      </c>
      <c r="F50" s="69">
        <f t="shared" si="0"/>
        <v>0</v>
      </c>
      <c r="G50" s="65" t="str">
        <f>IF(F50&gt;0,CT!D47,"")</f>
        <v/>
      </c>
      <c r="H50" s="69">
        <f>IF(LEFT(CT!$E47,3)=NKMH!$F$2,CT!$H47,0)</f>
        <v>0</v>
      </c>
    </row>
    <row r="51" spans="1:8" hidden="1" x14ac:dyDescent="0.25">
      <c r="A51" s="68" t="str">
        <f>IF(LEFT(CT!$E48,3)=NKMH!$F$2,CT!A48,"")</f>
        <v/>
      </c>
      <c r="B51" s="68" t="str">
        <f>IF(LEFT(CT!$E48,3)=NKMH!$F$2,CT!B48,"")</f>
        <v/>
      </c>
      <c r="C51" s="68" t="str">
        <f>IF(LEFT(CT!$E48,3)=NKMH!$F$2,CT!C48,"")</f>
        <v/>
      </c>
      <c r="D51" s="69">
        <f>IF(AND(LEFT(CT!$E48,3)=NKMH!$F$2,LEFT(CT!$D48,3)="156"),CT!$H48,0)</f>
        <v>0</v>
      </c>
      <c r="E51" s="69">
        <f>IF(AND(LEFT(CT!$E48,3)=NKMH!$F$2,LEFT(CT!$D48,3)="152"),CT!$H48,0)</f>
        <v>0</v>
      </c>
      <c r="F51" s="69">
        <f t="shared" si="0"/>
        <v>0</v>
      </c>
      <c r="G51" s="65" t="str">
        <f>IF(F51&gt;0,CT!D48,"")</f>
        <v/>
      </c>
      <c r="H51" s="69">
        <f>IF(LEFT(CT!$E48,3)=NKMH!$F$2,CT!$H48,0)</f>
        <v>0</v>
      </c>
    </row>
    <row r="52" spans="1:8" hidden="1" x14ac:dyDescent="0.25">
      <c r="A52" s="68" t="str">
        <f>IF(LEFT(CT!$E49,3)=NKMH!$F$2,CT!A49,"")</f>
        <v/>
      </c>
      <c r="B52" s="68" t="str">
        <f>IF(LEFT(CT!$E49,3)=NKMH!$F$2,CT!B49,"")</f>
        <v/>
      </c>
      <c r="C52" s="68" t="str">
        <f>IF(LEFT(CT!$E49,3)=NKMH!$F$2,CT!C49,"")</f>
        <v/>
      </c>
      <c r="D52" s="69">
        <f>IF(AND(LEFT(CT!$E49,3)=NKMH!$F$2,LEFT(CT!$D49,3)="156"),CT!$H49,0)</f>
        <v>0</v>
      </c>
      <c r="E52" s="69">
        <f>IF(AND(LEFT(CT!$E49,3)=NKMH!$F$2,LEFT(CT!$D49,3)="152"),CT!$H49,0)</f>
        <v>0</v>
      </c>
      <c r="F52" s="69">
        <f t="shared" si="0"/>
        <v>0</v>
      </c>
      <c r="G52" s="65" t="str">
        <f>IF(F52&gt;0,CT!D49,"")</f>
        <v/>
      </c>
      <c r="H52" s="69">
        <f>IF(LEFT(CT!$E49,3)=NKMH!$F$2,CT!$H49,0)</f>
        <v>0</v>
      </c>
    </row>
    <row r="53" spans="1:8" hidden="1" x14ac:dyDescent="0.25">
      <c r="A53" s="68" t="str">
        <f>IF(LEFT(CT!$E50,3)=NKMH!$F$2,CT!A50,"")</f>
        <v/>
      </c>
      <c r="B53" s="68" t="str">
        <f>IF(LEFT(CT!$E50,3)=NKMH!$F$2,CT!B50,"")</f>
        <v/>
      </c>
      <c r="C53" s="68" t="str">
        <f>IF(LEFT(CT!$E50,3)=NKMH!$F$2,CT!C50,"")</f>
        <v/>
      </c>
      <c r="D53" s="69">
        <f>IF(AND(LEFT(CT!$E50,3)=NKMH!$F$2,LEFT(CT!$D50,3)="156"),CT!$H50,0)</f>
        <v>0</v>
      </c>
      <c r="E53" s="69">
        <f>IF(AND(LEFT(CT!$E50,3)=NKMH!$F$2,LEFT(CT!$D50,3)="152"),CT!$H50,0)</f>
        <v>0</v>
      </c>
      <c r="F53" s="69">
        <f t="shared" si="0"/>
        <v>0</v>
      </c>
      <c r="G53" s="65" t="str">
        <f>IF(F53&gt;0,CT!D50,"")</f>
        <v/>
      </c>
      <c r="H53" s="69">
        <f>IF(LEFT(CT!$E50,3)=NKMH!$F$2,CT!$H50,0)</f>
        <v>0</v>
      </c>
    </row>
    <row r="54" spans="1:8" hidden="1" x14ac:dyDescent="0.25">
      <c r="A54" s="68" t="str">
        <f>IF(LEFT(CT!$E51,3)=NKMH!$F$2,CT!A51,"")</f>
        <v/>
      </c>
      <c r="B54" s="68" t="str">
        <f>IF(LEFT(CT!$E51,3)=NKMH!$F$2,CT!B51,"")</f>
        <v/>
      </c>
      <c r="C54" s="68" t="str">
        <f>IF(LEFT(CT!$E51,3)=NKMH!$F$2,CT!C51,"")</f>
        <v/>
      </c>
      <c r="D54" s="69">
        <f>IF(AND(LEFT(CT!$E51,3)=NKMH!$F$2,LEFT(CT!$D51,3)="156"),CT!$H51,0)</f>
        <v>0</v>
      </c>
      <c r="E54" s="69">
        <f>IF(AND(LEFT(CT!$E51,3)=NKMH!$F$2,LEFT(CT!$D51,3)="152"),CT!$H51,0)</f>
        <v>0</v>
      </c>
      <c r="F54" s="69">
        <f t="shared" si="0"/>
        <v>0</v>
      </c>
      <c r="G54" s="65" t="str">
        <f>IF(F54&gt;0,CT!D51,"")</f>
        <v/>
      </c>
      <c r="H54" s="69">
        <f>IF(LEFT(CT!$E51,3)=NKMH!$F$2,CT!$H51,0)</f>
        <v>0</v>
      </c>
    </row>
    <row r="55" spans="1:8" hidden="1" x14ac:dyDescent="0.25">
      <c r="A55" s="68" t="str">
        <f>IF(LEFT(CT!$E52,3)=NKMH!$F$2,CT!A52,"")</f>
        <v/>
      </c>
      <c r="B55" s="68" t="str">
        <f>IF(LEFT(CT!$E52,3)=NKMH!$F$2,CT!B52,"")</f>
        <v/>
      </c>
      <c r="C55" s="68" t="str">
        <f>IF(LEFT(CT!$E52,3)=NKMH!$F$2,CT!C52,"")</f>
        <v/>
      </c>
      <c r="D55" s="69">
        <f>IF(AND(LEFT(CT!$E52,3)=NKMH!$F$2,LEFT(CT!$D52,3)="156"),CT!$H52,0)</f>
        <v>0</v>
      </c>
      <c r="E55" s="69">
        <f>IF(AND(LEFT(CT!$E52,3)=NKMH!$F$2,LEFT(CT!$D52,3)="152"),CT!$H52,0)</f>
        <v>0</v>
      </c>
      <c r="F55" s="69">
        <f t="shared" si="0"/>
        <v>0</v>
      </c>
      <c r="G55" s="65" t="str">
        <f>IF(F55&gt;0,CT!D52,"")</f>
        <v/>
      </c>
      <c r="H55" s="69">
        <f>IF(LEFT(CT!$E52,3)=NKMH!$F$2,CT!$H52,0)</f>
        <v>0</v>
      </c>
    </row>
    <row r="56" spans="1:8" hidden="1" x14ac:dyDescent="0.25">
      <c r="A56" s="68" t="str">
        <f>IF(LEFT(CT!$E53,3)=NKMH!$F$2,CT!A53,"")</f>
        <v/>
      </c>
      <c r="B56" s="68" t="str">
        <f>IF(LEFT(CT!$E53,3)=NKMH!$F$2,CT!B53,"")</f>
        <v/>
      </c>
      <c r="C56" s="68" t="str">
        <f>IF(LEFT(CT!$E53,3)=NKMH!$F$2,CT!C53,"")</f>
        <v/>
      </c>
      <c r="D56" s="69">
        <f>IF(AND(LEFT(CT!$E53,3)=NKMH!$F$2,LEFT(CT!$D53,3)="156"),CT!$H53,0)</f>
        <v>0</v>
      </c>
      <c r="E56" s="69">
        <f>IF(AND(LEFT(CT!$E53,3)=NKMH!$F$2,LEFT(CT!$D53,3)="152"),CT!$H53,0)</f>
        <v>0</v>
      </c>
      <c r="F56" s="69">
        <f t="shared" si="0"/>
        <v>0</v>
      </c>
      <c r="G56" s="65" t="str">
        <f>IF(F56&gt;0,CT!D53,"")</f>
        <v/>
      </c>
      <c r="H56" s="69">
        <f>IF(LEFT(CT!$E53,3)=NKMH!$F$2,CT!$H53,0)</f>
        <v>0</v>
      </c>
    </row>
    <row r="57" spans="1:8" hidden="1" x14ac:dyDescent="0.25">
      <c r="A57" s="68" t="str">
        <f>IF(LEFT(CT!$E54,3)=NKMH!$F$2,CT!A54,"")</f>
        <v/>
      </c>
      <c r="B57" s="68" t="str">
        <f>IF(LEFT(CT!$E54,3)=NKMH!$F$2,CT!B54,"")</f>
        <v/>
      </c>
      <c r="C57" s="68" t="str">
        <f>IF(LEFT(CT!$E54,3)=NKMH!$F$2,CT!C54,"")</f>
        <v/>
      </c>
      <c r="D57" s="69">
        <f>IF(AND(LEFT(CT!$E54,3)=NKMH!$F$2,LEFT(CT!$D54,3)="156"),CT!$H54,0)</f>
        <v>0</v>
      </c>
      <c r="E57" s="69">
        <f>IF(AND(LEFT(CT!$E54,3)=NKMH!$F$2,LEFT(CT!$D54,3)="152"),CT!$H54,0)</f>
        <v>0</v>
      </c>
      <c r="F57" s="69">
        <f t="shared" si="0"/>
        <v>0</v>
      </c>
      <c r="G57" s="65" t="str">
        <f>IF(F57&gt;0,CT!D54,"")</f>
        <v/>
      </c>
      <c r="H57" s="69">
        <f>IF(LEFT(CT!$E54,3)=NKMH!$F$2,CT!$H54,0)</f>
        <v>0</v>
      </c>
    </row>
    <row r="58" spans="1:8" hidden="1" x14ac:dyDescent="0.25">
      <c r="A58" s="68" t="str">
        <f>IF(LEFT(CT!$E55,3)=NKMH!$F$2,CT!A55,"")</f>
        <v/>
      </c>
      <c r="B58" s="68" t="str">
        <f>IF(LEFT(CT!$E55,3)=NKMH!$F$2,CT!B55,"")</f>
        <v/>
      </c>
      <c r="C58" s="68" t="str">
        <f>IF(LEFT(CT!$E55,3)=NKMH!$F$2,CT!C55,"")</f>
        <v/>
      </c>
      <c r="D58" s="69">
        <f>IF(AND(LEFT(CT!$E55,3)=NKMH!$F$2,LEFT(CT!$D55,3)="156"),CT!$H55,0)</f>
        <v>0</v>
      </c>
      <c r="E58" s="69">
        <f>IF(AND(LEFT(CT!$E55,3)=NKMH!$F$2,LEFT(CT!$D55,3)="152"),CT!$H55,0)</f>
        <v>0</v>
      </c>
      <c r="F58" s="69">
        <f t="shared" si="0"/>
        <v>0</v>
      </c>
      <c r="G58" s="65" t="str">
        <f>IF(F58&gt;0,CT!D55,"")</f>
        <v/>
      </c>
      <c r="H58" s="69">
        <f>IF(LEFT(CT!$E55,3)=NKMH!$F$2,CT!$H55,0)</f>
        <v>0</v>
      </c>
    </row>
    <row r="59" spans="1:8" hidden="1" x14ac:dyDescent="0.25">
      <c r="A59" s="68" t="str">
        <f>IF(LEFT(CT!$E56,3)=NKMH!$F$2,CT!A56,"")</f>
        <v/>
      </c>
      <c r="B59" s="68" t="str">
        <f>IF(LEFT(CT!$E56,3)=NKMH!$F$2,CT!B56,"")</f>
        <v/>
      </c>
      <c r="C59" s="68" t="str">
        <f>IF(LEFT(CT!$E56,3)=NKMH!$F$2,CT!C56,"")</f>
        <v/>
      </c>
      <c r="D59" s="69">
        <f>IF(AND(LEFT(CT!$E56,3)=NKMH!$F$2,LEFT(CT!$D56,3)="156"),CT!$H56,0)</f>
        <v>0</v>
      </c>
      <c r="E59" s="69">
        <f>IF(AND(LEFT(CT!$E56,3)=NKMH!$F$2,LEFT(CT!$D56,3)="152"),CT!$H56,0)</f>
        <v>0</v>
      </c>
      <c r="F59" s="69">
        <f t="shared" si="0"/>
        <v>0</v>
      </c>
      <c r="G59" s="65" t="str">
        <f>IF(F59&gt;0,CT!D56,"")</f>
        <v/>
      </c>
      <c r="H59" s="69">
        <f>IF(LEFT(CT!$E56,3)=NKMH!$F$2,CT!$H56,0)</f>
        <v>0</v>
      </c>
    </row>
    <row r="60" spans="1:8" hidden="1" x14ac:dyDescent="0.25">
      <c r="A60" s="68" t="str">
        <f>IF(LEFT(CT!$E57,3)=NKMH!$F$2,CT!A57,"")</f>
        <v/>
      </c>
      <c r="B60" s="68" t="str">
        <f>IF(LEFT(CT!$E57,3)=NKMH!$F$2,CT!B57,"")</f>
        <v/>
      </c>
      <c r="C60" s="68" t="str">
        <f>IF(LEFT(CT!$E57,3)=NKMH!$F$2,CT!C57,"")</f>
        <v/>
      </c>
      <c r="D60" s="69">
        <f>IF(AND(LEFT(CT!$E57,3)=NKMH!$F$2,LEFT(CT!$D57,3)="156"),CT!$H57,0)</f>
        <v>0</v>
      </c>
      <c r="E60" s="69">
        <f>IF(AND(LEFT(CT!$E57,3)=NKMH!$F$2,LEFT(CT!$D57,3)="152"),CT!$H57,0)</f>
        <v>0</v>
      </c>
      <c r="F60" s="69">
        <f t="shared" si="0"/>
        <v>0</v>
      </c>
      <c r="G60" s="65" t="str">
        <f>IF(F60&gt;0,CT!D57,"")</f>
        <v/>
      </c>
      <c r="H60" s="69">
        <f>IF(LEFT(CT!$E57,3)=NKMH!$F$2,CT!$H57,0)</f>
        <v>0</v>
      </c>
    </row>
    <row r="61" spans="1:8" hidden="1" x14ac:dyDescent="0.25">
      <c r="A61" s="68" t="str">
        <f>IF(LEFT(CT!$E58,3)=NKMH!$F$2,CT!A58,"")</f>
        <v/>
      </c>
      <c r="B61" s="68" t="str">
        <f>IF(LEFT(CT!$E58,3)=NKMH!$F$2,CT!B58,"")</f>
        <v/>
      </c>
      <c r="C61" s="68" t="str">
        <f>IF(LEFT(CT!$E58,3)=NKMH!$F$2,CT!C58,"")</f>
        <v/>
      </c>
      <c r="D61" s="69">
        <f>IF(AND(LEFT(CT!$E58,3)=NKMH!$F$2,LEFT(CT!$D58,3)="156"),CT!$H58,0)</f>
        <v>0</v>
      </c>
      <c r="E61" s="69">
        <f>IF(AND(LEFT(CT!$E58,3)=NKMH!$F$2,LEFT(CT!$D58,3)="152"),CT!$H58,0)</f>
        <v>0</v>
      </c>
      <c r="F61" s="69">
        <f t="shared" si="0"/>
        <v>0</v>
      </c>
      <c r="G61" s="65" t="str">
        <f>IF(F61&gt;0,CT!D58,"")</f>
        <v/>
      </c>
      <c r="H61" s="69">
        <f>IF(LEFT(CT!$E58,3)=NKMH!$F$2,CT!$H58,0)</f>
        <v>0</v>
      </c>
    </row>
    <row r="62" spans="1:8" hidden="1" x14ac:dyDescent="0.25">
      <c r="A62" s="68" t="str">
        <f>IF(LEFT(CT!$E59,3)=NKMH!$F$2,CT!A59,"")</f>
        <v/>
      </c>
      <c r="B62" s="68" t="str">
        <f>IF(LEFT(CT!$E59,3)=NKMH!$F$2,CT!B59,"")</f>
        <v/>
      </c>
      <c r="C62" s="68" t="str">
        <f>IF(LEFT(CT!$E59,3)=NKMH!$F$2,CT!C59,"")</f>
        <v/>
      </c>
      <c r="D62" s="69">
        <f>IF(AND(LEFT(CT!$E59,3)=NKMH!$F$2,LEFT(CT!$D59,3)="156"),CT!$H59,0)</f>
        <v>0</v>
      </c>
      <c r="E62" s="69">
        <f>IF(AND(LEFT(CT!$E59,3)=NKMH!$F$2,LEFT(CT!$D59,3)="152"),CT!$H59,0)</f>
        <v>0</v>
      </c>
      <c r="F62" s="69">
        <f t="shared" si="0"/>
        <v>0</v>
      </c>
      <c r="G62" s="65" t="str">
        <f>IF(F62&gt;0,CT!D59,"")</f>
        <v/>
      </c>
      <c r="H62" s="69">
        <f>IF(LEFT(CT!$E59,3)=NKMH!$F$2,CT!$H59,0)</f>
        <v>0</v>
      </c>
    </row>
    <row r="63" spans="1:8" hidden="1" x14ac:dyDescent="0.25">
      <c r="A63" s="68" t="str">
        <f>IF(LEFT(CT!$E60,3)=NKMH!$F$2,CT!A60,"")</f>
        <v/>
      </c>
      <c r="B63" s="68" t="str">
        <f>IF(LEFT(CT!$E60,3)=NKMH!$F$2,CT!B60,"")</f>
        <v/>
      </c>
      <c r="C63" s="68" t="str">
        <f>IF(LEFT(CT!$E60,3)=NKMH!$F$2,CT!C60,"")</f>
        <v/>
      </c>
      <c r="D63" s="69">
        <f>IF(AND(LEFT(CT!$E60,3)=NKMH!$F$2,LEFT(CT!$D60,3)="156"),CT!$H60,0)</f>
        <v>0</v>
      </c>
      <c r="E63" s="69">
        <f>IF(AND(LEFT(CT!$E60,3)=NKMH!$F$2,LEFT(CT!$D60,3)="152"),CT!$H60,0)</f>
        <v>0</v>
      </c>
      <c r="F63" s="69">
        <f t="shared" si="0"/>
        <v>0</v>
      </c>
      <c r="G63" s="65" t="str">
        <f>IF(F63&gt;0,CT!D60,"")</f>
        <v/>
      </c>
      <c r="H63" s="69">
        <f>IF(LEFT(CT!$E60,3)=NKMH!$F$2,CT!$H60,0)</f>
        <v>0</v>
      </c>
    </row>
    <row r="64" spans="1:8" hidden="1" x14ac:dyDescent="0.25">
      <c r="A64" s="68" t="str">
        <f>IF(LEFT(CT!$E61,3)=NKMH!$F$2,CT!A61,"")</f>
        <v/>
      </c>
      <c r="B64" s="68" t="str">
        <f>IF(LEFT(CT!$E61,3)=NKMH!$F$2,CT!B61,"")</f>
        <v/>
      </c>
      <c r="C64" s="68" t="str">
        <f>IF(LEFT(CT!$E61,3)=NKMH!$F$2,CT!C61,"")</f>
        <v/>
      </c>
      <c r="D64" s="69">
        <f>IF(AND(LEFT(CT!$E61,3)=NKMH!$F$2,LEFT(CT!$D61,3)="156"),CT!$H61,0)</f>
        <v>0</v>
      </c>
      <c r="E64" s="69">
        <f>IF(AND(LEFT(CT!$E61,3)=NKMH!$F$2,LEFT(CT!$D61,3)="152"),CT!$H61,0)</f>
        <v>0</v>
      </c>
      <c r="F64" s="69">
        <f t="shared" si="0"/>
        <v>0</v>
      </c>
      <c r="G64" s="65" t="str">
        <f>IF(F64&gt;0,CT!D61,"")</f>
        <v/>
      </c>
      <c r="H64" s="69">
        <f>IF(LEFT(CT!$E61,3)=NKMH!$F$2,CT!$H61,0)</f>
        <v>0</v>
      </c>
    </row>
    <row r="65" spans="1:8" hidden="1" x14ac:dyDescent="0.25">
      <c r="A65" s="68" t="str">
        <f>IF(LEFT(CT!$E62,3)=NKMH!$F$2,CT!A62,"")</f>
        <v/>
      </c>
      <c r="B65" s="68" t="str">
        <f>IF(LEFT(CT!$E62,3)=NKMH!$F$2,CT!B62,"")</f>
        <v/>
      </c>
      <c r="C65" s="68" t="str">
        <f>IF(LEFT(CT!$E62,3)=NKMH!$F$2,CT!C62,"")</f>
        <v/>
      </c>
      <c r="D65" s="69">
        <f>IF(AND(LEFT(CT!$E62,3)=NKMH!$F$2,LEFT(CT!$D62,3)="156"),CT!$H62,0)</f>
        <v>0</v>
      </c>
      <c r="E65" s="69">
        <f>IF(AND(LEFT(CT!$E62,3)=NKMH!$F$2,LEFT(CT!$D62,3)="152"),CT!$H62,0)</f>
        <v>0</v>
      </c>
      <c r="F65" s="69">
        <f t="shared" si="0"/>
        <v>0</v>
      </c>
      <c r="G65" s="65" t="str">
        <f>IF(F65&gt;0,CT!D62,"")</f>
        <v/>
      </c>
      <c r="H65" s="69">
        <f>IF(LEFT(CT!$E62,3)=NKMH!$F$2,CT!$H62,0)</f>
        <v>0</v>
      </c>
    </row>
    <row r="66" spans="1:8" hidden="1" x14ac:dyDescent="0.25">
      <c r="A66" s="68" t="str">
        <f>IF(LEFT(CT!$E63,3)=NKMH!$F$2,CT!A63,"")</f>
        <v/>
      </c>
      <c r="B66" s="68" t="str">
        <f>IF(LEFT(CT!$E63,3)=NKMH!$F$2,CT!B63,"")</f>
        <v/>
      </c>
      <c r="C66" s="68" t="str">
        <f>IF(LEFT(CT!$E63,3)=NKMH!$F$2,CT!C63,"")</f>
        <v/>
      </c>
      <c r="D66" s="69">
        <f>IF(AND(LEFT(CT!$E63,3)=NKMH!$F$2,LEFT(CT!$D63,3)="156"),CT!$H63,0)</f>
        <v>0</v>
      </c>
      <c r="E66" s="69">
        <f>IF(AND(LEFT(CT!$E63,3)=NKMH!$F$2,LEFT(CT!$D63,3)="152"),CT!$H63,0)</f>
        <v>0</v>
      </c>
      <c r="F66" s="69">
        <f t="shared" si="0"/>
        <v>0</v>
      </c>
      <c r="G66" s="65" t="str">
        <f>IF(F66&gt;0,CT!D63,"")</f>
        <v/>
      </c>
      <c r="H66" s="69">
        <f>IF(LEFT(CT!$E63,3)=NKMH!$F$2,CT!$H63,0)</f>
        <v>0</v>
      </c>
    </row>
    <row r="67" spans="1:8" hidden="1" x14ac:dyDescent="0.25">
      <c r="A67" s="68" t="str">
        <f>IF(LEFT(CT!$E64,3)=NKMH!$F$2,CT!A64,"")</f>
        <v/>
      </c>
      <c r="B67" s="68" t="str">
        <f>IF(LEFT(CT!$E64,3)=NKMH!$F$2,CT!B64,"")</f>
        <v/>
      </c>
      <c r="C67" s="68" t="str">
        <f>IF(LEFT(CT!$E64,3)=NKMH!$F$2,CT!C64,"")</f>
        <v/>
      </c>
      <c r="D67" s="69">
        <f>IF(AND(LEFT(CT!$E64,3)=NKMH!$F$2,LEFT(CT!$D64,3)="156"),CT!$H64,0)</f>
        <v>0</v>
      </c>
      <c r="E67" s="69">
        <f>IF(AND(LEFT(CT!$E64,3)=NKMH!$F$2,LEFT(CT!$D64,3)="152"),CT!$H64,0)</f>
        <v>0</v>
      </c>
      <c r="F67" s="69">
        <f t="shared" si="0"/>
        <v>0</v>
      </c>
      <c r="G67" s="65" t="str">
        <f>IF(F67&gt;0,CT!D64,"")</f>
        <v/>
      </c>
      <c r="H67" s="69">
        <f>IF(LEFT(CT!$E64,3)=NKMH!$F$2,CT!$H64,0)</f>
        <v>0</v>
      </c>
    </row>
    <row r="68" spans="1:8" hidden="1" x14ac:dyDescent="0.25">
      <c r="A68" s="68" t="str">
        <f>IF(LEFT(CT!$E65,3)=NKMH!$F$2,CT!A65,"")</f>
        <v/>
      </c>
      <c r="B68" s="68" t="str">
        <f>IF(LEFT(CT!$E65,3)=NKMH!$F$2,CT!B65,"")</f>
        <v/>
      </c>
      <c r="C68" s="68" t="str">
        <f>IF(LEFT(CT!$E65,3)=NKMH!$F$2,CT!C65,"")</f>
        <v/>
      </c>
      <c r="D68" s="69">
        <f>IF(AND(LEFT(CT!$E65,3)=NKMH!$F$2,LEFT(CT!$D65,3)="156"),CT!$H65,0)</f>
        <v>0</v>
      </c>
      <c r="E68" s="69">
        <f>IF(AND(LEFT(CT!$E65,3)=NKMH!$F$2,LEFT(CT!$D65,3)="152"),CT!$H65,0)</f>
        <v>0</v>
      </c>
      <c r="F68" s="69">
        <f t="shared" si="0"/>
        <v>0</v>
      </c>
      <c r="G68" s="65" t="str">
        <f>IF(F68&gt;0,CT!D65,"")</f>
        <v/>
      </c>
      <c r="H68" s="69">
        <f>IF(LEFT(CT!$E65,3)=NKMH!$F$2,CT!$H65,0)</f>
        <v>0</v>
      </c>
    </row>
    <row r="69" spans="1:8" hidden="1" x14ac:dyDescent="0.25">
      <c r="A69" s="68" t="str">
        <f>IF(LEFT(CT!$E66,3)=NKMH!$F$2,CT!A66,"")</f>
        <v/>
      </c>
      <c r="B69" s="68" t="str">
        <f>IF(LEFT(CT!$E66,3)=NKMH!$F$2,CT!B66,"")</f>
        <v/>
      </c>
      <c r="C69" s="68" t="str">
        <f>IF(LEFT(CT!$E66,3)=NKMH!$F$2,CT!C66,"")</f>
        <v/>
      </c>
      <c r="D69" s="69">
        <f>IF(AND(LEFT(CT!$E66,3)=NKMH!$F$2,LEFT(CT!$D66,3)="156"),CT!$H66,0)</f>
        <v>0</v>
      </c>
      <c r="E69" s="69">
        <f>IF(AND(LEFT(CT!$E66,3)=NKMH!$F$2,LEFT(CT!$D66,3)="152"),CT!$H66,0)</f>
        <v>0</v>
      </c>
      <c r="F69" s="69">
        <f t="shared" si="0"/>
        <v>0</v>
      </c>
      <c r="G69" s="65" t="str">
        <f>IF(F69&gt;0,CT!D66,"")</f>
        <v/>
      </c>
      <c r="H69" s="69">
        <f>IF(LEFT(CT!$E66,3)=NKMH!$F$2,CT!$H66,0)</f>
        <v>0</v>
      </c>
    </row>
    <row r="70" spans="1:8" hidden="1" x14ac:dyDescent="0.25">
      <c r="A70" s="68" t="str">
        <f>IF(LEFT(CT!$E67,3)=NKMH!$F$2,CT!A67,"")</f>
        <v/>
      </c>
      <c r="B70" s="68" t="str">
        <f>IF(LEFT(CT!$E67,3)=NKMH!$F$2,CT!B67,"")</f>
        <v/>
      </c>
      <c r="C70" s="68" t="str">
        <f>IF(LEFT(CT!$E67,3)=NKMH!$F$2,CT!C67,"")</f>
        <v/>
      </c>
      <c r="D70" s="69">
        <f>IF(AND(LEFT(CT!$E67,3)=NKMH!$F$2,LEFT(CT!$D67,3)="156"),CT!$H67,0)</f>
        <v>0</v>
      </c>
      <c r="E70" s="69">
        <f>IF(AND(LEFT(CT!$E67,3)=NKMH!$F$2,LEFT(CT!$D67,3)="152"),CT!$H67,0)</f>
        <v>0</v>
      </c>
      <c r="F70" s="69">
        <f t="shared" si="0"/>
        <v>0</v>
      </c>
      <c r="G70" s="65" t="str">
        <f>IF(F70&gt;0,CT!D67,"")</f>
        <v/>
      </c>
      <c r="H70" s="69">
        <f>IF(LEFT(CT!$E67,3)=NKMH!$F$2,CT!$H67,0)</f>
        <v>0</v>
      </c>
    </row>
    <row r="71" spans="1:8" hidden="1" x14ac:dyDescent="0.25">
      <c r="A71" s="68" t="str">
        <f>IF(LEFT(CT!$E68,3)=NKMH!$F$2,CT!A68,"")</f>
        <v/>
      </c>
      <c r="B71" s="68" t="str">
        <f>IF(LEFT(CT!$E68,3)=NKMH!$F$2,CT!B68,"")</f>
        <v/>
      </c>
      <c r="C71" s="68" t="str">
        <f>IF(LEFT(CT!$E68,3)=NKMH!$F$2,CT!C68,"")</f>
        <v/>
      </c>
      <c r="D71" s="69">
        <f>IF(AND(LEFT(CT!$E68,3)=NKMH!$F$2,LEFT(CT!$D68,3)="156"),CT!$H68,0)</f>
        <v>0</v>
      </c>
      <c r="E71" s="69">
        <f>IF(AND(LEFT(CT!$E68,3)=NKMH!$F$2,LEFT(CT!$D68,3)="152"),CT!$H68,0)</f>
        <v>0</v>
      </c>
      <c r="F71" s="69">
        <f t="shared" si="0"/>
        <v>0</v>
      </c>
      <c r="G71" s="65" t="str">
        <f>IF(F71&gt;0,CT!D68,"")</f>
        <v/>
      </c>
      <c r="H71" s="69">
        <f>IF(LEFT(CT!$E68,3)=NKMH!$F$2,CT!$H68,0)</f>
        <v>0</v>
      </c>
    </row>
    <row r="72" spans="1:8" hidden="1" x14ac:dyDescent="0.25">
      <c r="A72" s="68" t="str">
        <f>IF(LEFT(CT!$E69,3)=NKMH!$F$2,CT!A69,"")</f>
        <v/>
      </c>
      <c r="B72" s="68" t="str">
        <f>IF(LEFT(CT!$E69,3)=NKMH!$F$2,CT!B69,"")</f>
        <v/>
      </c>
      <c r="C72" s="68" t="str">
        <f>IF(LEFT(CT!$E69,3)=NKMH!$F$2,CT!C69,"")</f>
        <v/>
      </c>
      <c r="D72" s="69">
        <f>IF(AND(LEFT(CT!$E69,3)=NKMH!$F$2,LEFT(CT!$D69,3)="156"),CT!$H69,0)</f>
        <v>0</v>
      </c>
      <c r="E72" s="69">
        <f>IF(AND(LEFT(CT!$E69,3)=NKMH!$F$2,LEFT(CT!$D69,3)="152"),CT!$H69,0)</f>
        <v>0</v>
      </c>
      <c r="F72" s="69">
        <f t="shared" si="0"/>
        <v>0</v>
      </c>
      <c r="G72" s="65" t="str">
        <f>IF(F72&gt;0,CT!D69,"")</f>
        <v/>
      </c>
      <c r="H72" s="69">
        <f>IF(LEFT(CT!$E69,3)=NKMH!$F$2,CT!$H69,0)</f>
        <v>0</v>
      </c>
    </row>
    <row r="73" spans="1:8" hidden="1" x14ac:dyDescent="0.25">
      <c r="A73" s="68" t="str">
        <f>IF(LEFT(CT!$E70,3)=NKMH!$F$2,CT!A70,"")</f>
        <v/>
      </c>
      <c r="B73" s="68" t="str">
        <f>IF(LEFT(CT!$E70,3)=NKMH!$F$2,CT!B70,"")</f>
        <v/>
      </c>
      <c r="C73" s="68" t="str">
        <f>IF(LEFT(CT!$E70,3)=NKMH!$F$2,CT!C70,"")</f>
        <v/>
      </c>
      <c r="D73" s="69">
        <f>IF(AND(LEFT(CT!$E70,3)=NKMH!$F$2,LEFT(CT!$D70,3)="156"),CT!$H70,0)</f>
        <v>0</v>
      </c>
      <c r="E73" s="69">
        <f>IF(AND(LEFT(CT!$E70,3)=NKMH!$F$2,LEFT(CT!$D70,3)="152"),CT!$H70,0)</f>
        <v>0</v>
      </c>
      <c r="F73" s="69">
        <f t="shared" ref="F73:F136" si="1">IF(SUM(D73:E73)=0,H73,0)</f>
        <v>0</v>
      </c>
      <c r="G73" s="65" t="str">
        <f>IF(F73&gt;0,CT!D70,"")</f>
        <v/>
      </c>
      <c r="H73" s="69">
        <f>IF(LEFT(CT!$E70,3)=NKMH!$F$2,CT!$H70,0)</f>
        <v>0</v>
      </c>
    </row>
    <row r="74" spans="1:8" hidden="1" x14ac:dyDescent="0.25">
      <c r="A74" s="68" t="str">
        <f>IF(LEFT(CT!$E71,3)=NKMH!$F$2,CT!A71,"")</f>
        <v/>
      </c>
      <c r="B74" s="68" t="str">
        <f>IF(LEFT(CT!$E71,3)=NKMH!$F$2,CT!B71,"")</f>
        <v/>
      </c>
      <c r="C74" s="68" t="str">
        <f>IF(LEFT(CT!$E71,3)=NKMH!$F$2,CT!C71,"")</f>
        <v/>
      </c>
      <c r="D74" s="69">
        <f>IF(AND(LEFT(CT!$E71,3)=NKMH!$F$2,LEFT(CT!$D71,3)="156"),CT!$H71,0)</f>
        <v>0</v>
      </c>
      <c r="E74" s="69">
        <f>IF(AND(LEFT(CT!$E71,3)=NKMH!$F$2,LEFT(CT!$D71,3)="152"),CT!$H71,0)</f>
        <v>0</v>
      </c>
      <c r="F74" s="69">
        <f t="shared" si="1"/>
        <v>0</v>
      </c>
      <c r="G74" s="65" t="str">
        <f>IF(F74&gt;0,CT!D71,"")</f>
        <v/>
      </c>
      <c r="H74" s="69">
        <f>IF(LEFT(CT!$E71,3)=NKMH!$F$2,CT!$H71,0)</f>
        <v>0</v>
      </c>
    </row>
    <row r="75" spans="1:8" hidden="1" x14ac:dyDescent="0.25">
      <c r="A75" s="68" t="str">
        <f>IF(LEFT(CT!$E72,3)=NKMH!$F$2,CT!A72,"")</f>
        <v/>
      </c>
      <c r="B75" s="68" t="str">
        <f>IF(LEFT(CT!$E72,3)=NKMH!$F$2,CT!B72,"")</f>
        <v/>
      </c>
      <c r="C75" s="68" t="str">
        <f>IF(LEFT(CT!$E72,3)=NKMH!$F$2,CT!C72,"")</f>
        <v/>
      </c>
      <c r="D75" s="69">
        <f>IF(AND(LEFT(CT!$E72,3)=NKMH!$F$2,LEFT(CT!$D72,3)="156"),CT!$H72,0)</f>
        <v>0</v>
      </c>
      <c r="E75" s="69">
        <f>IF(AND(LEFT(CT!$E72,3)=NKMH!$F$2,LEFT(CT!$D72,3)="152"),CT!$H72,0)</f>
        <v>0</v>
      </c>
      <c r="F75" s="69">
        <f t="shared" si="1"/>
        <v>0</v>
      </c>
      <c r="G75" s="65" t="str">
        <f>IF(F75&gt;0,CT!D72,"")</f>
        <v/>
      </c>
      <c r="H75" s="69">
        <f>IF(LEFT(CT!$E72,3)=NKMH!$F$2,CT!$H72,0)</f>
        <v>0</v>
      </c>
    </row>
    <row r="76" spans="1:8" hidden="1" x14ac:dyDescent="0.25">
      <c r="A76" s="68" t="str">
        <f>IF(LEFT(CT!$E73,3)=NKMH!$F$2,CT!A73,"")</f>
        <v/>
      </c>
      <c r="B76" s="68" t="str">
        <f>IF(LEFT(CT!$E73,3)=NKMH!$F$2,CT!B73,"")</f>
        <v/>
      </c>
      <c r="C76" s="68" t="str">
        <f>IF(LEFT(CT!$E73,3)=NKMH!$F$2,CT!C73,"")</f>
        <v/>
      </c>
      <c r="D76" s="69">
        <f>IF(AND(LEFT(CT!$E73,3)=NKMH!$F$2,LEFT(CT!$D73,3)="156"),CT!$H73,0)</f>
        <v>0</v>
      </c>
      <c r="E76" s="69">
        <f>IF(AND(LEFT(CT!$E73,3)=NKMH!$F$2,LEFT(CT!$D73,3)="152"),CT!$H73,0)</f>
        <v>0</v>
      </c>
      <c r="F76" s="69">
        <f t="shared" si="1"/>
        <v>0</v>
      </c>
      <c r="G76" s="65" t="str">
        <f>IF(F76&gt;0,CT!D73,"")</f>
        <v/>
      </c>
      <c r="H76" s="69">
        <f>IF(LEFT(CT!$E73,3)=NKMH!$F$2,CT!$H73,0)</f>
        <v>0</v>
      </c>
    </row>
    <row r="77" spans="1:8" hidden="1" x14ac:dyDescent="0.25">
      <c r="A77" s="68" t="str">
        <f>IF(LEFT(CT!$E74,3)=NKMH!$F$2,CT!A74,"")</f>
        <v/>
      </c>
      <c r="B77" s="68" t="str">
        <f>IF(LEFT(CT!$E74,3)=NKMH!$F$2,CT!B74,"")</f>
        <v/>
      </c>
      <c r="C77" s="68" t="str">
        <f>IF(LEFT(CT!$E74,3)=NKMH!$F$2,CT!C74,"")</f>
        <v/>
      </c>
      <c r="D77" s="69">
        <f>IF(AND(LEFT(CT!$E74,3)=NKMH!$F$2,LEFT(CT!$D74,3)="156"),CT!$H74,0)</f>
        <v>0</v>
      </c>
      <c r="E77" s="69">
        <f>IF(AND(LEFT(CT!$E74,3)=NKMH!$F$2,LEFT(CT!$D74,3)="152"),CT!$H74,0)</f>
        <v>0</v>
      </c>
      <c r="F77" s="69">
        <f t="shared" si="1"/>
        <v>0</v>
      </c>
      <c r="G77" s="65" t="str">
        <f>IF(F77&gt;0,CT!D74,"")</f>
        <v/>
      </c>
      <c r="H77" s="69">
        <f>IF(LEFT(CT!$E74,3)=NKMH!$F$2,CT!$H74,0)</f>
        <v>0</v>
      </c>
    </row>
    <row r="78" spans="1:8" hidden="1" x14ac:dyDescent="0.25">
      <c r="A78" s="68" t="str">
        <f>IF(LEFT(CT!$E75,3)=NKMH!$F$2,CT!A75,"")</f>
        <v/>
      </c>
      <c r="B78" s="68" t="str">
        <f>IF(LEFT(CT!$E75,3)=NKMH!$F$2,CT!B75,"")</f>
        <v/>
      </c>
      <c r="C78" s="68" t="str">
        <f>IF(LEFT(CT!$E75,3)=NKMH!$F$2,CT!C75,"")</f>
        <v/>
      </c>
      <c r="D78" s="69">
        <f>IF(AND(LEFT(CT!$E75,3)=NKMH!$F$2,LEFT(CT!$D75,3)="156"),CT!$H75,0)</f>
        <v>0</v>
      </c>
      <c r="E78" s="69">
        <f>IF(AND(LEFT(CT!$E75,3)=NKMH!$F$2,LEFT(CT!$D75,3)="152"),CT!$H75,0)</f>
        <v>0</v>
      </c>
      <c r="F78" s="69">
        <f t="shared" si="1"/>
        <v>0</v>
      </c>
      <c r="G78" s="65" t="str">
        <f>IF(F78&gt;0,CT!D75,"")</f>
        <v/>
      </c>
      <c r="H78" s="69">
        <f>IF(LEFT(CT!$E75,3)=NKMH!$F$2,CT!$H75,0)</f>
        <v>0</v>
      </c>
    </row>
    <row r="79" spans="1:8" hidden="1" x14ac:dyDescent="0.25">
      <c r="A79" s="68" t="str">
        <f>IF(LEFT(CT!$E76,3)=NKMH!$F$2,CT!A76,"")</f>
        <v/>
      </c>
      <c r="B79" s="68" t="str">
        <f>IF(LEFT(CT!$E76,3)=NKMH!$F$2,CT!B76,"")</f>
        <v/>
      </c>
      <c r="C79" s="68" t="str">
        <f>IF(LEFT(CT!$E76,3)=NKMH!$F$2,CT!C76,"")</f>
        <v/>
      </c>
      <c r="D79" s="69">
        <f>IF(AND(LEFT(CT!$E76,3)=NKMH!$F$2,LEFT(CT!$D76,3)="156"),CT!$H76,0)</f>
        <v>0</v>
      </c>
      <c r="E79" s="69">
        <f>IF(AND(LEFT(CT!$E76,3)=NKMH!$F$2,LEFT(CT!$D76,3)="152"),CT!$H76,0)</f>
        <v>0</v>
      </c>
      <c r="F79" s="69">
        <f t="shared" si="1"/>
        <v>0</v>
      </c>
      <c r="G79" s="65" t="str">
        <f>IF(F79&gt;0,CT!D76,"")</f>
        <v/>
      </c>
      <c r="H79" s="69">
        <f>IF(LEFT(CT!$E76,3)=NKMH!$F$2,CT!$H76,0)</f>
        <v>0</v>
      </c>
    </row>
    <row r="80" spans="1:8" hidden="1" x14ac:dyDescent="0.25">
      <c r="A80" s="68" t="str">
        <f>IF(LEFT(CT!$E77,3)=NKMH!$F$2,CT!A77,"")</f>
        <v/>
      </c>
      <c r="B80" s="68" t="str">
        <f>IF(LEFT(CT!$E77,3)=NKMH!$F$2,CT!B77,"")</f>
        <v/>
      </c>
      <c r="C80" s="68" t="str">
        <f>IF(LEFT(CT!$E77,3)=NKMH!$F$2,CT!C77,"")</f>
        <v/>
      </c>
      <c r="D80" s="69">
        <f>IF(AND(LEFT(CT!$E77,3)=NKMH!$F$2,LEFT(CT!$D77,3)="156"),CT!$H77,0)</f>
        <v>0</v>
      </c>
      <c r="E80" s="69">
        <f>IF(AND(LEFT(CT!$E77,3)=NKMH!$F$2,LEFT(CT!$D77,3)="152"),CT!$H77,0)</f>
        <v>0</v>
      </c>
      <c r="F80" s="69">
        <f t="shared" si="1"/>
        <v>0</v>
      </c>
      <c r="G80" s="65" t="str">
        <f>IF(F80&gt;0,CT!D77,"")</f>
        <v/>
      </c>
      <c r="H80" s="69">
        <f>IF(LEFT(CT!$E77,3)=NKMH!$F$2,CT!$H77,0)</f>
        <v>0</v>
      </c>
    </row>
    <row r="81" spans="1:8" hidden="1" x14ac:dyDescent="0.25">
      <c r="A81" s="68" t="str">
        <f>IF(LEFT(CT!$E78,3)=NKMH!$F$2,CT!A78,"")</f>
        <v/>
      </c>
      <c r="B81" s="68" t="str">
        <f>IF(LEFT(CT!$E78,3)=NKMH!$F$2,CT!B78,"")</f>
        <v/>
      </c>
      <c r="C81" s="68" t="str">
        <f>IF(LEFT(CT!$E78,3)=NKMH!$F$2,CT!C78,"")</f>
        <v/>
      </c>
      <c r="D81" s="69">
        <f>IF(AND(LEFT(CT!$E78,3)=NKMH!$F$2,LEFT(CT!$D78,3)="156"),CT!$H78,0)</f>
        <v>0</v>
      </c>
      <c r="E81" s="69">
        <f>IF(AND(LEFT(CT!$E78,3)=NKMH!$F$2,LEFT(CT!$D78,3)="152"),CT!$H78,0)</f>
        <v>0</v>
      </c>
      <c r="F81" s="69">
        <f t="shared" si="1"/>
        <v>0</v>
      </c>
      <c r="G81" s="65" t="str">
        <f>IF(F81&gt;0,CT!D78,"")</f>
        <v/>
      </c>
      <c r="H81" s="69">
        <f>IF(LEFT(CT!$E78,3)=NKMH!$F$2,CT!$H78,0)</f>
        <v>0</v>
      </c>
    </row>
    <row r="82" spans="1:8" hidden="1" x14ac:dyDescent="0.25">
      <c r="A82" s="68" t="str">
        <f>IF(LEFT(CT!$E79,3)=NKMH!$F$2,CT!A79,"")</f>
        <v/>
      </c>
      <c r="B82" s="68" t="str">
        <f>IF(LEFT(CT!$E79,3)=NKMH!$F$2,CT!B79,"")</f>
        <v/>
      </c>
      <c r="C82" s="68" t="str">
        <f>IF(LEFT(CT!$E79,3)=NKMH!$F$2,CT!C79,"")</f>
        <v/>
      </c>
      <c r="D82" s="69">
        <f>IF(AND(LEFT(CT!$E79,3)=NKMH!$F$2,LEFT(CT!$D79,3)="156"),CT!$H79,0)</f>
        <v>0</v>
      </c>
      <c r="E82" s="69">
        <f>IF(AND(LEFT(CT!$E79,3)=NKMH!$F$2,LEFT(CT!$D79,3)="152"),CT!$H79,0)</f>
        <v>0</v>
      </c>
      <c r="F82" s="69">
        <f t="shared" si="1"/>
        <v>0</v>
      </c>
      <c r="G82" s="65" t="str">
        <f>IF(F82&gt;0,CT!D79,"")</f>
        <v/>
      </c>
      <c r="H82" s="69">
        <f>IF(LEFT(CT!$E79,3)=NKMH!$F$2,CT!$H79,0)</f>
        <v>0</v>
      </c>
    </row>
    <row r="83" spans="1:8" hidden="1" x14ac:dyDescent="0.25">
      <c r="A83" s="68" t="str">
        <f>IF(LEFT(CT!$E80,3)=NKMH!$F$2,CT!A80,"")</f>
        <v/>
      </c>
      <c r="B83" s="68" t="str">
        <f>IF(LEFT(CT!$E80,3)=NKMH!$F$2,CT!B80,"")</f>
        <v/>
      </c>
      <c r="C83" s="68" t="str">
        <f>IF(LEFT(CT!$E80,3)=NKMH!$F$2,CT!C80,"")</f>
        <v/>
      </c>
      <c r="D83" s="69">
        <f>IF(AND(LEFT(CT!$E80,3)=NKMH!$F$2,LEFT(CT!$D80,3)="156"),CT!$H80,0)</f>
        <v>0</v>
      </c>
      <c r="E83" s="69">
        <f>IF(AND(LEFT(CT!$E80,3)=NKMH!$F$2,LEFT(CT!$D80,3)="152"),CT!$H80,0)</f>
        <v>0</v>
      </c>
      <c r="F83" s="69">
        <f t="shared" si="1"/>
        <v>0</v>
      </c>
      <c r="G83" s="65" t="str">
        <f>IF(F83&gt;0,CT!D80,"")</f>
        <v/>
      </c>
      <c r="H83" s="69">
        <f>IF(LEFT(CT!$E80,3)=NKMH!$F$2,CT!$H80,0)</f>
        <v>0</v>
      </c>
    </row>
    <row r="84" spans="1:8" hidden="1" x14ac:dyDescent="0.25">
      <c r="A84" s="68" t="str">
        <f>IF(LEFT(CT!$E81,3)=NKMH!$F$2,CT!A81,"")</f>
        <v/>
      </c>
      <c r="B84" s="68" t="str">
        <f>IF(LEFT(CT!$E81,3)=NKMH!$F$2,CT!B81,"")</f>
        <v/>
      </c>
      <c r="C84" s="68" t="str">
        <f>IF(LEFT(CT!$E81,3)=NKMH!$F$2,CT!C81,"")</f>
        <v/>
      </c>
      <c r="D84" s="69">
        <f>IF(AND(LEFT(CT!$E81,3)=NKMH!$F$2,LEFT(CT!$D81,3)="156"),CT!$H81,0)</f>
        <v>0</v>
      </c>
      <c r="E84" s="69">
        <f>IF(AND(LEFT(CT!$E81,3)=NKMH!$F$2,LEFT(CT!$D81,3)="152"),CT!$H81,0)</f>
        <v>0</v>
      </c>
      <c r="F84" s="69">
        <f t="shared" si="1"/>
        <v>0</v>
      </c>
      <c r="G84" s="65" t="str">
        <f>IF(F84&gt;0,CT!D81,"")</f>
        <v/>
      </c>
      <c r="H84" s="69">
        <f>IF(LEFT(CT!$E81,3)=NKMH!$F$2,CT!$H81,0)</f>
        <v>0</v>
      </c>
    </row>
    <row r="85" spans="1:8" hidden="1" x14ac:dyDescent="0.25">
      <c r="A85" s="68" t="str">
        <f>IF(LEFT(CT!$E82,3)=NKMH!$F$2,CT!A82,"")</f>
        <v/>
      </c>
      <c r="B85" s="68" t="str">
        <f>IF(LEFT(CT!$E82,3)=NKMH!$F$2,CT!B82,"")</f>
        <v/>
      </c>
      <c r="C85" s="68" t="str">
        <f>IF(LEFT(CT!$E82,3)=NKMH!$F$2,CT!C82,"")</f>
        <v/>
      </c>
      <c r="D85" s="69">
        <f>IF(AND(LEFT(CT!$E82,3)=NKMH!$F$2,LEFT(CT!$D82,3)="156"),CT!$H82,0)</f>
        <v>0</v>
      </c>
      <c r="E85" s="69">
        <f>IF(AND(LEFT(CT!$E82,3)=NKMH!$F$2,LEFT(CT!$D82,3)="152"),CT!$H82,0)</f>
        <v>0</v>
      </c>
      <c r="F85" s="69">
        <f t="shared" si="1"/>
        <v>0</v>
      </c>
      <c r="G85" s="65" t="str">
        <f>IF(F85&gt;0,CT!D82,"")</f>
        <v/>
      </c>
      <c r="H85" s="69">
        <f>IF(LEFT(CT!$E82,3)=NKMH!$F$2,CT!$H82,0)</f>
        <v>0</v>
      </c>
    </row>
    <row r="86" spans="1:8" hidden="1" x14ac:dyDescent="0.25">
      <c r="A86" s="68" t="str">
        <f>IF(LEFT(CT!$E83,3)=NKMH!$F$2,CT!A83,"")</f>
        <v/>
      </c>
      <c r="B86" s="68" t="str">
        <f>IF(LEFT(CT!$E83,3)=NKMH!$F$2,CT!B83,"")</f>
        <v/>
      </c>
      <c r="C86" s="68" t="str">
        <f>IF(LEFT(CT!$E83,3)=NKMH!$F$2,CT!C83,"")</f>
        <v/>
      </c>
      <c r="D86" s="69">
        <f>IF(AND(LEFT(CT!$E83,3)=NKMH!$F$2,LEFT(CT!$D83,3)="156"),CT!$H83,0)</f>
        <v>0</v>
      </c>
      <c r="E86" s="69">
        <f>IF(AND(LEFT(CT!$E83,3)=NKMH!$F$2,LEFT(CT!$D83,3)="152"),CT!$H83,0)</f>
        <v>0</v>
      </c>
      <c r="F86" s="69">
        <f t="shared" si="1"/>
        <v>0</v>
      </c>
      <c r="G86" s="65" t="str">
        <f>IF(F86&gt;0,CT!D83,"")</f>
        <v/>
      </c>
      <c r="H86" s="69">
        <f>IF(LEFT(CT!$E83,3)=NKMH!$F$2,CT!$H83,0)</f>
        <v>0</v>
      </c>
    </row>
    <row r="87" spans="1:8" hidden="1" x14ac:dyDescent="0.25">
      <c r="A87" s="68" t="str">
        <f>IF(LEFT(CT!$E84,3)=NKMH!$F$2,CT!A84,"")</f>
        <v/>
      </c>
      <c r="B87" s="68" t="str">
        <f>IF(LEFT(CT!$E84,3)=NKMH!$F$2,CT!B84,"")</f>
        <v/>
      </c>
      <c r="C87" s="68" t="str">
        <f>IF(LEFT(CT!$E84,3)=NKMH!$F$2,CT!C84,"")</f>
        <v/>
      </c>
      <c r="D87" s="69">
        <f>IF(AND(LEFT(CT!$E84,3)=NKMH!$F$2,LEFT(CT!$D84,3)="156"),CT!$H84,0)</f>
        <v>0</v>
      </c>
      <c r="E87" s="69">
        <f>IF(AND(LEFT(CT!$E84,3)=NKMH!$F$2,LEFT(CT!$D84,3)="152"),CT!$H84,0)</f>
        <v>0</v>
      </c>
      <c r="F87" s="69">
        <f t="shared" si="1"/>
        <v>0</v>
      </c>
      <c r="G87" s="65" t="str">
        <f>IF(F87&gt;0,CT!D84,"")</f>
        <v/>
      </c>
      <c r="H87" s="69">
        <f>IF(LEFT(CT!$E84,3)=NKMH!$F$2,CT!$H84,0)</f>
        <v>0</v>
      </c>
    </row>
    <row r="88" spans="1:8" hidden="1" x14ac:dyDescent="0.25">
      <c r="A88" s="68" t="str">
        <f>IF(LEFT(CT!$E85,3)=NKMH!$F$2,CT!A85,"")</f>
        <v/>
      </c>
      <c r="B88" s="68" t="str">
        <f>IF(LEFT(CT!$E85,3)=NKMH!$F$2,CT!B85,"")</f>
        <v/>
      </c>
      <c r="C88" s="68" t="str">
        <f>IF(LEFT(CT!$E85,3)=NKMH!$F$2,CT!C85,"")</f>
        <v/>
      </c>
      <c r="D88" s="69">
        <f>IF(AND(LEFT(CT!$E85,3)=NKMH!$F$2,LEFT(CT!$D85,3)="156"),CT!$H85,0)</f>
        <v>0</v>
      </c>
      <c r="E88" s="69">
        <f>IF(AND(LEFT(CT!$E85,3)=NKMH!$F$2,LEFT(CT!$D85,3)="152"),CT!$H85,0)</f>
        <v>0</v>
      </c>
      <c r="F88" s="69">
        <f t="shared" si="1"/>
        <v>0</v>
      </c>
      <c r="G88" s="65" t="str">
        <f>IF(F88&gt;0,CT!D85,"")</f>
        <v/>
      </c>
      <c r="H88" s="69">
        <f>IF(LEFT(CT!$E85,3)=NKMH!$F$2,CT!$H85,0)</f>
        <v>0</v>
      </c>
    </row>
    <row r="89" spans="1:8" hidden="1" x14ac:dyDescent="0.25">
      <c r="A89" s="68" t="str">
        <f>IF(LEFT(CT!$E86,3)=NKMH!$F$2,CT!A86,"")</f>
        <v/>
      </c>
      <c r="B89" s="68" t="str">
        <f>IF(LEFT(CT!$E86,3)=NKMH!$F$2,CT!B86,"")</f>
        <v/>
      </c>
      <c r="C89" s="68" t="str">
        <f>IF(LEFT(CT!$E86,3)=NKMH!$F$2,CT!C86,"")</f>
        <v/>
      </c>
      <c r="D89" s="69">
        <f>IF(AND(LEFT(CT!$E86,3)=NKMH!$F$2,LEFT(CT!$D86,3)="156"),CT!$H86,0)</f>
        <v>0</v>
      </c>
      <c r="E89" s="69">
        <f>IF(AND(LEFT(CT!$E86,3)=NKMH!$F$2,LEFT(CT!$D86,3)="152"),CT!$H86,0)</f>
        <v>0</v>
      </c>
      <c r="F89" s="69">
        <f t="shared" si="1"/>
        <v>0</v>
      </c>
      <c r="G89" s="65" t="str">
        <f>IF(F89&gt;0,CT!D86,"")</f>
        <v/>
      </c>
      <c r="H89" s="69">
        <f>IF(LEFT(CT!$E86,3)=NKMH!$F$2,CT!$H86,0)</f>
        <v>0</v>
      </c>
    </row>
    <row r="90" spans="1:8" hidden="1" x14ac:dyDescent="0.25">
      <c r="A90" s="68" t="str">
        <f>IF(LEFT(CT!$E87,3)=NKMH!$F$2,CT!A87,"")</f>
        <v/>
      </c>
      <c r="B90" s="68" t="str">
        <f>IF(LEFT(CT!$E87,3)=NKMH!$F$2,CT!B87,"")</f>
        <v/>
      </c>
      <c r="C90" s="68" t="str">
        <f>IF(LEFT(CT!$E87,3)=NKMH!$F$2,CT!C87,"")</f>
        <v/>
      </c>
      <c r="D90" s="69">
        <f>IF(AND(LEFT(CT!$E87,3)=NKMH!$F$2,LEFT(CT!$D87,3)="156"),CT!$H87,0)</f>
        <v>0</v>
      </c>
      <c r="E90" s="69">
        <f>IF(AND(LEFT(CT!$E87,3)=NKMH!$F$2,LEFT(CT!$D87,3)="152"),CT!$H87,0)</f>
        <v>0</v>
      </c>
      <c r="F90" s="69">
        <f t="shared" si="1"/>
        <v>0</v>
      </c>
      <c r="G90" s="65" t="str">
        <f>IF(F90&gt;0,CT!D87,"")</f>
        <v/>
      </c>
      <c r="H90" s="69">
        <f>IF(LEFT(CT!$E87,3)=NKMH!$F$2,CT!$H87,0)</f>
        <v>0</v>
      </c>
    </row>
    <row r="91" spans="1:8" hidden="1" x14ac:dyDescent="0.25">
      <c r="A91" s="68" t="str">
        <f>IF(LEFT(CT!$E88,3)=NKMH!$F$2,CT!A88,"")</f>
        <v/>
      </c>
      <c r="B91" s="68" t="str">
        <f>IF(LEFT(CT!$E88,3)=NKMH!$F$2,CT!B88,"")</f>
        <v/>
      </c>
      <c r="C91" s="68" t="str">
        <f>IF(LEFT(CT!$E88,3)=NKMH!$F$2,CT!C88,"")</f>
        <v/>
      </c>
      <c r="D91" s="69">
        <f>IF(AND(LEFT(CT!$E88,3)=NKMH!$F$2,LEFT(CT!$D88,3)="156"),CT!$H88,0)</f>
        <v>0</v>
      </c>
      <c r="E91" s="69">
        <f>IF(AND(LEFT(CT!$E88,3)=NKMH!$F$2,LEFT(CT!$D88,3)="152"),CT!$H88,0)</f>
        <v>0</v>
      </c>
      <c r="F91" s="69">
        <f t="shared" si="1"/>
        <v>0</v>
      </c>
      <c r="G91" s="65" t="str">
        <f>IF(F91&gt;0,CT!D88,"")</f>
        <v/>
      </c>
      <c r="H91" s="69">
        <f>IF(LEFT(CT!$E88,3)=NKMH!$F$2,CT!$H88,0)</f>
        <v>0</v>
      </c>
    </row>
    <row r="92" spans="1:8" hidden="1" x14ac:dyDescent="0.25">
      <c r="A92" s="68" t="str">
        <f>IF(LEFT(CT!$E89,3)=NKMH!$F$2,CT!A89,"")</f>
        <v/>
      </c>
      <c r="B92" s="68" t="str">
        <f>IF(LEFT(CT!$E89,3)=NKMH!$F$2,CT!B89,"")</f>
        <v/>
      </c>
      <c r="C92" s="68" t="str">
        <f>IF(LEFT(CT!$E89,3)=NKMH!$F$2,CT!C89,"")</f>
        <v/>
      </c>
      <c r="D92" s="69">
        <f>IF(AND(LEFT(CT!$E89,3)=NKMH!$F$2,LEFT(CT!$D89,3)="156"),CT!$H89,0)</f>
        <v>0</v>
      </c>
      <c r="E92" s="69">
        <f>IF(AND(LEFT(CT!$E89,3)=NKMH!$F$2,LEFT(CT!$D89,3)="152"),CT!$H89,0)</f>
        <v>0</v>
      </c>
      <c r="F92" s="69">
        <f t="shared" si="1"/>
        <v>0</v>
      </c>
      <c r="G92" s="65" t="str">
        <f>IF(F92&gt;0,CT!D89,"")</f>
        <v/>
      </c>
      <c r="H92" s="69">
        <f>IF(LEFT(CT!$E89,3)=NKMH!$F$2,CT!$H89,0)</f>
        <v>0</v>
      </c>
    </row>
    <row r="93" spans="1:8" hidden="1" x14ac:dyDescent="0.25">
      <c r="A93" s="68" t="str">
        <f>IF(LEFT(CT!$E90,3)=NKMH!$F$2,CT!A90,"")</f>
        <v/>
      </c>
      <c r="B93" s="68" t="str">
        <f>IF(LEFT(CT!$E90,3)=NKMH!$F$2,CT!B90,"")</f>
        <v/>
      </c>
      <c r="C93" s="68" t="str">
        <f>IF(LEFT(CT!$E90,3)=NKMH!$F$2,CT!C90,"")</f>
        <v/>
      </c>
      <c r="D93" s="69">
        <f>IF(AND(LEFT(CT!$E90,3)=NKMH!$F$2,LEFT(CT!$D90,3)="156"),CT!$H90,0)</f>
        <v>0</v>
      </c>
      <c r="E93" s="69">
        <f>IF(AND(LEFT(CT!$E90,3)=NKMH!$F$2,LEFT(CT!$D90,3)="152"),CT!$H90,0)</f>
        <v>0</v>
      </c>
      <c r="F93" s="69">
        <f t="shared" si="1"/>
        <v>0</v>
      </c>
      <c r="G93" s="65" t="str">
        <f>IF(F93&gt;0,CT!D90,"")</f>
        <v/>
      </c>
      <c r="H93" s="69">
        <f>IF(LEFT(CT!$E90,3)=NKMH!$F$2,CT!$H90,0)</f>
        <v>0</v>
      </c>
    </row>
    <row r="94" spans="1:8" hidden="1" x14ac:dyDescent="0.25">
      <c r="A94" s="68" t="str">
        <f>IF(LEFT(CT!$E91,3)=NKMH!$F$2,CT!A91,"")</f>
        <v/>
      </c>
      <c r="B94" s="68" t="str">
        <f>IF(LEFT(CT!$E91,3)=NKMH!$F$2,CT!B91,"")</f>
        <v/>
      </c>
      <c r="C94" s="68" t="str">
        <f>IF(LEFT(CT!$E91,3)=NKMH!$F$2,CT!C91,"")</f>
        <v/>
      </c>
      <c r="D94" s="69">
        <f>IF(AND(LEFT(CT!$E91,3)=NKMH!$F$2,LEFT(CT!$D91,3)="156"),CT!$H91,0)</f>
        <v>0</v>
      </c>
      <c r="E94" s="69">
        <f>IF(AND(LEFT(CT!$E91,3)=NKMH!$F$2,LEFT(CT!$D91,3)="152"),CT!$H91,0)</f>
        <v>0</v>
      </c>
      <c r="F94" s="69">
        <f t="shared" si="1"/>
        <v>0</v>
      </c>
      <c r="G94" s="65" t="str">
        <f>IF(F94&gt;0,CT!D91,"")</f>
        <v/>
      </c>
      <c r="H94" s="69">
        <f>IF(LEFT(CT!$E91,3)=NKMH!$F$2,CT!$H91,0)</f>
        <v>0</v>
      </c>
    </row>
    <row r="95" spans="1:8" hidden="1" x14ac:dyDescent="0.25">
      <c r="A95" s="68" t="str">
        <f>IF(LEFT(CT!$E92,3)=NKMH!$F$2,CT!A92,"")</f>
        <v/>
      </c>
      <c r="B95" s="68" t="str">
        <f>IF(LEFT(CT!$E92,3)=NKMH!$F$2,CT!B92,"")</f>
        <v/>
      </c>
      <c r="C95" s="68" t="str">
        <f>IF(LEFT(CT!$E92,3)=NKMH!$F$2,CT!C92,"")</f>
        <v/>
      </c>
      <c r="D95" s="69">
        <f>IF(AND(LEFT(CT!$E92,3)=NKMH!$F$2,LEFT(CT!$D92,3)="156"),CT!$H92,0)</f>
        <v>0</v>
      </c>
      <c r="E95" s="69">
        <f>IF(AND(LEFT(CT!$E92,3)=NKMH!$F$2,LEFT(CT!$D92,3)="152"),CT!$H92,0)</f>
        <v>0</v>
      </c>
      <c r="F95" s="69">
        <f t="shared" si="1"/>
        <v>0</v>
      </c>
      <c r="G95" s="65" t="str">
        <f>IF(F95&gt;0,CT!D92,"")</f>
        <v/>
      </c>
      <c r="H95" s="69">
        <f>IF(LEFT(CT!$E92,3)=NKMH!$F$2,CT!$H92,0)</f>
        <v>0</v>
      </c>
    </row>
    <row r="96" spans="1:8" hidden="1" x14ac:dyDescent="0.25">
      <c r="A96" s="68" t="str">
        <f>IF(LEFT(CT!$E93,3)=NKMH!$F$2,CT!A93,"")</f>
        <v/>
      </c>
      <c r="B96" s="68" t="str">
        <f>IF(LEFT(CT!$E93,3)=NKMH!$F$2,CT!B93,"")</f>
        <v/>
      </c>
      <c r="C96" s="68" t="str">
        <f>IF(LEFT(CT!$E93,3)=NKMH!$F$2,CT!C93,"")</f>
        <v/>
      </c>
      <c r="D96" s="69">
        <f>IF(AND(LEFT(CT!$E93,3)=NKMH!$F$2,LEFT(CT!$D93,3)="156"),CT!$H93,0)</f>
        <v>0</v>
      </c>
      <c r="E96" s="69">
        <f>IF(AND(LEFT(CT!$E93,3)=NKMH!$F$2,LEFT(CT!$D93,3)="152"),CT!$H93,0)</f>
        <v>0</v>
      </c>
      <c r="F96" s="69">
        <f t="shared" si="1"/>
        <v>0</v>
      </c>
      <c r="G96" s="65" t="str">
        <f>IF(F96&gt;0,CT!D93,"")</f>
        <v/>
      </c>
      <c r="H96" s="69">
        <f>IF(LEFT(CT!$E93,3)=NKMH!$F$2,CT!$H93,0)</f>
        <v>0</v>
      </c>
    </row>
    <row r="97" spans="1:8" hidden="1" x14ac:dyDescent="0.25">
      <c r="A97" s="68" t="str">
        <f>IF(LEFT(CT!$E94,3)=NKMH!$F$2,CT!A94,"")</f>
        <v/>
      </c>
      <c r="B97" s="68" t="str">
        <f>IF(LEFT(CT!$E94,3)=NKMH!$F$2,CT!B94,"")</f>
        <v/>
      </c>
      <c r="C97" s="68" t="str">
        <f>IF(LEFT(CT!$E94,3)=NKMH!$F$2,CT!C94,"")</f>
        <v/>
      </c>
      <c r="D97" s="69">
        <f>IF(AND(LEFT(CT!$E94,3)=NKMH!$F$2,LEFT(CT!$D94,3)="156"),CT!$H94,0)</f>
        <v>0</v>
      </c>
      <c r="E97" s="69">
        <f>IF(AND(LEFT(CT!$E94,3)=NKMH!$F$2,LEFT(CT!$D94,3)="152"),CT!$H94,0)</f>
        <v>0</v>
      </c>
      <c r="F97" s="69">
        <f t="shared" si="1"/>
        <v>0</v>
      </c>
      <c r="G97" s="65" t="str">
        <f>IF(F97&gt;0,CT!D94,"")</f>
        <v/>
      </c>
      <c r="H97" s="69">
        <f>IF(LEFT(CT!$E94,3)=NKMH!$F$2,CT!$H94,0)</f>
        <v>0</v>
      </c>
    </row>
    <row r="98" spans="1:8" hidden="1" x14ac:dyDescent="0.25">
      <c r="A98" s="68" t="str">
        <f>IF(LEFT(CT!$E95,3)=NKMH!$F$2,CT!A95,"")</f>
        <v/>
      </c>
      <c r="B98" s="68" t="str">
        <f>IF(LEFT(CT!$E95,3)=NKMH!$F$2,CT!B95,"")</f>
        <v/>
      </c>
      <c r="C98" s="68" t="str">
        <f>IF(LEFT(CT!$E95,3)=NKMH!$F$2,CT!C95,"")</f>
        <v/>
      </c>
      <c r="D98" s="69">
        <f>IF(AND(LEFT(CT!$E95,3)=NKMH!$F$2,LEFT(CT!$D95,3)="156"),CT!$H95,0)</f>
        <v>0</v>
      </c>
      <c r="E98" s="69">
        <f>IF(AND(LEFT(CT!$E95,3)=NKMH!$F$2,LEFT(CT!$D95,3)="152"),CT!$H95,0)</f>
        <v>0</v>
      </c>
      <c r="F98" s="69">
        <f t="shared" si="1"/>
        <v>0</v>
      </c>
      <c r="G98" s="65" t="str">
        <f>IF(F98&gt;0,CT!D95,"")</f>
        <v/>
      </c>
      <c r="H98" s="69">
        <f>IF(LEFT(CT!$E95,3)=NKMH!$F$2,CT!$H95,0)</f>
        <v>0</v>
      </c>
    </row>
    <row r="99" spans="1:8" hidden="1" x14ac:dyDescent="0.25">
      <c r="A99" s="68" t="str">
        <f>IF(LEFT(CT!$E96,3)=NKMH!$F$2,CT!A96,"")</f>
        <v/>
      </c>
      <c r="B99" s="68" t="str">
        <f>IF(LEFT(CT!$E96,3)=NKMH!$F$2,CT!B96,"")</f>
        <v/>
      </c>
      <c r="C99" s="68" t="str">
        <f>IF(LEFT(CT!$E96,3)=NKMH!$F$2,CT!C96,"")</f>
        <v/>
      </c>
      <c r="D99" s="69">
        <f>IF(AND(LEFT(CT!$E96,3)=NKMH!$F$2,LEFT(CT!$D96,3)="156"),CT!$H96,0)</f>
        <v>0</v>
      </c>
      <c r="E99" s="69">
        <f>IF(AND(LEFT(CT!$E96,3)=NKMH!$F$2,LEFT(CT!$D96,3)="152"),CT!$H96,0)</f>
        <v>0</v>
      </c>
      <c r="F99" s="69">
        <f t="shared" si="1"/>
        <v>0</v>
      </c>
      <c r="G99" s="65" t="str">
        <f>IF(F99&gt;0,CT!D96,"")</f>
        <v/>
      </c>
      <c r="H99" s="69">
        <f>IF(LEFT(CT!$E96,3)=NKMH!$F$2,CT!$H96,0)</f>
        <v>0</v>
      </c>
    </row>
    <row r="100" spans="1:8" hidden="1" x14ac:dyDescent="0.25">
      <c r="A100" s="68" t="str">
        <f>IF(LEFT(CT!$E97,3)=NKMH!$F$2,CT!A97,"")</f>
        <v/>
      </c>
      <c r="B100" s="68" t="str">
        <f>IF(LEFT(CT!$E97,3)=NKMH!$F$2,CT!B97,"")</f>
        <v/>
      </c>
      <c r="C100" s="68" t="str">
        <f>IF(LEFT(CT!$E97,3)=NKMH!$F$2,CT!C97,"")</f>
        <v/>
      </c>
      <c r="D100" s="69">
        <f>IF(AND(LEFT(CT!$E97,3)=NKMH!$F$2,LEFT(CT!$D97,3)="156"),CT!$H97,0)</f>
        <v>0</v>
      </c>
      <c r="E100" s="69">
        <f>IF(AND(LEFT(CT!$E97,3)=NKMH!$F$2,LEFT(CT!$D97,3)="152"),CT!$H97,0)</f>
        <v>0</v>
      </c>
      <c r="F100" s="69">
        <f t="shared" si="1"/>
        <v>0</v>
      </c>
      <c r="G100" s="65" t="str">
        <f>IF(F100&gt;0,CT!D97,"")</f>
        <v/>
      </c>
      <c r="H100" s="69">
        <f>IF(LEFT(CT!$E97,3)=NKMH!$F$2,CT!$H97,0)</f>
        <v>0</v>
      </c>
    </row>
    <row r="101" spans="1:8" hidden="1" x14ac:dyDescent="0.25">
      <c r="A101" s="68" t="str">
        <f>IF(LEFT(CT!$E98,3)=NKMH!$F$2,CT!A98,"")</f>
        <v/>
      </c>
      <c r="B101" s="68" t="str">
        <f>IF(LEFT(CT!$E98,3)=NKMH!$F$2,CT!B98,"")</f>
        <v/>
      </c>
      <c r="C101" s="68" t="str">
        <f>IF(LEFT(CT!$E98,3)=NKMH!$F$2,CT!C98,"")</f>
        <v/>
      </c>
      <c r="D101" s="69">
        <f>IF(AND(LEFT(CT!$E98,3)=NKMH!$F$2,LEFT(CT!$D98,3)="156"),CT!$H98,0)</f>
        <v>0</v>
      </c>
      <c r="E101" s="69">
        <f>IF(AND(LEFT(CT!$E98,3)=NKMH!$F$2,LEFT(CT!$D98,3)="152"),CT!$H98,0)</f>
        <v>0</v>
      </c>
      <c r="F101" s="69">
        <f t="shared" si="1"/>
        <v>0</v>
      </c>
      <c r="G101" s="65" t="str">
        <f>IF(F101&gt;0,CT!D98,"")</f>
        <v/>
      </c>
      <c r="H101" s="69">
        <f>IF(LEFT(CT!$E98,3)=NKMH!$F$2,CT!$H98,0)</f>
        <v>0</v>
      </c>
    </row>
    <row r="102" spans="1:8" hidden="1" x14ac:dyDescent="0.25">
      <c r="A102" s="68" t="str">
        <f>IF(LEFT(CT!$E99,3)=NKMH!$F$2,CT!A99,"")</f>
        <v/>
      </c>
      <c r="B102" s="68" t="str">
        <f>IF(LEFT(CT!$E99,3)=NKMH!$F$2,CT!B99,"")</f>
        <v/>
      </c>
      <c r="C102" s="68" t="str">
        <f>IF(LEFT(CT!$E99,3)=NKMH!$F$2,CT!C99,"")</f>
        <v/>
      </c>
      <c r="D102" s="69">
        <f>IF(AND(LEFT(CT!$E99,3)=NKMH!$F$2,LEFT(CT!$D99,3)="156"),CT!$H99,0)</f>
        <v>0</v>
      </c>
      <c r="E102" s="69">
        <f>IF(AND(LEFT(CT!$E99,3)=NKMH!$F$2,LEFT(CT!$D99,3)="152"),CT!$H99,0)</f>
        <v>0</v>
      </c>
      <c r="F102" s="69">
        <f t="shared" si="1"/>
        <v>0</v>
      </c>
      <c r="G102" s="65" t="str">
        <f>IF(F102&gt;0,CT!D99,"")</f>
        <v/>
      </c>
      <c r="H102" s="69">
        <f>IF(LEFT(CT!$E99,3)=NKMH!$F$2,CT!$H99,0)</f>
        <v>0</v>
      </c>
    </row>
    <row r="103" spans="1:8" hidden="1" x14ac:dyDescent="0.25">
      <c r="A103" s="68" t="str">
        <f>IF(LEFT(CT!$E100,3)=NKMH!$F$2,CT!A100,"")</f>
        <v/>
      </c>
      <c r="B103" s="68" t="str">
        <f>IF(LEFT(CT!$E100,3)=NKMH!$F$2,CT!B100,"")</f>
        <v/>
      </c>
      <c r="C103" s="68" t="str">
        <f>IF(LEFT(CT!$E100,3)=NKMH!$F$2,CT!C100,"")</f>
        <v/>
      </c>
      <c r="D103" s="69">
        <f>IF(AND(LEFT(CT!$E100,3)=NKMH!$F$2,LEFT(CT!$D100,3)="156"),CT!$H100,0)</f>
        <v>0</v>
      </c>
      <c r="E103" s="69">
        <f>IF(AND(LEFT(CT!$E100,3)=NKMH!$F$2,LEFT(CT!$D100,3)="152"),CT!$H100,0)</f>
        <v>0</v>
      </c>
      <c r="F103" s="69">
        <f t="shared" si="1"/>
        <v>0</v>
      </c>
      <c r="G103" s="65" t="str">
        <f>IF(F103&gt;0,CT!D100,"")</f>
        <v/>
      </c>
      <c r="H103" s="69">
        <f>IF(LEFT(CT!$E100,3)=NKMH!$F$2,CT!$H100,0)</f>
        <v>0</v>
      </c>
    </row>
    <row r="104" spans="1:8" hidden="1" x14ac:dyDescent="0.25">
      <c r="A104" s="68" t="str">
        <f>IF(LEFT(CT!$E101,3)=NKMH!$F$2,CT!A101,"")</f>
        <v/>
      </c>
      <c r="B104" s="68" t="str">
        <f>IF(LEFT(CT!$E101,3)=NKMH!$F$2,CT!B101,"")</f>
        <v/>
      </c>
      <c r="C104" s="68" t="str">
        <f>IF(LEFT(CT!$E101,3)=NKMH!$F$2,CT!C101,"")</f>
        <v/>
      </c>
      <c r="D104" s="69">
        <f>IF(AND(LEFT(CT!$E101,3)=NKMH!$F$2,LEFT(CT!$D101,3)="156"),CT!$H101,0)</f>
        <v>0</v>
      </c>
      <c r="E104" s="69">
        <f>IF(AND(LEFT(CT!$E101,3)=NKMH!$F$2,LEFT(CT!$D101,3)="152"),CT!$H101,0)</f>
        <v>0</v>
      </c>
      <c r="F104" s="69">
        <f t="shared" si="1"/>
        <v>0</v>
      </c>
      <c r="G104" s="65" t="str">
        <f>IF(F104&gt;0,CT!D101,"")</f>
        <v/>
      </c>
      <c r="H104" s="69">
        <f>IF(LEFT(CT!$E101,3)=NKMH!$F$2,CT!$H101,0)</f>
        <v>0</v>
      </c>
    </row>
    <row r="105" spans="1:8" hidden="1" x14ac:dyDescent="0.25">
      <c r="A105" s="68" t="str">
        <f>IF(LEFT(CT!$E102,3)=NKMH!$F$2,CT!A102,"")</f>
        <v/>
      </c>
      <c r="B105" s="68" t="str">
        <f>IF(LEFT(CT!$E102,3)=NKMH!$F$2,CT!B102,"")</f>
        <v/>
      </c>
      <c r="C105" s="68" t="str">
        <f>IF(LEFT(CT!$E102,3)=NKMH!$F$2,CT!C102,"")</f>
        <v/>
      </c>
      <c r="D105" s="69">
        <f>IF(AND(LEFT(CT!$E102,3)=NKMH!$F$2,LEFT(CT!$D102,3)="156"),CT!$H102,0)</f>
        <v>0</v>
      </c>
      <c r="E105" s="69">
        <f>IF(AND(LEFT(CT!$E102,3)=NKMH!$F$2,LEFT(CT!$D102,3)="152"),CT!$H102,0)</f>
        <v>0</v>
      </c>
      <c r="F105" s="69">
        <f t="shared" si="1"/>
        <v>0</v>
      </c>
      <c r="G105" s="65" t="str">
        <f>IF(F105&gt;0,CT!D102,"")</f>
        <v/>
      </c>
      <c r="H105" s="69">
        <f>IF(LEFT(CT!$E102,3)=NKMH!$F$2,CT!$H102,0)</f>
        <v>0</v>
      </c>
    </row>
    <row r="106" spans="1:8" hidden="1" x14ac:dyDescent="0.25">
      <c r="A106" s="68" t="str">
        <f>IF(LEFT(CT!$E103,3)=NKMH!$F$2,CT!A103,"")</f>
        <v/>
      </c>
      <c r="B106" s="68" t="str">
        <f>IF(LEFT(CT!$E103,3)=NKMH!$F$2,CT!B103,"")</f>
        <v/>
      </c>
      <c r="C106" s="68" t="str">
        <f>IF(LEFT(CT!$E103,3)=NKMH!$F$2,CT!C103,"")</f>
        <v/>
      </c>
      <c r="D106" s="69">
        <f>IF(AND(LEFT(CT!$E103,3)=NKMH!$F$2,LEFT(CT!$D103,3)="156"),CT!$H103,0)</f>
        <v>0</v>
      </c>
      <c r="E106" s="69">
        <f>IF(AND(LEFT(CT!$E103,3)=NKMH!$F$2,LEFT(CT!$D103,3)="152"),CT!$H103,0)</f>
        <v>0</v>
      </c>
      <c r="F106" s="69">
        <f t="shared" si="1"/>
        <v>0</v>
      </c>
      <c r="G106" s="65" t="str">
        <f>IF(F106&gt;0,CT!D103,"")</f>
        <v/>
      </c>
      <c r="H106" s="69">
        <f>IF(LEFT(CT!$E103,3)=NKMH!$F$2,CT!$H103,0)</f>
        <v>0</v>
      </c>
    </row>
    <row r="107" spans="1:8" hidden="1" x14ac:dyDescent="0.25">
      <c r="A107" s="68" t="str">
        <f>IF(LEFT(CT!$E104,3)=NKMH!$F$2,CT!A104,"")</f>
        <v/>
      </c>
      <c r="B107" s="68" t="str">
        <f>IF(LEFT(CT!$E104,3)=NKMH!$F$2,CT!B104,"")</f>
        <v/>
      </c>
      <c r="C107" s="68" t="str">
        <f>IF(LEFT(CT!$E104,3)=NKMH!$F$2,CT!C104,"")</f>
        <v/>
      </c>
      <c r="D107" s="69">
        <f>IF(AND(LEFT(CT!$E104,3)=NKMH!$F$2,LEFT(CT!$D104,3)="156"),CT!$H104,0)</f>
        <v>0</v>
      </c>
      <c r="E107" s="69">
        <f>IF(AND(LEFT(CT!$E104,3)=NKMH!$F$2,LEFT(CT!$D104,3)="152"),CT!$H104,0)</f>
        <v>0</v>
      </c>
      <c r="F107" s="69">
        <f t="shared" si="1"/>
        <v>0</v>
      </c>
      <c r="G107" s="65" t="str">
        <f>IF(F107&gt;0,CT!D104,"")</f>
        <v/>
      </c>
      <c r="H107" s="69">
        <f>IF(LEFT(CT!$E104,3)=NKMH!$F$2,CT!$H104,0)</f>
        <v>0</v>
      </c>
    </row>
    <row r="108" spans="1:8" hidden="1" x14ac:dyDescent="0.25">
      <c r="A108" s="68" t="str">
        <f>IF(LEFT(CT!$E105,3)=NKMH!$F$2,CT!A105,"")</f>
        <v/>
      </c>
      <c r="B108" s="68" t="str">
        <f>IF(LEFT(CT!$E105,3)=NKMH!$F$2,CT!B105,"")</f>
        <v/>
      </c>
      <c r="C108" s="68" t="str">
        <f>IF(LEFT(CT!$E105,3)=NKMH!$F$2,CT!C105,"")</f>
        <v/>
      </c>
      <c r="D108" s="69">
        <f>IF(AND(LEFT(CT!$E105,3)=NKMH!$F$2,LEFT(CT!$D105,3)="156"),CT!$H105,0)</f>
        <v>0</v>
      </c>
      <c r="E108" s="69">
        <f>IF(AND(LEFT(CT!$E105,3)=NKMH!$F$2,LEFT(CT!$D105,3)="152"),CT!$H105,0)</f>
        <v>0</v>
      </c>
      <c r="F108" s="69">
        <f t="shared" si="1"/>
        <v>0</v>
      </c>
      <c r="G108" s="65" t="str">
        <f>IF(F108&gt;0,CT!D105,"")</f>
        <v/>
      </c>
      <c r="H108" s="69">
        <f>IF(LEFT(CT!$E105,3)=NKMH!$F$2,CT!$H105,0)</f>
        <v>0</v>
      </c>
    </row>
    <row r="109" spans="1:8" hidden="1" x14ac:dyDescent="0.25">
      <c r="A109" s="68" t="str">
        <f>IF(LEFT(CT!$E106,3)=NKMH!$F$2,CT!A106,"")</f>
        <v/>
      </c>
      <c r="B109" s="68" t="str">
        <f>IF(LEFT(CT!$E106,3)=NKMH!$F$2,CT!B106,"")</f>
        <v/>
      </c>
      <c r="C109" s="68" t="str">
        <f>IF(LEFT(CT!$E106,3)=NKMH!$F$2,CT!C106,"")</f>
        <v/>
      </c>
      <c r="D109" s="69">
        <f>IF(AND(LEFT(CT!$E106,3)=NKMH!$F$2,LEFT(CT!$D106,3)="156"),CT!$H106,0)</f>
        <v>0</v>
      </c>
      <c r="E109" s="69">
        <f>IF(AND(LEFT(CT!$E106,3)=NKMH!$F$2,LEFT(CT!$D106,3)="152"),CT!$H106,0)</f>
        <v>0</v>
      </c>
      <c r="F109" s="69">
        <f t="shared" si="1"/>
        <v>0</v>
      </c>
      <c r="G109" s="65" t="str">
        <f>IF(F109&gt;0,CT!D106,"")</f>
        <v/>
      </c>
      <c r="H109" s="69">
        <f>IF(LEFT(CT!$E106,3)=NKMH!$F$2,CT!$H106,0)</f>
        <v>0</v>
      </c>
    </row>
    <row r="110" spans="1:8" hidden="1" x14ac:dyDescent="0.25">
      <c r="A110" s="68" t="str">
        <f>IF(LEFT(CT!$E107,3)=NKMH!$F$2,CT!A107,"")</f>
        <v/>
      </c>
      <c r="B110" s="68" t="str">
        <f>IF(LEFT(CT!$E107,3)=NKMH!$F$2,CT!B107,"")</f>
        <v/>
      </c>
      <c r="C110" s="68" t="str">
        <f>IF(LEFT(CT!$E107,3)=NKMH!$F$2,CT!C107,"")</f>
        <v/>
      </c>
      <c r="D110" s="69">
        <f>IF(AND(LEFT(CT!$E107,3)=NKMH!$F$2,LEFT(CT!$D107,3)="156"),CT!$H107,0)</f>
        <v>0</v>
      </c>
      <c r="E110" s="69">
        <f>IF(AND(LEFT(CT!$E107,3)=NKMH!$F$2,LEFT(CT!$D107,3)="152"),CT!$H107,0)</f>
        <v>0</v>
      </c>
      <c r="F110" s="69">
        <f t="shared" si="1"/>
        <v>0</v>
      </c>
      <c r="G110" s="65" t="str">
        <f>IF(F110&gt;0,CT!D107,"")</f>
        <v/>
      </c>
      <c r="H110" s="69">
        <f>IF(LEFT(CT!$E107,3)=NKMH!$F$2,CT!$H107,0)</f>
        <v>0</v>
      </c>
    </row>
    <row r="111" spans="1:8" hidden="1" x14ac:dyDescent="0.25">
      <c r="A111" s="68" t="str">
        <f>IF(LEFT(CT!$E108,3)=NKMH!$F$2,CT!A108,"")</f>
        <v/>
      </c>
      <c r="B111" s="68" t="str">
        <f>IF(LEFT(CT!$E108,3)=NKMH!$F$2,CT!B108,"")</f>
        <v/>
      </c>
      <c r="C111" s="68" t="str">
        <f>IF(LEFT(CT!$E108,3)=NKMH!$F$2,CT!C108,"")</f>
        <v/>
      </c>
      <c r="D111" s="69">
        <f>IF(AND(LEFT(CT!$E108,3)=NKMH!$F$2,LEFT(CT!$D108,3)="156"),CT!$H108,0)</f>
        <v>0</v>
      </c>
      <c r="E111" s="69">
        <f>IF(AND(LEFT(CT!$E108,3)=NKMH!$F$2,LEFT(CT!$D108,3)="152"),CT!$H108,0)</f>
        <v>0</v>
      </c>
      <c r="F111" s="69">
        <f t="shared" si="1"/>
        <v>0</v>
      </c>
      <c r="G111" s="65" t="str">
        <f>IF(F111&gt;0,CT!D108,"")</f>
        <v/>
      </c>
      <c r="H111" s="69">
        <f>IF(LEFT(CT!$E108,3)=NKMH!$F$2,CT!$H108,0)</f>
        <v>0</v>
      </c>
    </row>
    <row r="112" spans="1:8" hidden="1" x14ac:dyDescent="0.25">
      <c r="A112" s="68" t="str">
        <f>IF(LEFT(CT!$E109,3)=NKMH!$F$2,CT!A109,"")</f>
        <v/>
      </c>
      <c r="B112" s="68" t="str">
        <f>IF(LEFT(CT!$E109,3)=NKMH!$F$2,CT!B109,"")</f>
        <v/>
      </c>
      <c r="C112" s="68" t="str">
        <f>IF(LEFT(CT!$E109,3)=NKMH!$F$2,CT!C109,"")</f>
        <v/>
      </c>
      <c r="D112" s="69">
        <f>IF(AND(LEFT(CT!$E109,3)=NKMH!$F$2,LEFT(CT!$D109,3)="156"),CT!$H109,0)</f>
        <v>0</v>
      </c>
      <c r="E112" s="69">
        <f>IF(AND(LEFT(CT!$E109,3)=NKMH!$F$2,LEFT(CT!$D109,3)="152"),CT!$H109,0)</f>
        <v>0</v>
      </c>
      <c r="F112" s="69">
        <f t="shared" si="1"/>
        <v>0</v>
      </c>
      <c r="G112" s="65" t="str">
        <f>IF(F112&gt;0,CT!D109,"")</f>
        <v/>
      </c>
      <c r="H112" s="69">
        <f>IF(LEFT(CT!$E109,3)=NKMH!$F$2,CT!$H109,0)</f>
        <v>0</v>
      </c>
    </row>
    <row r="113" spans="1:8" hidden="1" x14ac:dyDescent="0.25">
      <c r="A113" s="68" t="str">
        <f>IF(LEFT(CT!$E110,3)=NKMH!$F$2,CT!A110,"")</f>
        <v/>
      </c>
      <c r="B113" s="68" t="str">
        <f>IF(LEFT(CT!$E110,3)=NKMH!$F$2,CT!B110,"")</f>
        <v/>
      </c>
      <c r="C113" s="68" t="str">
        <f>IF(LEFT(CT!$E110,3)=NKMH!$F$2,CT!C110,"")</f>
        <v/>
      </c>
      <c r="D113" s="69">
        <f>IF(AND(LEFT(CT!$E110,3)=NKMH!$F$2,LEFT(CT!$D110,3)="156"),CT!$H110,0)</f>
        <v>0</v>
      </c>
      <c r="E113" s="69">
        <f>IF(AND(LEFT(CT!$E110,3)=NKMH!$F$2,LEFT(CT!$D110,3)="152"),CT!$H110,0)</f>
        <v>0</v>
      </c>
      <c r="F113" s="69">
        <f t="shared" si="1"/>
        <v>0</v>
      </c>
      <c r="G113" s="65" t="str">
        <f>IF(F113&gt;0,CT!D110,"")</f>
        <v/>
      </c>
      <c r="H113" s="69">
        <f>IF(LEFT(CT!$E110,3)=NKMH!$F$2,CT!$H110,0)</f>
        <v>0</v>
      </c>
    </row>
    <row r="114" spans="1:8" hidden="1" x14ac:dyDescent="0.25">
      <c r="A114" s="68" t="str">
        <f>IF(LEFT(CT!$E111,3)=NKMH!$F$2,CT!A111,"")</f>
        <v/>
      </c>
      <c r="B114" s="68" t="str">
        <f>IF(LEFT(CT!$E111,3)=NKMH!$F$2,CT!B111,"")</f>
        <v/>
      </c>
      <c r="C114" s="68" t="str">
        <f>IF(LEFT(CT!$E111,3)=NKMH!$F$2,CT!C111,"")</f>
        <v/>
      </c>
      <c r="D114" s="69">
        <f>IF(AND(LEFT(CT!$E111,3)=NKMH!$F$2,LEFT(CT!$D111,3)="156"),CT!$H111,0)</f>
        <v>0</v>
      </c>
      <c r="E114" s="69">
        <f>IF(AND(LEFT(CT!$E111,3)=NKMH!$F$2,LEFT(CT!$D111,3)="152"),CT!$H111,0)</f>
        <v>0</v>
      </c>
      <c r="F114" s="69">
        <f t="shared" si="1"/>
        <v>0</v>
      </c>
      <c r="G114" s="65" t="str">
        <f>IF(F114&gt;0,CT!D111,"")</f>
        <v/>
      </c>
      <c r="H114" s="69">
        <f>IF(LEFT(CT!$E111,3)=NKMH!$F$2,CT!$H111,0)</f>
        <v>0</v>
      </c>
    </row>
    <row r="115" spans="1:8" hidden="1" x14ac:dyDescent="0.25">
      <c r="A115" s="68" t="str">
        <f>IF(LEFT(CT!$E112,3)=NKMH!$F$2,CT!A112,"")</f>
        <v/>
      </c>
      <c r="B115" s="68" t="str">
        <f>IF(LEFT(CT!$E112,3)=NKMH!$F$2,CT!B112,"")</f>
        <v/>
      </c>
      <c r="C115" s="68" t="str">
        <f>IF(LEFT(CT!$E112,3)=NKMH!$F$2,CT!C112,"")</f>
        <v/>
      </c>
      <c r="D115" s="69">
        <f>IF(AND(LEFT(CT!$E112,3)=NKMH!$F$2,LEFT(CT!$D112,3)="156"),CT!$H112,0)</f>
        <v>0</v>
      </c>
      <c r="E115" s="69">
        <f>IF(AND(LEFT(CT!$E112,3)=NKMH!$F$2,LEFT(CT!$D112,3)="152"),CT!$H112,0)</f>
        <v>0</v>
      </c>
      <c r="F115" s="69">
        <f t="shared" si="1"/>
        <v>0</v>
      </c>
      <c r="G115" s="65" t="str">
        <f>IF(F115&gt;0,CT!D112,"")</f>
        <v/>
      </c>
      <c r="H115" s="69">
        <f>IF(LEFT(CT!$E112,3)=NKMH!$F$2,CT!$H112,0)</f>
        <v>0</v>
      </c>
    </row>
    <row r="116" spans="1:8" hidden="1" x14ac:dyDescent="0.25">
      <c r="A116" s="68" t="str">
        <f>IF(LEFT(CT!$E113,3)=NKMH!$F$2,CT!A113,"")</f>
        <v/>
      </c>
      <c r="B116" s="68" t="str">
        <f>IF(LEFT(CT!$E113,3)=NKMH!$F$2,CT!B113,"")</f>
        <v/>
      </c>
      <c r="C116" s="68" t="str">
        <f>IF(LEFT(CT!$E113,3)=NKMH!$F$2,CT!C113,"")</f>
        <v/>
      </c>
      <c r="D116" s="69">
        <f>IF(AND(LEFT(CT!$E113,3)=NKMH!$F$2,LEFT(CT!$D113,3)="156"),CT!$H113,0)</f>
        <v>0</v>
      </c>
      <c r="E116" s="69">
        <f>IF(AND(LEFT(CT!$E113,3)=NKMH!$F$2,LEFT(CT!$D113,3)="152"),CT!$H113,0)</f>
        <v>0</v>
      </c>
      <c r="F116" s="69">
        <f t="shared" si="1"/>
        <v>0</v>
      </c>
      <c r="G116" s="65" t="str">
        <f>IF(F116&gt;0,CT!D113,"")</f>
        <v/>
      </c>
      <c r="H116" s="69">
        <f>IF(LEFT(CT!$E113,3)=NKMH!$F$2,CT!$H113,0)</f>
        <v>0</v>
      </c>
    </row>
    <row r="117" spans="1:8" hidden="1" x14ac:dyDescent="0.25">
      <c r="A117" s="68" t="str">
        <f>IF(LEFT(CT!$E114,3)=NKMH!$F$2,CT!A114,"")</f>
        <v/>
      </c>
      <c r="B117" s="68" t="str">
        <f>IF(LEFT(CT!$E114,3)=NKMH!$F$2,CT!B114,"")</f>
        <v/>
      </c>
      <c r="C117" s="68" t="str">
        <f>IF(LEFT(CT!$E114,3)=NKMH!$F$2,CT!C114,"")</f>
        <v/>
      </c>
      <c r="D117" s="69">
        <f>IF(AND(LEFT(CT!$E114,3)=NKMH!$F$2,LEFT(CT!$D114,3)="156"),CT!$H114,0)</f>
        <v>0</v>
      </c>
      <c r="E117" s="69">
        <f>IF(AND(LEFT(CT!$E114,3)=NKMH!$F$2,LEFT(CT!$D114,3)="152"),CT!$H114,0)</f>
        <v>0</v>
      </c>
      <c r="F117" s="69">
        <f t="shared" si="1"/>
        <v>0</v>
      </c>
      <c r="G117" s="65" t="str">
        <f>IF(F117&gt;0,CT!D114,"")</f>
        <v/>
      </c>
      <c r="H117" s="69">
        <f>IF(LEFT(CT!$E114,3)=NKMH!$F$2,CT!$H114,0)</f>
        <v>0</v>
      </c>
    </row>
    <row r="118" spans="1:8" hidden="1" x14ac:dyDescent="0.25">
      <c r="A118" s="68" t="str">
        <f>IF(LEFT(CT!$E115,3)=NKMH!$F$2,CT!A115,"")</f>
        <v/>
      </c>
      <c r="B118" s="68" t="str">
        <f>IF(LEFT(CT!$E115,3)=NKMH!$F$2,CT!B115,"")</f>
        <v/>
      </c>
      <c r="C118" s="68" t="str">
        <f>IF(LEFT(CT!$E115,3)=NKMH!$F$2,CT!C115,"")</f>
        <v/>
      </c>
      <c r="D118" s="69">
        <f>IF(AND(LEFT(CT!$E115,3)=NKMH!$F$2,LEFT(CT!$D115,3)="156"),CT!$H115,0)</f>
        <v>0</v>
      </c>
      <c r="E118" s="69">
        <f>IF(AND(LEFT(CT!$E115,3)=NKMH!$F$2,LEFT(CT!$D115,3)="152"),CT!$H115,0)</f>
        <v>0</v>
      </c>
      <c r="F118" s="69">
        <f t="shared" si="1"/>
        <v>0</v>
      </c>
      <c r="G118" s="65" t="str">
        <f>IF(F118&gt;0,CT!D115,"")</f>
        <v/>
      </c>
      <c r="H118" s="69">
        <f>IF(LEFT(CT!$E115,3)=NKMH!$F$2,CT!$H115,0)</f>
        <v>0</v>
      </c>
    </row>
    <row r="119" spans="1:8" hidden="1" x14ac:dyDescent="0.25">
      <c r="A119" s="68" t="str">
        <f>IF(LEFT(CT!$E116,3)=NKMH!$F$2,CT!A116,"")</f>
        <v/>
      </c>
      <c r="B119" s="68" t="str">
        <f>IF(LEFT(CT!$E116,3)=NKMH!$F$2,CT!B116,"")</f>
        <v/>
      </c>
      <c r="C119" s="68" t="str">
        <f>IF(LEFT(CT!$E116,3)=NKMH!$F$2,CT!C116,"")</f>
        <v/>
      </c>
      <c r="D119" s="69">
        <f>IF(AND(LEFT(CT!$E116,3)=NKMH!$F$2,LEFT(CT!$D116,3)="156"),CT!$H116,0)</f>
        <v>0</v>
      </c>
      <c r="E119" s="69">
        <f>IF(AND(LEFT(CT!$E116,3)=NKMH!$F$2,LEFT(CT!$D116,3)="152"),CT!$H116,0)</f>
        <v>0</v>
      </c>
      <c r="F119" s="69">
        <f t="shared" si="1"/>
        <v>0</v>
      </c>
      <c r="G119" s="65" t="str">
        <f>IF(F119&gt;0,CT!D116,"")</f>
        <v/>
      </c>
      <c r="H119" s="69">
        <f>IF(LEFT(CT!$E116,3)=NKMH!$F$2,CT!$H116,0)</f>
        <v>0</v>
      </c>
    </row>
    <row r="120" spans="1:8" hidden="1" x14ac:dyDescent="0.25">
      <c r="A120" s="68" t="str">
        <f>IF(LEFT(CT!$E117,3)=NKMH!$F$2,CT!A117,"")</f>
        <v/>
      </c>
      <c r="B120" s="68" t="str">
        <f>IF(LEFT(CT!$E117,3)=NKMH!$F$2,CT!B117,"")</f>
        <v/>
      </c>
      <c r="C120" s="68" t="str">
        <f>IF(LEFT(CT!$E117,3)=NKMH!$F$2,CT!C117,"")</f>
        <v/>
      </c>
      <c r="D120" s="69">
        <f>IF(AND(LEFT(CT!$E117,3)=NKMH!$F$2,LEFT(CT!$D117,3)="156"),CT!$H117,0)</f>
        <v>0</v>
      </c>
      <c r="E120" s="69">
        <f>IF(AND(LEFT(CT!$E117,3)=NKMH!$F$2,LEFT(CT!$D117,3)="152"),CT!$H117,0)</f>
        <v>0</v>
      </c>
      <c r="F120" s="69">
        <f t="shared" si="1"/>
        <v>0</v>
      </c>
      <c r="G120" s="65" t="str">
        <f>IF(F120&gt;0,CT!D117,"")</f>
        <v/>
      </c>
      <c r="H120" s="69">
        <f>IF(LEFT(CT!$E117,3)=NKMH!$F$2,CT!$H117,0)</f>
        <v>0</v>
      </c>
    </row>
    <row r="121" spans="1:8" hidden="1" x14ac:dyDescent="0.25">
      <c r="A121" s="68" t="str">
        <f>IF(LEFT(CT!$E118,3)=NKMH!$F$2,CT!A118,"")</f>
        <v/>
      </c>
      <c r="B121" s="68" t="str">
        <f>IF(LEFT(CT!$E118,3)=NKMH!$F$2,CT!B118,"")</f>
        <v/>
      </c>
      <c r="C121" s="68" t="str">
        <f>IF(LEFT(CT!$E118,3)=NKMH!$F$2,CT!C118,"")</f>
        <v/>
      </c>
      <c r="D121" s="69">
        <f>IF(AND(LEFT(CT!$E118,3)=NKMH!$F$2,LEFT(CT!$D118,3)="156"),CT!$H118,0)</f>
        <v>0</v>
      </c>
      <c r="E121" s="69">
        <f>IF(AND(LEFT(CT!$E118,3)=NKMH!$F$2,LEFT(CT!$D118,3)="152"),CT!$H118,0)</f>
        <v>0</v>
      </c>
      <c r="F121" s="69">
        <f t="shared" si="1"/>
        <v>0</v>
      </c>
      <c r="G121" s="65" t="str">
        <f>IF(F121&gt;0,CT!D118,"")</f>
        <v/>
      </c>
      <c r="H121" s="69">
        <f>IF(LEFT(CT!$E118,3)=NKMH!$F$2,CT!$H118,0)</f>
        <v>0</v>
      </c>
    </row>
    <row r="122" spans="1:8" hidden="1" x14ac:dyDescent="0.25">
      <c r="A122" s="68" t="str">
        <f>IF(LEFT(CT!$E119,3)=NKMH!$F$2,CT!A119,"")</f>
        <v/>
      </c>
      <c r="B122" s="68" t="str">
        <f>IF(LEFT(CT!$E119,3)=NKMH!$F$2,CT!B119,"")</f>
        <v/>
      </c>
      <c r="C122" s="68" t="str">
        <f>IF(LEFT(CT!$E119,3)=NKMH!$F$2,CT!C119,"")</f>
        <v/>
      </c>
      <c r="D122" s="69">
        <f>IF(AND(LEFT(CT!$E119,3)=NKMH!$F$2,LEFT(CT!$D119,3)="156"),CT!$H119,0)</f>
        <v>0</v>
      </c>
      <c r="E122" s="69">
        <f>IF(AND(LEFT(CT!$E119,3)=NKMH!$F$2,LEFT(CT!$D119,3)="152"),CT!$H119,0)</f>
        <v>0</v>
      </c>
      <c r="F122" s="69">
        <f t="shared" si="1"/>
        <v>0</v>
      </c>
      <c r="G122" s="65" t="str">
        <f>IF(F122&gt;0,CT!D119,"")</f>
        <v/>
      </c>
      <c r="H122" s="69">
        <f>IF(LEFT(CT!$E119,3)=NKMH!$F$2,CT!$H119,0)</f>
        <v>0</v>
      </c>
    </row>
    <row r="123" spans="1:8" hidden="1" x14ac:dyDescent="0.25">
      <c r="A123" s="68" t="str">
        <f>IF(LEFT(CT!$E120,3)=NKMH!$F$2,CT!A120,"")</f>
        <v/>
      </c>
      <c r="B123" s="68" t="str">
        <f>IF(LEFT(CT!$E120,3)=NKMH!$F$2,CT!B120,"")</f>
        <v/>
      </c>
      <c r="C123" s="68" t="str">
        <f>IF(LEFT(CT!$E120,3)=NKMH!$F$2,CT!C120,"")</f>
        <v/>
      </c>
      <c r="D123" s="69">
        <f>IF(AND(LEFT(CT!$E120,3)=NKMH!$F$2,LEFT(CT!$D120,3)="156"),CT!$H120,0)</f>
        <v>0</v>
      </c>
      <c r="E123" s="69">
        <f>IF(AND(LEFT(CT!$E120,3)=NKMH!$F$2,LEFT(CT!$D120,3)="152"),CT!$H120,0)</f>
        <v>0</v>
      </c>
      <c r="F123" s="69">
        <f t="shared" si="1"/>
        <v>0</v>
      </c>
      <c r="G123" s="65" t="str">
        <f>IF(F123&gt;0,CT!D120,"")</f>
        <v/>
      </c>
      <c r="H123" s="69">
        <f>IF(LEFT(CT!$E120,3)=NKMH!$F$2,CT!$H120,0)</f>
        <v>0</v>
      </c>
    </row>
    <row r="124" spans="1:8" hidden="1" x14ac:dyDescent="0.25">
      <c r="A124" s="68" t="str">
        <f>IF(LEFT(CT!$E121,3)=NKMH!$F$2,CT!A121,"")</f>
        <v/>
      </c>
      <c r="B124" s="68" t="str">
        <f>IF(LEFT(CT!$E121,3)=NKMH!$F$2,CT!B121,"")</f>
        <v/>
      </c>
      <c r="C124" s="68" t="str">
        <f>IF(LEFT(CT!$E121,3)=NKMH!$F$2,CT!C121,"")</f>
        <v/>
      </c>
      <c r="D124" s="69">
        <f>IF(AND(LEFT(CT!$E121,3)=NKMH!$F$2,LEFT(CT!$D121,3)="156"),CT!$H121,0)</f>
        <v>0</v>
      </c>
      <c r="E124" s="69">
        <f>IF(AND(LEFT(CT!$E121,3)=NKMH!$F$2,LEFT(CT!$D121,3)="152"),CT!$H121,0)</f>
        <v>0</v>
      </c>
      <c r="F124" s="69">
        <f t="shared" si="1"/>
        <v>0</v>
      </c>
      <c r="G124" s="65" t="str">
        <f>IF(F124&gt;0,CT!D121,"")</f>
        <v/>
      </c>
      <c r="H124" s="69">
        <f>IF(LEFT(CT!$E121,3)=NKMH!$F$2,CT!$H121,0)</f>
        <v>0</v>
      </c>
    </row>
    <row r="125" spans="1:8" hidden="1" x14ac:dyDescent="0.25">
      <c r="A125" s="68" t="str">
        <f>IF(LEFT(CT!$E122,3)=NKMH!$F$2,CT!A122,"")</f>
        <v/>
      </c>
      <c r="B125" s="68" t="str">
        <f>IF(LEFT(CT!$E122,3)=NKMH!$F$2,CT!B122,"")</f>
        <v/>
      </c>
      <c r="C125" s="68" t="str">
        <f>IF(LEFT(CT!$E122,3)=NKMH!$F$2,CT!C122,"")</f>
        <v/>
      </c>
      <c r="D125" s="69">
        <f>IF(AND(LEFT(CT!$E122,3)=NKMH!$F$2,LEFT(CT!$D122,3)="156"),CT!$H122,0)</f>
        <v>0</v>
      </c>
      <c r="E125" s="69">
        <f>IF(AND(LEFT(CT!$E122,3)=NKMH!$F$2,LEFT(CT!$D122,3)="152"),CT!$H122,0)</f>
        <v>0</v>
      </c>
      <c r="F125" s="69">
        <f t="shared" si="1"/>
        <v>0</v>
      </c>
      <c r="G125" s="65" t="str">
        <f>IF(F125&gt;0,CT!D122,"")</f>
        <v/>
      </c>
      <c r="H125" s="69">
        <f>IF(LEFT(CT!$E122,3)=NKMH!$F$2,CT!$H122,0)</f>
        <v>0</v>
      </c>
    </row>
    <row r="126" spans="1:8" hidden="1" x14ac:dyDescent="0.25">
      <c r="A126" s="68" t="str">
        <f>IF(LEFT(CT!$E123,3)=NKMH!$F$2,CT!A123,"")</f>
        <v/>
      </c>
      <c r="B126" s="68" t="str">
        <f>IF(LEFT(CT!$E123,3)=NKMH!$F$2,CT!B123,"")</f>
        <v/>
      </c>
      <c r="C126" s="68" t="str">
        <f>IF(LEFT(CT!$E123,3)=NKMH!$F$2,CT!C123,"")</f>
        <v/>
      </c>
      <c r="D126" s="69">
        <f>IF(AND(LEFT(CT!$E123,3)=NKMH!$F$2,LEFT(CT!$D123,3)="156"),CT!$H123,0)</f>
        <v>0</v>
      </c>
      <c r="E126" s="69">
        <f>IF(AND(LEFT(CT!$E123,3)=NKMH!$F$2,LEFT(CT!$D123,3)="152"),CT!$H123,0)</f>
        <v>0</v>
      </c>
      <c r="F126" s="69">
        <f t="shared" si="1"/>
        <v>0</v>
      </c>
      <c r="G126" s="65" t="str">
        <f>IF(F126&gt;0,CT!D123,"")</f>
        <v/>
      </c>
      <c r="H126" s="69">
        <f>IF(LEFT(CT!$E123,3)=NKMH!$F$2,CT!$H123,0)</f>
        <v>0</v>
      </c>
    </row>
    <row r="127" spans="1:8" hidden="1" x14ac:dyDescent="0.25">
      <c r="A127" s="68" t="str">
        <f>IF(LEFT(CT!$E124,3)=NKMH!$F$2,CT!A124,"")</f>
        <v/>
      </c>
      <c r="B127" s="68" t="str">
        <f>IF(LEFT(CT!$E124,3)=NKMH!$F$2,CT!B124,"")</f>
        <v/>
      </c>
      <c r="C127" s="68" t="str">
        <f>IF(LEFT(CT!$E124,3)=NKMH!$F$2,CT!C124,"")</f>
        <v/>
      </c>
      <c r="D127" s="69">
        <f>IF(AND(LEFT(CT!$E124,3)=NKMH!$F$2,LEFT(CT!$D124,3)="156"),CT!$H124,0)</f>
        <v>0</v>
      </c>
      <c r="E127" s="69">
        <f>IF(AND(LEFT(CT!$E124,3)=NKMH!$F$2,LEFT(CT!$D124,3)="152"),CT!$H124,0)</f>
        <v>0</v>
      </c>
      <c r="F127" s="69">
        <f t="shared" si="1"/>
        <v>0</v>
      </c>
      <c r="G127" s="65" t="str">
        <f>IF(F127&gt;0,CT!D124,"")</f>
        <v/>
      </c>
      <c r="H127" s="69">
        <f>IF(LEFT(CT!$E124,3)=NKMH!$F$2,CT!$H124,0)</f>
        <v>0</v>
      </c>
    </row>
    <row r="128" spans="1:8" hidden="1" x14ac:dyDescent="0.25">
      <c r="A128" s="68" t="str">
        <f>IF(LEFT(CT!$E125,3)=NKMH!$F$2,CT!A125,"")</f>
        <v/>
      </c>
      <c r="B128" s="68" t="str">
        <f>IF(LEFT(CT!$E125,3)=NKMH!$F$2,CT!B125,"")</f>
        <v/>
      </c>
      <c r="C128" s="68" t="str">
        <f>IF(LEFT(CT!$E125,3)=NKMH!$F$2,CT!C125,"")</f>
        <v/>
      </c>
      <c r="D128" s="69">
        <f>IF(AND(LEFT(CT!$E125,3)=NKMH!$F$2,LEFT(CT!$D125,3)="156"),CT!$H125,0)</f>
        <v>0</v>
      </c>
      <c r="E128" s="69">
        <f>IF(AND(LEFT(CT!$E125,3)=NKMH!$F$2,LEFT(CT!$D125,3)="152"),CT!$H125,0)</f>
        <v>0</v>
      </c>
      <c r="F128" s="69">
        <f t="shared" si="1"/>
        <v>0</v>
      </c>
      <c r="G128" s="65" t="str">
        <f>IF(F128&gt;0,CT!D125,"")</f>
        <v/>
      </c>
      <c r="H128" s="69">
        <f>IF(LEFT(CT!$E125,3)=NKMH!$F$2,CT!$H125,0)</f>
        <v>0</v>
      </c>
    </row>
    <row r="129" spans="1:8" hidden="1" x14ac:dyDescent="0.25">
      <c r="A129" s="68" t="str">
        <f>IF(LEFT(CT!$E126,3)=NKMH!$F$2,CT!A126,"")</f>
        <v/>
      </c>
      <c r="B129" s="68" t="str">
        <f>IF(LEFT(CT!$E126,3)=NKMH!$F$2,CT!B126,"")</f>
        <v/>
      </c>
      <c r="C129" s="68" t="str">
        <f>IF(LEFT(CT!$E126,3)=NKMH!$F$2,CT!C126,"")</f>
        <v/>
      </c>
      <c r="D129" s="69">
        <f>IF(AND(LEFT(CT!$E126,3)=NKMH!$F$2,LEFT(CT!$D126,3)="156"),CT!$H126,0)</f>
        <v>0</v>
      </c>
      <c r="E129" s="69">
        <f>IF(AND(LEFT(CT!$E126,3)=NKMH!$F$2,LEFT(CT!$D126,3)="152"),CT!$H126,0)</f>
        <v>0</v>
      </c>
      <c r="F129" s="69">
        <f t="shared" si="1"/>
        <v>0</v>
      </c>
      <c r="G129" s="65" t="str">
        <f>IF(F129&gt;0,CT!D126,"")</f>
        <v/>
      </c>
      <c r="H129" s="69">
        <f>IF(LEFT(CT!$E126,3)=NKMH!$F$2,CT!$H126,0)</f>
        <v>0</v>
      </c>
    </row>
    <row r="130" spans="1:8" hidden="1" x14ac:dyDescent="0.25">
      <c r="A130" s="68" t="str">
        <f>IF(LEFT(CT!$E127,3)=NKMH!$F$2,CT!A127,"")</f>
        <v/>
      </c>
      <c r="B130" s="68" t="str">
        <f>IF(LEFT(CT!$E127,3)=NKMH!$F$2,CT!B127,"")</f>
        <v/>
      </c>
      <c r="C130" s="68" t="str">
        <f>IF(LEFT(CT!$E127,3)=NKMH!$F$2,CT!C127,"")</f>
        <v/>
      </c>
      <c r="D130" s="69">
        <f>IF(AND(LEFT(CT!$E127,3)=NKMH!$F$2,LEFT(CT!$D127,3)="156"),CT!$H127,0)</f>
        <v>0</v>
      </c>
      <c r="E130" s="69">
        <f>IF(AND(LEFT(CT!$E127,3)=NKMH!$F$2,LEFT(CT!$D127,3)="152"),CT!$H127,0)</f>
        <v>0</v>
      </c>
      <c r="F130" s="69">
        <f t="shared" si="1"/>
        <v>0</v>
      </c>
      <c r="G130" s="65" t="str">
        <f>IF(F130&gt;0,CT!D127,"")</f>
        <v/>
      </c>
      <c r="H130" s="69">
        <f>IF(LEFT(CT!$E127,3)=NKMH!$F$2,CT!$H127,0)</f>
        <v>0</v>
      </c>
    </row>
    <row r="131" spans="1:8" hidden="1" x14ac:dyDescent="0.25">
      <c r="A131" s="68" t="str">
        <f>IF(LEFT(CT!$E128,3)=NKMH!$F$2,CT!A128,"")</f>
        <v/>
      </c>
      <c r="B131" s="68" t="str">
        <f>IF(LEFT(CT!$E128,3)=NKMH!$F$2,CT!B128,"")</f>
        <v/>
      </c>
      <c r="C131" s="68" t="str">
        <f>IF(LEFT(CT!$E128,3)=NKMH!$F$2,CT!C128,"")</f>
        <v/>
      </c>
      <c r="D131" s="69">
        <f>IF(AND(LEFT(CT!$E128,3)=NKMH!$F$2,LEFT(CT!$D128,3)="156"),CT!$H128,0)</f>
        <v>0</v>
      </c>
      <c r="E131" s="69">
        <f>IF(AND(LEFT(CT!$E128,3)=NKMH!$F$2,LEFT(CT!$D128,3)="152"),CT!$H128,0)</f>
        <v>0</v>
      </c>
      <c r="F131" s="69">
        <f t="shared" si="1"/>
        <v>0</v>
      </c>
      <c r="G131" s="65" t="str">
        <f>IF(F131&gt;0,CT!D128,"")</f>
        <v/>
      </c>
      <c r="H131" s="69">
        <f>IF(LEFT(CT!$E128,3)=NKMH!$F$2,CT!$H128,0)</f>
        <v>0</v>
      </c>
    </row>
    <row r="132" spans="1:8" hidden="1" x14ac:dyDescent="0.25">
      <c r="A132" s="68" t="str">
        <f>IF(LEFT(CT!$E129,3)=NKMH!$F$2,CT!A129,"")</f>
        <v/>
      </c>
      <c r="B132" s="68" t="str">
        <f>IF(LEFT(CT!$E129,3)=NKMH!$F$2,CT!B129,"")</f>
        <v/>
      </c>
      <c r="C132" s="68" t="str">
        <f>IF(LEFT(CT!$E129,3)=NKMH!$F$2,CT!C129,"")</f>
        <v/>
      </c>
      <c r="D132" s="69">
        <f>IF(AND(LEFT(CT!$E129,3)=NKMH!$F$2,LEFT(CT!$D129,3)="156"),CT!$H129,0)</f>
        <v>0</v>
      </c>
      <c r="E132" s="69">
        <f>IF(AND(LEFT(CT!$E129,3)=NKMH!$F$2,LEFT(CT!$D129,3)="152"),CT!$H129,0)</f>
        <v>0</v>
      </c>
      <c r="F132" s="69">
        <f t="shared" si="1"/>
        <v>0</v>
      </c>
      <c r="G132" s="65" t="str">
        <f>IF(F132&gt;0,CT!D129,"")</f>
        <v/>
      </c>
      <c r="H132" s="69">
        <f>IF(LEFT(CT!$E129,3)=NKMH!$F$2,CT!$H129,0)</f>
        <v>0</v>
      </c>
    </row>
    <row r="133" spans="1:8" hidden="1" x14ac:dyDescent="0.25">
      <c r="A133" s="68" t="str">
        <f>IF(LEFT(CT!$E130,3)=NKMH!$F$2,CT!A130,"")</f>
        <v/>
      </c>
      <c r="B133" s="68" t="str">
        <f>IF(LEFT(CT!$E130,3)=NKMH!$F$2,CT!B130,"")</f>
        <v/>
      </c>
      <c r="C133" s="68" t="str">
        <f>IF(LEFT(CT!$E130,3)=NKMH!$F$2,CT!C130,"")</f>
        <v/>
      </c>
      <c r="D133" s="69">
        <f>IF(AND(LEFT(CT!$E130,3)=NKMH!$F$2,LEFT(CT!$D130,3)="156"),CT!$H130,0)</f>
        <v>0</v>
      </c>
      <c r="E133" s="69">
        <f>IF(AND(LEFT(CT!$E130,3)=NKMH!$F$2,LEFT(CT!$D130,3)="152"),CT!$H130,0)</f>
        <v>0</v>
      </c>
      <c r="F133" s="69">
        <f t="shared" si="1"/>
        <v>0</v>
      </c>
      <c r="G133" s="65" t="str">
        <f>IF(F133&gt;0,CT!D130,"")</f>
        <v/>
      </c>
      <c r="H133" s="69">
        <f>IF(LEFT(CT!$E130,3)=NKMH!$F$2,CT!$H130,0)</f>
        <v>0</v>
      </c>
    </row>
    <row r="134" spans="1:8" hidden="1" x14ac:dyDescent="0.25">
      <c r="A134" s="68" t="str">
        <f>IF(LEFT(CT!$E131,3)=NKMH!$F$2,CT!A131,"")</f>
        <v/>
      </c>
      <c r="B134" s="68" t="str">
        <f>IF(LEFT(CT!$E131,3)=NKMH!$F$2,CT!B131,"")</f>
        <v/>
      </c>
      <c r="C134" s="68" t="str">
        <f>IF(LEFT(CT!$E131,3)=NKMH!$F$2,CT!C131,"")</f>
        <v/>
      </c>
      <c r="D134" s="69">
        <f>IF(AND(LEFT(CT!$E131,3)=NKMH!$F$2,LEFT(CT!$D131,3)="156"),CT!$H131,0)</f>
        <v>0</v>
      </c>
      <c r="E134" s="69">
        <f>IF(AND(LEFT(CT!$E131,3)=NKMH!$F$2,LEFT(CT!$D131,3)="152"),CT!$H131,0)</f>
        <v>0</v>
      </c>
      <c r="F134" s="69">
        <f t="shared" si="1"/>
        <v>0</v>
      </c>
      <c r="G134" s="65" t="str">
        <f>IF(F134&gt;0,CT!D131,"")</f>
        <v/>
      </c>
      <c r="H134" s="69">
        <f>IF(LEFT(CT!$E131,3)=NKMH!$F$2,CT!$H131,0)</f>
        <v>0</v>
      </c>
    </row>
    <row r="135" spans="1:8" hidden="1" x14ac:dyDescent="0.25">
      <c r="A135" s="68" t="str">
        <f>IF(LEFT(CT!$E132,3)=NKMH!$F$2,CT!A132,"")</f>
        <v/>
      </c>
      <c r="B135" s="68" t="str">
        <f>IF(LEFT(CT!$E132,3)=NKMH!$F$2,CT!B132,"")</f>
        <v/>
      </c>
      <c r="C135" s="68" t="str">
        <f>IF(LEFT(CT!$E132,3)=NKMH!$F$2,CT!C132,"")</f>
        <v/>
      </c>
      <c r="D135" s="69">
        <f>IF(AND(LEFT(CT!$E132,3)=NKMH!$F$2,LEFT(CT!$D132,3)="156"),CT!$H132,0)</f>
        <v>0</v>
      </c>
      <c r="E135" s="69">
        <f>IF(AND(LEFT(CT!$E132,3)=NKMH!$F$2,LEFT(CT!$D132,3)="152"),CT!$H132,0)</f>
        <v>0</v>
      </c>
      <c r="F135" s="69">
        <f t="shared" si="1"/>
        <v>0</v>
      </c>
      <c r="G135" s="65" t="str">
        <f>IF(F135&gt;0,CT!D132,"")</f>
        <v/>
      </c>
      <c r="H135" s="69">
        <f>IF(LEFT(CT!$E132,3)=NKMH!$F$2,CT!$H132,0)</f>
        <v>0</v>
      </c>
    </row>
    <row r="136" spans="1:8" hidden="1" x14ac:dyDescent="0.25">
      <c r="A136" s="68" t="str">
        <f>IF(LEFT(CT!$E133,3)=NKMH!$F$2,CT!A133,"")</f>
        <v/>
      </c>
      <c r="B136" s="68" t="str">
        <f>IF(LEFT(CT!$E133,3)=NKMH!$F$2,CT!B133,"")</f>
        <v/>
      </c>
      <c r="C136" s="68" t="str">
        <f>IF(LEFT(CT!$E133,3)=NKMH!$F$2,CT!C133,"")</f>
        <v/>
      </c>
      <c r="D136" s="69">
        <f>IF(AND(LEFT(CT!$E133,3)=NKMH!$F$2,LEFT(CT!$D133,3)="156"),CT!$H133,0)</f>
        <v>0</v>
      </c>
      <c r="E136" s="69">
        <f>IF(AND(LEFT(CT!$E133,3)=NKMH!$F$2,LEFT(CT!$D133,3)="152"),CT!$H133,0)</f>
        <v>0</v>
      </c>
      <c r="F136" s="69">
        <f t="shared" si="1"/>
        <v>0</v>
      </c>
      <c r="G136" s="65" t="str">
        <f>IF(F136&gt;0,CT!D133,"")</f>
        <v/>
      </c>
      <c r="H136" s="69">
        <f>IF(LEFT(CT!$E133,3)=NKMH!$F$2,CT!$H133,0)</f>
        <v>0</v>
      </c>
    </row>
    <row r="137" spans="1:8" hidden="1" x14ac:dyDescent="0.25">
      <c r="A137" s="68" t="str">
        <f>IF(LEFT(CT!$E134,3)=NKMH!$F$2,CT!A134,"")</f>
        <v/>
      </c>
      <c r="B137" s="68" t="str">
        <f>IF(LEFT(CT!$E134,3)=NKMH!$F$2,CT!B134,"")</f>
        <v/>
      </c>
      <c r="C137" s="68" t="str">
        <f>IF(LEFT(CT!$E134,3)=NKMH!$F$2,CT!C134,"")</f>
        <v/>
      </c>
      <c r="D137" s="69">
        <f>IF(AND(LEFT(CT!$E134,3)=NKMH!$F$2,LEFT(CT!$D134,3)="156"),CT!$H134,0)</f>
        <v>0</v>
      </c>
      <c r="E137" s="69">
        <f>IF(AND(LEFT(CT!$E134,3)=NKMH!$F$2,LEFT(CT!$D134,3)="152"),CT!$H134,0)</f>
        <v>0</v>
      </c>
      <c r="F137" s="69">
        <f t="shared" ref="F137:F147" si="2">IF(SUM(D137:E137)=0,H137,0)</f>
        <v>0</v>
      </c>
      <c r="G137" s="65" t="str">
        <f>IF(F137&gt;0,CT!D134,"")</f>
        <v/>
      </c>
      <c r="H137" s="69">
        <f>IF(LEFT(CT!$E134,3)=NKMH!$F$2,CT!$H134,0)</f>
        <v>0</v>
      </c>
    </row>
    <row r="138" spans="1:8" hidden="1" x14ac:dyDescent="0.25">
      <c r="A138" s="68" t="str">
        <f>IF(LEFT(CT!$E135,3)=NKMH!$F$2,CT!A135,"")</f>
        <v/>
      </c>
      <c r="B138" s="68" t="str">
        <f>IF(LEFT(CT!$E135,3)=NKMH!$F$2,CT!B135,"")</f>
        <v/>
      </c>
      <c r="C138" s="68" t="str">
        <f>IF(LEFT(CT!$E135,3)=NKMH!$F$2,CT!C135,"")</f>
        <v/>
      </c>
      <c r="D138" s="69">
        <f>IF(AND(LEFT(CT!$E135,3)=NKMH!$F$2,LEFT(CT!$D135,3)="156"),CT!$H135,0)</f>
        <v>0</v>
      </c>
      <c r="E138" s="69">
        <f>IF(AND(LEFT(CT!$E135,3)=NKMH!$F$2,LEFT(CT!$D135,3)="152"),CT!$H135,0)</f>
        <v>0</v>
      </c>
      <c r="F138" s="69">
        <f t="shared" si="2"/>
        <v>0</v>
      </c>
      <c r="G138" s="65" t="str">
        <f>IF(F138&gt;0,CT!D135,"")</f>
        <v/>
      </c>
      <c r="H138" s="69">
        <f>IF(LEFT(CT!$E135,3)=NKMH!$F$2,CT!$H135,0)</f>
        <v>0</v>
      </c>
    </row>
    <row r="139" spans="1:8" hidden="1" x14ac:dyDescent="0.25">
      <c r="A139" s="68" t="str">
        <f>IF(LEFT(CT!$E136,3)=NKMH!$F$2,CT!A136,"")</f>
        <v/>
      </c>
      <c r="B139" s="68" t="str">
        <f>IF(LEFT(CT!$E136,3)=NKMH!$F$2,CT!B136,"")</f>
        <v/>
      </c>
      <c r="C139" s="68" t="str">
        <f>IF(LEFT(CT!$E136,3)=NKMH!$F$2,CT!C136,"")</f>
        <v/>
      </c>
      <c r="D139" s="69">
        <f>IF(AND(LEFT(CT!$E136,3)=NKMH!$F$2,LEFT(CT!$D136,3)="156"),CT!$H136,0)</f>
        <v>0</v>
      </c>
      <c r="E139" s="69">
        <f>IF(AND(LEFT(CT!$E136,3)=NKMH!$F$2,LEFT(CT!$D136,3)="152"),CT!$H136,0)</f>
        <v>0</v>
      </c>
      <c r="F139" s="69">
        <f t="shared" si="2"/>
        <v>0</v>
      </c>
      <c r="G139" s="65" t="str">
        <f>IF(F139&gt;0,CT!D136,"")</f>
        <v/>
      </c>
      <c r="H139" s="69">
        <f>IF(LEFT(CT!$E136,3)=NKMH!$F$2,CT!$H136,0)</f>
        <v>0</v>
      </c>
    </row>
    <row r="140" spans="1:8" hidden="1" x14ac:dyDescent="0.25">
      <c r="A140" s="68" t="str">
        <f>IF(LEFT(CT!$E137,3)=NKMH!$F$2,CT!A137,"")</f>
        <v/>
      </c>
      <c r="B140" s="68" t="str">
        <f>IF(LEFT(CT!$E137,3)=NKMH!$F$2,CT!B137,"")</f>
        <v/>
      </c>
      <c r="C140" s="68" t="str">
        <f>IF(LEFT(CT!$E137,3)=NKMH!$F$2,CT!C137,"")</f>
        <v/>
      </c>
      <c r="D140" s="69">
        <f>IF(AND(LEFT(CT!$E137,3)=NKMH!$F$2,LEFT(CT!$D137,3)="156"),CT!$H137,0)</f>
        <v>0</v>
      </c>
      <c r="E140" s="69">
        <f>IF(AND(LEFT(CT!$E137,3)=NKMH!$F$2,LEFT(CT!$D137,3)="152"),CT!$H137,0)</f>
        <v>0</v>
      </c>
      <c r="F140" s="69">
        <f t="shared" si="2"/>
        <v>0</v>
      </c>
      <c r="G140" s="65" t="str">
        <f>IF(F140&gt;0,CT!D137,"")</f>
        <v/>
      </c>
      <c r="H140" s="69">
        <f>IF(LEFT(CT!$E137,3)=NKMH!$F$2,CT!$H137,0)</f>
        <v>0</v>
      </c>
    </row>
    <row r="141" spans="1:8" hidden="1" x14ac:dyDescent="0.25">
      <c r="A141" s="68" t="str">
        <f>IF(LEFT(CT!$E138,3)=NKMH!$F$2,CT!A138,"")</f>
        <v/>
      </c>
      <c r="B141" s="68" t="str">
        <f>IF(LEFT(CT!$E138,3)=NKMH!$F$2,CT!B138,"")</f>
        <v/>
      </c>
      <c r="C141" s="68" t="str">
        <f>IF(LEFT(CT!$E138,3)=NKMH!$F$2,CT!C138,"")</f>
        <v/>
      </c>
      <c r="D141" s="69">
        <f>IF(AND(LEFT(CT!$E138,3)=NKMH!$F$2,LEFT(CT!$D138,3)="156"),CT!$H138,0)</f>
        <v>0</v>
      </c>
      <c r="E141" s="69">
        <f>IF(AND(LEFT(CT!$E138,3)=NKMH!$F$2,LEFT(CT!$D138,3)="152"),CT!$H138,0)</f>
        <v>0</v>
      </c>
      <c r="F141" s="69">
        <f t="shared" si="2"/>
        <v>0</v>
      </c>
      <c r="G141" s="65" t="str">
        <f>IF(F141&gt;0,CT!D138,"")</f>
        <v/>
      </c>
      <c r="H141" s="69">
        <f>IF(LEFT(CT!$E138,3)=NKMH!$F$2,CT!$H138,0)</f>
        <v>0</v>
      </c>
    </row>
    <row r="142" spans="1:8" hidden="1" x14ac:dyDescent="0.25">
      <c r="A142" s="68" t="str">
        <f>IF(LEFT(CT!$E139,3)=NKMH!$F$2,CT!A139,"")</f>
        <v/>
      </c>
      <c r="B142" s="68" t="str">
        <f>IF(LEFT(CT!$E139,3)=NKMH!$F$2,CT!B139,"")</f>
        <v/>
      </c>
      <c r="C142" s="68" t="str">
        <f>IF(LEFT(CT!$E139,3)=NKMH!$F$2,CT!C139,"")</f>
        <v/>
      </c>
      <c r="D142" s="69">
        <f>IF(AND(LEFT(CT!$E139,3)=NKMH!$F$2,LEFT(CT!$D139,3)="156"),CT!$H139,0)</f>
        <v>0</v>
      </c>
      <c r="E142" s="69">
        <f>IF(AND(LEFT(CT!$E139,3)=NKMH!$F$2,LEFT(CT!$D139,3)="152"),CT!$H139,0)</f>
        <v>0</v>
      </c>
      <c r="F142" s="69">
        <f t="shared" si="2"/>
        <v>0</v>
      </c>
      <c r="G142" s="65" t="str">
        <f>IF(F142&gt;0,CT!D139,"")</f>
        <v/>
      </c>
      <c r="H142" s="69">
        <f>IF(LEFT(CT!$E139,3)=NKMH!$F$2,CT!$H139,0)</f>
        <v>0</v>
      </c>
    </row>
    <row r="143" spans="1:8" hidden="1" x14ac:dyDescent="0.25">
      <c r="A143" s="68" t="str">
        <f>IF(LEFT(CT!$E140,3)=NKMH!$F$2,CT!A140,"")</f>
        <v/>
      </c>
      <c r="B143" s="68" t="str">
        <f>IF(LEFT(CT!$E140,3)=NKMH!$F$2,CT!B140,"")</f>
        <v/>
      </c>
      <c r="C143" s="68" t="str">
        <f>IF(LEFT(CT!$E140,3)=NKMH!$F$2,CT!C140,"")</f>
        <v/>
      </c>
      <c r="D143" s="69">
        <f>IF(AND(LEFT(CT!$E140,3)=NKMH!$F$2,LEFT(CT!$D140,3)="156"),CT!$H140,0)</f>
        <v>0</v>
      </c>
      <c r="E143" s="69">
        <f>IF(AND(LEFT(CT!$E140,3)=NKMH!$F$2,LEFT(CT!$D140,3)="152"),CT!$H140,0)</f>
        <v>0</v>
      </c>
      <c r="F143" s="69">
        <f t="shared" si="2"/>
        <v>0</v>
      </c>
      <c r="G143" s="65" t="str">
        <f>IF(F143&gt;0,CT!D140,"")</f>
        <v/>
      </c>
      <c r="H143" s="69">
        <f>IF(LEFT(CT!$E140,3)=NKMH!$F$2,CT!$H140,0)</f>
        <v>0</v>
      </c>
    </row>
    <row r="144" spans="1:8" hidden="1" x14ac:dyDescent="0.25">
      <c r="A144" s="68" t="str">
        <f>IF(LEFT(CT!$E141,3)=NKMH!$F$2,CT!A141,"")</f>
        <v/>
      </c>
      <c r="B144" s="68" t="str">
        <f>IF(LEFT(CT!$E141,3)=NKMH!$F$2,CT!B141,"")</f>
        <v/>
      </c>
      <c r="C144" s="68" t="str">
        <f>IF(LEFT(CT!$E141,3)=NKMH!$F$2,CT!C141,"")</f>
        <v/>
      </c>
      <c r="D144" s="69">
        <f>IF(AND(LEFT(CT!$E141,3)=NKMH!$F$2,LEFT(CT!$D141,3)="156"),CT!$H141,0)</f>
        <v>0</v>
      </c>
      <c r="E144" s="69">
        <f>IF(AND(LEFT(CT!$E141,3)=NKMH!$F$2,LEFT(CT!$D141,3)="152"),CT!$H141,0)</f>
        <v>0</v>
      </c>
      <c r="F144" s="69">
        <f t="shared" si="2"/>
        <v>0</v>
      </c>
      <c r="G144" s="65" t="str">
        <f>IF(F144&gt;0,CT!D141,"")</f>
        <v/>
      </c>
      <c r="H144" s="69">
        <f>IF(LEFT(CT!$E141,3)=NKMH!$F$2,CT!$H141,0)</f>
        <v>0</v>
      </c>
    </row>
    <row r="145" spans="1:8" hidden="1" x14ac:dyDescent="0.25">
      <c r="A145" s="68" t="str">
        <f>IF(LEFT(CT!$E142,3)=NKMH!$F$2,CT!A142,"")</f>
        <v/>
      </c>
      <c r="B145" s="68" t="str">
        <f>IF(LEFT(CT!$E142,3)=NKMH!$F$2,CT!B142,"")</f>
        <v/>
      </c>
      <c r="C145" s="68" t="str">
        <f>IF(LEFT(CT!$E142,3)=NKMH!$F$2,CT!C142,"")</f>
        <v/>
      </c>
      <c r="D145" s="69">
        <f>IF(AND(LEFT(CT!$E142,3)=NKMH!$F$2,LEFT(CT!$D142,3)="156"),CT!$H142,0)</f>
        <v>0</v>
      </c>
      <c r="E145" s="69">
        <f>IF(AND(LEFT(CT!$E142,3)=NKMH!$F$2,LEFT(CT!$D142,3)="152"),CT!$H142,0)</f>
        <v>0</v>
      </c>
      <c r="F145" s="69">
        <f t="shared" si="2"/>
        <v>0</v>
      </c>
      <c r="G145" s="65" t="str">
        <f>IF(F145&gt;0,CT!D142,"")</f>
        <v/>
      </c>
      <c r="H145" s="69">
        <f>IF(LEFT(CT!$E142,3)=NKMH!$F$2,CT!$H142,0)</f>
        <v>0</v>
      </c>
    </row>
    <row r="146" spans="1:8" hidden="1" x14ac:dyDescent="0.25">
      <c r="A146" s="68" t="str">
        <f>IF(LEFT(CT!$E143,3)=NKMH!$F$2,CT!A143,"")</f>
        <v/>
      </c>
      <c r="B146" s="68" t="str">
        <f>IF(LEFT(CT!$E143,3)=NKMH!$F$2,CT!B143,"")</f>
        <v/>
      </c>
      <c r="C146" s="68" t="str">
        <f>IF(LEFT(CT!$E143,3)=NKMH!$F$2,CT!C143,"")</f>
        <v/>
      </c>
      <c r="D146" s="69">
        <f>IF(AND(LEFT(CT!$E143,3)=NKMH!$F$2,LEFT(CT!$D143,3)="156"),CT!$H143,0)</f>
        <v>0</v>
      </c>
      <c r="E146" s="69">
        <f>IF(AND(LEFT(CT!$E143,3)=NKMH!$F$2,LEFT(CT!$D143,3)="152"),CT!$H143,0)</f>
        <v>0</v>
      </c>
      <c r="F146" s="69">
        <f t="shared" si="2"/>
        <v>0</v>
      </c>
      <c r="G146" s="65" t="str">
        <f>IF(F146&gt;0,CT!D143,"")</f>
        <v/>
      </c>
      <c r="H146" s="69">
        <f>IF(LEFT(CT!$E143,3)=NKMH!$F$2,CT!$H143,0)</f>
        <v>0</v>
      </c>
    </row>
    <row r="147" spans="1:8" hidden="1" x14ac:dyDescent="0.25">
      <c r="A147" s="68" t="str">
        <f>IF(LEFT(CT!$E144,3)=NKMH!$F$2,CT!A144,"")</f>
        <v/>
      </c>
      <c r="B147" s="68" t="str">
        <f>IF(LEFT(CT!$E144,3)=NKMH!$F$2,CT!B144,"")</f>
        <v/>
      </c>
      <c r="C147" s="68" t="str">
        <f>IF(LEFT(CT!$E144,3)=NKMH!$F$2,CT!C144,"")</f>
        <v/>
      </c>
      <c r="D147" s="69">
        <f>IF(AND(LEFT(CT!$E144,3)=NKMH!$F$2,LEFT(CT!$D144,3)="156"),CT!$H144,0)</f>
        <v>0</v>
      </c>
      <c r="E147" s="69">
        <f>IF(AND(LEFT(CT!$E144,3)=NKMH!$F$2,LEFT(CT!$D144,3)="152"),CT!$H144,0)</f>
        <v>0</v>
      </c>
      <c r="F147" s="69">
        <f t="shared" si="2"/>
        <v>0</v>
      </c>
      <c r="G147" s="65" t="str">
        <f>IF(F147&gt;0,CT!D144,"")</f>
        <v/>
      </c>
      <c r="H147" s="69">
        <f>IF(LEFT(CT!$E144,3)=NKMH!$F$2,CT!$H144,0)</f>
        <v>0</v>
      </c>
    </row>
    <row r="148" spans="1:8" s="72" customFormat="1" x14ac:dyDescent="0.25">
      <c r="C148" s="74" t="s">
        <v>838</v>
      </c>
      <c r="D148" s="81">
        <f>SUM(D8:D147)</f>
        <v>0</v>
      </c>
      <c r="E148" s="81">
        <f t="shared" ref="E148:H148" si="3">SUM(E8:E147)</f>
        <v>32200000</v>
      </c>
      <c r="F148" s="81">
        <f t="shared" si="3"/>
        <v>1555000</v>
      </c>
      <c r="G148" s="81"/>
      <c r="H148" s="81">
        <f t="shared" si="3"/>
        <v>33755000</v>
      </c>
    </row>
  </sheetData>
  <autoFilter ref="C7:C148" xr:uid="{46B3E89C-529A-4319-A040-FD026799079D}">
    <filterColumn colId="0">
      <customFilters>
        <customFilter operator="notEqual" val=" "/>
      </customFilters>
    </filterColumn>
  </autoFilter>
  <mergeCells count="10">
    <mergeCell ref="C4:C6"/>
    <mergeCell ref="A1:I1"/>
    <mergeCell ref="A4:B4"/>
    <mergeCell ref="F5:G5"/>
    <mergeCell ref="D4:F4"/>
    <mergeCell ref="E5:E6"/>
    <mergeCell ref="D5:D6"/>
    <mergeCell ref="H4:H6"/>
    <mergeCell ref="A5:A6"/>
    <mergeCell ref="B5:B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C87F-A2AA-47F7-B8E2-7EC6DABA48F1}">
  <sheetPr filterMode="1">
    <tabColor theme="9" tint="0.59999389629810485"/>
  </sheetPr>
  <dimension ref="A1:G284"/>
  <sheetViews>
    <sheetView zoomScaleNormal="100" workbookViewId="0">
      <selection sqref="A1:F1"/>
    </sheetView>
  </sheetViews>
  <sheetFormatPr defaultColWidth="9.33203125" defaultRowHeight="15.6" x14ac:dyDescent="0.3"/>
  <cols>
    <col min="1" max="1" width="10.77734375" style="3" bestFit="1" customWidth="1"/>
    <col min="2" max="2" width="15" style="3" customWidth="1"/>
    <col min="3" max="3" width="41" style="3" bestFit="1" customWidth="1"/>
    <col min="4" max="4" width="23.6640625" style="3" customWidth="1"/>
    <col min="5" max="6" width="16.6640625" style="3" bestFit="1" customWidth="1"/>
    <col min="7" max="7" width="13.6640625" style="3" bestFit="1" customWidth="1"/>
    <col min="8" max="16384" width="9.33203125" style="3"/>
  </cols>
  <sheetData>
    <row r="1" spans="1:7" ht="22.8" x14ac:dyDescent="0.3">
      <c r="A1" s="166" t="s">
        <v>852</v>
      </c>
      <c r="B1" s="166"/>
      <c r="C1" s="166"/>
      <c r="D1" s="166"/>
      <c r="E1" s="166"/>
      <c r="F1" s="166"/>
    </row>
    <row r="3" spans="1:7" x14ac:dyDescent="0.3">
      <c r="A3" s="165" t="s">
        <v>828</v>
      </c>
      <c r="B3" s="165"/>
      <c r="C3" s="165" t="s">
        <v>829</v>
      </c>
      <c r="D3" s="165" t="s">
        <v>853</v>
      </c>
      <c r="E3" s="165" t="s">
        <v>854</v>
      </c>
      <c r="F3" s="165"/>
    </row>
    <row r="4" spans="1:7" x14ac:dyDescent="0.3">
      <c r="A4" s="76" t="s">
        <v>832</v>
      </c>
      <c r="B4" s="76" t="s">
        <v>855</v>
      </c>
      <c r="C4" s="165"/>
      <c r="D4" s="165"/>
      <c r="E4" s="76" t="s">
        <v>856</v>
      </c>
      <c r="F4" s="76" t="s">
        <v>857</v>
      </c>
    </row>
    <row r="5" spans="1:7" x14ac:dyDescent="0.3">
      <c r="A5" s="146">
        <v>1</v>
      </c>
      <c r="B5" s="146">
        <v>2</v>
      </c>
      <c r="C5" s="146">
        <v>3</v>
      </c>
      <c r="D5" s="146">
        <v>4</v>
      </c>
      <c r="E5" s="146">
        <v>5</v>
      </c>
      <c r="F5" s="146">
        <v>6</v>
      </c>
      <c r="G5" s="3" t="s">
        <v>858</v>
      </c>
    </row>
    <row r="6" spans="1:7" hidden="1" x14ac:dyDescent="0.3">
      <c r="A6" s="77">
        <f ca="1">IF(MOD(ROW(),2)=0,OFFSET(CT!$A$1,INT(ROW()/2)+1,COLUMN(CT!A3)-1),"")</f>
        <v>45293</v>
      </c>
      <c r="B6" s="77" t="str">
        <f ca="1">IF(MOD(ROW(),2)=0,OFFSET(CT!$A$1,INT(ROW()/2)+1,COLUMN(CT!B3)-1),"")</f>
        <v>01/PT</v>
      </c>
      <c r="C6" s="77" t="str">
        <f ca="1">IF(MOD(ROW(),2)=0,OFFSET(CT!$A$1,INT(ROW()/2)+1,COLUMN(CT!C3)-1),"")</f>
        <v>Thu nợ lô hàng 200</v>
      </c>
      <c r="D6" s="23" t="str">
        <f ca="1">OFFSET(CT!$A$1,INT(ROW()/2)+1,IF(MOD(ROW(),2)=0,COLUMN(CT!D3)-1,COLUMN(CT!E3)-1))</f>
        <v>1111</v>
      </c>
      <c r="E6" s="78">
        <f ca="1">IF(MOD(ROW(),2)=0,OFFSET(CT!$A$1,INT(ROW()/2)+1,COLUMN(CT!H3)-1),0)</f>
        <v>5000000</v>
      </c>
      <c r="F6" s="78">
        <f ca="1">IF(MOD(ROW(),2)=1,OFFSET(CT!$A$1,INT(ROW()/2)+1,COLUMN(CT!H3)-1),0)</f>
        <v>0</v>
      </c>
      <c r="G6" s="3" t="str">
        <f ca="1">IF(OFFSET(CT!$A$1,INT(ROW()/2)+1,COLUMN(CT!N3)-1)="No","False","True")</f>
        <v>False</v>
      </c>
    </row>
    <row r="7" spans="1:7" hidden="1" x14ac:dyDescent="0.3">
      <c r="A7" s="77" t="str">
        <f ca="1">IF(MOD(ROW(),2)=0,OFFSET(CT!$A$1,INT(ROW()/2)+1,COLUMN(CT!A4)-1),"")</f>
        <v/>
      </c>
      <c r="B7" s="77" t="str">
        <f ca="1">IF(MOD(ROW(),2)=0,OFFSET(CT!$A$1,INT(ROW()/2)+1,COLUMN(CT!B4)-1),"")</f>
        <v/>
      </c>
      <c r="C7" s="77" t="str">
        <f ca="1">IF(MOD(ROW(),2)=0,OFFSET(CT!$A$1,INT(ROW()/2)+1,COLUMN(CT!C4)-1),"")</f>
        <v/>
      </c>
      <c r="D7" s="23" t="str">
        <f ca="1">OFFSET(CT!$A$1,INT(ROW()/2)+1,IF(MOD(ROW(),2)=0,COLUMN(CT!D4)-1,COLUMN(CT!E4)-1))</f>
        <v>1311.03</v>
      </c>
      <c r="E7" s="78">
        <f ca="1">IF(MOD(ROW(),2)=0,OFFSET(CT!$A$1,INT(ROW()/2)+1,COLUMN(CT!H4)-1),0)</f>
        <v>0</v>
      </c>
      <c r="F7" s="78">
        <f ca="1">IF(MOD(ROW(),2)=1,OFFSET(CT!$A$1,INT(ROW()/2)+1,COLUMN(CT!H4)-1),0)</f>
        <v>5000000</v>
      </c>
      <c r="G7" s="3" t="str">
        <f ca="1">IF(OFFSET(CT!$A$1,INT(ROW()/2)+1,COLUMN(CT!N4)-1)="No","False","True")</f>
        <v>False</v>
      </c>
    </row>
    <row r="8" spans="1:7" hidden="1" x14ac:dyDescent="0.3">
      <c r="A8" s="77">
        <f ca="1">IF(MOD(ROW(),2)=0,OFFSET(CT!$A$1,INT(ROW()/2)+1,COLUMN(CT!A5)-1),"")</f>
        <v>45293</v>
      </c>
      <c r="B8" s="77" t="str">
        <f ca="1">IF(MOD(ROW(),2)=0,OFFSET(CT!$A$1,INT(ROW()/2)+1,COLUMN(CT!B5)-1),"")</f>
        <v>02/PT</v>
      </c>
      <c r="C8" s="77" t="str">
        <f ca="1">IF(MOD(ROW(),2)=0,OFFSET(CT!$A$1,INT(ROW()/2)+1,COLUMN(CT!C5)-1),"")</f>
        <v>Thu nợ lô hàng 212</v>
      </c>
      <c r="D8" s="23" t="str">
        <f ca="1">OFFSET(CT!$A$1,INT(ROW()/2)+1,IF(MOD(ROW(),2)=0,COLUMN(CT!D5)-1,COLUMN(CT!E5)-1))</f>
        <v>1111</v>
      </c>
      <c r="E8" s="78">
        <f ca="1">IF(MOD(ROW(),2)=0,OFFSET(CT!$A$1,INT(ROW()/2)+1,COLUMN(CT!H5)-1),0)</f>
        <v>20000000</v>
      </c>
      <c r="F8" s="78">
        <f ca="1">IF(MOD(ROW(),2)=1,OFFSET(CT!$A$1,INT(ROW()/2)+1,COLUMN(CT!H5)-1),0)</f>
        <v>0</v>
      </c>
      <c r="G8" s="3" t="str">
        <f ca="1">IF(OFFSET(CT!$A$1,INT(ROW()/2)+1,COLUMN(CT!N5)-1)="No","False","True")</f>
        <v>False</v>
      </c>
    </row>
    <row r="9" spans="1:7" hidden="1" x14ac:dyDescent="0.3">
      <c r="A9" s="77" t="str">
        <f ca="1">IF(MOD(ROW(),2)=0,OFFSET(CT!$A$1,INT(ROW()/2)+1,COLUMN(CT!A6)-1),"")</f>
        <v/>
      </c>
      <c r="B9" s="77" t="str">
        <f ca="1">IF(MOD(ROW(),2)=0,OFFSET(CT!$A$1,INT(ROW()/2)+1,COLUMN(CT!B6)-1),"")</f>
        <v/>
      </c>
      <c r="C9" s="77" t="str">
        <f ca="1">IF(MOD(ROW(),2)=0,OFFSET(CT!$A$1,INT(ROW()/2)+1,COLUMN(CT!C6)-1),"")</f>
        <v/>
      </c>
      <c r="D9" s="23" t="str">
        <f ca="1">OFFSET(CT!$A$1,INT(ROW()/2)+1,IF(MOD(ROW(),2)=0,COLUMN(CT!D6)-1,COLUMN(CT!E6)-1))</f>
        <v>1311.01</v>
      </c>
      <c r="E9" s="78">
        <f ca="1">IF(MOD(ROW(),2)=0,OFFSET(CT!$A$1,INT(ROW()/2)+1,COLUMN(CT!H6)-1),0)</f>
        <v>0</v>
      </c>
      <c r="F9" s="78">
        <f ca="1">IF(MOD(ROW(),2)=1,OFFSET(CT!$A$1,INT(ROW()/2)+1,COLUMN(CT!H6)-1),0)</f>
        <v>20000000</v>
      </c>
      <c r="G9" s="3" t="str">
        <f ca="1">IF(OFFSET(CT!$A$1,INT(ROW()/2)+1,COLUMN(CT!N6)-1)="No","False","True")</f>
        <v>False</v>
      </c>
    </row>
    <row r="10" spans="1:7" hidden="1" x14ac:dyDescent="0.3">
      <c r="A10" s="77">
        <f ca="1">IF(MOD(ROW(),2)=0,OFFSET(CT!$A$1,INT(ROW()/2)+1,COLUMN(CT!A7)-1),"")</f>
        <v>45295</v>
      </c>
      <c r="B10" s="77" t="str">
        <f ca="1">IF(MOD(ROW(),2)=0,OFFSET(CT!$A$1,INT(ROW()/2)+1,COLUMN(CT!B7)-1),"")</f>
        <v>01/PC</v>
      </c>
      <c r="C10" s="77" t="str">
        <f ca="1">IF(MOD(ROW(),2)=0,OFFSET(CT!$A$1,INT(ROW()/2)+1,COLUMN(CT!C7)-1),"")</f>
        <v>Chi tạm ứng cho Hồ Sĩ Nhật</v>
      </c>
      <c r="D10" s="23" t="str">
        <f ca="1">OFFSET(CT!$A$1,INT(ROW()/2)+1,IF(MOD(ROW(),2)=0,COLUMN(CT!D7)-1,COLUMN(CT!E7)-1))</f>
        <v>141.0102</v>
      </c>
      <c r="E10" s="78">
        <f ca="1">IF(MOD(ROW(),2)=0,OFFSET(CT!$A$1,INT(ROW()/2)+1,COLUMN(CT!H7)-1),0)</f>
        <v>2000000</v>
      </c>
      <c r="F10" s="78">
        <f ca="1">IF(MOD(ROW(),2)=1,OFFSET(CT!$A$1,INT(ROW()/2)+1,COLUMN(CT!H7)-1),0)</f>
        <v>0</v>
      </c>
      <c r="G10" s="3" t="str">
        <f ca="1">IF(OFFSET(CT!$A$1,INT(ROW()/2)+1,COLUMN(CT!N7)-1)="No","False","True")</f>
        <v>False</v>
      </c>
    </row>
    <row r="11" spans="1:7" hidden="1" x14ac:dyDescent="0.3">
      <c r="A11" s="77" t="str">
        <f ca="1">IF(MOD(ROW(),2)=0,OFFSET(CT!$A$1,INT(ROW()/2)+1,COLUMN(CT!A8)-1),"")</f>
        <v/>
      </c>
      <c r="B11" s="77" t="str">
        <f ca="1">IF(MOD(ROW(),2)=0,OFFSET(CT!$A$1,INT(ROW()/2)+1,COLUMN(CT!B8)-1),"")</f>
        <v/>
      </c>
      <c r="C11" s="77" t="str">
        <f ca="1">IF(MOD(ROW(),2)=0,OFFSET(CT!$A$1,INT(ROW()/2)+1,COLUMN(CT!C8)-1),"")</f>
        <v/>
      </c>
      <c r="D11" s="23" t="str">
        <f ca="1">OFFSET(CT!$A$1,INT(ROW()/2)+1,IF(MOD(ROW(),2)=0,COLUMN(CT!D8)-1,COLUMN(CT!E8)-1))</f>
        <v>1111</v>
      </c>
      <c r="E11" s="78">
        <f ca="1">IF(MOD(ROW(),2)=0,OFFSET(CT!$A$1,INT(ROW()/2)+1,COLUMN(CT!H8)-1),0)</f>
        <v>0</v>
      </c>
      <c r="F11" s="78">
        <f ca="1">IF(MOD(ROW(),2)=1,OFFSET(CT!$A$1,INT(ROW()/2)+1,COLUMN(CT!H8)-1),0)</f>
        <v>2000000</v>
      </c>
      <c r="G11" s="3" t="str">
        <f ca="1">IF(OFFSET(CT!$A$1,INT(ROW()/2)+1,COLUMN(CT!N8)-1)="No","False","True")</f>
        <v>False</v>
      </c>
    </row>
    <row r="12" spans="1:7" hidden="1" x14ac:dyDescent="0.3">
      <c r="A12" s="77">
        <f ca="1">IF(MOD(ROW(),2)=0,OFFSET(CT!$A$1,INT(ROW()/2)+1,COLUMN(CT!A9)-1),"")</f>
        <v>45295</v>
      </c>
      <c r="B12" s="77" t="str">
        <f ca="1">IF(MOD(ROW(),2)=0,OFFSET(CT!$A$1,INT(ROW()/2)+1,COLUMN(CT!B9)-1),"")</f>
        <v>01/NVL</v>
      </c>
      <c r="C12" s="77" t="str">
        <f ca="1">IF(MOD(ROW(),2)=0,OFFSET(CT!$A$1,INT(ROW()/2)+1,COLUMN(CT!C9)-1),"")</f>
        <v>Thuế GTGT mua gỗ tràm bông vàng</v>
      </c>
      <c r="D12" s="23" t="str">
        <f ca="1">OFFSET(CT!$A$1,INT(ROW()/2)+1,IF(MOD(ROW(),2)=0,COLUMN(CT!D9)-1,COLUMN(CT!E9)-1))</f>
        <v>1331</v>
      </c>
      <c r="E12" s="78">
        <f ca="1">IF(MOD(ROW(),2)=0,OFFSET(CT!$A$1,INT(ROW()/2)+1,COLUMN(CT!H9)-1),0)</f>
        <v>1000000</v>
      </c>
      <c r="F12" s="78">
        <f ca="1">IF(MOD(ROW(),2)=1,OFFSET(CT!$A$1,INT(ROW()/2)+1,COLUMN(CT!H9)-1),0)</f>
        <v>0</v>
      </c>
      <c r="G12" s="3" t="str">
        <f ca="1">IF(OFFSET(CT!$A$1,INT(ROW()/2)+1,COLUMN(CT!N9)-1)="No","False","True")</f>
        <v>False</v>
      </c>
    </row>
    <row r="13" spans="1:7" hidden="1" x14ac:dyDescent="0.3">
      <c r="A13" s="77" t="str">
        <f ca="1">IF(MOD(ROW(),2)=0,OFFSET(CT!$A$1,INT(ROW()/2)+1,COLUMN(CT!A10)-1),"")</f>
        <v/>
      </c>
      <c r="B13" s="77" t="str">
        <f ca="1">IF(MOD(ROW(),2)=0,OFFSET(CT!$A$1,INT(ROW()/2)+1,COLUMN(CT!B10)-1),"")</f>
        <v/>
      </c>
      <c r="C13" s="77" t="str">
        <f ca="1">IF(MOD(ROW(),2)=0,OFFSET(CT!$A$1,INT(ROW()/2)+1,COLUMN(CT!C10)-1),"")</f>
        <v/>
      </c>
      <c r="D13" s="23" t="str">
        <f ca="1">OFFSET(CT!$A$1,INT(ROW()/2)+1,IF(MOD(ROW(),2)=0,COLUMN(CT!D10)-1,COLUMN(CT!E10)-1))</f>
        <v>3311.02</v>
      </c>
      <c r="E13" s="78">
        <f ca="1">IF(MOD(ROW(),2)=0,OFFSET(CT!$A$1,INT(ROW()/2)+1,COLUMN(CT!H10)-1),0)</f>
        <v>0</v>
      </c>
      <c r="F13" s="78">
        <f ca="1">IF(MOD(ROW(),2)=1,OFFSET(CT!$A$1,INT(ROW()/2)+1,COLUMN(CT!H10)-1),0)</f>
        <v>1000000</v>
      </c>
      <c r="G13" s="3" t="str">
        <f ca="1">IF(OFFSET(CT!$A$1,INT(ROW()/2)+1,COLUMN(CT!N10)-1)="No","False","True")</f>
        <v>False</v>
      </c>
    </row>
    <row r="14" spans="1:7" hidden="1" x14ac:dyDescent="0.3">
      <c r="A14" s="77">
        <f ca="1">IF(MOD(ROW(),2)=0,OFFSET(CT!$A$1,INT(ROW()/2)+1,COLUMN(CT!A11)-1),"")</f>
        <v>45295</v>
      </c>
      <c r="B14" s="77" t="str">
        <f ca="1">IF(MOD(ROW(),2)=0,OFFSET(CT!$A$1,INT(ROW()/2)+1,COLUMN(CT!B11)-1),"")</f>
        <v>01/NVL</v>
      </c>
      <c r="C14" s="77" t="str">
        <f ca="1">IF(MOD(ROW(),2)=0,OFFSET(CT!$A$1,INT(ROW()/2)+1,COLUMN(CT!C11)-1),"")</f>
        <v>Mua gỗ tràm bông vàng</v>
      </c>
      <c r="D14" s="23" t="str">
        <f ca="1">OFFSET(CT!$A$1,INT(ROW()/2)+1,IF(MOD(ROW(),2)=0,COLUMN(CT!D11)-1,COLUMN(CT!E11)-1))</f>
        <v>1521.0102</v>
      </c>
      <c r="E14" s="78">
        <f ca="1">IF(MOD(ROW(),2)=0,OFFSET(CT!$A$1,INT(ROW()/2)+1,COLUMN(CT!H11)-1),0)</f>
        <v>22500000</v>
      </c>
      <c r="F14" s="78">
        <f ca="1">IF(MOD(ROW(),2)=1,OFFSET(CT!$A$1,INT(ROW()/2)+1,COLUMN(CT!H11)-1),0)</f>
        <v>0</v>
      </c>
      <c r="G14" s="3" t="str">
        <f ca="1">IF(OFFSET(CT!$A$1,INT(ROW()/2)+1,COLUMN(CT!N11)-1)="No","False","True")</f>
        <v>False</v>
      </c>
    </row>
    <row r="15" spans="1:7" hidden="1" x14ac:dyDescent="0.3">
      <c r="A15" s="77" t="str">
        <f ca="1">IF(MOD(ROW(),2)=0,OFFSET(CT!$A$1,INT(ROW()/2)+1,COLUMN(CT!A12)-1),"")</f>
        <v/>
      </c>
      <c r="B15" s="77" t="str">
        <f ca="1">IF(MOD(ROW(),2)=0,OFFSET(CT!$A$1,INT(ROW()/2)+1,COLUMN(CT!B12)-1),"")</f>
        <v/>
      </c>
      <c r="C15" s="77" t="str">
        <f ca="1">IF(MOD(ROW(),2)=0,OFFSET(CT!$A$1,INT(ROW()/2)+1,COLUMN(CT!C12)-1),"")</f>
        <v/>
      </c>
      <c r="D15" s="23" t="str">
        <f ca="1">OFFSET(CT!$A$1,INT(ROW()/2)+1,IF(MOD(ROW(),2)=0,COLUMN(CT!D12)-1,COLUMN(CT!E12)-1))</f>
        <v>3311.02</v>
      </c>
      <c r="E15" s="78">
        <f ca="1">IF(MOD(ROW(),2)=0,OFFSET(CT!$A$1,INT(ROW()/2)+1,COLUMN(CT!H12)-1),0)</f>
        <v>0</v>
      </c>
      <c r="F15" s="78">
        <f ca="1">IF(MOD(ROW(),2)=1,OFFSET(CT!$A$1,INT(ROW()/2)+1,COLUMN(CT!H12)-1),0)</f>
        <v>22500000</v>
      </c>
      <c r="G15" s="3" t="str">
        <f ca="1">IF(OFFSET(CT!$A$1,INT(ROW()/2)+1,COLUMN(CT!N12)-1)="No","False","True")</f>
        <v>False</v>
      </c>
    </row>
    <row r="16" spans="1:7" hidden="1" x14ac:dyDescent="0.3">
      <c r="A16" s="77">
        <f ca="1">IF(MOD(ROW(),2)=0,OFFSET(CT!$A$1,INT(ROW()/2)+1,COLUMN(CT!A13)-1),"")</f>
        <v>45296</v>
      </c>
      <c r="B16" s="77" t="str">
        <f ca="1">IF(MOD(ROW(),2)=0,OFFSET(CT!$A$1,INT(ROW()/2)+1,COLUMN(CT!B13)-1),"")</f>
        <v>02/PC</v>
      </c>
      <c r="C16" s="77" t="str">
        <f ca="1">IF(MOD(ROW(),2)=0,OFFSET(CT!$A$1,INT(ROW()/2)+1,COLUMN(CT!C13)-1),"")</f>
        <v>Thuế GTGT mua VPP</v>
      </c>
      <c r="D16" s="23" t="str">
        <f ca="1">OFFSET(CT!$A$1,INT(ROW()/2)+1,IF(MOD(ROW(),2)=0,COLUMN(CT!D13)-1,COLUMN(CT!E13)-1))</f>
        <v>1331</v>
      </c>
      <c r="E16" s="78">
        <f ca="1">IF(MOD(ROW(),2)=0,OFFSET(CT!$A$1,INT(ROW()/2)+1,COLUMN(CT!H13)-1),0)</f>
        <v>100000</v>
      </c>
      <c r="F16" s="78">
        <f ca="1">IF(MOD(ROW(),2)=1,OFFSET(CT!$A$1,INT(ROW()/2)+1,COLUMN(CT!H13)-1),0)</f>
        <v>0</v>
      </c>
      <c r="G16" s="3" t="str">
        <f ca="1">IF(OFFSET(CT!$A$1,INT(ROW()/2)+1,COLUMN(CT!N13)-1)="No","False","True")</f>
        <v>False</v>
      </c>
    </row>
    <row r="17" spans="1:7" hidden="1" x14ac:dyDescent="0.3">
      <c r="A17" s="77" t="str">
        <f ca="1">IF(MOD(ROW(),2)=0,OFFSET(CT!$A$1,INT(ROW()/2)+1,COLUMN(CT!A14)-1),"")</f>
        <v/>
      </c>
      <c r="B17" s="77" t="str">
        <f ca="1">IF(MOD(ROW(),2)=0,OFFSET(CT!$A$1,INT(ROW()/2)+1,COLUMN(CT!B14)-1),"")</f>
        <v/>
      </c>
      <c r="C17" s="77" t="str">
        <f ca="1">IF(MOD(ROW(),2)=0,OFFSET(CT!$A$1,INT(ROW()/2)+1,COLUMN(CT!C14)-1),"")</f>
        <v/>
      </c>
      <c r="D17" s="23" t="str">
        <f ca="1">OFFSET(CT!$A$1,INT(ROW()/2)+1,IF(MOD(ROW(),2)=0,COLUMN(CT!D14)-1,COLUMN(CT!E14)-1))</f>
        <v>1111</v>
      </c>
      <c r="E17" s="78">
        <f ca="1">IF(MOD(ROW(),2)=0,OFFSET(CT!$A$1,INT(ROW()/2)+1,COLUMN(CT!H14)-1),0)</f>
        <v>0</v>
      </c>
      <c r="F17" s="78">
        <f ca="1">IF(MOD(ROW(),2)=1,OFFSET(CT!$A$1,INT(ROW()/2)+1,COLUMN(CT!H14)-1),0)</f>
        <v>100000</v>
      </c>
      <c r="G17" s="3" t="str">
        <f ca="1">IF(OFFSET(CT!$A$1,INT(ROW()/2)+1,COLUMN(CT!N14)-1)="No","False","True")</f>
        <v>False</v>
      </c>
    </row>
    <row r="18" spans="1:7" hidden="1" x14ac:dyDescent="0.3">
      <c r="A18" s="77">
        <f ca="1">IF(MOD(ROW(),2)=0,OFFSET(CT!$A$1,INT(ROW()/2)+1,COLUMN(CT!A15)-1),"")</f>
        <v>45296</v>
      </c>
      <c r="B18" s="77" t="str">
        <f ca="1">IF(MOD(ROW(),2)=0,OFFSET(CT!$A$1,INT(ROW()/2)+1,COLUMN(CT!B15)-1),"")</f>
        <v>02/PC</v>
      </c>
      <c r="C18" s="77" t="str">
        <f ca="1">IF(MOD(ROW(),2)=0,OFFSET(CT!$A$1,INT(ROW()/2)+1,COLUMN(CT!C15)-1),"")</f>
        <v>Mua VPP cho BPVP</v>
      </c>
      <c r="D18" s="23" t="str">
        <f ca="1">OFFSET(CT!$A$1,INT(ROW()/2)+1,IF(MOD(ROW(),2)=0,COLUMN(CT!D15)-1,COLUMN(CT!E15)-1))</f>
        <v>6428</v>
      </c>
      <c r="E18" s="78">
        <f ca="1">IF(MOD(ROW(),2)=0,OFFSET(CT!$A$1,INT(ROW()/2)+1,COLUMN(CT!H15)-1),0)</f>
        <v>1000000</v>
      </c>
      <c r="F18" s="78">
        <f ca="1">IF(MOD(ROW(),2)=1,OFFSET(CT!$A$1,INT(ROW()/2)+1,COLUMN(CT!H15)-1),0)</f>
        <v>0</v>
      </c>
      <c r="G18" s="3" t="str">
        <f ca="1">IF(OFFSET(CT!$A$1,INT(ROW()/2)+1,COLUMN(CT!N15)-1)="No","False","True")</f>
        <v>False</v>
      </c>
    </row>
    <row r="19" spans="1:7" hidden="1" x14ac:dyDescent="0.3">
      <c r="A19" s="77" t="str">
        <f ca="1">IF(MOD(ROW(),2)=0,OFFSET(CT!$A$1,INT(ROW()/2)+1,COLUMN(CT!A16)-1),"")</f>
        <v/>
      </c>
      <c r="B19" s="77" t="str">
        <f ca="1">IF(MOD(ROW(),2)=0,OFFSET(CT!$A$1,INT(ROW()/2)+1,COLUMN(CT!B16)-1),"")</f>
        <v/>
      </c>
      <c r="C19" s="77" t="str">
        <f ca="1">IF(MOD(ROW(),2)=0,OFFSET(CT!$A$1,INT(ROW()/2)+1,COLUMN(CT!C16)-1),"")</f>
        <v/>
      </c>
      <c r="D19" s="23" t="str">
        <f ca="1">OFFSET(CT!$A$1,INT(ROW()/2)+1,IF(MOD(ROW(),2)=0,COLUMN(CT!D16)-1,COLUMN(CT!E16)-1))</f>
        <v>1111</v>
      </c>
      <c r="E19" s="78">
        <f ca="1">IF(MOD(ROW(),2)=0,OFFSET(CT!$A$1,INT(ROW()/2)+1,COLUMN(CT!H16)-1),0)</f>
        <v>0</v>
      </c>
      <c r="F19" s="78">
        <f ca="1">IF(MOD(ROW(),2)=1,OFFSET(CT!$A$1,INT(ROW()/2)+1,COLUMN(CT!H16)-1),0)</f>
        <v>1000000</v>
      </c>
      <c r="G19" s="3" t="str">
        <f ca="1">IF(OFFSET(CT!$A$1,INT(ROW()/2)+1,COLUMN(CT!N16)-1)="No","False","True")</f>
        <v>False</v>
      </c>
    </row>
    <row r="20" spans="1:7" hidden="1" x14ac:dyDescent="0.3">
      <c r="A20" s="77">
        <f ca="1">IF(MOD(ROW(),2)=0,OFFSET(CT!$A$1,INT(ROW()/2)+1,COLUMN(CT!A17)-1),"")</f>
        <v>45301</v>
      </c>
      <c r="B20" s="77" t="str">
        <f ca="1">IF(MOD(ROW(),2)=0,OFFSET(CT!$A$1,INT(ROW()/2)+1,COLUMN(CT!B17)-1),"")</f>
        <v>02/NVL</v>
      </c>
      <c r="C20" s="77" t="str">
        <f ca="1">IF(MOD(ROW(),2)=0,OFFSET(CT!$A$1,INT(ROW()/2)+1,COLUMN(CT!C17)-1),"")</f>
        <v>Thuế GTGT mua AC chuối, Dầu thông</v>
      </c>
      <c r="D20" s="23" t="str">
        <f ca="1">OFFSET(CT!$A$1,INT(ROW()/2)+1,IF(MOD(ROW(),2)=0,COLUMN(CT!D17)-1,COLUMN(CT!E17)-1))</f>
        <v>1331</v>
      </c>
      <c r="E20" s="78">
        <f ca="1">IF(MOD(ROW(),2)=0,OFFSET(CT!$A$1,INT(ROW()/2)+1,COLUMN(CT!H17)-1),0)</f>
        <v>55000</v>
      </c>
      <c r="F20" s="78">
        <f ca="1">IF(MOD(ROW(),2)=1,OFFSET(CT!$A$1,INT(ROW()/2)+1,COLUMN(CT!H17)-1),0)</f>
        <v>0</v>
      </c>
      <c r="G20" s="3" t="str">
        <f ca="1">IF(OFFSET(CT!$A$1,INT(ROW()/2)+1,COLUMN(CT!N17)-1)="No","False","True")</f>
        <v>False</v>
      </c>
    </row>
    <row r="21" spans="1:7" hidden="1" x14ac:dyDescent="0.3">
      <c r="A21" s="77" t="str">
        <f ca="1">IF(MOD(ROW(),2)=0,OFFSET(CT!$A$1,INT(ROW()/2)+1,COLUMN(CT!A18)-1),"")</f>
        <v/>
      </c>
      <c r="B21" s="77" t="str">
        <f ca="1">IF(MOD(ROW(),2)=0,OFFSET(CT!$A$1,INT(ROW()/2)+1,COLUMN(CT!B18)-1),"")</f>
        <v/>
      </c>
      <c r="C21" s="77" t="str">
        <f ca="1">IF(MOD(ROW(),2)=0,OFFSET(CT!$A$1,INT(ROW()/2)+1,COLUMN(CT!C18)-1),"")</f>
        <v/>
      </c>
      <c r="D21" s="23" t="str">
        <f ca="1">OFFSET(CT!$A$1,INT(ROW()/2)+1,IF(MOD(ROW(),2)=0,COLUMN(CT!D18)-1,COLUMN(CT!E18)-1))</f>
        <v>3311.01</v>
      </c>
      <c r="E21" s="78">
        <f ca="1">IF(MOD(ROW(),2)=0,OFFSET(CT!$A$1,INT(ROW()/2)+1,COLUMN(CT!H18)-1),0)</f>
        <v>0</v>
      </c>
      <c r="F21" s="78">
        <f ca="1">IF(MOD(ROW(),2)=1,OFFSET(CT!$A$1,INT(ROW()/2)+1,COLUMN(CT!H18)-1),0)</f>
        <v>55000</v>
      </c>
      <c r="G21" s="3" t="str">
        <f ca="1">IF(OFFSET(CT!$A$1,INT(ROW()/2)+1,COLUMN(CT!N18)-1)="No","False","True")</f>
        <v>False</v>
      </c>
    </row>
    <row r="22" spans="1:7" hidden="1" x14ac:dyDescent="0.3">
      <c r="A22" s="77">
        <f ca="1">IF(MOD(ROW(),2)=0,OFFSET(CT!$A$1,INT(ROW()/2)+1,COLUMN(CT!A19)-1),"")</f>
        <v>45301</v>
      </c>
      <c r="B22" s="77" t="str">
        <f ca="1">IF(MOD(ROW(),2)=0,OFFSET(CT!$A$1,INT(ROW()/2)+1,COLUMN(CT!B19)-1),"")</f>
        <v>02/NVL</v>
      </c>
      <c r="C22" s="77" t="str">
        <f ca="1">IF(MOD(ROW(),2)=0,OFFSET(CT!$A$1,INT(ROW()/2)+1,COLUMN(CT!C19)-1),"")</f>
        <v>Mua Dầu thông</v>
      </c>
      <c r="D22" s="23" t="str">
        <f ca="1">OFFSET(CT!$A$1,INT(ROW()/2)+1,IF(MOD(ROW(),2)=0,COLUMN(CT!D19)-1,COLUMN(CT!E19)-1))</f>
        <v>1521.0403</v>
      </c>
      <c r="E22" s="78">
        <f ca="1">IF(MOD(ROW(),2)=0,OFFSET(CT!$A$1,INT(ROW()/2)+1,COLUMN(CT!H19)-1),0)</f>
        <v>1500000</v>
      </c>
      <c r="F22" s="78">
        <f ca="1">IF(MOD(ROW(),2)=1,OFFSET(CT!$A$1,INT(ROW()/2)+1,COLUMN(CT!H19)-1),0)</f>
        <v>0</v>
      </c>
      <c r="G22" s="3" t="str">
        <f ca="1">IF(OFFSET(CT!$A$1,INT(ROW()/2)+1,COLUMN(CT!N19)-1)="No","False","True")</f>
        <v>False</v>
      </c>
    </row>
    <row r="23" spans="1:7" hidden="1" x14ac:dyDescent="0.3">
      <c r="A23" s="77" t="str">
        <f ca="1">IF(MOD(ROW(),2)=0,OFFSET(CT!$A$1,INT(ROW()/2)+1,COLUMN(CT!A20)-1),"")</f>
        <v/>
      </c>
      <c r="B23" s="77" t="str">
        <f ca="1">IF(MOD(ROW(),2)=0,OFFSET(CT!$A$1,INT(ROW()/2)+1,COLUMN(CT!B20)-1),"")</f>
        <v/>
      </c>
      <c r="C23" s="77" t="str">
        <f ca="1">IF(MOD(ROW(),2)=0,OFFSET(CT!$A$1,INT(ROW()/2)+1,COLUMN(CT!C20)-1),"")</f>
        <v/>
      </c>
      <c r="D23" s="23" t="str">
        <f ca="1">OFFSET(CT!$A$1,INT(ROW()/2)+1,IF(MOD(ROW(),2)=0,COLUMN(CT!D20)-1,COLUMN(CT!E20)-1))</f>
        <v>3311.01</v>
      </c>
      <c r="E23" s="78">
        <f ca="1">IF(MOD(ROW(),2)=0,OFFSET(CT!$A$1,INT(ROW()/2)+1,COLUMN(CT!H20)-1),0)</f>
        <v>0</v>
      </c>
      <c r="F23" s="78">
        <f ca="1">IF(MOD(ROW(),2)=1,OFFSET(CT!$A$1,INT(ROW()/2)+1,COLUMN(CT!H20)-1),0)</f>
        <v>1500000</v>
      </c>
      <c r="G23" s="3" t="str">
        <f ca="1">IF(OFFSET(CT!$A$1,INT(ROW()/2)+1,COLUMN(CT!N20)-1)="No","False","True")</f>
        <v>False</v>
      </c>
    </row>
    <row r="24" spans="1:7" hidden="1" x14ac:dyDescent="0.3">
      <c r="A24" s="77">
        <f ca="1">IF(MOD(ROW(),2)=0,OFFSET(CT!$A$1,INT(ROW()/2)+1,COLUMN(CT!A21)-1),"")</f>
        <v>45301</v>
      </c>
      <c r="B24" s="77" t="str">
        <f ca="1">IF(MOD(ROW(),2)=0,OFFSET(CT!$A$1,INT(ROW()/2)+1,COLUMN(CT!B21)-1),"")</f>
        <v>02/NVL</v>
      </c>
      <c r="C24" s="77" t="str">
        <f ca="1">IF(MOD(ROW(),2)=0,OFFSET(CT!$A$1,INT(ROW()/2)+1,COLUMN(CT!C21)-1),"")</f>
        <v>Mua AC chuối</v>
      </c>
      <c r="D24" s="23" t="str">
        <f ca="1">OFFSET(CT!$A$1,INT(ROW()/2)+1,IF(MOD(ROW(),2)=0,COLUMN(CT!D21)-1,COLUMN(CT!E21)-1))</f>
        <v>1521.0401</v>
      </c>
      <c r="E24" s="78">
        <f ca="1">IF(MOD(ROW(),2)=0,OFFSET(CT!$A$1,INT(ROW()/2)+1,COLUMN(CT!H21)-1),0)</f>
        <v>3200000</v>
      </c>
      <c r="F24" s="78">
        <f ca="1">IF(MOD(ROW(),2)=1,OFFSET(CT!$A$1,INT(ROW()/2)+1,COLUMN(CT!H21)-1),0)</f>
        <v>0</v>
      </c>
      <c r="G24" s="3" t="str">
        <f ca="1">IF(OFFSET(CT!$A$1,INT(ROW()/2)+1,COLUMN(CT!N21)-1)="No","False","True")</f>
        <v>False</v>
      </c>
    </row>
    <row r="25" spans="1:7" hidden="1" x14ac:dyDescent="0.3">
      <c r="A25" s="77" t="str">
        <f ca="1">IF(MOD(ROW(),2)=0,OFFSET(CT!$A$1,INT(ROW()/2)+1,COLUMN(CT!A22)-1),"")</f>
        <v/>
      </c>
      <c r="B25" s="77" t="str">
        <f ca="1">IF(MOD(ROW(),2)=0,OFFSET(CT!$A$1,INT(ROW()/2)+1,COLUMN(CT!B22)-1),"")</f>
        <v/>
      </c>
      <c r="C25" s="77" t="str">
        <f ca="1">IF(MOD(ROW(),2)=0,OFFSET(CT!$A$1,INT(ROW()/2)+1,COLUMN(CT!C22)-1),"")</f>
        <v/>
      </c>
      <c r="D25" s="23" t="str">
        <f ca="1">OFFSET(CT!$A$1,INT(ROW()/2)+1,IF(MOD(ROW(),2)=0,COLUMN(CT!D22)-1,COLUMN(CT!E22)-1))</f>
        <v>3311.01</v>
      </c>
      <c r="E25" s="78">
        <f ca="1">IF(MOD(ROW(),2)=0,OFFSET(CT!$A$1,INT(ROW()/2)+1,COLUMN(CT!H22)-1),0)</f>
        <v>0</v>
      </c>
      <c r="F25" s="78">
        <f ca="1">IF(MOD(ROW(),2)=1,OFFSET(CT!$A$1,INT(ROW()/2)+1,COLUMN(CT!H22)-1),0)</f>
        <v>3200000</v>
      </c>
      <c r="G25" s="3" t="str">
        <f ca="1">IF(OFFSET(CT!$A$1,INT(ROW()/2)+1,COLUMN(CT!N22)-1)="No","False","True")</f>
        <v>False</v>
      </c>
    </row>
    <row r="26" spans="1:7" hidden="1" x14ac:dyDescent="0.3">
      <c r="A26" s="77">
        <f ca="1">IF(MOD(ROW(),2)=0,OFFSET(CT!$A$1,INT(ROW()/2)+1,COLUMN(CT!A23)-1),"")</f>
        <v>45302</v>
      </c>
      <c r="B26" s="77" t="str">
        <f ca="1">IF(MOD(ROW(),2)=0,OFFSET(CT!$A$1,INT(ROW()/2)+1,COLUMN(CT!B23)-1),"")</f>
        <v>03/NVL</v>
      </c>
      <c r="C26" s="77" t="str">
        <f ca="1">IF(MOD(ROW(),2)=0,OFFSET(CT!$A$1,INT(ROW()/2)+1,COLUMN(CT!C23)-1),"")</f>
        <v>Thuế GTGT Nhập kho keo AB</v>
      </c>
      <c r="D26" s="23" t="str">
        <f ca="1">OFFSET(CT!$A$1,INT(ROW()/2)+1,IF(MOD(ROW(),2)=0,COLUMN(CT!D23)-1,COLUMN(CT!E23)-1))</f>
        <v>1331</v>
      </c>
      <c r="E26" s="78">
        <f ca="1">IF(MOD(ROW(),2)=0,OFFSET(CT!$A$1,INT(ROW()/2)+1,COLUMN(CT!H23)-1),0)</f>
        <v>500000</v>
      </c>
      <c r="F26" s="78">
        <f ca="1">IF(MOD(ROW(),2)=1,OFFSET(CT!$A$1,INT(ROW()/2)+1,COLUMN(CT!H23)-1),0)</f>
        <v>0</v>
      </c>
      <c r="G26" s="3" t="str">
        <f ca="1">IF(OFFSET(CT!$A$1,INT(ROW()/2)+1,COLUMN(CT!N23)-1)="No","False","True")</f>
        <v>False</v>
      </c>
    </row>
    <row r="27" spans="1:7" hidden="1" x14ac:dyDescent="0.3">
      <c r="A27" s="77" t="str">
        <f ca="1">IF(MOD(ROW(),2)=0,OFFSET(CT!$A$1,INT(ROW()/2)+1,COLUMN(CT!A24)-1),"")</f>
        <v/>
      </c>
      <c r="B27" s="77" t="str">
        <f ca="1">IF(MOD(ROW(),2)=0,OFFSET(CT!$A$1,INT(ROW()/2)+1,COLUMN(CT!B24)-1),"")</f>
        <v/>
      </c>
      <c r="C27" s="77" t="str">
        <f ca="1">IF(MOD(ROW(),2)=0,OFFSET(CT!$A$1,INT(ROW()/2)+1,COLUMN(CT!C24)-1),"")</f>
        <v/>
      </c>
      <c r="D27" s="23" t="str">
        <f ca="1">OFFSET(CT!$A$1,INT(ROW()/2)+1,IF(MOD(ROW(),2)=0,COLUMN(CT!D24)-1,COLUMN(CT!E24)-1))</f>
        <v>3311.03</v>
      </c>
      <c r="E27" s="78">
        <f ca="1">IF(MOD(ROW(),2)=0,OFFSET(CT!$A$1,INT(ROW()/2)+1,COLUMN(CT!H24)-1),0)</f>
        <v>0</v>
      </c>
      <c r="F27" s="78">
        <f ca="1">IF(MOD(ROW(),2)=1,OFFSET(CT!$A$1,INT(ROW()/2)+1,COLUMN(CT!H24)-1),0)</f>
        <v>500000</v>
      </c>
      <c r="G27" s="3" t="str">
        <f ca="1">IF(OFFSET(CT!$A$1,INT(ROW()/2)+1,COLUMN(CT!N24)-1)="No","False","True")</f>
        <v>False</v>
      </c>
    </row>
    <row r="28" spans="1:7" hidden="1" x14ac:dyDescent="0.3">
      <c r="A28" s="77">
        <f ca="1">IF(MOD(ROW(),2)=0,OFFSET(CT!$A$1,INT(ROW()/2)+1,COLUMN(CT!A25)-1),"")</f>
        <v>45302</v>
      </c>
      <c r="B28" s="77" t="str">
        <f ca="1">IF(MOD(ROW(),2)=0,OFFSET(CT!$A$1,INT(ROW()/2)+1,COLUMN(CT!B25)-1),"")</f>
        <v>03/NVL</v>
      </c>
      <c r="C28" s="77" t="str">
        <f ca="1">IF(MOD(ROW(),2)=0,OFFSET(CT!$A$1,INT(ROW()/2)+1,COLUMN(CT!C25)-1),"")</f>
        <v>Nhập kho keo AB</v>
      </c>
      <c r="D28" s="23" t="str">
        <f ca="1">OFFSET(CT!$A$1,INT(ROW()/2)+1,IF(MOD(ROW(),2)=0,COLUMN(CT!D25)-1,COLUMN(CT!E25)-1))</f>
        <v>1521.0301</v>
      </c>
      <c r="E28" s="78">
        <f ca="1">IF(MOD(ROW(),2)=0,OFFSET(CT!$A$1,INT(ROW()/2)+1,COLUMN(CT!H25)-1),0)</f>
        <v>5000000</v>
      </c>
      <c r="F28" s="78">
        <f ca="1">IF(MOD(ROW(),2)=1,OFFSET(CT!$A$1,INT(ROW()/2)+1,COLUMN(CT!H25)-1),0)</f>
        <v>0</v>
      </c>
      <c r="G28" s="3" t="str">
        <f ca="1">IF(OFFSET(CT!$A$1,INT(ROW()/2)+1,COLUMN(CT!N25)-1)="No","False","True")</f>
        <v>False</v>
      </c>
    </row>
    <row r="29" spans="1:7" hidden="1" x14ac:dyDescent="0.3">
      <c r="A29" s="77" t="str">
        <f ca="1">IF(MOD(ROW(),2)=0,OFFSET(CT!$A$1,INT(ROW()/2)+1,COLUMN(CT!A26)-1),"")</f>
        <v/>
      </c>
      <c r="B29" s="77" t="str">
        <f ca="1">IF(MOD(ROW(),2)=0,OFFSET(CT!$A$1,INT(ROW()/2)+1,COLUMN(CT!B26)-1),"")</f>
        <v/>
      </c>
      <c r="C29" s="77" t="str">
        <f ca="1">IF(MOD(ROW(),2)=0,OFFSET(CT!$A$1,INT(ROW()/2)+1,COLUMN(CT!C26)-1),"")</f>
        <v/>
      </c>
      <c r="D29" s="23" t="str">
        <f ca="1">OFFSET(CT!$A$1,INT(ROW()/2)+1,IF(MOD(ROW(),2)=0,COLUMN(CT!D26)-1,COLUMN(CT!E26)-1))</f>
        <v>3311.03</v>
      </c>
      <c r="E29" s="78">
        <f ca="1">IF(MOD(ROW(),2)=0,OFFSET(CT!$A$1,INT(ROW()/2)+1,COLUMN(CT!H26)-1),0)</f>
        <v>0</v>
      </c>
      <c r="F29" s="78">
        <f ca="1">IF(MOD(ROW(),2)=1,OFFSET(CT!$A$1,INT(ROW()/2)+1,COLUMN(CT!H26)-1),0)</f>
        <v>5000000</v>
      </c>
      <c r="G29" s="3" t="str">
        <f ca="1">IF(OFFSET(CT!$A$1,INT(ROW()/2)+1,COLUMN(CT!N26)-1)="No","False","True")</f>
        <v>False</v>
      </c>
    </row>
    <row r="30" spans="1:7" x14ac:dyDescent="0.3">
      <c r="A30" s="77">
        <f ca="1">IF(MOD(ROW(),2)=0,OFFSET(CT!$A$1,INT(ROW()/2)+1,COLUMN(CT!A27)-1),"")</f>
        <v>45306</v>
      </c>
      <c r="B30" s="77" t="str">
        <f ca="1">IF(MOD(ROW(),2)=0,OFFSET(CT!$A$1,INT(ROW()/2)+1,COLUMN(CT!B27)-1),"")</f>
        <v>01/XVL</v>
      </c>
      <c r="C30" s="77" t="str">
        <f ca="1">IF(MOD(ROW(),2)=0,OFFSET(CT!$A$1,INT(ROW()/2)+1,COLUMN(CT!C27)-1),"")</f>
        <v>Xuất keo ghép sx GTV</v>
      </c>
      <c r="D30" s="23" t="str">
        <f ca="1">OFFSET(CT!$A$1,INT(ROW()/2)+1,IF(MOD(ROW(),2)=0,COLUMN(CT!D27)-1,COLUMN(CT!E27)-1))</f>
        <v>6211.01</v>
      </c>
      <c r="E30" s="78">
        <f ca="1">IF(MOD(ROW(),2)=0,OFFSET(CT!$A$1,INT(ROW()/2)+1,COLUMN(CT!H27)-1),0)</f>
        <v>480000</v>
      </c>
      <c r="F30" s="78">
        <f ca="1">IF(MOD(ROW(),2)=1,OFFSET(CT!$A$1,INT(ROW()/2)+1,COLUMN(CT!H27)-1),0)</f>
        <v>0</v>
      </c>
      <c r="G30" s="153" t="str">
        <f ca="1">IF(OFFSET(CT!$A$1,INT(ROW()/2)+1,COLUMN(CT!N27)-1)="No","False","True")</f>
        <v>True</v>
      </c>
    </row>
    <row r="31" spans="1:7" x14ac:dyDescent="0.3">
      <c r="A31" s="77" t="str">
        <f ca="1">IF(MOD(ROW(),2)=0,OFFSET(CT!$A$1,INT(ROW()/2)+1,COLUMN(CT!A28)-1),"")</f>
        <v/>
      </c>
      <c r="B31" s="77" t="str">
        <f ca="1">IF(MOD(ROW(),2)=0,OFFSET(CT!$A$1,INT(ROW()/2)+1,COLUMN(CT!B28)-1),"")</f>
        <v/>
      </c>
      <c r="C31" s="77" t="str">
        <f ca="1">IF(MOD(ROW(),2)=0,OFFSET(CT!$A$1,INT(ROW()/2)+1,COLUMN(CT!C28)-1),"")</f>
        <v/>
      </c>
      <c r="D31" s="23" t="str">
        <f ca="1">OFFSET(CT!$A$1,INT(ROW()/2)+1,IF(MOD(ROW(),2)=0,COLUMN(CT!D28)-1,COLUMN(CT!E28)-1))</f>
        <v>1521.0302</v>
      </c>
      <c r="E31" s="78">
        <f ca="1">IF(MOD(ROW(),2)=0,OFFSET(CT!$A$1,INT(ROW()/2)+1,COLUMN(CT!H28)-1),0)</f>
        <v>0</v>
      </c>
      <c r="F31" s="78">
        <f ca="1">IF(MOD(ROW(),2)=1,OFFSET(CT!$A$1,INT(ROW()/2)+1,COLUMN(CT!H28)-1),0)</f>
        <v>480000</v>
      </c>
      <c r="G31" s="153" t="str">
        <f ca="1">IF(OFFSET(CT!$A$1,INT(ROW()/2)+1,COLUMN(CT!N28)-1)="No","False","True")</f>
        <v>True</v>
      </c>
    </row>
    <row r="32" spans="1:7" hidden="1" x14ac:dyDescent="0.3">
      <c r="A32" s="77">
        <f ca="1">IF(MOD(ROW(),2)=0,OFFSET(CT!$A$1,INT(ROW()/2)+1,COLUMN(CT!A29)-1),"")</f>
        <v>45306</v>
      </c>
      <c r="B32" s="77" t="str">
        <f ca="1">IF(MOD(ROW(),2)=0,OFFSET(CT!$A$1,INT(ROW()/2)+1,COLUMN(CT!B29)-1),"")</f>
        <v>03/PC</v>
      </c>
      <c r="C32" s="77" t="str">
        <f ca="1">IF(MOD(ROW(),2)=0,OFFSET(CT!$A$1,INT(ROW()/2)+1,COLUMN(CT!C29)-1),"")</f>
        <v>Chi lương cho NVBH</v>
      </c>
      <c r="D32" s="23" t="str">
        <f ca="1">OFFSET(CT!$A$1,INT(ROW()/2)+1,IF(MOD(ROW(),2)=0,COLUMN(CT!D29)-1,COLUMN(CT!E29)-1))</f>
        <v>3348.02</v>
      </c>
      <c r="E32" s="78">
        <f ca="1">IF(MOD(ROW(),2)=0,OFFSET(CT!$A$1,INT(ROW()/2)+1,COLUMN(CT!H29)-1),0)</f>
        <v>5000000</v>
      </c>
      <c r="F32" s="78">
        <f ca="1">IF(MOD(ROW(),2)=1,OFFSET(CT!$A$1,INT(ROW()/2)+1,COLUMN(CT!H29)-1),0)</f>
        <v>0</v>
      </c>
      <c r="G32" s="3" t="str">
        <f ca="1">IF(OFFSET(CT!$A$1,INT(ROW()/2)+1,COLUMN(CT!N29)-1)="No","False","True")</f>
        <v>False</v>
      </c>
    </row>
    <row r="33" spans="1:7" hidden="1" x14ac:dyDescent="0.3">
      <c r="A33" s="77" t="str">
        <f ca="1">IF(MOD(ROW(),2)=0,OFFSET(CT!$A$1,INT(ROW()/2)+1,COLUMN(CT!A30)-1),"")</f>
        <v/>
      </c>
      <c r="B33" s="77" t="str">
        <f ca="1">IF(MOD(ROW(),2)=0,OFFSET(CT!$A$1,INT(ROW()/2)+1,COLUMN(CT!B30)-1),"")</f>
        <v/>
      </c>
      <c r="C33" s="77" t="str">
        <f ca="1">IF(MOD(ROW(),2)=0,OFFSET(CT!$A$1,INT(ROW()/2)+1,COLUMN(CT!C30)-1),"")</f>
        <v/>
      </c>
      <c r="D33" s="23" t="str">
        <f ca="1">OFFSET(CT!$A$1,INT(ROW()/2)+1,IF(MOD(ROW(),2)=0,COLUMN(CT!D30)-1,COLUMN(CT!E30)-1))</f>
        <v>1111</v>
      </c>
      <c r="E33" s="78">
        <f ca="1">IF(MOD(ROW(),2)=0,OFFSET(CT!$A$1,INT(ROW()/2)+1,COLUMN(CT!H30)-1),0)</f>
        <v>0</v>
      </c>
      <c r="F33" s="78">
        <f ca="1">IF(MOD(ROW(),2)=1,OFFSET(CT!$A$1,INT(ROW()/2)+1,COLUMN(CT!H30)-1),0)</f>
        <v>5000000</v>
      </c>
      <c r="G33" s="3" t="str">
        <f ca="1">IF(OFFSET(CT!$A$1,INT(ROW()/2)+1,COLUMN(CT!N30)-1)="No","False","True")</f>
        <v>False</v>
      </c>
    </row>
    <row r="34" spans="1:7" hidden="1" x14ac:dyDescent="0.3">
      <c r="A34" s="77">
        <f ca="1">IF(MOD(ROW(),2)=0,OFFSET(CT!$A$1,INT(ROW()/2)+1,COLUMN(CT!A31)-1),"")</f>
        <v>45306</v>
      </c>
      <c r="B34" s="77" t="str">
        <f ca="1">IF(MOD(ROW(),2)=0,OFFSET(CT!$A$1,INT(ROW()/2)+1,COLUMN(CT!B31)-1),"")</f>
        <v>03/PC</v>
      </c>
      <c r="C34" s="77" t="str">
        <f ca="1">IF(MOD(ROW(),2)=0,OFFSET(CT!$A$1,INT(ROW()/2)+1,COLUMN(CT!C31)-1),"")</f>
        <v>Chi lương cho CB QLDN</v>
      </c>
      <c r="D34" s="23" t="str">
        <f ca="1">OFFSET(CT!$A$1,INT(ROW()/2)+1,IF(MOD(ROW(),2)=0,COLUMN(CT!D31)-1,COLUMN(CT!E31)-1))</f>
        <v>3348.03</v>
      </c>
      <c r="E34" s="78">
        <f ca="1">IF(MOD(ROW(),2)=0,OFFSET(CT!$A$1,INT(ROW()/2)+1,COLUMN(CT!H31)-1),0)</f>
        <v>7000000</v>
      </c>
      <c r="F34" s="78">
        <f ca="1">IF(MOD(ROW(),2)=1,OFFSET(CT!$A$1,INT(ROW()/2)+1,COLUMN(CT!H31)-1),0)</f>
        <v>0</v>
      </c>
      <c r="G34" s="3" t="str">
        <f ca="1">IF(OFFSET(CT!$A$1,INT(ROW()/2)+1,COLUMN(CT!N31)-1)="No","False","True")</f>
        <v>False</v>
      </c>
    </row>
    <row r="35" spans="1:7" hidden="1" x14ac:dyDescent="0.3">
      <c r="A35" s="77" t="str">
        <f ca="1">IF(MOD(ROW(),2)=0,OFFSET(CT!$A$1,INT(ROW()/2)+1,COLUMN(CT!A32)-1),"")</f>
        <v/>
      </c>
      <c r="B35" s="77" t="str">
        <f ca="1">IF(MOD(ROW(),2)=0,OFFSET(CT!$A$1,INT(ROW()/2)+1,COLUMN(CT!B32)-1),"")</f>
        <v/>
      </c>
      <c r="C35" s="77" t="str">
        <f ca="1">IF(MOD(ROW(),2)=0,OFFSET(CT!$A$1,INT(ROW()/2)+1,COLUMN(CT!C32)-1),"")</f>
        <v/>
      </c>
      <c r="D35" s="23" t="str">
        <f ca="1">OFFSET(CT!$A$1,INT(ROW()/2)+1,IF(MOD(ROW(),2)=0,COLUMN(CT!D32)-1,COLUMN(CT!E32)-1))</f>
        <v>1111</v>
      </c>
      <c r="E35" s="78">
        <f ca="1">IF(MOD(ROW(),2)=0,OFFSET(CT!$A$1,INT(ROW()/2)+1,COLUMN(CT!H32)-1),0)</f>
        <v>0</v>
      </c>
      <c r="F35" s="78">
        <f ca="1">IF(MOD(ROW(),2)=1,OFFSET(CT!$A$1,INT(ROW()/2)+1,COLUMN(CT!H32)-1),0)</f>
        <v>7000000</v>
      </c>
      <c r="G35" s="3" t="str">
        <f ca="1">IF(OFFSET(CT!$A$1,INT(ROW()/2)+1,COLUMN(CT!N32)-1)="No","False","True")</f>
        <v>False</v>
      </c>
    </row>
    <row r="36" spans="1:7" x14ac:dyDescent="0.3">
      <c r="A36" s="77">
        <f ca="1">IF(MOD(ROW(),2)=0,OFFSET(CT!$A$1,INT(ROW()/2)+1,COLUMN(CT!A33)-1),"")</f>
        <v>45306</v>
      </c>
      <c r="B36" s="77" t="str">
        <f ca="1">IF(MOD(ROW(),2)=0,OFFSET(CT!$A$1,INT(ROW()/2)+1,COLUMN(CT!B33)-1),"")</f>
        <v>01/XVL</v>
      </c>
      <c r="C36" s="77" t="str">
        <f ca="1">IF(MOD(ROW(),2)=0,OFFSET(CT!$A$1,INT(ROW()/2)+1,COLUMN(CT!C33)-1),"")</f>
        <v>Xuất gỗ cao su sx GTV</v>
      </c>
      <c r="D36" s="23" t="str">
        <f ca="1">OFFSET(CT!$A$1,INT(ROW()/2)+1,IF(MOD(ROW(),2)=0,COLUMN(CT!D33)-1,COLUMN(CT!E33)-1))</f>
        <v>6211.01</v>
      </c>
      <c r="E36" s="78">
        <f ca="1">IF(MOD(ROW(),2)=0,OFFSET(CT!$A$1,INT(ROW()/2)+1,COLUMN(CT!H33)-1),0)</f>
        <v>13200000</v>
      </c>
      <c r="F36" s="78">
        <f ca="1">IF(MOD(ROW(),2)=1,OFFSET(CT!$A$1,INT(ROW()/2)+1,COLUMN(CT!H33)-1),0)</f>
        <v>0</v>
      </c>
      <c r="G36" s="153" t="str">
        <f ca="1">IF(OFFSET(CT!$A$1,INT(ROW()/2)+1,COLUMN(CT!N33)-1)="No","False","True")</f>
        <v>True</v>
      </c>
    </row>
    <row r="37" spans="1:7" x14ac:dyDescent="0.3">
      <c r="A37" s="77" t="str">
        <f ca="1">IF(MOD(ROW(),2)=0,OFFSET(CT!$A$1,INT(ROW()/2)+1,COLUMN(CT!A34)-1),"")</f>
        <v/>
      </c>
      <c r="B37" s="77" t="str">
        <f ca="1">IF(MOD(ROW(),2)=0,OFFSET(CT!$A$1,INT(ROW()/2)+1,COLUMN(CT!B34)-1),"")</f>
        <v/>
      </c>
      <c r="C37" s="77" t="str">
        <f ca="1">IF(MOD(ROW(),2)=0,OFFSET(CT!$A$1,INT(ROW()/2)+1,COLUMN(CT!C34)-1),"")</f>
        <v/>
      </c>
      <c r="D37" s="23" t="str">
        <f ca="1">OFFSET(CT!$A$1,INT(ROW()/2)+1,IF(MOD(ROW(),2)=0,COLUMN(CT!D34)-1,COLUMN(CT!E34)-1))</f>
        <v>1521.0101</v>
      </c>
      <c r="E37" s="78">
        <f ca="1">IF(MOD(ROW(),2)=0,OFFSET(CT!$A$1,INT(ROW()/2)+1,COLUMN(CT!H34)-1),0)</f>
        <v>0</v>
      </c>
      <c r="F37" s="78">
        <f ca="1">IF(MOD(ROW(),2)=1,OFFSET(CT!$A$1,INT(ROW()/2)+1,COLUMN(CT!H34)-1),0)</f>
        <v>13200000</v>
      </c>
      <c r="G37" s="153" t="str">
        <f ca="1">IF(OFFSET(CT!$A$1,INT(ROW()/2)+1,COLUMN(CT!N34)-1)="No","False","True")</f>
        <v>True</v>
      </c>
    </row>
    <row r="38" spans="1:7" x14ac:dyDescent="0.3">
      <c r="A38" s="77">
        <f ca="1">IF(MOD(ROW(),2)=0,OFFSET(CT!$A$1,INT(ROW()/2)+1,COLUMN(CT!A35)-1),"")</f>
        <v>45306</v>
      </c>
      <c r="B38" s="77" t="str">
        <f ca="1">IF(MOD(ROW(),2)=0,OFFSET(CT!$A$1,INT(ROW()/2)+1,COLUMN(CT!B35)-1),"")</f>
        <v>01/BC</v>
      </c>
      <c r="C38" s="77" t="str">
        <f ca="1">IF(MOD(ROW(),2)=0,OFFSET(CT!$A$1,INT(ROW()/2)+1,COLUMN(CT!C35)-1),"")</f>
        <v>Cty Mai Anh trả nợ lô hàng 189</v>
      </c>
      <c r="D38" s="23" t="str">
        <f ca="1">OFFSET(CT!$A$1,INT(ROW()/2)+1,IF(MOD(ROW(),2)=0,COLUMN(CT!D35)-1,COLUMN(CT!E35)-1))</f>
        <v>1121.02</v>
      </c>
      <c r="E38" s="78">
        <f ca="1">IF(MOD(ROW(),2)=0,OFFSET(CT!$A$1,INT(ROW()/2)+1,COLUMN(CT!H35)-1),0)</f>
        <v>30000000</v>
      </c>
      <c r="F38" s="78">
        <f ca="1">IF(MOD(ROW(),2)=1,OFFSET(CT!$A$1,INT(ROW()/2)+1,COLUMN(CT!H35)-1),0)</f>
        <v>0</v>
      </c>
      <c r="G38" s="153" t="str">
        <f ca="1">IF(OFFSET(CT!$A$1,INT(ROW()/2)+1,COLUMN(CT!N35)-1)="No","False","True")</f>
        <v>True</v>
      </c>
    </row>
    <row r="39" spans="1:7" x14ac:dyDescent="0.3">
      <c r="A39" s="77" t="str">
        <f ca="1">IF(MOD(ROW(),2)=0,OFFSET(CT!$A$1,INT(ROW()/2)+1,COLUMN(CT!A36)-1),"")</f>
        <v/>
      </c>
      <c r="B39" s="77" t="str">
        <f ca="1">IF(MOD(ROW(),2)=0,OFFSET(CT!$A$1,INT(ROW()/2)+1,COLUMN(CT!B36)-1),"")</f>
        <v/>
      </c>
      <c r="C39" s="77" t="str">
        <f ca="1">IF(MOD(ROW(),2)=0,OFFSET(CT!$A$1,INT(ROW()/2)+1,COLUMN(CT!C36)-1),"")</f>
        <v/>
      </c>
      <c r="D39" s="23" t="str">
        <f ca="1">OFFSET(CT!$A$1,INT(ROW()/2)+1,IF(MOD(ROW(),2)=0,COLUMN(CT!D36)-1,COLUMN(CT!E36)-1))</f>
        <v>1311.02</v>
      </c>
      <c r="E39" s="78">
        <f ca="1">IF(MOD(ROW(),2)=0,OFFSET(CT!$A$1,INT(ROW()/2)+1,COLUMN(CT!H36)-1),0)</f>
        <v>0</v>
      </c>
      <c r="F39" s="78">
        <f ca="1">IF(MOD(ROW(),2)=1,OFFSET(CT!$A$1,INT(ROW()/2)+1,COLUMN(CT!H36)-1),0)</f>
        <v>30000000</v>
      </c>
      <c r="G39" s="153" t="str">
        <f ca="1">IF(OFFSET(CT!$A$1,INT(ROW()/2)+1,COLUMN(CT!N36)-1)="No","False","True")</f>
        <v>True</v>
      </c>
    </row>
    <row r="40" spans="1:7" hidden="1" x14ac:dyDescent="0.3">
      <c r="A40" s="77">
        <f ca="1">IF(MOD(ROW(),2)=0,OFFSET(CT!$A$1,INT(ROW()/2)+1,COLUMN(CT!A37)-1),"")</f>
        <v>45306</v>
      </c>
      <c r="B40" s="77" t="str">
        <f ca="1">IF(MOD(ROW(),2)=0,OFFSET(CT!$A$1,INT(ROW()/2)+1,COLUMN(CT!B37)-1),"")</f>
        <v>03/PC</v>
      </c>
      <c r="C40" s="77" t="str">
        <f ca="1">IF(MOD(ROW(),2)=0,OFFSET(CT!$A$1,INT(ROW()/2)+1,COLUMN(CT!C37)-1),"")</f>
        <v>Chi lương cho NV QLPX</v>
      </c>
      <c r="D40" s="23" t="str">
        <f ca="1">OFFSET(CT!$A$1,INT(ROW()/2)+1,IF(MOD(ROW(),2)=0,COLUMN(CT!D37)-1,COLUMN(CT!E37)-1))</f>
        <v>3348.01</v>
      </c>
      <c r="E40" s="78">
        <f ca="1">IF(MOD(ROW(),2)=0,OFFSET(CT!$A$1,INT(ROW()/2)+1,COLUMN(CT!H37)-1),0)</f>
        <v>35000000</v>
      </c>
      <c r="F40" s="78">
        <f ca="1">IF(MOD(ROW(),2)=1,OFFSET(CT!$A$1,INT(ROW()/2)+1,COLUMN(CT!H37)-1),0)</f>
        <v>0</v>
      </c>
      <c r="G40" s="3" t="str">
        <f ca="1">IF(OFFSET(CT!$A$1,INT(ROW()/2)+1,COLUMN(CT!N37)-1)="No","False","True")</f>
        <v>False</v>
      </c>
    </row>
    <row r="41" spans="1:7" hidden="1" x14ac:dyDescent="0.3">
      <c r="A41" s="77" t="str">
        <f ca="1">IF(MOD(ROW(),2)=0,OFFSET(CT!$A$1,INT(ROW()/2)+1,COLUMN(CT!A38)-1),"")</f>
        <v/>
      </c>
      <c r="B41" s="77" t="str">
        <f ca="1">IF(MOD(ROW(),2)=0,OFFSET(CT!$A$1,INT(ROW()/2)+1,COLUMN(CT!B38)-1),"")</f>
        <v/>
      </c>
      <c r="C41" s="77" t="str">
        <f ca="1">IF(MOD(ROW(),2)=0,OFFSET(CT!$A$1,INT(ROW()/2)+1,COLUMN(CT!C38)-1),"")</f>
        <v/>
      </c>
      <c r="D41" s="23" t="str">
        <f ca="1">OFFSET(CT!$A$1,INT(ROW()/2)+1,IF(MOD(ROW(),2)=0,COLUMN(CT!D38)-1,COLUMN(CT!E38)-1))</f>
        <v>1111</v>
      </c>
      <c r="E41" s="78">
        <f ca="1">IF(MOD(ROW(),2)=0,OFFSET(CT!$A$1,INT(ROW()/2)+1,COLUMN(CT!H38)-1),0)</f>
        <v>0</v>
      </c>
      <c r="F41" s="78">
        <f ca="1">IF(MOD(ROW(),2)=1,OFFSET(CT!$A$1,INT(ROW()/2)+1,COLUMN(CT!H38)-1),0)</f>
        <v>35000000</v>
      </c>
      <c r="G41" s="3" t="str">
        <f ca="1">IF(OFFSET(CT!$A$1,INT(ROW()/2)+1,COLUMN(CT!N38)-1)="No","False","True")</f>
        <v>False</v>
      </c>
    </row>
    <row r="42" spans="1:7" hidden="1" x14ac:dyDescent="0.3">
      <c r="A42" s="77">
        <f ca="1">IF(MOD(ROW(),2)=0,OFFSET(CT!$A$1,INT(ROW()/2)+1,COLUMN(CT!A39)-1),"")</f>
        <v>45306</v>
      </c>
      <c r="B42" s="77" t="str">
        <f ca="1">IF(MOD(ROW(),2)=0,OFFSET(CT!$A$1,INT(ROW()/2)+1,COLUMN(CT!B39)-1),"")</f>
        <v>03/PC</v>
      </c>
      <c r="C42" s="77" t="str">
        <f ca="1">IF(MOD(ROW(),2)=0,OFFSET(CT!$A$1,INT(ROW()/2)+1,COLUMN(CT!C39)-1),"")</f>
        <v>Chi lương cho CNSX GTV</v>
      </c>
      <c r="D42" s="23" t="str">
        <f ca="1">OFFSET(CT!$A$1,INT(ROW()/2)+1,IF(MOD(ROW(),2)=0,COLUMN(CT!D39)-1,COLUMN(CT!E39)-1))</f>
        <v>3341.01</v>
      </c>
      <c r="E42" s="78">
        <f ca="1">IF(MOD(ROW(),2)=0,OFFSET(CT!$A$1,INT(ROW()/2)+1,COLUMN(CT!H39)-1),0)</f>
        <v>40000000</v>
      </c>
      <c r="F42" s="78">
        <f ca="1">IF(MOD(ROW(),2)=1,OFFSET(CT!$A$1,INT(ROW()/2)+1,COLUMN(CT!H39)-1),0)</f>
        <v>0</v>
      </c>
      <c r="G42" s="3" t="str">
        <f ca="1">IF(OFFSET(CT!$A$1,INT(ROW()/2)+1,COLUMN(CT!N39)-1)="No","False","True")</f>
        <v>False</v>
      </c>
    </row>
    <row r="43" spans="1:7" hidden="1" x14ac:dyDescent="0.3">
      <c r="A43" s="77" t="str">
        <f ca="1">IF(MOD(ROW(),2)=0,OFFSET(CT!$A$1,INT(ROW()/2)+1,COLUMN(CT!A40)-1),"")</f>
        <v/>
      </c>
      <c r="B43" s="77" t="str">
        <f ca="1">IF(MOD(ROW(),2)=0,OFFSET(CT!$A$1,INT(ROW()/2)+1,COLUMN(CT!B40)-1),"")</f>
        <v/>
      </c>
      <c r="C43" s="77" t="str">
        <f ca="1">IF(MOD(ROW(),2)=0,OFFSET(CT!$A$1,INT(ROW()/2)+1,COLUMN(CT!C40)-1),"")</f>
        <v/>
      </c>
      <c r="D43" s="23" t="str">
        <f ca="1">OFFSET(CT!$A$1,INT(ROW()/2)+1,IF(MOD(ROW(),2)=0,COLUMN(CT!D40)-1,COLUMN(CT!E40)-1))</f>
        <v>1111</v>
      </c>
      <c r="E43" s="78">
        <f ca="1">IF(MOD(ROW(),2)=0,OFFSET(CT!$A$1,INT(ROW()/2)+1,COLUMN(CT!H40)-1),0)</f>
        <v>0</v>
      </c>
      <c r="F43" s="78">
        <f ca="1">IF(MOD(ROW(),2)=1,OFFSET(CT!$A$1,INT(ROW()/2)+1,COLUMN(CT!H40)-1),0)</f>
        <v>40000000</v>
      </c>
      <c r="G43" s="3" t="str">
        <f ca="1">IF(OFFSET(CT!$A$1,INT(ROW()/2)+1,COLUMN(CT!N40)-1)="No","False","True")</f>
        <v>False</v>
      </c>
    </row>
    <row r="44" spans="1:7" hidden="1" x14ac:dyDescent="0.3">
      <c r="A44" s="77">
        <f ca="1">IF(MOD(ROW(),2)=0,OFFSET(CT!$A$1,INT(ROW()/2)+1,COLUMN(CT!A41)-1),"")</f>
        <v>45306</v>
      </c>
      <c r="B44" s="77" t="str">
        <f ca="1">IF(MOD(ROW(),2)=0,OFFSET(CT!$A$1,INT(ROW()/2)+1,COLUMN(CT!B41)-1),"")</f>
        <v>03/PC</v>
      </c>
      <c r="C44" s="77" t="str">
        <f ca="1">IF(MOD(ROW(),2)=0,OFFSET(CT!$A$1,INT(ROW()/2)+1,COLUMN(CT!C41)-1),"")</f>
        <v>Chi lương cho CNSX GKT</v>
      </c>
      <c r="D44" s="23" t="str">
        <f ca="1">OFFSET(CT!$A$1,INT(ROW()/2)+1,IF(MOD(ROW(),2)=0,COLUMN(CT!D41)-1,COLUMN(CT!E41)-1))</f>
        <v>3341.02</v>
      </c>
      <c r="E44" s="78">
        <f ca="1">IF(MOD(ROW(),2)=0,OFFSET(CT!$A$1,INT(ROW()/2)+1,COLUMN(CT!H41)-1),0)</f>
        <v>40000000</v>
      </c>
      <c r="F44" s="78">
        <f ca="1">IF(MOD(ROW(),2)=1,OFFSET(CT!$A$1,INT(ROW()/2)+1,COLUMN(CT!H41)-1),0)</f>
        <v>0</v>
      </c>
      <c r="G44" s="3" t="str">
        <f ca="1">IF(OFFSET(CT!$A$1,INT(ROW()/2)+1,COLUMN(CT!N41)-1)="No","False","True")</f>
        <v>False</v>
      </c>
    </row>
    <row r="45" spans="1:7" hidden="1" x14ac:dyDescent="0.3">
      <c r="A45" s="77" t="str">
        <f ca="1">IF(MOD(ROW(),2)=0,OFFSET(CT!$A$1,INT(ROW()/2)+1,COLUMN(CT!A42)-1),"")</f>
        <v/>
      </c>
      <c r="B45" s="77" t="str">
        <f ca="1">IF(MOD(ROW(),2)=0,OFFSET(CT!$A$1,INT(ROW()/2)+1,COLUMN(CT!B42)-1),"")</f>
        <v/>
      </c>
      <c r="C45" s="77" t="str">
        <f ca="1">IF(MOD(ROW(),2)=0,OFFSET(CT!$A$1,INT(ROW()/2)+1,COLUMN(CT!C42)-1),"")</f>
        <v/>
      </c>
      <c r="D45" s="23" t="str">
        <f ca="1">OFFSET(CT!$A$1,INT(ROW()/2)+1,IF(MOD(ROW(),2)=0,COLUMN(CT!D42)-1,COLUMN(CT!E42)-1))</f>
        <v>1111</v>
      </c>
      <c r="E45" s="78">
        <f ca="1">IF(MOD(ROW(),2)=0,OFFSET(CT!$A$1,INT(ROW()/2)+1,COLUMN(CT!H42)-1),0)</f>
        <v>0</v>
      </c>
      <c r="F45" s="78">
        <f ca="1">IF(MOD(ROW(),2)=1,OFFSET(CT!$A$1,INT(ROW()/2)+1,COLUMN(CT!H42)-1),0)</f>
        <v>40000000</v>
      </c>
      <c r="G45" s="3" t="str">
        <f ca="1">IF(OFFSET(CT!$A$1,INT(ROW()/2)+1,COLUMN(CT!N42)-1)="No","False","True")</f>
        <v>False</v>
      </c>
    </row>
    <row r="46" spans="1:7" hidden="1" x14ac:dyDescent="0.3">
      <c r="A46" s="77">
        <f ca="1">IF(MOD(ROW(),2)=0,OFFSET(CT!$A$1,INT(ROW()/2)+1,COLUMN(CT!A43)-1),"")</f>
        <v>45306</v>
      </c>
      <c r="B46" s="77" t="str">
        <f ca="1">IF(MOD(ROW(),2)=0,OFFSET(CT!$A$1,INT(ROW()/2)+1,COLUMN(CT!B43)-1),"")</f>
        <v>03/PC</v>
      </c>
      <c r="C46" s="77" t="str">
        <f ca="1">IF(MOD(ROW(),2)=0,OFFSET(CT!$A$1,INT(ROW()/2)+1,COLUMN(CT!C43)-1),"")</f>
        <v>Chi lương cho CNSX GTV</v>
      </c>
      <c r="D46" s="23" t="str">
        <f ca="1">OFFSET(CT!$A$1,INT(ROW()/2)+1,IF(MOD(ROW(),2)=0,COLUMN(CT!D43)-1,COLUMN(CT!E43)-1))</f>
        <v>3341.03</v>
      </c>
      <c r="E46" s="78">
        <f ca="1">IF(MOD(ROW(),2)=0,OFFSET(CT!$A$1,INT(ROW()/2)+1,COLUMN(CT!H43)-1),0)</f>
        <v>40000000</v>
      </c>
      <c r="F46" s="78">
        <f ca="1">IF(MOD(ROW(),2)=1,OFFSET(CT!$A$1,INT(ROW()/2)+1,COLUMN(CT!H43)-1),0)</f>
        <v>0</v>
      </c>
      <c r="G46" s="3" t="str">
        <f ca="1">IF(OFFSET(CT!$A$1,INT(ROW()/2)+1,COLUMN(CT!N43)-1)="No","False","True")</f>
        <v>False</v>
      </c>
    </row>
    <row r="47" spans="1:7" hidden="1" x14ac:dyDescent="0.3">
      <c r="A47" s="77" t="str">
        <f ca="1">IF(MOD(ROW(),2)=0,OFFSET(CT!$A$1,INT(ROW()/2)+1,COLUMN(CT!A44)-1),"")</f>
        <v/>
      </c>
      <c r="B47" s="77" t="str">
        <f ca="1">IF(MOD(ROW(),2)=0,OFFSET(CT!$A$1,INT(ROW()/2)+1,COLUMN(CT!B44)-1),"")</f>
        <v/>
      </c>
      <c r="C47" s="77" t="str">
        <f ca="1">IF(MOD(ROW(),2)=0,OFFSET(CT!$A$1,INT(ROW()/2)+1,COLUMN(CT!C44)-1),"")</f>
        <v/>
      </c>
      <c r="D47" s="23" t="str">
        <f ca="1">OFFSET(CT!$A$1,INT(ROW()/2)+1,IF(MOD(ROW(),2)=0,COLUMN(CT!D44)-1,COLUMN(CT!E44)-1))</f>
        <v>1111</v>
      </c>
      <c r="E47" s="78">
        <f ca="1">IF(MOD(ROW(),2)=0,OFFSET(CT!$A$1,INT(ROW()/2)+1,COLUMN(CT!H44)-1),0)</f>
        <v>0</v>
      </c>
      <c r="F47" s="78">
        <f ca="1">IF(MOD(ROW(),2)=1,OFFSET(CT!$A$1,INT(ROW()/2)+1,COLUMN(CT!H44)-1),0)</f>
        <v>40000000</v>
      </c>
      <c r="G47" s="3" t="str">
        <f ca="1">IF(OFFSET(CT!$A$1,INT(ROW()/2)+1,COLUMN(CT!N44)-1)="No","False","True")</f>
        <v>False</v>
      </c>
    </row>
    <row r="48" spans="1:7" hidden="1" x14ac:dyDescent="0.3">
      <c r="A48" s="77">
        <f ca="1">IF(MOD(ROW(),2)=0,OFFSET(CT!$A$1,INT(ROW()/2)+1,COLUMN(CT!A45)-1),"")</f>
        <v>45306</v>
      </c>
      <c r="B48" s="77" t="str">
        <f ca="1">IF(MOD(ROW(),2)=0,OFFSET(CT!$A$1,INT(ROW()/2)+1,COLUMN(CT!B45)-1),"")</f>
        <v>03/PC</v>
      </c>
      <c r="C48" s="77" t="str">
        <f ca="1">IF(MOD(ROW(),2)=0,OFFSET(CT!$A$1,INT(ROW()/2)+1,COLUMN(CT!C45)-1),"")</f>
        <v>Chi lương cho CNSX BT</v>
      </c>
      <c r="D48" s="23" t="str">
        <f ca="1">OFFSET(CT!$A$1,INT(ROW()/2)+1,IF(MOD(ROW(),2)=0,COLUMN(CT!D45)-1,COLUMN(CT!E45)-1))</f>
        <v>3341.04</v>
      </c>
      <c r="E48" s="78">
        <f ca="1">IF(MOD(ROW(),2)=0,OFFSET(CT!$A$1,INT(ROW()/2)+1,COLUMN(CT!H45)-1),0)</f>
        <v>40000000</v>
      </c>
      <c r="F48" s="78">
        <f ca="1">IF(MOD(ROW(),2)=1,OFFSET(CT!$A$1,INT(ROW()/2)+1,COLUMN(CT!H45)-1),0)</f>
        <v>0</v>
      </c>
      <c r="G48" s="3" t="str">
        <f ca="1">IF(OFFSET(CT!$A$1,INT(ROW()/2)+1,COLUMN(CT!N45)-1)="No","False","True")</f>
        <v>False</v>
      </c>
    </row>
    <row r="49" spans="1:7" hidden="1" x14ac:dyDescent="0.3">
      <c r="A49" s="77" t="str">
        <f ca="1">IF(MOD(ROW(),2)=0,OFFSET(CT!$A$1,INT(ROW()/2)+1,COLUMN(CT!A46)-1),"")</f>
        <v/>
      </c>
      <c r="B49" s="77" t="str">
        <f ca="1">IF(MOD(ROW(),2)=0,OFFSET(CT!$A$1,INT(ROW()/2)+1,COLUMN(CT!B46)-1),"")</f>
        <v/>
      </c>
      <c r="C49" s="77" t="str">
        <f ca="1">IF(MOD(ROW(),2)=0,OFFSET(CT!$A$1,INT(ROW()/2)+1,COLUMN(CT!C46)-1),"")</f>
        <v/>
      </c>
      <c r="D49" s="23" t="str">
        <f ca="1">OFFSET(CT!$A$1,INT(ROW()/2)+1,IF(MOD(ROW(),2)=0,COLUMN(CT!D46)-1,COLUMN(CT!E46)-1))</f>
        <v>1111</v>
      </c>
      <c r="E49" s="78">
        <f ca="1">IF(MOD(ROW(),2)=0,OFFSET(CT!$A$1,INT(ROW()/2)+1,COLUMN(CT!H46)-1),0)</f>
        <v>0</v>
      </c>
      <c r="F49" s="78">
        <f ca="1">IF(MOD(ROW(),2)=1,OFFSET(CT!$A$1,INT(ROW()/2)+1,COLUMN(CT!H46)-1),0)</f>
        <v>40000000</v>
      </c>
      <c r="G49" s="3" t="str">
        <f ca="1">IF(OFFSET(CT!$A$1,INT(ROW()/2)+1,COLUMN(CT!N46)-1)="No","False","True")</f>
        <v>False</v>
      </c>
    </row>
    <row r="50" spans="1:7" hidden="1" x14ac:dyDescent="0.3">
      <c r="A50" s="77">
        <f ca="1">IF(MOD(ROW(),2)=0,OFFSET(CT!$A$1,INT(ROW()/2)+1,COLUMN(CT!A47)-1),"")</f>
        <v>45306</v>
      </c>
      <c r="B50" s="77" t="str">
        <f ca="1">IF(MOD(ROW(),2)=0,OFFSET(CT!$A$1,INT(ROW()/2)+1,COLUMN(CT!B47)-1),"")</f>
        <v>03/PC</v>
      </c>
      <c r="C50" s="77" t="str">
        <f ca="1">IF(MOD(ROW(),2)=0,OFFSET(CT!$A$1,INT(ROW()/2)+1,COLUMN(CT!C47)-1),"")</f>
        <v>Chi lương cho CNSX BO</v>
      </c>
      <c r="D50" s="23" t="str">
        <f ca="1">OFFSET(CT!$A$1,INT(ROW()/2)+1,IF(MOD(ROW(),2)=0,COLUMN(CT!D47)-1,COLUMN(CT!E47)-1))</f>
        <v>3341.05</v>
      </c>
      <c r="E50" s="78">
        <f ca="1">IF(MOD(ROW(),2)=0,OFFSET(CT!$A$1,INT(ROW()/2)+1,COLUMN(CT!H47)-1),0)</f>
        <v>40000000</v>
      </c>
      <c r="F50" s="78">
        <f ca="1">IF(MOD(ROW(),2)=1,OFFSET(CT!$A$1,INT(ROW()/2)+1,COLUMN(CT!H47)-1),0)</f>
        <v>0</v>
      </c>
      <c r="G50" s="3" t="str">
        <f ca="1">IF(OFFSET(CT!$A$1,INT(ROW()/2)+1,COLUMN(CT!N47)-1)="No","False","True")</f>
        <v>False</v>
      </c>
    </row>
    <row r="51" spans="1:7" hidden="1" x14ac:dyDescent="0.3">
      <c r="A51" s="77" t="str">
        <f ca="1">IF(MOD(ROW(),2)=0,OFFSET(CT!$A$1,INT(ROW()/2)+1,COLUMN(CT!A48)-1),"")</f>
        <v/>
      </c>
      <c r="B51" s="77" t="str">
        <f ca="1">IF(MOD(ROW(),2)=0,OFFSET(CT!$A$1,INT(ROW()/2)+1,COLUMN(CT!B48)-1),"")</f>
        <v/>
      </c>
      <c r="C51" s="77" t="str">
        <f ca="1">IF(MOD(ROW(),2)=0,OFFSET(CT!$A$1,INT(ROW()/2)+1,COLUMN(CT!C48)-1),"")</f>
        <v/>
      </c>
      <c r="D51" s="23" t="str">
        <f ca="1">OFFSET(CT!$A$1,INT(ROW()/2)+1,IF(MOD(ROW(),2)=0,COLUMN(CT!D48)-1,COLUMN(CT!E48)-1))</f>
        <v>1111</v>
      </c>
      <c r="E51" s="78">
        <f ca="1">IF(MOD(ROW(),2)=0,OFFSET(CT!$A$1,INT(ROW()/2)+1,COLUMN(CT!H48)-1),0)</f>
        <v>0</v>
      </c>
      <c r="F51" s="78">
        <f ca="1">IF(MOD(ROW(),2)=1,OFFSET(CT!$A$1,INT(ROW()/2)+1,COLUMN(CT!H48)-1),0)</f>
        <v>40000000</v>
      </c>
      <c r="G51" s="3" t="str">
        <f ca="1">IF(OFFSET(CT!$A$1,INT(ROW()/2)+1,COLUMN(CT!N48)-1)="No","False","True")</f>
        <v>False</v>
      </c>
    </row>
    <row r="52" spans="1:7" x14ac:dyDescent="0.3">
      <c r="A52" s="77">
        <f ca="1">IF(MOD(ROW(),2)=0,OFFSET(CT!$A$1,INT(ROW()/2)+1,COLUMN(CT!A49)-1),"")</f>
        <v>45307</v>
      </c>
      <c r="B52" s="77" t="str">
        <f ca="1">IF(MOD(ROW(),2)=0,OFFSET(CT!$A$1,INT(ROW()/2)+1,COLUMN(CT!B49)-1),"")</f>
        <v>01/BN</v>
      </c>
      <c r="C52" s="77" t="str">
        <f ca="1">IF(MOD(ROW(),2)=0,OFFSET(CT!$A$1,INT(ROW()/2)+1,COLUMN(CT!C49)-1),"")</f>
        <v>Trả Cty CP Mai Lan HĐ1170</v>
      </c>
      <c r="D52" s="23" t="str">
        <f ca="1">OFFSET(CT!$A$1,INT(ROW()/2)+1,IF(MOD(ROW(),2)=0,COLUMN(CT!D49)-1,COLUMN(CT!E49)-1))</f>
        <v>3311.01</v>
      </c>
      <c r="E52" s="78">
        <f ca="1">IF(MOD(ROW(),2)=0,OFFSET(CT!$A$1,INT(ROW()/2)+1,COLUMN(CT!H49)-1),0)</f>
        <v>40000000</v>
      </c>
      <c r="F52" s="78">
        <f ca="1">IF(MOD(ROW(),2)=1,OFFSET(CT!$A$1,INT(ROW()/2)+1,COLUMN(CT!H49)-1),0)</f>
        <v>0</v>
      </c>
      <c r="G52" s="153" t="str">
        <f ca="1">IF(OFFSET(CT!$A$1,INT(ROW()/2)+1,COLUMN(CT!N49)-1)="No","False","True")</f>
        <v>True</v>
      </c>
    </row>
    <row r="53" spans="1:7" x14ac:dyDescent="0.3">
      <c r="A53" s="77" t="str">
        <f ca="1">IF(MOD(ROW(),2)=0,OFFSET(CT!$A$1,INT(ROW()/2)+1,COLUMN(CT!A50)-1),"")</f>
        <v/>
      </c>
      <c r="B53" s="77" t="str">
        <f ca="1">IF(MOD(ROW(),2)=0,OFFSET(CT!$A$1,INT(ROW()/2)+1,COLUMN(CT!B50)-1),"")</f>
        <v/>
      </c>
      <c r="C53" s="77" t="str">
        <f ca="1">IF(MOD(ROW(),2)=0,OFFSET(CT!$A$1,INT(ROW()/2)+1,COLUMN(CT!C50)-1),"")</f>
        <v/>
      </c>
      <c r="D53" s="23" t="str">
        <f ca="1">OFFSET(CT!$A$1,INT(ROW()/2)+1,IF(MOD(ROW(),2)=0,COLUMN(CT!D50)-1,COLUMN(CT!E50)-1))</f>
        <v>1121.01</v>
      </c>
      <c r="E53" s="78">
        <f ca="1">IF(MOD(ROW(),2)=0,OFFSET(CT!$A$1,INT(ROW()/2)+1,COLUMN(CT!H50)-1),0)</f>
        <v>0</v>
      </c>
      <c r="F53" s="78">
        <f ca="1">IF(MOD(ROW(),2)=1,OFFSET(CT!$A$1,INT(ROW()/2)+1,COLUMN(CT!H50)-1),0)</f>
        <v>40000000</v>
      </c>
      <c r="G53" s="153" t="str">
        <f ca="1">IF(OFFSET(CT!$A$1,INT(ROW()/2)+1,COLUMN(CT!N50)-1)="No","False","True")</f>
        <v>True</v>
      </c>
    </row>
    <row r="54" spans="1:7" x14ac:dyDescent="0.3">
      <c r="A54" s="77">
        <f ca="1">IF(MOD(ROW(),2)=0,OFFSET(CT!$A$1,INT(ROW()/2)+1,COLUMN(CT!A51)-1),"")</f>
        <v>45307</v>
      </c>
      <c r="B54" s="77" t="str">
        <f ca="1">IF(MOD(ROW(),2)=0,OFFSET(CT!$A$1,INT(ROW()/2)+1,COLUMN(CT!B51)-1),"")</f>
        <v>02/BN</v>
      </c>
      <c r="C54" s="77" t="str">
        <f ca="1">IF(MOD(ROW(),2)=0,OFFSET(CT!$A$1,INT(ROW()/2)+1,COLUMN(CT!C51)-1),"")</f>
        <v>Chi đặt cọc mua hàng</v>
      </c>
      <c r="D54" s="23" t="str">
        <f ca="1">OFFSET(CT!$A$1,INT(ROW()/2)+1,IF(MOD(ROW(),2)=0,COLUMN(CT!D51)-1,COLUMN(CT!E51)-1))</f>
        <v>3311.03</v>
      </c>
      <c r="E54" s="78">
        <f ca="1">IF(MOD(ROW(),2)=0,OFFSET(CT!$A$1,INT(ROW()/2)+1,COLUMN(CT!H51)-1),0)</f>
        <v>50000000</v>
      </c>
      <c r="F54" s="78">
        <f ca="1">IF(MOD(ROW(),2)=1,OFFSET(CT!$A$1,INT(ROW()/2)+1,COLUMN(CT!H51)-1),0)</f>
        <v>0</v>
      </c>
      <c r="G54" s="153" t="str">
        <f ca="1">IF(OFFSET(CT!$A$1,INT(ROW()/2)+1,COLUMN(CT!N51)-1)="No","False","True")</f>
        <v>True</v>
      </c>
    </row>
    <row r="55" spans="1:7" x14ac:dyDescent="0.3">
      <c r="A55" s="77" t="str">
        <f ca="1">IF(MOD(ROW(),2)=0,OFFSET(CT!$A$1,INT(ROW()/2)+1,COLUMN(CT!A52)-1),"")</f>
        <v/>
      </c>
      <c r="B55" s="77" t="str">
        <f ca="1">IF(MOD(ROW(),2)=0,OFFSET(CT!$A$1,INT(ROW()/2)+1,COLUMN(CT!B52)-1),"")</f>
        <v/>
      </c>
      <c r="C55" s="77" t="str">
        <f ca="1">IF(MOD(ROW(),2)=0,OFFSET(CT!$A$1,INT(ROW()/2)+1,COLUMN(CT!C52)-1),"")</f>
        <v/>
      </c>
      <c r="D55" s="23" t="str">
        <f ca="1">OFFSET(CT!$A$1,INT(ROW()/2)+1,IF(MOD(ROW(),2)=0,COLUMN(CT!D52)-1,COLUMN(CT!E52)-1))</f>
        <v>1121.01</v>
      </c>
      <c r="E55" s="78">
        <f ca="1">IF(MOD(ROW(),2)=0,OFFSET(CT!$A$1,INT(ROW()/2)+1,COLUMN(CT!H52)-1),0)</f>
        <v>0</v>
      </c>
      <c r="F55" s="78">
        <f ca="1">IF(MOD(ROW(),2)=1,OFFSET(CT!$A$1,INT(ROW()/2)+1,COLUMN(CT!H52)-1),0)</f>
        <v>50000000</v>
      </c>
      <c r="G55" s="153" t="str">
        <f ca="1">IF(OFFSET(CT!$A$1,INT(ROW()/2)+1,COLUMN(CT!N52)-1)="No","False","True")</f>
        <v>True</v>
      </c>
    </row>
    <row r="56" spans="1:7" x14ac:dyDescent="0.3">
      <c r="A56" s="77">
        <f ca="1">IF(MOD(ROW(),2)=0,OFFSET(CT!$A$1,INT(ROW()/2)+1,COLUMN(CT!A53)-1),"")</f>
        <v>45308</v>
      </c>
      <c r="B56" s="77" t="str">
        <f ca="1">IF(MOD(ROW(),2)=0,OFFSET(CT!$A$1,INT(ROW()/2)+1,COLUMN(CT!B53)-1),"")</f>
        <v>02/XVL</v>
      </c>
      <c r="C56" s="77" t="str">
        <f ca="1">IF(MOD(ROW(),2)=0,OFFSET(CT!$A$1,INT(ROW()/2)+1,COLUMN(CT!C53)-1),"")</f>
        <v>Xuất ván keo 502 sx BTròn</v>
      </c>
      <c r="D56" s="23" t="str">
        <f ca="1">OFFSET(CT!$A$1,INT(ROW()/2)+1,IF(MOD(ROW(),2)=0,COLUMN(CT!D53)-1,COLUMN(CT!E53)-1))</f>
        <v>6211.03</v>
      </c>
      <c r="E56" s="78">
        <f ca="1">IF(MOD(ROW(),2)=0,OFFSET(CT!$A$1,INT(ROW()/2)+1,COLUMN(CT!H53)-1),0)</f>
        <v>46000</v>
      </c>
      <c r="F56" s="78">
        <f ca="1">IF(MOD(ROW(),2)=1,OFFSET(CT!$A$1,INT(ROW()/2)+1,COLUMN(CT!H53)-1),0)</f>
        <v>0</v>
      </c>
      <c r="G56" s="153" t="str">
        <f ca="1">IF(OFFSET(CT!$A$1,INT(ROW()/2)+1,COLUMN(CT!N53)-1)="No","False","True")</f>
        <v>True</v>
      </c>
    </row>
    <row r="57" spans="1:7" x14ac:dyDescent="0.3">
      <c r="A57" s="77" t="str">
        <f ca="1">IF(MOD(ROW(),2)=0,OFFSET(CT!$A$1,INT(ROW()/2)+1,COLUMN(CT!A54)-1),"")</f>
        <v/>
      </c>
      <c r="B57" s="77" t="str">
        <f ca="1">IF(MOD(ROW(),2)=0,OFFSET(CT!$A$1,INT(ROW()/2)+1,COLUMN(CT!B54)-1),"")</f>
        <v/>
      </c>
      <c r="C57" s="77" t="str">
        <f ca="1">IF(MOD(ROW(),2)=0,OFFSET(CT!$A$1,INT(ROW()/2)+1,COLUMN(CT!C54)-1),"")</f>
        <v/>
      </c>
      <c r="D57" s="23" t="str">
        <f ca="1">OFFSET(CT!$A$1,INT(ROW()/2)+1,IF(MOD(ROW(),2)=0,COLUMN(CT!D54)-1,COLUMN(CT!E54)-1))</f>
        <v>1521.0303</v>
      </c>
      <c r="E57" s="78">
        <f ca="1">IF(MOD(ROW(),2)=0,OFFSET(CT!$A$1,INT(ROW()/2)+1,COLUMN(CT!H54)-1),0)</f>
        <v>0</v>
      </c>
      <c r="F57" s="78">
        <f ca="1">IF(MOD(ROW(),2)=1,OFFSET(CT!$A$1,INT(ROW()/2)+1,COLUMN(CT!H54)-1),0)</f>
        <v>46000</v>
      </c>
      <c r="G57" s="153" t="str">
        <f ca="1">IF(OFFSET(CT!$A$1,INT(ROW()/2)+1,COLUMN(CT!N54)-1)="No","False","True")</f>
        <v>True</v>
      </c>
    </row>
    <row r="58" spans="1:7" x14ac:dyDescent="0.3">
      <c r="A58" s="77">
        <f ca="1">IF(MOD(ROW(),2)=0,OFFSET(CT!$A$1,INT(ROW()/2)+1,COLUMN(CT!A55)-1),"")</f>
        <v>45308</v>
      </c>
      <c r="B58" s="77" t="str">
        <f ca="1">IF(MOD(ROW(),2)=0,OFFSET(CT!$A$1,INT(ROW()/2)+1,COLUMN(CT!B55)-1),"")</f>
        <v>03/XVL</v>
      </c>
      <c r="C58" s="77" t="str">
        <f ca="1">IF(MOD(ROW(),2)=0,OFFSET(CT!$A$1,INT(ROW()/2)+1,COLUMN(CT!C55)-1),"")</f>
        <v>Xuất dầu thông sx GTV</v>
      </c>
      <c r="D58" s="23" t="str">
        <f ca="1">OFFSET(CT!$A$1,INT(ROW()/2)+1,IF(MOD(ROW(),2)=0,COLUMN(CT!D55)-1,COLUMN(CT!E55)-1))</f>
        <v>6211.01</v>
      </c>
      <c r="E58" s="78">
        <f ca="1">IF(MOD(ROW(),2)=0,OFFSET(CT!$A$1,INT(ROW()/2)+1,COLUMN(CT!H55)-1),0)</f>
        <v>282220</v>
      </c>
      <c r="F58" s="78">
        <f ca="1">IF(MOD(ROW(),2)=1,OFFSET(CT!$A$1,INT(ROW()/2)+1,COLUMN(CT!H55)-1),0)</f>
        <v>0</v>
      </c>
      <c r="G58" s="153" t="str">
        <f ca="1">IF(OFFSET(CT!$A$1,INT(ROW()/2)+1,COLUMN(CT!N55)-1)="No","False","True")</f>
        <v>True</v>
      </c>
    </row>
    <row r="59" spans="1:7" x14ac:dyDescent="0.3">
      <c r="A59" s="77" t="str">
        <f ca="1">IF(MOD(ROW(),2)=0,OFFSET(CT!$A$1,INT(ROW()/2)+1,COLUMN(CT!A56)-1),"")</f>
        <v/>
      </c>
      <c r="B59" s="77" t="str">
        <f ca="1">IF(MOD(ROW(),2)=0,OFFSET(CT!$A$1,INT(ROW()/2)+1,COLUMN(CT!B56)-1),"")</f>
        <v/>
      </c>
      <c r="C59" s="77" t="str">
        <f ca="1">IF(MOD(ROW(),2)=0,OFFSET(CT!$A$1,INT(ROW()/2)+1,COLUMN(CT!C56)-1),"")</f>
        <v/>
      </c>
      <c r="D59" s="23" t="str">
        <f ca="1">OFFSET(CT!$A$1,INT(ROW()/2)+1,IF(MOD(ROW(),2)=0,COLUMN(CT!D56)-1,COLUMN(CT!E56)-1))</f>
        <v>1521.0403</v>
      </c>
      <c r="E59" s="78">
        <f ca="1">IF(MOD(ROW(),2)=0,OFFSET(CT!$A$1,INT(ROW()/2)+1,COLUMN(CT!H56)-1),0)</f>
        <v>0</v>
      </c>
      <c r="F59" s="78">
        <f ca="1">IF(MOD(ROW(),2)=1,OFFSET(CT!$A$1,INT(ROW()/2)+1,COLUMN(CT!H56)-1),0)</f>
        <v>282220</v>
      </c>
      <c r="G59" s="153" t="str">
        <f ca="1">IF(OFFSET(CT!$A$1,INT(ROW()/2)+1,COLUMN(CT!N56)-1)="No","False","True")</f>
        <v>True</v>
      </c>
    </row>
    <row r="60" spans="1:7" x14ac:dyDescent="0.3">
      <c r="A60" s="77">
        <f ca="1">IF(MOD(ROW(),2)=0,OFFSET(CT!$A$1,INT(ROW()/2)+1,COLUMN(CT!A57)-1),"")</f>
        <v>45308</v>
      </c>
      <c r="B60" s="77" t="str">
        <f ca="1">IF(MOD(ROW(),2)=0,OFFSET(CT!$A$1,INT(ROW()/2)+1,COLUMN(CT!B57)-1),"")</f>
        <v>03/XVL</v>
      </c>
      <c r="C60" s="77" t="str">
        <f ca="1">IF(MOD(ROW(),2)=0,OFFSET(CT!$A$1,INT(ROW()/2)+1,COLUMN(CT!C57)-1),"")</f>
        <v>Xuất AC chuối sx GTV</v>
      </c>
      <c r="D60" s="23" t="str">
        <f ca="1">OFFSET(CT!$A$1,INT(ROW()/2)+1,IF(MOD(ROW(),2)=0,COLUMN(CT!D57)-1,COLUMN(CT!E57)-1))</f>
        <v>6211.01</v>
      </c>
      <c r="E60" s="78">
        <f ca="1">IF(MOD(ROW(),2)=0,OFFSET(CT!$A$1,INT(ROW()/2)+1,COLUMN(CT!H57)-1),0)</f>
        <v>469980</v>
      </c>
      <c r="F60" s="78">
        <f ca="1">IF(MOD(ROW(),2)=1,OFFSET(CT!$A$1,INT(ROW()/2)+1,COLUMN(CT!H57)-1),0)</f>
        <v>0</v>
      </c>
      <c r="G60" s="153" t="str">
        <f ca="1">IF(OFFSET(CT!$A$1,INT(ROW()/2)+1,COLUMN(CT!N57)-1)="No","False","True")</f>
        <v>True</v>
      </c>
    </row>
    <row r="61" spans="1:7" x14ac:dyDescent="0.3">
      <c r="A61" s="77" t="str">
        <f ca="1">IF(MOD(ROW(),2)=0,OFFSET(CT!$A$1,INT(ROW()/2)+1,COLUMN(CT!A58)-1),"")</f>
        <v/>
      </c>
      <c r="B61" s="77" t="str">
        <f ca="1">IF(MOD(ROW(),2)=0,OFFSET(CT!$A$1,INT(ROW()/2)+1,COLUMN(CT!B58)-1),"")</f>
        <v/>
      </c>
      <c r="C61" s="77" t="str">
        <f ca="1">IF(MOD(ROW(),2)=0,OFFSET(CT!$A$1,INT(ROW()/2)+1,COLUMN(CT!C58)-1),"")</f>
        <v/>
      </c>
      <c r="D61" s="23" t="str">
        <f ca="1">OFFSET(CT!$A$1,INT(ROW()/2)+1,IF(MOD(ROW(),2)=0,COLUMN(CT!D58)-1,COLUMN(CT!E58)-1))</f>
        <v>1521.0401</v>
      </c>
      <c r="E61" s="78">
        <f ca="1">IF(MOD(ROW(),2)=0,OFFSET(CT!$A$1,INT(ROW()/2)+1,COLUMN(CT!H58)-1),0)</f>
        <v>0</v>
      </c>
      <c r="F61" s="78">
        <f ca="1">IF(MOD(ROW(),2)=1,OFFSET(CT!$A$1,INT(ROW()/2)+1,COLUMN(CT!H58)-1),0)</f>
        <v>469980</v>
      </c>
      <c r="G61" s="153" t="str">
        <f ca="1">IF(OFFSET(CT!$A$1,INT(ROW()/2)+1,COLUMN(CT!N58)-1)="No","False","True")</f>
        <v>True</v>
      </c>
    </row>
    <row r="62" spans="1:7" x14ac:dyDescent="0.3">
      <c r="A62" s="77">
        <f ca="1">IF(MOD(ROW(),2)=0,OFFSET(CT!$A$1,INT(ROW()/2)+1,COLUMN(CT!A59)-1),"")</f>
        <v>45308</v>
      </c>
      <c r="B62" s="77" t="str">
        <f ca="1">IF(MOD(ROW(),2)=0,OFFSET(CT!$A$1,INT(ROW()/2)+1,COLUMN(CT!B59)-1),"")</f>
        <v>02/XVL</v>
      </c>
      <c r="C62" s="77" t="str">
        <f ca="1">IF(MOD(ROW(),2)=0,OFFSET(CT!$A$1,INT(ROW()/2)+1,COLUMN(CT!C59)-1),"")</f>
        <v>Xuất ván MDF 9x6x8 sx BTròn</v>
      </c>
      <c r="D62" s="23" t="str">
        <f ca="1">OFFSET(CT!$A$1,INT(ROW()/2)+1,IF(MOD(ROW(),2)=0,COLUMN(CT!D59)-1,COLUMN(CT!E59)-1))</f>
        <v>6211.03</v>
      </c>
      <c r="E62" s="78">
        <f ca="1">IF(MOD(ROW(),2)=0,OFFSET(CT!$A$1,INT(ROW()/2)+1,COLUMN(CT!H59)-1),0)</f>
        <v>3600000</v>
      </c>
      <c r="F62" s="78">
        <f ca="1">IF(MOD(ROW(),2)=1,OFFSET(CT!$A$1,INT(ROW()/2)+1,COLUMN(CT!H59)-1),0)</f>
        <v>0</v>
      </c>
      <c r="G62" s="153" t="str">
        <f ca="1">IF(OFFSET(CT!$A$1,INT(ROW()/2)+1,COLUMN(CT!N59)-1)="No","False","True")</f>
        <v>True</v>
      </c>
    </row>
    <row r="63" spans="1:7" x14ac:dyDescent="0.3">
      <c r="A63" s="77" t="str">
        <f ca="1">IF(MOD(ROW(),2)=0,OFFSET(CT!$A$1,INT(ROW()/2)+1,COLUMN(CT!A60)-1),"")</f>
        <v/>
      </c>
      <c r="B63" s="77" t="str">
        <f ca="1">IF(MOD(ROW(),2)=0,OFFSET(CT!$A$1,INT(ROW()/2)+1,COLUMN(CT!B60)-1),"")</f>
        <v/>
      </c>
      <c r="C63" s="77" t="str">
        <f ca="1">IF(MOD(ROW(),2)=0,OFFSET(CT!$A$1,INT(ROW()/2)+1,COLUMN(CT!C60)-1),"")</f>
        <v/>
      </c>
      <c r="D63" s="23" t="str">
        <f ca="1">OFFSET(CT!$A$1,INT(ROW()/2)+1,IF(MOD(ROW(),2)=0,COLUMN(CT!D60)-1,COLUMN(CT!E60)-1))</f>
        <v>1521.0201</v>
      </c>
      <c r="E63" s="78">
        <f ca="1">IF(MOD(ROW(),2)=0,OFFSET(CT!$A$1,INT(ROW()/2)+1,COLUMN(CT!H60)-1),0)</f>
        <v>0</v>
      </c>
      <c r="F63" s="78">
        <f ca="1">IF(MOD(ROW(),2)=1,OFFSET(CT!$A$1,INT(ROW()/2)+1,COLUMN(CT!H60)-1),0)</f>
        <v>3600000</v>
      </c>
      <c r="G63" s="153" t="str">
        <f ca="1">IF(OFFSET(CT!$A$1,INT(ROW()/2)+1,COLUMN(CT!N60)-1)="No","False","True")</f>
        <v>True</v>
      </c>
    </row>
    <row r="64" spans="1:7" x14ac:dyDescent="0.3">
      <c r="A64" s="77">
        <f ca="1">IF(MOD(ROW(),2)=0,OFFSET(CT!$A$1,INT(ROW()/2)+1,COLUMN(CT!A61)-1),"")</f>
        <v>45309</v>
      </c>
      <c r="B64" s="77" t="str">
        <f ca="1">IF(MOD(ROW(),2)=0,OFFSET(CT!$A$1,INT(ROW()/2)+1,COLUMN(CT!B61)-1),"")</f>
        <v>01/XCC</v>
      </c>
      <c r="C64" s="77" t="str">
        <f ca="1">IF(MOD(ROW(),2)=0,OFFSET(CT!$A$1,INT(ROW()/2)+1,COLUMN(CT!C61)-1),"")</f>
        <v>Xuất kệ tủ</v>
      </c>
      <c r="D64" s="23" t="str">
        <f ca="1">OFFSET(CT!$A$1,INT(ROW()/2)+1,IF(MOD(ROW(),2)=0,COLUMN(CT!D61)-1,COLUMN(CT!E61)-1))</f>
        <v>2421.02</v>
      </c>
      <c r="E64" s="78">
        <f ca="1">IF(MOD(ROW(),2)=0,OFFSET(CT!$A$1,INT(ROW()/2)+1,COLUMN(CT!H61)-1),0)</f>
        <v>1000000</v>
      </c>
      <c r="F64" s="78">
        <f ca="1">IF(MOD(ROW(),2)=1,OFFSET(CT!$A$1,INT(ROW()/2)+1,COLUMN(CT!H61)-1),0)</f>
        <v>0</v>
      </c>
      <c r="G64" s="153" t="str">
        <f ca="1">IF(OFFSET(CT!$A$1,INT(ROW()/2)+1,COLUMN(CT!N61)-1)="No","False","True")</f>
        <v>True</v>
      </c>
    </row>
    <row r="65" spans="1:7" x14ac:dyDescent="0.3">
      <c r="A65" s="77" t="str">
        <f ca="1">IF(MOD(ROW(),2)=0,OFFSET(CT!$A$1,INT(ROW()/2)+1,COLUMN(CT!A62)-1),"")</f>
        <v/>
      </c>
      <c r="B65" s="77" t="str">
        <f ca="1">IF(MOD(ROW(),2)=0,OFFSET(CT!$A$1,INT(ROW()/2)+1,COLUMN(CT!B62)-1),"")</f>
        <v/>
      </c>
      <c r="C65" s="77" t="str">
        <f ca="1">IF(MOD(ROW(),2)=0,OFFSET(CT!$A$1,INT(ROW()/2)+1,COLUMN(CT!C62)-1),"")</f>
        <v/>
      </c>
      <c r="D65" s="23" t="str">
        <f ca="1">OFFSET(CT!$A$1,INT(ROW()/2)+1,IF(MOD(ROW(),2)=0,COLUMN(CT!D62)-1,COLUMN(CT!E62)-1))</f>
        <v>1531.02</v>
      </c>
      <c r="E65" s="78">
        <f ca="1">IF(MOD(ROW(),2)=0,OFFSET(CT!$A$1,INT(ROW()/2)+1,COLUMN(CT!H62)-1),0)</f>
        <v>0</v>
      </c>
      <c r="F65" s="78">
        <f ca="1">IF(MOD(ROW(),2)=1,OFFSET(CT!$A$1,INT(ROW()/2)+1,COLUMN(CT!H62)-1),0)</f>
        <v>1000000</v>
      </c>
      <c r="G65" s="153" t="str">
        <f ca="1">IF(OFFSET(CT!$A$1,INT(ROW()/2)+1,COLUMN(CT!N62)-1)="No","False","True")</f>
        <v>True</v>
      </c>
    </row>
    <row r="66" spans="1:7" x14ac:dyDescent="0.3">
      <c r="A66" s="77">
        <f ca="1">IF(MOD(ROW(),2)=0,OFFSET(CT!$A$1,INT(ROW()/2)+1,COLUMN(CT!A63)-1),"")</f>
        <v>45309</v>
      </c>
      <c r="B66" s="77" t="str">
        <f ca="1">IF(MOD(ROW(),2)=0,OFFSET(CT!$A$1,INT(ROW()/2)+1,COLUMN(CT!B63)-1),"")</f>
        <v>01/XCC</v>
      </c>
      <c r="C66" s="77" t="str">
        <f ca="1">IF(MOD(ROW(),2)=0,OFFSET(CT!$A$1,INT(ROW()/2)+1,COLUMN(CT!C63)-1),"")</f>
        <v>Xuất máy tính Casio</v>
      </c>
      <c r="D66" s="23" t="str">
        <f ca="1">OFFSET(CT!$A$1,INT(ROW()/2)+1,IF(MOD(ROW(),2)=0,COLUMN(CT!D63)-1,COLUMN(CT!E63)-1))</f>
        <v>2421.01</v>
      </c>
      <c r="E66" s="78">
        <f ca="1">IF(MOD(ROW(),2)=0,OFFSET(CT!$A$1,INT(ROW()/2)+1,COLUMN(CT!H63)-1),0)</f>
        <v>2500000</v>
      </c>
      <c r="F66" s="78">
        <f ca="1">IF(MOD(ROW(),2)=1,OFFSET(CT!$A$1,INT(ROW()/2)+1,COLUMN(CT!H63)-1),0)</f>
        <v>0</v>
      </c>
      <c r="G66" s="153" t="str">
        <f ca="1">IF(OFFSET(CT!$A$1,INT(ROW()/2)+1,COLUMN(CT!N63)-1)="No","False","True")</f>
        <v>True</v>
      </c>
    </row>
    <row r="67" spans="1:7" x14ac:dyDescent="0.3">
      <c r="A67" s="77" t="str">
        <f ca="1">IF(MOD(ROW(),2)=0,OFFSET(CT!$A$1,INT(ROW()/2)+1,COLUMN(CT!A64)-1),"")</f>
        <v/>
      </c>
      <c r="B67" s="77" t="str">
        <f ca="1">IF(MOD(ROW(),2)=0,OFFSET(CT!$A$1,INT(ROW()/2)+1,COLUMN(CT!B64)-1),"")</f>
        <v/>
      </c>
      <c r="C67" s="77" t="str">
        <f ca="1">IF(MOD(ROW(),2)=0,OFFSET(CT!$A$1,INT(ROW()/2)+1,COLUMN(CT!C64)-1),"")</f>
        <v/>
      </c>
      <c r="D67" s="23" t="str">
        <f ca="1">OFFSET(CT!$A$1,INT(ROW()/2)+1,IF(MOD(ROW(),2)=0,COLUMN(CT!D64)-1,COLUMN(CT!E64)-1))</f>
        <v>1531.01</v>
      </c>
      <c r="E67" s="78">
        <f ca="1">IF(MOD(ROW(),2)=0,OFFSET(CT!$A$1,INT(ROW()/2)+1,COLUMN(CT!H64)-1),0)</f>
        <v>0</v>
      </c>
      <c r="F67" s="78">
        <f ca="1">IF(MOD(ROW(),2)=1,OFFSET(CT!$A$1,INT(ROW()/2)+1,COLUMN(CT!H64)-1),0)</f>
        <v>2500000</v>
      </c>
      <c r="G67" s="153" t="str">
        <f ca="1">IF(OFFSET(CT!$A$1,INT(ROW()/2)+1,COLUMN(CT!N64)-1)="No","False","True")</f>
        <v>True</v>
      </c>
    </row>
    <row r="68" spans="1:7" x14ac:dyDescent="0.3">
      <c r="A68" s="77">
        <f ca="1">IF(MOD(ROW(),2)=0,OFFSET(CT!$A$1,INT(ROW()/2)+1,COLUMN(CT!A65)-1),"")</f>
        <v>45310</v>
      </c>
      <c r="B68" s="77" t="str">
        <f ca="1">IF(MOD(ROW(),2)=0,OFFSET(CT!$A$1,INT(ROW()/2)+1,COLUMN(CT!B65)-1),"")</f>
        <v>02/XCC</v>
      </c>
      <c r="C68" s="77" t="str">
        <f ca="1">IF(MOD(ROW(),2)=0,OFFSET(CT!$A$1,INT(ROW()/2)+1,COLUMN(CT!C65)-1),"")</f>
        <v>Xuất lưỡi cưa cho PXSX</v>
      </c>
      <c r="D68" s="23" t="str">
        <f ca="1">OFFSET(CT!$A$1,INT(ROW()/2)+1,IF(MOD(ROW(),2)=0,COLUMN(CT!D65)-1,COLUMN(CT!E65)-1))</f>
        <v>6273</v>
      </c>
      <c r="E68" s="78">
        <f ca="1">IF(MOD(ROW(),2)=0,OFFSET(CT!$A$1,INT(ROW()/2)+1,COLUMN(CT!H65)-1),0)</f>
        <v>100000</v>
      </c>
      <c r="F68" s="78">
        <f ca="1">IF(MOD(ROW(),2)=1,OFFSET(CT!$A$1,INT(ROW()/2)+1,COLUMN(CT!H65)-1),0)</f>
        <v>0</v>
      </c>
      <c r="G68" s="153" t="str">
        <f ca="1">IF(OFFSET(CT!$A$1,INT(ROW()/2)+1,COLUMN(CT!N65)-1)="No","False","True")</f>
        <v>True</v>
      </c>
    </row>
    <row r="69" spans="1:7" x14ac:dyDescent="0.3">
      <c r="A69" s="77" t="str">
        <f ca="1">IF(MOD(ROW(),2)=0,OFFSET(CT!$A$1,INT(ROW()/2)+1,COLUMN(CT!A66)-1),"")</f>
        <v/>
      </c>
      <c r="B69" s="77" t="str">
        <f ca="1">IF(MOD(ROW(),2)=0,OFFSET(CT!$A$1,INT(ROW()/2)+1,COLUMN(CT!B66)-1),"")</f>
        <v/>
      </c>
      <c r="C69" s="77" t="str">
        <f ca="1">IF(MOD(ROW(),2)=0,OFFSET(CT!$A$1,INT(ROW()/2)+1,COLUMN(CT!C66)-1),"")</f>
        <v/>
      </c>
      <c r="D69" s="23" t="str">
        <f ca="1">OFFSET(CT!$A$1,INT(ROW()/2)+1,IF(MOD(ROW(),2)=0,COLUMN(CT!D66)-1,COLUMN(CT!E66)-1))</f>
        <v>1531.03</v>
      </c>
      <c r="E69" s="78">
        <f ca="1">IF(MOD(ROW(),2)=0,OFFSET(CT!$A$1,INT(ROW()/2)+1,COLUMN(CT!H66)-1),0)</f>
        <v>0</v>
      </c>
      <c r="F69" s="78">
        <f ca="1">IF(MOD(ROW(),2)=1,OFFSET(CT!$A$1,INT(ROW()/2)+1,COLUMN(CT!H66)-1),0)</f>
        <v>100000</v>
      </c>
      <c r="G69" s="153" t="str">
        <f ca="1">IF(OFFSET(CT!$A$1,INT(ROW()/2)+1,COLUMN(CT!N66)-1)="No","False","True")</f>
        <v>True</v>
      </c>
    </row>
    <row r="70" spans="1:7" x14ac:dyDescent="0.3">
      <c r="A70" s="77">
        <f ca="1">IF(MOD(ROW(),2)=0,OFFSET(CT!$A$1,INT(ROW()/2)+1,COLUMN(CT!A67)-1),"")</f>
        <v>45310</v>
      </c>
      <c r="B70" s="77" t="str">
        <f ca="1">IF(MOD(ROW(),2)=0,OFFSET(CT!$A$1,INT(ROW()/2)+1,COLUMN(CT!B67)-1),"")</f>
        <v>02/XCC</v>
      </c>
      <c r="C70" s="77" t="str">
        <f ca="1">IF(MOD(ROW(),2)=0,OFFSET(CT!$A$1,INT(ROW()/2)+1,COLUMN(CT!C67)-1),"")</f>
        <v>Xuất mũi khoan cho PXSX</v>
      </c>
      <c r="D70" s="23" t="str">
        <f ca="1">OFFSET(CT!$A$1,INT(ROW()/2)+1,IF(MOD(ROW(),2)=0,COLUMN(CT!D67)-1,COLUMN(CT!E67)-1))</f>
        <v>6273</v>
      </c>
      <c r="E70" s="78">
        <f ca="1">IF(MOD(ROW(),2)=0,OFFSET(CT!$A$1,INT(ROW()/2)+1,COLUMN(CT!H67)-1),0)</f>
        <v>100000</v>
      </c>
      <c r="F70" s="78">
        <f ca="1">IF(MOD(ROW(),2)=1,OFFSET(CT!$A$1,INT(ROW()/2)+1,COLUMN(CT!H67)-1),0)</f>
        <v>0</v>
      </c>
      <c r="G70" s="153" t="str">
        <f ca="1">IF(OFFSET(CT!$A$1,INT(ROW()/2)+1,COLUMN(CT!N67)-1)="No","False","True")</f>
        <v>True</v>
      </c>
    </row>
    <row r="71" spans="1:7" x14ac:dyDescent="0.3">
      <c r="A71" s="77" t="str">
        <f ca="1">IF(MOD(ROW(),2)=0,OFFSET(CT!$A$1,INT(ROW()/2)+1,COLUMN(CT!A68)-1),"")</f>
        <v/>
      </c>
      <c r="B71" s="77" t="str">
        <f ca="1">IF(MOD(ROW(),2)=0,OFFSET(CT!$A$1,INT(ROW()/2)+1,COLUMN(CT!B68)-1),"")</f>
        <v/>
      </c>
      <c r="C71" s="77" t="str">
        <f ca="1">IF(MOD(ROW(),2)=0,OFFSET(CT!$A$1,INT(ROW()/2)+1,COLUMN(CT!C68)-1),"")</f>
        <v/>
      </c>
      <c r="D71" s="23" t="str">
        <f ca="1">OFFSET(CT!$A$1,INT(ROW()/2)+1,IF(MOD(ROW(),2)=0,COLUMN(CT!D68)-1,COLUMN(CT!E68)-1))</f>
        <v>1531.04</v>
      </c>
      <c r="E71" s="78">
        <f ca="1">IF(MOD(ROW(),2)=0,OFFSET(CT!$A$1,INT(ROW()/2)+1,COLUMN(CT!H68)-1),0)</f>
        <v>0</v>
      </c>
      <c r="F71" s="78">
        <f ca="1">IF(MOD(ROW(),2)=1,OFFSET(CT!$A$1,INT(ROW()/2)+1,COLUMN(CT!H68)-1),0)</f>
        <v>100000</v>
      </c>
      <c r="G71" s="153" t="str">
        <f ca="1">IF(OFFSET(CT!$A$1,INT(ROW()/2)+1,COLUMN(CT!N68)-1)="No","False","True")</f>
        <v>True</v>
      </c>
    </row>
    <row r="72" spans="1:7" x14ac:dyDescent="0.3">
      <c r="A72" s="77">
        <f ca="1">IF(MOD(ROW(),2)=0,OFFSET(CT!$A$1,INT(ROW()/2)+1,COLUMN(CT!A69)-1),"")</f>
        <v>45310</v>
      </c>
      <c r="B72" s="77" t="str">
        <f ca="1">IF(MOD(ROW(),2)=0,OFFSET(CT!$A$1,INT(ROW()/2)+1,COLUMN(CT!B69)-1),"")</f>
        <v>02/XCC</v>
      </c>
      <c r="C72" s="77" t="str">
        <f ca="1">IF(MOD(ROW(),2)=0,OFFSET(CT!$A$1,INT(ROW()/2)+1,COLUMN(CT!C69)-1),"")</f>
        <v>Xuất dao thép cho PXSX</v>
      </c>
      <c r="D72" s="23" t="str">
        <f ca="1">OFFSET(CT!$A$1,INT(ROW()/2)+1,IF(MOD(ROW(),2)=0,COLUMN(CT!D69)-1,COLUMN(CT!E69)-1))</f>
        <v>6273</v>
      </c>
      <c r="E72" s="78">
        <f ca="1">IF(MOD(ROW(),2)=0,OFFSET(CT!$A$1,INT(ROW()/2)+1,COLUMN(CT!H69)-1),0)</f>
        <v>300000</v>
      </c>
      <c r="F72" s="78">
        <f ca="1">IF(MOD(ROW(),2)=1,OFFSET(CT!$A$1,INT(ROW()/2)+1,COLUMN(CT!H69)-1),0)</f>
        <v>0</v>
      </c>
      <c r="G72" s="153" t="str">
        <f ca="1">IF(OFFSET(CT!$A$1,INT(ROW()/2)+1,COLUMN(CT!N69)-1)="No","False","True")</f>
        <v>True</v>
      </c>
    </row>
    <row r="73" spans="1:7" x14ac:dyDescent="0.3">
      <c r="A73" s="77" t="str">
        <f ca="1">IF(MOD(ROW(),2)=0,OFFSET(CT!$A$1,INT(ROW()/2)+1,COLUMN(CT!A70)-1),"")</f>
        <v/>
      </c>
      <c r="B73" s="77" t="str">
        <f ca="1">IF(MOD(ROW(),2)=0,OFFSET(CT!$A$1,INT(ROW()/2)+1,COLUMN(CT!B70)-1),"")</f>
        <v/>
      </c>
      <c r="C73" s="77" t="str">
        <f ca="1">IF(MOD(ROW(),2)=0,OFFSET(CT!$A$1,INT(ROW()/2)+1,COLUMN(CT!C70)-1),"")</f>
        <v/>
      </c>
      <c r="D73" s="23" t="str">
        <f ca="1">OFFSET(CT!$A$1,INT(ROW()/2)+1,IF(MOD(ROW(),2)=0,COLUMN(CT!D70)-1,COLUMN(CT!E70)-1))</f>
        <v>1531.05</v>
      </c>
      <c r="E73" s="78">
        <f ca="1">IF(MOD(ROW(),2)=0,OFFSET(CT!$A$1,INT(ROW()/2)+1,COLUMN(CT!H70)-1),0)</f>
        <v>0</v>
      </c>
      <c r="F73" s="78">
        <f ca="1">IF(MOD(ROW(),2)=1,OFFSET(CT!$A$1,INT(ROW()/2)+1,COLUMN(CT!H70)-1),0)</f>
        <v>300000</v>
      </c>
      <c r="G73" s="153" t="str">
        <f ca="1">IF(OFFSET(CT!$A$1,INT(ROW()/2)+1,COLUMN(CT!N70)-1)="No","False","True")</f>
        <v>True</v>
      </c>
    </row>
    <row r="74" spans="1:7" x14ac:dyDescent="0.3">
      <c r="A74" s="77">
        <f ca="1">IF(MOD(ROW(),2)=0,OFFSET(CT!$A$1,INT(ROW()/2)+1,COLUMN(CT!A71)-1),"")</f>
        <v>45314</v>
      </c>
      <c r="B74" s="77" t="str">
        <f ca="1">IF(MOD(ROW(),2)=0,OFFSET(CT!$A$1,INT(ROW()/2)+1,COLUMN(CT!B71)-1),"")</f>
        <v>02/NTP</v>
      </c>
      <c r="C74" s="77" t="str">
        <f ca="1">IF(MOD(ROW(),2)=0,OFFSET(CT!$A$1,INT(ROW()/2)+1,COLUMN(CT!C71)-1),"")</f>
        <v>Tạm nhập kho BT</v>
      </c>
      <c r="D74" s="23" t="str">
        <f ca="1">OFFSET(CT!$A$1,INT(ROW()/2)+1,IF(MOD(ROW(),2)=0,COLUMN(CT!D71)-1,COLUMN(CT!E71)-1))</f>
        <v>1551.0201</v>
      </c>
      <c r="E74" s="78">
        <f ca="1">IF(MOD(ROW(),2)=0,OFFSET(CT!$A$1,INT(ROW()/2)+1,COLUMN(CT!H71)-1),0)</f>
        <v>60000000</v>
      </c>
      <c r="F74" s="78">
        <f ca="1">IF(MOD(ROW(),2)=1,OFFSET(CT!$A$1,INT(ROW()/2)+1,COLUMN(CT!H71)-1),0)</f>
        <v>0</v>
      </c>
      <c r="G74" s="153" t="str">
        <f ca="1">IF(OFFSET(CT!$A$1,INT(ROW()/2)+1,COLUMN(CT!N71)-1)="No","False","True")</f>
        <v>True</v>
      </c>
    </row>
    <row r="75" spans="1:7" x14ac:dyDescent="0.3">
      <c r="A75" s="77" t="str">
        <f ca="1">IF(MOD(ROW(),2)=0,OFFSET(CT!$A$1,INT(ROW()/2)+1,COLUMN(CT!A72)-1),"")</f>
        <v/>
      </c>
      <c r="B75" s="77" t="str">
        <f ca="1">IF(MOD(ROW(),2)=0,OFFSET(CT!$A$1,INT(ROW()/2)+1,COLUMN(CT!B72)-1),"")</f>
        <v/>
      </c>
      <c r="C75" s="77" t="str">
        <f ca="1">IF(MOD(ROW(),2)=0,OFFSET(CT!$A$1,INT(ROW()/2)+1,COLUMN(CT!C72)-1),"")</f>
        <v/>
      </c>
      <c r="D75" s="23" t="str">
        <f ca="1">OFFSET(CT!$A$1,INT(ROW()/2)+1,IF(MOD(ROW(),2)=0,COLUMN(CT!D72)-1,COLUMN(CT!E72)-1))</f>
        <v>154.03</v>
      </c>
      <c r="E75" s="78">
        <f ca="1">IF(MOD(ROW(),2)=0,OFFSET(CT!$A$1,INT(ROW()/2)+1,COLUMN(CT!H72)-1),0)</f>
        <v>0</v>
      </c>
      <c r="F75" s="78">
        <f ca="1">IF(MOD(ROW(),2)=1,OFFSET(CT!$A$1,INT(ROW()/2)+1,COLUMN(CT!H72)-1),0)</f>
        <v>60000000</v>
      </c>
      <c r="G75" s="153" t="str">
        <f ca="1">IF(OFFSET(CT!$A$1,INT(ROW()/2)+1,COLUMN(CT!N72)-1)="No","False","True")</f>
        <v>True</v>
      </c>
    </row>
    <row r="76" spans="1:7" x14ac:dyDescent="0.3">
      <c r="A76" s="77">
        <f ca="1">IF(MOD(ROW(),2)=0,OFFSET(CT!$A$1,INT(ROW()/2)+1,COLUMN(CT!A73)-1),"")</f>
        <v>45314</v>
      </c>
      <c r="B76" s="77" t="str">
        <f ca="1">IF(MOD(ROW(),2)=0,OFFSET(CT!$A$1,INT(ROW()/2)+1,COLUMN(CT!B73)-1),"")</f>
        <v>01/NTP</v>
      </c>
      <c r="C76" s="77" t="str">
        <f ca="1">IF(MOD(ROW(),2)=0,OFFSET(CT!$A$1,INT(ROW()/2)+1,COLUMN(CT!C73)-1),"")</f>
        <v>Tạm nhập kho GTV</v>
      </c>
      <c r="D76" s="23" t="str">
        <f ca="1">OFFSET(CT!$A$1,INT(ROW()/2)+1,IF(MOD(ROW(),2)=0,COLUMN(CT!D73)-1,COLUMN(CT!E73)-1))</f>
        <v>1551.0101</v>
      </c>
      <c r="E76" s="78">
        <f ca="1">IF(MOD(ROW(),2)=0,OFFSET(CT!$A$1,INT(ROW()/2)+1,COLUMN(CT!H73)-1),0)</f>
        <v>101250000</v>
      </c>
      <c r="F76" s="78">
        <f ca="1">IF(MOD(ROW(),2)=1,OFFSET(CT!$A$1,INT(ROW()/2)+1,COLUMN(CT!H73)-1),0)</f>
        <v>0</v>
      </c>
      <c r="G76" s="153" t="str">
        <f ca="1">IF(OFFSET(CT!$A$1,INT(ROW()/2)+1,COLUMN(CT!N73)-1)="No","False","True")</f>
        <v>True</v>
      </c>
    </row>
    <row r="77" spans="1:7" x14ac:dyDescent="0.3">
      <c r="A77" s="77" t="str">
        <f ca="1">IF(MOD(ROW(),2)=0,OFFSET(CT!$A$1,INT(ROW()/2)+1,COLUMN(CT!A74)-1),"")</f>
        <v/>
      </c>
      <c r="B77" s="77" t="str">
        <f ca="1">IF(MOD(ROW(),2)=0,OFFSET(CT!$A$1,INT(ROW()/2)+1,COLUMN(CT!B74)-1),"")</f>
        <v/>
      </c>
      <c r="C77" s="77" t="str">
        <f ca="1">IF(MOD(ROW(),2)=0,OFFSET(CT!$A$1,INT(ROW()/2)+1,COLUMN(CT!C74)-1),"")</f>
        <v/>
      </c>
      <c r="D77" s="23" t="str">
        <f ca="1">OFFSET(CT!$A$1,INT(ROW()/2)+1,IF(MOD(ROW(),2)=0,COLUMN(CT!D74)-1,COLUMN(CT!E74)-1))</f>
        <v>154.01</v>
      </c>
      <c r="E77" s="78">
        <f ca="1">IF(MOD(ROW(),2)=0,OFFSET(CT!$A$1,INT(ROW()/2)+1,COLUMN(CT!H74)-1),0)</f>
        <v>0</v>
      </c>
      <c r="F77" s="78">
        <f ca="1">IF(MOD(ROW(),2)=1,OFFSET(CT!$A$1,INT(ROW()/2)+1,COLUMN(CT!H74)-1),0)</f>
        <v>101250000</v>
      </c>
      <c r="G77" s="153" t="str">
        <f ca="1">IF(OFFSET(CT!$A$1,INT(ROW()/2)+1,COLUMN(CT!N74)-1)="No","False","True")</f>
        <v>True</v>
      </c>
    </row>
    <row r="78" spans="1:7" x14ac:dyDescent="0.3">
      <c r="A78" s="77">
        <f ca="1">IF(MOD(ROW(),2)=0,OFFSET(CT!$A$1,INT(ROW()/2)+1,COLUMN(CT!A75)-1),"")</f>
        <v>45315</v>
      </c>
      <c r="B78" s="77" t="str">
        <f ca="1">IF(MOD(ROW(),2)=0,OFFSET(CT!$A$1,INT(ROW()/2)+1,COLUMN(CT!B75)-1),"")</f>
        <v>03/NTP</v>
      </c>
      <c r="C78" s="77" t="str">
        <f ca="1">IF(MOD(ROW(),2)=0,OFFSET(CT!$A$1,INT(ROW()/2)+1,COLUMN(CT!C75)-1),"")</f>
        <v>Tạm nhập kho GKT</v>
      </c>
      <c r="D78" s="23" t="str">
        <f ca="1">OFFSET(CT!$A$1,INT(ROW()/2)+1,IF(MOD(ROW(),2)=0,COLUMN(CT!D75)-1,COLUMN(CT!E75)-1))</f>
        <v>1551.0102</v>
      </c>
      <c r="E78" s="78">
        <f ca="1">IF(MOD(ROW(),2)=0,OFFSET(CT!$A$1,INT(ROW()/2)+1,COLUMN(CT!H75)-1),0)</f>
        <v>60000000</v>
      </c>
      <c r="F78" s="78">
        <f ca="1">IF(MOD(ROW(),2)=1,OFFSET(CT!$A$1,INT(ROW()/2)+1,COLUMN(CT!H75)-1),0)</f>
        <v>0</v>
      </c>
      <c r="G78" s="153" t="str">
        <f ca="1">IF(OFFSET(CT!$A$1,INT(ROW()/2)+1,COLUMN(CT!N75)-1)="No","False","True")</f>
        <v>True</v>
      </c>
    </row>
    <row r="79" spans="1:7" x14ac:dyDescent="0.3">
      <c r="A79" s="77" t="str">
        <f ca="1">IF(MOD(ROW(),2)=0,OFFSET(CT!$A$1,INT(ROW()/2)+1,COLUMN(CT!A76)-1),"")</f>
        <v/>
      </c>
      <c r="B79" s="77" t="str">
        <f ca="1">IF(MOD(ROW(),2)=0,OFFSET(CT!$A$1,INT(ROW()/2)+1,COLUMN(CT!B76)-1),"")</f>
        <v/>
      </c>
      <c r="C79" s="77" t="str">
        <f ca="1">IF(MOD(ROW(),2)=0,OFFSET(CT!$A$1,INT(ROW()/2)+1,COLUMN(CT!C76)-1),"")</f>
        <v/>
      </c>
      <c r="D79" s="23" t="str">
        <f ca="1">OFFSET(CT!$A$1,INT(ROW()/2)+1,IF(MOD(ROW(),2)=0,COLUMN(CT!D76)-1,COLUMN(CT!E76)-1))</f>
        <v>154.02</v>
      </c>
      <c r="E79" s="78">
        <f ca="1">IF(MOD(ROW(),2)=0,OFFSET(CT!$A$1,INT(ROW()/2)+1,COLUMN(CT!H76)-1),0)</f>
        <v>0</v>
      </c>
      <c r="F79" s="78">
        <f ca="1">IF(MOD(ROW(),2)=1,OFFSET(CT!$A$1,INT(ROW()/2)+1,COLUMN(CT!H76)-1),0)</f>
        <v>60000000</v>
      </c>
      <c r="G79" s="153" t="str">
        <f ca="1">IF(OFFSET(CT!$A$1,INT(ROW()/2)+1,COLUMN(CT!N76)-1)="No","False","True")</f>
        <v>True</v>
      </c>
    </row>
    <row r="80" spans="1:7" x14ac:dyDescent="0.3">
      <c r="A80" s="77">
        <f ca="1">IF(MOD(ROW(),2)=0,OFFSET(CT!$A$1,INT(ROW()/2)+1,COLUMN(CT!A77)-1),"")</f>
        <v>45316</v>
      </c>
      <c r="B80" s="77" t="str">
        <f ca="1">IF(MOD(ROW(),2)=0,OFFSET(CT!$A$1,INT(ROW()/2)+1,COLUMN(CT!B77)-1),"")</f>
        <v>02/BTP</v>
      </c>
      <c r="C80" s="77" t="str">
        <f ca="1">IF(MOD(ROW(),2)=0,OFFSET(CT!$A$1,INT(ROW()/2)+1,COLUMN(CT!C77)-1),"")</f>
        <v>Thuế GTGT Bán GKT cho Cty XNK Vật Tư</v>
      </c>
      <c r="D80" s="23" t="str">
        <f ca="1">OFFSET(CT!$A$1,INT(ROW()/2)+1,IF(MOD(ROW(),2)=0,COLUMN(CT!D77)-1,COLUMN(CT!E77)-1))</f>
        <v>1311.06</v>
      </c>
      <c r="E80" s="78">
        <f ca="1">IF(MOD(ROW(),2)=0,OFFSET(CT!$A$1,INT(ROW()/2)+1,COLUMN(CT!H77)-1),0)</f>
        <v>3000000</v>
      </c>
      <c r="F80" s="78">
        <f ca="1">IF(MOD(ROW(),2)=1,OFFSET(CT!$A$1,INT(ROW()/2)+1,COLUMN(CT!H77)-1),0)</f>
        <v>0</v>
      </c>
      <c r="G80" s="153" t="str">
        <f ca="1">IF(OFFSET(CT!$A$1,INT(ROW()/2)+1,COLUMN(CT!N77)-1)="No","False","True")</f>
        <v>True</v>
      </c>
    </row>
    <row r="81" spans="1:7" x14ac:dyDescent="0.3">
      <c r="A81" s="77" t="str">
        <f ca="1">IF(MOD(ROW(),2)=0,OFFSET(CT!$A$1,INT(ROW()/2)+1,COLUMN(CT!A78)-1),"")</f>
        <v/>
      </c>
      <c r="B81" s="77" t="str">
        <f ca="1">IF(MOD(ROW(),2)=0,OFFSET(CT!$A$1,INT(ROW()/2)+1,COLUMN(CT!B78)-1),"")</f>
        <v/>
      </c>
      <c r="C81" s="77" t="str">
        <f ca="1">IF(MOD(ROW(),2)=0,OFFSET(CT!$A$1,INT(ROW()/2)+1,COLUMN(CT!C78)-1),"")</f>
        <v/>
      </c>
      <c r="D81" s="23" t="str">
        <f ca="1">OFFSET(CT!$A$1,INT(ROW()/2)+1,IF(MOD(ROW(),2)=0,COLUMN(CT!D78)-1,COLUMN(CT!E78)-1))</f>
        <v>33311</v>
      </c>
      <c r="E81" s="78">
        <f ca="1">IF(MOD(ROW(),2)=0,OFFSET(CT!$A$1,INT(ROW()/2)+1,COLUMN(CT!H78)-1),0)</f>
        <v>0</v>
      </c>
      <c r="F81" s="78">
        <f ca="1">IF(MOD(ROW(),2)=1,OFFSET(CT!$A$1,INT(ROW()/2)+1,COLUMN(CT!H78)-1),0)</f>
        <v>3000000</v>
      </c>
      <c r="G81" s="153" t="str">
        <f ca="1">IF(OFFSET(CT!$A$1,INT(ROW()/2)+1,COLUMN(CT!N78)-1)="No","False","True")</f>
        <v>True</v>
      </c>
    </row>
    <row r="82" spans="1:7" x14ac:dyDescent="0.3">
      <c r="A82" s="77">
        <f ca="1">IF(MOD(ROW(),2)=0,OFFSET(CT!$A$1,INT(ROW()/2)+1,COLUMN(CT!A79)-1),"")</f>
        <v>45316</v>
      </c>
      <c r="B82" s="77" t="str">
        <f ca="1">IF(MOD(ROW(),2)=0,OFFSET(CT!$A$1,INT(ROW()/2)+1,COLUMN(CT!B79)-1),"")</f>
        <v>01/BTP</v>
      </c>
      <c r="C82" s="77" t="str">
        <f ca="1">IF(MOD(ROW(),2)=0,OFFSET(CT!$A$1,INT(ROW()/2)+1,COLUMN(CT!C79)-1),"")</f>
        <v>Thuế GTGT Bán GTV cho Cty Nam Việt</v>
      </c>
      <c r="D82" s="23" t="str">
        <f ca="1">OFFSET(CT!$A$1,INT(ROW()/2)+1,IF(MOD(ROW(),2)=0,COLUMN(CT!D79)-1,COLUMN(CT!E79)-1))</f>
        <v>1311.05</v>
      </c>
      <c r="E82" s="78">
        <f ca="1">IF(MOD(ROW(),2)=0,OFFSET(CT!$A$1,INT(ROW()/2)+1,COLUMN(CT!H79)-1),0)</f>
        <v>150000</v>
      </c>
      <c r="F82" s="78">
        <f ca="1">IF(MOD(ROW(),2)=1,OFFSET(CT!$A$1,INT(ROW()/2)+1,COLUMN(CT!H79)-1),0)</f>
        <v>0</v>
      </c>
      <c r="G82" s="153" t="str">
        <f ca="1">IF(OFFSET(CT!$A$1,INT(ROW()/2)+1,COLUMN(CT!N79)-1)="No","False","True")</f>
        <v>True</v>
      </c>
    </row>
    <row r="83" spans="1:7" x14ac:dyDescent="0.3">
      <c r="A83" s="77" t="str">
        <f ca="1">IF(MOD(ROW(),2)=0,OFFSET(CT!$A$1,INT(ROW()/2)+1,COLUMN(CT!A80)-1),"")</f>
        <v/>
      </c>
      <c r="B83" s="77" t="str">
        <f ca="1">IF(MOD(ROW(),2)=0,OFFSET(CT!$A$1,INT(ROW()/2)+1,COLUMN(CT!B80)-1),"")</f>
        <v/>
      </c>
      <c r="C83" s="77" t="str">
        <f ca="1">IF(MOD(ROW(),2)=0,OFFSET(CT!$A$1,INT(ROW()/2)+1,COLUMN(CT!C80)-1),"")</f>
        <v/>
      </c>
      <c r="D83" s="23" t="str">
        <f ca="1">OFFSET(CT!$A$1,INT(ROW()/2)+1,IF(MOD(ROW(),2)=0,COLUMN(CT!D80)-1,COLUMN(CT!E80)-1))</f>
        <v>33311</v>
      </c>
      <c r="E83" s="78">
        <f ca="1">IF(MOD(ROW(),2)=0,OFFSET(CT!$A$1,INT(ROW()/2)+1,COLUMN(CT!H80)-1),0)</f>
        <v>0</v>
      </c>
      <c r="F83" s="78">
        <f ca="1">IF(MOD(ROW(),2)=1,OFFSET(CT!$A$1,INT(ROW()/2)+1,COLUMN(CT!H80)-1),0)</f>
        <v>150000</v>
      </c>
      <c r="G83" s="153" t="str">
        <f ca="1">IF(OFFSET(CT!$A$1,INT(ROW()/2)+1,COLUMN(CT!N80)-1)="No","False","True")</f>
        <v>True</v>
      </c>
    </row>
    <row r="84" spans="1:7" x14ac:dyDescent="0.3">
      <c r="A84" s="77">
        <f ca="1">IF(MOD(ROW(),2)=0,OFFSET(CT!$A$1,INT(ROW()/2)+1,COLUMN(CT!A81)-1),"")</f>
        <v>45316</v>
      </c>
      <c r="B84" s="77" t="str">
        <f ca="1">IF(MOD(ROW(),2)=0,OFFSET(CT!$A$1,INT(ROW()/2)+1,COLUMN(CT!B81)-1),"")</f>
        <v>02/BTP</v>
      </c>
      <c r="C84" s="77" t="str">
        <f ca="1">IF(MOD(ROW(),2)=0,OFFSET(CT!$A$1,INT(ROW()/2)+1,COLUMN(CT!C81)-1),"")</f>
        <v>Thuế GTGT Bán BO cho Cty XNK Vật Tư</v>
      </c>
      <c r="D84" s="23" t="str">
        <f ca="1">OFFSET(CT!$A$1,INT(ROW()/2)+1,IF(MOD(ROW(),2)=0,COLUMN(CT!D81)-1,COLUMN(CT!E81)-1))</f>
        <v>1311.06</v>
      </c>
      <c r="E84" s="78">
        <f ca="1">IF(MOD(ROW(),2)=0,OFFSET(CT!$A$1,INT(ROW()/2)+1,COLUMN(CT!H81)-1),0)</f>
        <v>7500</v>
      </c>
      <c r="F84" s="78">
        <f ca="1">IF(MOD(ROW(),2)=1,OFFSET(CT!$A$1,INT(ROW()/2)+1,COLUMN(CT!H81)-1),0)</f>
        <v>0</v>
      </c>
      <c r="G84" s="153" t="str">
        <f ca="1">IF(OFFSET(CT!$A$1,INT(ROW()/2)+1,COLUMN(CT!N81)-1)="No","False","True")</f>
        <v>True</v>
      </c>
    </row>
    <row r="85" spans="1:7" x14ac:dyDescent="0.3">
      <c r="A85" s="77" t="str">
        <f ca="1">IF(MOD(ROW(),2)=0,OFFSET(CT!$A$1,INT(ROW()/2)+1,COLUMN(CT!A82)-1),"")</f>
        <v/>
      </c>
      <c r="B85" s="77" t="str">
        <f ca="1">IF(MOD(ROW(),2)=0,OFFSET(CT!$A$1,INT(ROW()/2)+1,COLUMN(CT!B82)-1),"")</f>
        <v/>
      </c>
      <c r="C85" s="77" t="str">
        <f ca="1">IF(MOD(ROW(),2)=0,OFFSET(CT!$A$1,INT(ROW()/2)+1,COLUMN(CT!C82)-1),"")</f>
        <v/>
      </c>
      <c r="D85" s="23" t="str">
        <f ca="1">OFFSET(CT!$A$1,INT(ROW()/2)+1,IF(MOD(ROW(),2)=0,COLUMN(CT!D82)-1,COLUMN(CT!E82)-1))</f>
        <v>33311</v>
      </c>
      <c r="E85" s="78">
        <f ca="1">IF(MOD(ROW(),2)=0,OFFSET(CT!$A$1,INT(ROW()/2)+1,COLUMN(CT!H82)-1),0)</f>
        <v>0</v>
      </c>
      <c r="F85" s="78">
        <f ca="1">IF(MOD(ROW(),2)=1,OFFSET(CT!$A$1,INT(ROW()/2)+1,COLUMN(CT!H82)-1),0)</f>
        <v>7500</v>
      </c>
      <c r="G85" s="153" t="str">
        <f ca="1">IF(OFFSET(CT!$A$1,INT(ROW()/2)+1,COLUMN(CT!N82)-1)="No","False","True")</f>
        <v>True</v>
      </c>
    </row>
    <row r="86" spans="1:7" x14ac:dyDescent="0.3">
      <c r="A86" s="77">
        <f ca="1">IF(MOD(ROW(),2)=0,OFFSET(CT!$A$1,INT(ROW()/2)+1,COLUMN(CT!A83)-1),"")</f>
        <v>45316</v>
      </c>
      <c r="B86" s="77" t="str">
        <f ca="1">IF(MOD(ROW(),2)=0,OFFSET(CT!$A$1,INT(ROW()/2)+1,COLUMN(CT!B83)-1),"")</f>
        <v>02/BTP</v>
      </c>
      <c r="C86" s="77" t="str">
        <f ca="1">IF(MOD(ROW(),2)=0,OFFSET(CT!$A$1,INT(ROW()/2)+1,COLUMN(CT!C83)-1),"")</f>
        <v>Bán GKT cho Cty XNK Vật Tư</v>
      </c>
      <c r="D86" s="23" t="str">
        <f ca="1">OFFSET(CT!$A$1,INT(ROW()/2)+1,IF(MOD(ROW(),2)=0,COLUMN(CT!D83)-1,COLUMN(CT!E83)-1))</f>
        <v>632.0102</v>
      </c>
      <c r="E86" s="78">
        <f ca="1">IF(MOD(ROW(),2)=0,OFFSET(CT!$A$1,INT(ROW()/2)+1,COLUMN(CT!H83)-1),0)</f>
        <v>20000000</v>
      </c>
      <c r="F86" s="78">
        <f ca="1">IF(MOD(ROW(),2)=1,OFFSET(CT!$A$1,INT(ROW()/2)+1,COLUMN(CT!H83)-1),0)</f>
        <v>0</v>
      </c>
      <c r="G86" s="153" t="str">
        <f ca="1">IF(OFFSET(CT!$A$1,INT(ROW()/2)+1,COLUMN(CT!N83)-1)="No","False","True")</f>
        <v>True</v>
      </c>
    </row>
    <row r="87" spans="1:7" x14ac:dyDescent="0.3">
      <c r="A87" s="77" t="str">
        <f ca="1">IF(MOD(ROW(),2)=0,OFFSET(CT!$A$1,INT(ROW()/2)+1,COLUMN(CT!A84)-1),"")</f>
        <v/>
      </c>
      <c r="B87" s="77" t="str">
        <f ca="1">IF(MOD(ROW(),2)=0,OFFSET(CT!$A$1,INT(ROW()/2)+1,COLUMN(CT!B84)-1),"")</f>
        <v/>
      </c>
      <c r="C87" s="77" t="str">
        <f ca="1">IF(MOD(ROW(),2)=0,OFFSET(CT!$A$1,INT(ROW()/2)+1,COLUMN(CT!C84)-1),"")</f>
        <v/>
      </c>
      <c r="D87" s="23" t="str">
        <f ca="1">OFFSET(CT!$A$1,INT(ROW()/2)+1,IF(MOD(ROW(),2)=0,COLUMN(CT!D84)-1,COLUMN(CT!E84)-1))</f>
        <v>1551.0102</v>
      </c>
      <c r="E87" s="78">
        <f ca="1">IF(MOD(ROW(),2)=0,OFFSET(CT!$A$1,INT(ROW()/2)+1,COLUMN(CT!H84)-1),0)</f>
        <v>0</v>
      </c>
      <c r="F87" s="78">
        <f ca="1">IF(MOD(ROW(),2)=1,OFFSET(CT!$A$1,INT(ROW()/2)+1,COLUMN(CT!H84)-1),0)</f>
        <v>20000000</v>
      </c>
      <c r="G87" s="153" t="str">
        <f ca="1">IF(OFFSET(CT!$A$1,INT(ROW()/2)+1,COLUMN(CT!N84)-1)="No","False","True")</f>
        <v>True</v>
      </c>
    </row>
    <row r="88" spans="1:7" x14ac:dyDescent="0.3">
      <c r="A88" s="77">
        <f ca="1">IF(MOD(ROW(),2)=0,OFFSET(CT!$A$1,INT(ROW()/2)+1,COLUMN(CT!A85)-1),"")</f>
        <v>45316</v>
      </c>
      <c r="B88" s="77" t="str">
        <f ca="1">IF(MOD(ROW(),2)=0,OFFSET(CT!$A$1,INT(ROW()/2)+1,COLUMN(CT!B85)-1),"")</f>
        <v>01/BTP</v>
      </c>
      <c r="C88" s="77" t="str">
        <f ca="1">IF(MOD(ROW(),2)=0,OFFSET(CT!$A$1,INT(ROW()/2)+1,COLUMN(CT!C85)-1),"")</f>
        <v>Bán GTV cho Cty Nam Việt</v>
      </c>
      <c r="D88" s="23" t="str">
        <f ca="1">OFFSET(CT!$A$1,INT(ROW()/2)+1,IF(MOD(ROW(),2)=0,COLUMN(CT!D85)-1,COLUMN(CT!E85)-1))</f>
        <v>632.0101</v>
      </c>
      <c r="E88" s="78">
        <f ca="1">IF(MOD(ROW(),2)=0,OFFSET(CT!$A$1,INT(ROW()/2)+1,COLUMN(CT!H85)-1),0)</f>
        <v>25000000</v>
      </c>
      <c r="F88" s="78">
        <f ca="1">IF(MOD(ROW(),2)=1,OFFSET(CT!$A$1,INT(ROW()/2)+1,COLUMN(CT!H85)-1),0)</f>
        <v>0</v>
      </c>
      <c r="G88" s="153" t="str">
        <f ca="1">IF(OFFSET(CT!$A$1,INT(ROW()/2)+1,COLUMN(CT!N85)-1)="No","False","True")</f>
        <v>True</v>
      </c>
    </row>
    <row r="89" spans="1:7" x14ac:dyDescent="0.3">
      <c r="A89" s="77" t="str">
        <f ca="1">IF(MOD(ROW(),2)=0,OFFSET(CT!$A$1,INT(ROW()/2)+1,COLUMN(CT!A86)-1),"")</f>
        <v/>
      </c>
      <c r="B89" s="77" t="str">
        <f ca="1">IF(MOD(ROW(),2)=0,OFFSET(CT!$A$1,INT(ROW()/2)+1,COLUMN(CT!B86)-1),"")</f>
        <v/>
      </c>
      <c r="C89" s="77" t="str">
        <f ca="1">IF(MOD(ROW(),2)=0,OFFSET(CT!$A$1,INT(ROW()/2)+1,COLUMN(CT!C86)-1),"")</f>
        <v/>
      </c>
      <c r="D89" s="23" t="str">
        <f ca="1">OFFSET(CT!$A$1,INT(ROW()/2)+1,IF(MOD(ROW(),2)=0,COLUMN(CT!D86)-1,COLUMN(CT!E86)-1))</f>
        <v>1551.0101</v>
      </c>
      <c r="E89" s="78">
        <f ca="1">IF(MOD(ROW(),2)=0,OFFSET(CT!$A$1,INT(ROW()/2)+1,COLUMN(CT!H86)-1),0)</f>
        <v>0</v>
      </c>
      <c r="F89" s="78">
        <f ca="1">IF(MOD(ROW(),2)=1,OFFSET(CT!$A$1,INT(ROW()/2)+1,COLUMN(CT!H86)-1),0)</f>
        <v>25000000</v>
      </c>
      <c r="G89" s="153" t="str">
        <f ca="1">IF(OFFSET(CT!$A$1,INT(ROW()/2)+1,COLUMN(CT!N86)-1)="No","False","True")</f>
        <v>True</v>
      </c>
    </row>
    <row r="90" spans="1:7" x14ac:dyDescent="0.3">
      <c r="A90" s="77">
        <f ca="1">IF(MOD(ROW(),2)=0,OFFSET(CT!$A$1,INT(ROW()/2)+1,COLUMN(CT!A87)-1),"")</f>
        <v>45316</v>
      </c>
      <c r="B90" s="77" t="str">
        <f ca="1">IF(MOD(ROW(),2)=0,OFFSET(CT!$A$1,INT(ROW()/2)+1,COLUMN(CT!B87)-1),"")</f>
        <v>02/BTP</v>
      </c>
      <c r="C90" s="77" t="str">
        <f ca="1">IF(MOD(ROW(),2)=0,OFFSET(CT!$A$1,INT(ROW()/2)+1,COLUMN(CT!C87)-1),"")</f>
        <v>Bán BO cho Cty XNK Vật Tư</v>
      </c>
      <c r="D90" s="23" t="str">
        <f ca="1">OFFSET(CT!$A$1,INT(ROW()/2)+1,IF(MOD(ROW(),2)=0,COLUMN(CT!D87)-1,COLUMN(CT!E87)-1))</f>
        <v>632.0202</v>
      </c>
      <c r="E90" s="78">
        <f ca="1">IF(MOD(ROW(),2)=0,OFFSET(CT!$A$1,INT(ROW()/2)+1,COLUMN(CT!H87)-1),0)</f>
        <v>25000000</v>
      </c>
      <c r="F90" s="78">
        <f ca="1">IF(MOD(ROW(),2)=1,OFFSET(CT!$A$1,INT(ROW()/2)+1,COLUMN(CT!H87)-1),0)</f>
        <v>0</v>
      </c>
      <c r="G90" s="153" t="str">
        <f ca="1">IF(OFFSET(CT!$A$1,INT(ROW()/2)+1,COLUMN(CT!N87)-1)="No","False","True")</f>
        <v>True</v>
      </c>
    </row>
    <row r="91" spans="1:7" x14ac:dyDescent="0.3">
      <c r="A91" s="77" t="str">
        <f ca="1">IF(MOD(ROW(),2)=0,OFFSET(CT!$A$1,INT(ROW()/2)+1,COLUMN(CT!A88)-1),"")</f>
        <v/>
      </c>
      <c r="B91" s="77" t="str">
        <f ca="1">IF(MOD(ROW(),2)=0,OFFSET(CT!$A$1,INT(ROW()/2)+1,COLUMN(CT!B88)-1),"")</f>
        <v/>
      </c>
      <c r="C91" s="77" t="str">
        <f ca="1">IF(MOD(ROW(),2)=0,OFFSET(CT!$A$1,INT(ROW()/2)+1,COLUMN(CT!C88)-1),"")</f>
        <v/>
      </c>
      <c r="D91" s="23" t="str">
        <f ca="1">OFFSET(CT!$A$1,INT(ROW()/2)+1,IF(MOD(ROW(),2)=0,COLUMN(CT!D88)-1,COLUMN(CT!E88)-1))</f>
        <v>1551.0202</v>
      </c>
      <c r="E91" s="78">
        <f ca="1">IF(MOD(ROW(),2)=0,OFFSET(CT!$A$1,INT(ROW()/2)+1,COLUMN(CT!H88)-1),0)</f>
        <v>0</v>
      </c>
      <c r="F91" s="78">
        <f ca="1">IF(MOD(ROW(),2)=1,OFFSET(CT!$A$1,INT(ROW()/2)+1,COLUMN(CT!H88)-1),0)</f>
        <v>25000000</v>
      </c>
      <c r="G91" s="153" t="str">
        <f ca="1">IF(OFFSET(CT!$A$1,INT(ROW()/2)+1,COLUMN(CT!N88)-1)="No","False","True")</f>
        <v>True</v>
      </c>
    </row>
    <row r="92" spans="1:7" hidden="1" x14ac:dyDescent="0.3">
      <c r="A92" s="77">
        <f ca="1">IF(MOD(ROW(),2)=0,OFFSET(CT!$A$1,INT(ROW()/2)+1,COLUMN(CT!A89)-1),"")</f>
        <v>45316</v>
      </c>
      <c r="B92" s="77" t="str">
        <f ca="1">IF(MOD(ROW(),2)=0,OFFSET(CT!$A$1,INT(ROW()/2)+1,COLUMN(CT!B89)-1),"")</f>
        <v>02/BTP</v>
      </c>
      <c r="C92" s="77" t="str">
        <f ca="1">IF(MOD(ROW(),2)=0,OFFSET(CT!$A$1,INT(ROW()/2)+1,COLUMN(CT!C89)-1),"")</f>
        <v>Bán GKT cho Cty XNK Vật Tư</v>
      </c>
      <c r="D92" s="23" t="str">
        <f ca="1">OFFSET(CT!$A$1,INT(ROW()/2)+1,IF(MOD(ROW(),2)=0,COLUMN(CT!D89)-1,COLUMN(CT!E89)-1))</f>
        <v>1311.06</v>
      </c>
      <c r="E92" s="78">
        <f ca="1">IF(MOD(ROW(),2)=0,OFFSET(CT!$A$1,INT(ROW()/2)+1,COLUMN(CT!H89)-1),0)</f>
        <v>28000000</v>
      </c>
      <c r="F92" s="78">
        <f ca="1">IF(MOD(ROW(),2)=1,OFFSET(CT!$A$1,INT(ROW()/2)+1,COLUMN(CT!H89)-1),0)</f>
        <v>0</v>
      </c>
      <c r="G92" s="3" t="str">
        <f ca="1">IF(OFFSET(CT!$A$1,INT(ROW()/2)+1,COLUMN(CT!N89)-1)="No","False","True")</f>
        <v>False</v>
      </c>
    </row>
    <row r="93" spans="1:7" hidden="1" x14ac:dyDescent="0.3">
      <c r="A93" s="77" t="str">
        <f ca="1">IF(MOD(ROW(),2)=0,OFFSET(CT!$A$1,INT(ROW()/2)+1,COLUMN(CT!A90)-1),"")</f>
        <v/>
      </c>
      <c r="B93" s="77" t="str">
        <f ca="1">IF(MOD(ROW(),2)=0,OFFSET(CT!$A$1,INT(ROW()/2)+1,COLUMN(CT!B90)-1),"")</f>
        <v/>
      </c>
      <c r="C93" s="77" t="str">
        <f ca="1">IF(MOD(ROW(),2)=0,OFFSET(CT!$A$1,INT(ROW()/2)+1,COLUMN(CT!C90)-1),"")</f>
        <v/>
      </c>
      <c r="D93" s="23" t="str">
        <f ca="1">OFFSET(CT!$A$1,INT(ROW()/2)+1,IF(MOD(ROW(),2)=0,COLUMN(CT!D90)-1,COLUMN(CT!E90)-1))</f>
        <v>5112.0102</v>
      </c>
      <c r="E93" s="78">
        <f ca="1">IF(MOD(ROW(),2)=0,OFFSET(CT!$A$1,INT(ROW()/2)+1,COLUMN(CT!H90)-1),0)</f>
        <v>0</v>
      </c>
      <c r="F93" s="78">
        <f ca="1">IF(MOD(ROW(),2)=1,OFFSET(CT!$A$1,INT(ROW()/2)+1,COLUMN(CT!H90)-1),0)</f>
        <v>28000000</v>
      </c>
      <c r="G93" s="3" t="str">
        <f ca="1">IF(OFFSET(CT!$A$1,INT(ROW()/2)+1,COLUMN(CT!N90)-1)="No","False","True")</f>
        <v>False</v>
      </c>
    </row>
    <row r="94" spans="1:7" hidden="1" x14ac:dyDescent="0.3">
      <c r="A94" s="77">
        <f ca="1">IF(MOD(ROW(),2)=0,OFFSET(CT!$A$1,INT(ROW()/2)+1,COLUMN(CT!A91)-1),"")</f>
        <v>45316</v>
      </c>
      <c r="B94" s="77" t="str">
        <f ca="1">IF(MOD(ROW(),2)=0,OFFSET(CT!$A$1,INT(ROW()/2)+1,COLUMN(CT!B91)-1),"")</f>
        <v>01/BTP</v>
      </c>
      <c r="C94" s="77" t="str">
        <f ca="1">IF(MOD(ROW(),2)=0,OFFSET(CT!$A$1,INT(ROW()/2)+1,COLUMN(CT!C91)-1),"")</f>
        <v>Bán GTV cho Cty Nam Việt</v>
      </c>
      <c r="D94" s="23" t="str">
        <f ca="1">OFFSET(CT!$A$1,INT(ROW()/2)+1,IF(MOD(ROW(),2)=0,COLUMN(CT!D91)-1,COLUMN(CT!E91)-1))</f>
        <v>1311.05</v>
      </c>
      <c r="E94" s="78">
        <f ca="1">IF(MOD(ROW(),2)=0,OFFSET(CT!$A$1,INT(ROW()/2)+1,COLUMN(CT!H91)-1),0)</f>
        <v>30000000</v>
      </c>
      <c r="F94" s="78">
        <f ca="1">IF(MOD(ROW(),2)=1,OFFSET(CT!$A$1,INT(ROW()/2)+1,COLUMN(CT!H91)-1),0)</f>
        <v>0</v>
      </c>
      <c r="G94" s="3" t="str">
        <f ca="1">IF(OFFSET(CT!$A$1,INT(ROW()/2)+1,COLUMN(CT!N91)-1)="No","False","True")</f>
        <v>False</v>
      </c>
    </row>
    <row r="95" spans="1:7" hidden="1" x14ac:dyDescent="0.3">
      <c r="A95" s="77" t="str">
        <f ca="1">IF(MOD(ROW(),2)=0,OFFSET(CT!$A$1,INT(ROW()/2)+1,COLUMN(CT!A92)-1),"")</f>
        <v/>
      </c>
      <c r="B95" s="77" t="str">
        <f ca="1">IF(MOD(ROW(),2)=0,OFFSET(CT!$A$1,INT(ROW()/2)+1,COLUMN(CT!B92)-1),"")</f>
        <v/>
      </c>
      <c r="C95" s="77" t="str">
        <f ca="1">IF(MOD(ROW(),2)=0,OFFSET(CT!$A$1,INT(ROW()/2)+1,COLUMN(CT!C92)-1),"")</f>
        <v/>
      </c>
      <c r="D95" s="23" t="str">
        <f ca="1">OFFSET(CT!$A$1,INT(ROW()/2)+1,IF(MOD(ROW(),2)=0,COLUMN(CT!D92)-1,COLUMN(CT!E92)-1))</f>
        <v>5112.0101</v>
      </c>
      <c r="E95" s="78">
        <f ca="1">IF(MOD(ROW(),2)=0,OFFSET(CT!$A$1,INT(ROW()/2)+1,COLUMN(CT!H92)-1),0)</f>
        <v>0</v>
      </c>
      <c r="F95" s="78">
        <f ca="1">IF(MOD(ROW(),2)=1,OFFSET(CT!$A$1,INT(ROW()/2)+1,COLUMN(CT!H92)-1),0)</f>
        <v>30000000</v>
      </c>
      <c r="G95" s="3" t="str">
        <f ca="1">IF(OFFSET(CT!$A$1,INT(ROW()/2)+1,COLUMN(CT!N92)-1)="No","False","True")</f>
        <v>False</v>
      </c>
    </row>
    <row r="96" spans="1:7" hidden="1" x14ac:dyDescent="0.3">
      <c r="A96" s="77">
        <f ca="1">IF(MOD(ROW(),2)=0,OFFSET(CT!$A$1,INT(ROW()/2)+1,COLUMN(CT!A93)-1),"")</f>
        <v>45316</v>
      </c>
      <c r="B96" s="77" t="str">
        <f ca="1">IF(MOD(ROW(),2)=0,OFFSET(CT!$A$1,INT(ROW()/2)+1,COLUMN(CT!B93)-1),"")</f>
        <v>02/BTP</v>
      </c>
      <c r="C96" s="77" t="str">
        <f ca="1">IF(MOD(ROW(),2)=0,OFFSET(CT!$A$1,INT(ROW()/2)+1,COLUMN(CT!C93)-1),"")</f>
        <v>Bán BO cho Cty XNK Vật Tư</v>
      </c>
      <c r="D96" s="23" t="str">
        <f ca="1">OFFSET(CT!$A$1,INT(ROW()/2)+1,IF(MOD(ROW(),2)=0,COLUMN(CT!D93)-1,COLUMN(CT!E93)-1))</f>
        <v>1311.06</v>
      </c>
      <c r="E96" s="78">
        <f ca="1">IF(MOD(ROW(),2)=0,OFFSET(CT!$A$1,INT(ROW()/2)+1,COLUMN(CT!H93)-1),0)</f>
        <v>30000000</v>
      </c>
      <c r="F96" s="78">
        <f ca="1">IF(MOD(ROW(),2)=1,OFFSET(CT!$A$1,INT(ROW()/2)+1,COLUMN(CT!H93)-1),0)</f>
        <v>0</v>
      </c>
      <c r="G96" s="3" t="str">
        <f ca="1">IF(OFFSET(CT!$A$1,INT(ROW()/2)+1,COLUMN(CT!N93)-1)="No","False","True")</f>
        <v>False</v>
      </c>
    </row>
    <row r="97" spans="1:7" hidden="1" x14ac:dyDescent="0.3">
      <c r="A97" s="77" t="str">
        <f ca="1">IF(MOD(ROW(),2)=0,OFFSET(CT!$A$1,INT(ROW()/2)+1,COLUMN(CT!A94)-1),"")</f>
        <v/>
      </c>
      <c r="B97" s="77" t="str">
        <f ca="1">IF(MOD(ROW(),2)=0,OFFSET(CT!$A$1,INT(ROW()/2)+1,COLUMN(CT!B94)-1),"")</f>
        <v/>
      </c>
      <c r="C97" s="77" t="str">
        <f ca="1">IF(MOD(ROW(),2)=0,OFFSET(CT!$A$1,INT(ROW()/2)+1,COLUMN(CT!C94)-1),"")</f>
        <v/>
      </c>
      <c r="D97" s="23" t="str">
        <f ca="1">OFFSET(CT!$A$1,INT(ROW()/2)+1,IF(MOD(ROW(),2)=0,COLUMN(CT!D94)-1,COLUMN(CT!E94)-1))</f>
        <v>5112.0202</v>
      </c>
      <c r="E97" s="78">
        <f ca="1">IF(MOD(ROW(),2)=0,OFFSET(CT!$A$1,INT(ROW()/2)+1,COLUMN(CT!H94)-1),0)</f>
        <v>0</v>
      </c>
      <c r="F97" s="78">
        <f ca="1">IF(MOD(ROW(),2)=1,OFFSET(CT!$A$1,INT(ROW()/2)+1,COLUMN(CT!H94)-1),0)</f>
        <v>30000000</v>
      </c>
      <c r="G97" s="3" t="str">
        <f ca="1">IF(OFFSET(CT!$A$1,INT(ROW()/2)+1,COLUMN(CT!N94)-1)="No","False","True")</f>
        <v>False</v>
      </c>
    </row>
    <row r="98" spans="1:7" hidden="1" x14ac:dyDescent="0.3">
      <c r="A98" s="77">
        <f ca="1">IF(MOD(ROW(),2)=0,OFFSET(CT!$A$1,INT(ROW()/2)+1,COLUMN(CT!A95)-1),"")</f>
        <v>45319</v>
      </c>
      <c r="B98" s="77" t="str">
        <f ca="1">IF(MOD(ROW(),2)=0,OFFSET(CT!$A$1,INT(ROW()/2)+1,COLUMN(CT!B95)-1),"")</f>
        <v>01/TU</v>
      </c>
      <c r="C98" s="77" t="str">
        <f ca="1">IF(MOD(ROW(),2)=0,OFFSET(CT!$A$1,INT(ROW()/2)+1,COLUMN(CT!C95)-1),"")</f>
        <v>Thanh toán tạm ứng Hồ Sĩ Nhật</v>
      </c>
      <c r="D98" s="23" t="str">
        <f ca="1">OFFSET(CT!$A$1,INT(ROW()/2)+1,IF(MOD(ROW(),2)=0,COLUMN(CT!D95)-1,COLUMN(CT!E95)-1))</f>
        <v>1111</v>
      </c>
      <c r="E98" s="78">
        <f ca="1">IF(MOD(ROW(),2)=0,OFFSET(CT!$A$1,INT(ROW()/2)+1,COLUMN(CT!H95)-1),0)</f>
        <v>200000</v>
      </c>
      <c r="F98" s="78">
        <f ca="1">IF(MOD(ROW(),2)=1,OFFSET(CT!$A$1,INT(ROW()/2)+1,COLUMN(CT!H95)-1),0)</f>
        <v>0</v>
      </c>
      <c r="G98" s="3" t="str">
        <f ca="1">IF(OFFSET(CT!$A$1,INT(ROW()/2)+1,COLUMN(CT!N95)-1)="No","False","True")</f>
        <v>False</v>
      </c>
    </row>
    <row r="99" spans="1:7" hidden="1" x14ac:dyDescent="0.3">
      <c r="A99" s="77" t="str">
        <f ca="1">IF(MOD(ROW(),2)=0,OFFSET(CT!$A$1,INT(ROW()/2)+1,COLUMN(CT!A96)-1),"")</f>
        <v/>
      </c>
      <c r="B99" s="77" t="str">
        <f ca="1">IF(MOD(ROW(),2)=0,OFFSET(CT!$A$1,INT(ROW()/2)+1,COLUMN(CT!B96)-1),"")</f>
        <v/>
      </c>
      <c r="C99" s="77" t="str">
        <f ca="1">IF(MOD(ROW(),2)=0,OFFSET(CT!$A$1,INT(ROW()/2)+1,COLUMN(CT!C96)-1),"")</f>
        <v/>
      </c>
      <c r="D99" s="23" t="str">
        <f ca="1">OFFSET(CT!$A$1,INT(ROW()/2)+1,IF(MOD(ROW(),2)=0,COLUMN(CT!D96)-1,COLUMN(CT!E96)-1))</f>
        <v>141.0102</v>
      </c>
      <c r="E99" s="78">
        <f ca="1">IF(MOD(ROW(),2)=0,OFFSET(CT!$A$1,INT(ROW()/2)+1,COLUMN(CT!H96)-1),0)</f>
        <v>0</v>
      </c>
      <c r="F99" s="78">
        <f ca="1">IF(MOD(ROW(),2)=1,OFFSET(CT!$A$1,INT(ROW()/2)+1,COLUMN(CT!H96)-1),0)</f>
        <v>200000</v>
      </c>
      <c r="G99" s="3" t="str">
        <f ca="1">IF(OFFSET(CT!$A$1,INT(ROW()/2)+1,COLUMN(CT!N96)-1)="No","False","True")</f>
        <v>False</v>
      </c>
    </row>
    <row r="100" spans="1:7" x14ac:dyDescent="0.3">
      <c r="A100" s="77">
        <f ca="1">IF(MOD(ROW(),2)=0,OFFSET(CT!$A$1,INT(ROW()/2)+1,COLUMN(CT!A97)-1),"")</f>
        <v>45319</v>
      </c>
      <c r="B100" s="77" t="str">
        <f ca="1">IF(MOD(ROW(),2)=0,OFFSET(CT!$A$1,INT(ROW()/2)+1,COLUMN(CT!B97)-1),"")</f>
        <v>01/TU</v>
      </c>
      <c r="C100" s="77" t="str">
        <f ca="1">IF(MOD(ROW(),2)=0,OFFSET(CT!$A$1,INT(ROW()/2)+1,COLUMN(CT!C97)-1),"")</f>
        <v>Thanh toán tạm ứng Hồ Sĩ Nhật</v>
      </c>
      <c r="D100" s="23" t="str">
        <f ca="1">OFFSET(CT!$A$1,INT(ROW()/2)+1,IF(MOD(ROW(),2)=0,COLUMN(CT!D97)-1,COLUMN(CT!E97)-1))</f>
        <v>6428</v>
      </c>
      <c r="E100" s="78">
        <f ca="1">IF(MOD(ROW(),2)=0,OFFSET(CT!$A$1,INT(ROW()/2)+1,COLUMN(CT!H97)-1),0)</f>
        <v>1800000</v>
      </c>
      <c r="F100" s="78">
        <f ca="1">IF(MOD(ROW(),2)=1,OFFSET(CT!$A$1,INT(ROW()/2)+1,COLUMN(CT!H97)-1),0)</f>
        <v>0</v>
      </c>
      <c r="G100" s="153" t="str">
        <f ca="1">IF(OFFSET(CT!$A$1,INT(ROW()/2)+1,COLUMN(CT!N97)-1)="No","False","True")</f>
        <v>True</v>
      </c>
    </row>
    <row r="101" spans="1:7" x14ac:dyDescent="0.3">
      <c r="A101" s="77" t="str">
        <f ca="1">IF(MOD(ROW(),2)=0,OFFSET(CT!$A$1,INT(ROW()/2)+1,COLUMN(CT!A98)-1),"")</f>
        <v/>
      </c>
      <c r="B101" s="77" t="str">
        <f ca="1">IF(MOD(ROW(),2)=0,OFFSET(CT!$A$1,INT(ROW()/2)+1,COLUMN(CT!B98)-1),"")</f>
        <v/>
      </c>
      <c r="C101" s="77" t="str">
        <f ca="1">IF(MOD(ROW(),2)=0,OFFSET(CT!$A$1,INT(ROW()/2)+1,COLUMN(CT!C98)-1),"")</f>
        <v/>
      </c>
      <c r="D101" s="23" t="str">
        <f ca="1">OFFSET(CT!$A$1,INT(ROW()/2)+1,IF(MOD(ROW(),2)=0,COLUMN(CT!D98)-1,COLUMN(CT!E98)-1))</f>
        <v>141.0102</v>
      </c>
      <c r="E101" s="78">
        <f ca="1">IF(MOD(ROW(),2)=0,OFFSET(CT!$A$1,INT(ROW()/2)+1,COLUMN(CT!H98)-1),0)</f>
        <v>0</v>
      </c>
      <c r="F101" s="78">
        <f ca="1">IF(MOD(ROW(),2)=1,OFFSET(CT!$A$1,INT(ROW()/2)+1,COLUMN(CT!H98)-1),0)</f>
        <v>1800000</v>
      </c>
      <c r="G101" s="153" t="str">
        <f ca="1">IF(OFFSET(CT!$A$1,INT(ROW()/2)+1,COLUMN(CT!N98)-1)="No","False","True")</f>
        <v>True</v>
      </c>
    </row>
    <row r="102" spans="1:7" hidden="1" x14ac:dyDescent="0.3">
      <c r="A102" s="77">
        <f ca="1">IF(MOD(ROW(),2)=0,OFFSET(CT!$A$1,INT(ROW()/2)+1,COLUMN(CT!A99)-1),"")</f>
        <v>45319</v>
      </c>
      <c r="B102" s="77" t="str">
        <f ca="1">IF(MOD(ROW(),2)=0,OFFSET(CT!$A$1,INT(ROW()/2)+1,COLUMN(CT!B99)-1),"")</f>
        <v>04/PC</v>
      </c>
      <c r="C102" s="77" t="str">
        <f ca="1">IF(MOD(ROW(),2)=0,OFFSET(CT!$A$1,INT(ROW()/2)+1,COLUMN(CT!C99)-1),"")</f>
        <v>Thuế GTGT mua máy xẻ gỗ</v>
      </c>
      <c r="D102" s="23" t="str">
        <f ca="1">OFFSET(CT!$A$1,INT(ROW()/2)+1,IF(MOD(ROW(),2)=0,COLUMN(CT!D99)-1,COLUMN(CT!E99)-1))</f>
        <v>1332</v>
      </c>
      <c r="E102" s="78">
        <f ca="1">IF(MOD(ROW(),2)=0,OFFSET(CT!$A$1,INT(ROW()/2)+1,COLUMN(CT!H99)-1),0)</f>
        <v>14000000</v>
      </c>
      <c r="F102" s="78">
        <f ca="1">IF(MOD(ROW(),2)=1,OFFSET(CT!$A$1,INT(ROW()/2)+1,COLUMN(CT!H99)-1),0)</f>
        <v>0</v>
      </c>
      <c r="G102" s="3" t="str">
        <f ca="1">IF(OFFSET(CT!$A$1,INT(ROW()/2)+1,COLUMN(CT!N99)-1)="No","False","True")</f>
        <v>False</v>
      </c>
    </row>
    <row r="103" spans="1:7" hidden="1" x14ac:dyDescent="0.3">
      <c r="A103" s="77" t="str">
        <f ca="1">IF(MOD(ROW(),2)=0,OFFSET(CT!$A$1,INT(ROW()/2)+1,COLUMN(CT!A100)-1),"")</f>
        <v/>
      </c>
      <c r="B103" s="77" t="str">
        <f ca="1">IF(MOD(ROW(),2)=0,OFFSET(CT!$A$1,INT(ROW()/2)+1,COLUMN(CT!B100)-1),"")</f>
        <v/>
      </c>
      <c r="C103" s="77" t="str">
        <f ca="1">IF(MOD(ROW(),2)=0,OFFSET(CT!$A$1,INT(ROW()/2)+1,COLUMN(CT!C100)-1),"")</f>
        <v/>
      </c>
      <c r="D103" s="23" t="str">
        <f ca="1">OFFSET(CT!$A$1,INT(ROW()/2)+1,IF(MOD(ROW(),2)=0,COLUMN(CT!D100)-1,COLUMN(CT!E100)-1))</f>
        <v>1111</v>
      </c>
      <c r="E103" s="78">
        <f ca="1">IF(MOD(ROW(),2)=0,OFFSET(CT!$A$1,INT(ROW()/2)+1,COLUMN(CT!H100)-1),0)</f>
        <v>0</v>
      </c>
      <c r="F103" s="78">
        <f ca="1">IF(MOD(ROW(),2)=1,OFFSET(CT!$A$1,INT(ROW()/2)+1,COLUMN(CT!H100)-1),0)</f>
        <v>14000000</v>
      </c>
      <c r="G103" s="3" t="str">
        <f ca="1">IF(OFFSET(CT!$A$1,INT(ROW()/2)+1,COLUMN(CT!N100)-1)="No","False","True")</f>
        <v>False</v>
      </c>
    </row>
    <row r="104" spans="1:7" hidden="1" x14ac:dyDescent="0.3">
      <c r="A104" s="77">
        <f ca="1">IF(MOD(ROW(),2)=0,OFFSET(CT!$A$1,INT(ROW()/2)+1,COLUMN(CT!A101)-1),"")</f>
        <v>45319</v>
      </c>
      <c r="B104" s="77" t="str">
        <f ca="1">IF(MOD(ROW(),2)=0,OFFSET(CT!$A$1,INT(ROW()/2)+1,COLUMN(CT!B101)-1),"")</f>
        <v>04/PC</v>
      </c>
      <c r="C104" s="77" t="str">
        <f ca="1">IF(MOD(ROW(),2)=0,OFFSET(CT!$A$1,INT(ROW()/2)+1,COLUMN(CT!C101)-1),"")</f>
        <v>Mua máy xẻ gỗ</v>
      </c>
      <c r="D104" s="23" t="str">
        <f ca="1">OFFSET(CT!$A$1,INT(ROW()/2)+1,IF(MOD(ROW(),2)=0,COLUMN(CT!D101)-1,COLUMN(CT!E101)-1))</f>
        <v>2112.04</v>
      </c>
      <c r="E104" s="78">
        <f ca="1">IF(MOD(ROW(),2)=0,OFFSET(CT!$A$1,INT(ROW()/2)+1,COLUMN(CT!H101)-1),0)</f>
        <v>140000000</v>
      </c>
      <c r="F104" s="78">
        <f ca="1">IF(MOD(ROW(),2)=1,OFFSET(CT!$A$1,INT(ROW()/2)+1,COLUMN(CT!H101)-1),0)</f>
        <v>0</v>
      </c>
      <c r="G104" s="3" t="str">
        <f ca="1">IF(OFFSET(CT!$A$1,INT(ROW()/2)+1,COLUMN(CT!N101)-1)="No","False","True")</f>
        <v>False</v>
      </c>
    </row>
    <row r="105" spans="1:7" hidden="1" x14ac:dyDescent="0.3">
      <c r="A105" s="77" t="str">
        <f ca="1">IF(MOD(ROW(),2)=0,OFFSET(CT!$A$1,INT(ROW()/2)+1,COLUMN(CT!A102)-1),"")</f>
        <v/>
      </c>
      <c r="B105" s="77" t="str">
        <f ca="1">IF(MOD(ROW(),2)=0,OFFSET(CT!$A$1,INT(ROW()/2)+1,COLUMN(CT!B102)-1),"")</f>
        <v/>
      </c>
      <c r="C105" s="77" t="str">
        <f ca="1">IF(MOD(ROW(),2)=0,OFFSET(CT!$A$1,INT(ROW()/2)+1,COLUMN(CT!C102)-1),"")</f>
        <v/>
      </c>
      <c r="D105" s="23" t="str">
        <f ca="1">OFFSET(CT!$A$1,INT(ROW()/2)+1,IF(MOD(ROW(),2)=0,COLUMN(CT!D102)-1,COLUMN(CT!E102)-1))</f>
        <v>1111</v>
      </c>
      <c r="E105" s="78">
        <f ca="1">IF(MOD(ROW(),2)=0,OFFSET(CT!$A$1,INT(ROW()/2)+1,COLUMN(CT!H102)-1),0)</f>
        <v>0</v>
      </c>
      <c r="F105" s="78">
        <f ca="1">IF(MOD(ROW(),2)=1,OFFSET(CT!$A$1,INT(ROW()/2)+1,COLUMN(CT!H102)-1),0)</f>
        <v>140000000</v>
      </c>
      <c r="G105" s="3" t="str">
        <f ca="1">IF(OFFSET(CT!$A$1,INT(ROW()/2)+1,COLUMN(CT!N102)-1)="No","False","True")</f>
        <v>False</v>
      </c>
    </row>
    <row r="106" spans="1:7" x14ac:dyDescent="0.3">
      <c r="A106" s="77">
        <f ca="1">IF(MOD(ROW(),2)=0,OFFSET(CT!$A$1,INT(ROW()/2)+1,COLUMN(CT!A103)-1),"")</f>
        <v>45322</v>
      </c>
      <c r="B106" s="77" t="str">
        <f ca="1">IF(MOD(ROW(),2)=0,OFFSET(CT!$A$1,INT(ROW()/2)+1,COLUMN(CT!B103)-1),"")</f>
        <v>TH2</v>
      </c>
      <c r="C106" s="77" t="str">
        <f ca="1">IF(MOD(ROW(),2)=0,OFFSET(CT!$A$1,INT(ROW()/2)+1,COLUMN(CT!C103)-1),"")</f>
        <v>Tính các khoản trích theo lương vào chi phí</v>
      </c>
      <c r="D106" s="23" t="str">
        <f ca="1">OFFSET(CT!$A$1,INT(ROW()/2)+1,IF(MOD(ROW(),2)=0,COLUMN(CT!D103)-1,COLUMN(CT!E103)-1))</f>
        <v>6411</v>
      </c>
      <c r="E106" s="78">
        <f ca="1">IF(MOD(ROW(),2)=0,OFFSET(CT!$A$1,INT(ROW()/2)+1,COLUMN(CT!H103)-1),0)</f>
        <v>50000</v>
      </c>
      <c r="F106" s="78">
        <f ca="1">IF(MOD(ROW(),2)=1,OFFSET(CT!$A$1,INT(ROW()/2)+1,COLUMN(CT!H103)-1),0)</f>
        <v>0</v>
      </c>
      <c r="G106" s="153" t="str">
        <f ca="1">IF(OFFSET(CT!$A$1,INT(ROW()/2)+1,COLUMN(CT!N103)-1)="No","False","True")</f>
        <v>True</v>
      </c>
    </row>
    <row r="107" spans="1:7" x14ac:dyDescent="0.3">
      <c r="A107" s="77" t="str">
        <f ca="1">IF(MOD(ROW(),2)=0,OFFSET(CT!$A$1,INT(ROW()/2)+1,COLUMN(CT!A104)-1),"")</f>
        <v/>
      </c>
      <c r="B107" s="77" t="str">
        <f ca="1">IF(MOD(ROW(),2)=0,OFFSET(CT!$A$1,INT(ROW()/2)+1,COLUMN(CT!B104)-1),"")</f>
        <v/>
      </c>
      <c r="C107" s="77" t="str">
        <f ca="1">IF(MOD(ROW(),2)=0,OFFSET(CT!$A$1,INT(ROW()/2)+1,COLUMN(CT!C104)-1),"")</f>
        <v/>
      </c>
      <c r="D107" s="23" t="str">
        <f ca="1">OFFSET(CT!$A$1,INT(ROW()/2)+1,IF(MOD(ROW(),2)=0,COLUMN(CT!D104)-1,COLUMN(CT!E104)-1))</f>
        <v>3388</v>
      </c>
      <c r="E107" s="78">
        <f ca="1">IF(MOD(ROW(),2)=0,OFFSET(CT!$A$1,INT(ROW()/2)+1,COLUMN(CT!H104)-1),0)</f>
        <v>0</v>
      </c>
      <c r="F107" s="78">
        <f ca="1">IF(MOD(ROW(),2)=1,OFFSET(CT!$A$1,INT(ROW()/2)+1,COLUMN(CT!H104)-1),0)</f>
        <v>50000</v>
      </c>
      <c r="G107" s="153" t="str">
        <f ca="1">IF(OFFSET(CT!$A$1,INT(ROW()/2)+1,COLUMN(CT!N104)-1)="No","False","True")</f>
        <v>True</v>
      </c>
    </row>
    <row r="108" spans="1:7" x14ac:dyDescent="0.3">
      <c r="A108" s="77">
        <f ca="1">IF(MOD(ROW(),2)=0,OFFSET(CT!$A$1,INT(ROW()/2)+1,COLUMN(CT!A105)-1),"")</f>
        <v>45322</v>
      </c>
      <c r="B108" s="77" t="str">
        <f ca="1">IF(MOD(ROW(),2)=0,OFFSET(CT!$A$1,INT(ROW()/2)+1,COLUMN(CT!B105)-1),"")</f>
        <v>TH2</v>
      </c>
      <c r="C108" s="77" t="str">
        <f ca="1">IF(MOD(ROW(),2)=0,OFFSET(CT!$A$1,INT(ROW()/2)+1,COLUMN(CT!C105)-1),"")</f>
        <v>Tính các khoản trích theo lương vào chi phí</v>
      </c>
      <c r="D108" s="23" t="str">
        <f ca="1">OFFSET(CT!$A$1,INT(ROW()/2)+1,IF(MOD(ROW(),2)=0,COLUMN(CT!D105)-1,COLUMN(CT!E105)-1))</f>
        <v>6421</v>
      </c>
      <c r="E108" s="78">
        <f ca="1">IF(MOD(ROW(),2)=0,OFFSET(CT!$A$1,INT(ROW()/2)+1,COLUMN(CT!H105)-1),0)</f>
        <v>70000</v>
      </c>
      <c r="F108" s="78">
        <f ca="1">IF(MOD(ROW(),2)=1,OFFSET(CT!$A$1,INT(ROW()/2)+1,COLUMN(CT!H105)-1),0)</f>
        <v>0</v>
      </c>
      <c r="G108" s="153" t="str">
        <f ca="1">IF(OFFSET(CT!$A$1,INT(ROW()/2)+1,COLUMN(CT!N105)-1)="No","False","True")</f>
        <v>True</v>
      </c>
    </row>
    <row r="109" spans="1:7" x14ac:dyDescent="0.3">
      <c r="A109" s="77" t="str">
        <f ca="1">IF(MOD(ROW(),2)=0,OFFSET(CT!$A$1,INT(ROW()/2)+1,COLUMN(CT!A106)-1),"")</f>
        <v/>
      </c>
      <c r="B109" s="77" t="str">
        <f ca="1">IF(MOD(ROW(),2)=0,OFFSET(CT!$A$1,INT(ROW()/2)+1,COLUMN(CT!B106)-1),"")</f>
        <v/>
      </c>
      <c r="C109" s="77" t="str">
        <f ca="1">IF(MOD(ROW(),2)=0,OFFSET(CT!$A$1,INT(ROW()/2)+1,COLUMN(CT!C106)-1),"")</f>
        <v/>
      </c>
      <c r="D109" s="23" t="str">
        <f ca="1">OFFSET(CT!$A$1,INT(ROW()/2)+1,IF(MOD(ROW(),2)=0,COLUMN(CT!D106)-1,COLUMN(CT!E106)-1))</f>
        <v>3388</v>
      </c>
      <c r="E109" s="78">
        <f ca="1">IF(MOD(ROW(),2)=0,OFFSET(CT!$A$1,INT(ROW()/2)+1,COLUMN(CT!H106)-1),0)</f>
        <v>0</v>
      </c>
      <c r="F109" s="78">
        <f ca="1">IF(MOD(ROW(),2)=1,OFFSET(CT!$A$1,INT(ROW()/2)+1,COLUMN(CT!H106)-1),0)</f>
        <v>70000</v>
      </c>
      <c r="G109" s="153" t="str">
        <f ca="1">IF(OFFSET(CT!$A$1,INT(ROW()/2)+1,COLUMN(CT!N106)-1)="No","False","True")</f>
        <v>True</v>
      </c>
    </row>
    <row r="110" spans="1:7" x14ac:dyDescent="0.3">
      <c r="A110" s="77">
        <f ca="1">IF(MOD(ROW(),2)=0,OFFSET(CT!$A$1,INT(ROW()/2)+1,COLUMN(CT!A107)-1),"")</f>
        <v>45322</v>
      </c>
      <c r="B110" s="77" t="str">
        <f ca="1">IF(MOD(ROW(),2)=0,OFFSET(CT!$A$1,INT(ROW()/2)+1,COLUMN(CT!B107)-1),"")</f>
        <v>TH10</v>
      </c>
      <c r="C110" s="77" t="str">
        <f ca="1">IF(MOD(ROW(),2)=0,OFFSET(CT!$A$1,INT(ROW()/2)+1,COLUMN(CT!C107)-1),"")</f>
        <v>Kết chuyển CFBH vào TK911</v>
      </c>
      <c r="D110" s="23" t="str">
        <f ca="1">OFFSET(CT!$A$1,INT(ROW()/2)+1,IF(MOD(ROW(),2)=0,COLUMN(CT!D107)-1,COLUMN(CT!E107)-1))</f>
        <v>9111.0102</v>
      </c>
      <c r="E110" s="78">
        <f ca="1">IF(MOD(ROW(),2)=0,OFFSET(CT!$A$1,INT(ROW()/2)+1,COLUMN(CT!H107)-1),0)</f>
        <v>72180</v>
      </c>
      <c r="F110" s="78">
        <f ca="1">IF(MOD(ROW(),2)=1,OFFSET(CT!$A$1,INT(ROW()/2)+1,COLUMN(CT!H107)-1),0)</f>
        <v>0</v>
      </c>
      <c r="G110" s="153" t="str">
        <f ca="1">IF(OFFSET(CT!$A$1,INT(ROW()/2)+1,COLUMN(CT!N107)-1)="No","False","True")</f>
        <v>True</v>
      </c>
    </row>
    <row r="111" spans="1:7" x14ac:dyDescent="0.3">
      <c r="A111" s="77" t="str">
        <f ca="1">IF(MOD(ROW(),2)=0,OFFSET(CT!$A$1,INT(ROW()/2)+1,COLUMN(CT!A108)-1),"")</f>
        <v/>
      </c>
      <c r="B111" s="77" t="str">
        <f ca="1">IF(MOD(ROW(),2)=0,OFFSET(CT!$A$1,INT(ROW()/2)+1,COLUMN(CT!B108)-1),"")</f>
        <v/>
      </c>
      <c r="C111" s="77" t="str">
        <f ca="1">IF(MOD(ROW(),2)=0,OFFSET(CT!$A$1,INT(ROW()/2)+1,COLUMN(CT!C108)-1),"")</f>
        <v/>
      </c>
      <c r="D111" s="23" t="str">
        <f ca="1">OFFSET(CT!$A$1,INT(ROW()/2)+1,IF(MOD(ROW(),2)=0,COLUMN(CT!D108)-1,COLUMN(CT!E108)-1))</f>
        <v>6413</v>
      </c>
      <c r="E111" s="78">
        <f ca="1">IF(MOD(ROW(),2)=0,OFFSET(CT!$A$1,INT(ROW()/2)+1,COLUMN(CT!H108)-1),0)</f>
        <v>0</v>
      </c>
      <c r="F111" s="78">
        <f ca="1">IF(MOD(ROW(),2)=1,OFFSET(CT!$A$1,INT(ROW()/2)+1,COLUMN(CT!H108)-1),0)</f>
        <v>72180</v>
      </c>
      <c r="G111" s="153" t="str">
        <f ca="1">IF(OFFSET(CT!$A$1,INT(ROW()/2)+1,COLUMN(CT!N108)-1)="No","False","True")</f>
        <v>True</v>
      </c>
    </row>
    <row r="112" spans="1:7" x14ac:dyDescent="0.3">
      <c r="A112" s="77">
        <f ca="1">IF(MOD(ROW(),2)=0,OFFSET(CT!$A$1,INT(ROW()/2)+1,COLUMN(CT!A109)-1),"")</f>
        <v>45322</v>
      </c>
      <c r="B112" s="77" t="str">
        <f ca="1">IF(MOD(ROW(),2)=0,OFFSET(CT!$A$1,INT(ROW()/2)+1,COLUMN(CT!B109)-1),"")</f>
        <v>TH10</v>
      </c>
      <c r="C112" s="77" t="str">
        <f ca="1">IF(MOD(ROW(),2)=0,OFFSET(CT!$A$1,INT(ROW()/2)+1,COLUMN(CT!C109)-1),"")</f>
        <v>Kết chuyển CFBH vào TK911</v>
      </c>
      <c r="D112" s="23" t="str">
        <f ca="1">OFFSET(CT!$A$1,INT(ROW()/2)+1,IF(MOD(ROW(),2)=0,COLUMN(CT!D109)-1,COLUMN(CT!E109)-1))</f>
        <v>9111.0202</v>
      </c>
      <c r="E112" s="78">
        <f ca="1">IF(MOD(ROW(),2)=0,OFFSET(CT!$A$1,INT(ROW()/2)+1,COLUMN(CT!H109)-1),0)</f>
        <v>88690</v>
      </c>
      <c r="F112" s="78">
        <f ca="1">IF(MOD(ROW(),2)=1,OFFSET(CT!$A$1,INT(ROW()/2)+1,COLUMN(CT!H109)-1),0)</f>
        <v>0</v>
      </c>
      <c r="G112" s="153" t="str">
        <f ca="1">IF(OFFSET(CT!$A$1,INT(ROW()/2)+1,COLUMN(CT!N109)-1)="No","False","True")</f>
        <v>True</v>
      </c>
    </row>
    <row r="113" spans="1:7" x14ac:dyDescent="0.3">
      <c r="A113" s="77" t="str">
        <f ca="1">IF(MOD(ROW(),2)=0,OFFSET(CT!$A$1,INT(ROW()/2)+1,COLUMN(CT!A110)-1),"")</f>
        <v/>
      </c>
      <c r="B113" s="77" t="str">
        <f ca="1">IF(MOD(ROW(),2)=0,OFFSET(CT!$A$1,INT(ROW()/2)+1,COLUMN(CT!B110)-1),"")</f>
        <v/>
      </c>
      <c r="C113" s="77" t="str">
        <f ca="1">IF(MOD(ROW(),2)=0,OFFSET(CT!$A$1,INT(ROW()/2)+1,COLUMN(CT!C110)-1),"")</f>
        <v/>
      </c>
      <c r="D113" s="23" t="str">
        <f ca="1">OFFSET(CT!$A$1,INT(ROW()/2)+1,IF(MOD(ROW(),2)=0,COLUMN(CT!D110)-1,COLUMN(CT!E110)-1))</f>
        <v>6413</v>
      </c>
      <c r="E113" s="78">
        <f ca="1">IF(MOD(ROW(),2)=0,OFFSET(CT!$A$1,INT(ROW()/2)+1,COLUMN(CT!H110)-1),0)</f>
        <v>0</v>
      </c>
      <c r="F113" s="78">
        <f ca="1">IF(MOD(ROW(),2)=1,OFFSET(CT!$A$1,INT(ROW()/2)+1,COLUMN(CT!H110)-1),0)</f>
        <v>88690</v>
      </c>
      <c r="G113" s="153" t="str">
        <f ca="1">IF(OFFSET(CT!$A$1,INT(ROW()/2)+1,COLUMN(CT!N110)-1)="No","False","True")</f>
        <v>True</v>
      </c>
    </row>
    <row r="114" spans="1:7" x14ac:dyDescent="0.3">
      <c r="A114" s="77">
        <f ca="1">IF(MOD(ROW(),2)=0,OFFSET(CT!$A$1,INT(ROW()/2)+1,COLUMN(CT!A111)-1),"")</f>
        <v>45322</v>
      </c>
      <c r="B114" s="77" t="str">
        <f ca="1">IF(MOD(ROW(),2)=0,OFFSET(CT!$A$1,INT(ROW()/2)+1,COLUMN(CT!B111)-1),"")</f>
        <v>TH10</v>
      </c>
      <c r="C114" s="77" t="str">
        <f ca="1">IF(MOD(ROW(),2)=0,OFFSET(CT!$A$1,INT(ROW()/2)+1,COLUMN(CT!C111)-1),"")</f>
        <v>Kết chuyển CFBH vào TK911</v>
      </c>
      <c r="D114" s="23" t="str">
        <f ca="1">OFFSET(CT!$A$1,INT(ROW()/2)+1,IF(MOD(ROW(),2)=0,COLUMN(CT!D111)-1,COLUMN(CT!E111)-1))</f>
        <v>9111.0101</v>
      </c>
      <c r="E114" s="78">
        <f ca="1">IF(MOD(ROW(),2)=0,OFFSET(CT!$A$1,INT(ROW()/2)+1,COLUMN(CT!H111)-1),0)</f>
        <v>89130</v>
      </c>
      <c r="F114" s="78">
        <f ca="1">IF(MOD(ROW(),2)=1,OFFSET(CT!$A$1,INT(ROW()/2)+1,COLUMN(CT!H111)-1),0)</f>
        <v>0</v>
      </c>
      <c r="G114" s="153" t="str">
        <f ca="1">IF(OFFSET(CT!$A$1,INT(ROW()/2)+1,COLUMN(CT!N111)-1)="No","False","True")</f>
        <v>True</v>
      </c>
    </row>
    <row r="115" spans="1:7" x14ac:dyDescent="0.3">
      <c r="A115" s="77" t="str">
        <f ca="1">IF(MOD(ROW(),2)=0,OFFSET(CT!$A$1,INT(ROW()/2)+1,COLUMN(CT!A112)-1),"")</f>
        <v/>
      </c>
      <c r="B115" s="77" t="str">
        <f ca="1">IF(MOD(ROW(),2)=0,OFFSET(CT!$A$1,INT(ROW()/2)+1,COLUMN(CT!B112)-1),"")</f>
        <v/>
      </c>
      <c r="C115" s="77" t="str">
        <f ca="1">IF(MOD(ROW(),2)=0,OFFSET(CT!$A$1,INT(ROW()/2)+1,COLUMN(CT!C112)-1),"")</f>
        <v/>
      </c>
      <c r="D115" s="23" t="str">
        <f ca="1">OFFSET(CT!$A$1,INT(ROW()/2)+1,IF(MOD(ROW(),2)=0,COLUMN(CT!D112)-1,COLUMN(CT!E112)-1))</f>
        <v>6413</v>
      </c>
      <c r="E115" s="78">
        <f ca="1">IF(MOD(ROW(),2)=0,OFFSET(CT!$A$1,INT(ROW()/2)+1,COLUMN(CT!H112)-1),0)</f>
        <v>0</v>
      </c>
      <c r="F115" s="78">
        <f ca="1">IF(MOD(ROW(),2)=1,OFFSET(CT!$A$1,INT(ROW()/2)+1,COLUMN(CT!H112)-1),0)</f>
        <v>89130</v>
      </c>
      <c r="G115" s="153" t="str">
        <f ca="1">IF(OFFSET(CT!$A$1,INT(ROW()/2)+1,COLUMN(CT!N112)-1)="No","False","True")</f>
        <v>True</v>
      </c>
    </row>
    <row r="116" spans="1:7" x14ac:dyDescent="0.3">
      <c r="A116" s="77">
        <f ca="1">IF(MOD(ROW(),2)=0,OFFSET(CT!$A$1,INT(ROW()/2)+1,COLUMN(CT!A113)-1),"")</f>
        <v>45322</v>
      </c>
      <c r="B116" s="77" t="str">
        <f ca="1">IF(MOD(ROW(),2)=0,OFFSET(CT!$A$1,INT(ROW()/2)+1,COLUMN(CT!B113)-1),"")</f>
        <v>TH2</v>
      </c>
      <c r="C116" s="77" t="str">
        <f ca="1">IF(MOD(ROW(),2)=0,OFFSET(CT!$A$1,INT(ROW()/2)+1,COLUMN(CT!C113)-1),"")</f>
        <v>Tính các khoản trích theo lương vào chi phí</v>
      </c>
      <c r="D116" s="23" t="str">
        <f ca="1">OFFSET(CT!$A$1,INT(ROW()/2)+1,IF(MOD(ROW(),2)=0,COLUMN(CT!D113)-1,COLUMN(CT!E113)-1))</f>
        <v>6411</v>
      </c>
      <c r="E116" s="78">
        <f ca="1">IF(MOD(ROW(),2)=0,OFFSET(CT!$A$1,INT(ROW()/2)+1,COLUMN(CT!H113)-1),0)</f>
        <v>100000</v>
      </c>
      <c r="F116" s="78">
        <f ca="1">IF(MOD(ROW(),2)=1,OFFSET(CT!$A$1,INT(ROW()/2)+1,COLUMN(CT!H113)-1),0)</f>
        <v>0</v>
      </c>
      <c r="G116" s="153" t="str">
        <f ca="1">IF(OFFSET(CT!$A$1,INT(ROW()/2)+1,COLUMN(CT!N113)-1)="No","False","True")</f>
        <v>True</v>
      </c>
    </row>
    <row r="117" spans="1:7" x14ac:dyDescent="0.3">
      <c r="A117" s="77" t="str">
        <f ca="1">IF(MOD(ROW(),2)=0,OFFSET(CT!$A$1,INT(ROW()/2)+1,COLUMN(CT!A114)-1),"")</f>
        <v/>
      </c>
      <c r="B117" s="77" t="str">
        <f ca="1">IF(MOD(ROW(),2)=0,OFFSET(CT!$A$1,INT(ROW()/2)+1,COLUMN(CT!B114)-1),"")</f>
        <v/>
      </c>
      <c r="C117" s="77" t="str">
        <f ca="1">IF(MOD(ROW(),2)=0,OFFSET(CT!$A$1,INT(ROW()/2)+1,COLUMN(CT!C114)-1),"")</f>
        <v/>
      </c>
      <c r="D117" s="23" t="str">
        <f ca="1">OFFSET(CT!$A$1,INT(ROW()/2)+1,IF(MOD(ROW(),2)=0,COLUMN(CT!D114)-1,COLUMN(CT!E114)-1))</f>
        <v>3382</v>
      </c>
      <c r="E117" s="78">
        <f ca="1">IF(MOD(ROW(),2)=0,OFFSET(CT!$A$1,INT(ROW()/2)+1,COLUMN(CT!H114)-1),0)</f>
        <v>0</v>
      </c>
      <c r="F117" s="78">
        <f ca="1">IF(MOD(ROW(),2)=1,OFFSET(CT!$A$1,INT(ROW()/2)+1,COLUMN(CT!H114)-1),0)</f>
        <v>100000</v>
      </c>
      <c r="G117" s="153" t="str">
        <f ca="1">IF(OFFSET(CT!$A$1,INT(ROW()/2)+1,COLUMN(CT!N114)-1)="No","False","True")</f>
        <v>True</v>
      </c>
    </row>
    <row r="118" spans="1:7" x14ac:dyDescent="0.3">
      <c r="A118" s="77">
        <f ca="1">IF(MOD(ROW(),2)=0,OFFSET(CT!$A$1,INT(ROW()/2)+1,COLUMN(CT!A115)-1),"")</f>
        <v>45322</v>
      </c>
      <c r="B118" s="77" t="str">
        <f ca="1">IF(MOD(ROW(),2)=0,OFFSET(CT!$A$1,INT(ROW()/2)+1,COLUMN(CT!B115)-1),"")</f>
        <v>TH5</v>
      </c>
      <c r="C118" s="77" t="str">
        <f ca="1">IF(MOD(ROW(),2)=0,OFFSET(CT!$A$1,INT(ROW()/2)+1,COLUMN(CT!C115)-1),"")</f>
        <v>Kết chuyển CFC vào TK154</v>
      </c>
      <c r="D118" s="23" t="str">
        <f ca="1">OFFSET(CT!$A$1,INT(ROW()/2)+1,IF(MOD(ROW(),2)=0,COLUMN(CT!D115)-1,COLUMN(CT!E115)-1))</f>
        <v>154.03</v>
      </c>
      <c r="E118" s="78">
        <f ca="1">IF(MOD(ROW(),2)=0,OFFSET(CT!$A$1,INT(ROW()/2)+1,COLUMN(CT!H115)-1),0)</f>
        <v>100840</v>
      </c>
      <c r="F118" s="78">
        <f ca="1">IF(MOD(ROW(),2)=1,OFFSET(CT!$A$1,INT(ROW()/2)+1,COLUMN(CT!H115)-1),0)</f>
        <v>0</v>
      </c>
      <c r="G118" s="153" t="str">
        <f ca="1">IF(OFFSET(CT!$A$1,INT(ROW()/2)+1,COLUMN(CT!N115)-1)="No","False","True")</f>
        <v>True</v>
      </c>
    </row>
    <row r="119" spans="1:7" x14ac:dyDescent="0.3">
      <c r="A119" s="77" t="str">
        <f ca="1">IF(MOD(ROW(),2)=0,OFFSET(CT!$A$1,INT(ROW()/2)+1,COLUMN(CT!A116)-1),"")</f>
        <v/>
      </c>
      <c r="B119" s="77" t="str">
        <f ca="1">IF(MOD(ROW(),2)=0,OFFSET(CT!$A$1,INT(ROW()/2)+1,COLUMN(CT!B116)-1),"")</f>
        <v/>
      </c>
      <c r="C119" s="77" t="str">
        <f ca="1">IF(MOD(ROW(),2)=0,OFFSET(CT!$A$1,INT(ROW()/2)+1,COLUMN(CT!C116)-1),"")</f>
        <v/>
      </c>
      <c r="D119" s="23" t="str">
        <f ca="1">OFFSET(CT!$A$1,INT(ROW()/2)+1,IF(MOD(ROW(),2)=0,COLUMN(CT!D116)-1,COLUMN(CT!E116)-1))</f>
        <v>6273</v>
      </c>
      <c r="E119" s="78">
        <f ca="1">IF(MOD(ROW(),2)=0,OFFSET(CT!$A$1,INT(ROW()/2)+1,COLUMN(CT!H116)-1),0)</f>
        <v>0</v>
      </c>
      <c r="F119" s="78">
        <f ca="1">IF(MOD(ROW(),2)=1,OFFSET(CT!$A$1,INT(ROW()/2)+1,COLUMN(CT!H116)-1),0)</f>
        <v>100840</v>
      </c>
      <c r="G119" s="153" t="str">
        <f ca="1">IF(OFFSET(CT!$A$1,INT(ROW()/2)+1,COLUMN(CT!N116)-1)="No","False","True")</f>
        <v>True</v>
      </c>
    </row>
    <row r="120" spans="1:7" x14ac:dyDescent="0.3">
      <c r="A120" s="77">
        <f ca="1">IF(MOD(ROW(),2)=0,OFFSET(CT!$A$1,INT(ROW()/2)+1,COLUMN(CT!A117)-1),"")</f>
        <v>45322</v>
      </c>
      <c r="B120" s="77" t="str">
        <f ca="1">IF(MOD(ROW(),2)=0,OFFSET(CT!$A$1,INT(ROW()/2)+1,COLUMN(CT!B117)-1),"")</f>
        <v>TH7</v>
      </c>
      <c r="C120" s="77" t="str">
        <f ca="1">IF(MOD(ROW(),2)=0,OFFSET(CT!$A$1,INT(ROW()/2)+1,COLUMN(CT!C117)-1),"")</f>
        <v>Bổ sung giá thành tiêu thụ TK632</v>
      </c>
      <c r="D120" s="23" t="str">
        <f ca="1">OFFSET(CT!$A$1,INT(ROW()/2)+1,IF(MOD(ROW(),2)=0,COLUMN(CT!D117)-1,COLUMN(CT!E117)-1))</f>
        <v>632.0101</v>
      </c>
      <c r="E120" s="78">
        <f ca="1">IF(MOD(ROW(),2)=0,OFFSET(CT!$A$1,INT(ROW()/2)+1,COLUMN(CT!H117)-1),0)</f>
        <v>123700</v>
      </c>
      <c r="F120" s="78">
        <f ca="1">IF(MOD(ROW(),2)=1,OFFSET(CT!$A$1,INT(ROW()/2)+1,COLUMN(CT!H117)-1),0)</f>
        <v>0</v>
      </c>
      <c r="G120" s="153" t="str">
        <f ca="1">IF(OFFSET(CT!$A$1,INT(ROW()/2)+1,COLUMN(CT!N117)-1)="No","False","True")</f>
        <v>True</v>
      </c>
    </row>
    <row r="121" spans="1:7" x14ac:dyDescent="0.3">
      <c r="A121" s="77" t="str">
        <f ca="1">IF(MOD(ROW(),2)=0,OFFSET(CT!$A$1,INT(ROW()/2)+1,COLUMN(CT!A118)-1),"")</f>
        <v/>
      </c>
      <c r="B121" s="77" t="str">
        <f ca="1">IF(MOD(ROW(),2)=0,OFFSET(CT!$A$1,INT(ROW()/2)+1,COLUMN(CT!B118)-1),"")</f>
        <v/>
      </c>
      <c r="C121" s="77" t="str">
        <f ca="1">IF(MOD(ROW(),2)=0,OFFSET(CT!$A$1,INT(ROW()/2)+1,COLUMN(CT!C118)-1),"")</f>
        <v/>
      </c>
      <c r="D121" s="23" t="str">
        <f ca="1">OFFSET(CT!$A$1,INT(ROW()/2)+1,IF(MOD(ROW(),2)=0,COLUMN(CT!D118)-1,COLUMN(CT!E118)-1))</f>
        <v>1551.0101</v>
      </c>
      <c r="E121" s="78">
        <f ca="1">IF(MOD(ROW(),2)=0,OFFSET(CT!$A$1,INT(ROW()/2)+1,COLUMN(CT!H118)-1),0)</f>
        <v>0</v>
      </c>
      <c r="F121" s="78">
        <f ca="1">IF(MOD(ROW(),2)=1,OFFSET(CT!$A$1,INT(ROW()/2)+1,COLUMN(CT!H118)-1),0)</f>
        <v>123700</v>
      </c>
      <c r="G121" s="153" t="str">
        <f ca="1">IF(OFFSET(CT!$A$1,INT(ROW()/2)+1,COLUMN(CT!N118)-1)="No","False","True")</f>
        <v>True</v>
      </c>
    </row>
    <row r="122" spans="1:7" x14ac:dyDescent="0.3">
      <c r="A122" s="77">
        <f ca="1">IF(MOD(ROW(),2)=0,OFFSET(CT!$A$1,INT(ROW()/2)+1,COLUMN(CT!A119)-1),"")</f>
        <v>45322</v>
      </c>
      <c r="B122" s="77" t="str">
        <f ca="1">IF(MOD(ROW(),2)=0,OFFSET(CT!$A$1,INT(ROW()/2)+1,COLUMN(CT!B119)-1),"")</f>
        <v>TH11</v>
      </c>
      <c r="C122" s="77" t="str">
        <f ca="1">IF(MOD(ROW(),2)=0,OFFSET(CT!$A$1,INT(ROW()/2)+1,COLUMN(CT!C119)-1),"")</f>
        <v>Kết chuyển CFQLDN vào TK911</v>
      </c>
      <c r="D122" s="23" t="str">
        <f ca="1">OFFSET(CT!$A$1,INT(ROW()/2)+1,IF(MOD(ROW(),2)=0,COLUMN(CT!D119)-1,COLUMN(CT!E119)-1))</f>
        <v>9111.0102</v>
      </c>
      <c r="E122" s="78">
        <f ca="1">IF(MOD(ROW(),2)=0,OFFSET(CT!$A$1,INT(ROW()/2)+1,COLUMN(CT!H119)-1),0)</f>
        <v>132331</v>
      </c>
      <c r="F122" s="78">
        <f ca="1">IF(MOD(ROW(),2)=1,OFFSET(CT!$A$1,INT(ROW()/2)+1,COLUMN(CT!H119)-1),0)</f>
        <v>0</v>
      </c>
      <c r="G122" s="153" t="str">
        <f ca="1">IF(OFFSET(CT!$A$1,INT(ROW()/2)+1,COLUMN(CT!N119)-1)="No","False","True")</f>
        <v>True</v>
      </c>
    </row>
    <row r="123" spans="1:7" x14ac:dyDescent="0.3">
      <c r="A123" s="77" t="str">
        <f ca="1">IF(MOD(ROW(),2)=0,OFFSET(CT!$A$1,INT(ROW()/2)+1,COLUMN(CT!A120)-1),"")</f>
        <v/>
      </c>
      <c r="B123" s="77" t="str">
        <f ca="1">IF(MOD(ROW(),2)=0,OFFSET(CT!$A$1,INT(ROW()/2)+1,COLUMN(CT!B120)-1),"")</f>
        <v/>
      </c>
      <c r="C123" s="77" t="str">
        <f ca="1">IF(MOD(ROW(),2)=0,OFFSET(CT!$A$1,INT(ROW()/2)+1,COLUMN(CT!C120)-1),"")</f>
        <v/>
      </c>
      <c r="D123" s="23" t="str">
        <f ca="1">OFFSET(CT!$A$1,INT(ROW()/2)+1,IF(MOD(ROW(),2)=0,COLUMN(CT!D120)-1,COLUMN(CT!E120)-1))</f>
        <v>6424</v>
      </c>
      <c r="E123" s="78">
        <f ca="1">IF(MOD(ROW(),2)=0,OFFSET(CT!$A$1,INT(ROW()/2)+1,COLUMN(CT!H120)-1),0)</f>
        <v>0</v>
      </c>
      <c r="F123" s="78">
        <f ca="1">IF(MOD(ROW(),2)=1,OFFSET(CT!$A$1,INT(ROW()/2)+1,COLUMN(CT!H120)-1),0)</f>
        <v>132331</v>
      </c>
      <c r="G123" s="153" t="str">
        <f ca="1">IF(OFFSET(CT!$A$1,INT(ROW()/2)+1,COLUMN(CT!N120)-1)="No","False","True")</f>
        <v>True</v>
      </c>
    </row>
    <row r="124" spans="1:7" x14ac:dyDescent="0.3">
      <c r="A124" s="77">
        <f ca="1">IF(MOD(ROW(),2)=0,OFFSET(CT!$A$1,INT(ROW()/2)+1,COLUMN(CT!A121)-1),"")</f>
        <v>45322</v>
      </c>
      <c r="B124" s="77" t="str">
        <f ca="1">IF(MOD(ROW(),2)=0,OFFSET(CT!$A$1,INT(ROW()/2)+1,COLUMN(CT!B121)-1),"")</f>
        <v>TH2</v>
      </c>
      <c r="C124" s="77" t="str">
        <f ca="1">IF(MOD(ROW(),2)=0,OFFSET(CT!$A$1,INT(ROW()/2)+1,COLUMN(CT!C121)-1),"")</f>
        <v>Tính các khoản trích theo lương vào chi phí</v>
      </c>
      <c r="D124" s="23" t="str">
        <f ca="1">OFFSET(CT!$A$1,INT(ROW()/2)+1,IF(MOD(ROW(),2)=0,COLUMN(CT!D121)-1,COLUMN(CT!E121)-1))</f>
        <v>6421</v>
      </c>
      <c r="E124" s="78">
        <f ca="1">IF(MOD(ROW(),2)=0,OFFSET(CT!$A$1,INT(ROW()/2)+1,COLUMN(CT!H121)-1),0)</f>
        <v>140000</v>
      </c>
      <c r="F124" s="78">
        <f ca="1">IF(MOD(ROW(),2)=1,OFFSET(CT!$A$1,INT(ROW()/2)+1,COLUMN(CT!H121)-1),0)</f>
        <v>0</v>
      </c>
      <c r="G124" s="153" t="str">
        <f ca="1">IF(OFFSET(CT!$A$1,INT(ROW()/2)+1,COLUMN(CT!N121)-1)="No","False","True")</f>
        <v>True</v>
      </c>
    </row>
    <row r="125" spans="1:7" x14ac:dyDescent="0.3">
      <c r="A125" s="77" t="str">
        <f ca="1">IF(MOD(ROW(),2)=0,OFFSET(CT!$A$1,INT(ROW()/2)+1,COLUMN(CT!A122)-1),"")</f>
        <v/>
      </c>
      <c r="B125" s="77" t="str">
        <f ca="1">IF(MOD(ROW(),2)=0,OFFSET(CT!$A$1,INT(ROW()/2)+1,COLUMN(CT!B122)-1),"")</f>
        <v/>
      </c>
      <c r="C125" s="77" t="str">
        <f ca="1">IF(MOD(ROW(),2)=0,OFFSET(CT!$A$1,INT(ROW()/2)+1,COLUMN(CT!C122)-1),"")</f>
        <v/>
      </c>
      <c r="D125" s="23" t="str">
        <f ca="1">OFFSET(CT!$A$1,INT(ROW()/2)+1,IF(MOD(ROW(),2)=0,COLUMN(CT!D122)-1,COLUMN(CT!E122)-1))</f>
        <v>3382</v>
      </c>
      <c r="E125" s="78">
        <f ca="1">IF(MOD(ROW(),2)=0,OFFSET(CT!$A$1,INT(ROW()/2)+1,COLUMN(CT!H122)-1),0)</f>
        <v>0</v>
      </c>
      <c r="F125" s="78">
        <f ca="1">IF(MOD(ROW(),2)=1,OFFSET(CT!$A$1,INT(ROW()/2)+1,COLUMN(CT!H122)-1),0)</f>
        <v>140000</v>
      </c>
      <c r="G125" s="153" t="str">
        <f ca="1">IF(OFFSET(CT!$A$1,INT(ROW()/2)+1,COLUMN(CT!N122)-1)="No","False","True")</f>
        <v>True</v>
      </c>
    </row>
    <row r="126" spans="1:7" x14ac:dyDescent="0.3">
      <c r="A126" s="77">
        <f ca="1">IF(MOD(ROW(),2)=0,OFFSET(CT!$A$1,INT(ROW()/2)+1,COLUMN(CT!A123)-1),"")</f>
        <v>45322</v>
      </c>
      <c r="B126" s="77" t="str">
        <f ca="1">IF(MOD(ROW(),2)=0,OFFSET(CT!$A$1,INT(ROW()/2)+1,COLUMN(CT!B123)-1),"")</f>
        <v>TH11</v>
      </c>
      <c r="C126" s="77" t="str">
        <f ca="1">IF(MOD(ROW(),2)=0,OFFSET(CT!$A$1,INT(ROW()/2)+1,COLUMN(CT!C123)-1),"")</f>
        <v>Kết chuyển CFQLDN vào TK911</v>
      </c>
      <c r="D126" s="23" t="str">
        <f ca="1">OFFSET(CT!$A$1,INT(ROW()/2)+1,IF(MOD(ROW(),2)=0,COLUMN(CT!D123)-1,COLUMN(CT!E123)-1))</f>
        <v>9111.0102</v>
      </c>
      <c r="E126" s="78">
        <f ca="1">IF(MOD(ROW(),2)=0,OFFSET(CT!$A$1,INT(ROW()/2)+1,COLUMN(CT!H123)-1),0)</f>
        <v>144361</v>
      </c>
      <c r="F126" s="78">
        <f ca="1">IF(MOD(ROW(),2)=1,OFFSET(CT!$A$1,INT(ROW()/2)+1,COLUMN(CT!H123)-1),0)</f>
        <v>0</v>
      </c>
      <c r="G126" s="153" t="str">
        <f ca="1">IF(OFFSET(CT!$A$1,INT(ROW()/2)+1,COLUMN(CT!N123)-1)="No","False","True")</f>
        <v>True</v>
      </c>
    </row>
    <row r="127" spans="1:7" x14ac:dyDescent="0.3">
      <c r="A127" s="77" t="str">
        <f ca="1">IF(MOD(ROW(),2)=0,OFFSET(CT!$A$1,INT(ROW()/2)+1,COLUMN(CT!A124)-1),"")</f>
        <v/>
      </c>
      <c r="B127" s="77" t="str">
        <f ca="1">IF(MOD(ROW(),2)=0,OFFSET(CT!$A$1,INT(ROW()/2)+1,COLUMN(CT!B124)-1),"")</f>
        <v/>
      </c>
      <c r="C127" s="77" t="str">
        <f ca="1">IF(MOD(ROW(),2)=0,OFFSET(CT!$A$1,INT(ROW()/2)+1,COLUMN(CT!C124)-1),"")</f>
        <v/>
      </c>
      <c r="D127" s="23" t="str">
        <f ca="1">OFFSET(CT!$A$1,INT(ROW()/2)+1,IF(MOD(ROW(),2)=0,COLUMN(CT!D124)-1,COLUMN(CT!E124)-1))</f>
        <v>6423</v>
      </c>
      <c r="E127" s="78">
        <f ca="1">IF(MOD(ROW(),2)=0,OFFSET(CT!$A$1,INT(ROW()/2)+1,COLUMN(CT!H124)-1),0)</f>
        <v>0</v>
      </c>
      <c r="F127" s="78">
        <f ca="1">IF(MOD(ROW(),2)=1,OFFSET(CT!$A$1,INT(ROW()/2)+1,COLUMN(CT!H124)-1),0)</f>
        <v>144361</v>
      </c>
      <c r="G127" s="153" t="str">
        <f ca="1">IF(OFFSET(CT!$A$1,INT(ROW()/2)+1,COLUMN(CT!N124)-1)="No","False","True")</f>
        <v>True</v>
      </c>
    </row>
    <row r="128" spans="1:7" x14ac:dyDescent="0.3">
      <c r="A128" s="77">
        <f ca="1">IF(MOD(ROW(),2)=0,OFFSET(CT!$A$1,INT(ROW()/2)+1,COLUMN(CT!A125)-1),"")</f>
        <v>45322</v>
      </c>
      <c r="B128" s="77" t="str">
        <f ca="1">IF(MOD(ROW(),2)=0,OFFSET(CT!$A$1,INT(ROW()/2)+1,COLUMN(CT!B125)-1),"")</f>
        <v>TH2</v>
      </c>
      <c r="C128" s="77" t="str">
        <f ca="1">IF(MOD(ROW(),2)=0,OFFSET(CT!$A$1,INT(ROW()/2)+1,COLUMN(CT!C125)-1),"")</f>
        <v>Tính các khoản trích theo lương vào chi phí</v>
      </c>
      <c r="D128" s="23" t="str">
        <f ca="1">OFFSET(CT!$A$1,INT(ROW()/2)+1,IF(MOD(ROW(),2)=0,COLUMN(CT!D125)-1,COLUMN(CT!E125)-1))</f>
        <v>6411</v>
      </c>
      <c r="E128" s="78">
        <f ca="1">IF(MOD(ROW(),2)=0,OFFSET(CT!$A$1,INT(ROW()/2)+1,COLUMN(CT!H125)-1),0)</f>
        <v>150000</v>
      </c>
      <c r="F128" s="78">
        <f ca="1">IF(MOD(ROW(),2)=1,OFFSET(CT!$A$1,INT(ROW()/2)+1,COLUMN(CT!H125)-1),0)</f>
        <v>0</v>
      </c>
      <c r="G128" s="153" t="str">
        <f ca="1">IF(OFFSET(CT!$A$1,INT(ROW()/2)+1,COLUMN(CT!N125)-1)="No","False","True")</f>
        <v>True</v>
      </c>
    </row>
    <row r="129" spans="1:7" x14ac:dyDescent="0.3">
      <c r="A129" s="77" t="str">
        <f ca="1">IF(MOD(ROW(),2)=0,OFFSET(CT!$A$1,INT(ROW()/2)+1,COLUMN(CT!A126)-1),"")</f>
        <v/>
      </c>
      <c r="B129" s="77" t="str">
        <f ca="1">IF(MOD(ROW(),2)=0,OFFSET(CT!$A$1,INT(ROW()/2)+1,COLUMN(CT!B126)-1),"")</f>
        <v/>
      </c>
      <c r="C129" s="77" t="str">
        <f ca="1">IF(MOD(ROW(),2)=0,OFFSET(CT!$A$1,INT(ROW()/2)+1,COLUMN(CT!C126)-1),"")</f>
        <v/>
      </c>
      <c r="D129" s="23" t="str">
        <f ca="1">OFFSET(CT!$A$1,INT(ROW()/2)+1,IF(MOD(ROW(),2)=0,COLUMN(CT!D126)-1,COLUMN(CT!E126)-1))</f>
        <v>3384</v>
      </c>
      <c r="E129" s="78">
        <f ca="1">IF(MOD(ROW(),2)=0,OFFSET(CT!$A$1,INT(ROW()/2)+1,COLUMN(CT!H126)-1),0)</f>
        <v>0</v>
      </c>
      <c r="F129" s="78">
        <f ca="1">IF(MOD(ROW(),2)=1,OFFSET(CT!$A$1,INT(ROW()/2)+1,COLUMN(CT!H126)-1),0)</f>
        <v>150000</v>
      </c>
      <c r="G129" s="153" t="str">
        <f ca="1">IF(OFFSET(CT!$A$1,INT(ROW()/2)+1,COLUMN(CT!N126)-1)="No","False","True")</f>
        <v>True</v>
      </c>
    </row>
    <row r="130" spans="1:7" x14ac:dyDescent="0.3">
      <c r="A130" s="77">
        <f ca="1">IF(MOD(ROW(),2)=0,OFFSET(CT!$A$1,INT(ROW()/2)+1,COLUMN(CT!A127)-1),"")</f>
        <v>45322</v>
      </c>
      <c r="B130" s="77" t="str">
        <f ca="1">IF(MOD(ROW(),2)=0,OFFSET(CT!$A$1,INT(ROW()/2)+1,COLUMN(CT!B127)-1),"")</f>
        <v>TH11</v>
      </c>
      <c r="C130" s="77" t="str">
        <f ca="1">IF(MOD(ROW(),2)=0,OFFSET(CT!$A$1,INT(ROW()/2)+1,COLUMN(CT!C127)-1),"")</f>
        <v>Kết chuyển CFQLDN vào TK911</v>
      </c>
      <c r="D130" s="23" t="str">
        <f ca="1">OFFSET(CT!$A$1,INT(ROW()/2)+1,IF(MOD(ROW(),2)=0,COLUMN(CT!D127)-1,COLUMN(CT!E127)-1))</f>
        <v>9111.0202</v>
      </c>
      <c r="E130" s="78">
        <f ca="1">IF(MOD(ROW(),2)=0,OFFSET(CT!$A$1,INT(ROW()/2)+1,COLUMN(CT!H127)-1),0)</f>
        <v>162599</v>
      </c>
      <c r="F130" s="78">
        <f ca="1">IF(MOD(ROW(),2)=1,OFFSET(CT!$A$1,INT(ROW()/2)+1,COLUMN(CT!H127)-1),0)</f>
        <v>0</v>
      </c>
      <c r="G130" s="153" t="str">
        <f ca="1">IF(OFFSET(CT!$A$1,INT(ROW()/2)+1,COLUMN(CT!N127)-1)="No","False","True")</f>
        <v>True</v>
      </c>
    </row>
    <row r="131" spans="1:7" x14ac:dyDescent="0.3">
      <c r="A131" s="77" t="str">
        <f ca="1">IF(MOD(ROW(),2)=0,OFFSET(CT!$A$1,INT(ROW()/2)+1,COLUMN(CT!A128)-1),"")</f>
        <v/>
      </c>
      <c r="B131" s="77" t="str">
        <f ca="1">IF(MOD(ROW(),2)=0,OFFSET(CT!$A$1,INT(ROW()/2)+1,COLUMN(CT!B128)-1),"")</f>
        <v/>
      </c>
      <c r="C131" s="77" t="str">
        <f ca="1">IF(MOD(ROW(),2)=0,OFFSET(CT!$A$1,INT(ROW()/2)+1,COLUMN(CT!C128)-1),"")</f>
        <v/>
      </c>
      <c r="D131" s="23" t="str">
        <f ca="1">OFFSET(CT!$A$1,INT(ROW()/2)+1,IF(MOD(ROW(),2)=0,COLUMN(CT!D128)-1,COLUMN(CT!E128)-1))</f>
        <v>6424</v>
      </c>
      <c r="E131" s="78">
        <f ca="1">IF(MOD(ROW(),2)=0,OFFSET(CT!$A$1,INT(ROW()/2)+1,COLUMN(CT!H128)-1),0)</f>
        <v>0</v>
      </c>
      <c r="F131" s="78">
        <f ca="1">IF(MOD(ROW(),2)=1,OFFSET(CT!$A$1,INT(ROW()/2)+1,COLUMN(CT!H128)-1),0)</f>
        <v>162599</v>
      </c>
      <c r="G131" s="153" t="str">
        <f ca="1">IF(OFFSET(CT!$A$1,INT(ROW()/2)+1,COLUMN(CT!N128)-1)="No","False","True")</f>
        <v>True</v>
      </c>
    </row>
    <row r="132" spans="1:7" x14ac:dyDescent="0.3">
      <c r="A132" s="77">
        <f ca="1">IF(MOD(ROW(),2)=0,OFFSET(CT!$A$1,INT(ROW()/2)+1,COLUMN(CT!A129)-1),"")</f>
        <v>45322</v>
      </c>
      <c r="B132" s="77" t="str">
        <f ca="1">IF(MOD(ROW(),2)=0,OFFSET(CT!$A$1,INT(ROW()/2)+1,COLUMN(CT!B129)-1),"")</f>
        <v>TH11</v>
      </c>
      <c r="C132" s="77" t="str">
        <f ca="1">IF(MOD(ROW(),2)=0,OFFSET(CT!$A$1,INT(ROW()/2)+1,COLUMN(CT!C129)-1),"")</f>
        <v>Kết chuyển CFQLDN vào TK911</v>
      </c>
      <c r="D132" s="23" t="str">
        <f ca="1">OFFSET(CT!$A$1,INT(ROW()/2)+1,IF(MOD(ROW(),2)=0,COLUMN(CT!D129)-1,COLUMN(CT!E129)-1))</f>
        <v>9111.0101</v>
      </c>
      <c r="E132" s="78">
        <f ca="1">IF(MOD(ROW(),2)=0,OFFSET(CT!$A$1,INT(ROW()/2)+1,COLUMN(CT!H129)-1),0)</f>
        <v>163403</v>
      </c>
      <c r="F132" s="78">
        <f ca="1">IF(MOD(ROW(),2)=1,OFFSET(CT!$A$1,INT(ROW()/2)+1,COLUMN(CT!H129)-1),0)</f>
        <v>0</v>
      </c>
      <c r="G132" s="153" t="str">
        <f ca="1">IF(OFFSET(CT!$A$1,INT(ROW()/2)+1,COLUMN(CT!N129)-1)="No","False","True")</f>
        <v>True</v>
      </c>
    </row>
    <row r="133" spans="1:7" x14ac:dyDescent="0.3">
      <c r="A133" s="77" t="str">
        <f ca="1">IF(MOD(ROW(),2)=0,OFFSET(CT!$A$1,INT(ROW()/2)+1,COLUMN(CT!A130)-1),"")</f>
        <v/>
      </c>
      <c r="B133" s="77" t="str">
        <f ca="1">IF(MOD(ROW(),2)=0,OFFSET(CT!$A$1,INT(ROW()/2)+1,COLUMN(CT!B130)-1),"")</f>
        <v/>
      </c>
      <c r="C133" s="77" t="str">
        <f ca="1">IF(MOD(ROW(),2)=0,OFFSET(CT!$A$1,INT(ROW()/2)+1,COLUMN(CT!C130)-1),"")</f>
        <v/>
      </c>
      <c r="D133" s="23" t="str">
        <f ca="1">OFFSET(CT!$A$1,INT(ROW()/2)+1,IF(MOD(ROW(),2)=0,COLUMN(CT!D130)-1,COLUMN(CT!E130)-1))</f>
        <v>6424</v>
      </c>
      <c r="E133" s="78">
        <f ca="1">IF(MOD(ROW(),2)=0,OFFSET(CT!$A$1,INT(ROW()/2)+1,COLUMN(CT!H130)-1),0)</f>
        <v>0</v>
      </c>
      <c r="F133" s="78">
        <f ca="1">IF(MOD(ROW(),2)=1,OFFSET(CT!$A$1,INT(ROW()/2)+1,COLUMN(CT!H130)-1),0)</f>
        <v>163403</v>
      </c>
      <c r="G133" s="153" t="str">
        <f ca="1">IF(OFFSET(CT!$A$1,INT(ROW()/2)+1,COLUMN(CT!N130)-1)="No","False","True")</f>
        <v>True</v>
      </c>
    </row>
    <row r="134" spans="1:7" x14ac:dyDescent="0.3">
      <c r="A134" s="77">
        <f ca="1">IF(MOD(ROW(),2)=0,OFFSET(CT!$A$1,INT(ROW()/2)+1,COLUMN(CT!A131)-1),"")</f>
        <v>45322</v>
      </c>
      <c r="B134" s="77" t="str">
        <f ca="1">IF(MOD(ROW(),2)=0,OFFSET(CT!$A$1,INT(ROW()/2)+1,COLUMN(CT!B131)-1),"")</f>
        <v>TH11</v>
      </c>
      <c r="C134" s="77" t="str">
        <f ca="1">IF(MOD(ROW(),2)=0,OFFSET(CT!$A$1,INT(ROW()/2)+1,COLUMN(CT!C131)-1),"")</f>
        <v>Kết chuyển CFQLDN vào TK911</v>
      </c>
      <c r="D134" s="23" t="str">
        <f ca="1">OFFSET(CT!$A$1,INT(ROW()/2)+1,IF(MOD(ROW(),2)=0,COLUMN(CT!D131)-1,COLUMN(CT!E131)-1))</f>
        <v>9111.0202</v>
      </c>
      <c r="E134" s="78">
        <f ca="1">IF(MOD(ROW(),2)=0,OFFSET(CT!$A$1,INT(ROW()/2)+1,COLUMN(CT!H131)-1),0)</f>
        <v>177381</v>
      </c>
      <c r="F134" s="78">
        <f ca="1">IF(MOD(ROW(),2)=1,OFFSET(CT!$A$1,INT(ROW()/2)+1,COLUMN(CT!H131)-1),0)</f>
        <v>0</v>
      </c>
      <c r="G134" s="153" t="str">
        <f ca="1">IF(OFFSET(CT!$A$1,INT(ROW()/2)+1,COLUMN(CT!N131)-1)="No","False","True")</f>
        <v>True</v>
      </c>
    </row>
    <row r="135" spans="1:7" x14ac:dyDescent="0.3">
      <c r="A135" s="77" t="str">
        <f ca="1">IF(MOD(ROW(),2)=0,OFFSET(CT!$A$1,INT(ROW()/2)+1,COLUMN(CT!A132)-1),"")</f>
        <v/>
      </c>
      <c r="B135" s="77" t="str">
        <f ca="1">IF(MOD(ROW(),2)=0,OFFSET(CT!$A$1,INT(ROW()/2)+1,COLUMN(CT!B132)-1),"")</f>
        <v/>
      </c>
      <c r="C135" s="77" t="str">
        <f ca="1">IF(MOD(ROW(),2)=0,OFFSET(CT!$A$1,INT(ROW()/2)+1,COLUMN(CT!C132)-1),"")</f>
        <v/>
      </c>
      <c r="D135" s="23" t="str">
        <f ca="1">OFFSET(CT!$A$1,INT(ROW()/2)+1,IF(MOD(ROW(),2)=0,COLUMN(CT!D132)-1,COLUMN(CT!E132)-1))</f>
        <v>6423</v>
      </c>
      <c r="E135" s="78">
        <f ca="1">IF(MOD(ROW(),2)=0,OFFSET(CT!$A$1,INT(ROW()/2)+1,COLUMN(CT!H132)-1),0)</f>
        <v>0</v>
      </c>
      <c r="F135" s="78">
        <f ca="1">IF(MOD(ROW(),2)=1,OFFSET(CT!$A$1,INT(ROW()/2)+1,COLUMN(CT!H132)-1),0)</f>
        <v>177381</v>
      </c>
      <c r="G135" s="153" t="str">
        <f ca="1">IF(OFFSET(CT!$A$1,INT(ROW()/2)+1,COLUMN(CT!N132)-1)="No","False","True")</f>
        <v>True</v>
      </c>
    </row>
    <row r="136" spans="1:7" x14ac:dyDescent="0.3">
      <c r="A136" s="77">
        <f ca="1">IF(MOD(ROW(),2)=0,OFFSET(CT!$A$1,INT(ROW()/2)+1,COLUMN(CT!A133)-1),"")</f>
        <v>45322</v>
      </c>
      <c r="B136" s="77" t="str">
        <f ca="1">IF(MOD(ROW(),2)=0,OFFSET(CT!$A$1,INT(ROW()/2)+1,COLUMN(CT!B133)-1),"")</f>
        <v>TH11</v>
      </c>
      <c r="C136" s="77" t="str">
        <f ca="1">IF(MOD(ROW(),2)=0,OFFSET(CT!$A$1,INT(ROW()/2)+1,COLUMN(CT!C133)-1),"")</f>
        <v>Kết chuyển CFQLDN vào TK911</v>
      </c>
      <c r="D136" s="23" t="str">
        <f ca="1">OFFSET(CT!$A$1,INT(ROW()/2)+1,IF(MOD(ROW(),2)=0,COLUMN(CT!D133)-1,COLUMN(CT!E133)-1))</f>
        <v>9111.0101</v>
      </c>
      <c r="E136" s="78">
        <f ca="1">IF(MOD(ROW(),2)=0,OFFSET(CT!$A$1,INT(ROW()/2)+1,COLUMN(CT!H133)-1),0)</f>
        <v>178258</v>
      </c>
      <c r="F136" s="78">
        <f ca="1">IF(MOD(ROW(),2)=1,OFFSET(CT!$A$1,INT(ROW()/2)+1,COLUMN(CT!H133)-1),0)</f>
        <v>0</v>
      </c>
      <c r="G136" s="153" t="str">
        <f ca="1">IF(OFFSET(CT!$A$1,INT(ROW()/2)+1,COLUMN(CT!N133)-1)="No","False","True")</f>
        <v>True</v>
      </c>
    </row>
    <row r="137" spans="1:7" x14ac:dyDescent="0.3">
      <c r="A137" s="77" t="str">
        <f ca="1">IF(MOD(ROW(),2)=0,OFFSET(CT!$A$1,INT(ROW()/2)+1,COLUMN(CT!A134)-1),"")</f>
        <v/>
      </c>
      <c r="B137" s="77" t="str">
        <f ca="1">IF(MOD(ROW(),2)=0,OFFSET(CT!$A$1,INT(ROW()/2)+1,COLUMN(CT!B134)-1),"")</f>
        <v/>
      </c>
      <c r="C137" s="77" t="str">
        <f ca="1">IF(MOD(ROW(),2)=0,OFFSET(CT!$A$1,INT(ROW()/2)+1,COLUMN(CT!C134)-1),"")</f>
        <v/>
      </c>
      <c r="D137" s="23" t="str">
        <f ca="1">OFFSET(CT!$A$1,INT(ROW()/2)+1,IF(MOD(ROW(),2)=0,COLUMN(CT!D134)-1,COLUMN(CT!E134)-1))</f>
        <v>6423</v>
      </c>
      <c r="E137" s="78">
        <f ca="1">IF(MOD(ROW(),2)=0,OFFSET(CT!$A$1,INT(ROW()/2)+1,COLUMN(CT!H134)-1),0)</f>
        <v>0</v>
      </c>
      <c r="F137" s="78">
        <f ca="1">IF(MOD(ROW(),2)=1,OFFSET(CT!$A$1,INT(ROW()/2)+1,COLUMN(CT!H134)-1),0)</f>
        <v>178258</v>
      </c>
      <c r="G137" s="153" t="str">
        <f ca="1">IF(OFFSET(CT!$A$1,INT(ROW()/2)+1,COLUMN(CT!N134)-1)="No","False","True")</f>
        <v>True</v>
      </c>
    </row>
    <row r="138" spans="1:7" x14ac:dyDescent="0.3">
      <c r="A138" s="77">
        <f ca="1">IF(MOD(ROW(),2)=0,OFFSET(CT!$A$1,INT(ROW()/2)+1,COLUMN(CT!A135)-1),"")</f>
        <v>45322</v>
      </c>
      <c r="B138" s="77" t="str">
        <f ca="1">IF(MOD(ROW(),2)=0,OFFSET(CT!$A$1,INT(ROW()/2)+1,COLUMN(CT!B135)-1),"")</f>
        <v>TH2</v>
      </c>
      <c r="C138" s="77" t="str">
        <f ca="1">IF(MOD(ROW(),2)=0,OFFSET(CT!$A$1,INT(ROW()/2)+1,COLUMN(CT!C135)-1),"")</f>
        <v>Tính các khoản trích theo lương vào chi phí</v>
      </c>
      <c r="D138" s="23" t="str">
        <f ca="1">OFFSET(CT!$A$1,INT(ROW()/2)+1,IF(MOD(ROW(),2)=0,COLUMN(CT!D135)-1,COLUMN(CT!E135)-1))</f>
        <v>6421</v>
      </c>
      <c r="E138" s="78">
        <f ca="1">IF(MOD(ROW(),2)=0,OFFSET(CT!$A$1,INT(ROW()/2)+1,COLUMN(CT!H135)-1),0)</f>
        <v>210000</v>
      </c>
      <c r="F138" s="78">
        <f ca="1">IF(MOD(ROW(),2)=1,OFFSET(CT!$A$1,INT(ROW()/2)+1,COLUMN(CT!H135)-1),0)</f>
        <v>0</v>
      </c>
      <c r="G138" s="153" t="str">
        <f ca="1">IF(OFFSET(CT!$A$1,INT(ROW()/2)+1,COLUMN(CT!N135)-1)="No","False","True")</f>
        <v>True</v>
      </c>
    </row>
    <row r="139" spans="1:7" x14ac:dyDescent="0.3">
      <c r="A139" s="77" t="str">
        <f ca="1">IF(MOD(ROW(),2)=0,OFFSET(CT!$A$1,INT(ROW()/2)+1,COLUMN(CT!A136)-1),"")</f>
        <v/>
      </c>
      <c r="B139" s="77" t="str">
        <f ca="1">IF(MOD(ROW(),2)=0,OFFSET(CT!$A$1,INT(ROW()/2)+1,COLUMN(CT!B136)-1),"")</f>
        <v/>
      </c>
      <c r="C139" s="77" t="str">
        <f ca="1">IF(MOD(ROW(),2)=0,OFFSET(CT!$A$1,INT(ROW()/2)+1,COLUMN(CT!C136)-1),"")</f>
        <v/>
      </c>
      <c r="D139" s="23" t="str">
        <f ca="1">OFFSET(CT!$A$1,INT(ROW()/2)+1,IF(MOD(ROW(),2)=0,COLUMN(CT!D136)-1,COLUMN(CT!E136)-1))</f>
        <v>3384</v>
      </c>
      <c r="E139" s="78">
        <f ca="1">IF(MOD(ROW(),2)=0,OFFSET(CT!$A$1,INT(ROW()/2)+1,COLUMN(CT!H136)-1),0)</f>
        <v>0</v>
      </c>
      <c r="F139" s="78">
        <f ca="1">IF(MOD(ROW(),2)=1,OFFSET(CT!$A$1,INT(ROW()/2)+1,COLUMN(CT!H136)-1),0)</f>
        <v>210000</v>
      </c>
      <c r="G139" s="153" t="str">
        <f ca="1">IF(OFFSET(CT!$A$1,INT(ROW()/2)+1,COLUMN(CT!N136)-1)="No","False","True")</f>
        <v>True</v>
      </c>
    </row>
    <row r="140" spans="1:7" x14ac:dyDescent="0.3">
      <c r="A140" s="77">
        <f ca="1">IF(MOD(ROW(),2)=0,OFFSET(CT!$A$1,INT(ROW()/2)+1,COLUMN(CT!A137)-1),"")</f>
        <v>45322</v>
      </c>
      <c r="B140" s="77" t="str">
        <f ca="1">IF(MOD(ROW(),2)=0,OFFSET(CT!$A$1,INT(ROW()/2)+1,COLUMN(CT!B137)-1),"")</f>
        <v>01/PB</v>
      </c>
      <c r="C140" s="77" t="str">
        <f ca="1">IF(MOD(ROW(),2)=0,OFFSET(CT!$A$1,INT(ROW()/2)+1,COLUMN(CT!C137)-1),"")</f>
        <v>Phân bổ CCDC vào chi phí</v>
      </c>
      <c r="D140" s="23" t="str">
        <f ca="1">OFFSET(CT!$A$1,INT(ROW()/2)+1,IF(MOD(ROW(),2)=0,COLUMN(CT!D137)-1,COLUMN(CT!E137)-1))</f>
        <v>6413</v>
      </c>
      <c r="E140" s="78">
        <f ca="1">IF(MOD(ROW(),2)=0,OFFSET(CT!$A$1,INT(ROW()/2)+1,COLUMN(CT!H137)-1),0)</f>
        <v>250000</v>
      </c>
      <c r="F140" s="78">
        <f ca="1">IF(MOD(ROW(),2)=1,OFFSET(CT!$A$1,INT(ROW()/2)+1,COLUMN(CT!H137)-1),0)</f>
        <v>0</v>
      </c>
      <c r="G140" s="153" t="str">
        <f ca="1">IF(OFFSET(CT!$A$1,INT(ROW()/2)+1,COLUMN(CT!N137)-1)="No","False","True")</f>
        <v>True</v>
      </c>
    </row>
    <row r="141" spans="1:7" x14ac:dyDescent="0.3">
      <c r="A141" s="77" t="str">
        <f ca="1">IF(MOD(ROW(),2)=0,OFFSET(CT!$A$1,INT(ROW()/2)+1,COLUMN(CT!A138)-1),"")</f>
        <v/>
      </c>
      <c r="B141" s="77" t="str">
        <f ca="1">IF(MOD(ROW(),2)=0,OFFSET(CT!$A$1,INT(ROW()/2)+1,COLUMN(CT!B138)-1),"")</f>
        <v/>
      </c>
      <c r="C141" s="77" t="str">
        <f ca="1">IF(MOD(ROW(),2)=0,OFFSET(CT!$A$1,INT(ROW()/2)+1,COLUMN(CT!C138)-1),"")</f>
        <v/>
      </c>
      <c r="D141" s="23" t="str">
        <f ca="1">OFFSET(CT!$A$1,INT(ROW()/2)+1,IF(MOD(ROW(),2)=0,COLUMN(CT!D138)-1,COLUMN(CT!E138)-1))</f>
        <v>2421.02</v>
      </c>
      <c r="E141" s="78">
        <f ca="1">IF(MOD(ROW(),2)=0,OFFSET(CT!$A$1,INT(ROW()/2)+1,COLUMN(CT!H138)-1),0)</f>
        <v>0</v>
      </c>
      <c r="F141" s="78">
        <f ca="1">IF(MOD(ROW(),2)=1,OFFSET(CT!$A$1,INT(ROW()/2)+1,COLUMN(CT!H138)-1),0)</f>
        <v>250000</v>
      </c>
      <c r="G141" s="153" t="str">
        <f ca="1">IF(OFFSET(CT!$A$1,INT(ROW()/2)+1,COLUMN(CT!N138)-1)="No","False","True")</f>
        <v>True</v>
      </c>
    </row>
    <row r="142" spans="1:7" x14ac:dyDescent="0.3">
      <c r="A142" s="77">
        <f ca="1">IF(MOD(ROW(),2)=0,OFFSET(CT!$A$1,INT(ROW()/2)+1,COLUMN(CT!A139)-1),"")</f>
        <v>45322</v>
      </c>
      <c r="B142" s="77" t="str">
        <f ca="1">IF(MOD(ROW(),2)=0,OFFSET(CT!$A$1,INT(ROW()/2)+1,COLUMN(CT!B139)-1),"")</f>
        <v>TH5</v>
      </c>
      <c r="C142" s="77" t="str">
        <f ca="1">IF(MOD(ROW(),2)=0,OFFSET(CT!$A$1,INT(ROW()/2)+1,COLUMN(CT!C139)-1),"")</f>
        <v>Kết chuyển CFC vào TK154</v>
      </c>
      <c r="D142" s="23" t="str">
        <f ca="1">OFFSET(CT!$A$1,INT(ROW()/2)+1,IF(MOD(ROW(),2)=0,COLUMN(CT!D139)-1,COLUMN(CT!E139)-1))</f>
        <v>154.03</v>
      </c>
      <c r="E142" s="78">
        <f ca="1">IF(MOD(ROW(),2)=0,OFFSET(CT!$A$1,INT(ROW()/2)+1,COLUMN(CT!H139)-1),0)</f>
        <v>336132</v>
      </c>
      <c r="F142" s="78">
        <f ca="1">IF(MOD(ROW(),2)=1,OFFSET(CT!$A$1,INT(ROW()/2)+1,COLUMN(CT!H139)-1),0)</f>
        <v>0</v>
      </c>
      <c r="G142" s="153" t="str">
        <f ca="1">IF(OFFSET(CT!$A$1,INT(ROW()/2)+1,COLUMN(CT!N139)-1)="No","False","True")</f>
        <v>True</v>
      </c>
    </row>
    <row r="143" spans="1:7" x14ac:dyDescent="0.3">
      <c r="A143" s="77" t="str">
        <f ca="1">IF(MOD(ROW(),2)=0,OFFSET(CT!$A$1,INT(ROW()/2)+1,COLUMN(CT!A140)-1),"")</f>
        <v/>
      </c>
      <c r="B143" s="77" t="str">
        <f ca="1">IF(MOD(ROW(),2)=0,OFFSET(CT!$A$1,INT(ROW()/2)+1,COLUMN(CT!B140)-1),"")</f>
        <v/>
      </c>
      <c r="C143" s="77" t="str">
        <f ca="1">IF(MOD(ROW(),2)=0,OFFSET(CT!$A$1,INT(ROW()/2)+1,COLUMN(CT!C140)-1),"")</f>
        <v/>
      </c>
      <c r="D143" s="23" t="str">
        <f ca="1">OFFSET(CT!$A$1,INT(ROW()/2)+1,IF(MOD(ROW(),2)=0,COLUMN(CT!D140)-1,COLUMN(CT!E140)-1))</f>
        <v>6274</v>
      </c>
      <c r="E143" s="78">
        <f ca="1">IF(MOD(ROW(),2)=0,OFFSET(CT!$A$1,INT(ROW()/2)+1,COLUMN(CT!H140)-1),0)</f>
        <v>0</v>
      </c>
      <c r="F143" s="78">
        <f ca="1">IF(MOD(ROW(),2)=1,OFFSET(CT!$A$1,INT(ROW()/2)+1,COLUMN(CT!H140)-1),0)</f>
        <v>336132</v>
      </c>
      <c r="G143" s="153" t="str">
        <f ca="1">IF(OFFSET(CT!$A$1,INT(ROW()/2)+1,COLUMN(CT!N140)-1)="No","False","True")</f>
        <v>True</v>
      </c>
    </row>
    <row r="144" spans="1:7" x14ac:dyDescent="0.3">
      <c r="A144" s="77">
        <f ca="1">IF(MOD(ROW(),2)=0,OFFSET(CT!$A$1,INT(ROW()/2)+1,COLUMN(CT!A141)-1),"")</f>
        <v>45322</v>
      </c>
      <c r="B144" s="77" t="str">
        <f ca="1">IF(MOD(ROW(),2)=0,OFFSET(CT!$A$1,INT(ROW()/2)+1,COLUMN(CT!B141)-1),"")</f>
        <v>TH7</v>
      </c>
      <c r="C144" s="77" t="str">
        <f ca="1">IF(MOD(ROW(),2)=0,OFFSET(CT!$A$1,INT(ROW()/2)+1,COLUMN(CT!C141)-1),"")</f>
        <v>Bổ sung giá thành tiêu thụ TK632</v>
      </c>
      <c r="D144" s="23" t="str">
        <f ca="1">OFFSET(CT!$A$1,INT(ROW()/2)+1,IF(MOD(ROW(),2)=0,COLUMN(CT!D141)-1,COLUMN(CT!E141)-1))</f>
        <v>632.0102</v>
      </c>
      <c r="E144" s="78">
        <f ca="1">IF(MOD(ROW(),2)=0,OFFSET(CT!$A$1,INT(ROW()/2)+1,COLUMN(CT!H141)-1),0)</f>
        <v>346200</v>
      </c>
      <c r="F144" s="78">
        <f ca="1">IF(MOD(ROW(),2)=1,OFFSET(CT!$A$1,INT(ROW()/2)+1,COLUMN(CT!H141)-1),0)</f>
        <v>0</v>
      </c>
      <c r="G144" s="153" t="str">
        <f ca="1">IF(OFFSET(CT!$A$1,INT(ROW()/2)+1,COLUMN(CT!N141)-1)="No","False","True")</f>
        <v>True</v>
      </c>
    </row>
    <row r="145" spans="1:7" x14ac:dyDescent="0.3">
      <c r="A145" s="77" t="str">
        <f ca="1">IF(MOD(ROW(),2)=0,OFFSET(CT!$A$1,INT(ROW()/2)+1,COLUMN(CT!A142)-1),"")</f>
        <v/>
      </c>
      <c r="B145" s="77" t="str">
        <f ca="1">IF(MOD(ROW(),2)=0,OFFSET(CT!$A$1,INT(ROW()/2)+1,COLUMN(CT!B142)-1),"")</f>
        <v/>
      </c>
      <c r="C145" s="77" t="str">
        <f ca="1">IF(MOD(ROW(),2)=0,OFFSET(CT!$A$1,INT(ROW()/2)+1,COLUMN(CT!C142)-1),"")</f>
        <v/>
      </c>
      <c r="D145" s="23" t="str">
        <f ca="1">OFFSET(CT!$A$1,INT(ROW()/2)+1,IF(MOD(ROW(),2)=0,COLUMN(CT!D142)-1,COLUMN(CT!E142)-1))</f>
        <v>1551.0102</v>
      </c>
      <c r="E145" s="78">
        <f ca="1">IF(MOD(ROW(),2)=0,OFFSET(CT!$A$1,INT(ROW()/2)+1,COLUMN(CT!H142)-1),0)</f>
        <v>0</v>
      </c>
      <c r="F145" s="78">
        <f ca="1">IF(MOD(ROW(),2)=1,OFFSET(CT!$A$1,INT(ROW()/2)+1,COLUMN(CT!H142)-1),0)</f>
        <v>346200</v>
      </c>
      <c r="G145" s="153" t="str">
        <f ca="1">IF(OFFSET(CT!$A$1,INT(ROW()/2)+1,COLUMN(CT!N142)-1)="No","False","True")</f>
        <v>True</v>
      </c>
    </row>
    <row r="146" spans="1:7" x14ac:dyDescent="0.3">
      <c r="A146" s="77">
        <f ca="1">IF(MOD(ROW(),2)=0,OFFSET(CT!$A$1,INT(ROW()/2)+1,COLUMN(CT!A143)-1),"")</f>
        <v>45322</v>
      </c>
      <c r="B146" s="77" t="str">
        <f ca="1">IF(MOD(ROW(),2)=0,OFFSET(CT!$A$1,INT(ROW()/2)+1,COLUMN(CT!B143)-1),"")</f>
        <v>TH2</v>
      </c>
      <c r="C146" s="77" t="str">
        <f ca="1">IF(MOD(ROW(),2)=0,OFFSET(CT!$A$1,INT(ROW()/2)+1,COLUMN(CT!C143)-1),"")</f>
        <v>Tính các khoản trích theo lương vào chi phí</v>
      </c>
      <c r="D146" s="23" t="str">
        <f ca="1">OFFSET(CT!$A$1,INT(ROW()/2)+1,IF(MOD(ROW(),2)=0,COLUMN(CT!D143)-1,COLUMN(CT!E143)-1))</f>
        <v>6271</v>
      </c>
      <c r="E146" s="78">
        <f ca="1">IF(MOD(ROW(),2)=0,OFFSET(CT!$A$1,INT(ROW()/2)+1,COLUMN(CT!H143)-1),0)</f>
        <v>350000</v>
      </c>
      <c r="F146" s="78">
        <f ca="1">IF(MOD(ROW(),2)=1,OFFSET(CT!$A$1,INT(ROW()/2)+1,COLUMN(CT!H143)-1),0)</f>
        <v>0</v>
      </c>
      <c r="G146" s="153" t="str">
        <f ca="1">IF(OFFSET(CT!$A$1,INT(ROW()/2)+1,COLUMN(CT!N143)-1)="No","False","True")</f>
        <v>True</v>
      </c>
    </row>
    <row r="147" spans="1:7" x14ac:dyDescent="0.3">
      <c r="A147" s="77" t="str">
        <f ca="1">IF(MOD(ROW(),2)=0,OFFSET(CT!$A$1,INT(ROW()/2)+1,COLUMN(CT!A144)-1),"")</f>
        <v/>
      </c>
      <c r="B147" s="77" t="str">
        <f ca="1">IF(MOD(ROW(),2)=0,OFFSET(CT!$A$1,INT(ROW()/2)+1,COLUMN(CT!B144)-1),"")</f>
        <v/>
      </c>
      <c r="C147" s="77" t="str">
        <f ca="1">IF(MOD(ROW(),2)=0,OFFSET(CT!$A$1,INT(ROW()/2)+1,COLUMN(CT!C144)-1),"")</f>
        <v/>
      </c>
      <c r="D147" s="23" t="str">
        <f ca="1">OFFSET(CT!$A$1,INT(ROW()/2)+1,IF(MOD(ROW(),2)=0,COLUMN(CT!D144)-1,COLUMN(CT!E144)-1))</f>
        <v>3388</v>
      </c>
      <c r="E147" s="78">
        <f ca="1">IF(MOD(ROW(),2)=0,OFFSET(CT!$A$1,INT(ROW()/2)+1,COLUMN(CT!H144)-1),0)</f>
        <v>0</v>
      </c>
      <c r="F147" s="78">
        <f ca="1">IF(MOD(ROW(),2)=1,OFFSET(CT!$A$1,INT(ROW()/2)+1,COLUMN(CT!H144)-1),0)</f>
        <v>350000</v>
      </c>
      <c r="G147" s="153" t="str">
        <f ca="1">IF(OFFSET(CT!$A$1,INT(ROW()/2)+1,COLUMN(CT!N144)-1)="No","False","True")</f>
        <v>True</v>
      </c>
    </row>
    <row r="148" spans="1:7" x14ac:dyDescent="0.3">
      <c r="A148" s="77">
        <f ca="1">IF(MOD(ROW(),2)=0,OFFSET(CT!$A$1,INT(ROW()/2)+1,COLUMN(CT!A145)-1),"")</f>
        <v>45322</v>
      </c>
      <c r="B148" s="77" t="str">
        <f ca="1">IF(MOD(ROW(),2)=0,OFFSET(CT!$A$1,INT(ROW()/2)+1,COLUMN(CT!B145)-1),"")</f>
        <v>TH5</v>
      </c>
      <c r="C148" s="77" t="str">
        <f ca="1">IF(MOD(ROW(),2)=0,OFFSET(CT!$A$1,INT(ROW()/2)+1,COLUMN(CT!C145)-1),"")</f>
        <v>Kết chuyển CFC vào TK154</v>
      </c>
      <c r="D148" s="23" t="str">
        <f ca="1">OFFSET(CT!$A$1,INT(ROW()/2)+1,IF(MOD(ROW(),2)=0,COLUMN(CT!D145)-1,COLUMN(CT!E145)-1))</f>
        <v>154.01</v>
      </c>
      <c r="E148" s="78">
        <f ca="1">IF(MOD(ROW(),2)=0,OFFSET(CT!$A$1,INT(ROW()/2)+1,COLUMN(CT!H145)-1),0)</f>
        <v>399160</v>
      </c>
      <c r="F148" s="78">
        <f ca="1">IF(MOD(ROW(),2)=1,OFFSET(CT!$A$1,INT(ROW()/2)+1,COLUMN(CT!H145)-1),0)</f>
        <v>0</v>
      </c>
      <c r="G148" s="153" t="str">
        <f ca="1">IF(OFFSET(CT!$A$1,INT(ROW()/2)+1,COLUMN(CT!N145)-1)="No","False","True")</f>
        <v>True</v>
      </c>
    </row>
    <row r="149" spans="1:7" x14ac:dyDescent="0.3">
      <c r="A149" s="77" t="str">
        <f ca="1">IF(MOD(ROW(),2)=0,OFFSET(CT!$A$1,INT(ROW()/2)+1,COLUMN(CT!A146)-1),"")</f>
        <v/>
      </c>
      <c r="B149" s="77" t="str">
        <f ca="1">IF(MOD(ROW(),2)=0,OFFSET(CT!$A$1,INT(ROW()/2)+1,COLUMN(CT!B146)-1),"")</f>
        <v/>
      </c>
      <c r="C149" s="77" t="str">
        <f ca="1">IF(MOD(ROW(),2)=0,OFFSET(CT!$A$1,INT(ROW()/2)+1,COLUMN(CT!C146)-1),"")</f>
        <v/>
      </c>
      <c r="D149" s="23" t="str">
        <f ca="1">OFFSET(CT!$A$1,INT(ROW()/2)+1,IF(MOD(ROW(),2)=0,COLUMN(CT!D146)-1,COLUMN(CT!E146)-1))</f>
        <v>6273</v>
      </c>
      <c r="E149" s="78">
        <f ca="1">IF(MOD(ROW(),2)=0,OFFSET(CT!$A$1,INT(ROW()/2)+1,COLUMN(CT!H146)-1),0)</f>
        <v>0</v>
      </c>
      <c r="F149" s="78">
        <f ca="1">IF(MOD(ROW(),2)=1,OFFSET(CT!$A$1,INT(ROW()/2)+1,COLUMN(CT!H146)-1),0)</f>
        <v>399160</v>
      </c>
      <c r="G149" s="153" t="str">
        <f ca="1">IF(OFFSET(CT!$A$1,INT(ROW()/2)+1,COLUMN(CT!N146)-1)="No","False","True")</f>
        <v>True</v>
      </c>
    </row>
    <row r="150" spans="1:7" x14ac:dyDescent="0.3">
      <c r="A150" s="77">
        <f ca="1">IF(MOD(ROW(),2)=0,OFFSET(CT!$A$1,INT(ROW()/2)+1,COLUMN(CT!A147)-1),"")</f>
        <v>45322</v>
      </c>
      <c r="B150" s="77" t="str">
        <f ca="1">IF(MOD(ROW(),2)=0,OFFSET(CT!$A$1,INT(ROW()/2)+1,COLUMN(CT!B147)-1),"")</f>
        <v>TH2</v>
      </c>
      <c r="C150" s="77" t="str">
        <f ca="1">IF(MOD(ROW(),2)=0,OFFSET(CT!$A$1,INT(ROW()/2)+1,COLUMN(CT!C147)-1),"")</f>
        <v>Tính các khoản trích theo lương vào chi phí</v>
      </c>
      <c r="D150" s="23" t="str">
        <f ca="1">OFFSET(CT!$A$1,INT(ROW()/2)+1,IF(MOD(ROW(),2)=0,COLUMN(CT!D147)-1,COLUMN(CT!E147)-1))</f>
        <v>622.01</v>
      </c>
      <c r="E150" s="78">
        <f ca="1">IF(MOD(ROW(),2)=0,OFFSET(CT!$A$1,INT(ROW()/2)+1,COLUMN(CT!H147)-1),0)</f>
        <v>400000</v>
      </c>
      <c r="F150" s="78">
        <f ca="1">IF(MOD(ROW(),2)=1,OFFSET(CT!$A$1,INT(ROW()/2)+1,COLUMN(CT!H147)-1),0)</f>
        <v>0</v>
      </c>
      <c r="G150" s="153" t="str">
        <f ca="1">IF(OFFSET(CT!$A$1,INT(ROW()/2)+1,COLUMN(CT!N147)-1)="No","False","True")</f>
        <v>True</v>
      </c>
    </row>
    <row r="151" spans="1:7" x14ac:dyDescent="0.3">
      <c r="A151" s="77" t="str">
        <f ca="1">IF(MOD(ROW(),2)=0,OFFSET(CT!$A$1,INT(ROW()/2)+1,COLUMN(CT!A148)-1),"")</f>
        <v/>
      </c>
      <c r="B151" s="77" t="str">
        <f ca="1">IF(MOD(ROW(),2)=0,OFFSET(CT!$A$1,INT(ROW()/2)+1,COLUMN(CT!B148)-1),"")</f>
        <v/>
      </c>
      <c r="C151" s="77" t="str">
        <f ca="1">IF(MOD(ROW(),2)=0,OFFSET(CT!$A$1,INT(ROW()/2)+1,COLUMN(CT!C148)-1),"")</f>
        <v/>
      </c>
      <c r="D151" s="23" t="str">
        <f ca="1">OFFSET(CT!$A$1,INT(ROW()/2)+1,IF(MOD(ROW(),2)=0,COLUMN(CT!D148)-1,COLUMN(CT!E148)-1))</f>
        <v>3388</v>
      </c>
      <c r="E151" s="78">
        <f ca="1">IF(MOD(ROW(),2)=0,OFFSET(CT!$A$1,INT(ROW()/2)+1,COLUMN(CT!H148)-1),0)</f>
        <v>0</v>
      </c>
      <c r="F151" s="78">
        <f ca="1">IF(MOD(ROW(),2)=1,OFFSET(CT!$A$1,INT(ROW()/2)+1,COLUMN(CT!H148)-1),0)</f>
        <v>400000</v>
      </c>
      <c r="G151" s="153" t="str">
        <f ca="1">IF(OFFSET(CT!$A$1,INT(ROW()/2)+1,COLUMN(CT!N148)-1)="No","False","True")</f>
        <v>True</v>
      </c>
    </row>
    <row r="152" spans="1:7" x14ac:dyDescent="0.3">
      <c r="A152" s="77">
        <f ca="1">IF(MOD(ROW(),2)=0,OFFSET(CT!$A$1,INT(ROW()/2)+1,COLUMN(CT!A149)-1),"")</f>
        <v>45322</v>
      </c>
      <c r="B152" s="77" t="str">
        <f ca="1">IF(MOD(ROW(),2)=0,OFFSET(CT!$A$1,INT(ROW()/2)+1,COLUMN(CT!B149)-1),"")</f>
        <v>TH2</v>
      </c>
      <c r="C152" s="77" t="str">
        <f ca="1">IF(MOD(ROW(),2)=0,OFFSET(CT!$A$1,INT(ROW()/2)+1,COLUMN(CT!C149)-1),"")</f>
        <v>Tính các khoản trích theo lương vào chi phí</v>
      </c>
      <c r="D152" s="23" t="str">
        <f ca="1">OFFSET(CT!$A$1,INT(ROW()/2)+1,IF(MOD(ROW(),2)=0,COLUMN(CT!D149)-1,COLUMN(CT!E149)-1))</f>
        <v>622.02</v>
      </c>
      <c r="E152" s="78">
        <f ca="1">IF(MOD(ROW(),2)=0,OFFSET(CT!$A$1,INT(ROW()/2)+1,COLUMN(CT!H149)-1),0)</f>
        <v>400000</v>
      </c>
      <c r="F152" s="78">
        <f ca="1">IF(MOD(ROW(),2)=1,OFFSET(CT!$A$1,INT(ROW()/2)+1,COLUMN(CT!H149)-1),0)</f>
        <v>0</v>
      </c>
      <c r="G152" s="153" t="str">
        <f ca="1">IF(OFFSET(CT!$A$1,INT(ROW()/2)+1,COLUMN(CT!N149)-1)="No","False","True")</f>
        <v>True</v>
      </c>
    </row>
    <row r="153" spans="1:7" x14ac:dyDescent="0.3">
      <c r="A153" s="77" t="str">
        <f ca="1">IF(MOD(ROW(),2)=0,OFFSET(CT!$A$1,INT(ROW()/2)+1,COLUMN(CT!A150)-1),"")</f>
        <v/>
      </c>
      <c r="B153" s="77" t="str">
        <f ca="1">IF(MOD(ROW(),2)=0,OFFSET(CT!$A$1,INT(ROW()/2)+1,COLUMN(CT!B150)-1),"")</f>
        <v/>
      </c>
      <c r="C153" s="77" t="str">
        <f ca="1">IF(MOD(ROW(),2)=0,OFFSET(CT!$A$1,INT(ROW()/2)+1,COLUMN(CT!C150)-1),"")</f>
        <v/>
      </c>
      <c r="D153" s="23" t="str">
        <f ca="1">OFFSET(CT!$A$1,INT(ROW()/2)+1,IF(MOD(ROW(),2)=0,COLUMN(CT!D150)-1,COLUMN(CT!E150)-1))</f>
        <v>3388</v>
      </c>
      <c r="E153" s="78">
        <f ca="1">IF(MOD(ROW(),2)=0,OFFSET(CT!$A$1,INT(ROW()/2)+1,COLUMN(CT!H150)-1),0)</f>
        <v>0</v>
      </c>
      <c r="F153" s="78">
        <f ca="1">IF(MOD(ROW(),2)=1,OFFSET(CT!$A$1,INT(ROW()/2)+1,COLUMN(CT!H150)-1),0)</f>
        <v>400000</v>
      </c>
      <c r="G153" s="153" t="str">
        <f ca="1">IF(OFFSET(CT!$A$1,INT(ROW()/2)+1,COLUMN(CT!N150)-1)="No","False","True")</f>
        <v>True</v>
      </c>
    </row>
    <row r="154" spans="1:7" x14ac:dyDescent="0.3">
      <c r="A154" s="77">
        <f ca="1">IF(MOD(ROW(),2)=0,OFFSET(CT!$A$1,INT(ROW()/2)+1,COLUMN(CT!A151)-1),"")</f>
        <v>45322</v>
      </c>
      <c r="B154" s="77" t="str">
        <f ca="1">IF(MOD(ROW(),2)=0,OFFSET(CT!$A$1,INT(ROW()/2)+1,COLUMN(CT!B151)-1),"")</f>
        <v>TH2</v>
      </c>
      <c r="C154" s="77" t="str">
        <f ca="1">IF(MOD(ROW(),2)=0,OFFSET(CT!$A$1,INT(ROW()/2)+1,COLUMN(CT!C151)-1),"")</f>
        <v>Tính các khoản trích theo lương vào chi phí</v>
      </c>
      <c r="D154" s="23" t="str">
        <f ca="1">OFFSET(CT!$A$1,INT(ROW()/2)+1,IF(MOD(ROW(),2)=0,COLUMN(CT!D151)-1,COLUMN(CT!E151)-1))</f>
        <v>622.03</v>
      </c>
      <c r="E154" s="78">
        <f ca="1">IF(MOD(ROW(),2)=0,OFFSET(CT!$A$1,INT(ROW()/2)+1,COLUMN(CT!H151)-1),0)</f>
        <v>400000</v>
      </c>
      <c r="F154" s="78">
        <f ca="1">IF(MOD(ROW(),2)=1,OFFSET(CT!$A$1,INT(ROW()/2)+1,COLUMN(CT!H151)-1),0)</f>
        <v>0</v>
      </c>
      <c r="G154" s="153" t="str">
        <f ca="1">IF(OFFSET(CT!$A$1,INT(ROW()/2)+1,COLUMN(CT!N151)-1)="No","False","True")</f>
        <v>True</v>
      </c>
    </row>
    <row r="155" spans="1:7" x14ac:dyDescent="0.3">
      <c r="A155" s="77" t="str">
        <f ca="1">IF(MOD(ROW(),2)=0,OFFSET(CT!$A$1,INT(ROW()/2)+1,COLUMN(CT!A152)-1),"")</f>
        <v/>
      </c>
      <c r="B155" s="77" t="str">
        <f ca="1">IF(MOD(ROW(),2)=0,OFFSET(CT!$A$1,INT(ROW()/2)+1,COLUMN(CT!B152)-1),"")</f>
        <v/>
      </c>
      <c r="C155" s="77" t="str">
        <f ca="1">IF(MOD(ROW(),2)=0,OFFSET(CT!$A$1,INT(ROW()/2)+1,COLUMN(CT!C152)-1),"")</f>
        <v/>
      </c>
      <c r="D155" s="23" t="str">
        <f ca="1">OFFSET(CT!$A$1,INT(ROW()/2)+1,IF(MOD(ROW(),2)=0,COLUMN(CT!D152)-1,COLUMN(CT!E152)-1))</f>
        <v>3388</v>
      </c>
      <c r="E155" s="78">
        <f ca="1">IF(MOD(ROW(),2)=0,OFFSET(CT!$A$1,INT(ROW()/2)+1,COLUMN(CT!H152)-1),0)</f>
        <v>0</v>
      </c>
      <c r="F155" s="78">
        <f ca="1">IF(MOD(ROW(),2)=1,OFFSET(CT!$A$1,INT(ROW()/2)+1,COLUMN(CT!H152)-1),0)</f>
        <v>400000</v>
      </c>
      <c r="G155" s="153" t="str">
        <f ca="1">IF(OFFSET(CT!$A$1,INT(ROW()/2)+1,COLUMN(CT!N152)-1)="No","False","True")</f>
        <v>True</v>
      </c>
    </row>
    <row r="156" spans="1:7" x14ac:dyDescent="0.3">
      <c r="A156" s="77">
        <f ca="1">IF(MOD(ROW(),2)=0,OFFSET(CT!$A$1,INT(ROW()/2)+1,COLUMN(CT!A153)-1),"")</f>
        <v>45322</v>
      </c>
      <c r="B156" s="77" t="str">
        <f ca="1">IF(MOD(ROW(),2)=0,OFFSET(CT!$A$1,INT(ROW()/2)+1,COLUMN(CT!B153)-1),"")</f>
        <v>TH2</v>
      </c>
      <c r="C156" s="77" t="str">
        <f ca="1">IF(MOD(ROW(),2)=0,OFFSET(CT!$A$1,INT(ROW()/2)+1,COLUMN(CT!C153)-1),"")</f>
        <v>Tính các khoản trích theo lương vào chi phí</v>
      </c>
      <c r="D156" s="23" t="str">
        <f ca="1">OFFSET(CT!$A$1,INT(ROW()/2)+1,IF(MOD(ROW(),2)=0,COLUMN(CT!D153)-1,COLUMN(CT!E153)-1))</f>
        <v>622.04</v>
      </c>
      <c r="E156" s="78">
        <f ca="1">IF(MOD(ROW(),2)=0,OFFSET(CT!$A$1,INT(ROW()/2)+1,COLUMN(CT!H153)-1),0)</f>
        <v>400000</v>
      </c>
      <c r="F156" s="78">
        <f ca="1">IF(MOD(ROW(),2)=1,OFFSET(CT!$A$1,INT(ROW()/2)+1,COLUMN(CT!H153)-1),0)</f>
        <v>0</v>
      </c>
      <c r="G156" s="153" t="str">
        <f ca="1">IF(OFFSET(CT!$A$1,INT(ROW()/2)+1,COLUMN(CT!N153)-1)="No","False","True")</f>
        <v>True</v>
      </c>
    </row>
    <row r="157" spans="1:7" x14ac:dyDescent="0.3">
      <c r="A157" s="77" t="str">
        <f ca="1">IF(MOD(ROW(),2)=0,OFFSET(CT!$A$1,INT(ROW()/2)+1,COLUMN(CT!A154)-1),"")</f>
        <v/>
      </c>
      <c r="B157" s="77" t="str">
        <f ca="1">IF(MOD(ROW(),2)=0,OFFSET(CT!$A$1,INT(ROW()/2)+1,COLUMN(CT!B154)-1),"")</f>
        <v/>
      </c>
      <c r="C157" s="77" t="str">
        <f ca="1">IF(MOD(ROW(),2)=0,OFFSET(CT!$A$1,INT(ROW()/2)+1,COLUMN(CT!C154)-1),"")</f>
        <v/>
      </c>
      <c r="D157" s="23" t="str">
        <f ca="1">OFFSET(CT!$A$1,INT(ROW()/2)+1,IF(MOD(ROW(),2)=0,COLUMN(CT!D154)-1,COLUMN(CT!E154)-1))</f>
        <v>3388</v>
      </c>
      <c r="E157" s="78">
        <f ca="1">IF(MOD(ROW(),2)=0,OFFSET(CT!$A$1,INT(ROW()/2)+1,COLUMN(CT!H154)-1),0)</f>
        <v>0</v>
      </c>
      <c r="F157" s="78">
        <f ca="1">IF(MOD(ROW(),2)=1,OFFSET(CT!$A$1,INT(ROW()/2)+1,COLUMN(CT!H154)-1),0)</f>
        <v>400000</v>
      </c>
      <c r="G157" s="153" t="str">
        <f ca="1">IF(OFFSET(CT!$A$1,INT(ROW()/2)+1,COLUMN(CT!N154)-1)="No","False","True")</f>
        <v>True</v>
      </c>
    </row>
    <row r="158" spans="1:7" x14ac:dyDescent="0.3">
      <c r="A158" s="77">
        <f ca="1">IF(MOD(ROW(),2)=0,OFFSET(CT!$A$1,INT(ROW()/2)+1,COLUMN(CT!A155)-1),"")</f>
        <v>45322</v>
      </c>
      <c r="B158" s="77" t="str">
        <f ca="1">IF(MOD(ROW(),2)=0,OFFSET(CT!$A$1,INT(ROW()/2)+1,COLUMN(CT!B155)-1),"")</f>
        <v>TH2</v>
      </c>
      <c r="C158" s="77" t="str">
        <f ca="1">IF(MOD(ROW(),2)=0,OFFSET(CT!$A$1,INT(ROW()/2)+1,COLUMN(CT!C155)-1),"")</f>
        <v>Tính các khoản trích theo lương vào chi phí</v>
      </c>
      <c r="D158" s="23" t="str">
        <f ca="1">OFFSET(CT!$A$1,INT(ROW()/2)+1,IF(MOD(ROW(),2)=0,COLUMN(CT!D155)-1,COLUMN(CT!E155)-1))</f>
        <v>622.05</v>
      </c>
      <c r="E158" s="78">
        <f ca="1">IF(MOD(ROW(),2)=0,OFFSET(CT!$A$1,INT(ROW()/2)+1,COLUMN(CT!H155)-1),0)</f>
        <v>400000</v>
      </c>
      <c r="F158" s="78">
        <f ca="1">IF(MOD(ROW(),2)=1,OFFSET(CT!$A$1,INT(ROW()/2)+1,COLUMN(CT!H155)-1),0)</f>
        <v>0</v>
      </c>
      <c r="G158" s="153" t="str">
        <f ca="1">IF(OFFSET(CT!$A$1,INT(ROW()/2)+1,COLUMN(CT!N155)-1)="No","False","True")</f>
        <v>True</v>
      </c>
    </row>
    <row r="159" spans="1:7" x14ac:dyDescent="0.3">
      <c r="A159" s="77" t="str">
        <f ca="1">IF(MOD(ROW(),2)=0,OFFSET(CT!$A$1,INT(ROW()/2)+1,COLUMN(CT!A156)-1),"")</f>
        <v/>
      </c>
      <c r="B159" s="77" t="str">
        <f ca="1">IF(MOD(ROW(),2)=0,OFFSET(CT!$A$1,INT(ROW()/2)+1,COLUMN(CT!B156)-1),"")</f>
        <v/>
      </c>
      <c r="C159" s="77" t="str">
        <f ca="1">IF(MOD(ROW(),2)=0,OFFSET(CT!$A$1,INT(ROW()/2)+1,COLUMN(CT!C156)-1),"")</f>
        <v/>
      </c>
      <c r="D159" s="23" t="str">
        <f ca="1">OFFSET(CT!$A$1,INT(ROW()/2)+1,IF(MOD(ROW(),2)=0,COLUMN(CT!D156)-1,COLUMN(CT!E156)-1))</f>
        <v>3388</v>
      </c>
      <c r="E159" s="78">
        <f ca="1">IF(MOD(ROW(),2)=0,OFFSET(CT!$A$1,INT(ROW()/2)+1,COLUMN(CT!H156)-1),0)</f>
        <v>0</v>
      </c>
      <c r="F159" s="78">
        <f ca="1">IF(MOD(ROW(),2)=1,OFFSET(CT!$A$1,INT(ROW()/2)+1,COLUMN(CT!H156)-1),0)</f>
        <v>400000</v>
      </c>
      <c r="G159" s="153" t="str">
        <f ca="1">IF(OFFSET(CT!$A$1,INT(ROW()/2)+1,COLUMN(CT!N156)-1)="No","False","True")</f>
        <v>True</v>
      </c>
    </row>
    <row r="160" spans="1:7" x14ac:dyDescent="0.3">
      <c r="A160" s="77">
        <f ca="1">IF(MOD(ROW(),2)=0,OFFSET(CT!$A$1,INT(ROW()/2)+1,COLUMN(CT!A157)-1),"")</f>
        <v>45322</v>
      </c>
      <c r="B160" s="77" t="str">
        <f ca="1">IF(MOD(ROW(),2)=0,OFFSET(CT!$A$1,INT(ROW()/2)+1,COLUMN(CT!B157)-1),"")</f>
        <v>KH2</v>
      </c>
      <c r="C160" s="77" t="str">
        <f ca="1">IF(MOD(ROW(),2)=0,OFFSET(CT!$A$1,INT(ROW()/2)+1,COLUMN(CT!C157)-1),"")</f>
        <v>Trích KH cho BPQL</v>
      </c>
      <c r="D160" s="23" t="str">
        <f ca="1">OFFSET(CT!$A$1,INT(ROW()/2)+1,IF(MOD(ROW(),2)=0,COLUMN(CT!D157)-1,COLUMN(CT!E157)-1))</f>
        <v>6424</v>
      </c>
      <c r="E160" s="78">
        <f ca="1">IF(MOD(ROW(),2)=0,OFFSET(CT!$A$1,INT(ROW()/2)+1,COLUMN(CT!H157)-1),0)</f>
        <v>458333</v>
      </c>
      <c r="F160" s="78">
        <f ca="1">IF(MOD(ROW(),2)=1,OFFSET(CT!$A$1,INT(ROW()/2)+1,COLUMN(CT!H157)-1),0)</f>
        <v>0</v>
      </c>
      <c r="G160" s="153" t="str">
        <f ca="1">IF(OFFSET(CT!$A$1,INT(ROW()/2)+1,COLUMN(CT!N157)-1)="No","False","True")</f>
        <v>True</v>
      </c>
    </row>
    <row r="161" spans="1:7" x14ac:dyDescent="0.3">
      <c r="A161" s="77" t="str">
        <f ca="1">IF(MOD(ROW(),2)=0,OFFSET(CT!$A$1,INT(ROW()/2)+1,COLUMN(CT!A158)-1),"")</f>
        <v/>
      </c>
      <c r="B161" s="77" t="str">
        <f ca="1">IF(MOD(ROW(),2)=0,OFFSET(CT!$A$1,INT(ROW()/2)+1,COLUMN(CT!B158)-1),"")</f>
        <v/>
      </c>
      <c r="C161" s="77" t="str">
        <f ca="1">IF(MOD(ROW(),2)=0,OFFSET(CT!$A$1,INT(ROW()/2)+1,COLUMN(CT!C158)-1),"")</f>
        <v/>
      </c>
      <c r="D161" s="23" t="str">
        <f ca="1">OFFSET(CT!$A$1,INT(ROW()/2)+1,IF(MOD(ROW(),2)=0,COLUMN(CT!D158)-1,COLUMN(CT!E158)-1))</f>
        <v>2141</v>
      </c>
      <c r="E161" s="78">
        <f ca="1">IF(MOD(ROW(),2)=0,OFFSET(CT!$A$1,INT(ROW()/2)+1,COLUMN(CT!H158)-1),0)</f>
        <v>0</v>
      </c>
      <c r="F161" s="78">
        <f ca="1">IF(MOD(ROW(),2)=1,OFFSET(CT!$A$1,INT(ROW()/2)+1,COLUMN(CT!H158)-1),0)</f>
        <v>458333</v>
      </c>
      <c r="G161" s="153" t="str">
        <f ca="1">IF(OFFSET(CT!$A$1,INT(ROW()/2)+1,COLUMN(CT!N158)-1)="No","False","True")</f>
        <v>True</v>
      </c>
    </row>
    <row r="162" spans="1:7" x14ac:dyDescent="0.3">
      <c r="A162" s="77">
        <f ca="1">IF(MOD(ROW(),2)=0,OFFSET(CT!$A$1,INT(ROW()/2)+1,COLUMN(CT!A159)-1),"")</f>
        <v>45322</v>
      </c>
      <c r="B162" s="77" t="str">
        <f ca="1">IF(MOD(ROW(),2)=0,OFFSET(CT!$A$1,INT(ROW()/2)+1,COLUMN(CT!B159)-1),"")</f>
        <v>01/PB</v>
      </c>
      <c r="C162" s="77" t="str">
        <f ca="1">IF(MOD(ROW(),2)=0,OFFSET(CT!$A$1,INT(ROW()/2)+1,COLUMN(CT!C159)-1),"")</f>
        <v>Phân bổ CCDC vào chi phí</v>
      </c>
      <c r="D162" s="23" t="str">
        <f ca="1">OFFSET(CT!$A$1,INT(ROW()/2)+1,IF(MOD(ROW(),2)=0,COLUMN(CT!D159)-1,COLUMN(CT!E159)-1))</f>
        <v>6423</v>
      </c>
      <c r="E162" s="78">
        <f ca="1">IF(MOD(ROW(),2)=0,OFFSET(CT!$A$1,INT(ROW()/2)+1,COLUMN(CT!H159)-1),0)</f>
        <v>500000</v>
      </c>
      <c r="F162" s="78">
        <f ca="1">IF(MOD(ROW(),2)=1,OFFSET(CT!$A$1,INT(ROW()/2)+1,COLUMN(CT!H159)-1),0)</f>
        <v>0</v>
      </c>
      <c r="G162" s="153" t="str">
        <f ca="1">IF(OFFSET(CT!$A$1,INT(ROW()/2)+1,COLUMN(CT!N159)-1)="No","False","True")</f>
        <v>True</v>
      </c>
    </row>
    <row r="163" spans="1:7" x14ac:dyDescent="0.3">
      <c r="A163" s="77" t="str">
        <f ca="1">IF(MOD(ROW(),2)=0,OFFSET(CT!$A$1,INT(ROW()/2)+1,COLUMN(CT!A160)-1),"")</f>
        <v/>
      </c>
      <c r="B163" s="77" t="str">
        <f ca="1">IF(MOD(ROW(),2)=0,OFFSET(CT!$A$1,INT(ROW()/2)+1,COLUMN(CT!B160)-1),"")</f>
        <v/>
      </c>
      <c r="C163" s="77" t="str">
        <f ca="1">IF(MOD(ROW(),2)=0,OFFSET(CT!$A$1,INT(ROW()/2)+1,COLUMN(CT!C160)-1),"")</f>
        <v/>
      </c>
      <c r="D163" s="23" t="str">
        <f ca="1">OFFSET(CT!$A$1,INT(ROW()/2)+1,IF(MOD(ROW(),2)=0,COLUMN(CT!D160)-1,COLUMN(CT!E160)-1))</f>
        <v>2421.01</v>
      </c>
      <c r="E163" s="78">
        <f ca="1">IF(MOD(ROW(),2)=0,OFFSET(CT!$A$1,INT(ROW()/2)+1,COLUMN(CT!H160)-1),0)</f>
        <v>0</v>
      </c>
      <c r="F163" s="78">
        <f ca="1">IF(MOD(ROW(),2)=1,OFFSET(CT!$A$1,INT(ROW()/2)+1,COLUMN(CT!H160)-1),0)</f>
        <v>500000</v>
      </c>
      <c r="G163" s="153" t="str">
        <f ca="1">IF(OFFSET(CT!$A$1,INT(ROW()/2)+1,COLUMN(CT!N160)-1)="No","False","True")</f>
        <v>True</v>
      </c>
    </row>
    <row r="164" spans="1:7" x14ac:dyDescent="0.3">
      <c r="A164" s="77">
        <f ca="1">IF(MOD(ROW(),2)=0,OFFSET(CT!$A$1,INT(ROW()/2)+1,COLUMN(CT!A161)-1),"")</f>
        <v>45322</v>
      </c>
      <c r="B164" s="77" t="str">
        <f ca="1">IF(MOD(ROW(),2)=0,OFFSET(CT!$A$1,INT(ROW()/2)+1,COLUMN(CT!B161)-1),"")</f>
        <v>TH2</v>
      </c>
      <c r="C164" s="77" t="str">
        <f ca="1">IF(MOD(ROW(),2)=0,OFFSET(CT!$A$1,INT(ROW()/2)+1,COLUMN(CT!C161)-1),"")</f>
        <v>Tính các khoản trích theo lương vào chi phí</v>
      </c>
      <c r="D164" s="23" t="str">
        <f ca="1">OFFSET(CT!$A$1,INT(ROW()/2)+1,IF(MOD(ROW(),2)=0,COLUMN(CT!D161)-1,COLUMN(CT!E161)-1))</f>
        <v>6271</v>
      </c>
      <c r="E164" s="78">
        <f ca="1">IF(MOD(ROW(),2)=0,OFFSET(CT!$A$1,INT(ROW()/2)+1,COLUMN(CT!H161)-1),0)</f>
        <v>700000</v>
      </c>
      <c r="F164" s="78">
        <f ca="1">IF(MOD(ROW(),2)=1,OFFSET(CT!$A$1,INT(ROW()/2)+1,COLUMN(CT!H161)-1),0)</f>
        <v>0</v>
      </c>
      <c r="G164" s="153" t="str">
        <f ca="1">IF(OFFSET(CT!$A$1,INT(ROW()/2)+1,COLUMN(CT!N161)-1)="No","False","True")</f>
        <v>True</v>
      </c>
    </row>
    <row r="165" spans="1:7" x14ac:dyDescent="0.3">
      <c r="A165" s="77" t="str">
        <f ca="1">IF(MOD(ROW(),2)=0,OFFSET(CT!$A$1,INT(ROW()/2)+1,COLUMN(CT!A162)-1),"")</f>
        <v/>
      </c>
      <c r="B165" s="77" t="str">
        <f ca="1">IF(MOD(ROW(),2)=0,OFFSET(CT!$A$1,INT(ROW()/2)+1,COLUMN(CT!B162)-1),"")</f>
        <v/>
      </c>
      <c r="C165" s="77" t="str">
        <f ca="1">IF(MOD(ROW(),2)=0,OFFSET(CT!$A$1,INT(ROW()/2)+1,COLUMN(CT!C162)-1),"")</f>
        <v/>
      </c>
      <c r="D165" s="23" t="str">
        <f ca="1">OFFSET(CT!$A$1,INT(ROW()/2)+1,IF(MOD(ROW(),2)=0,COLUMN(CT!D162)-1,COLUMN(CT!E162)-1))</f>
        <v>3382</v>
      </c>
      <c r="E165" s="78">
        <f ca="1">IF(MOD(ROW(),2)=0,OFFSET(CT!$A$1,INT(ROW()/2)+1,COLUMN(CT!H162)-1),0)</f>
        <v>0</v>
      </c>
      <c r="F165" s="78">
        <f ca="1">IF(MOD(ROW(),2)=1,OFFSET(CT!$A$1,INT(ROW()/2)+1,COLUMN(CT!H162)-1),0)</f>
        <v>700000</v>
      </c>
      <c r="G165" s="153" t="str">
        <f ca="1">IF(OFFSET(CT!$A$1,INT(ROW()/2)+1,COLUMN(CT!N162)-1)="No","False","True")</f>
        <v>True</v>
      </c>
    </row>
    <row r="166" spans="1:7" x14ac:dyDescent="0.3">
      <c r="A166" s="77">
        <f ca="1">IF(MOD(ROW(),2)=0,OFFSET(CT!$A$1,INT(ROW()/2)+1,COLUMN(CT!A163)-1),"")</f>
        <v>45322</v>
      </c>
      <c r="B166" s="77" t="str">
        <f ca="1">IF(MOD(ROW(),2)=0,OFFSET(CT!$A$1,INT(ROW()/2)+1,COLUMN(CT!B163)-1),"")</f>
        <v>TH2</v>
      </c>
      <c r="C166" s="77" t="str">
        <f ca="1">IF(MOD(ROW(),2)=0,OFFSET(CT!$A$1,INT(ROW()/2)+1,COLUMN(CT!C163)-1),"")</f>
        <v>Tính các khoản trích theo lương vào chi phí</v>
      </c>
      <c r="D166" s="23" t="str">
        <f ca="1">OFFSET(CT!$A$1,INT(ROW()/2)+1,IF(MOD(ROW(),2)=0,COLUMN(CT!D163)-1,COLUMN(CT!E163)-1))</f>
        <v>622.01</v>
      </c>
      <c r="E166" s="78">
        <f ca="1">IF(MOD(ROW(),2)=0,OFFSET(CT!$A$1,INT(ROW()/2)+1,COLUMN(CT!H163)-1),0)</f>
        <v>800000</v>
      </c>
      <c r="F166" s="78">
        <f ca="1">IF(MOD(ROW(),2)=1,OFFSET(CT!$A$1,INT(ROW()/2)+1,COLUMN(CT!H163)-1),0)</f>
        <v>0</v>
      </c>
      <c r="G166" s="153" t="str">
        <f ca="1">IF(OFFSET(CT!$A$1,INT(ROW()/2)+1,COLUMN(CT!N163)-1)="No","False","True")</f>
        <v>True</v>
      </c>
    </row>
    <row r="167" spans="1:7" x14ac:dyDescent="0.3">
      <c r="A167" s="77" t="str">
        <f ca="1">IF(MOD(ROW(),2)=0,OFFSET(CT!$A$1,INT(ROW()/2)+1,COLUMN(CT!A164)-1),"")</f>
        <v/>
      </c>
      <c r="B167" s="77" t="str">
        <f ca="1">IF(MOD(ROW(),2)=0,OFFSET(CT!$A$1,INT(ROW()/2)+1,COLUMN(CT!B164)-1),"")</f>
        <v/>
      </c>
      <c r="C167" s="77" t="str">
        <f ca="1">IF(MOD(ROW(),2)=0,OFFSET(CT!$A$1,INT(ROW()/2)+1,COLUMN(CT!C164)-1),"")</f>
        <v/>
      </c>
      <c r="D167" s="23" t="str">
        <f ca="1">OFFSET(CT!$A$1,INT(ROW()/2)+1,IF(MOD(ROW(),2)=0,COLUMN(CT!D164)-1,COLUMN(CT!E164)-1))</f>
        <v>3382</v>
      </c>
      <c r="E167" s="78">
        <f ca="1">IF(MOD(ROW(),2)=0,OFFSET(CT!$A$1,INT(ROW()/2)+1,COLUMN(CT!H164)-1),0)</f>
        <v>0</v>
      </c>
      <c r="F167" s="78">
        <f ca="1">IF(MOD(ROW(),2)=1,OFFSET(CT!$A$1,INT(ROW()/2)+1,COLUMN(CT!H164)-1),0)</f>
        <v>800000</v>
      </c>
      <c r="G167" s="153" t="str">
        <f ca="1">IF(OFFSET(CT!$A$1,INT(ROW()/2)+1,COLUMN(CT!N164)-1)="No","False","True")</f>
        <v>True</v>
      </c>
    </row>
    <row r="168" spans="1:7" x14ac:dyDescent="0.3">
      <c r="A168" s="77">
        <f ca="1">IF(MOD(ROW(),2)=0,OFFSET(CT!$A$1,INT(ROW()/2)+1,COLUMN(CT!A165)-1),"")</f>
        <v>45322</v>
      </c>
      <c r="B168" s="77" t="str">
        <f ca="1">IF(MOD(ROW(),2)=0,OFFSET(CT!$A$1,INT(ROW()/2)+1,COLUMN(CT!B165)-1),"")</f>
        <v>TH2</v>
      </c>
      <c r="C168" s="77" t="str">
        <f ca="1">IF(MOD(ROW(),2)=0,OFFSET(CT!$A$1,INT(ROW()/2)+1,COLUMN(CT!C165)-1),"")</f>
        <v>Tính các khoản trích theo lương vào chi phí</v>
      </c>
      <c r="D168" s="23" t="str">
        <f ca="1">OFFSET(CT!$A$1,INT(ROW()/2)+1,IF(MOD(ROW(),2)=0,COLUMN(CT!D165)-1,COLUMN(CT!E165)-1))</f>
        <v>622.02</v>
      </c>
      <c r="E168" s="78">
        <f ca="1">IF(MOD(ROW(),2)=0,OFFSET(CT!$A$1,INT(ROW()/2)+1,COLUMN(CT!H165)-1),0)</f>
        <v>800000</v>
      </c>
      <c r="F168" s="78">
        <f ca="1">IF(MOD(ROW(),2)=1,OFFSET(CT!$A$1,INT(ROW()/2)+1,COLUMN(CT!H165)-1),0)</f>
        <v>0</v>
      </c>
      <c r="G168" s="153" t="str">
        <f ca="1">IF(OFFSET(CT!$A$1,INT(ROW()/2)+1,COLUMN(CT!N165)-1)="No","False","True")</f>
        <v>True</v>
      </c>
    </row>
    <row r="169" spans="1:7" x14ac:dyDescent="0.3">
      <c r="A169" s="77" t="str">
        <f ca="1">IF(MOD(ROW(),2)=0,OFFSET(CT!$A$1,INT(ROW()/2)+1,COLUMN(CT!A166)-1),"")</f>
        <v/>
      </c>
      <c r="B169" s="77" t="str">
        <f ca="1">IF(MOD(ROW(),2)=0,OFFSET(CT!$A$1,INT(ROW()/2)+1,COLUMN(CT!B166)-1),"")</f>
        <v/>
      </c>
      <c r="C169" s="77" t="str">
        <f ca="1">IF(MOD(ROW(),2)=0,OFFSET(CT!$A$1,INT(ROW()/2)+1,COLUMN(CT!C166)-1),"")</f>
        <v/>
      </c>
      <c r="D169" s="23" t="str">
        <f ca="1">OFFSET(CT!$A$1,INT(ROW()/2)+1,IF(MOD(ROW(),2)=0,COLUMN(CT!D166)-1,COLUMN(CT!E166)-1))</f>
        <v>3382</v>
      </c>
      <c r="E169" s="78">
        <f ca="1">IF(MOD(ROW(),2)=0,OFFSET(CT!$A$1,INT(ROW()/2)+1,COLUMN(CT!H166)-1),0)</f>
        <v>0</v>
      </c>
      <c r="F169" s="78">
        <f ca="1">IF(MOD(ROW(),2)=1,OFFSET(CT!$A$1,INT(ROW()/2)+1,COLUMN(CT!H166)-1),0)</f>
        <v>800000</v>
      </c>
      <c r="G169" s="153" t="str">
        <f ca="1">IF(OFFSET(CT!$A$1,INT(ROW()/2)+1,COLUMN(CT!N166)-1)="No","False","True")</f>
        <v>True</v>
      </c>
    </row>
    <row r="170" spans="1:7" x14ac:dyDescent="0.3">
      <c r="A170" s="77">
        <f ca="1">IF(MOD(ROW(),2)=0,OFFSET(CT!$A$1,INT(ROW()/2)+1,COLUMN(CT!A167)-1),"")</f>
        <v>45322</v>
      </c>
      <c r="B170" s="77" t="str">
        <f ca="1">IF(MOD(ROW(),2)=0,OFFSET(CT!$A$1,INT(ROW()/2)+1,COLUMN(CT!B167)-1),"")</f>
        <v>TH2</v>
      </c>
      <c r="C170" s="77" t="str">
        <f ca="1">IF(MOD(ROW(),2)=0,OFFSET(CT!$A$1,INT(ROW()/2)+1,COLUMN(CT!C167)-1),"")</f>
        <v>Tính các khoản trích theo lương vào chi phí</v>
      </c>
      <c r="D170" s="23" t="str">
        <f ca="1">OFFSET(CT!$A$1,INT(ROW()/2)+1,IF(MOD(ROW(),2)=0,COLUMN(CT!D167)-1,COLUMN(CT!E167)-1))</f>
        <v>622.03</v>
      </c>
      <c r="E170" s="78">
        <f ca="1">IF(MOD(ROW(),2)=0,OFFSET(CT!$A$1,INT(ROW()/2)+1,COLUMN(CT!H167)-1),0)</f>
        <v>800000</v>
      </c>
      <c r="F170" s="78">
        <f ca="1">IF(MOD(ROW(),2)=1,OFFSET(CT!$A$1,INT(ROW()/2)+1,COLUMN(CT!H167)-1),0)</f>
        <v>0</v>
      </c>
      <c r="G170" s="153" t="str">
        <f ca="1">IF(OFFSET(CT!$A$1,INT(ROW()/2)+1,COLUMN(CT!N167)-1)="No","False","True")</f>
        <v>True</v>
      </c>
    </row>
    <row r="171" spans="1:7" x14ac:dyDescent="0.3">
      <c r="A171" s="77" t="str">
        <f ca="1">IF(MOD(ROW(),2)=0,OFFSET(CT!$A$1,INT(ROW()/2)+1,COLUMN(CT!A168)-1),"")</f>
        <v/>
      </c>
      <c r="B171" s="77" t="str">
        <f ca="1">IF(MOD(ROW(),2)=0,OFFSET(CT!$A$1,INT(ROW()/2)+1,COLUMN(CT!B168)-1),"")</f>
        <v/>
      </c>
      <c r="C171" s="77" t="str">
        <f ca="1">IF(MOD(ROW(),2)=0,OFFSET(CT!$A$1,INT(ROW()/2)+1,COLUMN(CT!C168)-1),"")</f>
        <v/>
      </c>
      <c r="D171" s="23" t="str">
        <f ca="1">OFFSET(CT!$A$1,INT(ROW()/2)+1,IF(MOD(ROW(),2)=0,COLUMN(CT!D168)-1,COLUMN(CT!E168)-1))</f>
        <v>3382</v>
      </c>
      <c r="E171" s="78">
        <f ca="1">IF(MOD(ROW(),2)=0,OFFSET(CT!$A$1,INT(ROW()/2)+1,COLUMN(CT!H168)-1),0)</f>
        <v>0</v>
      </c>
      <c r="F171" s="78">
        <f ca="1">IF(MOD(ROW(),2)=1,OFFSET(CT!$A$1,INT(ROW()/2)+1,COLUMN(CT!H168)-1),0)</f>
        <v>800000</v>
      </c>
      <c r="G171" s="153" t="str">
        <f ca="1">IF(OFFSET(CT!$A$1,INT(ROW()/2)+1,COLUMN(CT!N168)-1)="No","False","True")</f>
        <v>True</v>
      </c>
    </row>
    <row r="172" spans="1:7" x14ac:dyDescent="0.3">
      <c r="A172" s="77">
        <f ca="1">IF(MOD(ROW(),2)=0,OFFSET(CT!$A$1,INT(ROW()/2)+1,COLUMN(CT!A169)-1),"")</f>
        <v>45322</v>
      </c>
      <c r="B172" s="77" t="str">
        <f ca="1">IF(MOD(ROW(),2)=0,OFFSET(CT!$A$1,INT(ROW()/2)+1,COLUMN(CT!B169)-1),"")</f>
        <v>TH2</v>
      </c>
      <c r="C172" s="77" t="str">
        <f ca="1">IF(MOD(ROW(),2)=0,OFFSET(CT!$A$1,INT(ROW()/2)+1,COLUMN(CT!C169)-1),"")</f>
        <v>Tính các khoản trích theo lương vào chi phí</v>
      </c>
      <c r="D172" s="23" t="str">
        <f ca="1">OFFSET(CT!$A$1,INT(ROW()/2)+1,IF(MOD(ROW(),2)=0,COLUMN(CT!D169)-1,COLUMN(CT!E169)-1))</f>
        <v>622.04</v>
      </c>
      <c r="E172" s="78">
        <f ca="1">IF(MOD(ROW(),2)=0,OFFSET(CT!$A$1,INT(ROW()/2)+1,COLUMN(CT!H169)-1),0)</f>
        <v>800000</v>
      </c>
      <c r="F172" s="78">
        <f ca="1">IF(MOD(ROW(),2)=1,OFFSET(CT!$A$1,INT(ROW()/2)+1,COLUMN(CT!H169)-1),0)</f>
        <v>0</v>
      </c>
      <c r="G172" s="153" t="str">
        <f ca="1">IF(OFFSET(CT!$A$1,INT(ROW()/2)+1,COLUMN(CT!N169)-1)="No","False","True")</f>
        <v>True</v>
      </c>
    </row>
    <row r="173" spans="1:7" x14ac:dyDescent="0.3">
      <c r="A173" s="77" t="str">
        <f ca="1">IF(MOD(ROW(),2)=0,OFFSET(CT!$A$1,INT(ROW()/2)+1,COLUMN(CT!A170)-1),"")</f>
        <v/>
      </c>
      <c r="B173" s="77" t="str">
        <f ca="1">IF(MOD(ROW(),2)=0,OFFSET(CT!$A$1,INT(ROW()/2)+1,COLUMN(CT!B170)-1),"")</f>
        <v/>
      </c>
      <c r="C173" s="77" t="str">
        <f ca="1">IF(MOD(ROW(),2)=0,OFFSET(CT!$A$1,INT(ROW()/2)+1,COLUMN(CT!C170)-1),"")</f>
        <v/>
      </c>
      <c r="D173" s="23" t="str">
        <f ca="1">OFFSET(CT!$A$1,INT(ROW()/2)+1,IF(MOD(ROW(),2)=0,COLUMN(CT!D170)-1,COLUMN(CT!E170)-1))</f>
        <v>3382</v>
      </c>
      <c r="E173" s="78">
        <f ca="1">IF(MOD(ROW(),2)=0,OFFSET(CT!$A$1,INT(ROW()/2)+1,COLUMN(CT!H170)-1),0)</f>
        <v>0</v>
      </c>
      <c r="F173" s="78">
        <f ca="1">IF(MOD(ROW(),2)=1,OFFSET(CT!$A$1,INT(ROW()/2)+1,COLUMN(CT!H170)-1),0)</f>
        <v>800000</v>
      </c>
      <c r="G173" s="153" t="str">
        <f ca="1">IF(OFFSET(CT!$A$1,INT(ROW()/2)+1,COLUMN(CT!N170)-1)="No","False","True")</f>
        <v>True</v>
      </c>
    </row>
    <row r="174" spans="1:7" x14ac:dyDescent="0.3">
      <c r="A174" s="77">
        <f ca="1">IF(MOD(ROW(),2)=0,OFFSET(CT!$A$1,INT(ROW()/2)+1,COLUMN(CT!A171)-1),"")</f>
        <v>45322</v>
      </c>
      <c r="B174" s="77" t="str">
        <f ca="1">IF(MOD(ROW(),2)=0,OFFSET(CT!$A$1,INT(ROW()/2)+1,COLUMN(CT!B171)-1),"")</f>
        <v>TH2</v>
      </c>
      <c r="C174" s="77" t="str">
        <f ca="1">IF(MOD(ROW(),2)=0,OFFSET(CT!$A$1,INT(ROW()/2)+1,COLUMN(CT!C171)-1),"")</f>
        <v>Tính các khoản trích theo lương vào chi phí</v>
      </c>
      <c r="D174" s="23" t="str">
        <f ca="1">OFFSET(CT!$A$1,INT(ROW()/2)+1,IF(MOD(ROW(),2)=0,COLUMN(CT!D171)-1,COLUMN(CT!E171)-1))</f>
        <v>622.05</v>
      </c>
      <c r="E174" s="78">
        <f ca="1">IF(MOD(ROW(),2)=0,OFFSET(CT!$A$1,INT(ROW()/2)+1,COLUMN(CT!H171)-1),0)</f>
        <v>800000</v>
      </c>
      <c r="F174" s="78">
        <f ca="1">IF(MOD(ROW(),2)=1,OFFSET(CT!$A$1,INT(ROW()/2)+1,COLUMN(CT!H171)-1),0)</f>
        <v>0</v>
      </c>
      <c r="G174" s="153" t="str">
        <f ca="1">IF(OFFSET(CT!$A$1,INT(ROW()/2)+1,COLUMN(CT!N171)-1)="No","False","True")</f>
        <v>True</v>
      </c>
    </row>
    <row r="175" spans="1:7" x14ac:dyDescent="0.3">
      <c r="A175" s="77" t="str">
        <f ca="1">IF(MOD(ROW(),2)=0,OFFSET(CT!$A$1,INT(ROW()/2)+1,COLUMN(CT!A172)-1),"")</f>
        <v/>
      </c>
      <c r="B175" s="77" t="str">
        <f ca="1">IF(MOD(ROW(),2)=0,OFFSET(CT!$A$1,INT(ROW()/2)+1,COLUMN(CT!B172)-1),"")</f>
        <v/>
      </c>
      <c r="C175" s="77" t="str">
        <f ca="1">IF(MOD(ROW(),2)=0,OFFSET(CT!$A$1,INT(ROW()/2)+1,COLUMN(CT!C172)-1),"")</f>
        <v/>
      </c>
      <c r="D175" s="23" t="str">
        <f ca="1">OFFSET(CT!$A$1,INT(ROW()/2)+1,IF(MOD(ROW(),2)=0,COLUMN(CT!D172)-1,COLUMN(CT!E172)-1))</f>
        <v>3382</v>
      </c>
      <c r="E175" s="78">
        <f ca="1">IF(MOD(ROW(),2)=0,OFFSET(CT!$A$1,INT(ROW()/2)+1,COLUMN(CT!H172)-1),0)</f>
        <v>0</v>
      </c>
      <c r="F175" s="78">
        <f ca="1">IF(MOD(ROW(),2)=1,OFFSET(CT!$A$1,INT(ROW()/2)+1,COLUMN(CT!H172)-1),0)</f>
        <v>800000</v>
      </c>
      <c r="G175" s="153" t="str">
        <f ca="1">IF(OFFSET(CT!$A$1,INT(ROW()/2)+1,COLUMN(CT!N172)-1)="No","False","True")</f>
        <v>True</v>
      </c>
    </row>
    <row r="176" spans="1:7" x14ac:dyDescent="0.3">
      <c r="A176" s="77">
        <f ca="1">IF(MOD(ROW(),2)=0,OFFSET(CT!$A$1,INT(ROW()/2)+1,COLUMN(CT!A173)-1),"")</f>
        <v>45322</v>
      </c>
      <c r="B176" s="77" t="str">
        <f ca="1">IF(MOD(ROW(),2)=0,OFFSET(CT!$A$1,INT(ROW()/2)+1,COLUMN(CT!B173)-1),"")</f>
        <v>TH2</v>
      </c>
      <c r="C176" s="77" t="str">
        <f ca="1">IF(MOD(ROW(),2)=0,OFFSET(CT!$A$1,INT(ROW()/2)+1,COLUMN(CT!C173)-1),"")</f>
        <v>Tính các khoản trích theo lương vào chi phí</v>
      </c>
      <c r="D176" s="23" t="str">
        <f ca="1">OFFSET(CT!$A$1,INT(ROW()/2)+1,IF(MOD(ROW(),2)=0,COLUMN(CT!D173)-1,COLUMN(CT!E173)-1))</f>
        <v>6411</v>
      </c>
      <c r="E176" s="78">
        <f ca="1">IF(MOD(ROW(),2)=0,OFFSET(CT!$A$1,INT(ROW()/2)+1,COLUMN(CT!H173)-1),0)</f>
        <v>800000</v>
      </c>
      <c r="F176" s="78">
        <f ca="1">IF(MOD(ROW(),2)=1,OFFSET(CT!$A$1,INT(ROW()/2)+1,COLUMN(CT!H173)-1),0)</f>
        <v>0</v>
      </c>
      <c r="G176" s="153" t="str">
        <f ca="1">IF(OFFSET(CT!$A$1,INT(ROW()/2)+1,COLUMN(CT!N173)-1)="No","False","True")</f>
        <v>True</v>
      </c>
    </row>
    <row r="177" spans="1:7" x14ac:dyDescent="0.3">
      <c r="A177" s="77" t="str">
        <f ca="1">IF(MOD(ROW(),2)=0,OFFSET(CT!$A$1,INT(ROW()/2)+1,COLUMN(CT!A174)-1),"")</f>
        <v/>
      </c>
      <c r="B177" s="77" t="str">
        <f ca="1">IF(MOD(ROW(),2)=0,OFFSET(CT!$A$1,INT(ROW()/2)+1,COLUMN(CT!B174)-1),"")</f>
        <v/>
      </c>
      <c r="C177" s="77" t="str">
        <f ca="1">IF(MOD(ROW(),2)=0,OFFSET(CT!$A$1,INT(ROW()/2)+1,COLUMN(CT!C174)-1),"")</f>
        <v/>
      </c>
      <c r="D177" s="23" t="str">
        <f ca="1">OFFSET(CT!$A$1,INT(ROW()/2)+1,IF(MOD(ROW(),2)=0,COLUMN(CT!D174)-1,COLUMN(CT!E174)-1))</f>
        <v>3383</v>
      </c>
      <c r="E177" s="78">
        <f ca="1">IF(MOD(ROW(),2)=0,OFFSET(CT!$A$1,INT(ROW()/2)+1,COLUMN(CT!H174)-1),0)</f>
        <v>0</v>
      </c>
      <c r="F177" s="78">
        <f ca="1">IF(MOD(ROW(),2)=1,OFFSET(CT!$A$1,INT(ROW()/2)+1,COLUMN(CT!H174)-1),0)</f>
        <v>800000</v>
      </c>
      <c r="G177" s="153" t="str">
        <f ca="1">IF(OFFSET(CT!$A$1,INT(ROW()/2)+1,COLUMN(CT!N174)-1)="No","False","True")</f>
        <v>True</v>
      </c>
    </row>
    <row r="178" spans="1:7" x14ac:dyDescent="0.3">
      <c r="A178" s="77">
        <f ca="1">IF(MOD(ROW(),2)=0,OFFSET(CT!$A$1,INT(ROW()/2)+1,COLUMN(CT!A175)-1),"")</f>
        <v>45322</v>
      </c>
      <c r="B178" s="77" t="str">
        <f ca="1">IF(MOD(ROW(),2)=0,OFFSET(CT!$A$1,INT(ROW()/2)+1,COLUMN(CT!B175)-1),"")</f>
        <v>TH11</v>
      </c>
      <c r="C178" s="77" t="str">
        <f ca="1">IF(MOD(ROW(),2)=0,OFFSET(CT!$A$1,INT(ROW()/2)+1,COLUMN(CT!C175)-1),"")</f>
        <v>Kết chuyển CFQLDN vào TK911</v>
      </c>
      <c r="D178" s="23" t="str">
        <f ca="1">OFFSET(CT!$A$1,INT(ROW()/2)+1,IF(MOD(ROW(),2)=0,COLUMN(CT!D175)-1,COLUMN(CT!E175)-1))</f>
        <v>9111.0102</v>
      </c>
      <c r="E178" s="78">
        <f ca="1">IF(MOD(ROW(),2)=0,OFFSET(CT!$A$1,INT(ROW()/2)+1,COLUMN(CT!H175)-1),0)</f>
        <v>808421</v>
      </c>
      <c r="F178" s="78">
        <f ca="1">IF(MOD(ROW(),2)=1,OFFSET(CT!$A$1,INT(ROW()/2)+1,COLUMN(CT!H175)-1),0)</f>
        <v>0</v>
      </c>
      <c r="G178" s="153" t="str">
        <f ca="1">IF(OFFSET(CT!$A$1,INT(ROW()/2)+1,COLUMN(CT!N175)-1)="No","False","True")</f>
        <v>True</v>
      </c>
    </row>
    <row r="179" spans="1:7" x14ac:dyDescent="0.3">
      <c r="A179" s="77" t="str">
        <f ca="1">IF(MOD(ROW(),2)=0,OFFSET(CT!$A$1,INT(ROW()/2)+1,COLUMN(CT!A176)-1),"")</f>
        <v/>
      </c>
      <c r="B179" s="77" t="str">
        <f ca="1">IF(MOD(ROW(),2)=0,OFFSET(CT!$A$1,INT(ROW()/2)+1,COLUMN(CT!B176)-1),"")</f>
        <v/>
      </c>
      <c r="C179" s="77" t="str">
        <f ca="1">IF(MOD(ROW(),2)=0,OFFSET(CT!$A$1,INT(ROW()/2)+1,COLUMN(CT!C176)-1),"")</f>
        <v/>
      </c>
      <c r="D179" s="23" t="str">
        <f ca="1">OFFSET(CT!$A$1,INT(ROW()/2)+1,IF(MOD(ROW(),2)=0,COLUMN(CT!D176)-1,COLUMN(CT!E176)-1))</f>
        <v>6428</v>
      </c>
      <c r="E179" s="78">
        <f ca="1">IF(MOD(ROW(),2)=0,OFFSET(CT!$A$1,INT(ROW()/2)+1,COLUMN(CT!H176)-1),0)</f>
        <v>0</v>
      </c>
      <c r="F179" s="78">
        <f ca="1">IF(MOD(ROW(),2)=1,OFFSET(CT!$A$1,INT(ROW()/2)+1,COLUMN(CT!H176)-1),0)</f>
        <v>808421</v>
      </c>
      <c r="G179" s="153" t="str">
        <f ca="1">IF(OFFSET(CT!$A$1,INT(ROW()/2)+1,COLUMN(CT!N176)-1)="No","False","True")</f>
        <v>True</v>
      </c>
    </row>
    <row r="180" spans="1:7" x14ac:dyDescent="0.3">
      <c r="A180" s="77">
        <f ca="1">IF(MOD(ROW(),2)=0,OFFSET(CT!$A$1,INT(ROW()/2)+1,COLUMN(CT!A177)-1),"")</f>
        <v>45322</v>
      </c>
      <c r="B180" s="77" t="str">
        <f ca="1">IF(MOD(ROW(),2)=0,OFFSET(CT!$A$1,INT(ROW()/2)+1,COLUMN(CT!B177)-1),"")</f>
        <v>TH6</v>
      </c>
      <c r="C180" s="77" t="str">
        <f ca="1">IF(MOD(ROW(),2)=0,OFFSET(CT!$A$1,INT(ROW()/2)+1,COLUMN(CT!C177)-1),"")</f>
        <v>Bổ sung giá thành TK155 GTV</v>
      </c>
      <c r="D180" s="23" t="str">
        <f ca="1">OFFSET(CT!$A$1,INT(ROW()/2)+1,IF(MOD(ROW(),2)=0,COLUMN(CT!D177)-1,COLUMN(CT!E177)-1))</f>
        <v>1551.0101</v>
      </c>
      <c r="E180" s="78">
        <f ca="1">IF(MOD(ROW(),2)=0,OFFSET(CT!$A$1,INT(ROW()/2)+1,COLUMN(CT!H177)-1),0)</f>
        <v>810000</v>
      </c>
      <c r="F180" s="78">
        <f ca="1">IF(MOD(ROW(),2)=1,OFFSET(CT!$A$1,INT(ROW()/2)+1,COLUMN(CT!H177)-1),0)</f>
        <v>0</v>
      </c>
      <c r="G180" s="153" t="str">
        <f ca="1">IF(OFFSET(CT!$A$1,INT(ROW()/2)+1,COLUMN(CT!N177)-1)="No","False","True")</f>
        <v>True</v>
      </c>
    </row>
    <row r="181" spans="1:7" x14ac:dyDescent="0.3">
      <c r="A181" s="77" t="str">
        <f ca="1">IF(MOD(ROW(),2)=0,OFFSET(CT!$A$1,INT(ROW()/2)+1,COLUMN(CT!A178)-1),"")</f>
        <v/>
      </c>
      <c r="B181" s="77" t="str">
        <f ca="1">IF(MOD(ROW(),2)=0,OFFSET(CT!$A$1,INT(ROW()/2)+1,COLUMN(CT!B178)-1),"")</f>
        <v/>
      </c>
      <c r="C181" s="77" t="str">
        <f ca="1">IF(MOD(ROW(),2)=0,OFFSET(CT!$A$1,INT(ROW()/2)+1,COLUMN(CT!C178)-1),"")</f>
        <v/>
      </c>
      <c r="D181" s="23" t="str">
        <f ca="1">OFFSET(CT!$A$1,INT(ROW()/2)+1,IF(MOD(ROW(),2)=0,COLUMN(CT!D178)-1,COLUMN(CT!E178)-1))</f>
        <v>154.01</v>
      </c>
      <c r="E181" s="78">
        <f ca="1">IF(MOD(ROW(),2)=0,OFFSET(CT!$A$1,INT(ROW()/2)+1,COLUMN(CT!H178)-1),0)</f>
        <v>0</v>
      </c>
      <c r="F181" s="78">
        <f ca="1">IF(MOD(ROW(),2)=1,OFFSET(CT!$A$1,INT(ROW()/2)+1,COLUMN(CT!H178)-1),0)</f>
        <v>810000</v>
      </c>
      <c r="G181" s="153" t="str">
        <f ca="1">IF(OFFSET(CT!$A$1,INT(ROW()/2)+1,COLUMN(CT!N178)-1)="No","False","True")</f>
        <v>True</v>
      </c>
    </row>
    <row r="182" spans="1:7" x14ac:dyDescent="0.3">
      <c r="A182" s="77">
        <f ca="1">IF(MOD(ROW(),2)=0,OFFSET(CT!$A$1,INT(ROW()/2)+1,COLUMN(CT!A179)-1),"")</f>
        <v>45322</v>
      </c>
      <c r="B182" s="77" t="str">
        <f ca="1">IF(MOD(ROW(),2)=0,OFFSET(CT!$A$1,INT(ROW()/2)+1,COLUMN(CT!B179)-1),"")</f>
        <v>TH11</v>
      </c>
      <c r="C182" s="77" t="str">
        <f ca="1">IF(MOD(ROW(),2)=0,OFFSET(CT!$A$1,INT(ROW()/2)+1,COLUMN(CT!C179)-1),"")</f>
        <v>Kết chuyển CFQLDN vào TK911</v>
      </c>
      <c r="D182" s="23" t="str">
        <f ca="1">OFFSET(CT!$A$1,INT(ROW()/2)+1,IF(MOD(ROW(),2)=0,COLUMN(CT!D179)-1,COLUMN(CT!E179)-1))</f>
        <v>9111.0202</v>
      </c>
      <c r="E182" s="78">
        <f ca="1">IF(MOD(ROW(),2)=0,OFFSET(CT!$A$1,INT(ROW()/2)+1,COLUMN(CT!H179)-1),0)</f>
        <v>993332</v>
      </c>
      <c r="F182" s="78">
        <f ca="1">IF(MOD(ROW(),2)=1,OFFSET(CT!$A$1,INT(ROW()/2)+1,COLUMN(CT!H179)-1),0)</f>
        <v>0</v>
      </c>
      <c r="G182" s="153" t="str">
        <f ca="1">IF(OFFSET(CT!$A$1,INT(ROW()/2)+1,COLUMN(CT!N179)-1)="No","False","True")</f>
        <v>True</v>
      </c>
    </row>
    <row r="183" spans="1:7" x14ac:dyDescent="0.3">
      <c r="A183" s="77" t="str">
        <f ca="1">IF(MOD(ROW(),2)=0,OFFSET(CT!$A$1,INT(ROW()/2)+1,COLUMN(CT!A180)-1),"")</f>
        <v/>
      </c>
      <c r="B183" s="77" t="str">
        <f ca="1">IF(MOD(ROW(),2)=0,OFFSET(CT!$A$1,INT(ROW()/2)+1,COLUMN(CT!B180)-1),"")</f>
        <v/>
      </c>
      <c r="C183" s="77" t="str">
        <f ca="1">IF(MOD(ROW(),2)=0,OFFSET(CT!$A$1,INT(ROW()/2)+1,COLUMN(CT!C180)-1),"")</f>
        <v/>
      </c>
      <c r="D183" s="23" t="str">
        <f ca="1">OFFSET(CT!$A$1,INT(ROW()/2)+1,IF(MOD(ROW(),2)=0,COLUMN(CT!D180)-1,COLUMN(CT!E180)-1))</f>
        <v>6428</v>
      </c>
      <c r="E183" s="78">
        <f ca="1">IF(MOD(ROW(),2)=0,OFFSET(CT!$A$1,INT(ROW()/2)+1,COLUMN(CT!H180)-1),0)</f>
        <v>0</v>
      </c>
      <c r="F183" s="78">
        <f ca="1">IF(MOD(ROW(),2)=1,OFFSET(CT!$A$1,INT(ROW()/2)+1,COLUMN(CT!H180)-1),0)</f>
        <v>993332</v>
      </c>
      <c r="G183" s="153" t="str">
        <f ca="1">IF(OFFSET(CT!$A$1,INT(ROW()/2)+1,COLUMN(CT!N180)-1)="No","False","True")</f>
        <v>True</v>
      </c>
    </row>
    <row r="184" spans="1:7" x14ac:dyDescent="0.3">
      <c r="A184" s="77">
        <f ca="1">IF(MOD(ROW(),2)=0,OFFSET(CT!$A$1,INT(ROW()/2)+1,COLUMN(CT!A181)-1),"")</f>
        <v>45322</v>
      </c>
      <c r="B184" s="77" t="str">
        <f ca="1">IF(MOD(ROW(),2)=0,OFFSET(CT!$A$1,INT(ROW()/2)+1,COLUMN(CT!B181)-1),"")</f>
        <v>TH11</v>
      </c>
      <c r="C184" s="77" t="str">
        <f ca="1">IF(MOD(ROW(),2)=0,OFFSET(CT!$A$1,INT(ROW()/2)+1,COLUMN(CT!C181)-1),"")</f>
        <v>Kết chuyển CFQLDN vào TK911</v>
      </c>
      <c r="D184" s="23" t="str">
        <f ca="1">OFFSET(CT!$A$1,INT(ROW()/2)+1,IF(MOD(ROW(),2)=0,COLUMN(CT!D181)-1,COLUMN(CT!E181)-1))</f>
        <v>9111.0101</v>
      </c>
      <c r="E184" s="78">
        <f ca="1">IF(MOD(ROW(),2)=0,OFFSET(CT!$A$1,INT(ROW()/2)+1,COLUMN(CT!H181)-1),0)</f>
        <v>998247</v>
      </c>
      <c r="F184" s="78">
        <f ca="1">IF(MOD(ROW(),2)=1,OFFSET(CT!$A$1,INT(ROW()/2)+1,COLUMN(CT!H181)-1),0)</f>
        <v>0</v>
      </c>
      <c r="G184" s="153" t="str">
        <f ca="1">IF(OFFSET(CT!$A$1,INT(ROW()/2)+1,COLUMN(CT!N181)-1)="No","False","True")</f>
        <v>True</v>
      </c>
    </row>
    <row r="185" spans="1:7" x14ac:dyDescent="0.3">
      <c r="A185" s="77" t="str">
        <f ca="1">IF(MOD(ROW(),2)=0,OFFSET(CT!$A$1,INT(ROW()/2)+1,COLUMN(CT!A182)-1),"")</f>
        <v/>
      </c>
      <c r="B185" s="77" t="str">
        <f ca="1">IF(MOD(ROW(),2)=0,OFFSET(CT!$A$1,INT(ROW()/2)+1,COLUMN(CT!B182)-1),"")</f>
        <v/>
      </c>
      <c r="C185" s="77" t="str">
        <f ca="1">IF(MOD(ROW(),2)=0,OFFSET(CT!$A$1,INT(ROW()/2)+1,COLUMN(CT!C182)-1),"")</f>
        <v/>
      </c>
      <c r="D185" s="23" t="str">
        <f ca="1">OFFSET(CT!$A$1,INT(ROW()/2)+1,IF(MOD(ROW(),2)=0,COLUMN(CT!D182)-1,COLUMN(CT!E182)-1))</f>
        <v>6428</v>
      </c>
      <c r="E185" s="78">
        <f ca="1">IF(MOD(ROW(),2)=0,OFFSET(CT!$A$1,INT(ROW()/2)+1,COLUMN(CT!H182)-1),0)</f>
        <v>0</v>
      </c>
      <c r="F185" s="78">
        <f ca="1">IF(MOD(ROW(),2)=1,OFFSET(CT!$A$1,INT(ROW()/2)+1,COLUMN(CT!H182)-1),0)</f>
        <v>998247</v>
      </c>
      <c r="G185" s="153" t="str">
        <f ca="1">IF(OFFSET(CT!$A$1,INT(ROW()/2)+1,COLUMN(CT!N182)-1)="No","False","True")</f>
        <v>True</v>
      </c>
    </row>
    <row r="186" spans="1:7" x14ac:dyDescent="0.3">
      <c r="A186" s="77">
        <f ca="1">IF(MOD(ROW(),2)=0,OFFSET(CT!$A$1,INT(ROW()/2)+1,COLUMN(CT!A183)-1),"")</f>
        <v>45322</v>
      </c>
      <c r="B186" s="77" t="str">
        <f ca="1">IF(MOD(ROW(),2)=0,OFFSET(CT!$A$1,INT(ROW()/2)+1,COLUMN(CT!B183)-1),"")</f>
        <v>TH2</v>
      </c>
      <c r="C186" s="77" t="str">
        <f ca="1">IF(MOD(ROW(),2)=0,OFFSET(CT!$A$1,INT(ROW()/2)+1,COLUMN(CT!C183)-1),"")</f>
        <v>Tính các khoản trích theo lương vào chi phí</v>
      </c>
      <c r="D186" s="23" t="str">
        <f ca="1">OFFSET(CT!$A$1,INT(ROW()/2)+1,IF(MOD(ROW(),2)=0,COLUMN(CT!D183)-1,COLUMN(CT!E183)-1))</f>
        <v>6271</v>
      </c>
      <c r="E186" s="78">
        <f ca="1">IF(MOD(ROW(),2)=0,OFFSET(CT!$A$1,INT(ROW()/2)+1,COLUMN(CT!H183)-1),0)</f>
        <v>1050000</v>
      </c>
      <c r="F186" s="78">
        <f ca="1">IF(MOD(ROW(),2)=1,OFFSET(CT!$A$1,INT(ROW()/2)+1,COLUMN(CT!H183)-1),0)</f>
        <v>0</v>
      </c>
      <c r="G186" s="153" t="str">
        <f ca="1">IF(OFFSET(CT!$A$1,INT(ROW()/2)+1,COLUMN(CT!N183)-1)="No","False","True")</f>
        <v>True</v>
      </c>
    </row>
    <row r="187" spans="1:7" x14ac:dyDescent="0.3">
      <c r="A187" s="77" t="str">
        <f ca="1">IF(MOD(ROW(),2)=0,OFFSET(CT!$A$1,INT(ROW()/2)+1,COLUMN(CT!A184)-1),"")</f>
        <v/>
      </c>
      <c r="B187" s="77" t="str">
        <f ca="1">IF(MOD(ROW(),2)=0,OFFSET(CT!$A$1,INT(ROW()/2)+1,COLUMN(CT!B184)-1),"")</f>
        <v/>
      </c>
      <c r="C187" s="77" t="str">
        <f ca="1">IF(MOD(ROW(),2)=0,OFFSET(CT!$A$1,INT(ROW()/2)+1,COLUMN(CT!C184)-1),"")</f>
        <v/>
      </c>
      <c r="D187" s="23" t="str">
        <f ca="1">OFFSET(CT!$A$1,INT(ROW()/2)+1,IF(MOD(ROW(),2)=0,COLUMN(CT!D184)-1,COLUMN(CT!E184)-1))</f>
        <v>3384</v>
      </c>
      <c r="E187" s="78">
        <f ca="1">IF(MOD(ROW(),2)=0,OFFSET(CT!$A$1,INT(ROW()/2)+1,COLUMN(CT!H184)-1),0)</f>
        <v>0</v>
      </c>
      <c r="F187" s="78">
        <f ca="1">IF(MOD(ROW(),2)=1,OFFSET(CT!$A$1,INT(ROW()/2)+1,COLUMN(CT!H184)-1),0)</f>
        <v>1050000</v>
      </c>
      <c r="G187" s="153" t="str">
        <f ca="1">IF(OFFSET(CT!$A$1,INT(ROW()/2)+1,COLUMN(CT!N184)-1)="No","False","True")</f>
        <v>True</v>
      </c>
    </row>
    <row r="188" spans="1:7" x14ac:dyDescent="0.3">
      <c r="A188" s="77">
        <f ca="1">IF(MOD(ROW(),2)=0,OFFSET(CT!$A$1,INT(ROW()/2)+1,COLUMN(CT!A185)-1),"")</f>
        <v>45322</v>
      </c>
      <c r="B188" s="77" t="str">
        <f ca="1">IF(MOD(ROW(),2)=0,OFFSET(CT!$A$1,INT(ROW()/2)+1,COLUMN(CT!B185)-1),"")</f>
        <v>TH2</v>
      </c>
      <c r="C188" s="77" t="str">
        <f ca="1">IF(MOD(ROW(),2)=0,OFFSET(CT!$A$1,INT(ROW()/2)+1,COLUMN(CT!C185)-1),"")</f>
        <v>Tính các khoản trích theo lương vào chi phí</v>
      </c>
      <c r="D188" s="23" t="str">
        <f ca="1">OFFSET(CT!$A$1,INT(ROW()/2)+1,IF(MOD(ROW(),2)=0,COLUMN(CT!D185)-1,COLUMN(CT!E185)-1))</f>
        <v>6421</v>
      </c>
      <c r="E188" s="78">
        <f ca="1">IF(MOD(ROW(),2)=0,OFFSET(CT!$A$1,INT(ROW()/2)+1,COLUMN(CT!H185)-1),0)</f>
        <v>1120000</v>
      </c>
      <c r="F188" s="78">
        <f ca="1">IF(MOD(ROW(),2)=1,OFFSET(CT!$A$1,INT(ROW()/2)+1,COLUMN(CT!H185)-1),0)</f>
        <v>0</v>
      </c>
      <c r="G188" s="153" t="str">
        <f ca="1">IF(OFFSET(CT!$A$1,INT(ROW()/2)+1,COLUMN(CT!N185)-1)="No","False","True")</f>
        <v>True</v>
      </c>
    </row>
    <row r="189" spans="1:7" x14ac:dyDescent="0.3">
      <c r="A189" s="77" t="str">
        <f ca="1">IF(MOD(ROW(),2)=0,OFFSET(CT!$A$1,INT(ROW()/2)+1,COLUMN(CT!A186)-1),"")</f>
        <v/>
      </c>
      <c r="B189" s="77" t="str">
        <f ca="1">IF(MOD(ROW(),2)=0,OFFSET(CT!$A$1,INT(ROW()/2)+1,COLUMN(CT!B186)-1),"")</f>
        <v/>
      </c>
      <c r="C189" s="77" t="str">
        <f ca="1">IF(MOD(ROW(),2)=0,OFFSET(CT!$A$1,INT(ROW()/2)+1,COLUMN(CT!C186)-1),"")</f>
        <v/>
      </c>
      <c r="D189" s="23" t="str">
        <f ca="1">OFFSET(CT!$A$1,INT(ROW()/2)+1,IF(MOD(ROW(),2)=0,COLUMN(CT!D186)-1,COLUMN(CT!E186)-1))</f>
        <v>3383</v>
      </c>
      <c r="E189" s="78">
        <f ca="1">IF(MOD(ROW(),2)=0,OFFSET(CT!$A$1,INT(ROW()/2)+1,COLUMN(CT!H186)-1),0)</f>
        <v>0</v>
      </c>
      <c r="F189" s="78">
        <f ca="1">IF(MOD(ROW(),2)=1,OFFSET(CT!$A$1,INT(ROW()/2)+1,COLUMN(CT!H186)-1),0)</f>
        <v>1120000</v>
      </c>
      <c r="G189" s="153" t="str">
        <f ca="1">IF(OFFSET(CT!$A$1,INT(ROW()/2)+1,COLUMN(CT!N186)-1)="No","False","True")</f>
        <v>True</v>
      </c>
    </row>
    <row r="190" spans="1:7" x14ac:dyDescent="0.3">
      <c r="A190" s="77">
        <f ca="1">IF(MOD(ROW(),2)=0,OFFSET(CT!$A$1,INT(ROW()/2)+1,COLUMN(CT!A187)-1),"")</f>
        <v>45322</v>
      </c>
      <c r="B190" s="77" t="str">
        <f ca="1">IF(MOD(ROW(),2)=0,OFFSET(CT!$A$1,INT(ROW()/2)+1,COLUMN(CT!B187)-1),"")</f>
        <v>TH2</v>
      </c>
      <c r="C190" s="77" t="str">
        <f ca="1">IF(MOD(ROW(),2)=0,OFFSET(CT!$A$1,INT(ROW()/2)+1,COLUMN(CT!C187)-1),"")</f>
        <v>Tính các khoản trích theo lương vào chi phí</v>
      </c>
      <c r="D190" s="23" t="str">
        <f ca="1">OFFSET(CT!$A$1,INT(ROW()/2)+1,IF(MOD(ROW(),2)=0,COLUMN(CT!D187)-1,COLUMN(CT!E187)-1))</f>
        <v>622.01</v>
      </c>
      <c r="E190" s="78">
        <f ca="1">IF(MOD(ROW(),2)=0,OFFSET(CT!$A$1,INT(ROW()/2)+1,COLUMN(CT!H187)-1),0)</f>
        <v>1200000</v>
      </c>
      <c r="F190" s="78">
        <f ca="1">IF(MOD(ROW(),2)=1,OFFSET(CT!$A$1,INT(ROW()/2)+1,COLUMN(CT!H187)-1),0)</f>
        <v>0</v>
      </c>
      <c r="G190" s="153" t="str">
        <f ca="1">IF(OFFSET(CT!$A$1,INT(ROW()/2)+1,COLUMN(CT!N187)-1)="No","False","True")</f>
        <v>True</v>
      </c>
    </row>
    <row r="191" spans="1:7" x14ac:dyDescent="0.3">
      <c r="A191" s="77" t="str">
        <f ca="1">IF(MOD(ROW(),2)=0,OFFSET(CT!$A$1,INT(ROW()/2)+1,COLUMN(CT!A188)-1),"")</f>
        <v/>
      </c>
      <c r="B191" s="77" t="str">
        <f ca="1">IF(MOD(ROW(),2)=0,OFFSET(CT!$A$1,INT(ROW()/2)+1,COLUMN(CT!B188)-1),"")</f>
        <v/>
      </c>
      <c r="C191" s="77" t="str">
        <f ca="1">IF(MOD(ROW(),2)=0,OFFSET(CT!$A$1,INT(ROW()/2)+1,COLUMN(CT!C188)-1),"")</f>
        <v/>
      </c>
      <c r="D191" s="23" t="str">
        <f ca="1">OFFSET(CT!$A$1,INT(ROW()/2)+1,IF(MOD(ROW(),2)=0,COLUMN(CT!D188)-1,COLUMN(CT!E188)-1))</f>
        <v>3384</v>
      </c>
      <c r="E191" s="78">
        <f ca="1">IF(MOD(ROW(),2)=0,OFFSET(CT!$A$1,INT(ROW()/2)+1,COLUMN(CT!H188)-1),0)</f>
        <v>0</v>
      </c>
      <c r="F191" s="78">
        <f ca="1">IF(MOD(ROW(),2)=1,OFFSET(CT!$A$1,INT(ROW()/2)+1,COLUMN(CT!H188)-1),0)</f>
        <v>1200000</v>
      </c>
      <c r="G191" s="153" t="str">
        <f ca="1">IF(OFFSET(CT!$A$1,INT(ROW()/2)+1,COLUMN(CT!N188)-1)="No","False","True")</f>
        <v>True</v>
      </c>
    </row>
    <row r="192" spans="1:7" x14ac:dyDescent="0.3">
      <c r="A192" s="77">
        <f ca="1">IF(MOD(ROW(),2)=0,OFFSET(CT!$A$1,INT(ROW()/2)+1,COLUMN(CT!A189)-1),"")</f>
        <v>45322</v>
      </c>
      <c r="B192" s="77" t="str">
        <f ca="1">IF(MOD(ROW(),2)=0,OFFSET(CT!$A$1,INT(ROW()/2)+1,COLUMN(CT!B189)-1),"")</f>
        <v>TH2</v>
      </c>
      <c r="C192" s="77" t="str">
        <f ca="1">IF(MOD(ROW(),2)=0,OFFSET(CT!$A$1,INT(ROW()/2)+1,COLUMN(CT!C189)-1),"")</f>
        <v>Tính các khoản trích theo lương vào chi phí</v>
      </c>
      <c r="D192" s="23" t="str">
        <f ca="1">OFFSET(CT!$A$1,INT(ROW()/2)+1,IF(MOD(ROW(),2)=0,COLUMN(CT!D189)-1,COLUMN(CT!E189)-1))</f>
        <v>622.02</v>
      </c>
      <c r="E192" s="78">
        <f ca="1">IF(MOD(ROW(),2)=0,OFFSET(CT!$A$1,INT(ROW()/2)+1,COLUMN(CT!H189)-1),0)</f>
        <v>1200000</v>
      </c>
      <c r="F192" s="78">
        <f ca="1">IF(MOD(ROW(),2)=1,OFFSET(CT!$A$1,INT(ROW()/2)+1,COLUMN(CT!H189)-1),0)</f>
        <v>0</v>
      </c>
      <c r="G192" s="153" t="str">
        <f ca="1">IF(OFFSET(CT!$A$1,INT(ROW()/2)+1,COLUMN(CT!N189)-1)="No","False","True")</f>
        <v>True</v>
      </c>
    </row>
    <row r="193" spans="1:7" x14ac:dyDescent="0.3">
      <c r="A193" s="77" t="str">
        <f ca="1">IF(MOD(ROW(),2)=0,OFFSET(CT!$A$1,INT(ROW()/2)+1,COLUMN(CT!A190)-1),"")</f>
        <v/>
      </c>
      <c r="B193" s="77" t="str">
        <f ca="1">IF(MOD(ROW(),2)=0,OFFSET(CT!$A$1,INT(ROW()/2)+1,COLUMN(CT!B190)-1),"")</f>
        <v/>
      </c>
      <c r="C193" s="77" t="str">
        <f ca="1">IF(MOD(ROW(),2)=0,OFFSET(CT!$A$1,INT(ROW()/2)+1,COLUMN(CT!C190)-1),"")</f>
        <v/>
      </c>
      <c r="D193" s="23" t="str">
        <f ca="1">OFFSET(CT!$A$1,INT(ROW()/2)+1,IF(MOD(ROW(),2)=0,COLUMN(CT!D190)-1,COLUMN(CT!E190)-1))</f>
        <v>3384</v>
      </c>
      <c r="E193" s="78">
        <f ca="1">IF(MOD(ROW(),2)=0,OFFSET(CT!$A$1,INT(ROW()/2)+1,COLUMN(CT!H190)-1),0)</f>
        <v>0</v>
      </c>
      <c r="F193" s="78">
        <f ca="1">IF(MOD(ROW(),2)=1,OFFSET(CT!$A$1,INT(ROW()/2)+1,COLUMN(CT!H190)-1),0)</f>
        <v>1200000</v>
      </c>
      <c r="G193" s="153" t="str">
        <f ca="1">IF(OFFSET(CT!$A$1,INT(ROW()/2)+1,COLUMN(CT!N190)-1)="No","False","True")</f>
        <v>True</v>
      </c>
    </row>
    <row r="194" spans="1:7" x14ac:dyDescent="0.3">
      <c r="A194" s="77">
        <f ca="1">IF(MOD(ROW(),2)=0,OFFSET(CT!$A$1,INT(ROW()/2)+1,COLUMN(CT!A191)-1),"")</f>
        <v>45322</v>
      </c>
      <c r="B194" s="77" t="str">
        <f ca="1">IF(MOD(ROW(),2)=0,OFFSET(CT!$A$1,INT(ROW()/2)+1,COLUMN(CT!B191)-1),"")</f>
        <v>TH2</v>
      </c>
      <c r="C194" s="77" t="str">
        <f ca="1">IF(MOD(ROW(),2)=0,OFFSET(CT!$A$1,INT(ROW()/2)+1,COLUMN(CT!C191)-1),"")</f>
        <v>Tính các khoản trích theo lương vào chi phí</v>
      </c>
      <c r="D194" s="23" t="str">
        <f ca="1">OFFSET(CT!$A$1,INT(ROW()/2)+1,IF(MOD(ROW(),2)=0,COLUMN(CT!D191)-1,COLUMN(CT!E191)-1))</f>
        <v>622.03</v>
      </c>
      <c r="E194" s="78">
        <f ca="1">IF(MOD(ROW(),2)=0,OFFSET(CT!$A$1,INT(ROW()/2)+1,COLUMN(CT!H191)-1),0)</f>
        <v>1200000</v>
      </c>
      <c r="F194" s="78">
        <f ca="1">IF(MOD(ROW(),2)=1,OFFSET(CT!$A$1,INT(ROW()/2)+1,COLUMN(CT!H191)-1),0)</f>
        <v>0</v>
      </c>
      <c r="G194" s="153" t="str">
        <f ca="1">IF(OFFSET(CT!$A$1,INT(ROW()/2)+1,COLUMN(CT!N191)-1)="No","False","True")</f>
        <v>True</v>
      </c>
    </row>
    <row r="195" spans="1:7" x14ac:dyDescent="0.3">
      <c r="A195" s="77" t="str">
        <f ca="1">IF(MOD(ROW(),2)=0,OFFSET(CT!$A$1,INT(ROW()/2)+1,COLUMN(CT!A192)-1),"")</f>
        <v/>
      </c>
      <c r="B195" s="77" t="str">
        <f ca="1">IF(MOD(ROW(),2)=0,OFFSET(CT!$A$1,INT(ROW()/2)+1,COLUMN(CT!B192)-1),"")</f>
        <v/>
      </c>
      <c r="C195" s="77" t="str">
        <f ca="1">IF(MOD(ROW(),2)=0,OFFSET(CT!$A$1,INT(ROW()/2)+1,COLUMN(CT!C192)-1),"")</f>
        <v/>
      </c>
      <c r="D195" s="23" t="str">
        <f ca="1">OFFSET(CT!$A$1,INT(ROW()/2)+1,IF(MOD(ROW(),2)=0,COLUMN(CT!D192)-1,COLUMN(CT!E192)-1))</f>
        <v>3384</v>
      </c>
      <c r="E195" s="78">
        <f ca="1">IF(MOD(ROW(),2)=0,OFFSET(CT!$A$1,INT(ROW()/2)+1,COLUMN(CT!H192)-1),0)</f>
        <v>0</v>
      </c>
      <c r="F195" s="78">
        <f ca="1">IF(MOD(ROW(),2)=1,OFFSET(CT!$A$1,INT(ROW()/2)+1,COLUMN(CT!H192)-1),0)</f>
        <v>1200000</v>
      </c>
      <c r="G195" s="153" t="str">
        <f ca="1">IF(OFFSET(CT!$A$1,INT(ROW()/2)+1,COLUMN(CT!N192)-1)="No","False","True")</f>
        <v>True</v>
      </c>
    </row>
    <row r="196" spans="1:7" x14ac:dyDescent="0.3">
      <c r="A196" s="77">
        <f ca="1">IF(MOD(ROW(),2)=0,OFFSET(CT!$A$1,INT(ROW()/2)+1,COLUMN(CT!A193)-1),"")</f>
        <v>45322</v>
      </c>
      <c r="B196" s="77" t="str">
        <f ca="1">IF(MOD(ROW(),2)=0,OFFSET(CT!$A$1,INT(ROW()/2)+1,COLUMN(CT!B193)-1),"")</f>
        <v>TH2</v>
      </c>
      <c r="C196" s="77" t="str">
        <f ca="1">IF(MOD(ROW(),2)=0,OFFSET(CT!$A$1,INT(ROW()/2)+1,COLUMN(CT!C193)-1),"")</f>
        <v>Tính các khoản trích theo lương vào chi phí</v>
      </c>
      <c r="D196" s="23" t="str">
        <f ca="1">OFFSET(CT!$A$1,INT(ROW()/2)+1,IF(MOD(ROW(),2)=0,COLUMN(CT!D193)-1,COLUMN(CT!E193)-1))</f>
        <v>622.04</v>
      </c>
      <c r="E196" s="78">
        <f ca="1">IF(MOD(ROW(),2)=0,OFFSET(CT!$A$1,INT(ROW()/2)+1,COLUMN(CT!H193)-1),0)</f>
        <v>1200000</v>
      </c>
      <c r="F196" s="78">
        <f ca="1">IF(MOD(ROW(),2)=1,OFFSET(CT!$A$1,INT(ROW()/2)+1,COLUMN(CT!H193)-1),0)</f>
        <v>0</v>
      </c>
      <c r="G196" s="153" t="str">
        <f ca="1">IF(OFFSET(CT!$A$1,INT(ROW()/2)+1,COLUMN(CT!N193)-1)="No","False","True")</f>
        <v>True</v>
      </c>
    </row>
    <row r="197" spans="1:7" x14ac:dyDescent="0.3">
      <c r="A197" s="77" t="str">
        <f ca="1">IF(MOD(ROW(),2)=0,OFFSET(CT!$A$1,INT(ROW()/2)+1,COLUMN(CT!A194)-1),"")</f>
        <v/>
      </c>
      <c r="B197" s="77" t="str">
        <f ca="1">IF(MOD(ROW(),2)=0,OFFSET(CT!$A$1,INT(ROW()/2)+1,COLUMN(CT!B194)-1),"")</f>
        <v/>
      </c>
      <c r="C197" s="77" t="str">
        <f ca="1">IF(MOD(ROW(),2)=0,OFFSET(CT!$A$1,INT(ROW()/2)+1,COLUMN(CT!C194)-1),"")</f>
        <v/>
      </c>
      <c r="D197" s="23" t="str">
        <f ca="1">OFFSET(CT!$A$1,INT(ROW()/2)+1,IF(MOD(ROW(),2)=0,COLUMN(CT!D194)-1,COLUMN(CT!E194)-1))</f>
        <v>3384</v>
      </c>
      <c r="E197" s="78">
        <f ca="1">IF(MOD(ROW(),2)=0,OFFSET(CT!$A$1,INT(ROW()/2)+1,COLUMN(CT!H194)-1),0)</f>
        <v>0</v>
      </c>
      <c r="F197" s="78">
        <f ca="1">IF(MOD(ROW(),2)=1,OFFSET(CT!$A$1,INT(ROW()/2)+1,COLUMN(CT!H194)-1),0)</f>
        <v>1200000</v>
      </c>
      <c r="G197" s="153" t="str">
        <f ca="1">IF(OFFSET(CT!$A$1,INT(ROW()/2)+1,COLUMN(CT!N194)-1)="No","False","True")</f>
        <v>True</v>
      </c>
    </row>
    <row r="198" spans="1:7" x14ac:dyDescent="0.3">
      <c r="A198" s="77">
        <f ca="1">IF(MOD(ROW(),2)=0,OFFSET(CT!$A$1,INT(ROW()/2)+1,COLUMN(CT!A195)-1),"")</f>
        <v>45322</v>
      </c>
      <c r="B198" s="77" t="str">
        <f ca="1">IF(MOD(ROW(),2)=0,OFFSET(CT!$A$1,INT(ROW()/2)+1,COLUMN(CT!B195)-1),"")</f>
        <v>TH2</v>
      </c>
      <c r="C198" s="77" t="str">
        <f ca="1">IF(MOD(ROW(),2)=0,OFFSET(CT!$A$1,INT(ROW()/2)+1,COLUMN(CT!C195)-1),"")</f>
        <v>Tính các khoản trích theo lương vào chi phí</v>
      </c>
      <c r="D198" s="23" t="str">
        <f ca="1">OFFSET(CT!$A$1,INT(ROW()/2)+1,IF(MOD(ROW(),2)=0,COLUMN(CT!D195)-1,COLUMN(CT!E195)-1))</f>
        <v>622.05</v>
      </c>
      <c r="E198" s="78">
        <f ca="1">IF(MOD(ROW(),2)=0,OFFSET(CT!$A$1,INT(ROW()/2)+1,COLUMN(CT!H195)-1),0)</f>
        <v>1200000</v>
      </c>
      <c r="F198" s="78">
        <f ca="1">IF(MOD(ROW(),2)=1,OFFSET(CT!$A$1,INT(ROW()/2)+1,COLUMN(CT!H195)-1),0)</f>
        <v>0</v>
      </c>
      <c r="G198" s="153" t="str">
        <f ca="1">IF(OFFSET(CT!$A$1,INT(ROW()/2)+1,COLUMN(CT!N195)-1)="No","False","True")</f>
        <v>True</v>
      </c>
    </row>
    <row r="199" spans="1:7" x14ac:dyDescent="0.3">
      <c r="A199" s="77" t="str">
        <f ca="1">IF(MOD(ROW(),2)=0,OFFSET(CT!$A$1,INT(ROW()/2)+1,COLUMN(CT!A196)-1),"")</f>
        <v/>
      </c>
      <c r="B199" s="77" t="str">
        <f ca="1">IF(MOD(ROW(),2)=0,OFFSET(CT!$A$1,INT(ROW()/2)+1,COLUMN(CT!B196)-1),"")</f>
        <v/>
      </c>
      <c r="C199" s="77" t="str">
        <f ca="1">IF(MOD(ROW(),2)=0,OFFSET(CT!$A$1,INT(ROW()/2)+1,COLUMN(CT!C196)-1),"")</f>
        <v/>
      </c>
      <c r="D199" s="23" t="str">
        <f ca="1">OFFSET(CT!$A$1,INT(ROW()/2)+1,IF(MOD(ROW(),2)=0,COLUMN(CT!D196)-1,COLUMN(CT!E196)-1))</f>
        <v>3384</v>
      </c>
      <c r="E199" s="78">
        <f ca="1">IF(MOD(ROW(),2)=0,OFFSET(CT!$A$1,INT(ROW()/2)+1,COLUMN(CT!H196)-1),0)</f>
        <v>0</v>
      </c>
      <c r="F199" s="78">
        <f ca="1">IF(MOD(ROW(),2)=1,OFFSET(CT!$A$1,INT(ROW()/2)+1,COLUMN(CT!H196)-1),0)</f>
        <v>1200000</v>
      </c>
      <c r="G199" s="153" t="str">
        <f ca="1">IF(OFFSET(CT!$A$1,INT(ROW()/2)+1,COLUMN(CT!N196)-1)="No","False","True")</f>
        <v>True</v>
      </c>
    </row>
    <row r="200" spans="1:7" x14ac:dyDescent="0.3">
      <c r="A200" s="77">
        <f ca="1">IF(MOD(ROW(),2)=0,OFFSET(CT!$A$1,INT(ROW()/2)+1,COLUMN(CT!A197)-1),"")</f>
        <v>45322</v>
      </c>
      <c r="B200" s="77" t="str">
        <f ca="1">IF(MOD(ROW(),2)=0,OFFSET(CT!$A$1,INT(ROW()/2)+1,COLUMN(CT!B197)-1),"")</f>
        <v>TH5</v>
      </c>
      <c r="C200" s="77" t="str">
        <f ca="1">IF(MOD(ROW(),2)=0,OFFSET(CT!$A$1,INT(ROW()/2)+1,COLUMN(CT!C197)-1),"")</f>
        <v>Kết chuyển CFC vào TK154</v>
      </c>
      <c r="D200" s="23" t="str">
        <f ca="1">OFFSET(CT!$A$1,INT(ROW()/2)+1,IF(MOD(ROW(),2)=0,COLUMN(CT!D197)-1,COLUMN(CT!E197)-1))</f>
        <v>154.01</v>
      </c>
      <c r="E200" s="78">
        <f ca="1">IF(MOD(ROW(),2)=0,OFFSET(CT!$A$1,INT(ROW()/2)+1,COLUMN(CT!H197)-1),0)</f>
        <v>1330534</v>
      </c>
      <c r="F200" s="78">
        <f ca="1">IF(MOD(ROW(),2)=1,OFFSET(CT!$A$1,INT(ROW()/2)+1,COLUMN(CT!H197)-1),0)</f>
        <v>0</v>
      </c>
      <c r="G200" s="153" t="str">
        <f ca="1">IF(OFFSET(CT!$A$1,INT(ROW()/2)+1,COLUMN(CT!N197)-1)="No","False","True")</f>
        <v>True</v>
      </c>
    </row>
    <row r="201" spans="1:7" x14ac:dyDescent="0.3">
      <c r="A201" s="77" t="str">
        <f ca="1">IF(MOD(ROW(),2)=0,OFFSET(CT!$A$1,INT(ROW()/2)+1,COLUMN(CT!A198)-1),"")</f>
        <v/>
      </c>
      <c r="B201" s="77" t="str">
        <f ca="1">IF(MOD(ROW(),2)=0,OFFSET(CT!$A$1,INT(ROW()/2)+1,COLUMN(CT!B198)-1),"")</f>
        <v/>
      </c>
      <c r="C201" s="77" t="str">
        <f ca="1">IF(MOD(ROW(),2)=0,OFFSET(CT!$A$1,INT(ROW()/2)+1,COLUMN(CT!C198)-1),"")</f>
        <v/>
      </c>
      <c r="D201" s="23" t="str">
        <f ca="1">OFFSET(CT!$A$1,INT(ROW()/2)+1,IF(MOD(ROW(),2)=0,COLUMN(CT!D198)-1,COLUMN(CT!E198)-1))</f>
        <v>6274</v>
      </c>
      <c r="E201" s="78">
        <f ca="1">IF(MOD(ROW(),2)=0,OFFSET(CT!$A$1,INT(ROW()/2)+1,COLUMN(CT!H198)-1),0)</f>
        <v>0</v>
      </c>
      <c r="F201" s="78">
        <f ca="1">IF(MOD(ROW(),2)=1,OFFSET(CT!$A$1,INT(ROW()/2)+1,COLUMN(CT!H198)-1),0)</f>
        <v>1330534</v>
      </c>
      <c r="G201" s="153" t="str">
        <f ca="1">IF(OFFSET(CT!$A$1,INT(ROW()/2)+1,COLUMN(CT!N198)-1)="No","False","True")</f>
        <v>True</v>
      </c>
    </row>
    <row r="202" spans="1:7" x14ac:dyDescent="0.3">
      <c r="A202" s="77">
        <f ca="1">IF(MOD(ROW(),2)=0,OFFSET(CT!$A$1,INT(ROW()/2)+1,COLUMN(CT!A199)-1),"")</f>
        <v>45322</v>
      </c>
      <c r="B202" s="77" t="str">
        <f ca="1">IF(MOD(ROW(),2)=0,OFFSET(CT!$A$1,INT(ROW()/2)+1,COLUMN(CT!B199)-1),"")</f>
        <v>TH6</v>
      </c>
      <c r="C202" s="77" t="str">
        <f ca="1">IF(MOD(ROW(),2)=0,OFFSET(CT!$A$1,INT(ROW()/2)+1,COLUMN(CT!C199)-1),"")</f>
        <v>Bổ sung giá thành TK155 BT</v>
      </c>
      <c r="D202" s="23" t="str">
        <f ca="1">OFFSET(CT!$A$1,INT(ROW()/2)+1,IF(MOD(ROW(),2)=0,COLUMN(CT!D199)-1,COLUMN(CT!E199)-1))</f>
        <v>1551.0201</v>
      </c>
      <c r="E202" s="78">
        <f ca="1">IF(MOD(ROW(),2)=0,OFFSET(CT!$A$1,INT(ROW()/2)+1,COLUMN(CT!H199)-1),0)</f>
        <v>1500000</v>
      </c>
      <c r="F202" s="78">
        <f ca="1">IF(MOD(ROW(),2)=1,OFFSET(CT!$A$1,INT(ROW()/2)+1,COLUMN(CT!H199)-1),0)</f>
        <v>0</v>
      </c>
      <c r="G202" s="153" t="str">
        <f ca="1">IF(OFFSET(CT!$A$1,INT(ROW()/2)+1,COLUMN(CT!N199)-1)="No","False","True")</f>
        <v>True</v>
      </c>
    </row>
    <row r="203" spans="1:7" x14ac:dyDescent="0.3">
      <c r="A203" s="77" t="str">
        <f ca="1">IF(MOD(ROW(),2)=0,OFFSET(CT!$A$1,INT(ROW()/2)+1,COLUMN(CT!A200)-1),"")</f>
        <v/>
      </c>
      <c r="B203" s="77" t="str">
        <f ca="1">IF(MOD(ROW(),2)=0,OFFSET(CT!$A$1,INT(ROW()/2)+1,COLUMN(CT!B200)-1),"")</f>
        <v/>
      </c>
      <c r="C203" s="77" t="str">
        <f ca="1">IF(MOD(ROW(),2)=0,OFFSET(CT!$A$1,INT(ROW()/2)+1,COLUMN(CT!C200)-1),"")</f>
        <v/>
      </c>
      <c r="D203" s="23" t="str">
        <f ca="1">OFFSET(CT!$A$1,INT(ROW()/2)+1,IF(MOD(ROW(),2)=0,COLUMN(CT!D200)-1,COLUMN(CT!E200)-1))</f>
        <v>154.03</v>
      </c>
      <c r="E203" s="78">
        <f ca="1">IF(MOD(ROW(),2)=0,OFFSET(CT!$A$1,INT(ROW()/2)+1,COLUMN(CT!H200)-1),0)</f>
        <v>0</v>
      </c>
      <c r="F203" s="78">
        <f ca="1">IF(MOD(ROW(),2)=1,OFFSET(CT!$A$1,INT(ROW()/2)+1,COLUMN(CT!H200)-1),0)</f>
        <v>1500000</v>
      </c>
      <c r="G203" s="153" t="str">
        <f ca="1">IF(OFFSET(CT!$A$1,INT(ROW()/2)+1,COLUMN(CT!N200)-1)="No","False","True")</f>
        <v>True</v>
      </c>
    </row>
    <row r="204" spans="1:7" x14ac:dyDescent="0.3">
      <c r="A204" s="77">
        <f ca="1">IF(MOD(ROW(),2)=0,OFFSET(CT!$A$1,INT(ROW()/2)+1,COLUMN(CT!A201)-1),"")</f>
        <v>45322</v>
      </c>
      <c r="B204" s="77" t="str">
        <f ca="1">IF(MOD(ROW(),2)=0,OFFSET(CT!$A$1,INT(ROW()/2)+1,COLUMN(CT!B201)-1),"")</f>
        <v>TH12</v>
      </c>
      <c r="C204" s="77" t="str">
        <f ca="1">IF(MOD(ROW(),2)=0,OFFSET(CT!$A$1,INT(ROW()/2)+1,COLUMN(CT!C201)-1),"")</f>
        <v>Chuyển lãi lỗ</v>
      </c>
      <c r="D204" s="23" t="str">
        <f ca="1">OFFSET(CT!$A$1,INT(ROW()/2)+1,IF(MOD(ROW(),2)=0,COLUMN(CT!D201)-1,COLUMN(CT!E201)-1))</f>
        <v>4212</v>
      </c>
      <c r="E204" s="78">
        <f ca="1">IF(MOD(ROW(),2)=0,OFFSET(CT!$A$1,INT(ROW()/2)+1,COLUMN(CT!H201)-1),0)</f>
        <v>1615709</v>
      </c>
      <c r="F204" s="78">
        <f ca="1">IF(MOD(ROW(),2)=1,OFFSET(CT!$A$1,INT(ROW()/2)+1,COLUMN(CT!H201)-1),0)</f>
        <v>0</v>
      </c>
      <c r="G204" s="153" t="str">
        <f ca="1">IF(OFFSET(CT!$A$1,INT(ROW()/2)+1,COLUMN(CT!N201)-1)="No","False","True")</f>
        <v>True</v>
      </c>
    </row>
    <row r="205" spans="1:7" x14ac:dyDescent="0.3">
      <c r="A205" s="77" t="str">
        <f ca="1">IF(MOD(ROW(),2)=0,OFFSET(CT!$A$1,INT(ROW()/2)+1,COLUMN(CT!A202)-1),"")</f>
        <v/>
      </c>
      <c r="B205" s="77" t="str">
        <f ca="1">IF(MOD(ROW(),2)=0,OFFSET(CT!$A$1,INT(ROW()/2)+1,COLUMN(CT!B202)-1),"")</f>
        <v/>
      </c>
      <c r="C205" s="77" t="str">
        <f ca="1">IF(MOD(ROW(),2)=0,OFFSET(CT!$A$1,INT(ROW()/2)+1,COLUMN(CT!C202)-1),"")</f>
        <v/>
      </c>
      <c r="D205" s="23" t="str">
        <f ca="1">OFFSET(CT!$A$1,INT(ROW()/2)+1,IF(MOD(ROW(),2)=0,COLUMN(CT!D202)-1,COLUMN(CT!E202)-1))</f>
        <v>9111.0202</v>
      </c>
      <c r="E205" s="78">
        <f ca="1">IF(MOD(ROW(),2)=0,OFFSET(CT!$A$1,INT(ROW()/2)+1,COLUMN(CT!H202)-1),0)</f>
        <v>0</v>
      </c>
      <c r="F205" s="78">
        <f ca="1">IF(MOD(ROW(),2)=1,OFFSET(CT!$A$1,INT(ROW()/2)+1,COLUMN(CT!H202)-1),0)</f>
        <v>1615709</v>
      </c>
      <c r="G205" s="153" t="str">
        <f ca="1">IF(OFFSET(CT!$A$1,INT(ROW()/2)+1,COLUMN(CT!N202)-1)="No","False","True")</f>
        <v>True</v>
      </c>
    </row>
    <row r="206" spans="1:7" x14ac:dyDescent="0.3">
      <c r="A206" s="77">
        <f ca="1">IF(MOD(ROW(),2)=0,OFFSET(CT!$A$1,INT(ROW()/2)+1,COLUMN(CT!A203)-1),"")</f>
        <v>45322</v>
      </c>
      <c r="B206" s="77" t="str">
        <f ca="1">IF(MOD(ROW(),2)=0,OFFSET(CT!$A$1,INT(ROW()/2)+1,COLUMN(CT!B203)-1),"")</f>
        <v>KH1</v>
      </c>
      <c r="C206" s="77" t="str">
        <f ca="1">IF(MOD(ROW(),2)=0,OFFSET(CT!$A$1,INT(ROW()/2)+1,COLUMN(CT!C203)-1),"")</f>
        <v>Trích KH cho PXSX</v>
      </c>
      <c r="D206" s="23" t="str">
        <f ca="1">OFFSET(CT!$A$1,INT(ROW()/2)+1,IF(MOD(ROW(),2)=0,COLUMN(CT!D203)-1,COLUMN(CT!E203)-1))</f>
        <v>6274</v>
      </c>
      <c r="E206" s="78">
        <f ca="1">IF(MOD(ROW(),2)=0,OFFSET(CT!$A$1,INT(ROW()/2)+1,COLUMN(CT!H203)-1),0)</f>
        <v>1666666</v>
      </c>
      <c r="F206" s="78">
        <f ca="1">IF(MOD(ROW(),2)=1,OFFSET(CT!$A$1,INT(ROW()/2)+1,COLUMN(CT!H203)-1),0)</f>
        <v>0</v>
      </c>
      <c r="G206" s="153" t="str">
        <f ca="1">IF(OFFSET(CT!$A$1,INT(ROW()/2)+1,COLUMN(CT!N203)-1)="No","False","True")</f>
        <v>True</v>
      </c>
    </row>
    <row r="207" spans="1:7" x14ac:dyDescent="0.3">
      <c r="A207" s="77" t="str">
        <f ca="1">IF(MOD(ROW(),2)=0,OFFSET(CT!$A$1,INT(ROW()/2)+1,COLUMN(CT!A204)-1),"")</f>
        <v/>
      </c>
      <c r="B207" s="77" t="str">
        <f ca="1">IF(MOD(ROW(),2)=0,OFFSET(CT!$A$1,INT(ROW()/2)+1,COLUMN(CT!B204)-1),"")</f>
        <v/>
      </c>
      <c r="C207" s="77" t="str">
        <f ca="1">IF(MOD(ROW(),2)=0,OFFSET(CT!$A$1,INT(ROW()/2)+1,COLUMN(CT!C204)-1),"")</f>
        <v/>
      </c>
      <c r="D207" s="23" t="str">
        <f ca="1">OFFSET(CT!$A$1,INT(ROW()/2)+1,IF(MOD(ROW(),2)=0,COLUMN(CT!D204)-1,COLUMN(CT!E204)-1))</f>
        <v>2141</v>
      </c>
      <c r="E207" s="78">
        <f ca="1">IF(MOD(ROW(),2)=0,OFFSET(CT!$A$1,INT(ROW()/2)+1,COLUMN(CT!H204)-1),0)</f>
        <v>0</v>
      </c>
      <c r="F207" s="78">
        <f ca="1">IF(MOD(ROW(),2)=1,OFFSET(CT!$A$1,INT(ROW()/2)+1,COLUMN(CT!H204)-1),0)</f>
        <v>1666666</v>
      </c>
      <c r="G207" s="153" t="str">
        <f ca="1">IF(OFFSET(CT!$A$1,INT(ROW()/2)+1,COLUMN(CT!N204)-1)="No","False","True")</f>
        <v>True</v>
      </c>
    </row>
    <row r="208" spans="1:7" x14ac:dyDescent="0.3">
      <c r="A208" s="77">
        <f ca="1">IF(MOD(ROW(),2)=0,OFFSET(CT!$A$1,INT(ROW()/2)+1,COLUMN(CT!A205)-1),"")</f>
        <v>45322</v>
      </c>
      <c r="B208" s="77" t="str">
        <f ca="1">IF(MOD(ROW(),2)=0,OFFSET(CT!$A$1,INT(ROW()/2)+1,COLUMN(CT!B205)-1),"")</f>
        <v>TH10</v>
      </c>
      <c r="C208" s="77" t="str">
        <f ca="1">IF(MOD(ROW(),2)=0,OFFSET(CT!$A$1,INT(ROW()/2)+1,COLUMN(CT!C205)-1),"")</f>
        <v>Kết chuyển CFBH vào TK911</v>
      </c>
      <c r="D208" s="23" t="str">
        <f ca="1">OFFSET(CT!$A$1,INT(ROW()/2)+1,IF(MOD(ROW(),2)=0,COLUMN(CT!D205)-1,COLUMN(CT!E205)-1))</f>
        <v>9111.0102</v>
      </c>
      <c r="E208" s="78">
        <f ca="1">IF(MOD(ROW(),2)=0,OFFSET(CT!$A$1,INT(ROW()/2)+1,COLUMN(CT!H205)-1),0)</f>
        <v>1761203</v>
      </c>
      <c r="F208" s="78">
        <f ca="1">IF(MOD(ROW(),2)=1,OFFSET(CT!$A$1,INT(ROW()/2)+1,COLUMN(CT!H205)-1),0)</f>
        <v>0</v>
      </c>
      <c r="G208" s="153" t="str">
        <f ca="1">IF(OFFSET(CT!$A$1,INT(ROW()/2)+1,COLUMN(CT!N205)-1)="No","False","True")</f>
        <v>True</v>
      </c>
    </row>
    <row r="209" spans="1:7" x14ac:dyDescent="0.3">
      <c r="A209" s="77" t="str">
        <f ca="1">IF(MOD(ROW(),2)=0,OFFSET(CT!$A$1,INT(ROW()/2)+1,COLUMN(CT!A206)-1),"")</f>
        <v/>
      </c>
      <c r="B209" s="77" t="str">
        <f ca="1">IF(MOD(ROW(),2)=0,OFFSET(CT!$A$1,INT(ROW()/2)+1,COLUMN(CT!B206)-1),"")</f>
        <v/>
      </c>
      <c r="C209" s="77" t="str">
        <f ca="1">IF(MOD(ROW(),2)=0,OFFSET(CT!$A$1,INT(ROW()/2)+1,COLUMN(CT!C206)-1),"")</f>
        <v/>
      </c>
      <c r="D209" s="23" t="str">
        <f ca="1">OFFSET(CT!$A$1,INT(ROW()/2)+1,IF(MOD(ROW(),2)=0,COLUMN(CT!D206)-1,COLUMN(CT!E206)-1))</f>
        <v>6411</v>
      </c>
      <c r="E209" s="78">
        <f ca="1">IF(MOD(ROW(),2)=0,OFFSET(CT!$A$1,INT(ROW()/2)+1,COLUMN(CT!H206)-1),0)</f>
        <v>0</v>
      </c>
      <c r="F209" s="78">
        <f ca="1">IF(MOD(ROW(),2)=1,OFFSET(CT!$A$1,INT(ROW()/2)+1,COLUMN(CT!H206)-1),0)</f>
        <v>1761203</v>
      </c>
      <c r="G209" s="153" t="str">
        <f ca="1">IF(OFFSET(CT!$A$1,INT(ROW()/2)+1,COLUMN(CT!N206)-1)="No","False","True")</f>
        <v>True</v>
      </c>
    </row>
    <row r="210" spans="1:7" x14ac:dyDescent="0.3">
      <c r="A210" s="77">
        <f ca="1">IF(MOD(ROW(),2)=0,OFFSET(CT!$A$1,INT(ROW()/2)+1,COLUMN(CT!A207)-1),"")</f>
        <v>45322</v>
      </c>
      <c r="B210" s="77" t="str">
        <f ca="1">IF(MOD(ROW(),2)=0,OFFSET(CT!$A$1,INT(ROW()/2)+1,COLUMN(CT!B207)-1),"")</f>
        <v>TH12</v>
      </c>
      <c r="C210" s="77" t="str">
        <f ca="1">IF(MOD(ROW(),2)=0,OFFSET(CT!$A$1,INT(ROW()/2)+1,COLUMN(CT!C207)-1),"")</f>
        <v>Chuyển lãi lỗ</v>
      </c>
      <c r="D210" s="23" t="str">
        <f ca="1">OFFSET(CT!$A$1,INT(ROW()/2)+1,IF(MOD(ROW(),2)=0,COLUMN(CT!D207)-1,COLUMN(CT!E207)-1))</f>
        <v>4212</v>
      </c>
      <c r="E210" s="78">
        <f ca="1">IF(MOD(ROW(),2)=0,OFFSET(CT!$A$1,INT(ROW()/2)+1,COLUMN(CT!H207)-1),0)</f>
        <v>1772143</v>
      </c>
      <c r="F210" s="78">
        <f ca="1">IF(MOD(ROW(),2)=1,OFFSET(CT!$A$1,INT(ROW()/2)+1,COLUMN(CT!H207)-1),0)</f>
        <v>0</v>
      </c>
      <c r="G210" s="153" t="str">
        <f ca="1">IF(OFFSET(CT!$A$1,INT(ROW()/2)+1,COLUMN(CT!N207)-1)="No","False","True")</f>
        <v>True</v>
      </c>
    </row>
    <row r="211" spans="1:7" x14ac:dyDescent="0.3">
      <c r="A211" s="77" t="str">
        <f ca="1">IF(MOD(ROW(),2)=0,OFFSET(CT!$A$1,INT(ROW()/2)+1,COLUMN(CT!A208)-1),"")</f>
        <v/>
      </c>
      <c r="B211" s="77" t="str">
        <f ca="1">IF(MOD(ROW(),2)=0,OFFSET(CT!$A$1,INT(ROW()/2)+1,COLUMN(CT!B208)-1),"")</f>
        <v/>
      </c>
      <c r="C211" s="77" t="str">
        <f ca="1">IF(MOD(ROW(),2)=0,OFFSET(CT!$A$1,INT(ROW()/2)+1,COLUMN(CT!C208)-1),"")</f>
        <v/>
      </c>
      <c r="D211" s="23" t="str">
        <f ca="1">OFFSET(CT!$A$1,INT(ROW()/2)+1,IF(MOD(ROW(),2)=0,COLUMN(CT!D208)-1,COLUMN(CT!E208)-1))</f>
        <v>9111.0101</v>
      </c>
      <c r="E211" s="78">
        <f ca="1">IF(MOD(ROW(),2)=0,OFFSET(CT!$A$1,INT(ROW()/2)+1,COLUMN(CT!H208)-1),0)</f>
        <v>0</v>
      </c>
      <c r="F211" s="78">
        <f ca="1">IF(MOD(ROW(),2)=1,OFFSET(CT!$A$1,INT(ROW()/2)+1,COLUMN(CT!H208)-1),0)</f>
        <v>1772143</v>
      </c>
      <c r="G211" s="153" t="str">
        <f ca="1">IF(OFFSET(CT!$A$1,INT(ROW()/2)+1,COLUMN(CT!N208)-1)="No","False","True")</f>
        <v>True</v>
      </c>
    </row>
    <row r="212" spans="1:7" x14ac:dyDescent="0.3">
      <c r="A212" s="77">
        <f ca="1">IF(MOD(ROW(),2)=0,OFFSET(CT!$A$1,INT(ROW()/2)+1,COLUMN(CT!A209)-1),"")</f>
        <v>45322</v>
      </c>
      <c r="B212" s="77" t="str">
        <f ca="1">IF(MOD(ROW(),2)=0,OFFSET(CT!$A$1,INT(ROW()/2)+1,COLUMN(CT!B209)-1),"")</f>
        <v>TH6</v>
      </c>
      <c r="C212" s="77" t="str">
        <f ca="1">IF(MOD(ROW(),2)=0,OFFSET(CT!$A$1,INT(ROW()/2)+1,COLUMN(CT!C209)-1),"")</f>
        <v>Bổ sung giá thành TK155 GKT</v>
      </c>
      <c r="D212" s="23" t="str">
        <f ca="1">OFFSET(CT!$A$1,INT(ROW()/2)+1,IF(MOD(ROW(),2)=0,COLUMN(CT!D209)-1,COLUMN(CT!E209)-1))</f>
        <v>1551.0102</v>
      </c>
      <c r="E212" s="78">
        <f ca="1">IF(MOD(ROW(),2)=0,OFFSET(CT!$A$1,INT(ROW()/2)+1,COLUMN(CT!H209)-1),0)</f>
        <v>1800000</v>
      </c>
      <c r="F212" s="78">
        <f ca="1">IF(MOD(ROW(),2)=1,OFFSET(CT!$A$1,INT(ROW()/2)+1,COLUMN(CT!H209)-1),0)</f>
        <v>0</v>
      </c>
      <c r="G212" s="153" t="str">
        <f ca="1">IF(OFFSET(CT!$A$1,INT(ROW()/2)+1,COLUMN(CT!N209)-1)="No","False","True")</f>
        <v>True</v>
      </c>
    </row>
    <row r="213" spans="1:7" x14ac:dyDescent="0.3">
      <c r="A213" s="77" t="str">
        <f ca="1">IF(MOD(ROW(),2)=0,OFFSET(CT!$A$1,INT(ROW()/2)+1,COLUMN(CT!A210)-1),"")</f>
        <v/>
      </c>
      <c r="B213" s="77" t="str">
        <f ca="1">IF(MOD(ROW(),2)=0,OFFSET(CT!$A$1,INT(ROW()/2)+1,COLUMN(CT!B210)-1),"")</f>
        <v/>
      </c>
      <c r="C213" s="77" t="str">
        <f ca="1">IF(MOD(ROW(),2)=0,OFFSET(CT!$A$1,INT(ROW()/2)+1,COLUMN(CT!C210)-1),"")</f>
        <v/>
      </c>
      <c r="D213" s="23" t="str">
        <f ca="1">OFFSET(CT!$A$1,INT(ROW()/2)+1,IF(MOD(ROW(),2)=0,COLUMN(CT!D210)-1,COLUMN(CT!E210)-1))</f>
        <v>154.02</v>
      </c>
      <c r="E213" s="78">
        <f ca="1">IF(MOD(ROW(),2)=0,OFFSET(CT!$A$1,INT(ROW()/2)+1,COLUMN(CT!H210)-1),0)</f>
        <v>0</v>
      </c>
      <c r="F213" s="78">
        <f ca="1">IF(MOD(ROW(),2)=1,OFFSET(CT!$A$1,INT(ROW()/2)+1,COLUMN(CT!H210)-1),0)</f>
        <v>1800000</v>
      </c>
      <c r="G213" s="153" t="str">
        <f ca="1">IF(OFFSET(CT!$A$1,INT(ROW()/2)+1,COLUMN(CT!N210)-1)="No","False","True")</f>
        <v>True</v>
      </c>
    </row>
    <row r="214" spans="1:7" x14ac:dyDescent="0.3">
      <c r="A214" s="77">
        <f ca="1">IF(MOD(ROW(),2)=0,OFFSET(CT!$A$1,INT(ROW()/2)+1,COLUMN(CT!A211)-1),"")</f>
        <v>45322</v>
      </c>
      <c r="B214" s="77" t="str">
        <f ca="1">IF(MOD(ROW(),2)=0,OFFSET(CT!$A$1,INT(ROW()/2)+1,COLUMN(CT!B211)-1),"")</f>
        <v>TH10</v>
      </c>
      <c r="C214" s="77" t="str">
        <f ca="1">IF(MOD(ROW(),2)=0,OFFSET(CT!$A$1,INT(ROW()/2)+1,COLUMN(CT!C211)-1),"")</f>
        <v>Kết chuyển CFBH vào TK911</v>
      </c>
      <c r="D214" s="23" t="str">
        <f ca="1">OFFSET(CT!$A$1,INT(ROW()/2)+1,IF(MOD(ROW(),2)=0,COLUMN(CT!D211)-1,COLUMN(CT!E211)-1))</f>
        <v>9111.0202</v>
      </c>
      <c r="E214" s="78">
        <f ca="1">IF(MOD(ROW(),2)=0,OFFSET(CT!$A$1,INT(ROW()/2)+1,COLUMN(CT!H211)-1),0)</f>
        <v>2164045</v>
      </c>
      <c r="F214" s="78">
        <f ca="1">IF(MOD(ROW(),2)=1,OFFSET(CT!$A$1,INT(ROW()/2)+1,COLUMN(CT!H211)-1),0)</f>
        <v>0</v>
      </c>
      <c r="G214" s="153" t="str">
        <f ca="1">IF(OFFSET(CT!$A$1,INT(ROW()/2)+1,COLUMN(CT!N211)-1)="No","False","True")</f>
        <v>True</v>
      </c>
    </row>
    <row r="215" spans="1:7" x14ac:dyDescent="0.3">
      <c r="A215" s="77" t="str">
        <f ca="1">IF(MOD(ROW(),2)=0,OFFSET(CT!$A$1,INT(ROW()/2)+1,COLUMN(CT!A212)-1),"")</f>
        <v/>
      </c>
      <c r="B215" s="77" t="str">
        <f ca="1">IF(MOD(ROW(),2)=0,OFFSET(CT!$A$1,INT(ROW()/2)+1,COLUMN(CT!B212)-1),"")</f>
        <v/>
      </c>
      <c r="C215" s="77" t="str">
        <f ca="1">IF(MOD(ROW(),2)=0,OFFSET(CT!$A$1,INT(ROW()/2)+1,COLUMN(CT!C212)-1),"")</f>
        <v/>
      </c>
      <c r="D215" s="23" t="str">
        <f ca="1">OFFSET(CT!$A$1,INT(ROW()/2)+1,IF(MOD(ROW(),2)=0,COLUMN(CT!D212)-1,COLUMN(CT!E212)-1))</f>
        <v>6411</v>
      </c>
      <c r="E215" s="78">
        <f ca="1">IF(MOD(ROW(),2)=0,OFFSET(CT!$A$1,INT(ROW()/2)+1,COLUMN(CT!H212)-1),0)</f>
        <v>0</v>
      </c>
      <c r="F215" s="78">
        <f ca="1">IF(MOD(ROW(),2)=1,OFFSET(CT!$A$1,INT(ROW()/2)+1,COLUMN(CT!H212)-1),0)</f>
        <v>2164045</v>
      </c>
      <c r="G215" s="153" t="str">
        <f ca="1">IF(OFFSET(CT!$A$1,INT(ROW()/2)+1,COLUMN(CT!N212)-1)="No","False","True")</f>
        <v>True</v>
      </c>
    </row>
    <row r="216" spans="1:7" x14ac:dyDescent="0.3">
      <c r="A216" s="77">
        <f ca="1">IF(MOD(ROW(),2)=0,OFFSET(CT!$A$1,INT(ROW()/2)+1,COLUMN(CT!A213)-1),"")</f>
        <v>45322</v>
      </c>
      <c r="B216" s="77" t="str">
        <f ca="1">IF(MOD(ROW(),2)=0,OFFSET(CT!$A$1,INT(ROW()/2)+1,COLUMN(CT!B213)-1),"")</f>
        <v>TH10</v>
      </c>
      <c r="C216" s="77" t="str">
        <f ca="1">IF(MOD(ROW(),2)=0,OFFSET(CT!$A$1,INT(ROW()/2)+1,COLUMN(CT!C213)-1),"")</f>
        <v>Kết chuyển CFBH vào TK911</v>
      </c>
      <c r="D216" s="23" t="str">
        <f ca="1">OFFSET(CT!$A$1,INT(ROW()/2)+1,IF(MOD(ROW(),2)=0,COLUMN(CT!D213)-1,COLUMN(CT!E213)-1))</f>
        <v>9111.0101</v>
      </c>
      <c r="E216" s="78">
        <f ca="1">IF(MOD(ROW(),2)=0,OFFSET(CT!$A$1,INT(ROW()/2)+1,COLUMN(CT!H213)-1),0)</f>
        <v>2174752</v>
      </c>
      <c r="F216" s="78">
        <f ca="1">IF(MOD(ROW(),2)=1,OFFSET(CT!$A$1,INT(ROW()/2)+1,COLUMN(CT!H213)-1),0)</f>
        <v>0</v>
      </c>
      <c r="G216" s="153" t="str">
        <f ca="1">IF(OFFSET(CT!$A$1,INT(ROW()/2)+1,COLUMN(CT!N213)-1)="No","False","True")</f>
        <v>True</v>
      </c>
    </row>
    <row r="217" spans="1:7" x14ac:dyDescent="0.3">
      <c r="A217" s="77" t="str">
        <f ca="1">IF(MOD(ROW(),2)=0,OFFSET(CT!$A$1,INT(ROW()/2)+1,COLUMN(CT!A214)-1),"")</f>
        <v/>
      </c>
      <c r="B217" s="77" t="str">
        <f ca="1">IF(MOD(ROW(),2)=0,OFFSET(CT!$A$1,INT(ROW()/2)+1,COLUMN(CT!B214)-1),"")</f>
        <v/>
      </c>
      <c r="C217" s="77" t="str">
        <f ca="1">IF(MOD(ROW(),2)=0,OFFSET(CT!$A$1,INT(ROW()/2)+1,COLUMN(CT!C214)-1),"")</f>
        <v/>
      </c>
      <c r="D217" s="23" t="str">
        <f ca="1">OFFSET(CT!$A$1,INT(ROW()/2)+1,IF(MOD(ROW(),2)=0,COLUMN(CT!D214)-1,COLUMN(CT!E214)-1))</f>
        <v>6411</v>
      </c>
      <c r="E217" s="78">
        <f ca="1">IF(MOD(ROW(),2)=0,OFFSET(CT!$A$1,INT(ROW()/2)+1,COLUMN(CT!H214)-1),0)</f>
        <v>0</v>
      </c>
      <c r="F217" s="78">
        <f ca="1">IF(MOD(ROW(),2)=1,OFFSET(CT!$A$1,INT(ROW()/2)+1,COLUMN(CT!H214)-1),0)</f>
        <v>2174752</v>
      </c>
      <c r="G217" s="153" t="str">
        <f ca="1">IF(OFFSET(CT!$A$1,INT(ROW()/2)+1,COLUMN(CT!N214)-1)="No","False","True")</f>
        <v>True</v>
      </c>
    </row>
    <row r="218" spans="1:7" x14ac:dyDescent="0.3">
      <c r="A218" s="77">
        <f ca="1">IF(MOD(ROW(),2)=0,OFFSET(CT!$A$1,INT(ROW()/2)+1,COLUMN(CT!A215)-1),"")</f>
        <v>45322</v>
      </c>
      <c r="B218" s="77" t="str">
        <f ca="1">IF(MOD(ROW(),2)=0,OFFSET(CT!$A$1,INT(ROW()/2)+1,COLUMN(CT!B215)-1),"")</f>
        <v>TH12</v>
      </c>
      <c r="C218" s="77" t="str">
        <f ca="1">IF(MOD(ROW(),2)=0,OFFSET(CT!$A$1,INT(ROW()/2)+1,COLUMN(CT!C215)-1),"")</f>
        <v>Chuyển lãi lỗ</v>
      </c>
      <c r="D218" s="23" t="str">
        <f ca="1">OFFSET(CT!$A$1,INT(ROW()/2)+1,IF(MOD(ROW(),2)=0,COLUMN(CT!D215)-1,COLUMN(CT!E215)-1))</f>
        <v>9111.0102</v>
      </c>
      <c r="E218" s="78">
        <f ca="1">IF(MOD(ROW(),2)=0,OFFSET(CT!$A$1,INT(ROW()/2)+1,COLUMN(CT!H215)-1),0)</f>
        <v>2269619</v>
      </c>
      <c r="F218" s="78">
        <f ca="1">IF(MOD(ROW(),2)=1,OFFSET(CT!$A$1,INT(ROW()/2)+1,COLUMN(CT!H215)-1),0)</f>
        <v>0</v>
      </c>
      <c r="G218" s="153" t="str">
        <f ca="1">IF(OFFSET(CT!$A$1,INT(ROW()/2)+1,COLUMN(CT!N215)-1)="No","False","True")</f>
        <v>True</v>
      </c>
    </row>
    <row r="219" spans="1:7" x14ac:dyDescent="0.3">
      <c r="A219" s="77" t="str">
        <f ca="1">IF(MOD(ROW(),2)=0,OFFSET(CT!$A$1,INT(ROW()/2)+1,COLUMN(CT!A216)-1),"")</f>
        <v/>
      </c>
      <c r="B219" s="77" t="str">
        <f ca="1">IF(MOD(ROW(),2)=0,OFFSET(CT!$A$1,INT(ROW()/2)+1,COLUMN(CT!B216)-1),"")</f>
        <v/>
      </c>
      <c r="C219" s="77" t="str">
        <f ca="1">IF(MOD(ROW(),2)=0,OFFSET(CT!$A$1,INT(ROW()/2)+1,COLUMN(CT!C216)-1),"")</f>
        <v/>
      </c>
      <c r="D219" s="23" t="str">
        <f ca="1">OFFSET(CT!$A$1,INT(ROW()/2)+1,IF(MOD(ROW(),2)=0,COLUMN(CT!D216)-1,COLUMN(CT!E216)-1))</f>
        <v>4212</v>
      </c>
      <c r="E219" s="78">
        <f ca="1">IF(MOD(ROW(),2)=0,OFFSET(CT!$A$1,INT(ROW()/2)+1,COLUMN(CT!H216)-1),0)</f>
        <v>0</v>
      </c>
      <c r="F219" s="78">
        <f ca="1">IF(MOD(ROW(),2)=1,OFFSET(CT!$A$1,INT(ROW()/2)+1,COLUMN(CT!H216)-1),0)</f>
        <v>2269619</v>
      </c>
      <c r="G219" s="153" t="str">
        <f ca="1">IF(OFFSET(CT!$A$1,INT(ROW()/2)+1,COLUMN(CT!N216)-1)="No","False","True")</f>
        <v>True</v>
      </c>
    </row>
    <row r="220" spans="1:7" x14ac:dyDescent="0.3">
      <c r="A220" s="77">
        <f ca="1">IF(MOD(ROW(),2)=0,OFFSET(CT!$A$1,INT(ROW()/2)+1,COLUMN(CT!A217)-1),"")</f>
        <v>45322</v>
      </c>
      <c r="B220" s="77" t="str">
        <f ca="1">IF(MOD(ROW(),2)=0,OFFSET(CT!$A$1,INT(ROW()/2)+1,COLUMN(CT!B217)-1),"")</f>
        <v>TH11</v>
      </c>
      <c r="C220" s="77" t="str">
        <f ca="1">IF(MOD(ROW(),2)=0,OFFSET(CT!$A$1,INT(ROW()/2)+1,COLUMN(CT!C217)-1),"")</f>
        <v>Kết chuyển CFQLDN vào TK911</v>
      </c>
      <c r="D220" s="23" t="str">
        <f ca="1">OFFSET(CT!$A$1,INT(ROW()/2)+1,IF(MOD(ROW(),2)=0,COLUMN(CT!D217)-1,COLUMN(CT!E217)-1))</f>
        <v>9111.0102</v>
      </c>
      <c r="E220" s="78">
        <f ca="1">IF(MOD(ROW(),2)=0,OFFSET(CT!$A$1,INT(ROW()/2)+1,COLUMN(CT!H217)-1),0)</f>
        <v>2465685</v>
      </c>
      <c r="F220" s="78">
        <f ca="1">IF(MOD(ROW(),2)=1,OFFSET(CT!$A$1,INT(ROW()/2)+1,COLUMN(CT!H217)-1),0)</f>
        <v>0</v>
      </c>
      <c r="G220" s="153" t="str">
        <f ca="1">IF(OFFSET(CT!$A$1,INT(ROW()/2)+1,COLUMN(CT!N217)-1)="No","False","True")</f>
        <v>True</v>
      </c>
    </row>
    <row r="221" spans="1:7" x14ac:dyDescent="0.3">
      <c r="A221" s="77" t="str">
        <f ca="1">IF(MOD(ROW(),2)=0,OFFSET(CT!$A$1,INT(ROW()/2)+1,COLUMN(CT!A218)-1),"")</f>
        <v/>
      </c>
      <c r="B221" s="77" t="str">
        <f ca="1">IF(MOD(ROW(),2)=0,OFFSET(CT!$A$1,INT(ROW()/2)+1,COLUMN(CT!B218)-1),"")</f>
        <v/>
      </c>
      <c r="C221" s="77" t="str">
        <f ca="1">IF(MOD(ROW(),2)=0,OFFSET(CT!$A$1,INT(ROW()/2)+1,COLUMN(CT!C218)-1),"")</f>
        <v/>
      </c>
      <c r="D221" s="23" t="str">
        <f ca="1">OFFSET(CT!$A$1,INT(ROW()/2)+1,IF(MOD(ROW(),2)=0,COLUMN(CT!D218)-1,COLUMN(CT!E218)-1))</f>
        <v>6421</v>
      </c>
      <c r="E221" s="78">
        <f ca="1">IF(MOD(ROW(),2)=0,OFFSET(CT!$A$1,INT(ROW()/2)+1,COLUMN(CT!H218)-1),0)</f>
        <v>0</v>
      </c>
      <c r="F221" s="78">
        <f ca="1">IF(MOD(ROW(),2)=1,OFFSET(CT!$A$1,INT(ROW()/2)+1,COLUMN(CT!H218)-1),0)</f>
        <v>2465685</v>
      </c>
      <c r="G221" s="153" t="str">
        <f ca="1">IF(OFFSET(CT!$A$1,INT(ROW()/2)+1,COLUMN(CT!N218)-1)="No","False","True")</f>
        <v>True</v>
      </c>
    </row>
    <row r="222" spans="1:7" x14ac:dyDescent="0.3">
      <c r="A222" s="77">
        <f ca="1">IF(MOD(ROW(),2)=0,OFFSET(CT!$A$1,INT(ROW()/2)+1,COLUMN(CT!A219)-1),"")</f>
        <v>45322</v>
      </c>
      <c r="B222" s="77" t="str">
        <f ca="1">IF(MOD(ROW(),2)=0,OFFSET(CT!$A$1,INT(ROW()/2)+1,COLUMN(CT!B219)-1),"")</f>
        <v>TH11</v>
      </c>
      <c r="C222" s="77" t="str">
        <f ca="1">IF(MOD(ROW(),2)=0,OFFSET(CT!$A$1,INT(ROW()/2)+1,COLUMN(CT!C219)-1),"")</f>
        <v>Kết chuyển CFQLDN vào TK911</v>
      </c>
      <c r="D222" s="23" t="str">
        <f ca="1">OFFSET(CT!$A$1,INT(ROW()/2)+1,IF(MOD(ROW(),2)=0,COLUMN(CT!D219)-1,COLUMN(CT!E219)-1))</f>
        <v>9111.0202</v>
      </c>
      <c r="E222" s="78">
        <f ca="1">IF(MOD(ROW(),2)=0,OFFSET(CT!$A$1,INT(ROW()/2)+1,COLUMN(CT!H219)-1),0)</f>
        <v>3029662</v>
      </c>
      <c r="F222" s="78">
        <f ca="1">IF(MOD(ROW(),2)=1,OFFSET(CT!$A$1,INT(ROW()/2)+1,COLUMN(CT!H219)-1),0)</f>
        <v>0</v>
      </c>
      <c r="G222" s="153" t="str">
        <f ca="1">IF(OFFSET(CT!$A$1,INT(ROW()/2)+1,COLUMN(CT!N219)-1)="No","False","True")</f>
        <v>True</v>
      </c>
    </row>
    <row r="223" spans="1:7" x14ac:dyDescent="0.3">
      <c r="A223" s="77" t="str">
        <f ca="1">IF(MOD(ROW(),2)=0,OFFSET(CT!$A$1,INT(ROW()/2)+1,COLUMN(CT!A220)-1),"")</f>
        <v/>
      </c>
      <c r="B223" s="77" t="str">
        <f ca="1">IF(MOD(ROW(),2)=0,OFFSET(CT!$A$1,INT(ROW()/2)+1,COLUMN(CT!B220)-1),"")</f>
        <v/>
      </c>
      <c r="C223" s="77" t="str">
        <f ca="1">IF(MOD(ROW(),2)=0,OFFSET(CT!$A$1,INT(ROW()/2)+1,COLUMN(CT!C220)-1),"")</f>
        <v/>
      </c>
      <c r="D223" s="23" t="str">
        <f ca="1">OFFSET(CT!$A$1,INT(ROW()/2)+1,IF(MOD(ROW(),2)=0,COLUMN(CT!D220)-1,COLUMN(CT!E220)-1))</f>
        <v>6421</v>
      </c>
      <c r="E223" s="78">
        <f ca="1">IF(MOD(ROW(),2)=0,OFFSET(CT!$A$1,INT(ROW()/2)+1,COLUMN(CT!H220)-1),0)</f>
        <v>0</v>
      </c>
      <c r="F223" s="78">
        <f ca="1">IF(MOD(ROW(),2)=1,OFFSET(CT!$A$1,INT(ROW()/2)+1,COLUMN(CT!H220)-1),0)</f>
        <v>3029662</v>
      </c>
      <c r="G223" s="153" t="str">
        <f ca="1">IF(OFFSET(CT!$A$1,INT(ROW()/2)+1,COLUMN(CT!N220)-1)="No","False","True")</f>
        <v>True</v>
      </c>
    </row>
    <row r="224" spans="1:7" x14ac:dyDescent="0.3">
      <c r="A224" s="77">
        <f ca="1">IF(MOD(ROW(),2)=0,OFFSET(CT!$A$1,INT(ROW()/2)+1,COLUMN(CT!A221)-1),"")</f>
        <v>45322</v>
      </c>
      <c r="B224" s="77" t="str">
        <f ca="1">IF(MOD(ROW(),2)=0,OFFSET(CT!$A$1,INT(ROW()/2)+1,COLUMN(CT!B221)-1),"")</f>
        <v>TH11</v>
      </c>
      <c r="C224" s="77" t="str">
        <f ca="1">IF(MOD(ROW(),2)=0,OFFSET(CT!$A$1,INT(ROW()/2)+1,COLUMN(CT!C221)-1),"")</f>
        <v>Kết chuyển CFQLDN vào TK911</v>
      </c>
      <c r="D224" s="23" t="str">
        <f ca="1">OFFSET(CT!$A$1,INT(ROW()/2)+1,IF(MOD(ROW(),2)=0,COLUMN(CT!D221)-1,COLUMN(CT!E221)-1))</f>
        <v>9111.0101</v>
      </c>
      <c r="E224" s="78">
        <f ca="1">IF(MOD(ROW(),2)=0,OFFSET(CT!$A$1,INT(ROW()/2)+1,COLUMN(CT!H221)-1),0)</f>
        <v>3044653</v>
      </c>
      <c r="F224" s="78">
        <f ca="1">IF(MOD(ROW(),2)=1,OFFSET(CT!$A$1,INT(ROW()/2)+1,COLUMN(CT!H221)-1),0)</f>
        <v>0</v>
      </c>
      <c r="G224" s="153" t="str">
        <f ca="1">IF(OFFSET(CT!$A$1,INT(ROW()/2)+1,COLUMN(CT!N221)-1)="No","False","True")</f>
        <v>True</v>
      </c>
    </row>
    <row r="225" spans="1:7" x14ac:dyDescent="0.3">
      <c r="A225" s="77" t="str">
        <f ca="1">IF(MOD(ROW(),2)=0,OFFSET(CT!$A$1,INT(ROW()/2)+1,COLUMN(CT!A222)-1),"")</f>
        <v/>
      </c>
      <c r="B225" s="77" t="str">
        <f ca="1">IF(MOD(ROW(),2)=0,OFFSET(CT!$A$1,INT(ROW()/2)+1,COLUMN(CT!B222)-1),"")</f>
        <v/>
      </c>
      <c r="C225" s="77" t="str">
        <f ca="1">IF(MOD(ROW(),2)=0,OFFSET(CT!$A$1,INT(ROW()/2)+1,COLUMN(CT!C222)-1),"")</f>
        <v/>
      </c>
      <c r="D225" s="23" t="str">
        <f ca="1">OFFSET(CT!$A$1,INT(ROW()/2)+1,IF(MOD(ROW(),2)=0,COLUMN(CT!D222)-1,COLUMN(CT!E222)-1))</f>
        <v>6421</v>
      </c>
      <c r="E225" s="78">
        <f ca="1">IF(MOD(ROW(),2)=0,OFFSET(CT!$A$1,INT(ROW()/2)+1,COLUMN(CT!H222)-1),0)</f>
        <v>0</v>
      </c>
      <c r="F225" s="78">
        <f ca="1">IF(MOD(ROW(),2)=1,OFFSET(CT!$A$1,INT(ROW()/2)+1,COLUMN(CT!H222)-1),0)</f>
        <v>3044653</v>
      </c>
      <c r="G225" s="153" t="str">
        <f ca="1">IF(OFFSET(CT!$A$1,INT(ROW()/2)+1,COLUMN(CT!N222)-1)="No","False","True")</f>
        <v>True</v>
      </c>
    </row>
    <row r="226" spans="1:7" x14ac:dyDescent="0.3">
      <c r="A226" s="77">
        <f ca="1">IF(MOD(ROW(),2)=0,OFFSET(CT!$A$1,INT(ROW()/2)+1,COLUMN(CT!A223)-1),"")</f>
        <v>45322</v>
      </c>
      <c r="B226" s="77" t="str">
        <f ca="1">IF(MOD(ROW(),2)=0,OFFSET(CT!$A$1,INT(ROW()/2)+1,COLUMN(CT!B223)-1),"")</f>
        <v>TH3</v>
      </c>
      <c r="C226" s="77" t="str">
        <f ca="1">IF(MOD(ROW(),2)=0,OFFSET(CT!$A$1,INT(ROW()/2)+1,COLUMN(CT!C223)-1),"")</f>
        <v>Kết chuyển CFNVL vào TK154</v>
      </c>
      <c r="D226" s="23" t="str">
        <f ca="1">OFFSET(CT!$A$1,INT(ROW()/2)+1,IF(MOD(ROW(),2)=0,COLUMN(CT!D223)-1,COLUMN(CT!E223)-1))</f>
        <v>154.03</v>
      </c>
      <c r="E226" s="78">
        <f ca="1">IF(MOD(ROW(),2)=0,OFFSET(CT!$A$1,INT(ROW()/2)+1,COLUMN(CT!H223)-1),0)</f>
        <v>3646000</v>
      </c>
      <c r="F226" s="78">
        <f ca="1">IF(MOD(ROW(),2)=1,OFFSET(CT!$A$1,INT(ROW()/2)+1,COLUMN(CT!H223)-1),0)</f>
        <v>0</v>
      </c>
      <c r="G226" s="153" t="str">
        <f ca="1">IF(OFFSET(CT!$A$1,INT(ROW()/2)+1,COLUMN(CT!N223)-1)="No","False","True")</f>
        <v>True</v>
      </c>
    </row>
    <row r="227" spans="1:7" x14ac:dyDescent="0.3">
      <c r="A227" s="77" t="str">
        <f ca="1">IF(MOD(ROW(),2)=0,OFFSET(CT!$A$1,INT(ROW()/2)+1,COLUMN(CT!A224)-1),"")</f>
        <v/>
      </c>
      <c r="B227" s="77" t="str">
        <f ca="1">IF(MOD(ROW(),2)=0,OFFSET(CT!$A$1,INT(ROW()/2)+1,COLUMN(CT!B224)-1),"")</f>
        <v/>
      </c>
      <c r="C227" s="77" t="str">
        <f ca="1">IF(MOD(ROW(),2)=0,OFFSET(CT!$A$1,INT(ROW()/2)+1,COLUMN(CT!C224)-1),"")</f>
        <v/>
      </c>
      <c r="D227" s="23" t="str">
        <f ca="1">OFFSET(CT!$A$1,INT(ROW()/2)+1,IF(MOD(ROW(),2)=0,COLUMN(CT!D224)-1,COLUMN(CT!E224)-1))</f>
        <v>6211.03</v>
      </c>
      <c r="E227" s="78">
        <f ca="1">IF(MOD(ROW(),2)=0,OFFSET(CT!$A$1,INT(ROW()/2)+1,COLUMN(CT!H224)-1),0)</f>
        <v>0</v>
      </c>
      <c r="F227" s="78">
        <f ca="1">IF(MOD(ROW(),2)=1,OFFSET(CT!$A$1,INT(ROW()/2)+1,COLUMN(CT!H224)-1),0)</f>
        <v>3646000</v>
      </c>
      <c r="G227" s="153" t="str">
        <f ca="1">IF(OFFSET(CT!$A$1,INT(ROW()/2)+1,COLUMN(CT!N224)-1)="No","False","True")</f>
        <v>True</v>
      </c>
    </row>
    <row r="228" spans="1:7" x14ac:dyDescent="0.3">
      <c r="A228" s="77">
        <f ca="1">IF(MOD(ROW(),2)=0,OFFSET(CT!$A$1,INT(ROW()/2)+1,COLUMN(CT!A225)-1),"")</f>
        <v>45322</v>
      </c>
      <c r="B228" s="77" t="str">
        <f ca="1">IF(MOD(ROW(),2)=0,OFFSET(CT!$A$1,INT(ROW()/2)+1,COLUMN(CT!B225)-1),"")</f>
        <v>TH1</v>
      </c>
      <c r="C228" s="77" t="str">
        <f ca="1">IF(MOD(ROW(),2)=0,OFFSET(CT!$A$1,INT(ROW()/2)+1,COLUMN(CT!C225)-1),"")</f>
        <v>Tính lương vào chi phí</v>
      </c>
      <c r="D228" s="23" t="str">
        <f ca="1">OFFSET(CT!$A$1,INT(ROW()/2)+1,IF(MOD(ROW(),2)=0,COLUMN(CT!D225)-1,COLUMN(CT!E225)-1))</f>
        <v>6411</v>
      </c>
      <c r="E228" s="78">
        <f ca="1">IF(MOD(ROW(),2)=0,OFFSET(CT!$A$1,INT(ROW()/2)+1,COLUMN(CT!H225)-1),0)</f>
        <v>5000000</v>
      </c>
      <c r="F228" s="78">
        <f ca="1">IF(MOD(ROW(),2)=1,OFFSET(CT!$A$1,INT(ROW()/2)+1,COLUMN(CT!H225)-1),0)</f>
        <v>0</v>
      </c>
      <c r="G228" s="153" t="str">
        <f ca="1">IF(OFFSET(CT!$A$1,INT(ROW()/2)+1,COLUMN(CT!N225)-1)="No","False","True")</f>
        <v>True</v>
      </c>
    </row>
    <row r="229" spans="1:7" x14ac:dyDescent="0.3">
      <c r="A229" s="77" t="str">
        <f ca="1">IF(MOD(ROW(),2)=0,OFFSET(CT!$A$1,INT(ROW()/2)+1,COLUMN(CT!A226)-1),"")</f>
        <v/>
      </c>
      <c r="B229" s="77" t="str">
        <f ca="1">IF(MOD(ROW(),2)=0,OFFSET(CT!$A$1,INT(ROW()/2)+1,COLUMN(CT!B226)-1),"")</f>
        <v/>
      </c>
      <c r="C229" s="77" t="str">
        <f ca="1">IF(MOD(ROW(),2)=0,OFFSET(CT!$A$1,INT(ROW()/2)+1,COLUMN(CT!C226)-1),"")</f>
        <v/>
      </c>
      <c r="D229" s="23" t="str">
        <f ca="1">OFFSET(CT!$A$1,INT(ROW()/2)+1,IF(MOD(ROW(),2)=0,COLUMN(CT!D226)-1,COLUMN(CT!E226)-1))</f>
        <v>3348.02</v>
      </c>
      <c r="E229" s="78">
        <f ca="1">IF(MOD(ROW(),2)=0,OFFSET(CT!$A$1,INT(ROW()/2)+1,COLUMN(CT!H226)-1),0)</f>
        <v>0</v>
      </c>
      <c r="F229" s="78">
        <f ca="1">IF(MOD(ROW(),2)=1,OFFSET(CT!$A$1,INT(ROW()/2)+1,COLUMN(CT!H226)-1),0)</f>
        <v>5000000</v>
      </c>
      <c r="G229" s="153" t="str">
        <f ca="1">IF(OFFSET(CT!$A$1,INT(ROW()/2)+1,COLUMN(CT!N226)-1)="No","False","True")</f>
        <v>True</v>
      </c>
    </row>
    <row r="230" spans="1:7" x14ac:dyDescent="0.3">
      <c r="A230" s="77">
        <f ca="1">IF(MOD(ROW(),2)=0,OFFSET(CT!$A$1,INT(ROW()/2)+1,COLUMN(CT!A227)-1),"")</f>
        <v>45322</v>
      </c>
      <c r="B230" s="77" t="str">
        <f ca="1">IF(MOD(ROW(),2)=0,OFFSET(CT!$A$1,INT(ROW()/2)+1,COLUMN(CT!B227)-1),"")</f>
        <v>TH2</v>
      </c>
      <c r="C230" s="77" t="str">
        <f ca="1">IF(MOD(ROW(),2)=0,OFFSET(CT!$A$1,INT(ROW()/2)+1,COLUMN(CT!C227)-1),"")</f>
        <v>Tính các khoản trích theo lương vào chi phí</v>
      </c>
      <c r="D230" s="23" t="str">
        <f ca="1">OFFSET(CT!$A$1,INT(ROW()/2)+1,IF(MOD(ROW(),2)=0,COLUMN(CT!D227)-1,COLUMN(CT!E227)-1))</f>
        <v>6271</v>
      </c>
      <c r="E230" s="78">
        <f ca="1">IF(MOD(ROW(),2)=0,OFFSET(CT!$A$1,INT(ROW()/2)+1,COLUMN(CT!H227)-1),0)</f>
        <v>5600000</v>
      </c>
      <c r="F230" s="78">
        <f ca="1">IF(MOD(ROW(),2)=1,OFFSET(CT!$A$1,INT(ROW()/2)+1,COLUMN(CT!H227)-1),0)</f>
        <v>0</v>
      </c>
      <c r="G230" s="153" t="str">
        <f ca="1">IF(OFFSET(CT!$A$1,INT(ROW()/2)+1,COLUMN(CT!N227)-1)="No","False","True")</f>
        <v>True</v>
      </c>
    </row>
    <row r="231" spans="1:7" x14ac:dyDescent="0.3">
      <c r="A231" s="77" t="str">
        <f ca="1">IF(MOD(ROW(),2)=0,OFFSET(CT!$A$1,INT(ROW()/2)+1,COLUMN(CT!A228)-1),"")</f>
        <v/>
      </c>
      <c r="B231" s="77" t="str">
        <f ca="1">IF(MOD(ROW(),2)=0,OFFSET(CT!$A$1,INT(ROW()/2)+1,COLUMN(CT!B228)-1),"")</f>
        <v/>
      </c>
      <c r="C231" s="77" t="str">
        <f ca="1">IF(MOD(ROW(),2)=0,OFFSET(CT!$A$1,INT(ROW()/2)+1,COLUMN(CT!C228)-1),"")</f>
        <v/>
      </c>
      <c r="D231" s="23" t="str">
        <f ca="1">OFFSET(CT!$A$1,INT(ROW()/2)+1,IF(MOD(ROW(),2)=0,COLUMN(CT!D228)-1,COLUMN(CT!E228)-1))</f>
        <v>3383</v>
      </c>
      <c r="E231" s="78">
        <f ca="1">IF(MOD(ROW(),2)=0,OFFSET(CT!$A$1,INT(ROW()/2)+1,COLUMN(CT!H228)-1),0)</f>
        <v>0</v>
      </c>
      <c r="F231" s="78">
        <f ca="1">IF(MOD(ROW(),2)=1,OFFSET(CT!$A$1,INT(ROW()/2)+1,COLUMN(CT!H228)-1),0)</f>
        <v>5600000</v>
      </c>
      <c r="G231" s="153" t="str">
        <f ca="1">IF(OFFSET(CT!$A$1,INT(ROW()/2)+1,COLUMN(CT!N228)-1)="No","False","True")</f>
        <v>True</v>
      </c>
    </row>
    <row r="232" spans="1:7" x14ac:dyDescent="0.3">
      <c r="A232" s="77">
        <f ca="1">IF(MOD(ROW(),2)=0,OFFSET(CT!$A$1,INT(ROW()/2)+1,COLUMN(CT!A229)-1),"")</f>
        <v>45322</v>
      </c>
      <c r="B232" s="77" t="str">
        <f ca="1">IF(MOD(ROW(),2)=0,OFFSET(CT!$A$1,INT(ROW()/2)+1,COLUMN(CT!B229)-1),"")</f>
        <v>TH2</v>
      </c>
      <c r="C232" s="77" t="str">
        <f ca="1">IF(MOD(ROW(),2)=0,OFFSET(CT!$A$1,INT(ROW()/2)+1,COLUMN(CT!C229)-1),"")</f>
        <v>Tính các khoản trích theo lương vào chi phí</v>
      </c>
      <c r="D232" s="23" t="str">
        <f ca="1">OFFSET(CT!$A$1,INT(ROW()/2)+1,IF(MOD(ROW(),2)=0,COLUMN(CT!D229)-1,COLUMN(CT!E229)-1))</f>
        <v>622.01</v>
      </c>
      <c r="E232" s="78">
        <f ca="1">IF(MOD(ROW(),2)=0,OFFSET(CT!$A$1,INT(ROW()/2)+1,COLUMN(CT!H229)-1),0)</f>
        <v>6400000</v>
      </c>
      <c r="F232" s="78">
        <f ca="1">IF(MOD(ROW(),2)=1,OFFSET(CT!$A$1,INT(ROW()/2)+1,COLUMN(CT!H229)-1),0)</f>
        <v>0</v>
      </c>
      <c r="G232" s="153" t="str">
        <f ca="1">IF(OFFSET(CT!$A$1,INT(ROW()/2)+1,COLUMN(CT!N229)-1)="No","False","True")</f>
        <v>True</v>
      </c>
    </row>
    <row r="233" spans="1:7" x14ac:dyDescent="0.3">
      <c r="A233" s="77" t="str">
        <f ca="1">IF(MOD(ROW(),2)=0,OFFSET(CT!$A$1,INT(ROW()/2)+1,COLUMN(CT!A230)-1),"")</f>
        <v/>
      </c>
      <c r="B233" s="77" t="str">
        <f ca="1">IF(MOD(ROW(),2)=0,OFFSET(CT!$A$1,INT(ROW()/2)+1,COLUMN(CT!B230)-1),"")</f>
        <v/>
      </c>
      <c r="C233" s="77" t="str">
        <f ca="1">IF(MOD(ROW(),2)=0,OFFSET(CT!$A$1,INT(ROW()/2)+1,COLUMN(CT!C230)-1),"")</f>
        <v/>
      </c>
      <c r="D233" s="23" t="str">
        <f ca="1">OFFSET(CT!$A$1,INT(ROW()/2)+1,IF(MOD(ROW(),2)=0,COLUMN(CT!D230)-1,COLUMN(CT!E230)-1))</f>
        <v>3383</v>
      </c>
      <c r="E233" s="78">
        <f ca="1">IF(MOD(ROW(),2)=0,OFFSET(CT!$A$1,INT(ROW()/2)+1,COLUMN(CT!H230)-1),0)</f>
        <v>0</v>
      </c>
      <c r="F233" s="78">
        <f ca="1">IF(MOD(ROW(),2)=1,OFFSET(CT!$A$1,INT(ROW()/2)+1,COLUMN(CT!H230)-1),0)</f>
        <v>6400000</v>
      </c>
      <c r="G233" s="153" t="str">
        <f ca="1">IF(OFFSET(CT!$A$1,INT(ROW()/2)+1,COLUMN(CT!N230)-1)="No","False","True")</f>
        <v>True</v>
      </c>
    </row>
    <row r="234" spans="1:7" x14ac:dyDescent="0.3">
      <c r="A234" s="77">
        <f ca="1">IF(MOD(ROW(),2)=0,OFFSET(CT!$A$1,INT(ROW()/2)+1,COLUMN(CT!A231)-1),"")</f>
        <v>45322</v>
      </c>
      <c r="B234" s="77" t="str">
        <f ca="1">IF(MOD(ROW(),2)=0,OFFSET(CT!$A$1,INT(ROW()/2)+1,COLUMN(CT!B231)-1),"")</f>
        <v>TH2</v>
      </c>
      <c r="C234" s="77" t="str">
        <f ca="1">IF(MOD(ROW(),2)=0,OFFSET(CT!$A$1,INT(ROW()/2)+1,COLUMN(CT!C231)-1),"")</f>
        <v>Tính các khoản trích theo lương vào chi phí</v>
      </c>
      <c r="D234" s="23" t="str">
        <f ca="1">OFFSET(CT!$A$1,INT(ROW()/2)+1,IF(MOD(ROW(),2)=0,COLUMN(CT!D231)-1,COLUMN(CT!E231)-1))</f>
        <v>622.02</v>
      </c>
      <c r="E234" s="78">
        <f ca="1">IF(MOD(ROW(),2)=0,OFFSET(CT!$A$1,INT(ROW()/2)+1,COLUMN(CT!H231)-1),0)</f>
        <v>6400000</v>
      </c>
      <c r="F234" s="78">
        <f ca="1">IF(MOD(ROW(),2)=1,OFFSET(CT!$A$1,INT(ROW()/2)+1,COLUMN(CT!H231)-1),0)</f>
        <v>0</v>
      </c>
      <c r="G234" s="153" t="str">
        <f ca="1">IF(OFFSET(CT!$A$1,INT(ROW()/2)+1,COLUMN(CT!N231)-1)="No","False","True")</f>
        <v>True</v>
      </c>
    </row>
    <row r="235" spans="1:7" x14ac:dyDescent="0.3">
      <c r="A235" s="77" t="str">
        <f ca="1">IF(MOD(ROW(),2)=0,OFFSET(CT!$A$1,INT(ROW()/2)+1,COLUMN(CT!A232)-1),"")</f>
        <v/>
      </c>
      <c r="B235" s="77" t="str">
        <f ca="1">IF(MOD(ROW(),2)=0,OFFSET(CT!$A$1,INT(ROW()/2)+1,COLUMN(CT!B232)-1),"")</f>
        <v/>
      </c>
      <c r="C235" s="77" t="str">
        <f ca="1">IF(MOD(ROW(),2)=0,OFFSET(CT!$A$1,INT(ROW()/2)+1,COLUMN(CT!C232)-1),"")</f>
        <v/>
      </c>
      <c r="D235" s="23" t="str">
        <f ca="1">OFFSET(CT!$A$1,INT(ROW()/2)+1,IF(MOD(ROW(),2)=0,COLUMN(CT!D232)-1,COLUMN(CT!E232)-1))</f>
        <v>3383</v>
      </c>
      <c r="E235" s="78">
        <f ca="1">IF(MOD(ROW(),2)=0,OFFSET(CT!$A$1,INT(ROW()/2)+1,COLUMN(CT!H232)-1),0)</f>
        <v>0</v>
      </c>
      <c r="F235" s="78">
        <f ca="1">IF(MOD(ROW(),2)=1,OFFSET(CT!$A$1,INT(ROW()/2)+1,COLUMN(CT!H232)-1),0)</f>
        <v>6400000</v>
      </c>
      <c r="G235" s="153" t="str">
        <f ca="1">IF(OFFSET(CT!$A$1,INT(ROW()/2)+1,COLUMN(CT!N232)-1)="No","False","True")</f>
        <v>True</v>
      </c>
    </row>
    <row r="236" spans="1:7" x14ac:dyDescent="0.3">
      <c r="A236" s="77">
        <f ca="1">IF(MOD(ROW(),2)=0,OFFSET(CT!$A$1,INT(ROW()/2)+1,COLUMN(CT!A233)-1),"")</f>
        <v>45322</v>
      </c>
      <c r="B236" s="77" t="str">
        <f ca="1">IF(MOD(ROW(),2)=0,OFFSET(CT!$A$1,INT(ROW()/2)+1,COLUMN(CT!B233)-1),"")</f>
        <v>TH2</v>
      </c>
      <c r="C236" s="77" t="str">
        <f ca="1">IF(MOD(ROW(),2)=0,OFFSET(CT!$A$1,INT(ROW()/2)+1,COLUMN(CT!C233)-1),"")</f>
        <v>Tính các khoản trích theo lương vào chi phí</v>
      </c>
      <c r="D236" s="23" t="str">
        <f ca="1">OFFSET(CT!$A$1,INT(ROW()/2)+1,IF(MOD(ROW(),2)=0,COLUMN(CT!D233)-1,COLUMN(CT!E233)-1))</f>
        <v>622.03</v>
      </c>
      <c r="E236" s="78">
        <f ca="1">IF(MOD(ROW(),2)=0,OFFSET(CT!$A$1,INT(ROW()/2)+1,COLUMN(CT!H233)-1),0)</f>
        <v>6400000</v>
      </c>
      <c r="F236" s="78">
        <f ca="1">IF(MOD(ROW(),2)=1,OFFSET(CT!$A$1,INT(ROW()/2)+1,COLUMN(CT!H233)-1),0)</f>
        <v>0</v>
      </c>
      <c r="G236" s="153" t="str">
        <f ca="1">IF(OFFSET(CT!$A$1,INT(ROW()/2)+1,COLUMN(CT!N233)-1)="No","False","True")</f>
        <v>True</v>
      </c>
    </row>
    <row r="237" spans="1:7" x14ac:dyDescent="0.3">
      <c r="A237" s="77" t="str">
        <f ca="1">IF(MOD(ROW(),2)=0,OFFSET(CT!$A$1,INT(ROW()/2)+1,COLUMN(CT!A234)-1),"")</f>
        <v/>
      </c>
      <c r="B237" s="77" t="str">
        <f ca="1">IF(MOD(ROW(),2)=0,OFFSET(CT!$A$1,INT(ROW()/2)+1,COLUMN(CT!B234)-1),"")</f>
        <v/>
      </c>
      <c r="C237" s="77" t="str">
        <f ca="1">IF(MOD(ROW(),2)=0,OFFSET(CT!$A$1,INT(ROW()/2)+1,COLUMN(CT!C234)-1),"")</f>
        <v/>
      </c>
      <c r="D237" s="23" t="str">
        <f ca="1">OFFSET(CT!$A$1,INT(ROW()/2)+1,IF(MOD(ROW(),2)=0,COLUMN(CT!D234)-1,COLUMN(CT!E234)-1))</f>
        <v>3383</v>
      </c>
      <c r="E237" s="78">
        <f ca="1">IF(MOD(ROW(),2)=0,OFFSET(CT!$A$1,INT(ROW()/2)+1,COLUMN(CT!H234)-1),0)</f>
        <v>0</v>
      </c>
      <c r="F237" s="78">
        <f ca="1">IF(MOD(ROW(),2)=1,OFFSET(CT!$A$1,INT(ROW()/2)+1,COLUMN(CT!H234)-1),0)</f>
        <v>6400000</v>
      </c>
      <c r="G237" s="153" t="str">
        <f ca="1">IF(OFFSET(CT!$A$1,INT(ROW()/2)+1,COLUMN(CT!N234)-1)="No","False","True")</f>
        <v>True</v>
      </c>
    </row>
    <row r="238" spans="1:7" x14ac:dyDescent="0.3">
      <c r="A238" s="77">
        <f ca="1">IF(MOD(ROW(),2)=0,OFFSET(CT!$A$1,INT(ROW()/2)+1,COLUMN(CT!A235)-1),"")</f>
        <v>45322</v>
      </c>
      <c r="B238" s="77" t="str">
        <f ca="1">IF(MOD(ROW(),2)=0,OFFSET(CT!$A$1,INT(ROW()/2)+1,COLUMN(CT!B235)-1),"")</f>
        <v>TH2</v>
      </c>
      <c r="C238" s="77" t="str">
        <f ca="1">IF(MOD(ROW(),2)=0,OFFSET(CT!$A$1,INT(ROW()/2)+1,COLUMN(CT!C235)-1),"")</f>
        <v>Tính các khoản trích theo lương vào chi phí</v>
      </c>
      <c r="D238" s="23" t="str">
        <f ca="1">OFFSET(CT!$A$1,INT(ROW()/2)+1,IF(MOD(ROW(),2)=0,COLUMN(CT!D235)-1,COLUMN(CT!E235)-1))</f>
        <v>622.04</v>
      </c>
      <c r="E238" s="78">
        <f ca="1">IF(MOD(ROW(),2)=0,OFFSET(CT!$A$1,INT(ROW()/2)+1,COLUMN(CT!H235)-1),0)</f>
        <v>6400000</v>
      </c>
      <c r="F238" s="78">
        <f ca="1">IF(MOD(ROW(),2)=1,OFFSET(CT!$A$1,INT(ROW()/2)+1,COLUMN(CT!H235)-1),0)</f>
        <v>0</v>
      </c>
      <c r="G238" s="153" t="str">
        <f ca="1">IF(OFFSET(CT!$A$1,INT(ROW()/2)+1,COLUMN(CT!N235)-1)="No","False","True")</f>
        <v>True</v>
      </c>
    </row>
    <row r="239" spans="1:7" x14ac:dyDescent="0.3">
      <c r="A239" s="77" t="str">
        <f ca="1">IF(MOD(ROW(),2)=0,OFFSET(CT!$A$1,INT(ROW()/2)+1,COLUMN(CT!A236)-1),"")</f>
        <v/>
      </c>
      <c r="B239" s="77" t="str">
        <f ca="1">IF(MOD(ROW(),2)=0,OFFSET(CT!$A$1,INT(ROW()/2)+1,COLUMN(CT!B236)-1),"")</f>
        <v/>
      </c>
      <c r="C239" s="77" t="str">
        <f ca="1">IF(MOD(ROW(),2)=0,OFFSET(CT!$A$1,INT(ROW()/2)+1,COLUMN(CT!C236)-1),"")</f>
        <v/>
      </c>
      <c r="D239" s="23" t="str">
        <f ca="1">OFFSET(CT!$A$1,INT(ROW()/2)+1,IF(MOD(ROW(),2)=0,COLUMN(CT!D236)-1,COLUMN(CT!E236)-1))</f>
        <v>3383</v>
      </c>
      <c r="E239" s="78">
        <f ca="1">IF(MOD(ROW(),2)=0,OFFSET(CT!$A$1,INT(ROW()/2)+1,COLUMN(CT!H236)-1),0)</f>
        <v>0</v>
      </c>
      <c r="F239" s="78">
        <f ca="1">IF(MOD(ROW(),2)=1,OFFSET(CT!$A$1,INT(ROW()/2)+1,COLUMN(CT!H236)-1),0)</f>
        <v>6400000</v>
      </c>
      <c r="G239" s="153" t="str">
        <f ca="1">IF(OFFSET(CT!$A$1,INT(ROW()/2)+1,COLUMN(CT!N236)-1)="No","False","True")</f>
        <v>True</v>
      </c>
    </row>
    <row r="240" spans="1:7" x14ac:dyDescent="0.3">
      <c r="A240" s="77">
        <f ca="1">IF(MOD(ROW(),2)=0,OFFSET(CT!$A$1,INT(ROW()/2)+1,COLUMN(CT!A237)-1),"")</f>
        <v>45322</v>
      </c>
      <c r="B240" s="77" t="str">
        <f ca="1">IF(MOD(ROW(),2)=0,OFFSET(CT!$A$1,INT(ROW()/2)+1,COLUMN(CT!B237)-1),"")</f>
        <v>TH2</v>
      </c>
      <c r="C240" s="77" t="str">
        <f ca="1">IF(MOD(ROW(),2)=0,OFFSET(CT!$A$1,INT(ROW()/2)+1,COLUMN(CT!C237)-1),"")</f>
        <v>Tính các khoản trích theo lương vào chi phí</v>
      </c>
      <c r="D240" s="23" t="str">
        <f ca="1">OFFSET(CT!$A$1,INT(ROW()/2)+1,IF(MOD(ROW(),2)=0,COLUMN(CT!D237)-1,COLUMN(CT!E237)-1))</f>
        <v>622.05</v>
      </c>
      <c r="E240" s="78">
        <f ca="1">IF(MOD(ROW(),2)=0,OFFSET(CT!$A$1,INT(ROW()/2)+1,COLUMN(CT!H237)-1),0)</f>
        <v>6400000</v>
      </c>
      <c r="F240" s="78">
        <f ca="1">IF(MOD(ROW(),2)=1,OFFSET(CT!$A$1,INT(ROW()/2)+1,COLUMN(CT!H237)-1),0)</f>
        <v>0</v>
      </c>
      <c r="G240" s="153" t="str">
        <f ca="1">IF(OFFSET(CT!$A$1,INT(ROW()/2)+1,COLUMN(CT!N237)-1)="No","False","True")</f>
        <v>True</v>
      </c>
    </row>
    <row r="241" spans="1:7" x14ac:dyDescent="0.3">
      <c r="A241" s="77" t="str">
        <f ca="1">IF(MOD(ROW(),2)=0,OFFSET(CT!$A$1,INT(ROW()/2)+1,COLUMN(CT!A238)-1),"")</f>
        <v/>
      </c>
      <c r="B241" s="77" t="str">
        <f ca="1">IF(MOD(ROW(),2)=0,OFFSET(CT!$A$1,INT(ROW()/2)+1,COLUMN(CT!B238)-1),"")</f>
        <v/>
      </c>
      <c r="C241" s="77" t="str">
        <f ca="1">IF(MOD(ROW(),2)=0,OFFSET(CT!$A$1,INT(ROW()/2)+1,COLUMN(CT!C238)-1),"")</f>
        <v/>
      </c>
      <c r="D241" s="23" t="str">
        <f ca="1">OFFSET(CT!$A$1,INT(ROW()/2)+1,IF(MOD(ROW(),2)=0,COLUMN(CT!D238)-1,COLUMN(CT!E238)-1))</f>
        <v>3383</v>
      </c>
      <c r="E241" s="78">
        <f ca="1">IF(MOD(ROW(),2)=0,OFFSET(CT!$A$1,INT(ROW()/2)+1,COLUMN(CT!H238)-1),0)</f>
        <v>0</v>
      </c>
      <c r="F241" s="78">
        <f ca="1">IF(MOD(ROW(),2)=1,OFFSET(CT!$A$1,INT(ROW()/2)+1,COLUMN(CT!H238)-1),0)</f>
        <v>6400000</v>
      </c>
      <c r="G241" s="153" t="str">
        <f ca="1">IF(OFFSET(CT!$A$1,INT(ROW()/2)+1,COLUMN(CT!N238)-1)="No","False","True")</f>
        <v>True</v>
      </c>
    </row>
    <row r="242" spans="1:7" x14ac:dyDescent="0.3">
      <c r="A242" s="77">
        <f ca="1">IF(MOD(ROW(),2)=0,OFFSET(CT!$A$1,INT(ROW()/2)+1,COLUMN(CT!A239)-1),"")</f>
        <v>45322</v>
      </c>
      <c r="B242" s="77" t="str">
        <f ca="1">IF(MOD(ROW(),2)=0,OFFSET(CT!$A$1,INT(ROW()/2)+1,COLUMN(CT!B239)-1),"")</f>
        <v>TH1</v>
      </c>
      <c r="C242" s="77" t="str">
        <f ca="1">IF(MOD(ROW(),2)=0,OFFSET(CT!$A$1,INT(ROW()/2)+1,COLUMN(CT!C239)-1),"")</f>
        <v>Tính lương vào chi phí</v>
      </c>
      <c r="D242" s="23" t="str">
        <f ca="1">OFFSET(CT!$A$1,INT(ROW()/2)+1,IF(MOD(ROW(),2)=0,COLUMN(CT!D239)-1,COLUMN(CT!E239)-1))</f>
        <v>6421</v>
      </c>
      <c r="E242" s="78">
        <f ca="1">IF(MOD(ROW(),2)=0,OFFSET(CT!$A$1,INT(ROW()/2)+1,COLUMN(CT!H239)-1),0)</f>
        <v>7000000</v>
      </c>
      <c r="F242" s="78">
        <f ca="1">IF(MOD(ROW(),2)=1,OFFSET(CT!$A$1,INT(ROW()/2)+1,COLUMN(CT!H239)-1),0)</f>
        <v>0</v>
      </c>
      <c r="G242" s="153" t="str">
        <f ca="1">IF(OFFSET(CT!$A$1,INT(ROW()/2)+1,COLUMN(CT!N239)-1)="No","False","True")</f>
        <v>True</v>
      </c>
    </row>
    <row r="243" spans="1:7" x14ac:dyDescent="0.3">
      <c r="A243" s="77" t="str">
        <f ca="1">IF(MOD(ROW(),2)=0,OFFSET(CT!$A$1,INT(ROW()/2)+1,COLUMN(CT!A240)-1),"")</f>
        <v/>
      </c>
      <c r="B243" s="77" t="str">
        <f ca="1">IF(MOD(ROW(),2)=0,OFFSET(CT!$A$1,INT(ROW()/2)+1,COLUMN(CT!B240)-1),"")</f>
        <v/>
      </c>
      <c r="C243" s="77" t="str">
        <f ca="1">IF(MOD(ROW(),2)=0,OFFSET(CT!$A$1,INT(ROW()/2)+1,COLUMN(CT!C240)-1),"")</f>
        <v/>
      </c>
      <c r="D243" s="23" t="str">
        <f ca="1">OFFSET(CT!$A$1,INT(ROW()/2)+1,IF(MOD(ROW(),2)=0,COLUMN(CT!D240)-1,COLUMN(CT!E240)-1))</f>
        <v>3348.03</v>
      </c>
      <c r="E243" s="78">
        <f ca="1">IF(MOD(ROW(),2)=0,OFFSET(CT!$A$1,INT(ROW()/2)+1,COLUMN(CT!H240)-1),0)</f>
        <v>0</v>
      </c>
      <c r="F243" s="78">
        <f ca="1">IF(MOD(ROW(),2)=1,OFFSET(CT!$A$1,INT(ROW()/2)+1,COLUMN(CT!H240)-1),0)</f>
        <v>7000000</v>
      </c>
      <c r="G243" s="153" t="str">
        <f ca="1">IF(OFFSET(CT!$A$1,INT(ROW()/2)+1,COLUMN(CT!N240)-1)="No","False","True")</f>
        <v>True</v>
      </c>
    </row>
    <row r="244" spans="1:7" x14ac:dyDescent="0.3">
      <c r="A244" s="77">
        <f ca="1">IF(MOD(ROW(),2)=0,OFFSET(CT!$A$1,INT(ROW()/2)+1,COLUMN(CT!A241)-1),"")</f>
        <v>45322</v>
      </c>
      <c r="B244" s="77" t="str">
        <f ca="1">IF(MOD(ROW(),2)=0,OFFSET(CT!$A$1,INT(ROW()/2)+1,COLUMN(CT!B241)-1),"")</f>
        <v>TH5</v>
      </c>
      <c r="C244" s="77" t="str">
        <f ca="1">IF(MOD(ROW(),2)=0,OFFSET(CT!$A$1,INT(ROW()/2)+1,COLUMN(CT!C241)-1),"")</f>
        <v>Kết chuyển CFC vào TK154</v>
      </c>
      <c r="D244" s="23" t="str">
        <f ca="1">OFFSET(CT!$A$1,INT(ROW()/2)+1,IF(MOD(ROW(),2)=0,COLUMN(CT!D241)-1,COLUMN(CT!E241)-1))</f>
        <v>154.03</v>
      </c>
      <c r="E244" s="78">
        <f ca="1">IF(MOD(ROW(),2)=0,OFFSET(CT!$A$1,INT(ROW()/2)+1,COLUMN(CT!H241)-1),0)</f>
        <v>8611709</v>
      </c>
      <c r="F244" s="78">
        <f ca="1">IF(MOD(ROW(),2)=1,OFFSET(CT!$A$1,INT(ROW()/2)+1,COLUMN(CT!H241)-1),0)</f>
        <v>0</v>
      </c>
      <c r="G244" s="153" t="str">
        <f ca="1">IF(OFFSET(CT!$A$1,INT(ROW()/2)+1,COLUMN(CT!N241)-1)="No","False","True")</f>
        <v>True</v>
      </c>
    </row>
    <row r="245" spans="1:7" x14ac:dyDescent="0.3">
      <c r="A245" s="77" t="str">
        <f ca="1">IF(MOD(ROW(),2)=0,OFFSET(CT!$A$1,INT(ROW()/2)+1,COLUMN(CT!A242)-1),"")</f>
        <v/>
      </c>
      <c r="B245" s="77" t="str">
        <f ca="1">IF(MOD(ROW(),2)=0,OFFSET(CT!$A$1,INT(ROW()/2)+1,COLUMN(CT!B242)-1),"")</f>
        <v/>
      </c>
      <c r="C245" s="77" t="str">
        <f ca="1">IF(MOD(ROW(),2)=0,OFFSET(CT!$A$1,INT(ROW()/2)+1,COLUMN(CT!C242)-1),"")</f>
        <v/>
      </c>
      <c r="D245" s="23" t="str">
        <f ca="1">OFFSET(CT!$A$1,INT(ROW()/2)+1,IF(MOD(ROW(),2)=0,COLUMN(CT!D242)-1,COLUMN(CT!E242)-1))</f>
        <v>6271</v>
      </c>
      <c r="E245" s="78">
        <f ca="1">IF(MOD(ROW(),2)=0,OFFSET(CT!$A$1,INT(ROW()/2)+1,COLUMN(CT!H242)-1),0)</f>
        <v>0</v>
      </c>
      <c r="F245" s="78">
        <f ca="1">IF(MOD(ROW(),2)=1,OFFSET(CT!$A$1,INT(ROW()/2)+1,COLUMN(CT!H242)-1),0)</f>
        <v>8611709</v>
      </c>
      <c r="G245" s="153" t="str">
        <f ca="1">IF(OFFSET(CT!$A$1,INT(ROW()/2)+1,COLUMN(CT!N242)-1)="No","False","True")</f>
        <v>True</v>
      </c>
    </row>
    <row r="246" spans="1:7" x14ac:dyDescent="0.3">
      <c r="A246" s="77">
        <f ca="1">IF(MOD(ROW(),2)=0,OFFSET(CT!$A$1,INT(ROW()/2)+1,COLUMN(CT!A243)-1),"")</f>
        <v>45322</v>
      </c>
      <c r="B246" s="77" t="str">
        <f ca="1">IF(MOD(ROW(),2)=0,OFFSET(CT!$A$1,INT(ROW()/2)+1,COLUMN(CT!B243)-1),"")</f>
        <v>TH3</v>
      </c>
      <c r="C246" s="77" t="str">
        <f ca="1">IF(MOD(ROW(),2)=0,OFFSET(CT!$A$1,INT(ROW()/2)+1,COLUMN(CT!C243)-1),"")</f>
        <v>Kết chuyển CFNVL vào TK154</v>
      </c>
      <c r="D246" s="23" t="str">
        <f ca="1">OFFSET(CT!$A$1,INT(ROW()/2)+1,IF(MOD(ROW(),2)=0,COLUMN(CT!D243)-1,COLUMN(CT!E243)-1))</f>
        <v>154.01</v>
      </c>
      <c r="E246" s="78">
        <f ca="1">IF(MOD(ROW(),2)=0,OFFSET(CT!$A$1,INT(ROW()/2)+1,COLUMN(CT!H243)-1),0)</f>
        <v>14432200</v>
      </c>
      <c r="F246" s="78">
        <f ca="1">IF(MOD(ROW(),2)=1,OFFSET(CT!$A$1,INT(ROW()/2)+1,COLUMN(CT!H243)-1),0)</f>
        <v>0</v>
      </c>
      <c r="G246" s="153" t="str">
        <f ca="1">IF(OFFSET(CT!$A$1,INT(ROW()/2)+1,COLUMN(CT!N243)-1)="No","False","True")</f>
        <v>True</v>
      </c>
    </row>
    <row r="247" spans="1:7" x14ac:dyDescent="0.3">
      <c r="A247" s="77" t="str">
        <f ca="1">IF(MOD(ROW(),2)=0,OFFSET(CT!$A$1,INT(ROW()/2)+1,COLUMN(CT!A244)-1),"")</f>
        <v/>
      </c>
      <c r="B247" s="77" t="str">
        <f ca="1">IF(MOD(ROW(),2)=0,OFFSET(CT!$A$1,INT(ROW()/2)+1,COLUMN(CT!B244)-1),"")</f>
        <v/>
      </c>
      <c r="C247" s="77" t="str">
        <f ca="1">IF(MOD(ROW(),2)=0,OFFSET(CT!$A$1,INT(ROW()/2)+1,COLUMN(CT!C244)-1),"")</f>
        <v/>
      </c>
      <c r="D247" s="23" t="str">
        <f ca="1">OFFSET(CT!$A$1,INT(ROW()/2)+1,IF(MOD(ROW(),2)=0,COLUMN(CT!D244)-1,COLUMN(CT!E244)-1))</f>
        <v>6211.01</v>
      </c>
      <c r="E247" s="78">
        <f ca="1">IF(MOD(ROW(),2)=0,OFFSET(CT!$A$1,INT(ROW()/2)+1,COLUMN(CT!H244)-1),0)</f>
        <v>0</v>
      </c>
      <c r="F247" s="78">
        <f ca="1">IF(MOD(ROW(),2)=1,OFFSET(CT!$A$1,INT(ROW()/2)+1,COLUMN(CT!H244)-1),0)</f>
        <v>14432200</v>
      </c>
      <c r="G247" s="153" t="str">
        <f ca="1">IF(OFFSET(CT!$A$1,INT(ROW()/2)+1,COLUMN(CT!N244)-1)="No","False","True")</f>
        <v>True</v>
      </c>
    </row>
    <row r="248" spans="1:7" x14ac:dyDescent="0.3">
      <c r="A248" s="77">
        <f ca="1">IF(MOD(ROW(),2)=0,OFFSET(CT!$A$1,INT(ROW()/2)+1,COLUMN(CT!A245)-1),"")</f>
        <v>45322</v>
      </c>
      <c r="B248" s="77" t="str">
        <f ca="1">IF(MOD(ROW(),2)=0,OFFSET(CT!$A$1,INT(ROW()/2)+1,COLUMN(CT!B245)-1),"")</f>
        <v>TH8</v>
      </c>
      <c r="C248" s="77" t="str">
        <f ca="1">IF(MOD(ROW(),2)=0,OFFSET(CT!$A$1,INT(ROW()/2)+1,COLUMN(CT!C245)-1),"")</f>
        <v>Kết chuyển CFGVHB vào TK911</v>
      </c>
      <c r="D248" s="23" t="str">
        <f ca="1">OFFSET(CT!$A$1,INT(ROW()/2)+1,IF(MOD(ROW(),2)=0,COLUMN(CT!D245)-1,COLUMN(CT!E245)-1))</f>
        <v>9111.0102</v>
      </c>
      <c r="E248" s="78">
        <f ca="1">IF(MOD(ROW(),2)=0,OFFSET(CT!$A$1,INT(ROW()/2)+1,COLUMN(CT!H245)-1),0)</f>
        <v>20346200</v>
      </c>
      <c r="F248" s="78">
        <f ca="1">IF(MOD(ROW(),2)=1,OFFSET(CT!$A$1,INT(ROW()/2)+1,COLUMN(CT!H245)-1),0)</f>
        <v>0</v>
      </c>
      <c r="G248" s="153" t="str">
        <f ca="1">IF(OFFSET(CT!$A$1,INT(ROW()/2)+1,COLUMN(CT!N245)-1)="No","False","True")</f>
        <v>True</v>
      </c>
    </row>
    <row r="249" spans="1:7" x14ac:dyDescent="0.3">
      <c r="A249" s="77" t="str">
        <f ca="1">IF(MOD(ROW(),2)=0,OFFSET(CT!$A$1,INT(ROW()/2)+1,COLUMN(CT!A246)-1),"")</f>
        <v/>
      </c>
      <c r="B249" s="77" t="str">
        <f ca="1">IF(MOD(ROW(),2)=0,OFFSET(CT!$A$1,INT(ROW()/2)+1,COLUMN(CT!B246)-1),"")</f>
        <v/>
      </c>
      <c r="C249" s="77" t="str">
        <f ca="1">IF(MOD(ROW(),2)=0,OFFSET(CT!$A$1,INT(ROW()/2)+1,COLUMN(CT!C246)-1),"")</f>
        <v/>
      </c>
      <c r="D249" s="23" t="str">
        <f ca="1">OFFSET(CT!$A$1,INT(ROW()/2)+1,IF(MOD(ROW(),2)=0,COLUMN(CT!D246)-1,COLUMN(CT!E246)-1))</f>
        <v>632.0102</v>
      </c>
      <c r="E249" s="78">
        <f ca="1">IF(MOD(ROW(),2)=0,OFFSET(CT!$A$1,INT(ROW()/2)+1,COLUMN(CT!H246)-1),0)</f>
        <v>0</v>
      </c>
      <c r="F249" s="78">
        <f ca="1">IF(MOD(ROW(),2)=1,OFFSET(CT!$A$1,INT(ROW()/2)+1,COLUMN(CT!H246)-1),0)</f>
        <v>20346200</v>
      </c>
      <c r="G249" s="153" t="str">
        <f ca="1">IF(OFFSET(CT!$A$1,INT(ROW()/2)+1,COLUMN(CT!N246)-1)="No","False","True")</f>
        <v>True</v>
      </c>
    </row>
    <row r="250" spans="1:7" x14ac:dyDescent="0.3">
      <c r="A250" s="77">
        <f ca="1">IF(MOD(ROW(),2)=0,OFFSET(CT!$A$1,INT(ROW()/2)+1,COLUMN(CT!A247)-1),"")</f>
        <v>45322</v>
      </c>
      <c r="B250" s="77" t="str">
        <f ca="1">IF(MOD(ROW(),2)=0,OFFSET(CT!$A$1,INT(ROW()/2)+1,COLUMN(CT!B247)-1),"")</f>
        <v>TH8</v>
      </c>
      <c r="C250" s="77" t="str">
        <f ca="1">IF(MOD(ROW(),2)=0,OFFSET(CT!$A$1,INT(ROW()/2)+1,COLUMN(CT!C247)-1),"")</f>
        <v>Kết chuyển CFGVHB vào TK911</v>
      </c>
      <c r="D250" s="23" t="str">
        <f ca="1">OFFSET(CT!$A$1,INT(ROW()/2)+1,IF(MOD(ROW(),2)=0,COLUMN(CT!D247)-1,COLUMN(CT!E247)-1))</f>
        <v>9111.0202</v>
      </c>
      <c r="E250" s="78">
        <f ca="1">IF(MOD(ROW(),2)=0,OFFSET(CT!$A$1,INT(ROW()/2)+1,COLUMN(CT!H247)-1),0)</f>
        <v>25000000</v>
      </c>
      <c r="F250" s="78">
        <f ca="1">IF(MOD(ROW(),2)=1,OFFSET(CT!$A$1,INT(ROW()/2)+1,COLUMN(CT!H247)-1),0)</f>
        <v>0</v>
      </c>
      <c r="G250" s="153" t="str">
        <f ca="1">IF(OFFSET(CT!$A$1,INT(ROW()/2)+1,COLUMN(CT!N247)-1)="No","False","True")</f>
        <v>True</v>
      </c>
    </row>
    <row r="251" spans="1:7" x14ac:dyDescent="0.3">
      <c r="A251" s="77" t="str">
        <f ca="1">IF(MOD(ROW(),2)=0,OFFSET(CT!$A$1,INT(ROW()/2)+1,COLUMN(CT!A248)-1),"")</f>
        <v/>
      </c>
      <c r="B251" s="77" t="str">
        <f ca="1">IF(MOD(ROW(),2)=0,OFFSET(CT!$A$1,INT(ROW()/2)+1,COLUMN(CT!B248)-1),"")</f>
        <v/>
      </c>
      <c r="C251" s="77" t="str">
        <f ca="1">IF(MOD(ROW(),2)=0,OFFSET(CT!$A$1,INT(ROW()/2)+1,COLUMN(CT!C248)-1),"")</f>
        <v/>
      </c>
      <c r="D251" s="23" t="str">
        <f ca="1">OFFSET(CT!$A$1,INT(ROW()/2)+1,IF(MOD(ROW(),2)=0,COLUMN(CT!D248)-1,COLUMN(CT!E248)-1))</f>
        <v>632.0202</v>
      </c>
      <c r="E251" s="78">
        <f ca="1">IF(MOD(ROW(),2)=0,OFFSET(CT!$A$1,INT(ROW()/2)+1,COLUMN(CT!H248)-1),0)</f>
        <v>0</v>
      </c>
      <c r="F251" s="78">
        <f ca="1">IF(MOD(ROW(),2)=1,OFFSET(CT!$A$1,INT(ROW()/2)+1,COLUMN(CT!H248)-1),0)</f>
        <v>25000000</v>
      </c>
      <c r="G251" s="153" t="str">
        <f ca="1">IF(OFFSET(CT!$A$1,INT(ROW()/2)+1,COLUMN(CT!N248)-1)="No","False","True")</f>
        <v>True</v>
      </c>
    </row>
    <row r="252" spans="1:7" x14ac:dyDescent="0.3">
      <c r="A252" s="77">
        <f ca="1">IF(MOD(ROW(),2)=0,OFFSET(CT!$A$1,INT(ROW()/2)+1,COLUMN(CT!A249)-1),"")</f>
        <v>45322</v>
      </c>
      <c r="B252" s="77" t="str">
        <f ca="1">IF(MOD(ROW(),2)=0,OFFSET(CT!$A$1,INT(ROW()/2)+1,COLUMN(CT!B249)-1),"")</f>
        <v>TH8</v>
      </c>
      <c r="C252" s="77" t="str">
        <f ca="1">IF(MOD(ROW(),2)=0,OFFSET(CT!$A$1,INT(ROW()/2)+1,COLUMN(CT!C249)-1),"")</f>
        <v>Kết chuyển CFGVHB vào TK911</v>
      </c>
      <c r="D252" s="23" t="str">
        <f ca="1">OFFSET(CT!$A$1,INT(ROW()/2)+1,IF(MOD(ROW(),2)=0,COLUMN(CT!D249)-1,COLUMN(CT!E249)-1))</f>
        <v>9111.0101</v>
      </c>
      <c r="E252" s="78">
        <f ca="1">IF(MOD(ROW(),2)=0,OFFSET(CT!$A$1,INT(ROW()/2)+1,COLUMN(CT!H249)-1),0)</f>
        <v>25123700</v>
      </c>
      <c r="F252" s="78">
        <f ca="1">IF(MOD(ROW(),2)=1,OFFSET(CT!$A$1,INT(ROW()/2)+1,COLUMN(CT!H249)-1),0)</f>
        <v>0</v>
      </c>
      <c r="G252" s="153" t="str">
        <f ca="1">IF(OFFSET(CT!$A$1,INT(ROW()/2)+1,COLUMN(CT!N249)-1)="No","False","True")</f>
        <v>True</v>
      </c>
    </row>
    <row r="253" spans="1:7" x14ac:dyDescent="0.3">
      <c r="A253" s="77" t="str">
        <f ca="1">IF(MOD(ROW(),2)=0,OFFSET(CT!$A$1,INT(ROW()/2)+1,COLUMN(CT!A250)-1),"")</f>
        <v/>
      </c>
      <c r="B253" s="77" t="str">
        <f ca="1">IF(MOD(ROW(),2)=0,OFFSET(CT!$A$1,INT(ROW()/2)+1,COLUMN(CT!B250)-1),"")</f>
        <v/>
      </c>
      <c r="C253" s="77" t="str">
        <f ca="1">IF(MOD(ROW(),2)=0,OFFSET(CT!$A$1,INT(ROW()/2)+1,COLUMN(CT!C250)-1),"")</f>
        <v/>
      </c>
      <c r="D253" s="23" t="str">
        <f ca="1">OFFSET(CT!$A$1,INT(ROW()/2)+1,IF(MOD(ROW(),2)=0,COLUMN(CT!D250)-1,COLUMN(CT!E250)-1))</f>
        <v>632.0101</v>
      </c>
      <c r="E253" s="78">
        <f ca="1">IF(MOD(ROW(),2)=0,OFFSET(CT!$A$1,INT(ROW()/2)+1,COLUMN(CT!H250)-1),0)</f>
        <v>0</v>
      </c>
      <c r="F253" s="78">
        <f ca="1">IF(MOD(ROW(),2)=1,OFFSET(CT!$A$1,INT(ROW()/2)+1,COLUMN(CT!H250)-1),0)</f>
        <v>25123700</v>
      </c>
      <c r="G253" s="153" t="str">
        <f ca="1">IF(OFFSET(CT!$A$1,INT(ROW()/2)+1,COLUMN(CT!N250)-1)="No","False","True")</f>
        <v>True</v>
      </c>
    </row>
    <row r="254" spans="1:7" x14ac:dyDescent="0.3">
      <c r="A254" s="77">
        <f ca="1">IF(MOD(ROW(),2)=0,OFFSET(CT!$A$1,INT(ROW()/2)+1,COLUMN(CT!A251)-1),"")</f>
        <v>45322</v>
      </c>
      <c r="B254" s="77" t="str">
        <f ca="1">IF(MOD(ROW(),2)=0,OFFSET(CT!$A$1,INT(ROW()/2)+1,COLUMN(CT!B251)-1),"")</f>
        <v>TH9</v>
      </c>
      <c r="C254" s="77" t="str">
        <f ca="1">IF(MOD(ROW(),2)=0,OFFSET(CT!$A$1,INT(ROW()/2)+1,COLUMN(CT!C251)-1),"")</f>
        <v>Kết chuyển Dthu vào TK911</v>
      </c>
      <c r="D254" s="23" t="str">
        <f ca="1">OFFSET(CT!$A$1,INT(ROW()/2)+1,IF(MOD(ROW(),2)=0,COLUMN(CT!D251)-1,COLUMN(CT!E251)-1))</f>
        <v>5112.0102</v>
      </c>
      <c r="E254" s="78">
        <f ca="1">IF(MOD(ROW(),2)=0,OFFSET(CT!$A$1,INT(ROW()/2)+1,COLUMN(CT!H251)-1),0)</f>
        <v>28000000</v>
      </c>
      <c r="F254" s="78">
        <f ca="1">IF(MOD(ROW(),2)=1,OFFSET(CT!$A$1,INT(ROW()/2)+1,COLUMN(CT!H251)-1),0)</f>
        <v>0</v>
      </c>
      <c r="G254" s="153" t="str">
        <f ca="1">IF(OFFSET(CT!$A$1,INT(ROW()/2)+1,COLUMN(CT!N251)-1)="No","False","True")</f>
        <v>True</v>
      </c>
    </row>
    <row r="255" spans="1:7" x14ac:dyDescent="0.3">
      <c r="A255" s="77" t="str">
        <f ca="1">IF(MOD(ROW(),2)=0,OFFSET(CT!$A$1,INT(ROW()/2)+1,COLUMN(CT!A252)-1),"")</f>
        <v/>
      </c>
      <c r="B255" s="77" t="str">
        <f ca="1">IF(MOD(ROW(),2)=0,OFFSET(CT!$A$1,INT(ROW()/2)+1,COLUMN(CT!B252)-1),"")</f>
        <v/>
      </c>
      <c r="C255" s="77" t="str">
        <f ca="1">IF(MOD(ROW(),2)=0,OFFSET(CT!$A$1,INT(ROW()/2)+1,COLUMN(CT!C252)-1),"")</f>
        <v/>
      </c>
      <c r="D255" s="23" t="str">
        <f ca="1">OFFSET(CT!$A$1,INT(ROW()/2)+1,IF(MOD(ROW(),2)=0,COLUMN(CT!D252)-1,COLUMN(CT!E252)-1))</f>
        <v>9111.0102</v>
      </c>
      <c r="E255" s="78">
        <f ca="1">IF(MOD(ROW(),2)=0,OFFSET(CT!$A$1,INT(ROW()/2)+1,COLUMN(CT!H252)-1),0)</f>
        <v>0</v>
      </c>
      <c r="F255" s="78">
        <f ca="1">IF(MOD(ROW(),2)=1,OFFSET(CT!$A$1,INT(ROW()/2)+1,COLUMN(CT!H252)-1),0)</f>
        <v>28000000</v>
      </c>
      <c r="G255" s="153" t="str">
        <f ca="1">IF(OFFSET(CT!$A$1,INT(ROW()/2)+1,COLUMN(CT!N252)-1)="No","False","True")</f>
        <v>True</v>
      </c>
    </row>
    <row r="256" spans="1:7" x14ac:dyDescent="0.3">
      <c r="A256" s="77">
        <f ca="1">IF(MOD(ROW(),2)=0,OFFSET(CT!$A$1,INT(ROW()/2)+1,COLUMN(CT!A253)-1),"")</f>
        <v>45322</v>
      </c>
      <c r="B256" s="77" t="str">
        <f ca="1">IF(MOD(ROW(),2)=0,OFFSET(CT!$A$1,INT(ROW()/2)+1,COLUMN(CT!B253)-1),"")</f>
        <v>TH9</v>
      </c>
      <c r="C256" s="77" t="str">
        <f ca="1">IF(MOD(ROW(),2)=0,OFFSET(CT!$A$1,INT(ROW()/2)+1,COLUMN(CT!C253)-1),"")</f>
        <v>Kết chuyển Dthu vào TK911</v>
      </c>
      <c r="D256" s="23" t="str">
        <f ca="1">OFFSET(CT!$A$1,INT(ROW()/2)+1,IF(MOD(ROW(),2)=0,COLUMN(CT!D253)-1,COLUMN(CT!E253)-1))</f>
        <v>5112.0101</v>
      </c>
      <c r="E256" s="78">
        <f ca="1">IF(MOD(ROW(),2)=0,OFFSET(CT!$A$1,INT(ROW()/2)+1,COLUMN(CT!H253)-1),0)</f>
        <v>30000000</v>
      </c>
      <c r="F256" s="78">
        <f ca="1">IF(MOD(ROW(),2)=1,OFFSET(CT!$A$1,INT(ROW()/2)+1,COLUMN(CT!H253)-1),0)</f>
        <v>0</v>
      </c>
      <c r="G256" s="153" t="str">
        <f ca="1">IF(OFFSET(CT!$A$1,INT(ROW()/2)+1,COLUMN(CT!N253)-1)="No","False","True")</f>
        <v>True</v>
      </c>
    </row>
    <row r="257" spans="1:7" x14ac:dyDescent="0.3">
      <c r="A257" s="77" t="str">
        <f ca="1">IF(MOD(ROW(),2)=0,OFFSET(CT!$A$1,INT(ROW()/2)+1,COLUMN(CT!A254)-1),"")</f>
        <v/>
      </c>
      <c r="B257" s="77" t="str">
        <f ca="1">IF(MOD(ROW(),2)=0,OFFSET(CT!$A$1,INT(ROW()/2)+1,COLUMN(CT!B254)-1),"")</f>
        <v/>
      </c>
      <c r="C257" s="77" t="str">
        <f ca="1">IF(MOD(ROW(),2)=0,OFFSET(CT!$A$1,INT(ROW()/2)+1,COLUMN(CT!C254)-1),"")</f>
        <v/>
      </c>
      <c r="D257" s="23" t="str">
        <f ca="1">OFFSET(CT!$A$1,INT(ROW()/2)+1,IF(MOD(ROW(),2)=0,COLUMN(CT!D254)-1,COLUMN(CT!E254)-1))</f>
        <v>9111.0101</v>
      </c>
      <c r="E257" s="78">
        <f ca="1">IF(MOD(ROW(),2)=0,OFFSET(CT!$A$1,INT(ROW()/2)+1,COLUMN(CT!H254)-1),0)</f>
        <v>0</v>
      </c>
      <c r="F257" s="78">
        <f ca="1">IF(MOD(ROW(),2)=1,OFFSET(CT!$A$1,INT(ROW()/2)+1,COLUMN(CT!H254)-1),0)</f>
        <v>30000000</v>
      </c>
      <c r="G257" s="153" t="str">
        <f ca="1">IF(OFFSET(CT!$A$1,INT(ROW()/2)+1,COLUMN(CT!N254)-1)="No","False","True")</f>
        <v>True</v>
      </c>
    </row>
    <row r="258" spans="1:7" x14ac:dyDescent="0.3">
      <c r="A258" s="77">
        <f ca="1">IF(MOD(ROW(),2)=0,OFFSET(CT!$A$1,INT(ROW()/2)+1,COLUMN(CT!A255)-1),"")</f>
        <v>45322</v>
      </c>
      <c r="B258" s="77" t="str">
        <f ca="1">IF(MOD(ROW(),2)=0,OFFSET(CT!$A$1,INT(ROW()/2)+1,COLUMN(CT!B255)-1),"")</f>
        <v>TH9</v>
      </c>
      <c r="C258" s="77" t="str">
        <f ca="1">IF(MOD(ROW(),2)=0,OFFSET(CT!$A$1,INT(ROW()/2)+1,COLUMN(CT!C255)-1),"")</f>
        <v>Kết chuyển Dthu vào TK911</v>
      </c>
      <c r="D258" s="23" t="str">
        <f ca="1">OFFSET(CT!$A$1,INT(ROW()/2)+1,IF(MOD(ROW(),2)=0,COLUMN(CT!D255)-1,COLUMN(CT!E255)-1))</f>
        <v>5112.0202</v>
      </c>
      <c r="E258" s="78">
        <f ca="1">IF(MOD(ROW(),2)=0,OFFSET(CT!$A$1,INT(ROW()/2)+1,COLUMN(CT!H255)-1),0)</f>
        <v>30000000</v>
      </c>
      <c r="F258" s="78">
        <f ca="1">IF(MOD(ROW(),2)=1,OFFSET(CT!$A$1,INT(ROW()/2)+1,COLUMN(CT!H255)-1),0)</f>
        <v>0</v>
      </c>
      <c r="G258" s="153" t="str">
        <f ca="1">IF(OFFSET(CT!$A$1,INT(ROW()/2)+1,COLUMN(CT!N255)-1)="No","False","True")</f>
        <v>True</v>
      </c>
    </row>
    <row r="259" spans="1:7" x14ac:dyDescent="0.3">
      <c r="A259" s="77" t="str">
        <f ca="1">IF(MOD(ROW(),2)=0,OFFSET(CT!$A$1,INT(ROW()/2)+1,COLUMN(CT!A256)-1),"")</f>
        <v/>
      </c>
      <c r="B259" s="77" t="str">
        <f ca="1">IF(MOD(ROW(),2)=0,OFFSET(CT!$A$1,INT(ROW()/2)+1,COLUMN(CT!B256)-1),"")</f>
        <v/>
      </c>
      <c r="C259" s="77" t="str">
        <f ca="1">IF(MOD(ROW(),2)=0,OFFSET(CT!$A$1,INT(ROW()/2)+1,COLUMN(CT!C256)-1),"")</f>
        <v/>
      </c>
      <c r="D259" s="23" t="str">
        <f ca="1">OFFSET(CT!$A$1,INT(ROW()/2)+1,IF(MOD(ROW(),2)=0,COLUMN(CT!D256)-1,COLUMN(CT!E256)-1))</f>
        <v>9111.0202</v>
      </c>
      <c r="E259" s="78">
        <f ca="1">IF(MOD(ROW(),2)=0,OFFSET(CT!$A$1,INT(ROW()/2)+1,COLUMN(CT!H256)-1),0)</f>
        <v>0</v>
      </c>
      <c r="F259" s="78">
        <f ca="1">IF(MOD(ROW(),2)=1,OFFSET(CT!$A$1,INT(ROW()/2)+1,COLUMN(CT!H256)-1),0)</f>
        <v>30000000</v>
      </c>
      <c r="G259" s="153" t="str">
        <f ca="1">IF(OFFSET(CT!$A$1,INT(ROW()/2)+1,COLUMN(CT!N256)-1)="No","False","True")</f>
        <v>True</v>
      </c>
    </row>
    <row r="260" spans="1:7" x14ac:dyDescent="0.3">
      <c r="A260" s="77">
        <f ca="1">IF(MOD(ROW(),2)=0,OFFSET(CT!$A$1,INT(ROW()/2)+1,COLUMN(CT!A257)-1),"")</f>
        <v>45322</v>
      </c>
      <c r="B260" s="77" t="str">
        <f ca="1">IF(MOD(ROW(),2)=0,OFFSET(CT!$A$1,INT(ROW()/2)+1,COLUMN(CT!B257)-1),"")</f>
        <v>TH5</v>
      </c>
      <c r="C260" s="77" t="str">
        <f ca="1">IF(MOD(ROW(),2)=0,OFFSET(CT!$A$1,INT(ROW()/2)+1,COLUMN(CT!C257)-1),"")</f>
        <v>Kết chuyển CFC vào TK154</v>
      </c>
      <c r="D260" s="23" t="str">
        <f ca="1">OFFSET(CT!$A$1,INT(ROW()/2)+1,IF(MOD(ROW(),2)=0,COLUMN(CT!D257)-1,COLUMN(CT!E257)-1))</f>
        <v>154.01</v>
      </c>
      <c r="E260" s="78">
        <f ca="1">IF(MOD(ROW(),2)=0,OFFSET(CT!$A$1,INT(ROW()/2)+1,COLUMN(CT!H257)-1),0)</f>
        <v>34088291</v>
      </c>
      <c r="F260" s="78">
        <f ca="1">IF(MOD(ROW(),2)=1,OFFSET(CT!$A$1,INT(ROW()/2)+1,COLUMN(CT!H257)-1),0)</f>
        <v>0</v>
      </c>
      <c r="G260" s="153" t="str">
        <f ca="1">IF(OFFSET(CT!$A$1,INT(ROW()/2)+1,COLUMN(CT!N257)-1)="No","False","True")</f>
        <v>True</v>
      </c>
    </row>
    <row r="261" spans="1:7" x14ac:dyDescent="0.3">
      <c r="A261" s="77" t="str">
        <f ca="1">IF(MOD(ROW(),2)=0,OFFSET(CT!$A$1,INT(ROW()/2)+1,COLUMN(CT!A258)-1),"")</f>
        <v/>
      </c>
      <c r="B261" s="77" t="str">
        <f ca="1">IF(MOD(ROW(),2)=0,OFFSET(CT!$A$1,INT(ROW()/2)+1,COLUMN(CT!B258)-1),"")</f>
        <v/>
      </c>
      <c r="C261" s="77" t="str">
        <f ca="1">IF(MOD(ROW(),2)=0,OFFSET(CT!$A$1,INT(ROW()/2)+1,COLUMN(CT!C258)-1),"")</f>
        <v/>
      </c>
      <c r="D261" s="23" t="str">
        <f ca="1">OFFSET(CT!$A$1,INT(ROW()/2)+1,IF(MOD(ROW(),2)=0,COLUMN(CT!D258)-1,COLUMN(CT!E258)-1))</f>
        <v>6271</v>
      </c>
      <c r="E261" s="78">
        <f ca="1">IF(MOD(ROW(),2)=0,OFFSET(CT!$A$1,INT(ROW()/2)+1,COLUMN(CT!H258)-1),0)</f>
        <v>0</v>
      </c>
      <c r="F261" s="78">
        <f ca="1">IF(MOD(ROW(),2)=1,OFFSET(CT!$A$1,INT(ROW()/2)+1,COLUMN(CT!H258)-1),0)</f>
        <v>34088291</v>
      </c>
      <c r="G261" s="153" t="str">
        <f ca="1">IF(OFFSET(CT!$A$1,INT(ROW()/2)+1,COLUMN(CT!N258)-1)="No","False","True")</f>
        <v>True</v>
      </c>
    </row>
    <row r="262" spans="1:7" x14ac:dyDescent="0.3">
      <c r="A262" s="77">
        <f ca="1">IF(MOD(ROW(),2)=0,OFFSET(CT!$A$1,INT(ROW()/2)+1,COLUMN(CT!A259)-1),"")</f>
        <v>45322</v>
      </c>
      <c r="B262" s="77" t="str">
        <f ca="1">IF(MOD(ROW(),2)=0,OFFSET(CT!$A$1,INT(ROW()/2)+1,COLUMN(CT!B259)-1),"")</f>
        <v>TH1</v>
      </c>
      <c r="C262" s="77" t="str">
        <f ca="1">IF(MOD(ROW(),2)=0,OFFSET(CT!$A$1,INT(ROW()/2)+1,COLUMN(CT!C259)-1),"")</f>
        <v>Tính lương vào chi phí</v>
      </c>
      <c r="D262" s="23" t="str">
        <f ca="1">OFFSET(CT!$A$1,INT(ROW()/2)+1,IF(MOD(ROW(),2)=0,COLUMN(CT!D259)-1,COLUMN(CT!E259)-1))</f>
        <v>6271</v>
      </c>
      <c r="E262" s="78">
        <f ca="1">IF(MOD(ROW(),2)=0,OFFSET(CT!$A$1,INT(ROW()/2)+1,COLUMN(CT!H259)-1),0)</f>
        <v>35000000</v>
      </c>
      <c r="F262" s="78">
        <f ca="1">IF(MOD(ROW(),2)=1,OFFSET(CT!$A$1,INT(ROW()/2)+1,COLUMN(CT!H259)-1),0)</f>
        <v>0</v>
      </c>
      <c r="G262" s="153" t="str">
        <f ca="1">IF(OFFSET(CT!$A$1,INT(ROW()/2)+1,COLUMN(CT!N259)-1)="No","False","True")</f>
        <v>True</v>
      </c>
    </row>
    <row r="263" spans="1:7" x14ac:dyDescent="0.3">
      <c r="A263" s="77" t="str">
        <f ca="1">IF(MOD(ROW(),2)=0,OFFSET(CT!$A$1,INT(ROW()/2)+1,COLUMN(CT!A260)-1),"")</f>
        <v/>
      </c>
      <c r="B263" s="77" t="str">
        <f ca="1">IF(MOD(ROW(),2)=0,OFFSET(CT!$A$1,INT(ROW()/2)+1,COLUMN(CT!B260)-1),"")</f>
        <v/>
      </c>
      <c r="C263" s="77" t="str">
        <f ca="1">IF(MOD(ROW(),2)=0,OFFSET(CT!$A$1,INT(ROW()/2)+1,COLUMN(CT!C260)-1),"")</f>
        <v/>
      </c>
      <c r="D263" s="23" t="str">
        <f ca="1">OFFSET(CT!$A$1,INT(ROW()/2)+1,IF(MOD(ROW(),2)=0,COLUMN(CT!D260)-1,COLUMN(CT!E260)-1))</f>
        <v>3348.01</v>
      </c>
      <c r="E263" s="78">
        <f ca="1">IF(MOD(ROW(),2)=0,OFFSET(CT!$A$1,INT(ROW()/2)+1,COLUMN(CT!H260)-1),0)</f>
        <v>0</v>
      </c>
      <c r="F263" s="78">
        <f ca="1">IF(MOD(ROW(),2)=1,OFFSET(CT!$A$1,INT(ROW()/2)+1,COLUMN(CT!H260)-1),0)</f>
        <v>35000000</v>
      </c>
      <c r="G263" s="153" t="str">
        <f ca="1">IF(OFFSET(CT!$A$1,INT(ROW()/2)+1,COLUMN(CT!N260)-1)="No","False","True")</f>
        <v>True</v>
      </c>
    </row>
    <row r="264" spans="1:7" x14ac:dyDescent="0.3">
      <c r="A264" s="77">
        <f ca="1">IF(MOD(ROW(),2)=0,OFFSET(CT!$A$1,INT(ROW()/2)+1,COLUMN(CT!A261)-1),"")</f>
        <v>45322</v>
      </c>
      <c r="B264" s="77" t="str">
        <f ca="1">IF(MOD(ROW(),2)=0,OFFSET(CT!$A$1,INT(ROW()/2)+1,COLUMN(CT!B261)-1),"")</f>
        <v>TH1</v>
      </c>
      <c r="C264" s="77" t="str">
        <f ca="1">IF(MOD(ROW(),2)=0,OFFSET(CT!$A$1,INT(ROW()/2)+1,COLUMN(CT!C261)-1),"")</f>
        <v>Tính lương vào chi phí</v>
      </c>
      <c r="D264" s="23" t="str">
        <f ca="1">OFFSET(CT!$A$1,INT(ROW()/2)+1,IF(MOD(ROW(),2)=0,COLUMN(CT!D261)-1,COLUMN(CT!E261)-1))</f>
        <v>622.01</v>
      </c>
      <c r="E264" s="78">
        <f ca="1">IF(MOD(ROW(),2)=0,OFFSET(CT!$A$1,INT(ROW()/2)+1,COLUMN(CT!H261)-1),0)</f>
        <v>40000000</v>
      </c>
      <c r="F264" s="78">
        <f ca="1">IF(MOD(ROW(),2)=1,OFFSET(CT!$A$1,INT(ROW()/2)+1,COLUMN(CT!H261)-1),0)</f>
        <v>0</v>
      </c>
      <c r="G264" s="153" t="str">
        <f ca="1">IF(OFFSET(CT!$A$1,INT(ROW()/2)+1,COLUMN(CT!N261)-1)="No","False","True")</f>
        <v>True</v>
      </c>
    </row>
    <row r="265" spans="1:7" x14ac:dyDescent="0.3">
      <c r="A265" s="77" t="str">
        <f ca="1">IF(MOD(ROW(),2)=0,OFFSET(CT!$A$1,INT(ROW()/2)+1,COLUMN(CT!A262)-1),"")</f>
        <v/>
      </c>
      <c r="B265" s="77" t="str">
        <f ca="1">IF(MOD(ROW(),2)=0,OFFSET(CT!$A$1,INT(ROW()/2)+1,COLUMN(CT!B262)-1),"")</f>
        <v/>
      </c>
      <c r="C265" s="77" t="str">
        <f ca="1">IF(MOD(ROW(),2)=0,OFFSET(CT!$A$1,INT(ROW()/2)+1,COLUMN(CT!C262)-1),"")</f>
        <v/>
      </c>
      <c r="D265" s="23" t="str">
        <f ca="1">OFFSET(CT!$A$1,INT(ROW()/2)+1,IF(MOD(ROW(),2)=0,COLUMN(CT!D262)-1,COLUMN(CT!E262)-1))</f>
        <v>3341.01</v>
      </c>
      <c r="E265" s="78">
        <f ca="1">IF(MOD(ROW(),2)=0,OFFSET(CT!$A$1,INT(ROW()/2)+1,COLUMN(CT!H262)-1),0)</f>
        <v>0</v>
      </c>
      <c r="F265" s="78">
        <f ca="1">IF(MOD(ROW(),2)=1,OFFSET(CT!$A$1,INT(ROW()/2)+1,COLUMN(CT!H262)-1),0)</f>
        <v>40000000</v>
      </c>
      <c r="G265" s="153" t="str">
        <f ca="1">IF(OFFSET(CT!$A$1,INT(ROW()/2)+1,COLUMN(CT!N262)-1)="No","False","True")</f>
        <v>True</v>
      </c>
    </row>
    <row r="266" spans="1:7" x14ac:dyDescent="0.3">
      <c r="A266" s="77">
        <f ca="1">IF(MOD(ROW(),2)=0,OFFSET(CT!$A$1,INT(ROW()/2)+1,COLUMN(CT!A263)-1),"")</f>
        <v>45322</v>
      </c>
      <c r="B266" s="77" t="str">
        <f ca="1">IF(MOD(ROW(),2)=0,OFFSET(CT!$A$1,INT(ROW()/2)+1,COLUMN(CT!B263)-1),"")</f>
        <v>TH1</v>
      </c>
      <c r="C266" s="77" t="str">
        <f ca="1">IF(MOD(ROW(),2)=0,OFFSET(CT!$A$1,INT(ROW()/2)+1,COLUMN(CT!C263)-1),"")</f>
        <v>Tính lương vào chi phí</v>
      </c>
      <c r="D266" s="23" t="str">
        <f ca="1">OFFSET(CT!$A$1,INT(ROW()/2)+1,IF(MOD(ROW(),2)=0,COLUMN(CT!D263)-1,COLUMN(CT!E263)-1))</f>
        <v>622.02</v>
      </c>
      <c r="E266" s="78">
        <f ca="1">IF(MOD(ROW(),2)=0,OFFSET(CT!$A$1,INT(ROW()/2)+1,COLUMN(CT!H263)-1),0)</f>
        <v>40000000</v>
      </c>
      <c r="F266" s="78">
        <f ca="1">IF(MOD(ROW(),2)=1,OFFSET(CT!$A$1,INT(ROW()/2)+1,COLUMN(CT!H263)-1),0)</f>
        <v>0</v>
      </c>
      <c r="G266" s="153" t="str">
        <f ca="1">IF(OFFSET(CT!$A$1,INT(ROW()/2)+1,COLUMN(CT!N263)-1)="No","False","True")</f>
        <v>True</v>
      </c>
    </row>
    <row r="267" spans="1:7" x14ac:dyDescent="0.3">
      <c r="A267" s="77" t="str">
        <f ca="1">IF(MOD(ROW(),2)=0,OFFSET(CT!$A$1,INT(ROW()/2)+1,COLUMN(CT!A264)-1),"")</f>
        <v/>
      </c>
      <c r="B267" s="77" t="str">
        <f ca="1">IF(MOD(ROW(),2)=0,OFFSET(CT!$A$1,INT(ROW()/2)+1,COLUMN(CT!B264)-1),"")</f>
        <v/>
      </c>
      <c r="C267" s="77" t="str">
        <f ca="1">IF(MOD(ROW(),2)=0,OFFSET(CT!$A$1,INT(ROW()/2)+1,COLUMN(CT!C264)-1),"")</f>
        <v/>
      </c>
      <c r="D267" s="23" t="str">
        <f ca="1">OFFSET(CT!$A$1,INT(ROW()/2)+1,IF(MOD(ROW(),2)=0,COLUMN(CT!D264)-1,COLUMN(CT!E264)-1))</f>
        <v>3341.02</v>
      </c>
      <c r="E267" s="78">
        <f ca="1">IF(MOD(ROW(),2)=0,OFFSET(CT!$A$1,INT(ROW()/2)+1,COLUMN(CT!H264)-1),0)</f>
        <v>0</v>
      </c>
      <c r="F267" s="78">
        <f ca="1">IF(MOD(ROW(),2)=1,OFFSET(CT!$A$1,INT(ROW()/2)+1,COLUMN(CT!H264)-1),0)</f>
        <v>40000000</v>
      </c>
      <c r="G267" s="153" t="str">
        <f ca="1">IF(OFFSET(CT!$A$1,INT(ROW()/2)+1,COLUMN(CT!N264)-1)="No","False","True")</f>
        <v>True</v>
      </c>
    </row>
    <row r="268" spans="1:7" x14ac:dyDescent="0.3">
      <c r="A268" s="77">
        <f ca="1">IF(MOD(ROW(),2)=0,OFFSET(CT!$A$1,INT(ROW()/2)+1,COLUMN(CT!A265)-1),"")</f>
        <v>45322</v>
      </c>
      <c r="B268" s="77" t="str">
        <f ca="1">IF(MOD(ROW(),2)=0,OFFSET(CT!$A$1,INT(ROW()/2)+1,COLUMN(CT!B265)-1),"")</f>
        <v>TH1</v>
      </c>
      <c r="C268" s="77" t="str">
        <f ca="1">IF(MOD(ROW(),2)=0,OFFSET(CT!$A$1,INT(ROW()/2)+1,COLUMN(CT!C265)-1),"")</f>
        <v>Tính lương vào chi phí</v>
      </c>
      <c r="D268" s="23" t="str">
        <f ca="1">OFFSET(CT!$A$1,INT(ROW()/2)+1,IF(MOD(ROW(),2)=0,COLUMN(CT!D265)-1,COLUMN(CT!E265)-1))</f>
        <v>622.03</v>
      </c>
      <c r="E268" s="78">
        <f ca="1">IF(MOD(ROW(),2)=0,OFFSET(CT!$A$1,INT(ROW()/2)+1,COLUMN(CT!H265)-1),0)</f>
        <v>40000000</v>
      </c>
      <c r="F268" s="78">
        <f ca="1">IF(MOD(ROW(),2)=1,OFFSET(CT!$A$1,INT(ROW()/2)+1,COLUMN(CT!H265)-1),0)</f>
        <v>0</v>
      </c>
      <c r="G268" s="153" t="str">
        <f ca="1">IF(OFFSET(CT!$A$1,INT(ROW()/2)+1,COLUMN(CT!N265)-1)="No","False","True")</f>
        <v>True</v>
      </c>
    </row>
    <row r="269" spans="1:7" x14ac:dyDescent="0.3">
      <c r="A269" s="77" t="str">
        <f ca="1">IF(MOD(ROW(),2)=0,OFFSET(CT!$A$1,INT(ROW()/2)+1,COLUMN(CT!A266)-1),"")</f>
        <v/>
      </c>
      <c r="B269" s="77" t="str">
        <f ca="1">IF(MOD(ROW(),2)=0,OFFSET(CT!$A$1,INT(ROW()/2)+1,COLUMN(CT!B266)-1),"")</f>
        <v/>
      </c>
      <c r="C269" s="77" t="str">
        <f ca="1">IF(MOD(ROW(),2)=0,OFFSET(CT!$A$1,INT(ROW()/2)+1,COLUMN(CT!C266)-1),"")</f>
        <v/>
      </c>
      <c r="D269" s="23" t="str">
        <f ca="1">OFFSET(CT!$A$1,INT(ROW()/2)+1,IF(MOD(ROW(),2)=0,COLUMN(CT!D266)-1,COLUMN(CT!E266)-1))</f>
        <v>3341.03</v>
      </c>
      <c r="E269" s="78">
        <f ca="1">IF(MOD(ROW(),2)=0,OFFSET(CT!$A$1,INT(ROW()/2)+1,COLUMN(CT!H266)-1),0)</f>
        <v>0</v>
      </c>
      <c r="F269" s="78">
        <f ca="1">IF(MOD(ROW(),2)=1,OFFSET(CT!$A$1,INT(ROW()/2)+1,COLUMN(CT!H266)-1),0)</f>
        <v>40000000</v>
      </c>
      <c r="G269" s="153" t="str">
        <f ca="1">IF(OFFSET(CT!$A$1,INT(ROW()/2)+1,COLUMN(CT!N266)-1)="No","False","True")</f>
        <v>True</v>
      </c>
    </row>
    <row r="270" spans="1:7" x14ac:dyDescent="0.3">
      <c r="A270" s="77">
        <f ca="1">IF(MOD(ROW(),2)=0,OFFSET(CT!$A$1,INT(ROW()/2)+1,COLUMN(CT!A267)-1),"")</f>
        <v>45322</v>
      </c>
      <c r="B270" s="77" t="str">
        <f ca="1">IF(MOD(ROW(),2)=0,OFFSET(CT!$A$1,INT(ROW()/2)+1,COLUMN(CT!B267)-1),"")</f>
        <v>TH1</v>
      </c>
      <c r="C270" s="77" t="str">
        <f ca="1">IF(MOD(ROW(),2)=0,OFFSET(CT!$A$1,INT(ROW()/2)+1,COLUMN(CT!C267)-1),"")</f>
        <v>Tính lương vào chi phí</v>
      </c>
      <c r="D270" s="23" t="str">
        <f ca="1">OFFSET(CT!$A$1,INT(ROW()/2)+1,IF(MOD(ROW(),2)=0,COLUMN(CT!D267)-1,COLUMN(CT!E267)-1))</f>
        <v>622.04</v>
      </c>
      <c r="E270" s="78">
        <f ca="1">IF(MOD(ROW(),2)=0,OFFSET(CT!$A$1,INT(ROW()/2)+1,COLUMN(CT!H267)-1),0)</f>
        <v>40000000</v>
      </c>
      <c r="F270" s="78">
        <f ca="1">IF(MOD(ROW(),2)=1,OFFSET(CT!$A$1,INT(ROW()/2)+1,COLUMN(CT!H267)-1),0)</f>
        <v>0</v>
      </c>
      <c r="G270" s="153" t="str">
        <f ca="1">IF(OFFSET(CT!$A$1,INT(ROW()/2)+1,COLUMN(CT!N267)-1)="No","False","True")</f>
        <v>True</v>
      </c>
    </row>
    <row r="271" spans="1:7" x14ac:dyDescent="0.3">
      <c r="A271" s="77" t="str">
        <f ca="1">IF(MOD(ROW(),2)=0,OFFSET(CT!$A$1,INT(ROW()/2)+1,COLUMN(CT!A268)-1),"")</f>
        <v/>
      </c>
      <c r="B271" s="77" t="str">
        <f ca="1">IF(MOD(ROW(),2)=0,OFFSET(CT!$A$1,INT(ROW()/2)+1,COLUMN(CT!B268)-1),"")</f>
        <v/>
      </c>
      <c r="C271" s="77" t="str">
        <f ca="1">IF(MOD(ROW(),2)=0,OFFSET(CT!$A$1,INT(ROW()/2)+1,COLUMN(CT!C268)-1),"")</f>
        <v/>
      </c>
      <c r="D271" s="23" t="str">
        <f ca="1">OFFSET(CT!$A$1,INT(ROW()/2)+1,IF(MOD(ROW(),2)=0,COLUMN(CT!D268)-1,COLUMN(CT!E268)-1))</f>
        <v>3341.04</v>
      </c>
      <c r="E271" s="78">
        <f ca="1">IF(MOD(ROW(),2)=0,OFFSET(CT!$A$1,INT(ROW()/2)+1,COLUMN(CT!H268)-1),0)</f>
        <v>0</v>
      </c>
      <c r="F271" s="78">
        <f ca="1">IF(MOD(ROW(),2)=1,OFFSET(CT!$A$1,INT(ROW()/2)+1,COLUMN(CT!H268)-1),0)</f>
        <v>40000000</v>
      </c>
      <c r="G271" s="153" t="str">
        <f ca="1">IF(OFFSET(CT!$A$1,INT(ROW()/2)+1,COLUMN(CT!N268)-1)="No","False","True")</f>
        <v>True</v>
      </c>
    </row>
    <row r="272" spans="1:7" x14ac:dyDescent="0.3">
      <c r="A272" s="77">
        <f ca="1">IF(MOD(ROW(),2)=0,OFFSET(CT!$A$1,INT(ROW()/2)+1,COLUMN(CT!A269)-1),"")</f>
        <v>45322</v>
      </c>
      <c r="B272" s="77" t="str">
        <f ca="1">IF(MOD(ROW(),2)=0,OFFSET(CT!$A$1,INT(ROW()/2)+1,COLUMN(CT!B269)-1),"")</f>
        <v>TH1</v>
      </c>
      <c r="C272" s="77" t="str">
        <f ca="1">IF(MOD(ROW(),2)=0,OFFSET(CT!$A$1,INT(ROW()/2)+1,COLUMN(CT!C269)-1),"")</f>
        <v>Tính lương vào chi phí</v>
      </c>
      <c r="D272" s="23" t="str">
        <f ca="1">OFFSET(CT!$A$1,INT(ROW()/2)+1,IF(MOD(ROW(),2)=0,COLUMN(CT!D269)-1,COLUMN(CT!E269)-1))</f>
        <v>622.05</v>
      </c>
      <c r="E272" s="78">
        <f ca="1">IF(MOD(ROW(),2)=0,OFFSET(CT!$A$1,INT(ROW()/2)+1,COLUMN(CT!H269)-1),0)</f>
        <v>40000000</v>
      </c>
      <c r="F272" s="78">
        <f ca="1">IF(MOD(ROW(),2)=1,OFFSET(CT!$A$1,INT(ROW()/2)+1,COLUMN(CT!H269)-1),0)</f>
        <v>0</v>
      </c>
      <c r="G272" s="153" t="str">
        <f ca="1">IF(OFFSET(CT!$A$1,INT(ROW()/2)+1,COLUMN(CT!N269)-1)="No","False","True")</f>
        <v>True</v>
      </c>
    </row>
    <row r="273" spans="1:7" x14ac:dyDescent="0.3">
      <c r="A273" s="77" t="str">
        <f ca="1">IF(MOD(ROW(),2)=0,OFFSET(CT!$A$1,INT(ROW()/2)+1,COLUMN(CT!A270)-1),"")</f>
        <v/>
      </c>
      <c r="B273" s="77" t="str">
        <f ca="1">IF(MOD(ROW(),2)=0,OFFSET(CT!$A$1,INT(ROW()/2)+1,COLUMN(CT!B270)-1),"")</f>
        <v/>
      </c>
      <c r="C273" s="77" t="str">
        <f ca="1">IF(MOD(ROW(),2)=0,OFFSET(CT!$A$1,INT(ROW()/2)+1,COLUMN(CT!C270)-1),"")</f>
        <v/>
      </c>
      <c r="D273" s="23" t="str">
        <f ca="1">OFFSET(CT!$A$1,INT(ROW()/2)+1,IF(MOD(ROW(),2)=0,COLUMN(CT!D270)-1,COLUMN(CT!E270)-1))</f>
        <v>3341.05</v>
      </c>
      <c r="E273" s="78">
        <f ca="1">IF(MOD(ROW(),2)=0,OFFSET(CT!$A$1,INT(ROW()/2)+1,COLUMN(CT!H270)-1),0)</f>
        <v>0</v>
      </c>
      <c r="F273" s="78">
        <f ca="1">IF(MOD(ROW(),2)=1,OFFSET(CT!$A$1,INT(ROW()/2)+1,COLUMN(CT!H270)-1),0)</f>
        <v>40000000</v>
      </c>
      <c r="G273" s="153" t="str">
        <f ca="1">IF(OFFSET(CT!$A$1,INT(ROW()/2)+1,COLUMN(CT!N270)-1)="No","False","True")</f>
        <v>True</v>
      </c>
    </row>
    <row r="274" spans="1:7" x14ac:dyDescent="0.3">
      <c r="A274" s="77">
        <f ca="1">IF(MOD(ROW(),2)=0,OFFSET(CT!$A$1,INT(ROW()/2)+1,COLUMN(CT!A271)-1),"")</f>
        <v>45322</v>
      </c>
      <c r="B274" s="77" t="str">
        <f ca="1">IF(MOD(ROW(),2)=0,OFFSET(CT!$A$1,INT(ROW()/2)+1,COLUMN(CT!B271)-1),"")</f>
        <v>TH4</v>
      </c>
      <c r="C274" s="77" t="str">
        <f ca="1">IF(MOD(ROW(),2)=0,OFFSET(CT!$A$1,INT(ROW()/2)+1,COLUMN(CT!C271)-1),"")</f>
        <v>Kết chuyển CFNC vào TK154</v>
      </c>
      <c r="D274" s="23" t="str">
        <f ca="1">OFFSET(CT!$A$1,INT(ROW()/2)+1,IF(MOD(ROW(),2)=0,COLUMN(CT!D271)-1,COLUMN(CT!E271)-1))</f>
        <v>154.01</v>
      </c>
      <c r="E274" s="78">
        <f ca="1">IF(MOD(ROW(),2)=0,OFFSET(CT!$A$1,INT(ROW()/2)+1,COLUMN(CT!H271)-1),0)</f>
        <v>48800000</v>
      </c>
      <c r="F274" s="78">
        <f ca="1">IF(MOD(ROW(),2)=1,OFFSET(CT!$A$1,INT(ROW()/2)+1,COLUMN(CT!H271)-1),0)</f>
        <v>0</v>
      </c>
      <c r="G274" s="153" t="str">
        <f ca="1">IF(OFFSET(CT!$A$1,INT(ROW()/2)+1,COLUMN(CT!N271)-1)="No","False","True")</f>
        <v>True</v>
      </c>
    </row>
    <row r="275" spans="1:7" x14ac:dyDescent="0.3">
      <c r="A275" s="77" t="str">
        <f ca="1">IF(MOD(ROW(),2)=0,OFFSET(CT!$A$1,INT(ROW()/2)+1,COLUMN(CT!A272)-1),"")</f>
        <v/>
      </c>
      <c r="B275" s="77" t="str">
        <f ca="1">IF(MOD(ROW(),2)=0,OFFSET(CT!$A$1,INT(ROW()/2)+1,COLUMN(CT!B272)-1),"")</f>
        <v/>
      </c>
      <c r="C275" s="77" t="str">
        <f ca="1">IF(MOD(ROW(),2)=0,OFFSET(CT!$A$1,INT(ROW()/2)+1,COLUMN(CT!C272)-1),"")</f>
        <v/>
      </c>
      <c r="D275" s="23" t="str">
        <f ca="1">OFFSET(CT!$A$1,INT(ROW()/2)+1,IF(MOD(ROW(),2)=0,COLUMN(CT!D272)-1,COLUMN(CT!E272)-1))</f>
        <v>622.01</v>
      </c>
      <c r="E275" s="78">
        <f ca="1">IF(MOD(ROW(),2)=0,OFFSET(CT!$A$1,INT(ROW()/2)+1,COLUMN(CT!H272)-1),0)</f>
        <v>0</v>
      </c>
      <c r="F275" s="78">
        <f ca="1">IF(MOD(ROW(),2)=1,OFFSET(CT!$A$1,INT(ROW()/2)+1,COLUMN(CT!H272)-1),0)</f>
        <v>48800000</v>
      </c>
      <c r="G275" s="153" t="str">
        <f ca="1">IF(OFFSET(CT!$A$1,INT(ROW()/2)+1,COLUMN(CT!N272)-1)="No","False","True")</f>
        <v>True</v>
      </c>
    </row>
    <row r="276" spans="1:7" x14ac:dyDescent="0.3">
      <c r="A276" s="77">
        <f ca="1">IF(MOD(ROW(),2)=0,OFFSET(CT!$A$1,INT(ROW()/2)+1,COLUMN(CT!A273)-1),"")</f>
        <v>45322</v>
      </c>
      <c r="B276" s="77" t="str">
        <f ca="1">IF(MOD(ROW(),2)=0,OFFSET(CT!$A$1,INT(ROW()/2)+1,COLUMN(CT!B273)-1),"")</f>
        <v>TH4</v>
      </c>
      <c r="C276" s="77" t="str">
        <f ca="1">IF(MOD(ROW(),2)=0,OFFSET(CT!$A$1,INT(ROW()/2)+1,COLUMN(CT!C273)-1),"")</f>
        <v>Kết chuyển CFNC vào TK154</v>
      </c>
      <c r="D276" s="23" t="str">
        <f ca="1">OFFSET(CT!$A$1,INT(ROW()/2)+1,IF(MOD(ROW(),2)=0,COLUMN(CT!D273)-1,COLUMN(CT!E273)-1))</f>
        <v>154.02</v>
      </c>
      <c r="E276" s="78">
        <f ca="1">IF(MOD(ROW(),2)=0,OFFSET(CT!$A$1,INT(ROW()/2)+1,COLUMN(CT!H273)-1),0)</f>
        <v>48800000</v>
      </c>
      <c r="F276" s="78">
        <f ca="1">IF(MOD(ROW(),2)=1,OFFSET(CT!$A$1,INT(ROW()/2)+1,COLUMN(CT!H273)-1),0)</f>
        <v>0</v>
      </c>
      <c r="G276" s="153" t="str">
        <f ca="1">IF(OFFSET(CT!$A$1,INT(ROW()/2)+1,COLUMN(CT!N273)-1)="No","False","True")</f>
        <v>True</v>
      </c>
    </row>
    <row r="277" spans="1:7" x14ac:dyDescent="0.3">
      <c r="A277" s="77" t="str">
        <f ca="1">IF(MOD(ROW(),2)=0,OFFSET(CT!$A$1,INT(ROW()/2)+1,COLUMN(CT!A274)-1),"")</f>
        <v/>
      </c>
      <c r="B277" s="77" t="str">
        <f ca="1">IF(MOD(ROW(),2)=0,OFFSET(CT!$A$1,INT(ROW()/2)+1,COLUMN(CT!B274)-1),"")</f>
        <v/>
      </c>
      <c r="C277" s="77" t="str">
        <f ca="1">IF(MOD(ROW(),2)=0,OFFSET(CT!$A$1,INT(ROW()/2)+1,COLUMN(CT!C274)-1),"")</f>
        <v/>
      </c>
      <c r="D277" s="23" t="str">
        <f ca="1">OFFSET(CT!$A$1,INT(ROW()/2)+1,IF(MOD(ROW(),2)=0,COLUMN(CT!D274)-1,COLUMN(CT!E274)-1))</f>
        <v>622.02</v>
      </c>
      <c r="E277" s="78">
        <f ca="1">IF(MOD(ROW(),2)=0,OFFSET(CT!$A$1,INT(ROW()/2)+1,COLUMN(CT!H274)-1),0)</f>
        <v>0</v>
      </c>
      <c r="F277" s="78">
        <f ca="1">IF(MOD(ROW(),2)=1,OFFSET(CT!$A$1,INT(ROW()/2)+1,COLUMN(CT!H274)-1),0)</f>
        <v>48800000</v>
      </c>
      <c r="G277" s="153" t="str">
        <f ca="1">IF(OFFSET(CT!$A$1,INT(ROW()/2)+1,COLUMN(CT!N274)-1)="No","False","True")</f>
        <v>True</v>
      </c>
    </row>
    <row r="278" spans="1:7" x14ac:dyDescent="0.3">
      <c r="A278" s="77">
        <f ca="1">IF(MOD(ROW(),2)=0,OFFSET(CT!$A$1,INT(ROW()/2)+1,COLUMN(CT!A275)-1),"")</f>
        <v>45322</v>
      </c>
      <c r="B278" s="77" t="str">
        <f ca="1">IF(MOD(ROW(),2)=0,OFFSET(CT!$A$1,INT(ROW()/2)+1,COLUMN(CT!B275)-1),"")</f>
        <v>TH4</v>
      </c>
      <c r="C278" s="77" t="str">
        <f ca="1">IF(MOD(ROW(),2)=0,OFFSET(CT!$A$1,INT(ROW()/2)+1,COLUMN(CT!C275)-1),"")</f>
        <v>Kết chuyển CFNC vào TK154</v>
      </c>
      <c r="D278" s="23" t="str">
        <f ca="1">OFFSET(CT!$A$1,INT(ROW()/2)+1,IF(MOD(ROW(),2)=0,COLUMN(CT!D275)-1,COLUMN(CT!E275)-1))</f>
        <v>154.03</v>
      </c>
      <c r="E278" s="78">
        <f ca="1">IF(MOD(ROW(),2)=0,OFFSET(CT!$A$1,INT(ROW()/2)+1,COLUMN(CT!H275)-1),0)</f>
        <v>48800000</v>
      </c>
      <c r="F278" s="78">
        <f ca="1">IF(MOD(ROW(),2)=1,OFFSET(CT!$A$1,INT(ROW()/2)+1,COLUMN(CT!H275)-1),0)</f>
        <v>0</v>
      </c>
      <c r="G278" s="153" t="str">
        <f ca="1">IF(OFFSET(CT!$A$1,INT(ROW()/2)+1,COLUMN(CT!N275)-1)="No","False","True")</f>
        <v>True</v>
      </c>
    </row>
    <row r="279" spans="1:7" x14ac:dyDescent="0.3">
      <c r="A279" s="77" t="str">
        <f ca="1">IF(MOD(ROW(),2)=0,OFFSET(CT!$A$1,INT(ROW()/2)+1,COLUMN(CT!A276)-1),"")</f>
        <v/>
      </c>
      <c r="B279" s="77" t="str">
        <f ca="1">IF(MOD(ROW(),2)=0,OFFSET(CT!$A$1,INT(ROW()/2)+1,COLUMN(CT!B276)-1),"")</f>
        <v/>
      </c>
      <c r="C279" s="77" t="str">
        <f ca="1">IF(MOD(ROW(),2)=0,OFFSET(CT!$A$1,INT(ROW()/2)+1,COLUMN(CT!C276)-1),"")</f>
        <v/>
      </c>
      <c r="D279" s="23" t="str">
        <f ca="1">OFFSET(CT!$A$1,INT(ROW()/2)+1,IF(MOD(ROW(),2)=0,COLUMN(CT!D276)-1,COLUMN(CT!E276)-1))</f>
        <v>622.03</v>
      </c>
      <c r="E279" s="78">
        <f ca="1">IF(MOD(ROW(),2)=0,OFFSET(CT!$A$1,INT(ROW()/2)+1,COLUMN(CT!H276)-1),0)</f>
        <v>0</v>
      </c>
      <c r="F279" s="78">
        <f ca="1">IF(MOD(ROW(),2)=1,OFFSET(CT!$A$1,INT(ROW()/2)+1,COLUMN(CT!H276)-1),0)</f>
        <v>48800000</v>
      </c>
      <c r="G279" s="153" t="str">
        <f ca="1">IF(OFFSET(CT!$A$1,INT(ROW()/2)+1,COLUMN(CT!N276)-1)="No","False","True")</f>
        <v>True</v>
      </c>
    </row>
    <row r="280" spans="1:7" x14ac:dyDescent="0.3">
      <c r="A280" s="77">
        <f ca="1">IF(MOD(ROW(),2)=0,OFFSET(CT!$A$1,INT(ROW()/2)+1,COLUMN(CT!A277)-1),"")</f>
        <v>45322</v>
      </c>
      <c r="B280" s="77" t="str">
        <f ca="1">IF(MOD(ROW(),2)=0,OFFSET(CT!$A$1,INT(ROW()/2)+1,COLUMN(CT!B277)-1),"")</f>
        <v>TH4</v>
      </c>
      <c r="C280" s="77" t="str">
        <f ca="1">IF(MOD(ROW(),2)=0,OFFSET(CT!$A$1,INT(ROW()/2)+1,COLUMN(CT!C277)-1),"")</f>
        <v>Kết chuyển CFNC vào TK154</v>
      </c>
      <c r="D280" s="23" t="str">
        <f ca="1">OFFSET(CT!$A$1,INT(ROW()/2)+1,IF(MOD(ROW(),2)=0,COLUMN(CT!D277)-1,COLUMN(CT!E277)-1))</f>
        <v>154.04</v>
      </c>
      <c r="E280" s="78">
        <f ca="1">IF(MOD(ROW(),2)=0,OFFSET(CT!$A$1,INT(ROW()/2)+1,COLUMN(CT!H277)-1),0)</f>
        <v>48800000</v>
      </c>
      <c r="F280" s="78">
        <f ca="1">IF(MOD(ROW(),2)=1,OFFSET(CT!$A$1,INT(ROW()/2)+1,COLUMN(CT!H277)-1),0)</f>
        <v>0</v>
      </c>
      <c r="G280" s="153" t="str">
        <f ca="1">IF(OFFSET(CT!$A$1,INT(ROW()/2)+1,COLUMN(CT!N277)-1)="No","False","True")</f>
        <v>True</v>
      </c>
    </row>
    <row r="281" spans="1:7" x14ac:dyDescent="0.3">
      <c r="A281" s="77" t="str">
        <f ca="1">IF(MOD(ROW(),2)=0,OFFSET(CT!$A$1,INT(ROW()/2)+1,COLUMN(CT!A278)-1),"")</f>
        <v/>
      </c>
      <c r="B281" s="77" t="str">
        <f ca="1">IF(MOD(ROW(),2)=0,OFFSET(CT!$A$1,INT(ROW()/2)+1,COLUMN(CT!B278)-1),"")</f>
        <v/>
      </c>
      <c r="C281" s="77" t="str">
        <f ca="1">IF(MOD(ROW(),2)=0,OFFSET(CT!$A$1,INT(ROW()/2)+1,COLUMN(CT!C278)-1),"")</f>
        <v/>
      </c>
      <c r="D281" s="23" t="str">
        <f ca="1">OFFSET(CT!$A$1,INT(ROW()/2)+1,IF(MOD(ROW(),2)=0,COLUMN(CT!D278)-1,COLUMN(CT!E278)-1))</f>
        <v>622.04</v>
      </c>
      <c r="E281" s="78">
        <f ca="1">IF(MOD(ROW(),2)=0,OFFSET(CT!$A$1,INT(ROW()/2)+1,COLUMN(CT!H278)-1),0)</f>
        <v>0</v>
      </c>
      <c r="F281" s="78">
        <f ca="1">IF(MOD(ROW(),2)=1,OFFSET(CT!$A$1,INT(ROW()/2)+1,COLUMN(CT!H278)-1),0)</f>
        <v>48800000</v>
      </c>
      <c r="G281" s="153" t="str">
        <f ca="1">IF(OFFSET(CT!$A$1,INT(ROW()/2)+1,COLUMN(CT!N278)-1)="No","False","True")</f>
        <v>True</v>
      </c>
    </row>
    <row r="282" spans="1:7" x14ac:dyDescent="0.3">
      <c r="A282" s="77">
        <f ca="1">IF(MOD(ROW(),2)=0,OFFSET(CT!$A$1,INT(ROW()/2)+1,COLUMN(CT!A279)-1),"")</f>
        <v>45322</v>
      </c>
      <c r="B282" s="77" t="str">
        <f ca="1">IF(MOD(ROW(),2)=0,OFFSET(CT!$A$1,INT(ROW()/2)+1,COLUMN(CT!B279)-1),"")</f>
        <v>TH4</v>
      </c>
      <c r="C282" s="77" t="str">
        <f ca="1">IF(MOD(ROW(),2)=0,OFFSET(CT!$A$1,INT(ROW()/2)+1,COLUMN(CT!C279)-1),"")</f>
        <v>Kết chuyển CFNC vào TK154</v>
      </c>
      <c r="D282" s="23" t="str">
        <f ca="1">OFFSET(CT!$A$1,INT(ROW()/2)+1,IF(MOD(ROW(),2)=0,COLUMN(CT!D279)-1,COLUMN(CT!E279)-1))</f>
        <v>154.05</v>
      </c>
      <c r="E282" s="78">
        <f ca="1">IF(MOD(ROW(),2)=0,OFFSET(CT!$A$1,INT(ROW()/2)+1,COLUMN(CT!H279)-1),0)</f>
        <v>48800000</v>
      </c>
      <c r="F282" s="78">
        <f ca="1">IF(MOD(ROW(),2)=1,OFFSET(CT!$A$1,INT(ROW()/2)+1,COLUMN(CT!H279)-1),0)</f>
        <v>0</v>
      </c>
      <c r="G282" s="153" t="str">
        <f ca="1">IF(OFFSET(CT!$A$1,INT(ROW()/2)+1,COLUMN(CT!N279)-1)="No","False","True")</f>
        <v>True</v>
      </c>
    </row>
    <row r="283" spans="1:7" x14ac:dyDescent="0.3">
      <c r="A283" s="77" t="str">
        <f ca="1">IF(MOD(ROW(),2)=0,OFFSET(CT!$A$1,INT(ROW()/2)+1,COLUMN(CT!A280)-1),"")</f>
        <v/>
      </c>
      <c r="B283" s="77" t="str">
        <f ca="1">IF(MOD(ROW(),2)=0,OFFSET(CT!$A$1,INT(ROW()/2)+1,COLUMN(CT!B280)-1),"")</f>
        <v/>
      </c>
      <c r="C283" s="77" t="str">
        <f ca="1">IF(MOD(ROW(),2)=0,OFFSET(CT!$A$1,INT(ROW()/2)+1,COLUMN(CT!C280)-1),"")</f>
        <v/>
      </c>
      <c r="D283" s="23" t="str">
        <f ca="1">OFFSET(CT!$A$1,INT(ROW()/2)+1,IF(MOD(ROW(),2)=0,COLUMN(CT!D280)-1,COLUMN(CT!E280)-1))</f>
        <v>622.05</v>
      </c>
      <c r="E283" s="78">
        <f ca="1">IF(MOD(ROW(),2)=0,OFFSET(CT!$A$1,INT(ROW()/2)+1,COLUMN(CT!H280)-1),0)</f>
        <v>0</v>
      </c>
      <c r="F283" s="78">
        <f ca="1">IF(MOD(ROW(),2)=1,OFFSET(CT!$A$1,INT(ROW()/2)+1,COLUMN(CT!H280)-1),0)</f>
        <v>48800000</v>
      </c>
      <c r="G283" s="153" t="str">
        <f ca="1">IF(OFFSET(CT!$A$1,INT(ROW()/2)+1,COLUMN(CT!N280)-1)="No","False","True")</f>
        <v>True</v>
      </c>
    </row>
    <row r="284" spans="1:7" s="35" customFormat="1" x14ac:dyDescent="0.3">
      <c r="C284" s="129" t="s">
        <v>838</v>
      </c>
      <c r="E284" s="103">
        <f ca="1">SUBTOTAL(9,E6:E283)</f>
        <v>1236801169</v>
      </c>
      <c r="F284" s="103">
        <f ca="1">SUBTOTAL(9,F6:F283)</f>
        <v>1236801169</v>
      </c>
      <c r="G284" s="129" t="b">
        <v>1</v>
      </c>
    </row>
  </sheetData>
  <autoFilter ref="G5:G284" xr:uid="{2BD5E45C-EED1-470B-8972-79337891C988}">
    <filterColumn colId="0">
      <filters>
        <filter val="True"/>
      </filters>
    </filterColumn>
  </autoFilter>
  <mergeCells count="5">
    <mergeCell ref="A1:F1"/>
    <mergeCell ref="A3:B3"/>
    <mergeCell ref="C3:C4"/>
    <mergeCell ref="D3:D4"/>
    <mergeCell ref="E3:F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13E50-EBB7-4196-B270-E3604BE2C72B}">
  <sheetPr filterMode="1">
    <tabColor theme="9" tint="0.59999389629810485"/>
  </sheetPr>
  <dimension ref="A1:G285"/>
  <sheetViews>
    <sheetView workbookViewId="0">
      <selection activeCell="E62" sqref="E62"/>
    </sheetView>
  </sheetViews>
  <sheetFormatPr defaultRowHeight="13.2" x14ac:dyDescent="0.25"/>
  <cols>
    <col min="1" max="1" width="15.44140625" customWidth="1"/>
    <col min="3" max="3" width="40.44140625" customWidth="1"/>
    <col min="4" max="4" width="20" customWidth="1"/>
    <col min="5" max="5" width="21.77734375" customWidth="1"/>
    <col min="6" max="6" width="18.33203125" customWidth="1"/>
    <col min="7" max="7" width="16.109375" customWidth="1"/>
  </cols>
  <sheetData>
    <row r="1" spans="1:7" ht="21.75" customHeight="1" x14ac:dyDescent="0.25">
      <c r="A1" s="166" t="s">
        <v>852</v>
      </c>
      <c r="B1" s="166"/>
      <c r="C1" s="166"/>
      <c r="D1" s="166"/>
      <c r="E1" s="166"/>
      <c r="F1" s="166"/>
      <c r="G1" s="166"/>
    </row>
    <row r="2" spans="1:7" ht="12.75" customHeight="1" x14ac:dyDescent="0.25">
      <c r="A2" s="133"/>
      <c r="B2" s="133"/>
      <c r="C2" s="133"/>
      <c r="D2" s="133"/>
      <c r="E2" s="133"/>
      <c r="F2" s="133"/>
      <c r="G2" s="133"/>
    </row>
    <row r="3" spans="1:7" x14ac:dyDescent="0.25">
      <c r="A3" s="72"/>
      <c r="B3" s="72"/>
      <c r="C3" s="134"/>
      <c r="D3" s="134"/>
      <c r="E3" s="72"/>
      <c r="F3" s="72"/>
      <c r="G3" s="134"/>
    </row>
    <row r="4" spans="1:7" ht="15.6" x14ac:dyDescent="0.3">
      <c r="A4" s="165" t="s">
        <v>828</v>
      </c>
      <c r="B4" s="165"/>
      <c r="C4" s="165" t="s">
        <v>829</v>
      </c>
      <c r="D4" s="165" t="s">
        <v>853</v>
      </c>
      <c r="E4" s="165" t="s">
        <v>854</v>
      </c>
      <c r="F4" s="165"/>
      <c r="G4" s="3"/>
    </row>
    <row r="5" spans="1:7" ht="15.6" x14ac:dyDescent="0.25">
      <c r="A5" s="76" t="s">
        <v>832</v>
      </c>
      <c r="B5" s="76" t="s">
        <v>833</v>
      </c>
      <c r="C5" s="165"/>
      <c r="D5" s="165"/>
      <c r="E5" s="76" t="s">
        <v>856</v>
      </c>
      <c r="F5" s="76" t="s">
        <v>857</v>
      </c>
      <c r="G5" s="94"/>
    </row>
    <row r="6" spans="1:7" ht="15.6" x14ac:dyDescent="0.25">
      <c r="A6" s="146">
        <v>1</v>
      </c>
      <c r="B6" s="146">
        <v>2</v>
      </c>
      <c r="C6" s="146">
        <v>3</v>
      </c>
      <c r="D6" s="146">
        <v>4</v>
      </c>
      <c r="E6" s="146">
        <v>5</v>
      </c>
      <c r="F6" s="146">
        <v>6</v>
      </c>
      <c r="G6" s="150" t="s">
        <v>858</v>
      </c>
    </row>
    <row r="7" spans="1:7" hidden="1" x14ac:dyDescent="0.25">
      <c r="A7" s="68">
        <f ca="1">IF(MOD(ROW(),2)=1, OFFSET(CT!$A$1,INT(ROW()/2)+1,COLUMN(CT!A3)-1),"")</f>
        <v>45293</v>
      </c>
      <c r="B7" s="68" t="str">
        <f ca="1">IF(MOD(ROW(),2)=1, OFFSET(CT!$A$1,INT(ROW()/2)+1,COLUMN(CT!B3)-1),"")</f>
        <v>01/PT</v>
      </c>
      <c r="C7" s="68" t="str">
        <f ca="1">IF(MOD(ROW(),2)=1, OFFSET(CT!$A$1,INT(ROW()/2)+1,COLUMN(CT!C3)-1),"")</f>
        <v>Thu nợ lô hàng 200</v>
      </c>
      <c r="D7" s="65" t="str">
        <f ca="1">OFFSET(CT!$A$1,INT((ROW()+1)/2),IF(MOD(ROW(),2)=1,COLUMN(CT!$D$5)-1,COLUMN(CT!$E$5)-1))</f>
        <v>1111</v>
      </c>
      <c r="E7" s="69">
        <f ca="1">IF(MOD(ROW(),2)=1,OFFSET(CT!$A$1,INT(ROW()/2)+1,COLUMN(CT!$H$3)-1),0)</f>
        <v>5000000</v>
      </c>
      <c r="F7" s="69">
        <f ca="1">IF(MOD(ROW(),2)=0,OFFSET(CT!$A$1,INT(ROW()/2),COLUMN(CT!$H$3)-1),0)</f>
        <v>0</v>
      </c>
      <c r="G7" s="152" t="str">
        <f ca="1">IF(OFFSET(CT!$A$1,INT((ROW()+1)/2),COLUMN(CT!$N$3)-1)="No","False","True")</f>
        <v>False</v>
      </c>
    </row>
    <row r="8" spans="1:7" hidden="1" x14ac:dyDescent="0.25">
      <c r="A8" s="68" t="str">
        <f ca="1">IF(MOD(ROW(),2)=1, OFFSET(CT!$A$1,INT(ROW()/2)+1,COLUMN(CT!A4)-1),"")</f>
        <v/>
      </c>
      <c r="B8" s="68" t="str">
        <f ca="1">IF(MOD(ROW(),2)=1, OFFSET(CT!$A$1,INT(ROW()/2)+1,COLUMN(CT!B4)-1),"")</f>
        <v/>
      </c>
      <c r="C8" s="68" t="str">
        <f ca="1">IF(MOD(ROW(),2)=1, OFFSET(CT!$A$1,INT(ROW()/2)+1,COLUMN(CT!C4)-1),"")</f>
        <v/>
      </c>
      <c r="D8" s="65" t="str">
        <f ca="1">OFFSET(CT!$A$1,INT((ROW()+1)/2),IF(MOD(ROW(),2)=1,COLUMN(CT!$D$5)-1,COLUMN(CT!$E$5)-1))</f>
        <v>1311.03</v>
      </c>
      <c r="E8" s="69">
        <f ca="1">IF(MOD(ROW(),2)=1,OFFSET(CT!$A$1,INT(ROW()/2)+1,COLUMN(CT!$H$3)-1),0)</f>
        <v>0</v>
      </c>
      <c r="F8" s="69">
        <f ca="1">IF(MOD(ROW(),2)=0,OFFSET(CT!$A$1,INT(ROW()/2),COLUMN(CT!$H$3)-1),0)</f>
        <v>5000000</v>
      </c>
      <c r="G8" s="131" t="str">
        <f ca="1">IF(OFFSET(CT!$A$1,INT((ROW()+1)/2),COLUMN(CT!$N$3)-1)="No","False","True")</f>
        <v>False</v>
      </c>
    </row>
    <row r="9" spans="1:7" hidden="1" x14ac:dyDescent="0.25">
      <c r="A9" s="68">
        <f ca="1">IF(MOD(ROW(),2)=1, OFFSET(CT!$A$1,INT(ROW()/2)+1,COLUMN(CT!A5)-1),"")</f>
        <v>45293</v>
      </c>
      <c r="B9" s="68" t="str">
        <f ca="1">IF(MOD(ROW(),2)=1, OFFSET(CT!$A$1,INT(ROW()/2)+1,COLUMN(CT!B5)-1),"")</f>
        <v>02/PT</v>
      </c>
      <c r="C9" s="68" t="str">
        <f ca="1">IF(MOD(ROW(),2)=1, OFFSET(CT!$A$1,INT(ROW()/2)+1,COLUMN(CT!C5)-1),"")</f>
        <v>Thu nợ lô hàng 212</v>
      </c>
      <c r="D9" s="65" t="str">
        <f ca="1">OFFSET(CT!$A$1,INT((ROW()+1)/2),IF(MOD(ROW(),2)=1,COLUMN(CT!$D$5)-1,COLUMN(CT!$E$5)-1))</f>
        <v>1111</v>
      </c>
      <c r="E9" s="69">
        <f ca="1">IF(MOD(ROW(),2)=1,OFFSET(CT!$A$1,INT(ROW()/2)+1,COLUMN(CT!$H$3)-1),0)</f>
        <v>20000000</v>
      </c>
      <c r="F9" s="69">
        <f ca="1">IF(MOD(ROW(),2)=0,OFFSET(CT!$A$1,INT(ROW()/2),COLUMN(CT!$H$3)-1),0)</f>
        <v>0</v>
      </c>
      <c r="G9" s="131" t="str">
        <f ca="1">IF(OFFSET(CT!$A$1,INT((ROW()+1)/2),COLUMN(CT!$N$3)-1)="No","False","True")</f>
        <v>False</v>
      </c>
    </row>
    <row r="10" spans="1:7" hidden="1" x14ac:dyDescent="0.25">
      <c r="A10" s="68" t="str">
        <f ca="1">IF(MOD(ROW(),2)=1, OFFSET(CT!$A$1,INT(ROW()/2)+1,COLUMN(CT!A6)-1),"")</f>
        <v/>
      </c>
      <c r="B10" s="68" t="str">
        <f ca="1">IF(MOD(ROW(),2)=1, OFFSET(CT!$A$1,INT(ROW()/2)+1,COLUMN(CT!B6)-1),"")</f>
        <v/>
      </c>
      <c r="C10" s="68" t="str">
        <f ca="1">IF(MOD(ROW(),2)=1, OFFSET(CT!$A$1,INT(ROW()/2)+1,COLUMN(CT!C6)-1),"")</f>
        <v/>
      </c>
      <c r="D10" s="65" t="str">
        <f ca="1">OFFSET(CT!$A$1,INT((ROW()+1)/2),IF(MOD(ROW(),2)=1,COLUMN(CT!$D$5)-1,COLUMN(CT!$E$5)-1))</f>
        <v>1311.01</v>
      </c>
      <c r="E10" s="69">
        <f ca="1">IF(MOD(ROW(),2)=1,OFFSET(CT!$A$1,INT(ROW()/2)+1,COLUMN(CT!$H$3)-1),0)</f>
        <v>0</v>
      </c>
      <c r="F10" s="69">
        <f ca="1">IF(MOD(ROW(),2)=0,OFFSET(CT!$A$1,INT(ROW()/2),COLUMN(CT!$H$3)-1),0)</f>
        <v>20000000</v>
      </c>
      <c r="G10" s="131" t="str">
        <f ca="1">IF(OFFSET(CT!$A$1,INT((ROW()+1)/2),COLUMN(CT!$N$3)-1)="No","False","True")</f>
        <v>False</v>
      </c>
    </row>
    <row r="11" spans="1:7" hidden="1" x14ac:dyDescent="0.25">
      <c r="A11" s="68">
        <f ca="1">IF(MOD(ROW(),2)=1, OFFSET(CT!$A$1,INT(ROW()/2)+1,COLUMN(CT!A7)-1),"")</f>
        <v>45295</v>
      </c>
      <c r="B11" s="68" t="str">
        <f ca="1">IF(MOD(ROW(),2)=1, OFFSET(CT!$A$1,INT(ROW()/2)+1,COLUMN(CT!B7)-1),"")</f>
        <v>01/PC</v>
      </c>
      <c r="C11" s="68" t="str">
        <f ca="1">IF(MOD(ROW(),2)=1, OFFSET(CT!$A$1,INT(ROW()/2)+1,COLUMN(CT!C7)-1),"")</f>
        <v>Chi tạm ứng cho Hồ Sĩ Nhật</v>
      </c>
      <c r="D11" s="65" t="str">
        <f ca="1">OFFSET(CT!$A$1,INT((ROW()+1)/2),IF(MOD(ROW(),2)=1,COLUMN(CT!$D$5)-1,COLUMN(CT!$E$5)-1))</f>
        <v>141.0102</v>
      </c>
      <c r="E11" s="69">
        <f ca="1">IF(MOD(ROW(),2)=1,OFFSET(CT!$A$1,INT(ROW()/2)+1,COLUMN(CT!$H$3)-1),0)</f>
        <v>2000000</v>
      </c>
      <c r="F11" s="69">
        <f ca="1">IF(MOD(ROW(),2)=0,OFFSET(CT!$A$1,INT(ROW()/2),COLUMN(CT!$H$3)-1),0)</f>
        <v>0</v>
      </c>
      <c r="G11" s="131" t="str">
        <f ca="1">IF(OFFSET(CT!$A$1,INT((ROW()+1)/2),COLUMN(CT!$N$3)-1)="No","False","True")</f>
        <v>False</v>
      </c>
    </row>
    <row r="12" spans="1:7" hidden="1" x14ac:dyDescent="0.25">
      <c r="A12" s="68" t="str">
        <f ca="1">IF(MOD(ROW(),2)=1, OFFSET(CT!$A$1,INT(ROW()/2)+1,COLUMN(CT!A8)-1),"")</f>
        <v/>
      </c>
      <c r="B12" s="68" t="str">
        <f ca="1">IF(MOD(ROW(),2)=1, OFFSET(CT!$A$1,INT(ROW()/2)+1,COLUMN(CT!B8)-1),"")</f>
        <v/>
      </c>
      <c r="C12" s="68" t="str">
        <f ca="1">IF(MOD(ROW(),2)=1, OFFSET(CT!$A$1,INT(ROW()/2)+1,COLUMN(CT!C8)-1),"")</f>
        <v/>
      </c>
      <c r="D12" s="65" t="str">
        <f ca="1">OFFSET(CT!$A$1,INT((ROW()+1)/2),IF(MOD(ROW(),2)=1,COLUMN(CT!$D$5)-1,COLUMN(CT!$E$5)-1))</f>
        <v>1111</v>
      </c>
      <c r="E12" s="69">
        <f ca="1">IF(MOD(ROW(),2)=1,OFFSET(CT!$A$1,INT(ROW()/2)+1,COLUMN(CT!$H$3)-1),0)</f>
        <v>0</v>
      </c>
      <c r="F12" s="69">
        <f ca="1">IF(MOD(ROW(),2)=0,OFFSET(CT!$A$1,INT(ROW()/2),COLUMN(CT!$H$3)-1),0)</f>
        <v>2000000</v>
      </c>
      <c r="G12" s="131" t="str">
        <f ca="1">IF(OFFSET(CT!$A$1,INT((ROW()+1)/2),COLUMN(CT!$N$3)-1)="No","False","True")</f>
        <v>False</v>
      </c>
    </row>
    <row r="13" spans="1:7" hidden="1" x14ac:dyDescent="0.25">
      <c r="A13" s="68">
        <f ca="1">IF(MOD(ROW(),2)=1, OFFSET(CT!$A$1,INT(ROW()/2)+1,COLUMN(CT!A9)-1),"")</f>
        <v>45295</v>
      </c>
      <c r="B13" s="68" t="str">
        <f ca="1">IF(MOD(ROW(),2)=1, OFFSET(CT!$A$1,INT(ROW()/2)+1,COLUMN(CT!B9)-1),"")</f>
        <v>01/NVL</v>
      </c>
      <c r="C13" s="68" t="str">
        <f ca="1">IF(MOD(ROW(),2)=1, OFFSET(CT!$A$1,INT(ROW()/2)+1,COLUMN(CT!C9)-1),"")</f>
        <v>Thuế GTGT mua gỗ tràm bông vàng</v>
      </c>
      <c r="D13" s="65" t="str">
        <f ca="1">OFFSET(CT!$A$1,INT((ROW()+1)/2),IF(MOD(ROW(),2)=1,COLUMN(CT!$D$5)-1,COLUMN(CT!$E$5)-1))</f>
        <v>1331</v>
      </c>
      <c r="E13" s="69">
        <f ca="1">IF(MOD(ROW(),2)=1,OFFSET(CT!$A$1,INT(ROW()/2)+1,COLUMN(CT!$H$3)-1),0)</f>
        <v>1000000</v>
      </c>
      <c r="F13" s="69">
        <f ca="1">IF(MOD(ROW(),2)=0,OFFSET(CT!$A$1,INT(ROW()/2),COLUMN(CT!$H$3)-1),0)</f>
        <v>0</v>
      </c>
      <c r="G13" s="131" t="str">
        <f ca="1">IF(OFFSET(CT!$A$1,INT((ROW()+1)/2),COLUMN(CT!$N$3)-1)="No","False","True")</f>
        <v>False</v>
      </c>
    </row>
    <row r="14" spans="1:7" hidden="1" x14ac:dyDescent="0.25">
      <c r="A14" s="68" t="str">
        <f ca="1">IF(MOD(ROW(),2)=1, OFFSET(CT!$A$1,INT(ROW()/2)+1,COLUMN(CT!A10)-1),"")</f>
        <v/>
      </c>
      <c r="B14" s="68" t="str">
        <f ca="1">IF(MOD(ROW(),2)=1, OFFSET(CT!$A$1,INT(ROW()/2)+1,COLUMN(CT!B10)-1),"")</f>
        <v/>
      </c>
      <c r="C14" s="68" t="str">
        <f ca="1">IF(MOD(ROW(),2)=1, OFFSET(CT!$A$1,INT(ROW()/2)+1,COLUMN(CT!C10)-1),"")</f>
        <v/>
      </c>
      <c r="D14" s="65" t="str">
        <f ca="1">OFFSET(CT!$A$1,INT((ROW()+1)/2),IF(MOD(ROW(),2)=1,COLUMN(CT!$D$5)-1,COLUMN(CT!$E$5)-1))</f>
        <v>3311.02</v>
      </c>
      <c r="E14" s="69">
        <f ca="1">IF(MOD(ROW(),2)=1,OFFSET(CT!$A$1,INT(ROW()/2)+1,COLUMN(CT!$H$3)-1),0)</f>
        <v>0</v>
      </c>
      <c r="F14" s="69">
        <f ca="1">IF(MOD(ROW(),2)=0,OFFSET(CT!$A$1,INT(ROW()/2),COLUMN(CT!$H$3)-1),0)</f>
        <v>1000000</v>
      </c>
      <c r="G14" s="131" t="str">
        <f ca="1">IF(OFFSET(CT!$A$1,INT((ROW()+1)/2),COLUMN(CT!$N$3)-1)="No","False","True")</f>
        <v>False</v>
      </c>
    </row>
    <row r="15" spans="1:7" hidden="1" x14ac:dyDescent="0.25">
      <c r="A15" s="68">
        <f ca="1">IF(MOD(ROW(),2)=1, OFFSET(CT!$A$1,INT(ROW()/2)+1,COLUMN(CT!A11)-1),"")</f>
        <v>45295</v>
      </c>
      <c r="B15" s="68" t="str">
        <f ca="1">IF(MOD(ROW(),2)=1, OFFSET(CT!$A$1,INT(ROW()/2)+1,COLUMN(CT!B11)-1),"")</f>
        <v>01/NVL</v>
      </c>
      <c r="C15" s="68" t="str">
        <f ca="1">IF(MOD(ROW(),2)=1, OFFSET(CT!$A$1,INT(ROW()/2)+1,COLUMN(CT!C11)-1),"")</f>
        <v>Mua gỗ tràm bông vàng</v>
      </c>
      <c r="D15" s="65" t="str">
        <f ca="1">OFFSET(CT!$A$1,INT((ROW()+1)/2),IF(MOD(ROW(),2)=1,COLUMN(CT!$D$5)-1,COLUMN(CT!$E$5)-1))</f>
        <v>1521.0102</v>
      </c>
      <c r="E15" s="69">
        <f ca="1">IF(MOD(ROW(),2)=1,OFFSET(CT!$A$1,INT(ROW()/2)+1,COLUMN(CT!$H$3)-1),0)</f>
        <v>22500000</v>
      </c>
      <c r="F15" s="69">
        <f ca="1">IF(MOD(ROW(),2)=0,OFFSET(CT!$A$1,INT(ROW()/2),COLUMN(CT!$H$3)-1),0)</f>
        <v>0</v>
      </c>
      <c r="G15" s="131" t="str">
        <f ca="1">IF(OFFSET(CT!$A$1,INT((ROW()+1)/2),COLUMN(CT!$N$3)-1)="No","False","True")</f>
        <v>False</v>
      </c>
    </row>
    <row r="16" spans="1:7" hidden="1" x14ac:dyDescent="0.25">
      <c r="A16" s="68" t="str">
        <f ca="1">IF(MOD(ROW(),2)=1, OFFSET(CT!$A$1,INT(ROW()/2)+1,COLUMN(CT!A12)-1),"")</f>
        <v/>
      </c>
      <c r="B16" s="68" t="str">
        <f ca="1">IF(MOD(ROW(),2)=1, OFFSET(CT!$A$1,INT(ROW()/2)+1,COLUMN(CT!B12)-1),"")</f>
        <v/>
      </c>
      <c r="C16" s="68" t="str">
        <f ca="1">IF(MOD(ROW(),2)=1, OFFSET(CT!$A$1,INT(ROW()/2)+1,COLUMN(CT!C12)-1),"")</f>
        <v/>
      </c>
      <c r="D16" s="65" t="str">
        <f ca="1">OFFSET(CT!$A$1,INT((ROW()+1)/2),IF(MOD(ROW(),2)=1,COLUMN(CT!$D$5)-1,COLUMN(CT!$E$5)-1))</f>
        <v>3311.02</v>
      </c>
      <c r="E16" s="69">
        <f ca="1">IF(MOD(ROW(),2)=1,OFFSET(CT!$A$1,INT(ROW()/2)+1,COLUMN(CT!$H$3)-1),0)</f>
        <v>0</v>
      </c>
      <c r="F16" s="69">
        <f ca="1">IF(MOD(ROW(),2)=0,OFFSET(CT!$A$1,INT(ROW()/2),COLUMN(CT!$H$3)-1),0)</f>
        <v>22500000</v>
      </c>
      <c r="G16" s="131" t="str">
        <f ca="1">IF(OFFSET(CT!$A$1,INT((ROW()+1)/2),COLUMN(CT!$N$3)-1)="No","False","True")</f>
        <v>False</v>
      </c>
    </row>
    <row r="17" spans="1:7" hidden="1" x14ac:dyDescent="0.25">
      <c r="A17" s="68">
        <f ca="1">IF(MOD(ROW(),2)=1, OFFSET(CT!$A$1,INT(ROW()/2)+1,COLUMN(CT!A13)-1),"")</f>
        <v>45296</v>
      </c>
      <c r="B17" s="68" t="str">
        <f ca="1">IF(MOD(ROW(),2)=1, OFFSET(CT!$A$1,INT(ROW()/2)+1,COLUMN(CT!B13)-1),"")</f>
        <v>02/PC</v>
      </c>
      <c r="C17" s="68" t="str">
        <f ca="1">IF(MOD(ROW(),2)=1, OFFSET(CT!$A$1,INT(ROW()/2)+1,COLUMN(CT!C13)-1),"")</f>
        <v>Thuế GTGT mua VPP</v>
      </c>
      <c r="D17" s="65" t="str">
        <f ca="1">OFFSET(CT!$A$1,INT((ROW()+1)/2),IF(MOD(ROW(),2)=1,COLUMN(CT!$D$5)-1,COLUMN(CT!$E$5)-1))</f>
        <v>1331</v>
      </c>
      <c r="E17" s="69">
        <f ca="1">IF(MOD(ROW(),2)=1,OFFSET(CT!$A$1,INT(ROW()/2)+1,COLUMN(CT!$H$3)-1),0)</f>
        <v>100000</v>
      </c>
      <c r="F17" s="69">
        <f ca="1">IF(MOD(ROW(),2)=0,OFFSET(CT!$A$1,INT(ROW()/2),COLUMN(CT!$H$3)-1),0)</f>
        <v>0</v>
      </c>
      <c r="G17" s="131" t="str">
        <f ca="1">IF(OFFSET(CT!$A$1,INT((ROW()+1)/2),COLUMN(CT!$N$3)-1)="No","False","True")</f>
        <v>False</v>
      </c>
    </row>
    <row r="18" spans="1:7" hidden="1" x14ac:dyDescent="0.25">
      <c r="A18" s="68" t="str">
        <f ca="1">IF(MOD(ROW(),2)=1, OFFSET(CT!$A$1,INT(ROW()/2)+1,COLUMN(CT!A14)-1),"")</f>
        <v/>
      </c>
      <c r="B18" s="68" t="str">
        <f ca="1">IF(MOD(ROW(),2)=1, OFFSET(CT!$A$1,INT(ROW()/2)+1,COLUMN(CT!B14)-1),"")</f>
        <v/>
      </c>
      <c r="C18" s="68" t="str">
        <f ca="1">IF(MOD(ROW(),2)=1, OFFSET(CT!$A$1,INT(ROW()/2)+1,COLUMN(CT!C14)-1),"")</f>
        <v/>
      </c>
      <c r="D18" s="65" t="str">
        <f ca="1">OFFSET(CT!$A$1,INT((ROW()+1)/2),IF(MOD(ROW(),2)=1,COLUMN(CT!$D$5)-1,COLUMN(CT!$E$5)-1))</f>
        <v>1111</v>
      </c>
      <c r="E18" s="69">
        <f ca="1">IF(MOD(ROW(),2)=1,OFFSET(CT!$A$1,INT(ROW()/2)+1,COLUMN(CT!$H$3)-1),0)</f>
        <v>0</v>
      </c>
      <c r="F18" s="69">
        <f ca="1">IF(MOD(ROW(),2)=0,OFFSET(CT!$A$1,INT(ROW()/2),COLUMN(CT!$H$3)-1),0)</f>
        <v>100000</v>
      </c>
      <c r="G18" s="131" t="str">
        <f ca="1">IF(OFFSET(CT!$A$1,INT((ROW()+1)/2),COLUMN(CT!$N$3)-1)="No","False","True")</f>
        <v>False</v>
      </c>
    </row>
    <row r="19" spans="1:7" hidden="1" x14ac:dyDescent="0.25">
      <c r="A19" s="68">
        <f ca="1">IF(MOD(ROW(),2)=1, OFFSET(CT!$A$1,INT(ROW()/2)+1,COLUMN(CT!A15)-1),"")</f>
        <v>45296</v>
      </c>
      <c r="B19" s="68" t="str">
        <f ca="1">IF(MOD(ROW(),2)=1, OFFSET(CT!$A$1,INT(ROW()/2)+1,COLUMN(CT!B15)-1),"")</f>
        <v>02/PC</v>
      </c>
      <c r="C19" s="68" t="str">
        <f ca="1">IF(MOD(ROW(),2)=1, OFFSET(CT!$A$1,INT(ROW()/2)+1,COLUMN(CT!C15)-1),"")</f>
        <v>Mua VPP cho BPVP</v>
      </c>
      <c r="D19" s="65" t="str">
        <f ca="1">OFFSET(CT!$A$1,INT((ROW()+1)/2),IF(MOD(ROW(),2)=1,COLUMN(CT!$D$5)-1,COLUMN(CT!$E$5)-1))</f>
        <v>6428</v>
      </c>
      <c r="E19" s="69">
        <f ca="1">IF(MOD(ROW(),2)=1,OFFSET(CT!$A$1,INT(ROW()/2)+1,COLUMN(CT!$H$3)-1),0)</f>
        <v>1000000</v>
      </c>
      <c r="F19" s="69">
        <f ca="1">IF(MOD(ROW(),2)=0,OFFSET(CT!$A$1,INT(ROW()/2),COLUMN(CT!$H$3)-1),0)</f>
        <v>0</v>
      </c>
      <c r="G19" s="131" t="str">
        <f ca="1">IF(OFFSET(CT!$A$1,INT((ROW()+1)/2),COLUMN(CT!$N$3)-1)="No","False","True")</f>
        <v>False</v>
      </c>
    </row>
    <row r="20" spans="1:7" hidden="1" x14ac:dyDescent="0.25">
      <c r="A20" s="68" t="str">
        <f ca="1">IF(MOD(ROW(),2)=1, OFFSET(CT!$A$1,INT(ROW()/2)+1,COLUMN(CT!A16)-1),"")</f>
        <v/>
      </c>
      <c r="B20" s="68" t="str">
        <f ca="1">IF(MOD(ROW(),2)=1, OFFSET(CT!$A$1,INT(ROW()/2)+1,COLUMN(CT!B16)-1),"")</f>
        <v/>
      </c>
      <c r="C20" s="68" t="str">
        <f ca="1">IF(MOD(ROW(),2)=1, OFFSET(CT!$A$1,INT(ROW()/2)+1,COLUMN(CT!C16)-1),"")</f>
        <v/>
      </c>
      <c r="D20" s="65" t="str">
        <f ca="1">OFFSET(CT!$A$1,INT((ROW()+1)/2),IF(MOD(ROW(),2)=1,COLUMN(CT!$D$5)-1,COLUMN(CT!$E$5)-1))</f>
        <v>1111</v>
      </c>
      <c r="E20" s="69">
        <f ca="1">IF(MOD(ROW(),2)=1,OFFSET(CT!$A$1,INT(ROW()/2)+1,COLUMN(CT!$H$3)-1),0)</f>
        <v>0</v>
      </c>
      <c r="F20" s="69">
        <f ca="1">IF(MOD(ROW(),2)=0,OFFSET(CT!$A$1,INT(ROW()/2),COLUMN(CT!$H$3)-1),0)</f>
        <v>1000000</v>
      </c>
      <c r="G20" s="131" t="str">
        <f ca="1">IF(OFFSET(CT!$A$1,INT((ROW()+1)/2),COLUMN(CT!$N$3)-1)="No","False","True")</f>
        <v>False</v>
      </c>
    </row>
    <row r="21" spans="1:7" hidden="1" x14ac:dyDescent="0.25">
      <c r="A21" s="68">
        <f ca="1">IF(MOD(ROW(),2)=1, OFFSET(CT!$A$1,INT(ROW()/2)+1,COLUMN(CT!A17)-1),"")</f>
        <v>45301</v>
      </c>
      <c r="B21" s="68" t="str">
        <f ca="1">IF(MOD(ROW(),2)=1, OFFSET(CT!$A$1,INT(ROW()/2)+1,COLUMN(CT!B17)-1),"")</f>
        <v>02/NVL</v>
      </c>
      <c r="C21" s="68" t="str">
        <f ca="1">IF(MOD(ROW(),2)=1, OFFSET(CT!$A$1,INT(ROW()/2)+1,COLUMN(CT!C17)-1),"")</f>
        <v>Thuế GTGT mua AC chuối, Dầu thông</v>
      </c>
      <c r="D21" s="65" t="str">
        <f ca="1">OFFSET(CT!$A$1,INT((ROW()+1)/2),IF(MOD(ROW(),2)=1,COLUMN(CT!$D$5)-1,COLUMN(CT!$E$5)-1))</f>
        <v>1331</v>
      </c>
      <c r="E21" s="69">
        <f ca="1">IF(MOD(ROW(),2)=1,OFFSET(CT!$A$1,INT(ROW()/2)+1,COLUMN(CT!$H$3)-1),0)</f>
        <v>55000</v>
      </c>
      <c r="F21" s="69">
        <f ca="1">IF(MOD(ROW(),2)=0,OFFSET(CT!$A$1,INT(ROW()/2),COLUMN(CT!$H$3)-1),0)</f>
        <v>0</v>
      </c>
      <c r="G21" s="131" t="str">
        <f ca="1">IF(OFFSET(CT!$A$1,INT((ROW()+1)/2),COLUMN(CT!$N$3)-1)="No","False","True")</f>
        <v>False</v>
      </c>
    </row>
    <row r="22" spans="1:7" hidden="1" x14ac:dyDescent="0.25">
      <c r="A22" s="68" t="str">
        <f ca="1">IF(MOD(ROW(),2)=1, OFFSET(CT!$A$1,INT(ROW()/2)+1,COLUMN(CT!A18)-1),"")</f>
        <v/>
      </c>
      <c r="B22" s="68" t="str">
        <f ca="1">IF(MOD(ROW(),2)=1, OFFSET(CT!$A$1,INT(ROW()/2)+1,COLUMN(CT!B18)-1),"")</f>
        <v/>
      </c>
      <c r="C22" s="68" t="str">
        <f ca="1">IF(MOD(ROW(),2)=1, OFFSET(CT!$A$1,INT(ROW()/2)+1,COLUMN(CT!C18)-1),"")</f>
        <v/>
      </c>
      <c r="D22" s="65" t="str">
        <f ca="1">OFFSET(CT!$A$1,INT((ROW()+1)/2),IF(MOD(ROW(),2)=1,COLUMN(CT!$D$5)-1,COLUMN(CT!$E$5)-1))</f>
        <v>3311.01</v>
      </c>
      <c r="E22" s="69">
        <f ca="1">IF(MOD(ROW(),2)=1,OFFSET(CT!$A$1,INT(ROW()/2)+1,COLUMN(CT!$H$3)-1),0)</f>
        <v>0</v>
      </c>
      <c r="F22" s="69">
        <f ca="1">IF(MOD(ROW(),2)=0,OFFSET(CT!$A$1,INT(ROW()/2),COLUMN(CT!$H$3)-1),0)</f>
        <v>55000</v>
      </c>
      <c r="G22" s="131" t="str">
        <f ca="1">IF(OFFSET(CT!$A$1,INT((ROW()+1)/2),COLUMN(CT!$N$3)-1)="No","False","True")</f>
        <v>False</v>
      </c>
    </row>
    <row r="23" spans="1:7" hidden="1" x14ac:dyDescent="0.25">
      <c r="A23" s="68">
        <f ca="1">IF(MOD(ROW(),2)=1, OFFSET(CT!$A$1,INT(ROW()/2)+1,COLUMN(CT!A19)-1),"")</f>
        <v>45301</v>
      </c>
      <c r="B23" s="68" t="str">
        <f ca="1">IF(MOD(ROW(),2)=1, OFFSET(CT!$A$1,INT(ROW()/2)+1,COLUMN(CT!B19)-1),"")</f>
        <v>02/NVL</v>
      </c>
      <c r="C23" s="68" t="str">
        <f ca="1">IF(MOD(ROW(),2)=1, OFFSET(CT!$A$1,INT(ROW()/2)+1,COLUMN(CT!C19)-1),"")</f>
        <v>Mua Dầu thông</v>
      </c>
      <c r="D23" s="65" t="str">
        <f ca="1">OFFSET(CT!$A$1,INT((ROW()+1)/2),IF(MOD(ROW(),2)=1,COLUMN(CT!$D$5)-1,COLUMN(CT!$E$5)-1))</f>
        <v>1521.0403</v>
      </c>
      <c r="E23" s="69">
        <f ca="1">IF(MOD(ROW(),2)=1,OFFSET(CT!$A$1,INT(ROW()/2)+1,COLUMN(CT!$H$3)-1),0)</f>
        <v>1500000</v>
      </c>
      <c r="F23" s="69">
        <f ca="1">IF(MOD(ROW(),2)=0,OFFSET(CT!$A$1,INT(ROW()/2),COLUMN(CT!$H$3)-1),0)</f>
        <v>0</v>
      </c>
      <c r="G23" s="131" t="str">
        <f ca="1">IF(OFFSET(CT!$A$1,INT((ROW()+1)/2),COLUMN(CT!$N$3)-1)="No","False","True")</f>
        <v>False</v>
      </c>
    </row>
    <row r="24" spans="1:7" hidden="1" x14ac:dyDescent="0.25">
      <c r="A24" s="68" t="str">
        <f ca="1">IF(MOD(ROW(),2)=1, OFFSET(CT!$A$1,INT(ROW()/2)+1,COLUMN(CT!A20)-1),"")</f>
        <v/>
      </c>
      <c r="B24" s="68" t="str">
        <f ca="1">IF(MOD(ROW(),2)=1, OFFSET(CT!$A$1,INT(ROW()/2)+1,COLUMN(CT!B20)-1),"")</f>
        <v/>
      </c>
      <c r="C24" s="68" t="str">
        <f ca="1">IF(MOD(ROW(),2)=1, OFFSET(CT!$A$1,INT(ROW()/2)+1,COLUMN(CT!C20)-1),"")</f>
        <v/>
      </c>
      <c r="D24" s="65" t="str">
        <f ca="1">OFFSET(CT!$A$1,INT((ROW()+1)/2),IF(MOD(ROW(),2)=1,COLUMN(CT!$D$5)-1,COLUMN(CT!$E$5)-1))</f>
        <v>3311.01</v>
      </c>
      <c r="E24" s="69">
        <f ca="1">IF(MOD(ROW(),2)=1,OFFSET(CT!$A$1,INT(ROW()/2)+1,COLUMN(CT!$H$3)-1),0)</f>
        <v>0</v>
      </c>
      <c r="F24" s="69">
        <f ca="1">IF(MOD(ROW(),2)=0,OFFSET(CT!$A$1,INT(ROW()/2),COLUMN(CT!$H$3)-1),0)</f>
        <v>1500000</v>
      </c>
      <c r="G24" s="131" t="str">
        <f ca="1">IF(OFFSET(CT!$A$1,INT((ROW()+1)/2),COLUMN(CT!$N$3)-1)="No","False","True")</f>
        <v>False</v>
      </c>
    </row>
    <row r="25" spans="1:7" hidden="1" x14ac:dyDescent="0.25">
      <c r="A25" s="68">
        <f ca="1">IF(MOD(ROW(),2)=1, OFFSET(CT!$A$1,INT(ROW()/2)+1,COLUMN(CT!A21)-1),"")</f>
        <v>45301</v>
      </c>
      <c r="B25" s="68" t="str">
        <f ca="1">IF(MOD(ROW(),2)=1, OFFSET(CT!$A$1,INT(ROW()/2)+1,COLUMN(CT!B21)-1),"")</f>
        <v>02/NVL</v>
      </c>
      <c r="C25" s="68" t="str">
        <f ca="1">IF(MOD(ROW(),2)=1, OFFSET(CT!$A$1,INT(ROW()/2)+1,COLUMN(CT!C21)-1),"")</f>
        <v>Mua AC chuối</v>
      </c>
      <c r="D25" s="65" t="str">
        <f ca="1">OFFSET(CT!$A$1,INT((ROW()+1)/2),IF(MOD(ROW(),2)=1,COLUMN(CT!$D$5)-1,COLUMN(CT!$E$5)-1))</f>
        <v>1521.0401</v>
      </c>
      <c r="E25" s="69">
        <f ca="1">IF(MOD(ROW(),2)=1,OFFSET(CT!$A$1,INT(ROW()/2)+1,COLUMN(CT!$H$3)-1),0)</f>
        <v>3200000</v>
      </c>
      <c r="F25" s="69">
        <f ca="1">IF(MOD(ROW(),2)=0,OFFSET(CT!$A$1,INT(ROW()/2),COLUMN(CT!$H$3)-1),0)</f>
        <v>0</v>
      </c>
      <c r="G25" s="131" t="str">
        <f ca="1">IF(OFFSET(CT!$A$1,INT((ROW()+1)/2),COLUMN(CT!$N$3)-1)="No","False","True")</f>
        <v>False</v>
      </c>
    </row>
    <row r="26" spans="1:7" hidden="1" x14ac:dyDescent="0.25">
      <c r="A26" s="68" t="str">
        <f ca="1">IF(MOD(ROW(),2)=1, OFFSET(CT!$A$1,INT(ROW()/2)+1,COLUMN(CT!A22)-1),"")</f>
        <v/>
      </c>
      <c r="B26" s="68" t="str">
        <f ca="1">IF(MOD(ROW(),2)=1, OFFSET(CT!$A$1,INT(ROW()/2)+1,COLUMN(CT!B22)-1),"")</f>
        <v/>
      </c>
      <c r="C26" s="68" t="str">
        <f ca="1">IF(MOD(ROW(),2)=1, OFFSET(CT!$A$1,INT(ROW()/2)+1,COLUMN(CT!C22)-1),"")</f>
        <v/>
      </c>
      <c r="D26" s="65" t="str">
        <f ca="1">OFFSET(CT!$A$1,INT((ROW()+1)/2),IF(MOD(ROW(),2)=1,COLUMN(CT!$D$5)-1,COLUMN(CT!$E$5)-1))</f>
        <v>3311.01</v>
      </c>
      <c r="E26" s="69">
        <f ca="1">IF(MOD(ROW(),2)=1,OFFSET(CT!$A$1,INT(ROW()/2)+1,COLUMN(CT!$H$3)-1),0)</f>
        <v>0</v>
      </c>
      <c r="F26" s="69">
        <f ca="1">IF(MOD(ROW(),2)=0,OFFSET(CT!$A$1,INT(ROW()/2),COLUMN(CT!$H$3)-1),0)</f>
        <v>3200000</v>
      </c>
      <c r="G26" s="131" t="str">
        <f ca="1">IF(OFFSET(CT!$A$1,INT((ROW()+1)/2),COLUMN(CT!$N$3)-1)="No","False","True")</f>
        <v>False</v>
      </c>
    </row>
    <row r="27" spans="1:7" hidden="1" x14ac:dyDescent="0.25">
      <c r="A27" s="68">
        <f ca="1">IF(MOD(ROW(),2)=1, OFFSET(CT!$A$1,INT(ROW()/2)+1,COLUMN(CT!A23)-1),"")</f>
        <v>45302</v>
      </c>
      <c r="B27" s="68" t="str">
        <f ca="1">IF(MOD(ROW(),2)=1, OFFSET(CT!$A$1,INT(ROW()/2)+1,COLUMN(CT!B23)-1),"")</f>
        <v>03/NVL</v>
      </c>
      <c r="C27" s="68" t="str">
        <f ca="1">IF(MOD(ROW(),2)=1, OFFSET(CT!$A$1,INT(ROW()/2)+1,COLUMN(CT!C23)-1),"")</f>
        <v>Thuế GTGT Nhập kho keo AB</v>
      </c>
      <c r="D27" s="65" t="str">
        <f ca="1">OFFSET(CT!$A$1,INT((ROW()+1)/2),IF(MOD(ROW(),2)=1,COLUMN(CT!$D$5)-1,COLUMN(CT!$E$5)-1))</f>
        <v>1331</v>
      </c>
      <c r="E27" s="69">
        <f ca="1">IF(MOD(ROW(),2)=1,OFFSET(CT!$A$1,INT(ROW()/2)+1,COLUMN(CT!$H$3)-1),0)</f>
        <v>500000</v>
      </c>
      <c r="F27" s="69">
        <f ca="1">IF(MOD(ROW(),2)=0,OFFSET(CT!$A$1,INT(ROW()/2),COLUMN(CT!$H$3)-1),0)</f>
        <v>0</v>
      </c>
      <c r="G27" s="131" t="str">
        <f ca="1">IF(OFFSET(CT!$A$1,INT((ROW()+1)/2),COLUMN(CT!$N$3)-1)="No","False","True")</f>
        <v>False</v>
      </c>
    </row>
    <row r="28" spans="1:7" hidden="1" x14ac:dyDescent="0.25">
      <c r="A28" s="68" t="str">
        <f ca="1">IF(MOD(ROW(),2)=1, OFFSET(CT!$A$1,INT(ROW()/2)+1,COLUMN(CT!A24)-1),"")</f>
        <v/>
      </c>
      <c r="B28" s="68" t="str">
        <f ca="1">IF(MOD(ROW(),2)=1, OFFSET(CT!$A$1,INT(ROW()/2)+1,COLUMN(CT!B24)-1),"")</f>
        <v/>
      </c>
      <c r="C28" s="68" t="str">
        <f ca="1">IF(MOD(ROW(),2)=1, OFFSET(CT!$A$1,INT(ROW()/2)+1,COLUMN(CT!C24)-1),"")</f>
        <v/>
      </c>
      <c r="D28" s="65" t="str">
        <f ca="1">OFFSET(CT!$A$1,INT((ROW()+1)/2),IF(MOD(ROW(),2)=1,COLUMN(CT!$D$5)-1,COLUMN(CT!$E$5)-1))</f>
        <v>3311.03</v>
      </c>
      <c r="E28" s="69">
        <f ca="1">IF(MOD(ROW(),2)=1,OFFSET(CT!$A$1,INT(ROW()/2)+1,COLUMN(CT!$H$3)-1),0)</f>
        <v>0</v>
      </c>
      <c r="F28" s="69">
        <f ca="1">IF(MOD(ROW(),2)=0,OFFSET(CT!$A$1,INT(ROW()/2),COLUMN(CT!$H$3)-1),0)</f>
        <v>500000</v>
      </c>
      <c r="G28" s="131" t="str">
        <f ca="1">IF(OFFSET(CT!$A$1,INT((ROW()+1)/2),COLUMN(CT!$N$3)-1)="No","False","True")</f>
        <v>False</v>
      </c>
    </row>
    <row r="29" spans="1:7" hidden="1" x14ac:dyDescent="0.25">
      <c r="A29" s="68">
        <f ca="1">IF(MOD(ROW(),2)=1, OFFSET(CT!$A$1,INT(ROW()/2)+1,COLUMN(CT!A25)-1),"")</f>
        <v>45302</v>
      </c>
      <c r="B29" s="68" t="str">
        <f ca="1">IF(MOD(ROW(),2)=1, OFFSET(CT!$A$1,INT(ROW()/2)+1,COLUMN(CT!B25)-1),"")</f>
        <v>03/NVL</v>
      </c>
      <c r="C29" s="68" t="str">
        <f ca="1">IF(MOD(ROW(),2)=1, OFFSET(CT!$A$1,INT(ROW()/2)+1,COLUMN(CT!C25)-1),"")</f>
        <v>Nhập kho keo AB</v>
      </c>
      <c r="D29" s="65" t="str">
        <f ca="1">OFFSET(CT!$A$1,INT((ROW()+1)/2),IF(MOD(ROW(),2)=1,COLUMN(CT!$D$5)-1,COLUMN(CT!$E$5)-1))</f>
        <v>1521.0301</v>
      </c>
      <c r="E29" s="69">
        <f ca="1">IF(MOD(ROW(),2)=1,OFFSET(CT!$A$1,INT(ROW()/2)+1,COLUMN(CT!$H$3)-1),0)</f>
        <v>5000000</v>
      </c>
      <c r="F29" s="69">
        <f ca="1">IF(MOD(ROW(),2)=0,OFFSET(CT!$A$1,INT(ROW()/2),COLUMN(CT!$H$3)-1),0)</f>
        <v>0</v>
      </c>
      <c r="G29" s="131" t="str">
        <f ca="1">IF(OFFSET(CT!$A$1,INT((ROW()+1)/2),COLUMN(CT!$N$3)-1)="No","False","True")</f>
        <v>False</v>
      </c>
    </row>
    <row r="30" spans="1:7" hidden="1" x14ac:dyDescent="0.25">
      <c r="A30" s="68" t="str">
        <f ca="1">IF(MOD(ROW(),2)=1, OFFSET(CT!$A$1,INT(ROW()/2)+1,COLUMN(CT!A26)-1),"")</f>
        <v/>
      </c>
      <c r="B30" s="68" t="str">
        <f ca="1">IF(MOD(ROW(),2)=1, OFFSET(CT!$A$1,INT(ROW()/2)+1,COLUMN(CT!B26)-1),"")</f>
        <v/>
      </c>
      <c r="C30" s="68" t="str">
        <f ca="1">IF(MOD(ROW(),2)=1, OFFSET(CT!$A$1,INT(ROW()/2)+1,COLUMN(CT!C26)-1),"")</f>
        <v/>
      </c>
      <c r="D30" s="65" t="str">
        <f ca="1">OFFSET(CT!$A$1,INT((ROW()+1)/2),IF(MOD(ROW(),2)=1,COLUMN(CT!$D$5)-1,COLUMN(CT!$E$5)-1))</f>
        <v>3311.03</v>
      </c>
      <c r="E30" s="69">
        <f ca="1">IF(MOD(ROW(),2)=1,OFFSET(CT!$A$1,INT(ROW()/2)+1,COLUMN(CT!$H$3)-1),0)</f>
        <v>0</v>
      </c>
      <c r="F30" s="69">
        <f ca="1">IF(MOD(ROW(),2)=0,OFFSET(CT!$A$1,INT(ROW()/2),COLUMN(CT!$H$3)-1),0)</f>
        <v>5000000</v>
      </c>
      <c r="G30" s="151" t="str">
        <f ca="1">IF(OFFSET(CT!$A$1,INT((ROW()+1)/2),COLUMN(CT!$N$3)-1)="No","False","True")</f>
        <v>False</v>
      </c>
    </row>
    <row r="31" spans="1:7" ht="15.6" x14ac:dyDescent="0.3">
      <c r="A31" s="77">
        <f ca="1">IF(MOD(ROW(),2)=1, OFFSET(CT!$A$1,INT(ROW()/2)+1,COLUMN(CT!A27)-1),"")</f>
        <v>45306</v>
      </c>
      <c r="B31" s="77" t="str">
        <f ca="1">IF(MOD(ROW(),2)=1, OFFSET(CT!$A$1,INT(ROW()/2)+1,COLUMN(CT!B27)-1),"")</f>
        <v>01/XVL</v>
      </c>
      <c r="C31" s="77" t="str">
        <f ca="1">IF(MOD(ROW(),2)=1, OFFSET(CT!$A$1,INT(ROW()/2)+1,COLUMN(CT!C27)-1),"")</f>
        <v>Xuất keo ghép sx GTV</v>
      </c>
      <c r="D31" s="23" t="str">
        <f ca="1">OFFSET(CT!$A$1,INT((ROW()+1)/2),IF(MOD(ROW(),2)=1,COLUMN(CT!$D$5)-1,COLUMN(CT!$E$5)-1))</f>
        <v>6211.01</v>
      </c>
      <c r="E31" s="78">
        <f ca="1">IF(MOD(ROW(),2)=1,OFFSET(CT!$A$1,INT(ROW()/2)+1,COLUMN(CT!$H$3)-1),0)</f>
        <v>480000</v>
      </c>
      <c r="F31" s="78">
        <f ca="1">IF(MOD(ROW(),2)=0,OFFSET(CT!$A$1,INT(ROW()/2),COLUMN(CT!$H$3)-1),0)</f>
        <v>0</v>
      </c>
      <c r="G31" s="153" t="str">
        <f ca="1">IF(OFFSET(CT!$A$1,INT((ROW()+1)/2),COLUMN(CT!$N$3)-1)="No","False","True")</f>
        <v>True</v>
      </c>
    </row>
    <row r="32" spans="1:7" ht="15.6" x14ac:dyDescent="0.3">
      <c r="A32" s="77" t="str">
        <f ca="1">IF(MOD(ROW(),2)=1, OFFSET(CT!$A$1,INT(ROW()/2)+1,COLUMN(CT!A28)-1),"")</f>
        <v/>
      </c>
      <c r="B32" s="77" t="str">
        <f ca="1">IF(MOD(ROW(),2)=1, OFFSET(CT!$A$1,INT(ROW()/2)+1,COLUMN(CT!B28)-1),"")</f>
        <v/>
      </c>
      <c r="C32" s="77" t="str">
        <f ca="1">IF(MOD(ROW(),2)=1, OFFSET(CT!$A$1,INT(ROW()/2)+1,COLUMN(CT!C28)-1),"")</f>
        <v/>
      </c>
      <c r="D32" s="23" t="str">
        <f ca="1">OFFSET(CT!$A$1,INT((ROW()+1)/2),IF(MOD(ROW(),2)=1,COLUMN(CT!$D$5)-1,COLUMN(CT!$E$5)-1))</f>
        <v>1521.0302</v>
      </c>
      <c r="E32" s="78">
        <f ca="1">IF(MOD(ROW(),2)=1,OFFSET(CT!$A$1,INT(ROW()/2)+1,COLUMN(CT!$H$3)-1),0)</f>
        <v>0</v>
      </c>
      <c r="F32" s="78">
        <f ca="1">IF(MOD(ROW(),2)=0,OFFSET(CT!$A$1,INT(ROW()/2),COLUMN(CT!$H$3)-1),0)</f>
        <v>480000</v>
      </c>
      <c r="G32" s="153" t="str">
        <f ca="1">IF(OFFSET(CT!$A$1,INT((ROW()+1)/2),COLUMN(CT!$N$3)-1)="No","False","True")</f>
        <v>True</v>
      </c>
    </row>
    <row r="33" spans="1:7" hidden="1" x14ac:dyDescent="0.25">
      <c r="A33" s="68">
        <f ca="1">IF(MOD(ROW(),2)=1, OFFSET(CT!$A$1,INT(ROW()/2)+1,COLUMN(CT!A29)-1),"")</f>
        <v>45306</v>
      </c>
      <c r="B33" s="68" t="str">
        <f ca="1">IF(MOD(ROW(),2)=1, OFFSET(CT!$A$1,INT(ROW()/2)+1,COLUMN(CT!B29)-1),"")</f>
        <v>03/PC</v>
      </c>
      <c r="C33" s="68" t="str">
        <f ca="1">IF(MOD(ROW(),2)=1, OFFSET(CT!$A$1,INT(ROW()/2)+1,COLUMN(CT!C29)-1),"")</f>
        <v>Chi lương cho NVBH</v>
      </c>
      <c r="D33" s="65" t="str">
        <f ca="1">OFFSET(CT!$A$1,INT((ROW()+1)/2),IF(MOD(ROW(),2)=1,COLUMN(CT!$D$5)-1,COLUMN(CT!$E$5)-1))</f>
        <v>3348.02</v>
      </c>
      <c r="E33" s="69">
        <f ca="1">IF(MOD(ROW(),2)=1,OFFSET(CT!$A$1,INT(ROW()/2)+1,COLUMN(CT!$H$3)-1),0)</f>
        <v>5000000</v>
      </c>
      <c r="F33" s="69">
        <f ca="1">IF(MOD(ROW(),2)=0,OFFSET(CT!$A$1,INT(ROW()/2),COLUMN(CT!$H$3)-1),0)</f>
        <v>0</v>
      </c>
      <c r="G33" s="152" t="str">
        <f ca="1">IF(OFFSET(CT!$A$1,INT((ROW()+1)/2),COLUMN(CT!$N$3)-1)="No","False","True")</f>
        <v>False</v>
      </c>
    </row>
    <row r="34" spans="1:7" hidden="1" x14ac:dyDescent="0.25">
      <c r="A34" s="68" t="str">
        <f ca="1">IF(MOD(ROW(),2)=1, OFFSET(CT!$A$1,INT(ROW()/2)+1,COLUMN(CT!A30)-1),"")</f>
        <v/>
      </c>
      <c r="B34" s="68" t="str">
        <f ca="1">IF(MOD(ROW(),2)=1, OFFSET(CT!$A$1,INT(ROW()/2)+1,COLUMN(CT!B30)-1),"")</f>
        <v/>
      </c>
      <c r="C34" s="68" t="str">
        <f ca="1">IF(MOD(ROW(),2)=1, OFFSET(CT!$A$1,INT(ROW()/2)+1,COLUMN(CT!C30)-1),"")</f>
        <v/>
      </c>
      <c r="D34" s="65" t="str">
        <f ca="1">OFFSET(CT!$A$1,INT((ROW()+1)/2),IF(MOD(ROW(),2)=1,COLUMN(CT!$D$5)-1,COLUMN(CT!$E$5)-1))</f>
        <v>1111</v>
      </c>
      <c r="E34" s="69">
        <f ca="1">IF(MOD(ROW(),2)=1,OFFSET(CT!$A$1,INT(ROW()/2)+1,COLUMN(CT!$H$3)-1),0)</f>
        <v>0</v>
      </c>
      <c r="F34" s="69">
        <f ca="1">IF(MOD(ROW(),2)=0,OFFSET(CT!$A$1,INT(ROW()/2),COLUMN(CT!$H$3)-1),0)</f>
        <v>5000000</v>
      </c>
      <c r="G34" s="131" t="str">
        <f ca="1">IF(OFFSET(CT!$A$1,INT((ROW()+1)/2),COLUMN(CT!$N$3)-1)="No","False","True")</f>
        <v>False</v>
      </c>
    </row>
    <row r="35" spans="1:7" hidden="1" x14ac:dyDescent="0.25">
      <c r="A35" s="68">
        <f ca="1">IF(MOD(ROW(),2)=1, OFFSET(CT!$A$1,INT(ROW()/2)+1,COLUMN(CT!A31)-1),"")</f>
        <v>45306</v>
      </c>
      <c r="B35" s="68" t="str">
        <f ca="1">IF(MOD(ROW(),2)=1, OFFSET(CT!$A$1,INT(ROW()/2)+1,COLUMN(CT!B31)-1),"")</f>
        <v>03/PC</v>
      </c>
      <c r="C35" s="68" t="str">
        <f ca="1">IF(MOD(ROW(),2)=1, OFFSET(CT!$A$1,INT(ROW()/2)+1,COLUMN(CT!C31)-1),"")</f>
        <v>Chi lương cho CB QLDN</v>
      </c>
      <c r="D35" s="65" t="str">
        <f ca="1">OFFSET(CT!$A$1,INT((ROW()+1)/2),IF(MOD(ROW(),2)=1,COLUMN(CT!$D$5)-1,COLUMN(CT!$E$5)-1))</f>
        <v>3348.03</v>
      </c>
      <c r="E35" s="69">
        <f ca="1">IF(MOD(ROW(),2)=1,OFFSET(CT!$A$1,INT(ROW()/2)+1,COLUMN(CT!$H$3)-1),0)</f>
        <v>7000000</v>
      </c>
      <c r="F35" s="69">
        <f ca="1">IF(MOD(ROW(),2)=0,OFFSET(CT!$A$1,INT(ROW()/2),COLUMN(CT!$H$3)-1),0)</f>
        <v>0</v>
      </c>
      <c r="G35" s="131" t="str">
        <f ca="1">IF(OFFSET(CT!$A$1,INT((ROW()+1)/2),COLUMN(CT!$N$3)-1)="No","False","True")</f>
        <v>False</v>
      </c>
    </row>
    <row r="36" spans="1:7" hidden="1" x14ac:dyDescent="0.25">
      <c r="A36" s="68" t="str">
        <f ca="1">IF(MOD(ROW(),2)=1, OFFSET(CT!$A$1,INT(ROW()/2)+1,COLUMN(CT!A32)-1),"")</f>
        <v/>
      </c>
      <c r="B36" s="68" t="str">
        <f ca="1">IF(MOD(ROW(),2)=1, OFFSET(CT!$A$1,INT(ROW()/2)+1,COLUMN(CT!B32)-1),"")</f>
        <v/>
      </c>
      <c r="C36" s="68" t="str">
        <f ca="1">IF(MOD(ROW(),2)=1, OFFSET(CT!$A$1,INT(ROW()/2)+1,COLUMN(CT!C32)-1),"")</f>
        <v/>
      </c>
      <c r="D36" s="65" t="str">
        <f ca="1">OFFSET(CT!$A$1,INT((ROW()+1)/2),IF(MOD(ROW(),2)=1,COLUMN(CT!$D$5)-1,COLUMN(CT!$E$5)-1))</f>
        <v>1111</v>
      </c>
      <c r="E36" s="69">
        <f ca="1">IF(MOD(ROW(),2)=1,OFFSET(CT!$A$1,INT(ROW()/2)+1,COLUMN(CT!$H$3)-1),0)</f>
        <v>0</v>
      </c>
      <c r="F36" s="69">
        <f ca="1">IF(MOD(ROW(),2)=0,OFFSET(CT!$A$1,INT(ROW()/2),COLUMN(CT!$H$3)-1),0)</f>
        <v>7000000</v>
      </c>
      <c r="G36" s="151" t="str">
        <f ca="1">IF(OFFSET(CT!$A$1,INT((ROW()+1)/2),COLUMN(CT!$N$3)-1)="No","False","True")</f>
        <v>False</v>
      </c>
    </row>
    <row r="37" spans="1:7" ht="15.6" x14ac:dyDescent="0.3">
      <c r="A37" s="77">
        <f ca="1">IF(MOD(ROW(),2)=1, OFFSET(CT!$A$1,INT(ROW()/2)+1,COLUMN(CT!A33)-1),"")</f>
        <v>45306</v>
      </c>
      <c r="B37" s="77" t="str">
        <f ca="1">IF(MOD(ROW(),2)=1, OFFSET(CT!$A$1,INT(ROW()/2)+1,COLUMN(CT!B33)-1),"")</f>
        <v>01/XVL</v>
      </c>
      <c r="C37" s="77" t="str">
        <f ca="1">IF(MOD(ROW(),2)=1, OFFSET(CT!$A$1,INT(ROW()/2)+1,COLUMN(CT!C33)-1),"")</f>
        <v>Xuất gỗ cao su sx GTV</v>
      </c>
      <c r="D37" s="23" t="str">
        <f ca="1">OFFSET(CT!$A$1,INT((ROW()+1)/2),IF(MOD(ROW(),2)=1,COLUMN(CT!$D$5)-1,COLUMN(CT!$E$5)-1))</f>
        <v>6211.01</v>
      </c>
      <c r="E37" s="78">
        <f ca="1">IF(MOD(ROW(),2)=1,OFFSET(CT!$A$1,INT(ROW()/2)+1,COLUMN(CT!$H$3)-1),0)</f>
        <v>13200000</v>
      </c>
      <c r="F37" s="78">
        <f ca="1">IF(MOD(ROW(),2)=0,OFFSET(CT!$A$1,INT(ROW()/2),COLUMN(CT!$H$3)-1),0)</f>
        <v>0</v>
      </c>
      <c r="G37" s="153" t="str">
        <f ca="1">IF(OFFSET(CT!$A$1,INT((ROW()+1)/2),COLUMN(CT!$N$3)-1)="No","False","True")</f>
        <v>True</v>
      </c>
    </row>
    <row r="38" spans="1:7" ht="15.6" x14ac:dyDescent="0.3">
      <c r="A38" s="77" t="str">
        <f ca="1">IF(MOD(ROW(),2)=1, OFFSET(CT!$A$1,INT(ROW()/2)+1,COLUMN(CT!A34)-1),"")</f>
        <v/>
      </c>
      <c r="B38" s="77" t="str">
        <f ca="1">IF(MOD(ROW(),2)=1, OFFSET(CT!$A$1,INT(ROW()/2)+1,COLUMN(CT!B34)-1),"")</f>
        <v/>
      </c>
      <c r="C38" s="77" t="str">
        <f ca="1">IF(MOD(ROW(),2)=1, OFFSET(CT!$A$1,INT(ROW()/2)+1,COLUMN(CT!C34)-1),"")</f>
        <v/>
      </c>
      <c r="D38" s="23" t="str">
        <f ca="1">OFFSET(CT!$A$1,INT((ROW()+1)/2),IF(MOD(ROW(),2)=1,COLUMN(CT!$D$5)-1,COLUMN(CT!$E$5)-1))</f>
        <v>1521.0101</v>
      </c>
      <c r="E38" s="78">
        <f ca="1">IF(MOD(ROW(),2)=1,OFFSET(CT!$A$1,INT(ROW()/2)+1,COLUMN(CT!$H$3)-1),0)</f>
        <v>0</v>
      </c>
      <c r="F38" s="78">
        <f ca="1">IF(MOD(ROW(),2)=0,OFFSET(CT!$A$1,INT(ROW()/2),COLUMN(CT!$H$3)-1),0)</f>
        <v>13200000</v>
      </c>
      <c r="G38" s="153" t="str">
        <f ca="1">IF(OFFSET(CT!$A$1,INT((ROW()+1)/2),COLUMN(CT!$N$3)-1)="No","False","True")</f>
        <v>True</v>
      </c>
    </row>
    <row r="39" spans="1:7" ht="15.6" x14ac:dyDescent="0.3">
      <c r="A39" s="77">
        <f ca="1">IF(MOD(ROW(),2)=1, OFFSET(CT!$A$1,INT(ROW()/2)+1,COLUMN(CT!A35)-1),"")</f>
        <v>45306</v>
      </c>
      <c r="B39" s="77" t="str">
        <f ca="1">IF(MOD(ROW(),2)=1, OFFSET(CT!$A$1,INT(ROW()/2)+1,COLUMN(CT!B35)-1),"")</f>
        <v>01/BC</v>
      </c>
      <c r="C39" s="77" t="str">
        <f ca="1">IF(MOD(ROW(),2)=1, OFFSET(CT!$A$1,INT(ROW()/2)+1,COLUMN(CT!C35)-1),"")</f>
        <v>Cty Mai Anh trả nợ lô hàng 189</v>
      </c>
      <c r="D39" s="23" t="str">
        <f ca="1">OFFSET(CT!$A$1,INT((ROW()+1)/2),IF(MOD(ROW(),2)=1,COLUMN(CT!$D$5)-1,COLUMN(CT!$E$5)-1))</f>
        <v>1121.02</v>
      </c>
      <c r="E39" s="78">
        <f ca="1">IF(MOD(ROW(),2)=1,OFFSET(CT!$A$1,INT(ROW()/2)+1,COLUMN(CT!$H$3)-1),0)</f>
        <v>30000000</v>
      </c>
      <c r="F39" s="78">
        <f ca="1">IF(MOD(ROW(),2)=0,OFFSET(CT!$A$1,INT(ROW()/2),COLUMN(CT!$H$3)-1),0)</f>
        <v>0</v>
      </c>
      <c r="G39" s="153" t="str">
        <f ca="1">IF(OFFSET(CT!$A$1,INT((ROW()+1)/2),COLUMN(CT!$N$3)-1)="No","False","True")</f>
        <v>True</v>
      </c>
    </row>
    <row r="40" spans="1:7" ht="15.6" x14ac:dyDescent="0.3">
      <c r="A40" s="77" t="str">
        <f ca="1">IF(MOD(ROW(),2)=1, OFFSET(CT!$A$1,INT(ROW()/2)+1,COLUMN(CT!A36)-1),"")</f>
        <v/>
      </c>
      <c r="B40" s="77" t="str">
        <f ca="1">IF(MOD(ROW(),2)=1, OFFSET(CT!$A$1,INT(ROW()/2)+1,COLUMN(CT!B36)-1),"")</f>
        <v/>
      </c>
      <c r="C40" s="77" t="str">
        <f ca="1">IF(MOD(ROW(),2)=1, OFFSET(CT!$A$1,INT(ROW()/2)+1,COLUMN(CT!C36)-1),"")</f>
        <v/>
      </c>
      <c r="D40" s="23" t="str">
        <f ca="1">OFFSET(CT!$A$1,INT((ROW()+1)/2),IF(MOD(ROW(),2)=1,COLUMN(CT!$D$5)-1,COLUMN(CT!$E$5)-1))</f>
        <v>1311.02</v>
      </c>
      <c r="E40" s="78">
        <f ca="1">IF(MOD(ROW(),2)=1,OFFSET(CT!$A$1,INT(ROW()/2)+1,COLUMN(CT!$H$3)-1),0)</f>
        <v>0</v>
      </c>
      <c r="F40" s="78">
        <f ca="1">IF(MOD(ROW(),2)=0,OFFSET(CT!$A$1,INT(ROW()/2),COLUMN(CT!$H$3)-1),0)</f>
        <v>30000000</v>
      </c>
      <c r="G40" s="153" t="str">
        <f ca="1">IF(OFFSET(CT!$A$1,INT((ROW()+1)/2),COLUMN(CT!$N$3)-1)="No","False","True")</f>
        <v>True</v>
      </c>
    </row>
    <row r="41" spans="1:7" hidden="1" x14ac:dyDescent="0.25">
      <c r="A41" s="68">
        <f ca="1">IF(MOD(ROW(),2)=1, OFFSET(CT!$A$1,INT(ROW()/2)+1,COLUMN(CT!A37)-1),"")</f>
        <v>45306</v>
      </c>
      <c r="B41" s="68" t="str">
        <f ca="1">IF(MOD(ROW(),2)=1, OFFSET(CT!$A$1,INT(ROW()/2)+1,COLUMN(CT!B37)-1),"")</f>
        <v>03/PC</v>
      </c>
      <c r="C41" s="68" t="str">
        <f ca="1">IF(MOD(ROW(),2)=1, OFFSET(CT!$A$1,INT(ROW()/2)+1,COLUMN(CT!C37)-1),"")</f>
        <v>Chi lương cho NV QLPX</v>
      </c>
      <c r="D41" s="65" t="str">
        <f ca="1">OFFSET(CT!$A$1,INT((ROW()+1)/2),IF(MOD(ROW(),2)=1,COLUMN(CT!$D$5)-1,COLUMN(CT!$E$5)-1))</f>
        <v>3348.01</v>
      </c>
      <c r="E41" s="69">
        <f ca="1">IF(MOD(ROW(),2)=1,OFFSET(CT!$A$1,INT(ROW()/2)+1,COLUMN(CT!$H$3)-1),0)</f>
        <v>35000000</v>
      </c>
      <c r="F41" s="69">
        <f ca="1">IF(MOD(ROW(),2)=0,OFFSET(CT!$A$1,INT(ROW()/2),COLUMN(CT!$H$3)-1),0)</f>
        <v>0</v>
      </c>
      <c r="G41" s="152" t="str">
        <f ca="1">IF(OFFSET(CT!$A$1,INT((ROW()+1)/2),COLUMN(CT!$N$3)-1)="No","False","True")</f>
        <v>False</v>
      </c>
    </row>
    <row r="42" spans="1:7" hidden="1" x14ac:dyDescent="0.25">
      <c r="A42" s="68" t="str">
        <f ca="1">IF(MOD(ROW(),2)=1, OFFSET(CT!$A$1,INT(ROW()/2)+1,COLUMN(CT!A38)-1),"")</f>
        <v/>
      </c>
      <c r="B42" s="68" t="str">
        <f ca="1">IF(MOD(ROW(),2)=1, OFFSET(CT!$A$1,INT(ROW()/2)+1,COLUMN(CT!B38)-1),"")</f>
        <v/>
      </c>
      <c r="C42" s="68" t="str">
        <f ca="1">IF(MOD(ROW(),2)=1, OFFSET(CT!$A$1,INT(ROW()/2)+1,COLUMN(CT!C38)-1),"")</f>
        <v/>
      </c>
      <c r="D42" s="65" t="str">
        <f ca="1">OFFSET(CT!$A$1,INT((ROW()+1)/2),IF(MOD(ROW(),2)=1,COLUMN(CT!$D$5)-1,COLUMN(CT!$E$5)-1))</f>
        <v>1111</v>
      </c>
      <c r="E42" s="69">
        <f ca="1">IF(MOD(ROW(),2)=1,OFFSET(CT!$A$1,INT(ROW()/2)+1,COLUMN(CT!$H$3)-1),0)</f>
        <v>0</v>
      </c>
      <c r="F42" s="69">
        <f ca="1">IF(MOD(ROW(),2)=0,OFFSET(CT!$A$1,INT(ROW()/2),COLUMN(CT!$H$3)-1),0)</f>
        <v>35000000</v>
      </c>
      <c r="G42" s="131" t="str">
        <f ca="1">IF(OFFSET(CT!$A$1,INT((ROW()+1)/2),COLUMN(CT!$N$3)-1)="No","False","True")</f>
        <v>False</v>
      </c>
    </row>
    <row r="43" spans="1:7" hidden="1" x14ac:dyDescent="0.25">
      <c r="A43" s="68">
        <f ca="1">IF(MOD(ROW(),2)=1, OFFSET(CT!$A$1,INT(ROW()/2)+1,COLUMN(CT!A39)-1),"")</f>
        <v>45306</v>
      </c>
      <c r="B43" s="68" t="str">
        <f ca="1">IF(MOD(ROW(),2)=1, OFFSET(CT!$A$1,INT(ROW()/2)+1,COLUMN(CT!B39)-1),"")</f>
        <v>03/PC</v>
      </c>
      <c r="C43" s="68" t="str">
        <f ca="1">IF(MOD(ROW(),2)=1, OFFSET(CT!$A$1,INT(ROW()/2)+1,COLUMN(CT!C39)-1),"")</f>
        <v>Chi lương cho CNSX GTV</v>
      </c>
      <c r="D43" s="65" t="str">
        <f ca="1">OFFSET(CT!$A$1,INT((ROW()+1)/2),IF(MOD(ROW(),2)=1,COLUMN(CT!$D$5)-1,COLUMN(CT!$E$5)-1))</f>
        <v>3341.01</v>
      </c>
      <c r="E43" s="69">
        <f ca="1">IF(MOD(ROW(),2)=1,OFFSET(CT!$A$1,INT(ROW()/2)+1,COLUMN(CT!$H$3)-1),0)</f>
        <v>40000000</v>
      </c>
      <c r="F43" s="69">
        <f ca="1">IF(MOD(ROW(),2)=0,OFFSET(CT!$A$1,INT(ROW()/2),COLUMN(CT!$H$3)-1),0)</f>
        <v>0</v>
      </c>
      <c r="G43" s="131" t="str">
        <f ca="1">IF(OFFSET(CT!$A$1,INT((ROW()+1)/2),COLUMN(CT!$N$3)-1)="No","False","True")</f>
        <v>False</v>
      </c>
    </row>
    <row r="44" spans="1:7" hidden="1" x14ac:dyDescent="0.25">
      <c r="A44" s="68" t="str">
        <f ca="1">IF(MOD(ROW(),2)=1, OFFSET(CT!$A$1,INT(ROW()/2)+1,COLUMN(CT!A40)-1),"")</f>
        <v/>
      </c>
      <c r="B44" s="68" t="str">
        <f ca="1">IF(MOD(ROW(),2)=1, OFFSET(CT!$A$1,INT(ROW()/2)+1,COLUMN(CT!B40)-1),"")</f>
        <v/>
      </c>
      <c r="C44" s="68" t="str">
        <f ca="1">IF(MOD(ROW(),2)=1, OFFSET(CT!$A$1,INT(ROW()/2)+1,COLUMN(CT!C40)-1),"")</f>
        <v/>
      </c>
      <c r="D44" s="65" t="str">
        <f ca="1">OFFSET(CT!$A$1,INT((ROW()+1)/2),IF(MOD(ROW(),2)=1,COLUMN(CT!$D$5)-1,COLUMN(CT!$E$5)-1))</f>
        <v>1111</v>
      </c>
      <c r="E44" s="69">
        <f ca="1">IF(MOD(ROW(),2)=1,OFFSET(CT!$A$1,INT(ROW()/2)+1,COLUMN(CT!$H$3)-1),0)</f>
        <v>0</v>
      </c>
      <c r="F44" s="69">
        <f ca="1">IF(MOD(ROW(),2)=0,OFFSET(CT!$A$1,INT(ROW()/2),COLUMN(CT!$H$3)-1),0)</f>
        <v>40000000</v>
      </c>
      <c r="G44" s="131" t="str">
        <f ca="1">IF(OFFSET(CT!$A$1,INT((ROW()+1)/2),COLUMN(CT!$N$3)-1)="No","False","True")</f>
        <v>False</v>
      </c>
    </row>
    <row r="45" spans="1:7" hidden="1" x14ac:dyDescent="0.25">
      <c r="A45" s="68">
        <f ca="1">IF(MOD(ROW(),2)=1, OFFSET(CT!$A$1,INT(ROW()/2)+1,COLUMN(CT!A41)-1),"")</f>
        <v>45306</v>
      </c>
      <c r="B45" s="68" t="str">
        <f ca="1">IF(MOD(ROW(),2)=1, OFFSET(CT!$A$1,INT(ROW()/2)+1,COLUMN(CT!B41)-1),"")</f>
        <v>03/PC</v>
      </c>
      <c r="C45" s="68" t="str">
        <f ca="1">IF(MOD(ROW(),2)=1, OFFSET(CT!$A$1,INT(ROW()/2)+1,COLUMN(CT!C41)-1),"")</f>
        <v>Chi lương cho CNSX GKT</v>
      </c>
      <c r="D45" s="65" t="str">
        <f ca="1">OFFSET(CT!$A$1,INT((ROW()+1)/2),IF(MOD(ROW(),2)=1,COLUMN(CT!$D$5)-1,COLUMN(CT!$E$5)-1))</f>
        <v>3341.02</v>
      </c>
      <c r="E45" s="69">
        <f ca="1">IF(MOD(ROW(),2)=1,OFFSET(CT!$A$1,INT(ROW()/2)+1,COLUMN(CT!$H$3)-1),0)</f>
        <v>40000000</v>
      </c>
      <c r="F45" s="69">
        <f ca="1">IF(MOD(ROW(),2)=0,OFFSET(CT!$A$1,INT(ROW()/2),COLUMN(CT!$H$3)-1),0)</f>
        <v>0</v>
      </c>
      <c r="G45" s="131" t="str">
        <f ca="1">IF(OFFSET(CT!$A$1,INT((ROW()+1)/2),COLUMN(CT!$N$3)-1)="No","False","True")</f>
        <v>False</v>
      </c>
    </row>
    <row r="46" spans="1:7" hidden="1" x14ac:dyDescent="0.25">
      <c r="A46" s="68" t="str">
        <f ca="1">IF(MOD(ROW(),2)=1, OFFSET(CT!$A$1,INT(ROW()/2)+1,COLUMN(CT!A42)-1),"")</f>
        <v/>
      </c>
      <c r="B46" s="68" t="str">
        <f ca="1">IF(MOD(ROW(),2)=1, OFFSET(CT!$A$1,INT(ROW()/2)+1,COLUMN(CT!B42)-1),"")</f>
        <v/>
      </c>
      <c r="C46" s="68" t="str">
        <f ca="1">IF(MOD(ROW(),2)=1, OFFSET(CT!$A$1,INT(ROW()/2)+1,COLUMN(CT!C42)-1),"")</f>
        <v/>
      </c>
      <c r="D46" s="65" t="str">
        <f ca="1">OFFSET(CT!$A$1,INT((ROW()+1)/2),IF(MOD(ROW(),2)=1,COLUMN(CT!$D$5)-1,COLUMN(CT!$E$5)-1))</f>
        <v>1111</v>
      </c>
      <c r="E46" s="69">
        <f ca="1">IF(MOD(ROW(),2)=1,OFFSET(CT!$A$1,INT(ROW()/2)+1,COLUMN(CT!$H$3)-1),0)</f>
        <v>0</v>
      </c>
      <c r="F46" s="69">
        <f ca="1">IF(MOD(ROW(),2)=0,OFFSET(CT!$A$1,INT(ROW()/2),COLUMN(CT!$H$3)-1),0)</f>
        <v>40000000</v>
      </c>
      <c r="G46" s="131" t="str">
        <f ca="1">IF(OFFSET(CT!$A$1,INT((ROW()+1)/2),COLUMN(CT!$N$3)-1)="No","False","True")</f>
        <v>False</v>
      </c>
    </row>
    <row r="47" spans="1:7" hidden="1" x14ac:dyDescent="0.25">
      <c r="A47" s="68">
        <f ca="1">IF(MOD(ROW(),2)=1, OFFSET(CT!$A$1,INT(ROW()/2)+1,COLUMN(CT!A43)-1),"")</f>
        <v>45306</v>
      </c>
      <c r="B47" s="68" t="str">
        <f ca="1">IF(MOD(ROW(),2)=1, OFFSET(CT!$A$1,INT(ROW()/2)+1,COLUMN(CT!B43)-1),"")</f>
        <v>03/PC</v>
      </c>
      <c r="C47" s="68" t="str">
        <f ca="1">IF(MOD(ROW(),2)=1, OFFSET(CT!$A$1,INT(ROW()/2)+1,COLUMN(CT!C43)-1),"")</f>
        <v>Chi lương cho CNSX GTV</v>
      </c>
      <c r="D47" s="65" t="str">
        <f ca="1">OFFSET(CT!$A$1,INT((ROW()+1)/2),IF(MOD(ROW(),2)=1,COLUMN(CT!$D$5)-1,COLUMN(CT!$E$5)-1))</f>
        <v>3341.03</v>
      </c>
      <c r="E47" s="69">
        <f ca="1">IF(MOD(ROW(),2)=1,OFFSET(CT!$A$1,INT(ROW()/2)+1,COLUMN(CT!$H$3)-1),0)</f>
        <v>40000000</v>
      </c>
      <c r="F47" s="69">
        <f ca="1">IF(MOD(ROW(),2)=0,OFFSET(CT!$A$1,INT(ROW()/2),COLUMN(CT!$H$3)-1),0)</f>
        <v>0</v>
      </c>
      <c r="G47" s="131" t="str">
        <f ca="1">IF(OFFSET(CT!$A$1,INT((ROW()+1)/2),COLUMN(CT!$N$3)-1)="No","False","True")</f>
        <v>False</v>
      </c>
    </row>
    <row r="48" spans="1:7" hidden="1" x14ac:dyDescent="0.25">
      <c r="A48" s="68" t="str">
        <f ca="1">IF(MOD(ROW(),2)=1, OFFSET(CT!$A$1,INT(ROW()/2)+1,COLUMN(CT!A44)-1),"")</f>
        <v/>
      </c>
      <c r="B48" s="68" t="str">
        <f ca="1">IF(MOD(ROW(),2)=1, OFFSET(CT!$A$1,INT(ROW()/2)+1,COLUMN(CT!B44)-1),"")</f>
        <v/>
      </c>
      <c r="C48" s="68" t="str">
        <f ca="1">IF(MOD(ROW(),2)=1, OFFSET(CT!$A$1,INT(ROW()/2)+1,COLUMN(CT!C44)-1),"")</f>
        <v/>
      </c>
      <c r="D48" s="65" t="str">
        <f ca="1">OFFSET(CT!$A$1,INT((ROW()+1)/2),IF(MOD(ROW(),2)=1,COLUMN(CT!$D$5)-1,COLUMN(CT!$E$5)-1))</f>
        <v>1111</v>
      </c>
      <c r="E48" s="69">
        <f ca="1">IF(MOD(ROW(),2)=1,OFFSET(CT!$A$1,INT(ROW()/2)+1,COLUMN(CT!$H$3)-1),0)</f>
        <v>0</v>
      </c>
      <c r="F48" s="69">
        <f ca="1">IF(MOD(ROW(),2)=0,OFFSET(CT!$A$1,INT(ROW()/2),COLUMN(CT!$H$3)-1),0)</f>
        <v>40000000</v>
      </c>
      <c r="G48" s="131" t="str">
        <f ca="1">IF(OFFSET(CT!$A$1,INT((ROW()+1)/2),COLUMN(CT!$N$3)-1)="No","False","True")</f>
        <v>False</v>
      </c>
    </row>
    <row r="49" spans="1:7" hidden="1" x14ac:dyDescent="0.25">
      <c r="A49" s="68">
        <f ca="1">IF(MOD(ROW(),2)=1, OFFSET(CT!$A$1,INT(ROW()/2)+1,COLUMN(CT!A45)-1),"")</f>
        <v>45306</v>
      </c>
      <c r="B49" s="68" t="str">
        <f ca="1">IF(MOD(ROW(),2)=1, OFFSET(CT!$A$1,INT(ROW()/2)+1,COLUMN(CT!B45)-1),"")</f>
        <v>03/PC</v>
      </c>
      <c r="C49" s="68" t="str">
        <f ca="1">IF(MOD(ROW(),2)=1, OFFSET(CT!$A$1,INT(ROW()/2)+1,COLUMN(CT!C45)-1),"")</f>
        <v>Chi lương cho CNSX BT</v>
      </c>
      <c r="D49" s="65" t="str">
        <f ca="1">OFFSET(CT!$A$1,INT((ROW()+1)/2),IF(MOD(ROW(),2)=1,COLUMN(CT!$D$5)-1,COLUMN(CT!$E$5)-1))</f>
        <v>3341.04</v>
      </c>
      <c r="E49" s="69">
        <f ca="1">IF(MOD(ROW(),2)=1,OFFSET(CT!$A$1,INT(ROW()/2)+1,COLUMN(CT!$H$3)-1),0)</f>
        <v>40000000</v>
      </c>
      <c r="F49" s="69">
        <f ca="1">IF(MOD(ROW(),2)=0,OFFSET(CT!$A$1,INT(ROW()/2),COLUMN(CT!$H$3)-1),0)</f>
        <v>0</v>
      </c>
      <c r="G49" s="131" t="str">
        <f ca="1">IF(OFFSET(CT!$A$1,INT((ROW()+1)/2),COLUMN(CT!$N$3)-1)="No","False","True")</f>
        <v>False</v>
      </c>
    </row>
    <row r="50" spans="1:7" hidden="1" x14ac:dyDescent="0.25">
      <c r="A50" s="68" t="str">
        <f ca="1">IF(MOD(ROW(),2)=1, OFFSET(CT!$A$1,INT(ROW()/2)+1,COLUMN(CT!A46)-1),"")</f>
        <v/>
      </c>
      <c r="B50" s="68" t="str">
        <f ca="1">IF(MOD(ROW(),2)=1, OFFSET(CT!$A$1,INT(ROW()/2)+1,COLUMN(CT!B46)-1),"")</f>
        <v/>
      </c>
      <c r="C50" s="68" t="str">
        <f ca="1">IF(MOD(ROW(),2)=1, OFFSET(CT!$A$1,INT(ROW()/2)+1,COLUMN(CT!C46)-1),"")</f>
        <v/>
      </c>
      <c r="D50" s="65" t="str">
        <f ca="1">OFFSET(CT!$A$1,INT((ROW()+1)/2),IF(MOD(ROW(),2)=1,COLUMN(CT!$D$5)-1,COLUMN(CT!$E$5)-1))</f>
        <v>1111</v>
      </c>
      <c r="E50" s="69">
        <f ca="1">IF(MOD(ROW(),2)=1,OFFSET(CT!$A$1,INT(ROW()/2)+1,COLUMN(CT!$H$3)-1),0)</f>
        <v>0</v>
      </c>
      <c r="F50" s="69">
        <f ca="1">IF(MOD(ROW(),2)=0,OFFSET(CT!$A$1,INT(ROW()/2),COLUMN(CT!$H$3)-1),0)</f>
        <v>40000000</v>
      </c>
      <c r="G50" s="131" t="str">
        <f ca="1">IF(OFFSET(CT!$A$1,INT((ROW()+1)/2),COLUMN(CT!$N$3)-1)="No","False","True")</f>
        <v>False</v>
      </c>
    </row>
    <row r="51" spans="1:7" hidden="1" x14ac:dyDescent="0.25">
      <c r="A51" s="68">
        <f ca="1">IF(MOD(ROW(),2)=1, OFFSET(CT!$A$1,INT(ROW()/2)+1,COLUMN(CT!A47)-1),"")</f>
        <v>45306</v>
      </c>
      <c r="B51" s="68" t="str">
        <f ca="1">IF(MOD(ROW(),2)=1, OFFSET(CT!$A$1,INT(ROW()/2)+1,COLUMN(CT!B47)-1),"")</f>
        <v>03/PC</v>
      </c>
      <c r="C51" s="68" t="str">
        <f ca="1">IF(MOD(ROW(),2)=1, OFFSET(CT!$A$1,INT(ROW()/2)+1,COLUMN(CT!C47)-1),"")</f>
        <v>Chi lương cho CNSX BO</v>
      </c>
      <c r="D51" s="65" t="str">
        <f ca="1">OFFSET(CT!$A$1,INT((ROW()+1)/2),IF(MOD(ROW(),2)=1,COLUMN(CT!$D$5)-1,COLUMN(CT!$E$5)-1))</f>
        <v>3341.05</v>
      </c>
      <c r="E51" s="69">
        <f ca="1">IF(MOD(ROW(),2)=1,OFFSET(CT!$A$1,INT(ROW()/2)+1,COLUMN(CT!$H$3)-1),0)</f>
        <v>40000000</v>
      </c>
      <c r="F51" s="69">
        <f ca="1">IF(MOD(ROW(),2)=0,OFFSET(CT!$A$1,INT(ROW()/2),COLUMN(CT!$H$3)-1),0)</f>
        <v>0</v>
      </c>
      <c r="G51" s="131" t="str">
        <f ca="1">IF(OFFSET(CT!$A$1,INT((ROW()+1)/2),COLUMN(CT!$N$3)-1)="No","False","True")</f>
        <v>False</v>
      </c>
    </row>
    <row r="52" spans="1:7" hidden="1" x14ac:dyDescent="0.25">
      <c r="A52" s="68" t="str">
        <f ca="1">IF(MOD(ROW(),2)=1, OFFSET(CT!$A$1,INT(ROW()/2)+1,COLUMN(CT!A48)-1),"")</f>
        <v/>
      </c>
      <c r="B52" s="68" t="str">
        <f ca="1">IF(MOD(ROW(),2)=1, OFFSET(CT!$A$1,INT(ROW()/2)+1,COLUMN(CT!B48)-1),"")</f>
        <v/>
      </c>
      <c r="C52" s="68" t="str">
        <f ca="1">IF(MOD(ROW(),2)=1, OFFSET(CT!$A$1,INT(ROW()/2)+1,COLUMN(CT!C48)-1),"")</f>
        <v/>
      </c>
      <c r="D52" s="65" t="str">
        <f ca="1">OFFSET(CT!$A$1,INT((ROW()+1)/2),IF(MOD(ROW(),2)=1,COLUMN(CT!$D$5)-1,COLUMN(CT!$E$5)-1))</f>
        <v>1111</v>
      </c>
      <c r="E52" s="69">
        <f ca="1">IF(MOD(ROW(),2)=1,OFFSET(CT!$A$1,INT(ROW()/2)+1,COLUMN(CT!$H$3)-1),0)</f>
        <v>0</v>
      </c>
      <c r="F52" s="69">
        <f ca="1">IF(MOD(ROW(),2)=0,OFFSET(CT!$A$1,INT(ROW()/2),COLUMN(CT!$H$3)-1),0)</f>
        <v>40000000</v>
      </c>
      <c r="G52" s="151" t="str">
        <f ca="1">IF(OFFSET(CT!$A$1,INT((ROW()+1)/2),COLUMN(CT!$N$3)-1)="No","False","True")</f>
        <v>False</v>
      </c>
    </row>
    <row r="53" spans="1:7" ht="15.6" x14ac:dyDescent="0.3">
      <c r="A53" s="77">
        <f ca="1">IF(MOD(ROW(),2)=1, OFFSET(CT!$A$1,INT(ROW()/2)+1,COLUMN(CT!A49)-1),"")</f>
        <v>45307</v>
      </c>
      <c r="B53" s="77" t="str">
        <f ca="1">IF(MOD(ROW(),2)=1, OFFSET(CT!$A$1,INT(ROW()/2)+1,COLUMN(CT!B49)-1),"")</f>
        <v>01/BN</v>
      </c>
      <c r="C53" s="77" t="str">
        <f ca="1">IF(MOD(ROW(),2)=1, OFFSET(CT!$A$1,INT(ROW()/2)+1,COLUMN(CT!C49)-1),"")</f>
        <v>Trả Cty CP Mai Lan HĐ1170</v>
      </c>
      <c r="D53" s="23" t="str">
        <f ca="1">OFFSET(CT!$A$1,INT((ROW()+1)/2),IF(MOD(ROW(),2)=1,COLUMN(CT!$D$5)-1,COLUMN(CT!$E$5)-1))</f>
        <v>3311.01</v>
      </c>
      <c r="E53" s="78">
        <f ca="1">IF(MOD(ROW(),2)=1,OFFSET(CT!$A$1,INT(ROW()/2)+1,COLUMN(CT!$H$3)-1),0)</f>
        <v>40000000</v>
      </c>
      <c r="F53" s="78">
        <f ca="1">IF(MOD(ROW(),2)=0,OFFSET(CT!$A$1,INT(ROW()/2),COLUMN(CT!$H$3)-1),0)</f>
        <v>0</v>
      </c>
      <c r="G53" s="153" t="str">
        <f ca="1">IF(OFFSET(CT!$A$1,INT((ROW()+1)/2),COLUMN(CT!$N$3)-1)="No","False","True")</f>
        <v>True</v>
      </c>
    </row>
    <row r="54" spans="1:7" ht="15.6" x14ac:dyDescent="0.3">
      <c r="A54" s="77" t="str">
        <f ca="1">IF(MOD(ROW(),2)=1, OFFSET(CT!$A$1,INT(ROW()/2)+1,COLUMN(CT!A50)-1),"")</f>
        <v/>
      </c>
      <c r="B54" s="77" t="str">
        <f ca="1">IF(MOD(ROW(),2)=1, OFFSET(CT!$A$1,INT(ROW()/2)+1,COLUMN(CT!B50)-1),"")</f>
        <v/>
      </c>
      <c r="C54" s="77" t="str">
        <f ca="1">IF(MOD(ROW(),2)=1, OFFSET(CT!$A$1,INT(ROW()/2)+1,COLUMN(CT!C50)-1),"")</f>
        <v/>
      </c>
      <c r="D54" s="23" t="str">
        <f ca="1">OFFSET(CT!$A$1,INT((ROW()+1)/2),IF(MOD(ROW(),2)=1,COLUMN(CT!$D$5)-1,COLUMN(CT!$E$5)-1))</f>
        <v>1121.01</v>
      </c>
      <c r="E54" s="78">
        <f ca="1">IF(MOD(ROW(),2)=1,OFFSET(CT!$A$1,INT(ROW()/2)+1,COLUMN(CT!$H$3)-1),0)</f>
        <v>0</v>
      </c>
      <c r="F54" s="78">
        <f ca="1">IF(MOD(ROW(),2)=0,OFFSET(CT!$A$1,INT(ROW()/2),COLUMN(CT!$H$3)-1),0)</f>
        <v>40000000</v>
      </c>
      <c r="G54" s="153" t="str">
        <f ca="1">IF(OFFSET(CT!$A$1,INT((ROW()+1)/2),COLUMN(CT!$N$3)-1)="No","False","True")</f>
        <v>True</v>
      </c>
    </row>
    <row r="55" spans="1:7" ht="15.6" x14ac:dyDescent="0.3">
      <c r="A55" s="77">
        <f ca="1">IF(MOD(ROW(),2)=1, OFFSET(CT!$A$1,INT(ROW()/2)+1,COLUMN(CT!A51)-1),"")</f>
        <v>45307</v>
      </c>
      <c r="B55" s="77" t="str">
        <f ca="1">IF(MOD(ROW(),2)=1, OFFSET(CT!$A$1,INT(ROW()/2)+1,COLUMN(CT!B51)-1),"")</f>
        <v>02/BN</v>
      </c>
      <c r="C55" s="77" t="str">
        <f ca="1">IF(MOD(ROW(),2)=1, OFFSET(CT!$A$1,INT(ROW()/2)+1,COLUMN(CT!C51)-1),"")</f>
        <v>Chi đặt cọc mua hàng</v>
      </c>
      <c r="D55" s="23" t="str">
        <f ca="1">OFFSET(CT!$A$1,INT((ROW()+1)/2),IF(MOD(ROW(),2)=1,COLUMN(CT!$D$5)-1,COLUMN(CT!$E$5)-1))</f>
        <v>3311.03</v>
      </c>
      <c r="E55" s="78">
        <f ca="1">IF(MOD(ROW(),2)=1,OFFSET(CT!$A$1,INT(ROW()/2)+1,COLUMN(CT!$H$3)-1),0)</f>
        <v>50000000</v>
      </c>
      <c r="F55" s="78">
        <f ca="1">IF(MOD(ROW(),2)=0,OFFSET(CT!$A$1,INT(ROW()/2),COLUMN(CT!$H$3)-1),0)</f>
        <v>0</v>
      </c>
      <c r="G55" s="153" t="str">
        <f ca="1">IF(OFFSET(CT!$A$1,INT((ROW()+1)/2),COLUMN(CT!$N$3)-1)="No","False","True")</f>
        <v>True</v>
      </c>
    </row>
    <row r="56" spans="1:7" ht="15.6" x14ac:dyDescent="0.3">
      <c r="A56" s="77" t="str">
        <f ca="1">IF(MOD(ROW(),2)=1, OFFSET(CT!$A$1,INT(ROW()/2)+1,COLUMN(CT!A52)-1),"")</f>
        <v/>
      </c>
      <c r="B56" s="77" t="str">
        <f ca="1">IF(MOD(ROW(),2)=1, OFFSET(CT!$A$1,INT(ROW()/2)+1,COLUMN(CT!B52)-1),"")</f>
        <v/>
      </c>
      <c r="C56" s="77" t="str">
        <f ca="1">IF(MOD(ROW(),2)=1, OFFSET(CT!$A$1,INT(ROW()/2)+1,COLUMN(CT!C52)-1),"")</f>
        <v/>
      </c>
      <c r="D56" s="23" t="str">
        <f ca="1">OFFSET(CT!$A$1,INT((ROW()+1)/2),IF(MOD(ROW(),2)=1,COLUMN(CT!$D$5)-1,COLUMN(CT!$E$5)-1))</f>
        <v>1121.01</v>
      </c>
      <c r="E56" s="78">
        <f ca="1">IF(MOD(ROW(),2)=1,OFFSET(CT!$A$1,INT(ROW()/2)+1,COLUMN(CT!$H$3)-1),0)</f>
        <v>0</v>
      </c>
      <c r="F56" s="78">
        <f ca="1">IF(MOD(ROW(),2)=0,OFFSET(CT!$A$1,INT(ROW()/2),COLUMN(CT!$H$3)-1),0)</f>
        <v>50000000</v>
      </c>
      <c r="G56" s="153" t="str">
        <f ca="1">IF(OFFSET(CT!$A$1,INT((ROW()+1)/2),COLUMN(CT!$N$3)-1)="No","False","True")</f>
        <v>True</v>
      </c>
    </row>
    <row r="57" spans="1:7" ht="15.6" x14ac:dyDescent="0.3">
      <c r="A57" s="77">
        <f ca="1">IF(MOD(ROW(),2)=1, OFFSET(CT!$A$1,INT(ROW()/2)+1,COLUMN(CT!A53)-1),"")</f>
        <v>45308</v>
      </c>
      <c r="B57" s="77" t="str">
        <f ca="1">IF(MOD(ROW(),2)=1, OFFSET(CT!$A$1,INT(ROW()/2)+1,COLUMN(CT!B53)-1),"")</f>
        <v>02/XVL</v>
      </c>
      <c r="C57" s="77" t="str">
        <f ca="1">IF(MOD(ROW(),2)=1, OFFSET(CT!$A$1,INT(ROW()/2)+1,COLUMN(CT!C53)-1),"")</f>
        <v>Xuất ván keo 502 sx BTròn</v>
      </c>
      <c r="D57" s="23" t="str">
        <f ca="1">OFFSET(CT!$A$1,INT((ROW()+1)/2),IF(MOD(ROW(),2)=1,COLUMN(CT!$D$5)-1,COLUMN(CT!$E$5)-1))</f>
        <v>6211.03</v>
      </c>
      <c r="E57" s="78">
        <f ca="1">IF(MOD(ROW(),2)=1,OFFSET(CT!$A$1,INT(ROW()/2)+1,COLUMN(CT!$H$3)-1),0)</f>
        <v>46000</v>
      </c>
      <c r="F57" s="78">
        <f ca="1">IF(MOD(ROW(),2)=0,OFFSET(CT!$A$1,INT(ROW()/2),COLUMN(CT!$H$3)-1),0)</f>
        <v>0</v>
      </c>
      <c r="G57" s="153" t="str">
        <f ca="1">IF(OFFSET(CT!$A$1,INT((ROW()+1)/2),COLUMN(CT!$N$3)-1)="No","False","True")</f>
        <v>True</v>
      </c>
    </row>
    <row r="58" spans="1:7" ht="15.6" x14ac:dyDescent="0.3">
      <c r="A58" s="77" t="str">
        <f ca="1">IF(MOD(ROW(),2)=1, OFFSET(CT!$A$1,INT(ROW()/2)+1,COLUMN(CT!A54)-1),"")</f>
        <v/>
      </c>
      <c r="B58" s="77" t="str">
        <f ca="1">IF(MOD(ROW(),2)=1, OFFSET(CT!$A$1,INT(ROW()/2)+1,COLUMN(CT!B54)-1),"")</f>
        <v/>
      </c>
      <c r="C58" s="77" t="str">
        <f ca="1">IF(MOD(ROW(),2)=1, OFFSET(CT!$A$1,INT(ROW()/2)+1,COLUMN(CT!C54)-1),"")</f>
        <v/>
      </c>
      <c r="D58" s="23" t="str">
        <f ca="1">OFFSET(CT!$A$1,INT((ROW()+1)/2),IF(MOD(ROW(),2)=1,COLUMN(CT!$D$5)-1,COLUMN(CT!$E$5)-1))</f>
        <v>1521.0303</v>
      </c>
      <c r="E58" s="78">
        <f ca="1">IF(MOD(ROW(),2)=1,OFFSET(CT!$A$1,INT(ROW()/2)+1,COLUMN(CT!$H$3)-1),0)</f>
        <v>0</v>
      </c>
      <c r="F58" s="78">
        <f ca="1">IF(MOD(ROW(),2)=0,OFFSET(CT!$A$1,INT(ROW()/2),COLUMN(CT!$H$3)-1),0)</f>
        <v>46000</v>
      </c>
      <c r="G58" s="153" t="str">
        <f ca="1">IF(OFFSET(CT!$A$1,INT((ROW()+1)/2),COLUMN(CT!$N$3)-1)="No","False","True")</f>
        <v>True</v>
      </c>
    </row>
    <row r="59" spans="1:7" ht="15.6" x14ac:dyDescent="0.3">
      <c r="A59" s="77">
        <f ca="1">IF(MOD(ROW(),2)=1, OFFSET(CT!$A$1,INT(ROW()/2)+1,COLUMN(CT!A55)-1),"")</f>
        <v>45308</v>
      </c>
      <c r="B59" s="77" t="str">
        <f ca="1">IF(MOD(ROW(),2)=1, OFFSET(CT!$A$1,INT(ROW()/2)+1,COLUMN(CT!B55)-1),"")</f>
        <v>03/XVL</v>
      </c>
      <c r="C59" s="77" t="str">
        <f ca="1">IF(MOD(ROW(),2)=1, OFFSET(CT!$A$1,INT(ROW()/2)+1,COLUMN(CT!C55)-1),"")</f>
        <v>Xuất dầu thông sx GTV</v>
      </c>
      <c r="D59" s="23" t="str">
        <f ca="1">OFFSET(CT!$A$1,INT((ROW()+1)/2),IF(MOD(ROW(),2)=1,COLUMN(CT!$D$5)-1,COLUMN(CT!$E$5)-1))</f>
        <v>6211.01</v>
      </c>
      <c r="E59" s="78">
        <f ca="1">IF(MOD(ROW(),2)=1,OFFSET(CT!$A$1,INT(ROW()/2)+1,COLUMN(CT!$H$3)-1),0)</f>
        <v>282220</v>
      </c>
      <c r="F59" s="78">
        <f ca="1">IF(MOD(ROW(),2)=0,OFFSET(CT!$A$1,INT(ROW()/2),COLUMN(CT!$H$3)-1),0)</f>
        <v>0</v>
      </c>
      <c r="G59" s="153" t="str">
        <f ca="1">IF(OFFSET(CT!$A$1,INT((ROW()+1)/2),COLUMN(CT!$N$3)-1)="No","False","True")</f>
        <v>True</v>
      </c>
    </row>
    <row r="60" spans="1:7" ht="15.6" x14ac:dyDescent="0.3">
      <c r="A60" s="77" t="str">
        <f ca="1">IF(MOD(ROW(),2)=1, OFFSET(CT!$A$1,INT(ROW()/2)+1,COLUMN(CT!A56)-1),"")</f>
        <v/>
      </c>
      <c r="B60" s="77" t="str">
        <f ca="1">IF(MOD(ROW(),2)=1, OFFSET(CT!$A$1,INT(ROW()/2)+1,COLUMN(CT!B56)-1),"")</f>
        <v/>
      </c>
      <c r="C60" s="77" t="str">
        <f ca="1">IF(MOD(ROW(),2)=1, OFFSET(CT!$A$1,INT(ROW()/2)+1,COLUMN(CT!C56)-1),"")</f>
        <v/>
      </c>
      <c r="D60" s="23" t="str">
        <f ca="1">OFFSET(CT!$A$1,INT((ROW()+1)/2),IF(MOD(ROW(),2)=1,COLUMN(CT!$D$5)-1,COLUMN(CT!$E$5)-1))</f>
        <v>1521.0403</v>
      </c>
      <c r="E60" s="78">
        <f ca="1">IF(MOD(ROW(),2)=1,OFFSET(CT!$A$1,INT(ROW()/2)+1,COLUMN(CT!$H$3)-1),0)</f>
        <v>0</v>
      </c>
      <c r="F60" s="78">
        <f ca="1">IF(MOD(ROW(),2)=0,OFFSET(CT!$A$1,INT(ROW()/2),COLUMN(CT!$H$3)-1),0)</f>
        <v>282220</v>
      </c>
      <c r="G60" s="153" t="str">
        <f ca="1">IF(OFFSET(CT!$A$1,INT((ROW()+1)/2),COLUMN(CT!$N$3)-1)="No","False","True")</f>
        <v>True</v>
      </c>
    </row>
    <row r="61" spans="1:7" ht="15.6" x14ac:dyDescent="0.3">
      <c r="A61" s="77">
        <f ca="1">IF(MOD(ROW(),2)=1, OFFSET(CT!$A$1,INT(ROW()/2)+1,COLUMN(CT!A57)-1),"")</f>
        <v>45308</v>
      </c>
      <c r="B61" s="77" t="str">
        <f ca="1">IF(MOD(ROW(),2)=1, OFFSET(CT!$A$1,INT(ROW()/2)+1,COLUMN(CT!B57)-1),"")</f>
        <v>03/XVL</v>
      </c>
      <c r="C61" s="77" t="str">
        <f ca="1">IF(MOD(ROW(),2)=1, OFFSET(CT!$A$1,INT(ROW()/2)+1,COLUMN(CT!C57)-1),"")</f>
        <v>Xuất AC chuối sx GTV</v>
      </c>
      <c r="D61" s="23" t="str">
        <f ca="1">OFFSET(CT!$A$1,INT((ROW()+1)/2),IF(MOD(ROW(),2)=1,COLUMN(CT!$D$5)-1,COLUMN(CT!$E$5)-1))</f>
        <v>6211.01</v>
      </c>
      <c r="E61" s="78">
        <f ca="1">IF(MOD(ROW(),2)=1,OFFSET(CT!$A$1,INT(ROW()/2)+1,COLUMN(CT!$H$3)-1),0)</f>
        <v>469980</v>
      </c>
      <c r="F61" s="78">
        <f ca="1">IF(MOD(ROW(),2)=0,OFFSET(CT!$A$1,INT(ROW()/2),COLUMN(CT!$H$3)-1),0)</f>
        <v>0</v>
      </c>
      <c r="G61" s="153" t="str">
        <f ca="1">IF(OFFSET(CT!$A$1,INT((ROW()+1)/2),COLUMN(CT!$N$3)-1)="No","False","True")</f>
        <v>True</v>
      </c>
    </row>
    <row r="62" spans="1:7" ht="15.6" x14ac:dyDescent="0.3">
      <c r="A62" s="77" t="str">
        <f ca="1">IF(MOD(ROW(),2)=1, OFFSET(CT!$A$1,INT(ROW()/2)+1,COLUMN(CT!A58)-1),"")</f>
        <v/>
      </c>
      <c r="B62" s="77" t="str">
        <f ca="1">IF(MOD(ROW(),2)=1, OFFSET(CT!$A$1,INT(ROW()/2)+1,COLUMN(CT!B58)-1),"")</f>
        <v/>
      </c>
      <c r="C62" s="77" t="str">
        <f ca="1">IF(MOD(ROW(),2)=1, OFFSET(CT!$A$1,INT(ROW()/2)+1,COLUMN(CT!C58)-1),"")</f>
        <v/>
      </c>
      <c r="D62" s="23" t="str">
        <f ca="1">OFFSET(CT!$A$1,INT((ROW()+1)/2),IF(MOD(ROW(),2)=1,COLUMN(CT!$D$5)-1,COLUMN(CT!$E$5)-1))</f>
        <v>1521.0401</v>
      </c>
      <c r="E62" s="78">
        <f ca="1">IF(MOD(ROW(),2)=1,OFFSET(CT!$A$1,INT(ROW()/2)+1,COLUMN(CT!$H$3)-1),0)</f>
        <v>0</v>
      </c>
      <c r="F62" s="78">
        <f ca="1">IF(MOD(ROW(),2)=0,OFFSET(CT!$A$1,INT(ROW()/2),COLUMN(CT!$H$3)-1),0)</f>
        <v>469980</v>
      </c>
      <c r="G62" s="153" t="str">
        <f ca="1">IF(OFFSET(CT!$A$1,INT((ROW()+1)/2),COLUMN(CT!$N$3)-1)="No","False","True")</f>
        <v>True</v>
      </c>
    </row>
    <row r="63" spans="1:7" ht="15.6" x14ac:dyDescent="0.3">
      <c r="A63" s="77">
        <f ca="1">IF(MOD(ROW(),2)=1, OFFSET(CT!$A$1,INT(ROW()/2)+1,COLUMN(CT!A59)-1),"")</f>
        <v>45308</v>
      </c>
      <c r="B63" s="77" t="str">
        <f ca="1">IF(MOD(ROW(),2)=1, OFFSET(CT!$A$1,INT(ROW()/2)+1,COLUMN(CT!B59)-1),"")</f>
        <v>02/XVL</v>
      </c>
      <c r="C63" s="77" t="str">
        <f ca="1">IF(MOD(ROW(),2)=1, OFFSET(CT!$A$1,INT(ROW()/2)+1,COLUMN(CT!C59)-1),"")</f>
        <v>Xuất ván MDF 9x6x8 sx BTròn</v>
      </c>
      <c r="D63" s="23" t="str">
        <f ca="1">OFFSET(CT!$A$1,INT((ROW()+1)/2),IF(MOD(ROW(),2)=1,COLUMN(CT!$D$5)-1,COLUMN(CT!$E$5)-1))</f>
        <v>6211.03</v>
      </c>
      <c r="E63" s="78">
        <f ca="1">IF(MOD(ROW(),2)=1,OFFSET(CT!$A$1,INT(ROW()/2)+1,COLUMN(CT!$H$3)-1),0)</f>
        <v>3600000</v>
      </c>
      <c r="F63" s="78">
        <f ca="1">IF(MOD(ROW(),2)=0,OFFSET(CT!$A$1,INT(ROW()/2),COLUMN(CT!$H$3)-1),0)</f>
        <v>0</v>
      </c>
      <c r="G63" s="153" t="str">
        <f ca="1">IF(OFFSET(CT!$A$1,INT((ROW()+1)/2),COLUMN(CT!$N$3)-1)="No","False","True")</f>
        <v>True</v>
      </c>
    </row>
    <row r="64" spans="1:7" ht="15.6" x14ac:dyDescent="0.3">
      <c r="A64" s="77" t="str">
        <f ca="1">IF(MOD(ROW(),2)=1, OFFSET(CT!$A$1,INT(ROW()/2)+1,COLUMN(CT!A60)-1),"")</f>
        <v/>
      </c>
      <c r="B64" s="77" t="str">
        <f ca="1">IF(MOD(ROW(),2)=1, OFFSET(CT!$A$1,INT(ROW()/2)+1,COLUMN(CT!B60)-1),"")</f>
        <v/>
      </c>
      <c r="C64" s="77" t="str">
        <f ca="1">IF(MOD(ROW(),2)=1, OFFSET(CT!$A$1,INT(ROW()/2)+1,COLUMN(CT!C60)-1),"")</f>
        <v/>
      </c>
      <c r="D64" s="23" t="str">
        <f ca="1">OFFSET(CT!$A$1,INT((ROW()+1)/2),IF(MOD(ROW(),2)=1,COLUMN(CT!$D$5)-1,COLUMN(CT!$E$5)-1))</f>
        <v>1521.0201</v>
      </c>
      <c r="E64" s="78">
        <f ca="1">IF(MOD(ROW(),2)=1,OFFSET(CT!$A$1,INT(ROW()/2)+1,COLUMN(CT!$H$3)-1),0)</f>
        <v>0</v>
      </c>
      <c r="F64" s="78">
        <f ca="1">IF(MOD(ROW(),2)=0,OFFSET(CT!$A$1,INT(ROW()/2),COLUMN(CT!$H$3)-1),0)</f>
        <v>3600000</v>
      </c>
      <c r="G64" s="153" t="str">
        <f ca="1">IF(OFFSET(CT!$A$1,INT((ROW()+1)/2),COLUMN(CT!$N$3)-1)="No","False","True")</f>
        <v>True</v>
      </c>
    </row>
    <row r="65" spans="1:7" ht="15.6" x14ac:dyDescent="0.3">
      <c r="A65" s="77">
        <f ca="1">IF(MOD(ROW(),2)=1, OFFSET(CT!$A$1,INT(ROW()/2)+1,COLUMN(CT!A61)-1),"")</f>
        <v>45309</v>
      </c>
      <c r="B65" s="77" t="str">
        <f ca="1">IF(MOD(ROW(),2)=1, OFFSET(CT!$A$1,INT(ROW()/2)+1,COLUMN(CT!B61)-1),"")</f>
        <v>01/XCC</v>
      </c>
      <c r="C65" s="77" t="str">
        <f ca="1">IF(MOD(ROW(),2)=1, OFFSET(CT!$A$1,INT(ROW()/2)+1,COLUMN(CT!C61)-1),"")</f>
        <v>Xuất kệ tủ</v>
      </c>
      <c r="D65" s="23" t="str">
        <f ca="1">OFFSET(CT!$A$1,INT((ROW()+1)/2),IF(MOD(ROW(),2)=1,COLUMN(CT!$D$5)-1,COLUMN(CT!$E$5)-1))</f>
        <v>2421.02</v>
      </c>
      <c r="E65" s="78">
        <f ca="1">IF(MOD(ROW(),2)=1,OFFSET(CT!$A$1,INT(ROW()/2)+1,COLUMN(CT!$H$3)-1),0)</f>
        <v>1000000</v>
      </c>
      <c r="F65" s="78">
        <f ca="1">IF(MOD(ROW(),2)=0,OFFSET(CT!$A$1,INT(ROW()/2),COLUMN(CT!$H$3)-1),0)</f>
        <v>0</v>
      </c>
      <c r="G65" s="153" t="str">
        <f ca="1">IF(OFFSET(CT!$A$1,INT((ROW()+1)/2),COLUMN(CT!$N$3)-1)="No","False","True")</f>
        <v>True</v>
      </c>
    </row>
    <row r="66" spans="1:7" ht="15.6" x14ac:dyDescent="0.3">
      <c r="A66" s="77" t="str">
        <f ca="1">IF(MOD(ROW(),2)=1, OFFSET(CT!$A$1,INT(ROW()/2)+1,COLUMN(CT!A62)-1),"")</f>
        <v/>
      </c>
      <c r="B66" s="77" t="str">
        <f ca="1">IF(MOD(ROW(),2)=1, OFFSET(CT!$A$1,INT(ROW()/2)+1,COLUMN(CT!B62)-1),"")</f>
        <v/>
      </c>
      <c r="C66" s="77" t="str">
        <f ca="1">IF(MOD(ROW(),2)=1, OFFSET(CT!$A$1,INT(ROW()/2)+1,COLUMN(CT!C62)-1),"")</f>
        <v/>
      </c>
      <c r="D66" s="23" t="str">
        <f ca="1">OFFSET(CT!$A$1,INT((ROW()+1)/2),IF(MOD(ROW(),2)=1,COLUMN(CT!$D$5)-1,COLUMN(CT!$E$5)-1))</f>
        <v>1531.02</v>
      </c>
      <c r="E66" s="78">
        <f ca="1">IF(MOD(ROW(),2)=1,OFFSET(CT!$A$1,INT(ROW()/2)+1,COLUMN(CT!$H$3)-1),0)</f>
        <v>0</v>
      </c>
      <c r="F66" s="78">
        <f ca="1">IF(MOD(ROW(),2)=0,OFFSET(CT!$A$1,INT(ROW()/2),COLUMN(CT!$H$3)-1),0)</f>
        <v>1000000</v>
      </c>
      <c r="G66" s="153" t="str">
        <f ca="1">IF(OFFSET(CT!$A$1,INT((ROW()+1)/2),COLUMN(CT!$N$3)-1)="No","False","True")</f>
        <v>True</v>
      </c>
    </row>
    <row r="67" spans="1:7" ht="15.6" x14ac:dyDescent="0.3">
      <c r="A67" s="77">
        <f ca="1">IF(MOD(ROW(),2)=1, OFFSET(CT!$A$1,INT(ROW()/2)+1,COLUMN(CT!A63)-1),"")</f>
        <v>45309</v>
      </c>
      <c r="B67" s="77" t="str">
        <f ca="1">IF(MOD(ROW(),2)=1, OFFSET(CT!$A$1,INT(ROW()/2)+1,COLUMN(CT!B63)-1),"")</f>
        <v>01/XCC</v>
      </c>
      <c r="C67" s="77" t="str">
        <f ca="1">IF(MOD(ROW(),2)=1, OFFSET(CT!$A$1,INT(ROW()/2)+1,COLUMN(CT!C63)-1),"")</f>
        <v>Xuất máy tính Casio</v>
      </c>
      <c r="D67" s="23" t="str">
        <f ca="1">OFFSET(CT!$A$1,INT((ROW()+1)/2),IF(MOD(ROW(),2)=1,COLUMN(CT!$D$5)-1,COLUMN(CT!$E$5)-1))</f>
        <v>2421.01</v>
      </c>
      <c r="E67" s="78">
        <f ca="1">IF(MOD(ROW(),2)=1,OFFSET(CT!$A$1,INT(ROW()/2)+1,COLUMN(CT!$H$3)-1),0)</f>
        <v>2500000</v>
      </c>
      <c r="F67" s="78">
        <f ca="1">IF(MOD(ROW(),2)=0,OFFSET(CT!$A$1,INT(ROW()/2),COLUMN(CT!$H$3)-1),0)</f>
        <v>0</v>
      </c>
      <c r="G67" s="153" t="str">
        <f ca="1">IF(OFFSET(CT!$A$1,INT((ROW()+1)/2),COLUMN(CT!$N$3)-1)="No","False","True")</f>
        <v>True</v>
      </c>
    </row>
    <row r="68" spans="1:7" ht="15.6" x14ac:dyDescent="0.3">
      <c r="A68" s="77" t="str">
        <f ca="1">IF(MOD(ROW(),2)=1, OFFSET(CT!$A$1,INT(ROW()/2)+1,COLUMN(CT!A64)-1),"")</f>
        <v/>
      </c>
      <c r="B68" s="77" t="str">
        <f ca="1">IF(MOD(ROW(),2)=1, OFFSET(CT!$A$1,INT(ROW()/2)+1,COLUMN(CT!B64)-1),"")</f>
        <v/>
      </c>
      <c r="C68" s="77" t="str">
        <f ca="1">IF(MOD(ROW(),2)=1, OFFSET(CT!$A$1,INT(ROW()/2)+1,COLUMN(CT!C64)-1),"")</f>
        <v/>
      </c>
      <c r="D68" s="23" t="str">
        <f ca="1">OFFSET(CT!$A$1,INT((ROW()+1)/2),IF(MOD(ROW(),2)=1,COLUMN(CT!$D$5)-1,COLUMN(CT!$E$5)-1))</f>
        <v>1531.01</v>
      </c>
      <c r="E68" s="78">
        <f ca="1">IF(MOD(ROW(),2)=1,OFFSET(CT!$A$1,INT(ROW()/2)+1,COLUMN(CT!$H$3)-1),0)</f>
        <v>0</v>
      </c>
      <c r="F68" s="78">
        <f ca="1">IF(MOD(ROW(),2)=0,OFFSET(CT!$A$1,INT(ROW()/2),COLUMN(CT!$H$3)-1),0)</f>
        <v>2500000</v>
      </c>
      <c r="G68" s="153" t="str">
        <f ca="1">IF(OFFSET(CT!$A$1,INT((ROW()+1)/2),COLUMN(CT!$N$3)-1)="No","False","True")</f>
        <v>True</v>
      </c>
    </row>
    <row r="69" spans="1:7" ht="15.6" x14ac:dyDescent="0.3">
      <c r="A69" s="77">
        <f ca="1">IF(MOD(ROW(),2)=1, OFFSET(CT!$A$1,INT(ROW()/2)+1,COLUMN(CT!A65)-1),"")</f>
        <v>45310</v>
      </c>
      <c r="B69" s="77" t="str">
        <f ca="1">IF(MOD(ROW(),2)=1, OFFSET(CT!$A$1,INT(ROW()/2)+1,COLUMN(CT!B65)-1),"")</f>
        <v>02/XCC</v>
      </c>
      <c r="C69" s="77" t="str">
        <f ca="1">IF(MOD(ROW(),2)=1, OFFSET(CT!$A$1,INT(ROW()/2)+1,COLUMN(CT!C65)-1),"")</f>
        <v>Xuất lưỡi cưa cho PXSX</v>
      </c>
      <c r="D69" s="23" t="str">
        <f ca="1">OFFSET(CT!$A$1,INT((ROW()+1)/2),IF(MOD(ROW(),2)=1,COLUMN(CT!$D$5)-1,COLUMN(CT!$E$5)-1))</f>
        <v>6273</v>
      </c>
      <c r="E69" s="78">
        <f ca="1">IF(MOD(ROW(),2)=1,OFFSET(CT!$A$1,INT(ROW()/2)+1,COLUMN(CT!$H$3)-1),0)</f>
        <v>100000</v>
      </c>
      <c r="F69" s="78">
        <f ca="1">IF(MOD(ROW(),2)=0,OFFSET(CT!$A$1,INT(ROW()/2),COLUMN(CT!$H$3)-1),0)</f>
        <v>0</v>
      </c>
      <c r="G69" s="153" t="str">
        <f ca="1">IF(OFFSET(CT!$A$1,INT((ROW()+1)/2),COLUMN(CT!$N$3)-1)="No","False","True")</f>
        <v>True</v>
      </c>
    </row>
    <row r="70" spans="1:7" ht="15.6" x14ac:dyDescent="0.3">
      <c r="A70" s="77" t="str">
        <f ca="1">IF(MOD(ROW(),2)=1, OFFSET(CT!$A$1,INT(ROW()/2)+1,COLUMN(CT!A66)-1),"")</f>
        <v/>
      </c>
      <c r="B70" s="77" t="str">
        <f ca="1">IF(MOD(ROW(),2)=1, OFFSET(CT!$A$1,INT(ROW()/2)+1,COLUMN(CT!B66)-1),"")</f>
        <v/>
      </c>
      <c r="C70" s="77" t="str">
        <f ca="1">IF(MOD(ROW(),2)=1, OFFSET(CT!$A$1,INT(ROW()/2)+1,COLUMN(CT!C66)-1),"")</f>
        <v/>
      </c>
      <c r="D70" s="23" t="str">
        <f ca="1">OFFSET(CT!$A$1,INT((ROW()+1)/2),IF(MOD(ROW(),2)=1,COLUMN(CT!$D$5)-1,COLUMN(CT!$E$5)-1))</f>
        <v>1531.03</v>
      </c>
      <c r="E70" s="78">
        <f ca="1">IF(MOD(ROW(),2)=1,OFFSET(CT!$A$1,INT(ROW()/2)+1,COLUMN(CT!$H$3)-1),0)</f>
        <v>0</v>
      </c>
      <c r="F70" s="78">
        <f ca="1">IF(MOD(ROW(),2)=0,OFFSET(CT!$A$1,INT(ROW()/2),COLUMN(CT!$H$3)-1),0)</f>
        <v>100000</v>
      </c>
      <c r="G70" s="153" t="str">
        <f ca="1">IF(OFFSET(CT!$A$1,INT((ROW()+1)/2),COLUMN(CT!$N$3)-1)="No","False","True")</f>
        <v>True</v>
      </c>
    </row>
    <row r="71" spans="1:7" ht="15.6" x14ac:dyDescent="0.3">
      <c r="A71" s="77">
        <f ca="1">IF(MOD(ROW(),2)=1, OFFSET(CT!$A$1,INT(ROW()/2)+1,COLUMN(CT!A67)-1),"")</f>
        <v>45310</v>
      </c>
      <c r="B71" s="77" t="str">
        <f ca="1">IF(MOD(ROW(),2)=1, OFFSET(CT!$A$1,INT(ROW()/2)+1,COLUMN(CT!B67)-1),"")</f>
        <v>02/XCC</v>
      </c>
      <c r="C71" s="77" t="str">
        <f ca="1">IF(MOD(ROW(),2)=1, OFFSET(CT!$A$1,INT(ROW()/2)+1,COLUMN(CT!C67)-1),"")</f>
        <v>Xuất mũi khoan cho PXSX</v>
      </c>
      <c r="D71" s="23" t="str">
        <f ca="1">OFFSET(CT!$A$1,INT((ROW()+1)/2),IF(MOD(ROW(),2)=1,COLUMN(CT!$D$5)-1,COLUMN(CT!$E$5)-1))</f>
        <v>6273</v>
      </c>
      <c r="E71" s="78">
        <f ca="1">IF(MOD(ROW(),2)=1,OFFSET(CT!$A$1,INT(ROW()/2)+1,COLUMN(CT!$H$3)-1),0)</f>
        <v>100000</v>
      </c>
      <c r="F71" s="78">
        <f ca="1">IF(MOD(ROW(),2)=0,OFFSET(CT!$A$1,INT(ROW()/2),COLUMN(CT!$H$3)-1),0)</f>
        <v>0</v>
      </c>
      <c r="G71" s="153" t="str">
        <f ca="1">IF(OFFSET(CT!$A$1,INT((ROW()+1)/2),COLUMN(CT!$N$3)-1)="No","False","True")</f>
        <v>True</v>
      </c>
    </row>
    <row r="72" spans="1:7" ht="15.6" x14ac:dyDescent="0.3">
      <c r="A72" s="77" t="str">
        <f ca="1">IF(MOD(ROW(),2)=1, OFFSET(CT!$A$1,INT(ROW()/2)+1,COLUMN(CT!A68)-1),"")</f>
        <v/>
      </c>
      <c r="B72" s="77" t="str">
        <f ca="1">IF(MOD(ROW(),2)=1, OFFSET(CT!$A$1,INT(ROW()/2)+1,COLUMN(CT!B68)-1),"")</f>
        <v/>
      </c>
      <c r="C72" s="77" t="str">
        <f ca="1">IF(MOD(ROW(),2)=1, OFFSET(CT!$A$1,INT(ROW()/2)+1,COLUMN(CT!C68)-1),"")</f>
        <v/>
      </c>
      <c r="D72" s="23" t="str">
        <f ca="1">OFFSET(CT!$A$1,INT((ROW()+1)/2),IF(MOD(ROW(),2)=1,COLUMN(CT!$D$5)-1,COLUMN(CT!$E$5)-1))</f>
        <v>1531.04</v>
      </c>
      <c r="E72" s="78">
        <f ca="1">IF(MOD(ROW(),2)=1,OFFSET(CT!$A$1,INT(ROW()/2)+1,COLUMN(CT!$H$3)-1),0)</f>
        <v>0</v>
      </c>
      <c r="F72" s="78">
        <f ca="1">IF(MOD(ROW(),2)=0,OFFSET(CT!$A$1,INT(ROW()/2),COLUMN(CT!$H$3)-1),0)</f>
        <v>100000</v>
      </c>
      <c r="G72" s="153" t="str">
        <f ca="1">IF(OFFSET(CT!$A$1,INT((ROW()+1)/2),COLUMN(CT!$N$3)-1)="No","False","True")</f>
        <v>True</v>
      </c>
    </row>
    <row r="73" spans="1:7" ht="15.6" x14ac:dyDescent="0.3">
      <c r="A73" s="77">
        <f ca="1">IF(MOD(ROW(),2)=1, OFFSET(CT!$A$1,INT(ROW()/2)+1,COLUMN(CT!A69)-1),"")</f>
        <v>45310</v>
      </c>
      <c r="B73" s="77" t="str">
        <f ca="1">IF(MOD(ROW(),2)=1, OFFSET(CT!$A$1,INT(ROW()/2)+1,COLUMN(CT!B69)-1),"")</f>
        <v>02/XCC</v>
      </c>
      <c r="C73" s="77" t="str">
        <f ca="1">IF(MOD(ROW(),2)=1, OFFSET(CT!$A$1,INT(ROW()/2)+1,COLUMN(CT!C69)-1),"")</f>
        <v>Xuất dao thép cho PXSX</v>
      </c>
      <c r="D73" s="23" t="str">
        <f ca="1">OFFSET(CT!$A$1,INT((ROW()+1)/2),IF(MOD(ROW(),2)=1,COLUMN(CT!$D$5)-1,COLUMN(CT!$E$5)-1))</f>
        <v>6273</v>
      </c>
      <c r="E73" s="78">
        <f ca="1">IF(MOD(ROW(),2)=1,OFFSET(CT!$A$1,INT(ROW()/2)+1,COLUMN(CT!$H$3)-1),0)</f>
        <v>300000</v>
      </c>
      <c r="F73" s="78">
        <f ca="1">IF(MOD(ROW(),2)=0,OFFSET(CT!$A$1,INT(ROW()/2),COLUMN(CT!$H$3)-1),0)</f>
        <v>0</v>
      </c>
      <c r="G73" s="153" t="str">
        <f ca="1">IF(OFFSET(CT!$A$1,INT((ROW()+1)/2),COLUMN(CT!$N$3)-1)="No","False","True")</f>
        <v>True</v>
      </c>
    </row>
    <row r="74" spans="1:7" ht="15.6" x14ac:dyDescent="0.3">
      <c r="A74" s="77" t="str">
        <f ca="1">IF(MOD(ROW(),2)=1, OFFSET(CT!$A$1,INT(ROW()/2)+1,COLUMN(CT!A70)-1),"")</f>
        <v/>
      </c>
      <c r="B74" s="77" t="str">
        <f ca="1">IF(MOD(ROW(),2)=1, OFFSET(CT!$A$1,INT(ROW()/2)+1,COLUMN(CT!B70)-1),"")</f>
        <v/>
      </c>
      <c r="C74" s="77" t="str">
        <f ca="1">IF(MOD(ROW(),2)=1, OFFSET(CT!$A$1,INT(ROW()/2)+1,COLUMN(CT!C70)-1),"")</f>
        <v/>
      </c>
      <c r="D74" s="23" t="str">
        <f ca="1">OFFSET(CT!$A$1,INT((ROW()+1)/2),IF(MOD(ROW(),2)=1,COLUMN(CT!$D$5)-1,COLUMN(CT!$E$5)-1))</f>
        <v>1531.05</v>
      </c>
      <c r="E74" s="78">
        <f ca="1">IF(MOD(ROW(),2)=1,OFFSET(CT!$A$1,INT(ROW()/2)+1,COLUMN(CT!$H$3)-1),0)</f>
        <v>0</v>
      </c>
      <c r="F74" s="78">
        <f ca="1">IF(MOD(ROW(),2)=0,OFFSET(CT!$A$1,INT(ROW()/2),COLUMN(CT!$H$3)-1),0)</f>
        <v>300000</v>
      </c>
      <c r="G74" s="153" t="str">
        <f ca="1">IF(OFFSET(CT!$A$1,INT((ROW()+1)/2),COLUMN(CT!$N$3)-1)="No","False","True")</f>
        <v>True</v>
      </c>
    </row>
    <row r="75" spans="1:7" ht="15.6" x14ac:dyDescent="0.3">
      <c r="A75" s="77">
        <f ca="1">IF(MOD(ROW(),2)=1, OFFSET(CT!$A$1,INT(ROW()/2)+1,COLUMN(CT!A71)-1),"")</f>
        <v>45314</v>
      </c>
      <c r="B75" s="77" t="str">
        <f ca="1">IF(MOD(ROW(),2)=1, OFFSET(CT!$A$1,INT(ROW()/2)+1,COLUMN(CT!B71)-1),"")</f>
        <v>02/NTP</v>
      </c>
      <c r="C75" s="77" t="str">
        <f ca="1">IF(MOD(ROW(),2)=1, OFFSET(CT!$A$1,INT(ROW()/2)+1,COLUMN(CT!C71)-1),"")</f>
        <v>Tạm nhập kho BT</v>
      </c>
      <c r="D75" s="23" t="str">
        <f ca="1">OFFSET(CT!$A$1,INT((ROW()+1)/2),IF(MOD(ROW(),2)=1,COLUMN(CT!$D$5)-1,COLUMN(CT!$E$5)-1))</f>
        <v>1551.0201</v>
      </c>
      <c r="E75" s="78">
        <f ca="1">IF(MOD(ROW(),2)=1,OFFSET(CT!$A$1,INT(ROW()/2)+1,COLUMN(CT!$H$3)-1),0)</f>
        <v>60000000</v>
      </c>
      <c r="F75" s="78">
        <f ca="1">IF(MOD(ROW(),2)=0,OFFSET(CT!$A$1,INT(ROW()/2),COLUMN(CT!$H$3)-1),0)</f>
        <v>0</v>
      </c>
      <c r="G75" s="153" t="str">
        <f ca="1">IF(OFFSET(CT!$A$1,INT((ROW()+1)/2),COLUMN(CT!$N$3)-1)="No","False","True")</f>
        <v>True</v>
      </c>
    </row>
    <row r="76" spans="1:7" ht="15.6" x14ac:dyDescent="0.3">
      <c r="A76" s="77" t="str">
        <f ca="1">IF(MOD(ROW(),2)=1, OFFSET(CT!$A$1,INT(ROW()/2)+1,COLUMN(CT!A72)-1),"")</f>
        <v/>
      </c>
      <c r="B76" s="77" t="str">
        <f ca="1">IF(MOD(ROW(),2)=1, OFFSET(CT!$A$1,INT(ROW()/2)+1,COLUMN(CT!B72)-1),"")</f>
        <v/>
      </c>
      <c r="C76" s="77" t="str">
        <f ca="1">IF(MOD(ROW(),2)=1, OFFSET(CT!$A$1,INT(ROW()/2)+1,COLUMN(CT!C72)-1),"")</f>
        <v/>
      </c>
      <c r="D76" s="23" t="str">
        <f ca="1">OFFSET(CT!$A$1,INT((ROW()+1)/2),IF(MOD(ROW(),2)=1,COLUMN(CT!$D$5)-1,COLUMN(CT!$E$5)-1))</f>
        <v>154.03</v>
      </c>
      <c r="E76" s="78">
        <f ca="1">IF(MOD(ROW(),2)=1,OFFSET(CT!$A$1,INT(ROW()/2)+1,COLUMN(CT!$H$3)-1),0)</f>
        <v>0</v>
      </c>
      <c r="F76" s="78">
        <f ca="1">IF(MOD(ROW(),2)=0,OFFSET(CT!$A$1,INT(ROW()/2),COLUMN(CT!$H$3)-1),0)</f>
        <v>60000000</v>
      </c>
      <c r="G76" s="153" t="str">
        <f ca="1">IF(OFFSET(CT!$A$1,INT((ROW()+1)/2),COLUMN(CT!$N$3)-1)="No","False","True")</f>
        <v>True</v>
      </c>
    </row>
    <row r="77" spans="1:7" ht="15.6" x14ac:dyDescent="0.3">
      <c r="A77" s="77">
        <f ca="1">IF(MOD(ROW(),2)=1, OFFSET(CT!$A$1,INT(ROW()/2)+1,COLUMN(CT!A73)-1),"")</f>
        <v>45314</v>
      </c>
      <c r="B77" s="77" t="str">
        <f ca="1">IF(MOD(ROW(),2)=1, OFFSET(CT!$A$1,INT(ROW()/2)+1,COLUMN(CT!B73)-1),"")</f>
        <v>01/NTP</v>
      </c>
      <c r="C77" s="77" t="str">
        <f ca="1">IF(MOD(ROW(),2)=1, OFFSET(CT!$A$1,INT(ROW()/2)+1,COLUMN(CT!C73)-1),"")</f>
        <v>Tạm nhập kho GTV</v>
      </c>
      <c r="D77" s="23" t="str">
        <f ca="1">OFFSET(CT!$A$1,INT((ROW()+1)/2),IF(MOD(ROW(),2)=1,COLUMN(CT!$D$5)-1,COLUMN(CT!$E$5)-1))</f>
        <v>1551.0101</v>
      </c>
      <c r="E77" s="78">
        <f ca="1">IF(MOD(ROW(),2)=1,OFFSET(CT!$A$1,INT(ROW()/2)+1,COLUMN(CT!$H$3)-1),0)</f>
        <v>101250000</v>
      </c>
      <c r="F77" s="78">
        <f ca="1">IF(MOD(ROW(),2)=0,OFFSET(CT!$A$1,INT(ROW()/2),COLUMN(CT!$H$3)-1),0)</f>
        <v>0</v>
      </c>
      <c r="G77" s="153" t="str">
        <f ca="1">IF(OFFSET(CT!$A$1,INT((ROW()+1)/2),COLUMN(CT!$N$3)-1)="No","False","True")</f>
        <v>True</v>
      </c>
    </row>
    <row r="78" spans="1:7" ht="15.6" x14ac:dyDescent="0.3">
      <c r="A78" s="77" t="str">
        <f ca="1">IF(MOD(ROW(),2)=1, OFFSET(CT!$A$1,INT(ROW()/2)+1,COLUMN(CT!A74)-1),"")</f>
        <v/>
      </c>
      <c r="B78" s="77" t="str">
        <f ca="1">IF(MOD(ROW(),2)=1, OFFSET(CT!$A$1,INT(ROW()/2)+1,COLUMN(CT!B74)-1),"")</f>
        <v/>
      </c>
      <c r="C78" s="77" t="str">
        <f ca="1">IF(MOD(ROW(),2)=1, OFFSET(CT!$A$1,INT(ROW()/2)+1,COLUMN(CT!C74)-1),"")</f>
        <v/>
      </c>
      <c r="D78" s="23" t="str">
        <f ca="1">OFFSET(CT!$A$1,INT((ROW()+1)/2),IF(MOD(ROW(),2)=1,COLUMN(CT!$D$5)-1,COLUMN(CT!$E$5)-1))</f>
        <v>154.01</v>
      </c>
      <c r="E78" s="78">
        <f ca="1">IF(MOD(ROW(),2)=1,OFFSET(CT!$A$1,INT(ROW()/2)+1,COLUMN(CT!$H$3)-1),0)</f>
        <v>0</v>
      </c>
      <c r="F78" s="78">
        <f ca="1">IF(MOD(ROW(),2)=0,OFFSET(CT!$A$1,INT(ROW()/2),COLUMN(CT!$H$3)-1),0)</f>
        <v>101250000</v>
      </c>
      <c r="G78" s="153" t="str">
        <f ca="1">IF(OFFSET(CT!$A$1,INT((ROW()+1)/2),COLUMN(CT!$N$3)-1)="No","False","True")</f>
        <v>True</v>
      </c>
    </row>
    <row r="79" spans="1:7" ht="15.6" x14ac:dyDescent="0.3">
      <c r="A79" s="77">
        <f ca="1">IF(MOD(ROW(),2)=1, OFFSET(CT!$A$1,INT(ROW()/2)+1,COLUMN(CT!A75)-1),"")</f>
        <v>45315</v>
      </c>
      <c r="B79" s="77" t="str">
        <f ca="1">IF(MOD(ROW(),2)=1, OFFSET(CT!$A$1,INT(ROW()/2)+1,COLUMN(CT!B75)-1),"")</f>
        <v>03/NTP</v>
      </c>
      <c r="C79" s="77" t="str">
        <f ca="1">IF(MOD(ROW(),2)=1, OFFSET(CT!$A$1,INT(ROW()/2)+1,COLUMN(CT!C75)-1),"")</f>
        <v>Tạm nhập kho GKT</v>
      </c>
      <c r="D79" s="23" t="str">
        <f ca="1">OFFSET(CT!$A$1,INT((ROW()+1)/2),IF(MOD(ROW(),2)=1,COLUMN(CT!$D$5)-1,COLUMN(CT!$E$5)-1))</f>
        <v>1551.0102</v>
      </c>
      <c r="E79" s="78">
        <f ca="1">IF(MOD(ROW(),2)=1,OFFSET(CT!$A$1,INT(ROW()/2)+1,COLUMN(CT!$H$3)-1),0)</f>
        <v>60000000</v>
      </c>
      <c r="F79" s="78">
        <f ca="1">IF(MOD(ROW(),2)=0,OFFSET(CT!$A$1,INT(ROW()/2),COLUMN(CT!$H$3)-1),0)</f>
        <v>0</v>
      </c>
      <c r="G79" s="153" t="str">
        <f ca="1">IF(OFFSET(CT!$A$1,INT((ROW()+1)/2),COLUMN(CT!$N$3)-1)="No","False","True")</f>
        <v>True</v>
      </c>
    </row>
    <row r="80" spans="1:7" ht="15.6" x14ac:dyDescent="0.3">
      <c r="A80" s="77" t="str">
        <f ca="1">IF(MOD(ROW(),2)=1, OFFSET(CT!$A$1,INT(ROW()/2)+1,COLUMN(CT!A76)-1),"")</f>
        <v/>
      </c>
      <c r="B80" s="77" t="str">
        <f ca="1">IF(MOD(ROW(),2)=1, OFFSET(CT!$A$1,INT(ROW()/2)+1,COLUMN(CT!B76)-1),"")</f>
        <v/>
      </c>
      <c r="C80" s="77" t="str">
        <f ca="1">IF(MOD(ROW(),2)=1, OFFSET(CT!$A$1,INT(ROW()/2)+1,COLUMN(CT!C76)-1),"")</f>
        <v/>
      </c>
      <c r="D80" s="23" t="str">
        <f ca="1">OFFSET(CT!$A$1,INT((ROW()+1)/2),IF(MOD(ROW(),2)=1,COLUMN(CT!$D$5)-1,COLUMN(CT!$E$5)-1))</f>
        <v>154.02</v>
      </c>
      <c r="E80" s="78">
        <f ca="1">IF(MOD(ROW(),2)=1,OFFSET(CT!$A$1,INT(ROW()/2)+1,COLUMN(CT!$H$3)-1),0)</f>
        <v>0</v>
      </c>
      <c r="F80" s="78">
        <f ca="1">IF(MOD(ROW(),2)=0,OFFSET(CT!$A$1,INT(ROW()/2),COLUMN(CT!$H$3)-1),0)</f>
        <v>60000000</v>
      </c>
      <c r="G80" s="153" t="str">
        <f ca="1">IF(OFFSET(CT!$A$1,INT((ROW()+1)/2),COLUMN(CT!$N$3)-1)="No","False","True")</f>
        <v>True</v>
      </c>
    </row>
    <row r="81" spans="1:7" ht="15.6" x14ac:dyDescent="0.3">
      <c r="A81" s="77">
        <f ca="1">IF(MOD(ROW(),2)=1, OFFSET(CT!$A$1,INT(ROW()/2)+1,COLUMN(CT!A77)-1),"")</f>
        <v>45316</v>
      </c>
      <c r="B81" s="77" t="str">
        <f ca="1">IF(MOD(ROW(),2)=1, OFFSET(CT!$A$1,INT(ROW()/2)+1,COLUMN(CT!B77)-1),"")</f>
        <v>02/BTP</v>
      </c>
      <c r="C81" s="77" t="str">
        <f ca="1">IF(MOD(ROW(),2)=1, OFFSET(CT!$A$1,INT(ROW()/2)+1,COLUMN(CT!C77)-1),"")</f>
        <v>Thuế GTGT Bán GKT cho Cty XNK Vật Tư</v>
      </c>
      <c r="D81" s="23" t="str">
        <f ca="1">OFFSET(CT!$A$1,INT((ROW()+1)/2),IF(MOD(ROW(),2)=1,COLUMN(CT!$D$5)-1,COLUMN(CT!$E$5)-1))</f>
        <v>1311.06</v>
      </c>
      <c r="E81" s="78">
        <f ca="1">IF(MOD(ROW(),2)=1,OFFSET(CT!$A$1,INT(ROW()/2)+1,COLUMN(CT!$H$3)-1),0)</f>
        <v>3000000</v>
      </c>
      <c r="F81" s="78">
        <f ca="1">IF(MOD(ROW(),2)=0,OFFSET(CT!$A$1,INT(ROW()/2),COLUMN(CT!$H$3)-1),0)</f>
        <v>0</v>
      </c>
      <c r="G81" s="153" t="str">
        <f ca="1">IF(OFFSET(CT!$A$1,INT((ROW()+1)/2),COLUMN(CT!$N$3)-1)="No","False","True")</f>
        <v>True</v>
      </c>
    </row>
    <row r="82" spans="1:7" ht="15.6" x14ac:dyDescent="0.3">
      <c r="A82" s="77" t="str">
        <f ca="1">IF(MOD(ROW(),2)=1, OFFSET(CT!$A$1,INT(ROW()/2)+1,COLUMN(CT!A78)-1),"")</f>
        <v/>
      </c>
      <c r="B82" s="77" t="str">
        <f ca="1">IF(MOD(ROW(),2)=1, OFFSET(CT!$A$1,INT(ROW()/2)+1,COLUMN(CT!B78)-1),"")</f>
        <v/>
      </c>
      <c r="C82" s="77" t="str">
        <f ca="1">IF(MOD(ROW(),2)=1, OFFSET(CT!$A$1,INT(ROW()/2)+1,COLUMN(CT!C78)-1),"")</f>
        <v/>
      </c>
      <c r="D82" s="23" t="str">
        <f ca="1">OFFSET(CT!$A$1,INT((ROW()+1)/2),IF(MOD(ROW(),2)=1,COLUMN(CT!$D$5)-1,COLUMN(CT!$E$5)-1))</f>
        <v>33311</v>
      </c>
      <c r="E82" s="78">
        <f ca="1">IF(MOD(ROW(),2)=1,OFFSET(CT!$A$1,INT(ROW()/2)+1,COLUMN(CT!$H$3)-1),0)</f>
        <v>0</v>
      </c>
      <c r="F82" s="78">
        <f ca="1">IF(MOD(ROW(),2)=0,OFFSET(CT!$A$1,INT(ROW()/2),COLUMN(CT!$H$3)-1),0)</f>
        <v>3000000</v>
      </c>
      <c r="G82" s="153" t="str">
        <f ca="1">IF(OFFSET(CT!$A$1,INT((ROW()+1)/2),COLUMN(CT!$N$3)-1)="No","False","True")</f>
        <v>True</v>
      </c>
    </row>
    <row r="83" spans="1:7" ht="15.6" x14ac:dyDescent="0.3">
      <c r="A83" s="77">
        <f ca="1">IF(MOD(ROW(),2)=1, OFFSET(CT!$A$1,INT(ROW()/2)+1,COLUMN(CT!A79)-1),"")</f>
        <v>45316</v>
      </c>
      <c r="B83" s="77" t="str">
        <f ca="1">IF(MOD(ROW(),2)=1, OFFSET(CT!$A$1,INT(ROW()/2)+1,COLUMN(CT!B79)-1),"")</f>
        <v>01/BTP</v>
      </c>
      <c r="C83" s="77" t="str">
        <f ca="1">IF(MOD(ROW(),2)=1, OFFSET(CT!$A$1,INT(ROW()/2)+1,COLUMN(CT!C79)-1),"")</f>
        <v>Thuế GTGT Bán GTV cho Cty Nam Việt</v>
      </c>
      <c r="D83" s="23" t="str">
        <f ca="1">OFFSET(CT!$A$1,INT((ROW()+1)/2),IF(MOD(ROW(),2)=1,COLUMN(CT!$D$5)-1,COLUMN(CT!$E$5)-1))</f>
        <v>1311.05</v>
      </c>
      <c r="E83" s="78">
        <f ca="1">IF(MOD(ROW(),2)=1,OFFSET(CT!$A$1,INT(ROW()/2)+1,COLUMN(CT!$H$3)-1),0)</f>
        <v>150000</v>
      </c>
      <c r="F83" s="78">
        <f ca="1">IF(MOD(ROW(),2)=0,OFFSET(CT!$A$1,INT(ROW()/2),COLUMN(CT!$H$3)-1),0)</f>
        <v>0</v>
      </c>
      <c r="G83" s="153" t="str">
        <f ca="1">IF(OFFSET(CT!$A$1,INT((ROW()+1)/2),COLUMN(CT!$N$3)-1)="No","False","True")</f>
        <v>True</v>
      </c>
    </row>
    <row r="84" spans="1:7" ht="15.6" x14ac:dyDescent="0.3">
      <c r="A84" s="77" t="str">
        <f ca="1">IF(MOD(ROW(),2)=1, OFFSET(CT!$A$1,INT(ROW()/2)+1,COLUMN(CT!A80)-1),"")</f>
        <v/>
      </c>
      <c r="B84" s="77" t="str">
        <f ca="1">IF(MOD(ROW(),2)=1, OFFSET(CT!$A$1,INT(ROW()/2)+1,COLUMN(CT!B80)-1),"")</f>
        <v/>
      </c>
      <c r="C84" s="77" t="str">
        <f ca="1">IF(MOD(ROW(),2)=1, OFFSET(CT!$A$1,INT(ROW()/2)+1,COLUMN(CT!C80)-1),"")</f>
        <v/>
      </c>
      <c r="D84" s="23" t="str">
        <f ca="1">OFFSET(CT!$A$1,INT((ROW()+1)/2),IF(MOD(ROW(),2)=1,COLUMN(CT!$D$5)-1,COLUMN(CT!$E$5)-1))</f>
        <v>33311</v>
      </c>
      <c r="E84" s="78">
        <f ca="1">IF(MOD(ROW(),2)=1,OFFSET(CT!$A$1,INT(ROW()/2)+1,COLUMN(CT!$H$3)-1),0)</f>
        <v>0</v>
      </c>
      <c r="F84" s="78">
        <f ca="1">IF(MOD(ROW(),2)=0,OFFSET(CT!$A$1,INT(ROW()/2),COLUMN(CT!$H$3)-1),0)</f>
        <v>150000</v>
      </c>
      <c r="G84" s="153" t="str">
        <f ca="1">IF(OFFSET(CT!$A$1,INT((ROW()+1)/2),COLUMN(CT!$N$3)-1)="No","False","True")</f>
        <v>True</v>
      </c>
    </row>
    <row r="85" spans="1:7" ht="15.6" x14ac:dyDescent="0.3">
      <c r="A85" s="77">
        <f ca="1">IF(MOD(ROW(),2)=1, OFFSET(CT!$A$1,INT(ROW()/2)+1,COLUMN(CT!A81)-1),"")</f>
        <v>45316</v>
      </c>
      <c r="B85" s="77" t="str">
        <f ca="1">IF(MOD(ROW(),2)=1, OFFSET(CT!$A$1,INT(ROW()/2)+1,COLUMN(CT!B81)-1),"")</f>
        <v>02/BTP</v>
      </c>
      <c r="C85" s="77" t="str">
        <f ca="1">IF(MOD(ROW(),2)=1, OFFSET(CT!$A$1,INT(ROW()/2)+1,COLUMN(CT!C81)-1),"")</f>
        <v>Thuế GTGT Bán BO cho Cty XNK Vật Tư</v>
      </c>
      <c r="D85" s="23" t="str">
        <f ca="1">OFFSET(CT!$A$1,INT((ROW()+1)/2),IF(MOD(ROW(),2)=1,COLUMN(CT!$D$5)-1,COLUMN(CT!$E$5)-1))</f>
        <v>1311.06</v>
      </c>
      <c r="E85" s="78">
        <f ca="1">IF(MOD(ROW(),2)=1,OFFSET(CT!$A$1,INT(ROW()/2)+1,COLUMN(CT!$H$3)-1),0)</f>
        <v>7500</v>
      </c>
      <c r="F85" s="78">
        <f ca="1">IF(MOD(ROW(),2)=0,OFFSET(CT!$A$1,INT(ROW()/2),COLUMN(CT!$H$3)-1),0)</f>
        <v>0</v>
      </c>
      <c r="G85" s="153" t="str">
        <f ca="1">IF(OFFSET(CT!$A$1,INT((ROW()+1)/2),COLUMN(CT!$N$3)-1)="No","False","True")</f>
        <v>True</v>
      </c>
    </row>
    <row r="86" spans="1:7" ht="15.6" x14ac:dyDescent="0.3">
      <c r="A86" s="77" t="str">
        <f ca="1">IF(MOD(ROW(),2)=1, OFFSET(CT!$A$1,INT(ROW()/2)+1,COLUMN(CT!A82)-1),"")</f>
        <v/>
      </c>
      <c r="B86" s="77" t="str">
        <f ca="1">IF(MOD(ROW(),2)=1, OFFSET(CT!$A$1,INT(ROW()/2)+1,COLUMN(CT!B82)-1),"")</f>
        <v/>
      </c>
      <c r="C86" s="77" t="str">
        <f ca="1">IF(MOD(ROW(),2)=1, OFFSET(CT!$A$1,INT(ROW()/2)+1,COLUMN(CT!C82)-1),"")</f>
        <v/>
      </c>
      <c r="D86" s="23" t="str">
        <f ca="1">OFFSET(CT!$A$1,INT((ROW()+1)/2),IF(MOD(ROW(),2)=1,COLUMN(CT!$D$5)-1,COLUMN(CT!$E$5)-1))</f>
        <v>33311</v>
      </c>
      <c r="E86" s="78">
        <f ca="1">IF(MOD(ROW(),2)=1,OFFSET(CT!$A$1,INT(ROW()/2)+1,COLUMN(CT!$H$3)-1),0)</f>
        <v>0</v>
      </c>
      <c r="F86" s="78">
        <f ca="1">IF(MOD(ROW(),2)=0,OFFSET(CT!$A$1,INT(ROW()/2),COLUMN(CT!$H$3)-1),0)</f>
        <v>7500</v>
      </c>
      <c r="G86" s="153" t="str">
        <f ca="1">IF(OFFSET(CT!$A$1,INT((ROW()+1)/2),COLUMN(CT!$N$3)-1)="No","False","True")</f>
        <v>True</v>
      </c>
    </row>
    <row r="87" spans="1:7" ht="15.6" x14ac:dyDescent="0.3">
      <c r="A87" s="77">
        <f ca="1">IF(MOD(ROW(),2)=1, OFFSET(CT!$A$1,INT(ROW()/2)+1,COLUMN(CT!A83)-1),"")</f>
        <v>45316</v>
      </c>
      <c r="B87" s="77" t="str">
        <f ca="1">IF(MOD(ROW(),2)=1, OFFSET(CT!$A$1,INT(ROW()/2)+1,COLUMN(CT!B83)-1),"")</f>
        <v>02/BTP</v>
      </c>
      <c r="C87" s="77" t="str">
        <f ca="1">IF(MOD(ROW(),2)=1, OFFSET(CT!$A$1,INT(ROW()/2)+1,COLUMN(CT!C83)-1),"")</f>
        <v>Bán GKT cho Cty XNK Vật Tư</v>
      </c>
      <c r="D87" s="23" t="str">
        <f ca="1">OFFSET(CT!$A$1,INT((ROW()+1)/2),IF(MOD(ROW(),2)=1,COLUMN(CT!$D$5)-1,COLUMN(CT!$E$5)-1))</f>
        <v>632.0102</v>
      </c>
      <c r="E87" s="78">
        <f ca="1">IF(MOD(ROW(),2)=1,OFFSET(CT!$A$1,INT(ROW()/2)+1,COLUMN(CT!$H$3)-1),0)</f>
        <v>20000000</v>
      </c>
      <c r="F87" s="78">
        <f ca="1">IF(MOD(ROW(),2)=0,OFFSET(CT!$A$1,INT(ROW()/2),COLUMN(CT!$H$3)-1),0)</f>
        <v>0</v>
      </c>
      <c r="G87" s="153" t="str">
        <f ca="1">IF(OFFSET(CT!$A$1,INT((ROW()+1)/2),COLUMN(CT!$N$3)-1)="No","False","True")</f>
        <v>True</v>
      </c>
    </row>
    <row r="88" spans="1:7" ht="15.6" x14ac:dyDescent="0.3">
      <c r="A88" s="77" t="str">
        <f ca="1">IF(MOD(ROW(),2)=1, OFFSET(CT!$A$1,INT(ROW()/2)+1,COLUMN(CT!A84)-1),"")</f>
        <v/>
      </c>
      <c r="B88" s="77" t="str">
        <f ca="1">IF(MOD(ROW(),2)=1, OFFSET(CT!$A$1,INT(ROW()/2)+1,COLUMN(CT!B84)-1),"")</f>
        <v/>
      </c>
      <c r="C88" s="77" t="str">
        <f ca="1">IF(MOD(ROW(),2)=1, OFFSET(CT!$A$1,INT(ROW()/2)+1,COLUMN(CT!C84)-1),"")</f>
        <v/>
      </c>
      <c r="D88" s="23" t="str">
        <f ca="1">OFFSET(CT!$A$1,INT((ROW()+1)/2),IF(MOD(ROW(),2)=1,COLUMN(CT!$D$5)-1,COLUMN(CT!$E$5)-1))</f>
        <v>1551.0102</v>
      </c>
      <c r="E88" s="78">
        <f ca="1">IF(MOD(ROW(),2)=1,OFFSET(CT!$A$1,INT(ROW()/2)+1,COLUMN(CT!$H$3)-1),0)</f>
        <v>0</v>
      </c>
      <c r="F88" s="78">
        <f ca="1">IF(MOD(ROW(),2)=0,OFFSET(CT!$A$1,INT(ROW()/2),COLUMN(CT!$H$3)-1),0)</f>
        <v>20000000</v>
      </c>
      <c r="G88" s="153" t="str">
        <f ca="1">IF(OFFSET(CT!$A$1,INT((ROW()+1)/2),COLUMN(CT!$N$3)-1)="No","False","True")</f>
        <v>True</v>
      </c>
    </row>
    <row r="89" spans="1:7" ht="15.6" x14ac:dyDescent="0.3">
      <c r="A89" s="77">
        <f ca="1">IF(MOD(ROW(),2)=1, OFFSET(CT!$A$1,INT(ROW()/2)+1,COLUMN(CT!A85)-1),"")</f>
        <v>45316</v>
      </c>
      <c r="B89" s="77" t="str">
        <f ca="1">IF(MOD(ROW(),2)=1, OFFSET(CT!$A$1,INT(ROW()/2)+1,COLUMN(CT!B85)-1),"")</f>
        <v>01/BTP</v>
      </c>
      <c r="C89" s="77" t="str">
        <f ca="1">IF(MOD(ROW(),2)=1, OFFSET(CT!$A$1,INT(ROW()/2)+1,COLUMN(CT!C85)-1),"")</f>
        <v>Bán GTV cho Cty Nam Việt</v>
      </c>
      <c r="D89" s="23" t="str">
        <f ca="1">OFFSET(CT!$A$1,INT((ROW()+1)/2),IF(MOD(ROW(),2)=1,COLUMN(CT!$D$5)-1,COLUMN(CT!$E$5)-1))</f>
        <v>632.0101</v>
      </c>
      <c r="E89" s="78">
        <f ca="1">IF(MOD(ROW(),2)=1,OFFSET(CT!$A$1,INT(ROW()/2)+1,COLUMN(CT!$H$3)-1),0)</f>
        <v>25000000</v>
      </c>
      <c r="F89" s="78">
        <f ca="1">IF(MOD(ROW(),2)=0,OFFSET(CT!$A$1,INT(ROW()/2),COLUMN(CT!$H$3)-1),0)</f>
        <v>0</v>
      </c>
      <c r="G89" s="153" t="str">
        <f ca="1">IF(OFFSET(CT!$A$1,INT((ROW()+1)/2),COLUMN(CT!$N$3)-1)="No","False","True")</f>
        <v>True</v>
      </c>
    </row>
    <row r="90" spans="1:7" ht="15.6" x14ac:dyDescent="0.3">
      <c r="A90" s="77" t="str">
        <f ca="1">IF(MOD(ROW(),2)=1, OFFSET(CT!$A$1,INT(ROW()/2)+1,COLUMN(CT!A86)-1),"")</f>
        <v/>
      </c>
      <c r="B90" s="77" t="str">
        <f ca="1">IF(MOD(ROW(),2)=1, OFFSET(CT!$A$1,INT(ROW()/2)+1,COLUMN(CT!B86)-1),"")</f>
        <v/>
      </c>
      <c r="C90" s="77" t="str">
        <f ca="1">IF(MOD(ROW(),2)=1, OFFSET(CT!$A$1,INT(ROW()/2)+1,COLUMN(CT!C86)-1),"")</f>
        <v/>
      </c>
      <c r="D90" s="23" t="str">
        <f ca="1">OFFSET(CT!$A$1,INT((ROW()+1)/2),IF(MOD(ROW(),2)=1,COLUMN(CT!$D$5)-1,COLUMN(CT!$E$5)-1))</f>
        <v>1551.0101</v>
      </c>
      <c r="E90" s="78">
        <f ca="1">IF(MOD(ROW(),2)=1,OFFSET(CT!$A$1,INT(ROW()/2)+1,COLUMN(CT!$H$3)-1),0)</f>
        <v>0</v>
      </c>
      <c r="F90" s="78">
        <f ca="1">IF(MOD(ROW(),2)=0,OFFSET(CT!$A$1,INT(ROW()/2),COLUMN(CT!$H$3)-1),0)</f>
        <v>25000000</v>
      </c>
      <c r="G90" s="153" t="str">
        <f ca="1">IF(OFFSET(CT!$A$1,INT((ROW()+1)/2),COLUMN(CT!$N$3)-1)="No","False","True")</f>
        <v>True</v>
      </c>
    </row>
    <row r="91" spans="1:7" ht="15.6" x14ac:dyDescent="0.3">
      <c r="A91" s="77">
        <f ca="1">IF(MOD(ROW(),2)=1, OFFSET(CT!$A$1,INT(ROW()/2)+1,COLUMN(CT!A87)-1),"")</f>
        <v>45316</v>
      </c>
      <c r="B91" s="77" t="str">
        <f ca="1">IF(MOD(ROW(),2)=1, OFFSET(CT!$A$1,INT(ROW()/2)+1,COLUMN(CT!B87)-1),"")</f>
        <v>02/BTP</v>
      </c>
      <c r="C91" s="77" t="str">
        <f ca="1">IF(MOD(ROW(),2)=1, OFFSET(CT!$A$1,INT(ROW()/2)+1,COLUMN(CT!C87)-1),"")</f>
        <v>Bán BO cho Cty XNK Vật Tư</v>
      </c>
      <c r="D91" s="23" t="str">
        <f ca="1">OFFSET(CT!$A$1,INT((ROW()+1)/2),IF(MOD(ROW(),2)=1,COLUMN(CT!$D$5)-1,COLUMN(CT!$E$5)-1))</f>
        <v>632.0202</v>
      </c>
      <c r="E91" s="78">
        <f ca="1">IF(MOD(ROW(),2)=1,OFFSET(CT!$A$1,INT(ROW()/2)+1,COLUMN(CT!$H$3)-1),0)</f>
        <v>25000000</v>
      </c>
      <c r="F91" s="78">
        <f ca="1">IF(MOD(ROW(),2)=0,OFFSET(CT!$A$1,INT(ROW()/2),COLUMN(CT!$H$3)-1),0)</f>
        <v>0</v>
      </c>
      <c r="G91" s="153" t="str">
        <f ca="1">IF(OFFSET(CT!$A$1,INT((ROW()+1)/2),COLUMN(CT!$N$3)-1)="No","False","True")</f>
        <v>True</v>
      </c>
    </row>
    <row r="92" spans="1:7" ht="15.6" x14ac:dyDescent="0.3">
      <c r="A92" s="77" t="str">
        <f ca="1">IF(MOD(ROW(),2)=1, OFFSET(CT!$A$1,INT(ROW()/2)+1,COLUMN(CT!A88)-1),"")</f>
        <v/>
      </c>
      <c r="B92" s="77" t="str">
        <f ca="1">IF(MOD(ROW(),2)=1, OFFSET(CT!$A$1,INT(ROW()/2)+1,COLUMN(CT!B88)-1),"")</f>
        <v/>
      </c>
      <c r="C92" s="77" t="str">
        <f ca="1">IF(MOD(ROW(),2)=1, OFFSET(CT!$A$1,INT(ROW()/2)+1,COLUMN(CT!C88)-1),"")</f>
        <v/>
      </c>
      <c r="D92" s="23" t="str">
        <f ca="1">OFFSET(CT!$A$1,INT((ROW()+1)/2),IF(MOD(ROW(),2)=1,COLUMN(CT!$D$5)-1,COLUMN(CT!$E$5)-1))</f>
        <v>1551.0202</v>
      </c>
      <c r="E92" s="78">
        <f ca="1">IF(MOD(ROW(),2)=1,OFFSET(CT!$A$1,INT(ROW()/2)+1,COLUMN(CT!$H$3)-1),0)</f>
        <v>0</v>
      </c>
      <c r="F92" s="78">
        <f ca="1">IF(MOD(ROW(),2)=0,OFFSET(CT!$A$1,INT(ROW()/2),COLUMN(CT!$H$3)-1),0)</f>
        <v>25000000</v>
      </c>
      <c r="G92" s="153" t="str">
        <f ca="1">IF(OFFSET(CT!$A$1,INT((ROW()+1)/2),COLUMN(CT!$N$3)-1)="No","False","True")</f>
        <v>True</v>
      </c>
    </row>
    <row r="93" spans="1:7" hidden="1" x14ac:dyDescent="0.25">
      <c r="A93" s="68">
        <f ca="1">IF(MOD(ROW(),2)=1, OFFSET(CT!$A$1,INT(ROW()/2)+1,COLUMN(CT!A89)-1),"")</f>
        <v>45316</v>
      </c>
      <c r="B93" s="68" t="str">
        <f ca="1">IF(MOD(ROW(),2)=1, OFFSET(CT!$A$1,INT(ROW()/2)+1,COLUMN(CT!B89)-1),"")</f>
        <v>02/BTP</v>
      </c>
      <c r="C93" s="68" t="str">
        <f ca="1">IF(MOD(ROW(),2)=1, OFFSET(CT!$A$1,INT(ROW()/2)+1,COLUMN(CT!C89)-1),"")</f>
        <v>Bán GKT cho Cty XNK Vật Tư</v>
      </c>
      <c r="D93" s="65" t="str">
        <f ca="1">OFFSET(CT!$A$1,INT((ROW()+1)/2),IF(MOD(ROW(),2)=1,COLUMN(CT!$D$5)-1,COLUMN(CT!$E$5)-1))</f>
        <v>1311.06</v>
      </c>
      <c r="E93" s="69">
        <f ca="1">IF(MOD(ROW(),2)=1,OFFSET(CT!$A$1,INT(ROW()/2)+1,COLUMN(CT!$H$3)-1),0)</f>
        <v>28000000</v>
      </c>
      <c r="F93" s="69">
        <f ca="1">IF(MOD(ROW(),2)=0,OFFSET(CT!$A$1,INT(ROW()/2),COLUMN(CT!$H$3)-1),0)</f>
        <v>0</v>
      </c>
      <c r="G93" s="152" t="str">
        <f ca="1">IF(OFFSET(CT!$A$1,INT((ROW()+1)/2),COLUMN(CT!$N$3)-1)="No","False","True")</f>
        <v>False</v>
      </c>
    </row>
    <row r="94" spans="1:7" hidden="1" x14ac:dyDescent="0.25">
      <c r="A94" s="68" t="str">
        <f ca="1">IF(MOD(ROW(),2)=1, OFFSET(CT!$A$1,INT(ROW()/2)+1,COLUMN(CT!A90)-1),"")</f>
        <v/>
      </c>
      <c r="B94" s="68" t="str">
        <f ca="1">IF(MOD(ROW(),2)=1, OFFSET(CT!$A$1,INT(ROW()/2)+1,COLUMN(CT!B90)-1),"")</f>
        <v/>
      </c>
      <c r="C94" s="68" t="str">
        <f ca="1">IF(MOD(ROW(),2)=1, OFFSET(CT!$A$1,INT(ROW()/2)+1,COLUMN(CT!C90)-1),"")</f>
        <v/>
      </c>
      <c r="D94" s="65" t="str">
        <f ca="1">OFFSET(CT!$A$1,INT((ROW()+1)/2),IF(MOD(ROW(),2)=1,COLUMN(CT!$D$5)-1,COLUMN(CT!$E$5)-1))</f>
        <v>5112.0102</v>
      </c>
      <c r="E94" s="69">
        <f ca="1">IF(MOD(ROW(),2)=1,OFFSET(CT!$A$1,INT(ROW()/2)+1,COLUMN(CT!$H$3)-1),0)</f>
        <v>0</v>
      </c>
      <c r="F94" s="69">
        <f ca="1">IF(MOD(ROW(),2)=0,OFFSET(CT!$A$1,INT(ROW()/2),COLUMN(CT!$H$3)-1),0)</f>
        <v>28000000</v>
      </c>
      <c r="G94" s="131" t="str">
        <f ca="1">IF(OFFSET(CT!$A$1,INT((ROW()+1)/2),COLUMN(CT!$N$3)-1)="No","False","True")</f>
        <v>False</v>
      </c>
    </row>
    <row r="95" spans="1:7" hidden="1" x14ac:dyDescent="0.25">
      <c r="A95" s="68">
        <f ca="1">IF(MOD(ROW(),2)=1, OFFSET(CT!$A$1,INT(ROW()/2)+1,COLUMN(CT!A91)-1),"")</f>
        <v>45316</v>
      </c>
      <c r="B95" s="68" t="str">
        <f ca="1">IF(MOD(ROW(),2)=1, OFFSET(CT!$A$1,INT(ROW()/2)+1,COLUMN(CT!B91)-1),"")</f>
        <v>01/BTP</v>
      </c>
      <c r="C95" s="68" t="str">
        <f ca="1">IF(MOD(ROW(),2)=1, OFFSET(CT!$A$1,INT(ROW()/2)+1,COLUMN(CT!C91)-1),"")</f>
        <v>Bán GTV cho Cty Nam Việt</v>
      </c>
      <c r="D95" s="65" t="str">
        <f ca="1">OFFSET(CT!$A$1,INT((ROW()+1)/2),IF(MOD(ROW(),2)=1,COLUMN(CT!$D$5)-1,COLUMN(CT!$E$5)-1))</f>
        <v>1311.05</v>
      </c>
      <c r="E95" s="69">
        <f ca="1">IF(MOD(ROW(),2)=1,OFFSET(CT!$A$1,INT(ROW()/2)+1,COLUMN(CT!$H$3)-1),0)</f>
        <v>30000000</v>
      </c>
      <c r="F95" s="69">
        <f ca="1">IF(MOD(ROW(),2)=0,OFFSET(CT!$A$1,INT(ROW()/2),COLUMN(CT!$H$3)-1),0)</f>
        <v>0</v>
      </c>
      <c r="G95" s="131" t="str">
        <f ca="1">IF(OFFSET(CT!$A$1,INT((ROW()+1)/2),COLUMN(CT!$N$3)-1)="No","False","True")</f>
        <v>False</v>
      </c>
    </row>
    <row r="96" spans="1:7" hidden="1" x14ac:dyDescent="0.25">
      <c r="A96" s="68" t="str">
        <f ca="1">IF(MOD(ROW(),2)=1, OFFSET(CT!$A$1,INT(ROW()/2)+1,COLUMN(CT!A92)-1),"")</f>
        <v/>
      </c>
      <c r="B96" s="68" t="str">
        <f ca="1">IF(MOD(ROW(),2)=1, OFFSET(CT!$A$1,INT(ROW()/2)+1,COLUMN(CT!B92)-1),"")</f>
        <v/>
      </c>
      <c r="C96" s="68" t="str">
        <f ca="1">IF(MOD(ROW(),2)=1, OFFSET(CT!$A$1,INT(ROW()/2)+1,COLUMN(CT!C92)-1),"")</f>
        <v/>
      </c>
      <c r="D96" s="65" t="str">
        <f ca="1">OFFSET(CT!$A$1,INT((ROW()+1)/2),IF(MOD(ROW(),2)=1,COLUMN(CT!$D$5)-1,COLUMN(CT!$E$5)-1))</f>
        <v>5112.0101</v>
      </c>
      <c r="E96" s="69">
        <f ca="1">IF(MOD(ROW(),2)=1,OFFSET(CT!$A$1,INT(ROW()/2)+1,COLUMN(CT!$H$3)-1),0)</f>
        <v>0</v>
      </c>
      <c r="F96" s="69">
        <f ca="1">IF(MOD(ROW(),2)=0,OFFSET(CT!$A$1,INT(ROW()/2),COLUMN(CT!$H$3)-1),0)</f>
        <v>30000000</v>
      </c>
      <c r="G96" s="131" t="str">
        <f ca="1">IF(OFFSET(CT!$A$1,INT((ROW()+1)/2),COLUMN(CT!$N$3)-1)="No","False","True")</f>
        <v>False</v>
      </c>
    </row>
    <row r="97" spans="1:7" hidden="1" x14ac:dyDescent="0.25">
      <c r="A97" s="68">
        <f ca="1">IF(MOD(ROW(),2)=1, OFFSET(CT!$A$1,INT(ROW()/2)+1,COLUMN(CT!A93)-1),"")</f>
        <v>45316</v>
      </c>
      <c r="B97" s="68" t="str">
        <f ca="1">IF(MOD(ROW(),2)=1, OFFSET(CT!$A$1,INT(ROW()/2)+1,COLUMN(CT!B93)-1),"")</f>
        <v>02/BTP</v>
      </c>
      <c r="C97" s="68" t="str">
        <f ca="1">IF(MOD(ROW(),2)=1, OFFSET(CT!$A$1,INT(ROW()/2)+1,COLUMN(CT!C93)-1),"")</f>
        <v>Bán BO cho Cty XNK Vật Tư</v>
      </c>
      <c r="D97" s="65" t="str">
        <f ca="1">OFFSET(CT!$A$1,INT((ROW()+1)/2),IF(MOD(ROW(),2)=1,COLUMN(CT!$D$5)-1,COLUMN(CT!$E$5)-1))</f>
        <v>1311.06</v>
      </c>
      <c r="E97" s="69">
        <f ca="1">IF(MOD(ROW(),2)=1,OFFSET(CT!$A$1,INT(ROW()/2)+1,COLUMN(CT!$H$3)-1),0)</f>
        <v>30000000</v>
      </c>
      <c r="F97" s="69">
        <f ca="1">IF(MOD(ROW(),2)=0,OFFSET(CT!$A$1,INT(ROW()/2),COLUMN(CT!$H$3)-1),0)</f>
        <v>0</v>
      </c>
      <c r="G97" s="131" t="str">
        <f ca="1">IF(OFFSET(CT!$A$1,INT((ROW()+1)/2),COLUMN(CT!$N$3)-1)="No","False","True")</f>
        <v>False</v>
      </c>
    </row>
    <row r="98" spans="1:7" hidden="1" x14ac:dyDescent="0.25">
      <c r="A98" s="68" t="str">
        <f ca="1">IF(MOD(ROW(),2)=1, OFFSET(CT!$A$1,INT(ROW()/2)+1,COLUMN(CT!A94)-1),"")</f>
        <v/>
      </c>
      <c r="B98" s="68" t="str">
        <f ca="1">IF(MOD(ROW(),2)=1, OFFSET(CT!$A$1,INT(ROW()/2)+1,COLUMN(CT!B94)-1),"")</f>
        <v/>
      </c>
      <c r="C98" s="68" t="str">
        <f ca="1">IF(MOD(ROW(),2)=1, OFFSET(CT!$A$1,INT(ROW()/2)+1,COLUMN(CT!C94)-1),"")</f>
        <v/>
      </c>
      <c r="D98" s="65" t="str">
        <f ca="1">OFFSET(CT!$A$1,INT((ROW()+1)/2),IF(MOD(ROW(),2)=1,COLUMN(CT!$D$5)-1,COLUMN(CT!$E$5)-1))</f>
        <v>5112.0202</v>
      </c>
      <c r="E98" s="69">
        <f ca="1">IF(MOD(ROW(),2)=1,OFFSET(CT!$A$1,INT(ROW()/2)+1,COLUMN(CT!$H$3)-1),0)</f>
        <v>0</v>
      </c>
      <c r="F98" s="69">
        <f ca="1">IF(MOD(ROW(),2)=0,OFFSET(CT!$A$1,INT(ROW()/2),COLUMN(CT!$H$3)-1),0)</f>
        <v>30000000</v>
      </c>
      <c r="G98" s="131" t="str">
        <f ca="1">IF(OFFSET(CT!$A$1,INT((ROW()+1)/2),COLUMN(CT!$N$3)-1)="No","False","True")</f>
        <v>False</v>
      </c>
    </row>
    <row r="99" spans="1:7" hidden="1" x14ac:dyDescent="0.25">
      <c r="A99" s="68">
        <f ca="1">IF(MOD(ROW(),2)=1, OFFSET(CT!$A$1,INT(ROW()/2)+1,COLUMN(CT!A95)-1),"")</f>
        <v>45319</v>
      </c>
      <c r="B99" s="68" t="str">
        <f ca="1">IF(MOD(ROW(),2)=1, OFFSET(CT!$A$1,INT(ROW()/2)+1,COLUMN(CT!B95)-1),"")</f>
        <v>01/TU</v>
      </c>
      <c r="C99" s="68" t="str">
        <f ca="1">IF(MOD(ROW(),2)=1, OFFSET(CT!$A$1,INT(ROW()/2)+1,COLUMN(CT!C95)-1),"")</f>
        <v>Thanh toán tạm ứng Hồ Sĩ Nhật</v>
      </c>
      <c r="D99" s="65" t="str">
        <f ca="1">OFFSET(CT!$A$1,INT((ROW()+1)/2),IF(MOD(ROW(),2)=1,COLUMN(CT!$D$5)-1,COLUMN(CT!$E$5)-1))</f>
        <v>1111</v>
      </c>
      <c r="E99" s="69">
        <f ca="1">IF(MOD(ROW(),2)=1,OFFSET(CT!$A$1,INT(ROW()/2)+1,COLUMN(CT!$H$3)-1),0)</f>
        <v>200000</v>
      </c>
      <c r="F99" s="69">
        <f ca="1">IF(MOD(ROW(),2)=0,OFFSET(CT!$A$1,INT(ROW()/2),COLUMN(CT!$H$3)-1),0)</f>
        <v>0</v>
      </c>
      <c r="G99" s="131" t="str">
        <f ca="1">IF(OFFSET(CT!$A$1,INT((ROW()+1)/2),COLUMN(CT!$N$3)-1)="No","False","True")</f>
        <v>False</v>
      </c>
    </row>
    <row r="100" spans="1:7" hidden="1" x14ac:dyDescent="0.25">
      <c r="A100" s="68" t="str">
        <f ca="1">IF(MOD(ROW(),2)=1, OFFSET(CT!$A$1,INT(ROW()/2)+1,COLUMN(CT!A96)-1),"")</f>
        <v/>
      </c>
      <c r="B100" s="68" t="str">
        <f ca="1">IF(MOD(ROW(),2)=1, OFFSET(CT!$A$1,INT(ROW()/2)+1,COLUMN(CT!B96)-1),"")</f>
        <v/>
      </c>
      <c r="C100" s="68" t="str">
        <f ca="1">IF(MOD(ROW(),2)=1, OFFSET(CT!$A$1,INT(ROW()/2)+1,COLUMN(CT!C96)-1),"")</f>
        <v/>
      </c>
      <c r="D100" s="65" t="str">
        <f ca="1">OFFSET(CT!$A$1,INT((ROW()+1)/2),IF(MOD(ROW(),2)=1,COLUMN(CT!$D$5)-1,COLUMN(CT!$E$5)-1))</f>
        <v>141.0102</v>
      </c>
      <c r="E100" s="69">
        <f ca="1">IF(MOD(ROW(),2)=1,OFFSET(CT!$A$1,INT(ROW()/2)+1,COLUMN(CT!$H$3)-1),0)</f>
        <v>0</v>
      </c>
      <c r="F100" s="69">
        <f ca="1">IF(MOD(ROW(),2)=0,OFFSET(CT!$A$1,INT(ROW()/2),COLUMN(CT!$H$3)-1),0)</f>
        <v>200000</v>
      </c>
      <c r="G100" s="151" t="str">
        <f ca="1">IF(OFFSET(CT!$A$1,INT((ROW()+1)/2),COLUMN(CT!$N$3)-1)="No","False","True")</f>
        <v>False</v>
      </c>
    </row>
    <row r="101" spans="1:7" ht="15.6" x14ac:dyDescent="0.3">
      <c r="A101" s="77">
        <f ca="1">IF(MOD(ROW(),2)=1, OFFSET(CT!$A$1,INT(ROW()/2)+1,COLUMN(CT!A97)-1),"")</f>
        <v>45319</v>
      </c>
      <c r="B101" s="77" t="str">
        <f ca="1">IF(MOD(ROW(),2)=1, OFFSET(CT!$A$1,INT(ROW()/2)+1,COLUMN(CT!B97)-1),"")</f>
        <v>01/TU</v>
      </c>
      <c r="C101" s="77" t="str">
        <f ca="1">IF(MOD(ROW(),2)=1, OFFSET(CT!$A$1,INT(ROW()/2)+1,COLUMN(CT!C97)-1),"")</f>
        <v>Thanh toán tạm ứng Hồ Sĩ Nhật</v>
      </c>
      <c r="D101" s="23" t="str">
        <f ca="1">OFFSET(CT!$A$1,INT((ROW()+1)/2),IF(MOD(ROW(),2)=1,COLUMN(CT!$D$5)-1,COLUMN(CT!$E$5)-1))</f>
        <v>6428</v>
      </c>
      <c r="E101" s="78">
        <f ca="1">IF(MOD(ROW(),2)=1,OFFSET(CT!$A$1,INT(ROW()/2)+1,COLUMN(CT!$H$3)-1),0)</f>
        <v>1800000</v>
      </c>
      <c r="F101" s="78">
        <f ca="1">IF(MOD(ROW(),2)=0,OFFSET(CT!$A$1,INT(ROW()/2),COLUMN(CT!$H$3)-1),0)</f>
        <v>0</v>
      </c>
      <c r="G101" s="153" t="str">
        <f ca="1">IF(OFFSET(CT!$A$1,INT((ROW()+1)/2),COLUMN(CT!$N$3)-1)="No","False","True")</f>
        <v>True</v>
      </c>
    </row>
    <row r="102" spans="1:7" ht="15.6" x14ac:dyDescent="0.3">
      <c r="A102" s="77" t="str">
        <f ca="1">IF(MOD(ROW(),2)=1, OFFSET(CT!$A$1,INT(ROW()/2)+1,COLUMN(CT!A98)-1),"")</f>
        <v/>
      </c>
      <c r="B102" s="77" t="str">
        <f ca="1">IF(MOD(ROW(),2)=1, OFFSET(CT!$A$1,INT(ROW()/2)+1,COLUMN(CT!B98)-1),"")</f>
        <v/>
      </c>
      <c r="C102" s="77" t="str">
        <f ca="1">IF(MOD(ROW(),2)=1, OFFSET(CT!$A$1,INT(ROW()/2)+1,COLUMN(CT!C98)-1),"")</f>
        <v/>
      </c>
      <c r="D102" s="23" t="str">
        <f ca="1">OFFSET(CT!$A$1,INT((ROW()+1)/2),IF(MOD(ROW(),2)=1,COLUMN(CT!$D$5)-1,COLUMN(CT!$E$5)-1))</f>
        <v>141.0102</v>
      </c>
      <c r="E102" s="78">
        <f ca="1">IF(MOD(ROW(),2)=1,OFFSET(CT!$A$1,INT(ROW()/2)+1,COLUMN(CT!$H$3)-1),0)</f>
        <v>0</v>
      </c>
      <c r="F102" s="78">
        <f ca="1">IF(MOD(ROW(),2)=0,OFFSET(CT!$A$1,INT(ROW()/2),COLUMN(CT!$H$3)-1),0)</f>
        <v>1800000</v>
      </c>
      <c r="G102" s="153" t="str">
        <f ca="1">IF(OFFSET(CT!$A$1,INT((ROW()+1)/2),COLUMN(CT!$N$3)-1)="No","False","True")</f>
        <v>True</v>
      </c>
    </row>
    <row r="103" spans="1:7" hidden="1" x14ac:dyDescent="0.25">
      <c r="A103" s="68">
        <f ca="1">IF(MOD(ROW(),2)=1, OFFSET(CT!$A$1,INT(ROW()/2)+1,COLUMN(CT!A99)-1),"")</f>
        <v>45319</v>
      </c>
      <c r="B103" s="68" t="str">
        <f ca="1">IF(MOD(ROW(),2)=1, OFFSET(CT!$A$1,INT(ROW()/2)+1,COLUMN(CT!B99)-1),"")</f>
        <v>04/PC</v>
      </c>
      <c r="C103" s="68" t="str">
        <f ca="1">IF(MOD(ROW(),2)=1, OFFSET(CT!$A$1,INT(ROW()/2)+1,COLUMN(CT!C99)-1),"")</f>
        <v>Thuế GTGT mua máy xẻ gỗ</v>
      </c>
      <c r="D103" s="65" t="str">
        <f ca="1">OFFSET(CT!$A$1,INT((ROW()+1)/2),IF(MOD(ROW(),2)=1,COLUMN(CT!$D$5)-1,COLUMN(CT!$E$5)-1))</f>
        <v>1332</v>
      </c>
      <c r="E103" s="69">
        <f ca="1">IF(MOD(ROW(),2)=1,OFFSET(CT!$A$1,INT(ROW()/2)+1,COLUMN(CT!$H$3)-1),0)</f>
        <v>14000000</v>
      </c>
      <c r="F103" s="69">
        <f ca="1">IF(MOD(ROW(),2)=0,OFFSET(CT!$A$1,INT(ROW()/2),COLUMN(CT!$H$3)-1),0)</f>
        <v>0</v>
      </c>
      <c r="G103" s="152" t="str">
        <f ca="1">IF(OFFSET(CT!$A$1,INT((ROW()+1)/2),COLUMN(CT!$N$3)-1)="No","False","True")</f>
        <v>False</v>
      </c>
    </row>
    <row r="104" spans="1:7" hidden="1" x14ac:dyDescent="0.25">
      <c r="A104" s="68" t="str">
        <f ca="1">IF(MOD(ROW(),2)=1, OFFSET(CT!$A$1,INT(ROW()/2)+1,COLUMN(CT!A100)-1),"")</f>
        <v/>
      </c>
      <c r="B104" s="68" t="str">
        <f ca="1">IF(MOD(ROW(),2)=1, OFFSET(CT!$A$1,INT(ROW()/2)+1,COLUMN(CT!B100)-1),"")</f>
        <v/>
      </c>
      <c r="C104" s="68" t="str">
        <f ca="1">IF(MOD(ROW(),2)=1, OFFSET(CT!$A$1,INT(ROW()/2)+1,COLUMN(CT!C100)-1),"")</f>
        <v/>
      </c>
      <c r="D104" s="65" t="str">
        <f ca="1">OFFSET(CT!$A$1,INT((ROW()+1)/2),IF(MOD(ROW(),2)=1,COLUMN(CT!$D$5)-1,COLUMN(CT!$E$5)-1))</f>
        <v>1111</v>
      </c>
      <c r="E104" s="69">
        <f ca="1">IF(MOD(ROW(),2)=1,OFFSET(CT!$A$1,INT(ROW()/2)+1,COLUMN(CT!$H$3)-1),0)</f>
        <v>0</v>
      </c>
      <c r="F104" s="69">
        <f ca="1">IF(MOD(ROW(),2)=0,OFFSET(CT!$A$1,INT(ROW()/2),COLUMN(CT!$H$3)-1),0)</f>
        <v>14000000</v>
      </c>
      <c r="G104" s="131" t="str">
        <f ca="1">IF(OFFSET(CT!$A$1,INT((ROW()+1)/2),COLUMN(CT!$N$3)-1)="No","False","True")</f>
        <v>False</v>
      </c>
    </row>
    <row r="105" spans="1:7" hidden="1" x14ac:dyDescent="0.25">
      <c r="A105" s="68">
        <f ca="1">IF(MOD(ROW(),2)=1, OFFSET(CT!$A$1,INT(ROW()/2)+1,COLUMN(CT!A101)-1),"")</f>
        <v>45319</v>
      </c>
      <c r="B105" s="68" t="str">
        <f ca="1">IF(MOD(ROW(),2)=1, OFFSET(CT!$A$1,INT(ROW()/2)+1,COLUMN(CT!B101)-1),"")</f>
        <v>04/PC</v>
      </c>
      <c r="C105" s="68" t="str">
        <f ca="1">IF(MOD(ROW(),2)=1, OFFSET(CT!$A$1,INT(ROW()/2)+1,COLUMN(CT!C101)-1),"")</f>
        <v>Mua máy xẻ gỗ</v>
      </c>
      <c r="D105" s="65" t="str">
        <f ca="1">OFFSET(CT!$A$1,INT((ROW()+1)/2),IF(MOD(ROW(),2)=1,COLUMN(CT!$D$5)-1,COLUMN(CT!$E$5)-1))</f>
        <v>2112.04</v>
      </c>
      <c r="E105" s="69">
        <f ca="1">IF(MOD(ROW(),2)=1,OFFSET(CT!$A$1,INT(ROW()/2)+1,COLUMN(CT!$H$3)-1),0)</f>
        <v>140000000</v>
      </c>
      <c r="F105" s="69">
        <f ca="1">IF(MOD(ROW(),2)=0,OFFSET(CT!$A$1,INT(ROW()/2),COLUMN(CT!$H$3)-1),0)</f>
        <v>0</v>
      </c>
      <c r="G105" s="131" t="str">
        <f ca="1">IF(OFFSET(CT!$A$1,INT((ROW()+1)/2),COLUMN(CT!$N$3)-1)="No","False","True")</f>
        <v>False</v>
      </c>
    </row>
    <row r="106" spans="1:7" hidden="1" x14ac:dyDescent="0.25">
      <c r="A106" s="68" t="str">
        <f ca="1">IF(MOD(ROW(),2)=1, OFFSET(CT!$A$1,INT(ROW()/2)+1,COLUMN(CT!A102)-1),"")</f>
        <v/>
      </c>
      <c r="B106" s="68" t="str">
        <f ca="1">IF(MOD(ROW(),2)=1, OFFSET(CT!$A$1,INT(ROW()/2)+1,COLUMN(CT!B102)-1),"")</f>
        <v/>
      </c>
      <c r="C106" s="68" t="str">
        <f ca="1">IF(MOD(ROW(),2)=1, OFFSET(CT!$A$1,INT(ROW()/2)+1,COLUMN(CT!C102)-1),"")</f>
        <v/>
      </c>
      <c r="D106" s="65" t="str">
        <f ca="1">OFFSET(CT!$A$1,INT((ROW()+1)/2),IF(MOD(ROW(),2)=1,COLUMN(CT!$D$5)-1,COLUMN(CT!$E$5)-1))</f>
        <v>1111</v>
      </c>
      <c r="E106" s="69">
        <f ca="1">IF(MOD(ROW(),2)=1,OFFSET(CT!$A$1,INT(ROW()/2)+1,COLUMN(CT!$H$3)-1),0)</f>
        <v>0</v>
      </c>
      <c r="F106" s="69">
        <f ca="1">IF(MOD(ROW(),2)=0,OFFSET(CT!$A$1,INT(ROW()/2),COLUMN(CT!$H$3)-1),0)</f>
        <v>140000000</v>
      </c>
      <c r="G106" s="151" t="str">
        <f ca="1">IF(OFFSET(CT!$A$1,INT((ROW()+1)/2),COLUMN(CT!$N$3)-1)="No","False","True")</f>
        <v>False</v>
      </c>
    </row>
    <row r="107" spans="1:7" ht="15.6" x14ac:dyDescent="0.3">
      <c r="A107" s="77">
        <f ca="1">IF(MOD(ROW(),2)=1, OFFSET(CT!$A$1,INT(ROW()/2)+1,COLUMN(CT!A103)-1),"")</f>
        <v>45322</v>
      </c>
      <c r="B107" s="77" t="str">
        <f ca="1">IF(MOD(ROW(),2)=1, OFFSET(CT!$A$1,INT(ROW()/2)+1,COLUMN(CT!B103)-1),"")</f>
        <v>TH2</v>
      </c>
      <c r="C107" s="77" t="str">
        <f ca="1">IF(MOD(ROW(),2)=1, OFFSET(CT!$A$1,INT(ROW()/2)+1,COLUMN(CT!C103)-1),"")</f>
        <v>Tính các khoản trích theo lương vào chi phí</v>
      </c>
      <c r="D107" s="23" t="str">
        <f ca="1">OFFSET(CT!$A$1,INT((ROW()+1)/2),IF(MOD(ROW(),2)=1,COLUMN(CT!$D$5)-1,COLUMN(CT!$E$5)-1))</f>
        <v>6411</v>
      </c>
      <c r="E107" s="78">
        <f ca="1">IF(MOD(ROW(),2)=1,OFFSET(CT!$A$1,INT(ROW()/2)+1,COLUMN(CT!$H$3)-1),0)</f>
        <v>50000</v>
      </c>
      <c r="F107" s="78">
        <f ca="1">IF(MOD(ROW(),2)=0,OFFSET(CT!$A$1,INT(ROW()/2),COLUMN(CT!$H$3)-1),0)</f>
        <v>0</v>
      </c>
      <c r="G107" s="153" t="str">
        <f ca="1">IF(OFFSET(CT!$A$1,INT((ROW()+1)/2),COLUMN(CT!$N$3)-1)="No","False","True")</f>
        <v>True</v>
      </c>
    </row>
    <row r="108" spans="1:7" ht="15.6" x14ac:dyDescent="0.3">
      <c r="A108" s="77" t="str">
        <f ca="1">IF(MOD(ROW(),2)=1, OFFSET(CT!$A$1,INT(ROW()/2)+1,COLUMN(CT!A104)-1),"")</f>
        <v/>
      </c>
      <c r="B108" s="77" t="str">
        <f ca="1">IF(MOD(ROW(),2)=1, OFFSET(CT!$A$1,INT(ROW()/2)+1,COLUMN(CT!B104)-1),"")</f>
        <v/>
      </c>
      <c r="C108" s="77" t="str">
        <f ca="1">IF(MOD(ROW(),2)=1, OFFSET(CT!$A$1,INT(ROW()/2)+1,COLUMN(CT!C104)-1),"")</f>
        <v/>
      </c>
      <c r="D108" s="23" t="str">
        <f ca="1">OFFSET(CT!$A$1,INT((ROW()+1)/2),IF(MOD(ROW(),2)=1,COLUMN(CT!$D$5)-1,COLUMN(CT!$E$5)-1))</f>
        <v>3388</v>
      </c>
      <c r="E108" s="78">
        <f ca="1">IF(MOD(ROW(),2)=1,OFFSET(CT!$A$1,INT(ROW()/2)+1,COLUMN(CT!$H$3)-1),0)</f>
        <v>0</v>
      </c>
      <c r="F108" s="78">
        <f ca="1">IF(MOD(ROW(),2)=0,OFFSET(CT!$A$1,INT(ROW()/2),COLUMN(CT!$H$3)-1),0)</f>
        <v>50000</v>
      </c>
      <c r="G108" s="153" t="str">
        <f ca="1">IF(OFFSET(CT!$A$1,INT((ROW()+1)/2),COLUMN(CT!$N$3)-1)="No","False","True")</f>
        <v>True</v>
      </c>
    </row>
    <row r="109" spans="1:7" ht="15.6" x14ac:dyDescent="0.3">
      <c r="A109" s="77">
        <f ca="1">IF(MOD(ROW(),2)=1, OFFSET(CT!$A$1,INT(ROW()/2)+1,COLUMN(CT!A105)-1),"")</f>
        <v>45322</v>
      </c>
      <c r="B109" s="77" t="str">
        <f ca="1">IF(MOD(ROW(),2)=1, OFFSET(CT!$A$1,INT(ROW()/2)+1,COLUMN(CT!B105)-1),"")</f>
        <v>TH2</v>
      </c>
      <c r="C109" s="77" t="str">
        <f ca="1">IF(MOD(ROW(),2)=1, OFFSET(CT!$A$1,INT(ROW()/2)+1,COLUMN(CT!C105)-1),"")</f>
        <v>Tính các khoản trích theo lương vào chi phí</v>
      </c>
      <c r="D109" s="23" t="str">
        <f ca="1">OFFSET(CT!$A$1,INT((ROW()+1)/2),IF(MOD(ROW(),2)=1,COLUMN(CT!$D$5)-1,COLUMN(CT!$E$5)-1))</f>
        <v>6421</v>
      </c>
      <c r="E109" s="78">
        <f ca="1">IF(MOD(ROW(),2)=1,OFFSET(CT!$A$1,INT(ROW()/2)+1,COLUMN(CT!$H$3)-1),0)</f>
        <v>70000</v>
      </c>
      <c r="F109" s="78">
        <f ca="1">IF(MOD(ROW(),2)=0,OFFSET(CT!$A$1,INT(ROW()/2),COLUMN(CT!$H$3)-1),0)</f>
        <v>0</v>
      </c>
      <c r="G109" s="153" t="str">
        <f ca="1">IF(OFFSET(CT!$A$1,INT((ROW()+1)/2),COLUMN(CT!$N$3)-1)="No","False","True")</f>
        <v>True</v>
      </c>
    </row>
    <row r="110" spans="1:7" ht="15.6" x14ac:dyDescent="0.3">
      <c r="A110" s="77" t="str">
        <f ca="1">IF(MOD(ROW(),2)=1, OFFSET(CT!$A$1,INT(ROW()/2)+1,COLUMN(CT!A106)-1),"")</f>
        <v/>
      </c>
      <c r="B110" s="77" t="str">
        <f ca="1">IF(MOD(ROW(),2)=1, OFFSET(CT!$A$1,INT(ROW()/2)+1,COLUMN(CT!B106)-1),"")</f>
        <v/>
      </c>
      <c r="C110" s="77" t="str">
        <f ca="1">IF(MOD(ROW(),2)=1, OFFSET(CT!$A$1,INT(ROW()/2)+1,COLUMN(CT!C106)-1),"")</f>
        <v/>
      </c>
      <c r="D110" s="23" t="str">
        <f ca="1">OFFSET(CT!$A$1,INT((ROW()+1)/2),IF(MOD(ROW(),2)=1,COLUMN(CT!$D$5)-1,COLUMN(CT!$E$5)-1))</f>
        <v>3388</v>
      </c>
      <c r="E110" s="78">
        <f ca="1">IF(MOD(ROW(),2)=1,OFFSET(CT!$A$1,INT(ROW()/2)+1,COLUMN(CT!$H$3)-1),0)</f>
        <v>0</v>
      </c>
      <c r="F110" s="78">
        <f ca="1">IF(MOD(ROW(),2)=0,OFFSET(CT!$A$1,INT(ROW()/2),COLUMN(CT!$H$3)-1),0)</f>
        <v>70000</v>
      </c>
      <c r="G110" s="153" t="str">
        <f ca="1">IF(OFFSET(CT!$A$1,INT((ROW()+1)/2),COLUMN(CT!$N$3)-1)="No","False","True")</f>
        <v>True</v>
      </c>
    </row>
    <row r="111" spans="1:7" ht="15.6" x14ac:dyDescent="0.3">
      <c r="A111" s="77">
        <f ca="1">IF(MOD(ROW(),2)=1, OFFSET(CT!$A$1,INT(ROW()/2)+1,COLUMN(CT!A107)-1),"")</f>
        <v>45322</v>
      </c>
      <c r="B111" s="77" t="str">
        <f ca="1">IF(MOD(ROW(),2)=1, OFFSET(CT!$A$1,INT(ROW()/2)+1,COLUMN(CT!B107)-1),"")</f>
        <v>TH10</v>
      </c>
      <c r="C111" s="77" t="str">
        <f ca="1">IF(MOD(ROW(),2)=1, OFFSET(CT!$A$1,INT(ROW()/2)+1,COLUMN(CT!C107)-1),"")</f>
        <v>Kết chuyển CFBH vào TK911</v>
      </c>
      <c r="D111" s="23" t="str">
        <f ca="1">OFFSET(CT!$A$1,INT((ROW()+1)/2),IF(MOD(ROW(),2)=1,COLUMN(CT!$D$5)-1,COLUMN(CT!$E$5)-1))</f>
        <v>9111.0102</v>
      </c>
      <c r="E111" s="78">
        <f ca="1">IF(MOD(ROW(),2)=1,OFFSET(CT!$A$1,INT(ROW()/2)+1,COLUMN(CT!$H$3)-1),0)</f>
        <v>72180</v>
      </c>
      <c r="F111" s="78">
        <f ca="1">IF(MOD(ROW(),2)=0,OFFSET(CT!$A$1,INT(ROW()/2),COLUMN(CT!$H$3)-1),0)</f>
        <v>0</v>
      </c>
      <c r="G111" s="153" t="str">
        <f ca="1">IF(OFFSET(CT!$A$1,INT((ROW()+1)/2),COLUMN(CT!$N$3)-1)="No","False","True")</f>
        <v>True</v>
      </c>
    </row>
    <row r="112" spans="1:7" ht="15.6" x14ac:dyDescent="0.3">
      <c r="A112" s="77" t="str">
        <f ca="1">IF(MOD(ROW(),2)=1, OFFSET(CT!$A$1,INT(ROW()/2)+1,COLUMN(CT!A108)-1),"")</f>
        <v/>
      </c>
      <c r="B112" s="77" t="str">
        <f ca="1">IF(MOD(ROW(),2)=1, OFFSET(CT!$A$1,INT(ROW()/2)+1,COLUMN(CT!B108)-1),"")</f>
        <v/>
      </c>
      <c r="C112" s="77" t="str">
        <f ca="1">IF(MOD(ROW(),2)=1, OFFSET(CT!$A$1,INT(ROW()/2)+1,COLUMN(CT!C108)-1),"")</f>
        <v/>
      </c>
      <c r="D112" s="23" t="str">
        <f ca="1">OFFSET(CT!$A$1,INT((ROW()+1)/2),IF(MOD(ROW(),2)=1,COLUMN(CT!$D$5)-1,COLUMN(CT!$E$5)-1))</f>
        <v>6413</v>
      </c>
      <c r="E112" s="78">
        <f ca="1">IF(MOD(ROW(),2)=1,OFFSET(CT!$A$1,INT(ROW()/2)+1,COLUMN(CT!$H$3)-1),0)</f>
        <v>0</v>
      </c>
      <c r="F112" s="78">
        <f ca="1">IF(MOD(ROW(),2)=0,OFFSET(CT!$A$1,INT(ROW()/2),COLUMN(CT!$H$3)-1),0)</f>
        <v>72180</v>
      </c>
      <c r="G112" s="153" t="str">
        <f ca="1">IF(OFFSET(CT!$A$1,INT((ROW()+1)/2),COLUMN(CT!$N$3)-1)="No","False","True")</f>
        <v>True</v>
      </c>
    </row>
    <row r="113" spans="1:7" ht="15.6" x14ac:dyDescent="0.3">
      <c r="A113" s="77">
        <f ca="1">IF(MOD(ROW(),2)=1, OFFSET(CT!$A$1,INT(ROW()/2)+1,COLUMN(CT!A109)-1),"")</f>
        <v>45322</v>
      </c>
      <c r="B113" s="77" t="str">
        <f ca="1">IF(MOD(ROW(),2)=1, OFFSET(CT!$A$1,INT(ROW()/2)+1,COLUMN(CT!B109)-1),"")</f>
        <v>TH10</v>
      </c>
      <c r="C113" s="77" t="str">
        <f ca="1">IF(MOD(ROW(),2)=1, OFFSET(CT!$A$1,INT(ROW()/2)+1,COLUMN(CT!C109)-1),"")</f>
        <v>Kết chuyển CFBH vào TK911</v>
      </c>
      <c r="D113" s="23" t="str">
        <f ca="1">OFFSET(CT!$A$1,INT((ROW()+1)/2),IF(MOD(ROW(),2)=1,COLUMN(CT!$D$5)-1,COLUMN(CT!$E$5)-1))</f>
        <v>9111.0202</v>
      </c>
      <c r="E113" s="78">
        <f ca="1">IF(MOD(ROW(),2)=1,OFFSET(CT!$A$1,INT(ROW()/2)+1,COLUMN(CT!$H$3)-1),0)</f>
        <v>88690</v>
      </c>
      <c r="F113" s="78">
        <f ca="1">IF(MOD(ROW(),2)=0,OFFSET(CT!$A$1,INT(ROW()/2),COLUMN(CT!$H$3)-1),0)</f>
        <v>0</v>
      </c>
      <c r="G113" s="153" t="str">
        <f ca="1">IF(OFFSET(CT!$A$1,INT((ROW()+1)/2),COLUMN(CT!$N$3)-1)="No","False","True")</f>
        <v>True</v>
      </c>
    </row>
    <row r="114" spans="1:7" ht="15.6" x14ac:dyDescent="0.3">
      <c r="A114" s="77" t="str">
        <f ca="1">IF(MOD(ROW(),2)=1, OFFSET(CT!$A$1,INT(ROW()/2)+1,COLUMN(CT!A110)-1),"")</f>
        <v/>
      </c>
      <c r="B114" s="77" t="str">
        <f ca="1">IF(MOD(ROW(),2)=1, OFFSET(CT!$A$1,INT(ROW()/2)+1,COLUMN(CT!B110)-1),"")</f>
        <v/>
      </c>
      <c r="C114" s="77" t="str">
        <f ca="1">IF(MOD(ROW(),2)=1, OFFSET(CT!$A$1,INT(ROW()/2)+1,COLUMN(CT!C110)-1),"")</f>
        <v/>
      </c>
      <c r="D114" s="23" t="str">
        <f ca="1">OFFSET(CT!$A$1,INT((ROW()+1)/2),IF(MOD(ROW(),2)=1,COLUMN(CT!$D$5)-1,COLUMN(CT!$E$5)-1))</f>
        <v>6413</v>
      </c>
      <c r="E114" s="78">
        <f ca="1">IF(MOD(ROW(),2)=1,OFFSET(CT!$A$1,INT(ROW()/2)+1,COLUMN(CT!$H$3)-1),0)</f>
        <v>0</v>
      </c>
      <c r="F114" s="78">
        <f ca="1">IF(MOD(ROW(),2)=0,OFFSET(CT!$A$1,INT(ROW()/2),COLUMN(CT!$H$3)-1),0)</f>
        <v>88690</v>
      </c>
      <c r="G114" s="153" t="str">
        <f ca="1">IF(OFFSET(CT!$A$1,INT((ROW()+1)/2),COLUMN(CT!$N$3)-1)="No","False","True")</f>
        <v>True</v>
      </c>
    </row>
    <row r="115" spans="1:7" ht="15.6" x14ac:dyDescent="0.3">
      <c r="A115" s="77">
        <f ca="1">IF(MOD(ROW(),2)=1, OFFSET(CT!$A$1,INT(ROW()/2)+1,COLUMN(CT!A111)-1),"")</f>
        <v>45322</v>
      </c>
      <c r="B115" s="77" t="str">
        <f ca="1">IF(MOD(ROW(),2)=1, OFFSET(CT!$A$1,INT(ROW()/2)+1,COLUMN(CT!B111)-1),"")</f>
        <v>TH10</v>
      </c>
      <c r="C115" s="77" t="str">
        <f ca="1">IF(MOD(ROW(),2)=1, OFFSET(CT!$A$1,INT(ROW()/2)+1,COLUMN(CT!C111)-1),"")</f>
        <v>Kết chuyển CFBH vào TK911</v>
      </c>
      <c r="D115" s="23" t="str">
        <f ca="1">OFFSET(CT!$A$1,INT((ROW()+1)/2),IF(MOD(ROW(),2)=1,COLUMN(CT!$D$5)-1,COLUMN(CT!$E$5)-1))</f>
        <v>9111.0101</v>
      </c>
      <c r="E115" s="78">
        <f ca="1">IF(MOD(ROW(),2)=1,OFFSET(CT!$A$1,INT(ROW()/2)+1,COLUMN(CT!$H$3)-1),0)</f>
        <v>89130</v>
      </c>
      <c r="F115" s="78">
        <f ca="1">IF(MOD(ROW(),2)=0,OFFSET(CT!$A$1,INT(ROW()/2),COLUMN(CT!$H$3)-1),0)</f>
        <v>0</v>
      </c>
      <c r="G115" s="153" t="str">
        <f ca="1">IF(OFFSET(CT!$A$1,INT((ROW()+1)/2),COLUMN(CT!$N$3)-1)="No","False","True")</f>
        <v>True</v>
      </c>
    </row>
    <row r="116" spans="1:7" ht="15.6" x14ac:dyDescent="0.3">
      <c r="A116" s="77" t="str">
        <f ca="1">IF(MOD(ROW(),2)=1, OFFSET(CT!$A$1,INT(ROW()/2)+1,COLUMN(CT!A112)-1),"")</f>
        <v/>
      </c>
      <c r="B116" s="77" t="str">
        <f ca="1">IF(MOD(ROW(),2)=1, OFFSET(CT!$A$1,INT(ROW()/2)+1,COLUMN(CT!B112)-1),"")</f>
        <v/>
      </c>
      <c r="C116" s="77" t="str">
        <f ca="1">IF(MOD(ROW(),2)=1, OFFSET(CT!$A$1,INT(ROW()/2)+1,COLUMN(CT!C112)-1),"")</f>
        <v/>
      </c>
      <c r="D116" s="23" t="str">
        <f ca="1">OFFSET(CT!$A$1,INT((ROW()+1)/2),IF(MOD(ROW(),2)=1,COLUMN(CT!$D$5)-1,COLUMN(CT!$E$5)-1))</f>
        <v>6413</v>
      </c>
      <c r="E116" s="78">
        <f ca="1">IF(MOD(ROW(),2)=1,OFFSET(CT!$A$1,INT(ROW()/2)+1,COLUMN(CT!$H$3)-1),0)</f>
        <v>0</v>
      </c>
      <c r="F116" s="78">
        <f ca="1">IF(MOD(ROW(),2)=0,OFFSET(CT!$A$1,INT(ROW()/2),COLUMN(CT!$H$3)-1),0)</f>
        <v>89130</v>
      </c>
      <c r="G116" s="153" t="str">
        <f ca="1">IF(OFFSET(CT!$A$1,INT((ROW()+1)/2),COLUMN(CT!$N$3)-1)="No","False","True")</f>
        <v>True</v>
      </c>
    </row>
    <row r="117" spans="1:7" ht="15.6" x14ac:dyDescent="0.3">
      <c r="A117" s="77">
        <f ca="1">IF(MOD(ROW(),2)=1, OFFSET(CT!$A$1,INT(ROW()/2)+1,COLUMN(CT!A113)-1),"")</f>
        <v>45322</v>
      </c>
      <c r="B117" s="77" t="str">
        <f ca="1">IF(MOD(ROW(),2)=1, OFFSET(CT!$A$1,INT(ROW()/2)+1,COLUMN(CT!B113)-1),"")</f>
        <v>TH2</v>
      </c>
      <c r="C117" s="77" t="str">
        <f ca="1">IF(MOD(ROW(),2)=1, OFFSET(CT!$A$1,INT(ROW()/2)+1,COLUMN(CT!C113)-1),"")</f>
        <v>Tính các khoản trích theo lương vào chi phí</v>
      </c>
      <c r="D117" s="23" t="str">
        <f ca="1">OFFSET(CT!$A$1,INT((ROW()+1)/2),IF(MOD(ROW(),2)=1,COLUMN(CT!$D$5)-1,COLUMN(CT!$E$5)-1))</f>
        <v>6411</v>
      </c>
      <c r="E117" s="78">
        <f ca="1">IF(MOD(ROW(),2)=1,OFFSET(CT!$A$1,INT(ROW()/2)+1,COLUMN(CT!$H$3)-1),0)</f>
        <v>100000</v>
      </c>
      <c r="F117" s="78">
        <f ca="1">IF(MOD(ROW(),2)=0,OFFSET(CT!$A$1,INT(ROW()/2),COLUMN(CT!$H$3)-1),0)</f>
        <v>0</v>
      </c>
      <c r="G117" s="153" t="str">
        <f ca="1">IF(OFFSET(CT!$A$1,INT((ROW()+1)/2),COLUMN(CT!$N$3)-1)="No","False","True")</f>
        <v>True</v>
      </c>
    </row>
    <row r="118" spans="1:7" ht="15.6" x14ac:dyDescent="0.3">
      <c r="A118" s="77" t="str">
        <f ca="1">IF(MOD(ROW(),2)=1, OFFSET(CT!$A$1,INT(ROW()/2)+1,COLUMN(CT!A114)-1),"")</f>
        <v/>
      </c>
      <c r="B118" s="77" t="str">
        <f ca="1">IF(MOD(ROW(),2)=1, OFFSET(CT!$A$1,INT(ROW()/2)+1,COLUMN(CT!B114)-1),"")</f>
        <v/>
      </c>
      <c r="C118" s="77" t="str">
        <f ca="1">IF(MOD(ROW(),2)=1, OFFSET(CT!$A$1,INT(ROW()/2)+1,COLUMN(CT!C114)-1),"")</f>
        <v/>
      </c>
      <c r="D118" s="23" t="str">
        <f ca="1">OFFSET(CT!$A$1,INT((ROW()+1)/2),IF(MOD(ROW(),2)=1,COLUMN(CT!$D$5)-1,COLUMN(CT!$E$5)-1))</f>
        <v>3382</v>
      </c>
      <c r="E118" s="78">
        <f ca="1">IF(MOD(ROW(),2)=1,OFFSET(CT!$A$1,INT(ROW()/2)+1,COLUMN(CT!$H$3)-1),0)</f>
        <v>0</v>
      </c>
      <c r="F118" s="78">
        <f ca="1">IF(MOD(ROW(),2)=0,OFFSET(CT!$A$1,INT(ROW()/2),COLUMN(CT!$H$3)-1),0)</f>
        <v>100000</v>
      </c>
      <c r="G118" s="153" t="str">
        <f ca="1">IF(OFFSET(CT!$A$1,INT((ROW()+1)/2),COLUMN(CT!$N$3)-1)="No","False","True")</f>
        <v>True</v>
      </c>
    </row>
    <row r="119" spans="1:7" ht="15.6" x14ac:dyDescent="0.3">
      <c r="A119" s="77">
        <f ca="1">IF(MOD(ROW(),2)=1, OFFSET(CT!$A$1,INT(ROW()/2)+1,COLUMN(CT!A115)-1),"")</f>
        <v>45322</v>
      </c>
      <c r="B119" s="77" t="str">
        <f ca="1">IF(MOD(ROW(),2)=1, OFFSET(CT!$A$1,INT(ROW()/2)+1,COLUMN(CT!B115)-1),"")</f>
        <v>TH5</v>
      </c>
      <c r="C119" s="77" t="str">
        <f ca="1">IF(MOD(ROW(),2)=1, OFFSET(CT!$A$1,INT(ROW()/2)+1,COLUMN(CT!C115)-1),"")</f>
        <v>Kết chuyển CFC vào TK154</v>
      </c>
      <c r="D119" s="23" t="str">
        <f ca="1">OFFSET(CT!$A$1,INT((ROW()+1)/2),IF(MOD(ROW(),2)=1,COLUMN(CT!$D$5)-1,COLUMN(CT!$E$5)-1))</f>
        <v>154.03</v>
      </c>
      <c r="E119" s="78">
        <f ca="1">IF(MOD(ROW(),2)=1,OFFSET(CT!$A$1,INT(ROW()/2)+1,COLUMN(CT!$H$3)-1),0)</f>
        <v>100840</v>
      </c>
      <c r="F119" s="78">
        <f ca="1">IF(MOD(ROW(),2)=0,OFFSET(CT!$A$1,INT(ROW()/2),COLUMN(CT!$H$3)-1),0)</f>
        <v>0</v>
      </c>
      <c r="G119" s="153" t="str">
        <f ca="1">IF(OFFSET(CT!$A$1,INT((ROW()+1)/2),COLUMN(CT!$N$3)-1)="No","False","True")</f>
        <v>True</v>
      </c>
    </row>
    <row r="120" spans="1:7" ht="15.6" x14ac:dyDescent="0.3">
      <c r="A120" s="77" t="str">
        <f ca="1">IF(MOD(ROW(),2)=1, OFFSET(CT!$A$1,INT(ROW()/2)+1,COLUMN(CT!A116)-1),"")</f>
        <v/>
      </c>
      <c r="B120" s="77" t="str">
        <f ca="1">IF(MOD(ROW(),2)=1, OFFSET(CT!$A$1,INT(ROW()/2)+1,COLUMN(CT!B116)-1),"")</f>
        <v/>
      </c>
      <c r="C120" s="77" t="str">
        <f ca="1">IF(MOD(ROW(),2)=1, OFFSET(CT!$A$1,INT(ROW()/2)+1,COLUMN(CT!C116)-1),"")</f>
        <v/>
      </c>
      <c r="D120" s="23" t="str">
        <f ca="1">OFFSET(CT!$A$1,INT((ROW()+1)/2),IF(MOD(ROW(),2)=1,COLUMN(CT!$D$5)-1,COLUMN(CT!$E$5)-1))</f>
        <v>6273</v>
      </c>
      <c r="E120" s="78">
        <f ca="1">IF(MOD(ROW(),2)=1,OFFSET(CT!$A$1,INT(ROW()/2)+1,COLUMN(CT!$H$3)-1),0)</f>
        <v>0</v>
      </c>
      <c r="F120" s="78">
        <f ca="1">IF(MOD(ROW(),2)=0,OFFSET(CT!$A$1,INT(ROW()/2),COLUMN(CT!$H$3)-1),0)</f>
        <v>100840</v>
      </c>
      <c r="G120" s="153" t="str">
        <f ca="1">IF(OFFSET(CT!$A$1,INT((ROW()+1)/2),COLUMN(CT!$N$3)-1)="No","False","True")</f>
        <v>True</v>
      </c>
    </row>
    <row r="121" spans="1:7" ht="15.6" x14ac:dyDescent="0.3">
      <c r="A121" s="77">
        <f ca="1">IF(MOD(ROW(),2)=1, OFFSET(CT!$A$1,INT(ROW()/2)+1,COLUMN(CT!A117)-1),"")</f>
        <v>45322</v>
      </c>
      <c r="B121" s="77" t="str">
        <f ca="1">IF(MOD(ROW(),2)=1, OFFSET(CT!$A$1,INT(ROW()/2)+1,COLUMN(CT!B117)-1),"")</f>
        <v>TH7</v>
      </c>
      <c r="C121" s="77" t="str">
        <f ca="1">IF(MOD(ROW(),2)=1, OFFSET(CT!$A$1,INT(ROW()/2)+1,COLUMN(CT!C117)-1),"")</f>
        <v>Bổ sung giá thành tiêu thụ TK632</v>
      </c>
      <c r="D121" s="23" t="str">
        <f ca="1">OFFSET(CT!$A$1,INT((ROW()+1)/2),IF(MOD(ROW(),2)=1,COLUMN(CT!$D$5)-1,COLUMN(CT!$E$5)-1))</f>
        <v>632.0101</v>
      </c>
      <c r="E121" s="78">
        <f ca="1">IF(MOD(ROW(),2)=1,OFFSET(CT!$A$1,INT(ROW()/2)+1,COLUMN(CT!$H$3)-1),0)</f>
        <v>123700</v>
      </c>
      <c r="F121" s="78">
        <f ca="1">IF(MOD(ROW(),2)=0,OFFSET(CT!$A$1,INT(ROW()/2),COLUMN(CT!$H$3)-1),0)</f>
        <v>0</v>
      </c>
      <c r="G121" s="153" t="str">
        <f ca="1">IF(OFFSET(CT!$A$1,INT((ROW()+1)/2),COLUMN(CT!$N$3)-1)="No","False","True")</f>
        <v>True</v>
      </c>
    </row>
    <row r="122" spans="1:7" ht="15.6" x14ac:dyDescent="0.3">
      <c r="A122" s="77" t="str">
        <f ca="1">IF(MOD(ROW(),2)=1, OFFSET(CT!$A$1,INT(ROW()/2)+1,COLUMN(CT!A118)-1),"")</f>
        <v/>
      </c>
      <c r="B122" s="77" t="str">
        <f ca="1">IF(MOD(ROW(),2)=1, OFFSET(CT!$A$1,INT(ROW()/2)+1,COLUMN(CT!B118)-1),"")</f>
        <v/>
      </c>
      <c r="C122" s="77" t="str">
        <f ca="1">IF(MOD(ROW(),2)=1, OFFSET(CT!$A$1,INT(ROW()/2)+1,COLUMN(CT!C118)-1),"")</f>
        <v/>
      </c>
      <c r="D122" s="23" t="str">
        <f ca="1">OFFSET(CT!$A$1,INT((ROW()+1)/2),IF(MOD(ROW(),2)=1,COLUMN(CT!$D$5)-1,COLUMN(CT!$E$5)-1))</f>
        <v>1551.0101</v>
      </c>
      <c r="E122" s="78">
        <f ca="1">IF(MOD(ROW(),2)=1,OFFSET(CT!$A$1,INT(ROW()/2)+1,COLUMN(CT!$H$3)-1),0)</f>
        <v>0</v>
      </c>
      <c r="F122" s="78">
        <f ca="1">IF(MOD(ROW(),2)=0,OFFSET(CT!$A$1,INT(ROW()/2),COLUMN(CT!$H$3)-1),0)</f>
        <v>123700</v>
      </c>
      <c r="G122" s="153" t="str">
        <f ca="1">IF(OFFSET(CT!$A$1,INT((ROW()+1)/2),COLUMN(CT!$N$3)-1)="No","False","True")</f>
        <v>True</v>
      </c>
    </row>
    <row r="123" spans="1:7" ht="15.6" x14ac:dyDescent="0.3">
      <c r="A123" s="77">
        <f ca="1">IF(MOD(ROW(),2)=1, OFFSET(CT!$A$1,INT(ROW()/2)+1,COLUMN(CT!A119)-1),"")</f>
        <v>45322</v>
      </c>
      <c r="B123" s="77" t="str">
        <f ca="1">IF(MOD(ROW(),2)=1, OFFSET(CT!$A$1,INT(ROW()/2)+1,COLUMN(CT!B119)-1),"")</f>
        <v>TH11</v>
      </c>
      <c r="C123" s="77" t="str">
        <f ca="1">IF(MOD(ROW(),2)=1, OFFSET(CT!$A$1,INT(ROW()/2)+1,COLUMN(CT!C119)-1),"")</f>
        <v>Kết chuyển CFQLDN vào TK911</v>
      </c>
      <c r="D123" s="23" t="str">
        <f ca="1">OFFSET(CT!$A$1,INT((ROW()+1)/2),IF(MOD(ROW(),2)=1,COLUMN(CT!$D$5)-1,COLUMN(CT!$E$5)-1))</f>
        <v>9111.0102</v>
      </c>
      <c r="E123" s="78">
        <f ca="1">IF(MOD(ROW(),2)=1,OFFSET(CT!$A$1,INT(ROW()/2)+1,COLUMN(CT!$H$3)-1),0)</f>
        <v>132331</v>
      </c>
      <c r="F123" s="78">
        <f ca="1">IF(MOD(ROW(),2)=0,OFFSET(CT!$A$1,INT(ROW()/2),COLUMN(CT!$H$3)-1),0)</f>
        <v>0</v>
      </c>
      <c r="G123" s="153" t="str">
        <f ca="1">IF(OFFSET(CT!$A$1,INT((ROW()+1)/2),COLUMN(CT!$N$3)-1)="No","False","True")</f>
        <v>True</v>
      </c>
    </row>
    <row r="124" spans="1:7" ht="15.6" x14ac:dyDescent="0.3">
      <c r="A124" s="77" t="str">
        <f ca="1">IF(MOD(ROW(),2)=1, OFFSET(CT!$A$1,INT(ROW()/2)+1,COLUMN(CT!A120)-1),"")</f>
        <v/>
      </c>
      <c r="B124" s="77" t="str">
        <f ca="1">IF(MOD(ROW(),2)=1, OFFSET(CT!$A$1,INT(ROW()/2)+1,COLUMN(CT!B120)-1),"")</f>
        <v/>
      </c>
      <c r="C124" s="77" t="str">
        <f ca="1">IF(MOD(ROW(),2)=1, OFFSET(CT!$A$1,INT(ROW()/2)+1,COLUMN(CT!C120)-1),"")</f>
        <v/>
      </c>
      <c r="D124" s="23" t="str">
        <f ca="1">OFFSET(CT!$A$1,INT((ROW()+1)/2),IF(MOD(ROW(),2)=1,COLUMN(CT!$D$5)-1,COLUMN(CT!$E$5)-1))</f>
        <v>6424</v>
      </c>
      <c r="E124" s="78">
        <f ca="1">IF(MOD(ROW(),2)=1,OFFSET(CT!$A$1,INT(ROW()/2)+1,COLUMN(CT!$H$3)-1),0)</f>
        <v>0</v>
      </c>
      <c r="F124" s="78">
        <f ca="1">IF(MOD(ROW(),2)=0,OFFSET(CT!$A$1,INT(ROW()/2),COLUMN(CT!$H$3)-1),0)</f>
        <v>132331</v>
      </c>
      <c r="G124" s="153" t="str">
        <f ca="1">IF(OFFSET(CT!$A$1,INT((ROW()+1)/2),COLUMN(CT!$N$3)-1)="No","False","True")</f>
        <v>True</v>
      </c>
    </row>
    <row r="125" spans="1:7" ht="15.6" x14ac:dyDescent="0.3">
      <c r="A125" s="77">
        <f ca="1">IF(MOD(ROW(),2)=1, OFFSET(CT!$A$1,INT(ROW()/2)+1,COLUMN(CT!A121)-1),"")</f>
        <v>45322</v>
      </c>
      <c r="B125" s="77" t="str">
        <f ca="1">IF(MOD(ROW(),2)=1, OFFSET(CT!$A$1,INT(ROW()/2)+1,COLUMN(CT!B121)-1),"")</f>
        <v>TH2</v>
      </c>
      <c r="C125" s="77" t="str">
        <f ca="1">IF(MOD(ROW(),2)=1, OFFSET(CT!$A$1,INT(ROW()/2)+1,COLUMN(CT!C121)-1),"")</f>
        <v>Tính các khoản trích theo lương vào chi phí</v>
      </c>
      <c r="D125" s="23" t="str">
        <f ca="1">OFFSET(CT!$A$1,INT((ROW()+1)/2),IF(MOD(ROW(),2)=1,COLUMN(CT!$D$5)-1,COLUMN(CT!$E$5)-1))</f>
        <v>6421</v>
      </c>
      <c r="E125" s="78">
        <f ca="1">IF(MOD(ROW(),2)=1,OFFSET(CT!$A$1,INT(ROW()/2)+1,COLUMN(CT!$H$3)-1),0)</f>
        <v>140000</v>
      </c>
      <c r="F125" s="78">
        <f ca="1">IF(MOD(ROW(),2)=0,OFFSET(CT!$A$1,INT(ROW()/2),COLUMN(CT!$H$3)-1),0)</f>
        <v>0</v>
      </c>
      <c r="G125" s="153" t="str">
        <f ca="1">IF(OFFSET(CT!$A$1,INT((ROW()+1)/2),COLUMN(CT!$N$3)-1)="No","False","True")</f>
        <v>True</v>
      </c>
    </row>
    <row r="126" spans="1:7" ht="15.6" x14ac:dyDescent="0.3">
      <c r="A126" s="77" t="str">
        <f ca="1">IF(MOD(ROW(),2)=1, OFFSET(CT!$A$1,INT(ROW()/2)+1,COLUMN(CT!A122)-1),"")</f>
        <v/>
      </c>
      <c r="B126" s="77" t="str">
        <f ca="1">IF(MOD(ROW(),2)=1, OFFSET(CT!$A$1,INT(ROW()/2)+1,COLUMN(CT!B122)-1),"")</f>
        <v/>
      </c>
      <c r="C126" s="77" t="str">
        <f ca="1">IF(MOD(ROW(),2)=1, OFFSET(CT!$A$1,INT(ROW()/2)+1,COLUMN(CT!C122)-1),"")</f>
        <v/>
      </c>
      <c r="D126" s="23" t="str">
        <f ca="1">OFFSET(CT!$A$1,INT((ROW()+1)/2),IF(MOD(ROW(),2)=1,COLUMN(CT!$D$5)-1,COLUMN(CT!$E$5)-1))</f>
        <v>3382</v>
      </c>
      <c r="E126" s="78">
        <f ca="1">IF(MOD(ROW(),2)=1,OFFSET(CT!$A$1,INT(ROW()/2)+1,COLUMN(CT!$H$3)-1),0)</f>
        <v>0</v>
      </c>
      <c r="F126" s="78">
        <f ca="1">IF(MOD(ROW(),2)=0,OFFSET(CT!$A$1,INT(ROW()/2),COLUMN(CT!$H$3)-1),0)</f>
        <v>140000</v>
      </c>
      <c r="G126" s="153" t="str">
        <f ca="1">IF(OFFSET(CT!$A$1,INT((ROW()+1)/2),COLUMN(CT!$N$3)-1)="No","False","True")</f>
        <v>True</v>
      </c>
    </row>
    <row r="127" spans="1:7" ht="15.6" x14ac:dyDescent="0.3">
      <c r="A127" s="77">
        <f ca="1">IF(MOD(ROW(),2)=1, OFFSET(CT!$A$1,INT(ROW()/2)+1,COLUMN(CT!A123)-1),"")</f>
        <v>45322</v>
      </c>
      <c r="B127" s="77" t="str">
        <f ca="1">IF(MOD(ROW(),2)=1, OFFSET(CT!$A$1,INT(ROW()/2)+1,COLUMN(CT!B123)-1),"")</f>
        <v>TH11</v>
      </c>
      <c r="C127" s="77" t="str">
        <f ca="1">IF(MOD(ROW(),2)=1, OFFSET(CT!$A$1,INT(ROW()/2)+1,COLUMN(CT!C123)-1),"")</f>
        <v>Kết chuyển CFQLDN vào TK911</v>
      </c>
      <c r="D127" s="23" t="str">
        <f ca="1">OFFSET(CT!$A$1,INT((ROW()+1)/2),IF(MOD(ROW(),2)=1,COLUMN(CT!$D$5)-1,COLUMN(CT!$E$5)-1))</f>
        <v>9111.0102</v>
      </c>
      <c r="E127" s="78">
        <f ca="1">IF(MOD(ROW(),2)=1,OFFSET(CT!$A$1,INT(ROW()/2)+1,COLUMN(CT!$H$3)-1),0)</f>
        <v>144361</v>
      </c>
      <c r="F127" s="78">
        <f ca="1">IF(MOD(ROW(),2)=0,OFFSET(CT!$A$1,INT(ROW()/2),COLUMN(CT!$H$3)-1),0)</f>
        <v>0</v>
      </c>
      <c r="G127" s="153" t="str">
        <f ca="1">IF(OFFSET(CT!$A$1,INT((ROW()+1)/2),COLUMN(CT!$N$3)-1)="No","False","True")</f>
        <v>True</v>
      </c>
    </row>
    <row r="128" spans="1:7" ht="15.6" x14ac:dyDescent="0.3">
      <c r="A128" s="77" t="str">
        <f ca="1">IF(MOD(ROW(),2)=1, OFFSET(CT!$A$1,INT(ROW()/2)+1,COLUMN(CT!A124)-1),"")</f>
        <v/>
      </c>
      <c r="B128" s="77" t="str">
        <f ca="1">IF(MOD(ROW(),2)=1, OFFSET(CT!$A$1,INT(ROW()/2)+1,COLUMN(CT!B124)-1),"")</f>
        <v/>
      </c>
      <c r="C128" s="77" t="str">
        <f ca="1">IF(MOD(ROW(),2)=1, OFFSET(CT!$A$1,INT(ROW()/2)+1,COLUMN(CT!C124)-1),"")</f>
        <v/>
      </c>
      <c r="D128" s="23" t="str">
        <f ca="1">OFFSET(CT!$A$1,INT((ROW()+1)/2),IF(MOD(ROW(),2)=1,COLUMN(CT!$D$5)-1,COLUMN(CT!$E$5)-1))</f>
        <v>6423</v>
      </c>
      <c r="E128" s="78">
        <f ca="1">IF(MOD(ROW(),2)=1,OFFSET(CT!$A$1,INT(ROW()/2)+1,COLUMN(CT!$H$3)-1),0)</f>
        <v>0</v>
      </c>
      <c r="F128" s="78">
        <f ca="1">IF(MOD(ROW(),2)=0,OFFSET(CT!$A$1,INT(ROW()/2),COLUMN(CT!$H$3)-1),0)</f>
        <v>144361</v>
      </c>
      <c r="G128" s="153" t="str">
        <f ca="1">IF(OFFSET(CT!$A$1,INT((ROW()+1)/2),COLUMN(CT!$N$3)-1)="No","False","True")</f>
        <v>True</v>
      </c>
    </row>
    <row r="129" spans="1:7" ht="15.6" x14ac:dyDescent="0.3">
      <c r="A129" s="77">
        <f ca="1">IF(MOD(ROW(),2)=1, OFFSET(CT!$A$1,INT(ROW()/2)+1,COLUMN(CT!A125)-1),"")</f>
        <v>45322</v>
      </c>
      <c r="B129" s="77" t="str">
        <f ca="1">IF(MOD(ROW(),2)=1, OFFSET(CT!$A$1,INT(ROW()/2)+1,COLUMN(CT!B125)-1),"")</f>
        <v>TH2</v>
      </c>
      <c r="C129" s="77" t="str">
        <f ca="1">IF(MOD(ROW(),2)=1, OFFSET(CT!$A$1,INT(ROW()/2)+1,COLUMN(CT!C125)-1),"")</f>
        <v>Tính các khoản trích theo lương vào chi phí</v>
      </c>
      <c r="D129" s="23" t="str">
        <f ca="1">OFFSET(CT!$A$1,INT((ROW()+1)/2),IF(MOD(ROW(),2)=1,COLUMN(CT!$D$5)-1,COLUMN(CT!$E$5)-1))</f>
        <v>6411</v>
      </c>
      <c r="E129" s="78">
        <f ca="1">IF(MOD(ROW(),2)=1,OFFSET(CT!$A$1,INT(ROW()/2)+1,COLUMN(CT!$H$3)-1),0)</f>
        <v>150000</v>
      </c>
      <c r="F129" s="78">
        <f ca="1">IF(MOD(ROW(),2)=0,OFFSET(CT!$A$1,INT(ROW()/2),COLUMN(CT!$H$3)-1),0)</f>
        <v>0</v>
      </c>
      <c r="G129" s="153" t="str">
        <f ca="1">IF(OFFSET(CT!$A$1,INT((ROW()+1)/2),COLUMN(CT!$N$3)-1)="No","False","True")</f>
        <v>True</v>
      </c>
    </row>
    <row r="130" spans="1:7" ht="15.6" x14ac:dyDescent="0.3">
      <c r="A130" s="77" t="str">
        <f ca="1">IF(MOD(ROW(),2)=1, OFFSET(CT!$A$1,INT(ROW()/2)+1,COLUMN(CT!A126)-1),"")</f>
        <v/>
      </c>
      <c r="B130" s="77" t="str">
        <f ca="1">IF(MOD(ROW(),2)=1, OFFSET(CT!$A$1,INT(ROW()/2)+1,COLUMN(CT!B126)-1),"")</f>
        <v/>
      </c>
      <c r="C130" s="77" t="str">
        <f ca="1">IF(MOD(ROW(),2)=1, OFFSET(CT!$A$1,INT(ROW()/2)+1,COLUMN(CT!C126)-1),"")</f>
        <v/>
      </c>
      <c r="D130" s="23" t="str">
        <f ca="1">OFFSET(CT!$A$1,INT((ROW()+1)/2),IF(MOD(ROW(),2)=1,COLUMN(CT!$D$5)-1,COLUMN(CT!$E$5)-1))</f>
        <v>3384</v>
      </c>
      <c r="E130" s="78">
        <f ca="1">IF(MOD(ROW(),2)=1,OFFSET(CT!$A$1,INT(ROW()/2)+1,COLUMN(CT!$H$3)-1),0)</f>
        <v>0</v>
      </c>
      <c r="F130" s="78">
        <f ca="1">IF(MOD(ROW(),2)=0,OFFSET(CT!$A$1,INT(ROW()/2),COLUMN(CT!$H$3)-1),0)</f>
        <v>150000</v>
      </c>
      <c r="G130" s="153" t="str">
        <f ca="1">IF(OFFSET(CT!$A$1,INT((ROW()+1)/2),COLUMN(CT!$N$3)-1)="No","False","True")</f>
        <v>True</v>
      </c>
    </row>
    <row r="131" spans="1:7" ht="15.6" x14ac:dyDescent="0.3">
      <c r="A131" s="77">
        <f ca="1">IF(MOD(ROW(),2)=1, OFFSET(CT!$A$1,INT(ROW()/2)+1,COLUMN(CT!A127)-1),"")</f>
        <v>45322</v>
      </c>
      <c r="B131" s="77" t="str">
        <f ca="1">IF(MOD(ROW(),2)=1, OFFSET(CT!$A$1,INT(ROW()/2)+1,COLUMN(CT!B127)-1),"")</f>
        <v>TH11</v>
      </c>
      <c r="C131" s="77" t="str">
        <f ca="1">IF(MOD(ROW(),2)=1, OFFSET(CT!$A$1,INT(ROW()/2)+1,COLUMN(CT!C127)-1),"")</f>
        <v>Kết chuyển CFQLDN vào TK911</v>
      </c>
      <c r="D131" s="23" t="str">
        <f ca="1">OFFSET(CT!$A$1,INT((ROW()+1)/2),IF(MOD(ROW(),2)=1,COLUMN(CT!$D$5)-1,COLUMN(CT!$E$5)-1))</f>
        <v>9111.0202</v>
      </c>
      <c r="E131" s="78">
        <f ca="1">IF(MOD(ROW(),2)=1,OFFSET(CT!$A$1,INT(ROW()/2)+1,COLUMN(CT!$H$3)-1),0)</f>
        <v>162599</v>
      </c>
      <c r="F131" s="78">
        <f ca="1">IF(MOD(ROW(),2)=0,OFFSET(CT!$A$1,INT(ROW()/2),COLUMN(CT!$H$3)-1),0)</f>
        <v>0</v>
      </c>
      <c r="G131" s="153" t="str">
        <f ca="1">IF(OFFSET(CT!$A$1,INT((ROW()+1)/2),COLUMN(CT!$N$3)-1)="No","False","True")</f>
        <v>True</v>
      </c>
    </row>
    <row r="132" spans="1:7" ht="15.6" x14ac:dyDescent="0.3">
      <c r="A132" s="77" t="str">
        <f ca="1">IF(MOD(ROW(),2)=1, OFFSET(CT!$A$1,INT(ROW()/2)+1,COLUMN(CT!A128)-1),"")</f>
        <v/>
      </c>
      <c r="B132" s="77" t="str">
        <f ca="1">IF(MOD(ROW(),2)=1, OFFSET(CT!$A$1,INT(ROW()/2)+1,COLUMN(CT!B128)-1),"")</f>
        <v/>
      </c>
      <c r="C132" s="77" t="str">
        <f ca="1">IF(MOD(ROW(),2)=1, OFFSET(CT!$A$1,INT(ROW()/2)+1,COLUMN(CT!C128)-1),"")</f>
        <v/>
      </c>
      <c r="D132" s="23" t="str">
        <f ca="1">OFFSET(CT!$A$1,INT((ROW()+1)/2),IF(MOD(ROW(),2)=1,COLUMN(CT!$D$5)-1,COLUMN(CT!$E$5)-1))</f>
        <v>6424</v>
      </c>
      <c r="E132" s="78">
        <f ca="1">IF(MOD(ROW(),2)=1,OFFSET(CT!$A$1,INT(ROW()/2)+1,COLUMN(CT!$H$3)-1),0)</f>
        <v>0</v>
      </c>
      <c r="F132" s="78">
        <f ca="1">IF(MOD(ROW(),2)=0,OFFSET(CT!$A$1,INT(ROW()/2),COLUMN(CT!$H$3)-1),0)</f>
        <v>162599</v>
      </c>
      <c r="G132" s="153" t="str">
        <f ca="1">IF(OFFSET(CT!$A$1,INT((ROW()+1)/2),COLUMN(CT!$N$3)-1)="No","False","True")</f>
        <v>True</v>
      </c>
    </row>
    <row r="133" spans="1:7" ht="15.6" x14ac:dyDescent="0.3">
      <c r="A133" s="77">
        <f ca="1">IF(MOD(ROW(),2)=1, OFFSET(CT!$A$1,INT(ROW()/2)+1,COLUMN(CT!A129)-1),"")</f>
        <v>45322</v>
      </c>
      <c r="B133" s="77" t="str">
        <f ca="1">IF(MOD(ROW(),2)=1, OFFSET(CT!$A$1,INT(ROW()/2)+1,COLUMN(CT!B129)-1),"")</f>
        <v>TH11</v>
      </c>
      <c r="C133" s="77" t="str">
        <f ca="1">IF(MOD(ROW(),2)=1, OFFSET(CT!$A$1,INT(ROW()/2)+1,COLUMN(CT!C129)-1),"")</f>
        <v>Kết chuyển CFQLDN vào TK911</v>
      </c>
      <c r="D133" s="23" t="str">
        <f ca="1">OFFSET(CT!$A$1,INT((ROW()+1)/2),IF(MOD(ROW(),2)=1,COLUMN(CT!$D$5)-1,COLUMN(CT!$E$5)-1))</f>
        <v>9111.0101</v>
      </c>
      <c r="E133" s="78">
        <f ca="1">IF(MOD(ROW(),2)=1,OFFSET(CT!$A$1,INT(ROW()/2)+1,COLUMN(CT!$H$3)-1),0)</f>
        <v>163403</v>
      </c>
      <c r="F133" s="78">
        <f ca="1">IF(MOD(ROW(),2)=0,OFFSET(CT!$A$1,INT(ROW()/2),COLUMN(CT!$H$3)-1),0)</f>
        <v>0</v>
      </c>
      <c r="G133" s="153" t="str">
        <f ca="1">IF(OFFSET(CT!$A$1,INT((ROW()+1)/2),COLUMN(CT!$N$3)-1)="No","False","True")</f>
        <v>True</v>
      </c>
    </row>
    <row r="134" spans="1:7" ht="15.6" x14ac:dyDescent="0.3">
      <c r="A134" s="77" t="str">
        <f ca="1">IF(MOD(ROW(),2)=1, OFFSET(CT!$A$1,INT(ROW()/2)+1,COLUMN(CT!A130)-1),"")</f>
        <v/>
      </c>
      <c r="B134" s="77" t="str">
        <f ca="1">IF(MOD(ROW(),2)=1, OFFSET(CT!$A$1,INT(ROW()/2)+1,COLUMN(CT!B130)-1),"")</f>
        <v/>
      </c>
      <c r="C134" s="77" t="str">
        <f ca="1">IF(MOD(ROW(),2)=1, OFFSET(CT!$A$1,INT(ROW()/2)+1,COLUMN(CT!C130)-1),"")</f>
        <v/>
      </c>
      <c r="D134" s="23" t="str">
        <f ca="1">OFFSET(CT!$A$1,INT((ROW()+1)/2),IF(MOD(ROW(),2)=1,COLUMN(CT!$D$5)-1,COLUMN(CT!$E$5)-1))</f>
        <v>6424</v>
      </c>
      <c r="E134" s="78">
        <f ca="1">IF(MOD(ROW(),2)=1,OFFSET(CT!$A$1,INT(ROW()/2)+1,COLUMN(CT!$H$3)-1),0)</f>
        <v>0</v>
      </c>
      <c r="F134" s="78">
        <f ca="1">IF(MOD(ROW(),2)=0,OFFSET(CT!$A$1,INT(ROW()/2),COLUMN(CT!$H$3)-1),0)</f>
        <v>163403</v>
      </c>
      <c r="G134" s="153" t="str">
        <f ca="1">IF(OFFSET(CT!$A$1,INT((ROW()+1)/2),COLUMN(CT!$N$3)-1)="No","False","True")</f>
        <v>True</v>
      </c>
    </row>
    <row r="135" spans="1:7" ht="15.6" x14ac:dyDescent="0.3">
      <c r="A135" s="77">
        <f ca="1">IF(MOD(ROW(),2)=1, OFFSET(CT!$A$1,INT(ROW()/2)+1,COLUMN(CT!A131)-1),"")</f>
        <v>45322</v>
      </c>
      <c r="B135" s="77" t="str">
        <f ca="1">IF(MOD(ROW(),2)=1, OFFSET(CT!$A$1,INT(ROW()/2)+1,COLUMN(CT!B131)-1),"")</f>
        <v>TH11</v>
      </c>
      <c r="C135" s="77" t="str">
        <f ca="1">IF(MOD(ROW(),2)=1, OFFSET(CT!$A$1,INT(ROW()/2)+1,COLUMN(CT!C131)-1),"")</f>
        <v>Kết chuyển CFQLDN vào TK911</v>
      </c>
      <c r="D135" s="23" t="str">
        <f ca="1">OFFSET(CT!$A$1,INT((ROW()+1)/2),IF(MOD(ROW(),2)=1,COLUMN(CT!$D$5)-1,COLUMN(CT!$E$5)-1))</f>
        <v>9111.0202</v>
      </c>
      <c r="E135" s="78">
        <f ca="1">IF(MOD(ROW(),2)=1,OFFSET(CT!$A$1,INT(ROW()/2)+1,COLUMN(CT!$H$3)-1),0)</f>
        <v>177381</v>
      </c>
      <c r="F135" s="78">
        <f ca="1">IF(MOD(ROW(),2)=0,OFFSET(CT!$A$1,INT(ROW()/2),COLUMN(CT!$H$3)-1),0)</f>
        <v>0</v>
      </c>
      <c r="G135" s="153" t="str">
        <f ca="1">IF(OFFSET(CT!$A$1,INT((ROW()+1)/2),COLUMN(CT!$N$3)-1)="No","False","True")</f>
        <v>True</v>
      </c>
    </row>
    <row r="136" spans="1:7" ht="15.6" x14ac:dyDescent="0.3">
      <c r="A136" s="77" t="str">
        <f ca="1">IF(MOD(ROW(),2)=1, OFFSET(CT!$A$1,INT(ROW()/2)+1,COLUMN(CT!A132)-1),"")</f>
        <v/>
      </c>
      <c r="B136" s="77" t="str">
        <f ca="1">IF(MOD(ROW(),2)=1, OFFSET(CT!$A$1,INT(ROW()/2)+1,COLUMN(CT!B132)-1),"")</f>
        <v/>
      </c>
      <c r="C136" s="77" t="str">
        <f ca="1">IF(MOD(ROW(),2)=1, OFFSET(CT!$A$1,INT(ROW()/2)+1,COLUMN(CT!C132)-1),"")</f>
        <v/>
      </c>
      <c r="D136" s="23" t="str">
        <f ca="1">OFFSET(CT!$A$1,INT((ROW()+1)/2),IF(MOD(ROW(),2)=1,COLUMN(CT!$D$5)-1,COLUMN(CT!$E$5)-1))</f>
        <v>6423</v>
      </c>
      <c r="E136" s="78">
        <f ca="1">IF(MOD(ROW(),2)=1,OFFSET(CT!$A$1,INT(ROW()/2)+1,COLUMN(CT!$H$3)-1),0)</f>
        <v>0</v>
      </c>
      <c r="F136" s="78">
        <f ca="1">IF(MOD(ROW(),2)=0,OFFSET(CT!$A$1,INT(ROW()/2),COLUMN(CT!$H$3)-1),0)</f>
        <v>177381</v>
      </c>
      <c r="G136" s="153" t="str">
        <f ca="1">IF(OFFSET(CT!$A$1,INT((ROW()+1)/2),COLUMN(CT!$N$3)-1)="No","False","True")</f>
        <v>True</v>
      </c>
    </row>
    <row r="137" spans="1:7" ht="15.6" x14ac:dyDescent="0.3">
      <c r="A137" s="77">
        <f ca="1">IF(MOD(ROW(),2)=1, OFFSET(CT!$A$1,INT(ROW()/2)+1,COLUMN(CT!A133)-1),"")</f>
        <v>45322</v>
      </c>
      <c r="B137" s="77" t="str">
        <f ca="1">IF(MOD(ROW(),2)=1, OFFSET(CT!$A$1,INT(ROW()/2)+1,COLUMN(CT!B133)-1),"")</f>
        <v>TH11</v>
      </c>
      <c r="C137" s="77" t="str">
        <f ca="1">IF(MOD(ROW(),2)=1, OFFSET(CT!$A$1,INT(ROW()/2)+1,COLUMN(CT!C133)-1),"")</f>
        <v>Kết chuyển CFQLDN vào TK911</v>
      </c>
      <c r="D137" s="23" t="str">
        <f ca="1">OFFSET(CT!$A$1,INT((ROW()+1)/2),IF(MOD(ROW(),2)=1,COLUMN(CT!$D$5)-1,COLUMN(CT!$E$5)-1))</f>
        <v>9111.0101</v>
      </c>
      <c r="E137" s="78">
        <f ca="1">IF(MOD(ROW(),2)=1,OFFSET(CT!$A$1,INT(ROW()/2)+1,COLUMN(CT!$H$3)-1),0)</f>
        <v>178258</v>
      </c>
      <c r="F137" s="78">
        <f ca="1">IF(MOD(ROW(),2)=0,OFFSET(CT!$A$1,INT(ROW()/2),COLUMN(CT!$H$3)-1),0)</f>
        <v>0</v>
      </c>
      <c r="G137" s="153" t="str">
        <f ca="1">IF(OFFSET(CT!$A$1,INT((ROW()+1)/2),COLUMN(CT!$N$3)-1)="No","False","True")</f>
        <v>True</v>
      </c>
    </row>
    <row r="138" spans="1:7" ht="15.6" x14ac:dyDescent="0.3">
      <c r="A138" s="77" t="str">
        <f ca="1">IF(MOD(ROW(),2)=1, OFFSET(CT!$A$1,INT(ROW()/2)+1,COLUMN(CT!A134)-1),"")</f>
        <v/>
      </c>
      <c r="B138" s="77" t="str">
        <f ca="1">IF(MOD(ROW(),2)=1, OFFSET(CT!$A$1,INT(ROW()/2)+1,COLUMN(CT!B134)-1),"")</f>
        <v/>
      </c>
      <c r="C138" s="77" t="str">
        <f ca="1">IF(MOD(ROW(),2)=1, OFFSET(CT!$A$1,INT(ROW()/2)+1,COLUMN(CT!C134)-1),"")</f>
        <v/>
      </c>
      <c r="D138" s="23" t="str">
        <f ca="1">OFFSET(CT!$A$1,INT((ROW()+1)/2),IF(MOD(ROW(),2)=1,COLUMN(CT!$D$5)-1,COLUMN(CT!$E$5)-1))</f>
        <v>6423</v>
      </c>
      <c r="E138" s="78">
        <f ca="1">IF(MOD(ROW(),2)=1,OFFSET(CT!$A$1,INT(ROW()/2)+1,COLUMN(CT!$H$3)-1),0)</f>
        <v>0</v>
      </c>
      <c r="F138" s="78">
        <f ca="1">IF(MOD(ROW(),2)=0,OFFSET(CT!$A$1,INT(ROW()/2),COLUMN(CT!$H$3)-1),0)</f>
        <v>178258</v>
      </c>
      <c r="G138" s="153" t="str">
        <f ca="1">IF(OFFSET(CT!$A$1,INT((ROW()+1)/2),COLUMN(CT!$N$3)-1)="No","False","True")</f>
        <v>True</v>
      </c>
    </row>
    <row r="139" spans="1:7" ht="15.6" x14ac:dyDescent="0.3">
      <c r="A139" s="77">
        <f ca="1">IF(MOD(ROW(),2)=1, OFFSET(CT!$A$1,INT(ROW()/2)+1,COLUMN(CT!A135)-1),"")</f>
        <v>45322</v>
      </c>
      <c r="B139" s="77" t="str">
        <f ca="1">IF(MOD(ROW(),2)=1, OFFSET(CT!$A$1,INT(ROW()/2)+1,COLUMN(CT!B135)-1),"")</f>
        <v>TH2</v>
      </c>
      <c r="C139" s="77" t="str">
        <f ca="1">IF(MOD(ROW(),2)=1, OFFSET(CT!$A$1,INT(ROW()/2)+1,COLUMN(CT!C135)-1),"")</f>
        <v>Tính các khoản trích theo lương vào chi phí</v>
      </c>
      <c r="D139" s="23" t="str">
        <f ca="1">OFFSET(CT!$A$1,INT((ROW()+1)/2),IF(MOD(ROW(),2)=1,COLUMN(CT!$D$5)-1,COLUMN(CT!$E$5)-1))</f>
        <v>6421</v>
      </c>
      <c r="E139" s="78">
        <f ca="1">IF(MOD(ROW(),2)=1,OFFSET(CT!$A$1,INT(ROW()/2)+1,COLUMN(CT!$H$3)-1),0)</f>
        <v>210000</v>
      </c>
      <c r="F139" s="78">
        <f ca="1">IF(MOD(ROW(),2)=0,OFFSET(CT!$A$1,INT(ROW()/2),COLUMN(CT!$H$3)-1),0)</f>
        <v>0</v>
      </c>
      <c r="G139" s="153" t="str">
        <f ca="1">IF(OFFSET(CT!$A$1,INT((ROW()+1)/2),COLUMN(CT!$N$3)-1)="No","False","True")</f>
        <v>True</v>
      </c>
    </row>
    <row r="140" spans="1:7" ht="15.6" x14ac:dyDescent="0.3">
      <c r="A140" s="77" t="str">
        <f ca="1">IF(MOD(ROW(),2)=1, OFFSET(CT!$A$1,INT(ROW()/2)+1,COLUMN(CT!A136)-1),"")</f>
        <v/>
      </c>
      <c r="B140" s="77" t="str">
        <f ca="1">IF(MOD(ROW(),2)=1, OFFSET(CT!$A$1,INT(ROW()/2)+1,COLUMN(CT!B136)-1),"")</f>
        <v/>
      </c>
      <c r="C140" s="77" t="str">
        <f ca="1">IF(MOD(ROW(),2)=1, OFFSET(CT!$A$1,INT(ROW()/2)+1,COLUMN(CT!C136)-1),"")</f>
        <v/>
      </c>
      <c r="D140" s="23" t="str">
        <f ca="1">OFFSET(CT!$A$1,INT((ROW()+1)/2),IF(MOD(ROW(),2)=1,COLUMN(CT!$D$5)-1,COLUMN(CT!$E$5)-1))</f>
        <v>3384</v>
      </c>
      <c r="E140" s="78">
        <f ca="1">IF(MOD(ROW(),2)=1,OFFSET(CT!$A$1,INT(ROW()/2)+1,COLUMN(CT!$H$3)-1),0)</f>
        <v>0</v>
      </c>
      <c r="F140" s="78">
        <f ca="1">IF(MOD(ROW(),2)=0,OFFSET(CT!$A$1,INT(ROW()/2),COLUMN(CT!$H$3)-1),0)</f>
        <v>210000</v>
      </c>
      <c r="G140" s="153" t="str">
        <f ca="1">IF(OFFSET(CT!$A$1,INT((ROW()+1)/2),COLUMN(CT!$N$3)-1)="No","False","True")</f>
        <v>True</v>
      </c>
    </row>
    <row r="141" spans="1:7" ht="15.6" x14ac:dyDescent="0.3">
      <c r="A141" s="77">
        <f ca="1">IF(MOD(ROW(),2)=1, OFFSET(CT!$A$1,INT(ROW()/2)+1,COLUMN(CT!A137)-1),"")</f>
        <v>45322</v>
      </c>
      <c r="B141" s="77" t="str">
        <f ca="1">IF(MOD(ROW(),2)=1, OFFSET(CT!$A$1,INT(ROW()/2)+1,COLUMN(CT!B137)-1),"")</f>
        <v>01/PB</v>
      </c>
      <c r="C141" s="77" t="str">
        <f ca="1">IF(MOD(ROW(),2)=1, OFFSET(CT!$A$1,INT(ROW()/2)+1,COLUMN(CT!C137)-1),"")</f>
        <v>Phân bổ CCDC vào chi phí</v>
      </c>
      <c r="D141" s="23" t="str">
        <f ca="1">OFFSET(CT!$A$1,INT((ROW()+1)/2),IF(MOD(ROW(),2)=1,COLUMN(CT!$D$5)-1,COLUMN(CT!$E$5)-1))</f>
        <v>6413</v>
      </c>
      <c r="E141" s="78">
        <f ca="1">IF(MOD(ROW(),2)=1,OFFSET(CT!$A$1,INT(ROW()/2)+1,COLUMN(CT!$H$3)-1),0)</f>
        <v>250000</v>
      </c>
      <c r="F141" s="78">
        <f ca="1">IF(MOD(ROW(),2)=0,OFFSET(CT!$A$1,INT(ROW()/2),COLUMN(CT!$H$3)-1),0)</f>
        <v>0</v>
      </c>
      <c r="G141" s="153" t="str">
        <f ca="1">IF(OFFSET(CT!$A$1,INT((ROW()+1)/2),COLUMN(CT!$N$3)-1)="No","False","True")</f>
        <v>True</v>
      </c>
    </row>
    <row r="142" spans="1:7" ht="15.6" x14ac:dyDescent="0.3">
      <c r="A142" s="77" t="str">
        <f ca="1">IF(MOD(ROW(),2)=1, OFFSET(CT!$A$1,INT(ROW()/2)+1,COLUMN(CT!A138)-1),"")</f>
        <v/>
      </c>
      <c r="B142" s="77" t="str">
        <f ca="1">IF(MOD(ROW(),2)=1, OFFSET(CT!$A$1,INT(ROW()/2)+1,COLUMN(CT!B138)-1),"")</f>
        <v/>
      </c>
      <c r="C142" s="77" t="str">
        <f ca="1">IF(MOD(ROW(),2)=1, OFFSET(CT!$A$1,INT(ROW()/2)+1,COLUMN(CT!C138)-1),"")</f>
        <v/>
      </c>
      <c r="D142" s="23" t="str">
        <f ca="1">OFFSET(CT!$A$1,INT((ROW()+1)/2),IF(MOD(ROW(),2)=1,COLUMN(CT!$D$5)-1,COLUMN(CT!$E$5)-1))</f>
        <v>2421.02</v>
      </c>
      <c r="E142" s="78">
        <f ca="1">IF(MOD(ROW(),2)=1,OFFSET(CT!$A$1,INT(ROW()/2)+1,COLUMN(CT!$H$3)-1),0)</f>
        <v>0</v>
      </c>
      <c r="F142" s="78">
        <f ca="1">IF(MOD(ROW(),2)=0,OFFSET(CT!$A$1,INT(ROW()/2),COLUMN(CT!$H$3)-1),0)</f>
        <v>250000</v>
      </c>
      <c r="G142" s="153" t="str">
        <f ca="1">IF(OFFSET(CT!$A$1,INT((ROW()+1)/2),COLUMN(CT!$N$3)-1)="No","False","True")</f>
        <v>True</v>
      </c>
    </row>
    <row r="143" spans="1:7" ht="15.6" x14ac:dyDescent="0.3">
      <c r="A143" s="77">
        <f ca="1">IF(MOD(ROW(),2)=1, OFFSET(CT!$A$1,INT(ROW()/2)+1,COLUMN(CT!A139)-1),"")</f>
        <v>45322</v>
      </c>
      <c r="B143" s="77" t="str">
        <f ca="1">IF(MOD(ROW(),2)=1, OFFSET(CT!$A$1,INT(ROW()/2)+1,COLUMN(CT!B139)-1),"")</f>
        <v>TH5</v>
      </c>
      <c r="C143" s="77" t="str">
        <f ca="1">IF(MOD(ROW(),2)=1, OFFSET(CT!$A$1,INT(ROW()/2)+1,COLUMN(CT!C139)-1),"")</f>
        <v>Kết chuyển CFC vào TK154</v>
      </c>
      <c r="D143" s="23" t="str">
        <f ca="1">OFFSET(CT!$A$1,INT((ROW()+1)/2),IF(MOD(ROW(),2)=1,COLUMN(CT!$D$5)-1,COLUMN(CT!$E$5)-1))</f>
        <v>154.03</v>
      </c>
      <c r="E143" s="78">
        <f ca="1">IF(MOD(ROW(),2)=1,OFFSET(CT!$A$1,INT(ROW()/2)+1,COLUMN(CT!$H$3)-1),0)</f>
        <v>336132</v>
      </c>
      <c r="F143" s="78">
        <f ca="1">IF(MOD(ROW(),2)=0,OFFSET(CT!$A$1,INT(ROW()/2),COLUMN(CT!$H$3)-1),0)</f>
        <v>0</v>
      </c>
      <c r="G143" s="153" t="str">
        <f ca="1">IF(OFFSET(CT!$A$1,INT((ROW()+1)/2),COLUMN(CT!$N$3)-1)="No","False","True")</f>
        <v>True</v>
      </c>
    </row>
    <row r="144" spans="1:7" ht="15.6" x14ac:dyDescent="0.3">
      <c r="A144" s="77" t="str">
        <f ca="1">IF(MOD(ROW(),2)=1, OFFSET(CT!$A$1,INT(ROW()/2)+1,COLUMN(CT!A140)-1),"")</f>
        <v/>
      </c>
      <c r="B144" s="77" t="str">
        <f ca="1">IF(MOD(ROW(),2)=1, OFFSET(CT!$A$1,INT(ROW()/2)+1,COLUMN(CT!B140)-1),"")</f>
        <v/>
      </c>
      <c r="C144" s="77" t="str">
        <f ca="1">IF(MOD(ROW(),2)=1, OFFSET(CT!$A$1,INT(ROW()/2)+1,COLUMN(CT!C140)-1),"")</f>
        <v/>
      </c>
      <c r="D144" s="23" t="str">
        <f ca="1">OFFSET(CT!$A$1,INT((ROW()+1)/2),IF(MOD(ROW(),2)=1,COLUMN(CT!$D$5)-1,COLUMN(CT!$E$5)-1))</f>
        <v>6274</v>
      </c>
      <c r="E144" s="78">
        <f ca="1">IF(MOD(ROW(),2)=1,OFFSET(CT!$A$1,INT(ROW()/2)+1,COLUMN(CT!$H$3)-1),0)</f>
        <v>0</v>
      </c>
      <c r="F144" s="78">
        <f ca="1">IF(MOD(ROW(),2)=0,OFFSET(CT!$A$1,INT(ROW()/2),COLUMN(CT!$H$3)-1),0)</f>
        <v>336132</v>
      </c>
      <c r="G144" s="153" t="str">
        <f ca="1">IF(OFFSET(CT!$A$1,INT((ROW()+1)/2),COLUMN(CT!$N$3)-1)="No","False","True")</f>
        <v>True</v>
      </c>
    </row>
    <row r="145" spans="1:7" ht="15.6" x14ac:dyDescent="0.3">
      <c r="A145" s="77">
        <f ca="1">IF(MOD(ROW(),2)=1, OFFSET(CT!$A$1,INT(ROW()/2)+1,COLUMN(CT!A141)-1),"")</f>
        <v>45322</v>
      </c>
      <c r="B145" s="77" t="str">
        <f ca="1">IF(MOD(ROW(),2)=1, OFFSET(CT!$A$1,INT(ROW()/2)+1,COLUMN(CT!B141)-1),"")</f>
        <v>TH7</v>
      </c>
      <c r="C145" s="77" t="str">
        <f ca="1">IF(MOD(ROW(),2)=1, OFFSET(CT!$A$1,INT(ROW()/2)+1,COLUMN(CT!C141)-1),"")</f>
        <v>Bổ sung giá thành tiêu thụ TK632</v>
      </c>
      <c r="D145" s="23" t="str">
        <f ca="1">OFFSET(CT!$A$1,INT((ROW()+1)/2),IF(MOD(ROW(),2)=1,COLUMN(CT!$D$5)-1,COLUMN(CT!$E$5)-1))</f>
        <v>632.0102</v>
      </c>
      <c r="E145" s="78">
        <f ca="1">IF(MOD(ROW(),2)=1,OFFSET(CT!$A$1,INT(ROW()/2)+1,COLUMN(CT!$H$3)-1),0)</f>
        <v>346200</v>
      </c>
      <c r="F145" s="78">
        <f ca="1">IF(MOD(ROW(),2)=0,OFFSET(CT!$A$1,INT(ROW()/2),COLUMN(CT!$H$3)-1),0)</f>
        <v>0</v>
      </c>
      <c r="G145" s="153" t="str">
        <f ca="1">IF(OFFSET(CT!$A$1,INT((ROW()+1)/2),COLUMN(CT!$N$3)-1)="No","False","True")</f>
        <v>True</v>
      </c>
    </row>
    <row r="146" spans="1:7" ht="15.6" x14ac:dyDescent="0.3">
      <c r="A146" s="77" t="str">
        <f ca="1">IF(MOD(ROW(),2)=1, OFFSET(CT!$A$1,INT(ROW()/2)+1,COLUMN(CT!A142)-1),"")</f>
        <v/>
      </c>
      <c r="B146" s="77" t="str">
        <f ca="1">IF(MOD(ROW(),2)=1, OFFSET(CT!$A$1,INT(ROW()/2)+1,COLUMN(CT!B142)-1),"")</f>
        <v/>
      </c>
      <c r="C146" s="77" t="str">
        <f ca="1">IF(MOD(ROW(),2)=1, OFFSET(CT!$A$1,INT(ROW()/2)+1,COLUMN(CT!C142)-1),"")</f>
        <v/>
      </c>
      <c r="D146" s="23" t="str">
        <f ca="1">OFFSET(CT!$A$1,INT((ROW()+1)/2),IF(MOD(ROW(),2)=1,COLUMN(CT!$D$5)-1,COLUMN(CT!$E$5)-1))</f>
        <v>1551.0102</v>
      </c>
      <c r="E146" s="78">
        <f ca="1">IF(MOD(ROW(),2)=1,OFFSET(CT!$A$1,INT(ROW()/2)+1,COLUMN(CT!$H$3)-1),0)</f>
        <v>0</v>
      </c>
      <c r="F146" s="78">
        <f ca="1">IF(MOD(ROW(),2)=0,OFFSET(CT!$A$1,INT(ROW()/2),COLUMN(CT!$H$3)-1),0)</f>
        <v>346200</v>
      </c>
      <c r="G146" s="153" t="str">
        <f ca="1">IF(OFFSET(CT!$A$1,INT((ROW()+1)/2),COLUMN(CT!$N$3)-1)="No","False","True")</f>
        <v>True</v>
      </c>
    </row>
    <row r="147" spans="1:7" ht="15.6" x14ac:dyDescent="0.3">
      <c r="A147" s="77">
        <f ca="1">IF(MOD(ROW(),2)=1, OFFSET(CT!$A$1,INT(ROW()/2)+1,COLUMN(CT!A143)-1),"")</f>
        <v>45322</v>
      </c>
      <c r="B147" s="77" t="str">
        <f ca="1">IF(MOD(ROW(),2)=1, OFFSET(CT!$A$1,INT(ROW()/2)+1,COLUMN(CT!B143)-1),"")</f>
        <v>TH2</v>
      </c>
      <c r="C147" s="77" t="str">
        <f ca="1">IF(MOD(ROW(),2)=1, OFFSET(CT!$A$1,INT(ROW()/2)+1,COLUMN(CT!C143)-1),"")</f>
        <v>Tính các khoản trích theo lương vào chi phí</v>
      </c>
      <c r="D147" s="23" t="str">
        <f ca="1">OFFSET(CT!$A$1,INT((ROW()+1)/2),IF(MOD(ROW(),2)=1,COLUMN(CT!$D$5)-1,COLUMN(CT!$E$5)-1))</f>
        <v>6271</v>
      </c>
      <c r="E147" s="78">
        <f ca="1">IF(MOD(ROW(),2)=1,OFFSET(CT!$A$1,INT(ROW()/2)+1,COLUMN(CT!$H$3)-1),0)</f>
        <v>350000</v>
      </c>
      <c r="F147" s="78">
        <f ca="1">IF(MOD(ROW(),2)=0,OFFSET(CT!$A$1,INT(ROW()/2),COLUMN(CT!$H$3)-1),0)</f>
        <v>0</v>
      </c>
      <c r="G147" s="153" t="str">
        <f ca="1">IF(OFFSET(CT!$A$1,INT((ROW()+1)/2),COLUMN(CT!$N$3)-1)="No","False","True")</f>
        <v>True</v>
      </c>
    </row>
    <row r="148" spans="1:7" ht="15.6" x14ac:dyDescent="0.3">
      <c r="A148" s="77" t="str">
        <f ca="1">IF(MOD(ROW(),2)=1, OFFSET(CT!$A$1,INT(ROW()/2)+1,COLUMN(CT!A144)-1),"")</f>
        <v/>
      </c>
      <c r="B148" s="77" t="str">
        <f ca="1">IF(MOD(ROW(),2)=1, OFFSET(CT!$A$1,INT(ROW()/2)+1,COLUMN(CT!B144)-1),"")</f>
        <v/>
      </c>
      <c r="C148" s="77" t="str">
        <f ca="1">IF(MOD(ROW(),2)=1, OFFSET(CT!$A$1,INT(ROW()/2)+1,COLUMN(CT!C144)-1),"")</f>
        <v/>
      </c>
      <c r="D148" s="23" t="str">
        <f ca="1">OFFSET(CT!$A$1,INT((ROW()+1)/2),IF(MOD(ROW(),2)=1,COLUMN(CT!$D$5)-1,COLUMN(CT!$E$5)-1))</f>
        <v>3388</v>
      </c>
      <c r="E148" s="78">
        <f ca="1">IF(MOD(ROW(),2)=1,OFFSET(CT!$A$1,INT(ROW()/2)+1,COLUMN(CT!$H$3)-1),0)</f>
        <v>0</v>
      </c>
      <c r="F148" s="78">
        <f ca="1">IF(MOD(ROW(),2)=0,OFFSET(CT!$A$1,INT(ROW()/2),COLUMN(CT!$H$3)-1),0)</f>
        <v>350000</v>
      </c>
      <c r="G148" s="153" t="str">
        <f ca="1">IF(OFFSET(CT!$A$1,INT((ROW()+1)/2),COLUMN(CT!$N$3)-1)="No","False","True")</f>
        <v>True</v>
      </c>
    </row>
    <row r="149" spans="1:7" ht="15.6" x14ac:dyDescent="0.3">
      <c r="A149" s="77">
        <f ca="1">IF(MOD(ROW(),2)=1, OFFSET(CT!$A$1,INT(ROW()/2)+1,COLUMN(CT!A145)-1),"")</f>
        <v>45322</v>
      </c>
      <c r="B149" s="77" t="str">
        <f ca="1">IF(MOD(ROW(),2)=1, OFFSET(CT!$A$1,INT(ROW()/2)+1,COLUMN(CT!B145)-1),"")</f>
        <v>TH5</v>
      </c>
      <c r="C149" s="77" t="str">
        <f ca="1">IF(MOD(ROW(),2)=1, OFFSET(CT!$A$1,INT(ROW()/2)+1,COLUMN(CT!C145)-1),"")</f>
        <v>Kết chuyển CFC vào TK154</v>
      </c>
      <c r="D149" s="23" t="str">
        <f ca="1">OFFSET(CT!$A$1,INT((ROW()+1)/2),IF(MOD(ROW(),2)=1,COLUMN(CT!$D$5)-1,COLUMN(CT!$E$5)-1))</f>
        <v>154.01</v>
      </c>
      <c r="E149" s="78">
        <f ca="1">IF(MOD(ROW(),2)=1,OFFSET(CT!$A$1,INT(ROW()/2)+1,COLUMN(CT!$H$3)-1),0)</f>
        <v>399160</v>
      </c>
      <c r="F149" s="78">
        <f ca="1">IF(MOD(ROW(),2)=0,OFFSET(CT!$A$1,INT(ROW()/2),COLUMN(CT!$H$3)-1),0)</f>
        <v>0</v>
      </c>
      <c r="G149" s="153" t="str">
        <f ca="1">IF(OFFSET(CT!$A$1,INT((ROW()+1)/2),COLUMN(CT!$N$3)-1)="No","False","True")</f>
        <v>True</v>
      </c>
    </row>
    <row r="150" spans="1:7" ht="15.6" x14ac:dyDescent="0.3">
      <c r="A150" s="77" t="str">
        <f ca="1">IF(MOD(ROW(),2)=1, OFFSET(CT!$A$1,INT(ROW()/2)+1,COLUMN(CT!A146)-1),"")</f>
        <v/>
      </c>
      <c r="B150" s="77" t="str">
        <f ca="1">IF(MOD(ROW(),2)=1, OFFSET(CT!$A$1,INT(ROW()/2)+1,COLUMN(CT!B146)-1),"")</f>
        <v/>
      </c>
      <c r="C150" s="77" t="str">
        <f ca="1">IF(MOD(ROW(),2)=1, OFFSET(CT!$A$1,INT(ROW()/2)+1,COLUMN(CT!C146)-1),"")</f>
        <v/>
      </c>
      <c r="D150" s="23" t="str">
        <f ca="1">OFFSET(CT!$A$1,INT((ROW()+1)/2),IF(MOD(ROW(),2)=1,COLUMN(CT!$D$5)-1,COLUMN(CT!$E$5)-1))</f>
        <v>6273</v>
      </c>
      <c r="E150" s="78">
        <f ca="1">IF(MOD(ROW(),2)=1,OFFSET(CT!$A$1,INT(ROW()/2)+1,COLUMN(CT!$H$3)-1),0)</f>
        <v>0</v>
      </c>
      <c r="F150" s="78">
        <f ca="1">IF(MOD(ROW(),2)=0,OFFSET(CT!$A$1,INT(ROW()/2),COLUMN(CT!$H$3)-1),0)</f>
        <v>399160</v>
      </c>
      <c r="G150" s="153" t="str">
        <f ca="1">IF(OFFSET(CT!$A$1,INT((ROW()+1)/2),COLUMN(CT!$N$3)-1)="No","False","True")</f>
        <v>True</v>
      </c>
    </row>
    <row r="151" spans="1:7" ht="15.6" x14ac:dyDescent="0.3">
      <c r="A151" s="77">
        <f ca="1">IF(MOD(ROW(),2)=1, OFFSET(CT!$A$1,INT(ROW()/2)+1,COLUMN(CT!A147)-1),"")</f>
        <v>45322</v>
      </c>
      <c r="B151" s="77" t="str">
        <f ca="1">IF(MOD(ROW(),2)=1, OFFSET(CT!$A$1,INT(ROW()/2)+1,COLUMN(CT!B147)-1),"")</f>
        <v>TH2</v>
      </c>
      <c r="C151" s="77" t="str">
        <f ca="1">IF(MOD(ROW(),2)=1, OFFSET(CT!$A$1,INT(ROW()/2)+1,COLUMN(CT!C147)-1),"")</f>
        <v>Tính các khoản trích theo lương vào chi phí</v>
      </c>
      <c r="D151" s="23" t="str">
        <f ca="1">OFFSET(CT!$A$1,INT((ROW()+1)/2),IF(MOD(ROW(),2)=1,COLUMN(CT!$D$5)-1,COLUMN(CT!$E$5)-1))</f>
        <v>622.01</v>
      </c>
      <c r="E151" s="78">
        <f ca="1">IF(MOD(ROW(),2)=1,OFFSET(CT!$A$1,INT(ROW()/2)+1,COLUMN(CT!$H$3)-1),0)</f>
        <v>400000</v>
      </c>
      <c r="F151" s="78">
        <f ca="1">IF(MOD(ROW(),2)=0,OFFSET(CT!$A$1,INT(ROW()/2),COLUMN(CT!$H$3)-1),0)</f>
        <v>0</v>
      </c>
      <c r="G151" s="153" t="str">
        <f ca="1">IF(OFFSET(CT!$A$1,INT((ROW()+1)/2),COLUMN(CT!$N$3)-1)="No","False","True")</f>
        <v>True</v>
      </c>
    </row>
    <row r="152" spans="1:7" ht="15.6" x14ac:dyDescent="0.3">
      <c r="A152" s="77" t="str">
        <f ca="1">IF(MOD(ROW(),2)=1, OFFSET(CT!$A$1,INT(ROW()/2)+1,COLUMN(CT!A148)-1),"")</f>
        <v/>
      </c>
      <c r="B152" s="77" t="str">
        <f ca="1">IF(MOD(ROW(),2)=1, OFFSET(CT!$A$1,INT(ROW()/2)+1,COLUMN(CT!B148)-1),"")</f>
        <v/>
      </c>
      <c r="C152" s="77" t="str">
        <f ca="1">IF(MOD(ROW(),2)=1, OFFSET(CT!$A$1,INT(ROW()/2)+1,COLUMN(CT!C148)-1),"")</f>
        <v/>
      </c>
      <c r="D152" s="23" t="str">
        <f ca="1">OFFSET(CT!$A$1,INT((ROW()+1)/2),IF(MOD(ROW(),2)=1,COLUMN(CT!$D$5)-1,COLUMN(CT!$E$5)-1))</f>
        <v>3388</v>
      </c>
      <c r="E152" s="78">
        <f ca="1">IF(MOD(ROW(),2)=1,OFFSET(CT!$A$1,INT(ROW()/2)+1,COLUMN(CT!$H$3)-1),0)</f>
        <v>0</v>
      </c>
      <c r="F152" s="78">
        <f ca="1">IF(MOD(ROW(),2)=0,OFFSET(CT!$A$1,INT(ROW()/2),COLUMN(CT!$H$3)-1),0)</f>
        <v>400000</v>
      </c>
      <c r="G152" s="153" t="str">
        <f ca="1">IF(OFFSET(CT!$A$1,INT((ROW()+1)/2),COLUMN(CT!$N$3)-1)="No","False","True")</f>
        <v>True</v>
      </c>
    </row>
    <row r="153" spans="1:7" ht="15.6" x14ac:dyDescent="0.3">
      <c r="A153" s="77">
        <f ca="1">IF(MOD(ROW(),2)=1, OFFSET(CT!$A$1,INT(ROW()/2)+1,COLUMN(CT!A149)-1),"")</f>
        <v>45322</v>
      </c>
      <c r="B153" s="77" t="str">
        <f ca="1">IF(MOD(ROW(),2)=1, OFFSET(CT!$A$1,INT(ROW()/2)+1,COLUMN(CT!B149)-1),"")</f>
        <v>TH2</v>
      </c>
      <c r="C153" s="77" t="str">
        <f ca="1">IF(MOD(ROW(),2)=1, OFFSET(CT!$A$1,INT(ROW()/2)+1,COLUMN(CT!C149)-1),"")</f>
        <v>Tính các khoản trích theo lương vào chi phí</v>
      </c>
      <c r="D153" s="23" t="str">
        <f ca="1">OFFSET(CT!$A$1,INT((ROW()+1)/2),IF(MOD(ROW(),2)=1,COLUMN(CT!$D$5)-1,COLUMN(CT!$E$5)-1))</f>
        <v>622.02</v>
      </c>
      <c r="E153" s="78">
        <f ca="1">IF(MOD(ROW(),2)=1,OFFSET(CT!$A$1,INT(ROW()/2)+1,COLUMN(CT!$H$3)-1),0)</f>
        <v>400000</v>
      </c>
      <c r="F153" s="78">
        <f ca="1">IF(MOD(ROW(),2)=0,OFFSET(CT!$A$1,INT(ROW()/2),COLUMN(CT!$H$3)-1),0)</f>
        <v>0</v>
      </c>
      <c r="G153" s="153" t="str">
        <f ca="1">IF(OFFSET(CT!$A$1,INT((ROW()+1)/2),COLUMN(CT!$N$3)-1)="No","False","True")</f>
        <v>True</v>
      </c>
    </row>
    <row r="154" spans="1:7" ht="15.6" x14ac:dyDescent="0.3">
      <c r="A154" s="77" t="str">
        <f ca="1">IF(MOD(ROW(),2)=1, OFFSET(CT!$A$1,INT(ROW()/2)+1,COLUMN(CT!A150)-1),"")</f>
        <v/>
      </c>
      <c r="B154" s="77" t="str">
        <f ca="1">IF(MOD(ROW(),2)=1, OFFSET(CT!$A$1,INT(ROW()/2)+1,COLUMN(CT!B150)-1),"")</f>
        <v/>
      </c>
      <c r="C154" s="77" t="str">
        <f ca="1">IF(MOD(ROW(),2)=1, OFFSET(CT!$A$1,INT(ROW()/2)+1,COLUMN(CT!C150)-1),"")</f>
        <v/>
      </c>
      <c r="D154" s="23" t="str">
        <f ca="1">OFFSET(CT!$A$1,INT((ROW()+1)/2),IF(MOD(ROW(),2)=1,COLUMN(CT!$D$5)-1,COLUMN(CT!$E$5)-1))</f>
        <v>3388</v>
      </c>
      <c r="E154" s="78">
        <f ca="1">IF(MOD(ROW(),2)=1,OFFSET(CT!$A$1,INT(ROW()/2)+1,COLUMN(CT!$H$3)-1),0)</f>
        <v>0</v>
      </c>
      <c r="F154" s="78">
        <f ca="1">IF(MOD(ROW(),2)=0,OFFSET(CT!$A$1,INT(ROW()/2),COLUMN(CT!$H$3)-1),0)</f>
        <v>400000</v>
      </c>
      <c r="G154" s="153" t="str">
        <f ca="1">IF(OFFSET(CT!$A$1,INT((ROW()+1)/2),COLUMN(CT!$N$3)-1)="No","False","True")</f>
        <v>True</v>
      </c>
    </row>
    <row r="155" spans="1:7" ht="15.6" x14ac:dyDescent="0.3">
      <c r="A155" s="77">
        <f ca="1">IF(MOD(ROW(),2)=1, OFFSET(CT!$A$1,INT(ROW()/2)+1,COLUMN(CT!A151)-1),"")</f>
        <v>45322</v>
      </c>
      <c r="B155" s="77" t="str">
        <f ca="1">IF(MOD(ROW(),2)=1, OFFSET(CT!$A$1,INT(ROW()/2)+1,COLUMN(CT!B151)-1),"")</f>
        <v>TH2</v>
      </c>
      <c r="C155" s="77" t="str">
        <f ca="1">IF(MOD(ROW(),2)=1, OFFSET(CT!$A$1,INT(ROW()/2)+1,COLUMN(CT!C151)-1),"")</f>
        <v>Tính các khoản trích theo lương vào chi phí</v>
      </c>
      <c r="D155" s="23" t="str">
        <f ca="1">OFFSET(CT!$A$1,INT((ROW()+1)/2),IF(MOD(ROW(),2)=1,COLUMN(CT!$D$5)-1,COLUMN(CT!$E$5)-1))</f>
        <v>622.03</v>
      </c>
      <c r="E155" s="78">
        <f ca="1">IF(MOD(ROW(),2)=1,OFFSET(CT!$A$1,INT(ROW()/2)+1,COLUMN(CT!$H$3)-1),0)</f>
        <v>400000</v>
      </c>
      <c r="F155" s="78">
        <f ca="1">IF(MOD(ROW(),2)=0,OFFSET(CT!$A$1,INT(ROW()/2),COLUMN(CT!$H$3)-1),0)</f>
        <v>0</v>
      </c>
      <c r="G155" s="153" t="str">
        <f ca="1">IF(OFFSET(CT!$A$1,INT((ROW()+1)/2),COLUMN(CT!$N$3)-1)="No","False","True")</f>
        <v>True</v>
      </c>
    </row>
    <row r="156" spans="1:7" ht="15.6" x14ac:dyDescent="0.3">
      <c r="A156" s="77" t="str">
        <f ca="1">IF(MOD(ROW(),2)=1, OFFSET(CT!$A$1,INT(ROW()/2)+1,COLUMN(CT!A152)-1),"")</f>
        <v/>
      </c>
      <c r="B156" s="77" t="str">
        <f ca="1">IF(MOD(ROW(),2)=1, OFFSET(CT!$A$1,INT(ROW()/2)+1,COLUMN(CT!B152)-1),"")</f>
        <v/>
      </c>
      <c r="C156" s="77" t="str">
        <f ca="1">IF(MOD(ROW(),2)=1, OFFSET(CT!$A$1,INT(ROW()/2)+1,COLUMN(CT!C152)-1),"")</f>
        <v/>
      </c>
      <c r="D156" s="23" t="str">
        <f ca="1">OFFSET(CT!$A$1,INT((ROW()+1)/2),IF(MOD(ROW(),2)=1,COLUMN(CT!$D$5)-1,COLUMN(CT!$E$5)-1))</f>
        <v>3388</v>
      </c>
      <c r="E156" s="78">
        <f ca="1">IF(MOD(ROW(),2)=1,OFFSET(CT!$A$1,INT(ROW()/2)+1,COLUMN(CT!$H$3)-1),0)</f>
        <v>0</v>
      </c>
      <c r="F156" s="78">
        <f ca="1">IF(MOD(ROW(),2)=0,OFFSET(CT!$A$1,INT(ROW()/2),COLUMN(CT!$H$3)-1),0)</f>
        <v>400000</v>
      </c>
      <c r="G156" s="153" t="str">
        <f ca="1">IF(OFFSET(CT!$A$1,INT((ROW()+1)/2),COLUMN(CT!$N$3)-1)="No","False","True")</f>
        <v>True</v>
      </c>
    </row>
    <row r="157" spans="1:7" ht="15.6" x14ac:dyDescent="0.3">
      <c r="A157" s="77">
        <f ca="1">IF(MOD(ROW(),2)=1, OFFSET(CT!$A$1,INT(ROW()/2)+1,COLUMN(CT!A153)-1),"")</f>
        <v>45322</v>
      </c>
      <c r="B157" s="77" t="str">
        <f ca="1">IF(MOD(ROW(),2)=1, OFFSET(CT!$A$1,INT(ROW()/2)+1,COLUMN(CT!B153)-1),"")</f>
        <v>TH2</v>
      </c>
      <c r="C157" s="77" t="str">
        <f ca="1">IF(MOD(ROW(),2)=1, OFFSET(CT!$A$1,INT(ROW()/2)+1,COLUMN(CT!C153)-1),"")</f>
        <v>Tính các khoản trích theo lương vào chi phí</v>
      </c>
      <c r="D157" s="23" t="str">
        <f ca="1">OFFSET(CT!$A$1,INT((ROW()+1)/2),IF(MOD(ROW(),2)=1,COLUMN(CT!$D$5)-1,COLUMN(CT!$E$5)-1))</f>
        <v>622.04</v>
      </c>
      <c r="E157" s="78">
        <f ca="1">IF(MOD(ROW(),2)=1,OFFSET(CT!$A$1,INT(ROW()/2)+1,COLUMN(CT!$H$3)-1),0)</f>
        <v>400000</v>
      </c>
      <c r="F157" s="78">
        <f ca="1">IF(MOD(ROW(),2)=0,OFFSET(CT!$A$1,INT(ROW()/2),COLUMN(CT!$H$3)-1),0)</f>
        <v>0</v>
      </c>
      <c r="G157" s="153" t="str">
        <f ca="1">IF(OFFSET(CT!$A$1,INT((ROW()+1)/2),COLUMN(CT!$N$3)-1)="No","False","True")</f>
        <v>True</v>
      </c>
    </row>
    <row r="158" spans="1:7" ht="15.6" x14ac:dyDescent="0.3">
      <c r="A158" s="77" t="str">
        <f ca="1">IF(MOD(ROW(),2)=1, OFFSET(CT!$A$1,INT(ROW()/2)+1,COLUMN(CT!A154)-1),"")</f>
        <v/>
      </c>
      <c r="B158" s="77" t="str">
        <f ca="1">IF(MOD(ROW(),2)=1, OFFSET(CT!$A$1,INT(ROW()/2)+1,COLUMN(CT!B154)-1),"")</f>
        <v/>
      </c>
      <c r="C158" s="77" t="str">
        <f ca="1">IF(MOD(ROW(),2)=1, OFFSET(CT!$A$1,INT(ROW()/2)+1,COLUMN(CT!C154)-1),"")</f>
        <v/>
      </c>
      <c r="D158" s="23" t="str">
        <f ca="1">OFFSET(CT!$A$1,INT((ROW()+1)/2),IF(MOD(ROW(),2)=1,COLUMN(CT!$D$5)-1,COLUMN(CT!$E$5)-1))</f>
        <v>3388</v>
      </c>
      <c r="E158" s="78">
        <f ca="1">IF(MOD(ROW(),2)=1,OFFSET(CT!$A$1,INT(ROW()/2)+1,COLUMN(CT!$H$3)-1),0)</f>
        <v>0</v>
      </c>
      <c r="F158" s="78">
        <f ca="1">IF(MOD(ROW(),2)=0,OFFSET(CT!$A$1,INT(ROW()/2),COLUMN(CT!$H$3)-1),0)</f>
        <v>400000</v>
      </c>
      <c r="G158" s="153" t="str">
        <f ca="1">IF(OFFSET(CT!$A$1,INT((ROW()+1)/2),COLUMN(CT!$N$3)-1)="No","False","True")</f>
        <v>True</v>
      </c>
    </row>
    <row r="159" spans="1:7" ht="15.6" x14ac:dyDescent="0.3">
      <c r="A159" s="77">
        <f ca="1">IF(MOD(ROW(),2)=1, OFFSET(CT!$A$1,INT(ROW()/2)+1,COLUMN(CT!A155)-1),"")</f>
        <v>45322</v>
      </c>
      <c r="B159" s="77" t="str">
        <f ca="1">IF(MOD(ROW(),2)=1, OFFSET(CT!$A$1,INT(ROW()/2)+1,COLUMN(CT!B155)-1),"")</f>
        <v>TH2</v>
      </c>
      <c r="C159" s="77" t="str">
        <f ca="1">IF(MOD(ROW(),2)=1, OFFSET(CT!$A$1,INT(ROW()/2)+1,COLUMN(CT!C155)-1),"")</f>
        <v>Tính các khoản trích theo lương vào chi phí</v>
      </c>
      <c r="D159" s="23" t="str">
        <f ca="1">OFFSET(CT!$A$1,INT((ROW()+1)/2),IF(MOD(ROW(),2)=1,COLUMN(CT!$D$5)-1,COLUMN(CT!$E$5)-1))</f>
        <v>622.05</v>
      </c>
      <c r="E159" s="78">
        <f ca="1">IF(MOD(ROW(),2)=1,OFFSET(CT!$A$1,INT(ROW()/2)+1,COLUMN(CT!$H$3)-1),0)</f>
        <v>400000</v>
      </c>
      <c r="F159" s="78">
        <f ca="1">IF(MOD(ROW(),2)=0,OFFSET(CT!$A$1,INT(ROW()/2),COLUMN(CT!$H$3)-1),0)</f>
        <v>0</v>
      </c>
      <c r="G159" s="153" t="str">
        <f ca="1">IF(OFFSET(CT!$A$1,INT((ROW()+1)/2),COLUMN(CT!$N$3)-1)="No","False","True")</f>
        <v>True</v>
      </c>
    </row>
    <row r="160" spans="1:7" ht="15.6" x14ac:dyDescent="0.3">
      <c r="A160" s="77" t="str">
        <f ca="1">IF(MOD(ROW(),2)=1, OFFSET(CT!$A$1,INT(ROW()/2)+1,COLUMN(CT!A156)-1),"")</f>
        <v/>
      </c>
      <c r="B160" s="77" t="str">
        <f ca="1">IF(MOD(ROW(),2)=1, OFFSET(CT!$A$1,INT(ROW()/2)+1,COLUMN(CT!B156)-1),"")</f>
        <v/>
      </c>
      <c r="C160" s="77" t="str">
        <f ca="1">IF(MOD(ROW(),2)=1, OFFSET(CT!$A$1,INT(ROW()/2)+1,COLUMN(CT!C156)-1),"")</f>
        <v/>
      </c>
      <c r="D160" s="23" t="str">
        <f ca="1">OFFSET(CT!$A$1,INT((ROW()+1)/2),IF(MOD(ROW(),2)=1,COLUMN(CT!$D$5)-1,COLUMN(CT!$E$5)-1))</f>
        <v>3388</v>
      </c>
      <c r="E160" s="78">
        <f ca="1">IF(MOD(ROW(),2)=1,OFFSET(CT!$A$1,INT(ROW()/2)+1,COLUMN(CT!$H$3)-1),0)</f>
        <v>0</v>
      </c>
      <c r="F160" s="78">
        <f ca="1">IF(MOD(ROW(),2)=0,OFFSET(CT!$A$1,INT(ROW()/2),COLUMN(CT!$H$3)-1),0)</f>
        <v>400000</v>
      </c>
      <c r="G160" s="153" t="str">
        <f ca="1">IF(OFFSET(CT!$A$1,INT((ROW()+1)/2),COLUMN(CT!$N$3)-1)="No","False","True")</f>
        <v>True</v>
      </c>
    </row>
    <row r="161" spans="1:7" ht="15.6" x14ac:dyDescent="0.3">
      <c r="A161" s="77">
        <f ca="1">IF(MOD(ROW(),2)=1, OFFSET(CT!$A$1,INT(ROW()/2)+1,COLUMN(CT!A157)-1),"")</f>
        <v>45322</v>
      </c>
      <c r="B161" s="77" t="str">
        <f ca="1">IF(MOD(ROW(),2)=1, OFFSET(CT!$A$1,INT(ROW()/2)+1,COLUMN(CT!B157)-1),"")</f>
        <v>KH2</v>
      </c>
      <c r="C161" s="77" t="str">
        <f ca="1">IF(MOD(ROW(),2)=1, OFFSET(CT!$A$1,INT(ROW()/2)+1,COLUMN(CT!C157)-1),"")</f>
        <v>Trích KH cho BPQL</v>
      </c>
      <c r="D161" s="23" t="str">
        <f ca="1">OFFSET(CT!$A$1,INT((ROW()+1)/2),IF(MOD(ROW(),2)=1,COLUMN(CT!$D$5)-1,COLUMN(CT!$E$5)-1))</f>
        <v>6424</v>
      </c>
      <c r="E161" s="78">
        <f ca="1">IF(MOD(ROW(),2)=1,OFFSET(CT!$A$1,INT(ROW()/2)+1,COLUMN(CT!$H$3)-1),0)</f>
        <v>458333</v>
      </c>
      <c r="F161" s="78">
        <f ca="1">IF(MOD(ROW(),2)=0,OFFSET(CT!$A$1,INT(ROW()/2),COLUMN(CT!$H$3)-1),0)</f>
        <v>0</v>
      </c>
      <c r="G161" s="153" t="str">
        <f ca="1">IF(OFFSET(CT!$A$1,INT((ROW()+1)/2),COLUMN(CT!$N$3)-1)="No","False","True")</f>
        <v>True</v>
      </c>
    </row>
    <row r="162" spans="1:7" ht="15.6" x14ac:dyDescent="0.3">
      <c r="A162" s="77" t="str">
        <f ca="1">IF(MOD(ROW(),2)=1, OFFSET(CT!$A$1,INT(ROW()/2)+1,COLUMN(CT!A158)-1),"")</f>
        <v/>
      </c>
      <c r="B162" s="77" t="str">
        <f ca="1">IF(MOD(ROW(),2)=1, OFFSET(CT!$A$1,INT(ROW()/2)+1,COLUMN(CT!B158)-1),"")</f>
        <v/>
      </c>
      <c r="C162" s="77" t="str">
        <f ca="1">IF(MOD(ROW(),2)=1, OFFSET(CT!$A$1,INT(ROW()/2)+1,COLUMN(CT!C158)-1),"")</f>
        <v/>
      </c>
      <c r="D162" s="23" t="str">
        <f ca="1">OFFSET(CT!$A$1,INT((ROW()+1)/2),IF(MOD(ROW(),2)=1,COLUMN(CT!$D$5)-1,COLUMN(CT!$E$5)-1))</f>
        <v>2141</v>
      </c>
      <c r="E162" s="78">
        <f ca="1">IF(MOD(ROW(),2)=1,OFFSET(CT!$A$1,INT(ROW()/2)+1,COLUMN(CT!$H$3)-1),0)</f>
        <v>0</v>
      </c>
      <c r="F162" s="78">
        <f ca="1">IF(MOD(ROW(),2)=0,OFFSET(CT!$A$1,INT(ROW()/2),COLUMN(CT!$H$3)-1),0)</f>
        <v>458333</v>
      </c>
      <c r="G162" s="153" t="str">
        <f ca="1">IF(OFFSET(CT!$A$1,INT((ROW()+1)/2),COLUMN(CT!$N$3)-1)="No","False","True")</f>
        <v>True</v>
      </c>
    </row>
    <row r="163" spans="1:7" ht="15.6" x14ac:dyDescent="0.3">
      <c r="A163" s="77">
        <f ca="1">IF(MOD(ROW(),2)=1, OFFSET(CT!$A$1,INT(ROW()/2)+1,COLUMN(CT!A159)-1),"")</f>
        <v>45322</v>
      </c>
      <c r="B163" s="77" t="str">
        <f ca="1">IF(MOD(ROW(),2)=1, OFFSET(CT!$A$1,INT(ROW()/2)+1,COLUMN(CT!B159)-1),"")</f>
        <v>01/PB</v>
      </c>
      <c r="C163" s="77" t="str">
        <f ca="1">IF(MOD(ROW(),2)=1, OFFSET(CT!$A$1,INT(ROW()/2)+1,COLUMN(CT!C159)-1),"")</f>
        <v>Phân bổ CCDC vào chi phí</v>
      </c>
      <c r="D163" s="23" t="str">
        <f ca="1">OFFSET(CT!$A$1,INT((ROW()+1)/2),IF(MOD(ROW(),2)=1,COLUMN(CT!$D$5)-1,COLUMN(CT!$E$5)-1))</f>
        <v>6423</v>
      </c>
      <c r="E163" s="78">
        <f ca="1">IF(MOD(ROW(),2)=1,OFFSET(CT!$A$1,INT(ROW()/2)+1,COLUMN(CT!$H$3)-1),0)</f>
        <v>500000</v>
      </c>
      <c r="F163" s="78">
        <f ca="1">IF(MOD(ROW(),2)=0,OFFSET(CT!$A$1,INT(ROW()/2),COLUMN(CT!$H$3)-1),0)</f>
        <v>0</v>
      </c>
      <c r="G163" s="153" t="str">
        <f ca="1">IF(OFFSET(CT!$A$1,INT((ROW()+1)/2),COLUMN(CT!$N$3)-1)="No","False","True")</f>
        <v>True</v>
      </c>
    </row>
    <row r="164" spans="1:7" ht="15.6" x14ac:dyDescent="0.3">
      <c r="A164" s="77" t="str">
        <f ca="1">IF(MOD(ROW(),2)=1, OFFSET(CT!$A$1,INT(ROW()/2)+1,COLUMN(CT!A160)-1),"")</f>
        <v/>
      </c>
      <c r="B164" s="77" t="str">
        <f ca="1">IF(MOD(ROW(),2)=1, OFFSET(CT!$A$1,INT(ROW()/2)+1,COLUMN(CT!B160)-1),"")</f>
        <v/>
      </c>
      <c r="C164" s="77" t="str">
        <f ca="1">IF(MOD(ROW(),2)=1, OFFSET(CT!$A$1,INT(ROW()/2)+1,COLUMN(CT!C160)-1),"")</f>
        <v/>
      </c>
      <c r="D164" s="23" t="str">
        <f ca="1">OFFSET(CT!$A$1,INT((ROW()+1)/2),IF(MOD(ROW(),2)=1,COLUMN(CT!$D$5)-1,COLUMN(CT!$E$5)-1))</f>
        <v>2421.01</v>
      </c>
      <c r="E164" s="78">
        <f ca="1">IF(MOD(ROW(),2)=1,OFFSET(CT!$A$1,INT(ROW()/2)+1,COLUMN(CT!$H$3)-1),0)</f>
        <v>0</v>
      </c>
      <c r="F164" s="78">
        <f ca="1">IF(MOD(ROW(),2)=0,OFFSET(CT!$A$1,INT(ROW()/2),COLUMN(CT!$H$3)-1),0)</f>
        <v>500000</v>
      </c>
      <c r="G164" s="153" t="str">
        <f ca="1">IF(OFFSET(CT!$A$1,INT((ROW()+1)/2),COLUMN(CT!$N$3)-1)="No","False","True")</f>
        <v>True</v>
      </c>
    </row>
    <row r="165" spans="1:7" ht="15.6" x14ac:dyDescent="0.3">
      <c r="A165" s="77">
        <f ca="1">IF(MOD(ROW(),2)=1, OFFSET(CT!$A$1,INT(ROW()/2)+1,COLUMN(CT!A161)-1),"")</f>
        <v>45322</v>
      </c>
      <c r="B165" s="77" t="str">
        <f ca="1">IF(MOD(ROW(),2)=1, OFFSET(CT!$A$1,INT(ROW()/2)+1,COLUMN(CT!B161)-1),"")</f>
        <v>TH2</v>
      </c>
      <c r="C165" s="77" t="str">
        <f ca="1">IF(MOD(ROW(),2)=1, OFFSET(CT!$A$1,INT(ROW()/2)+1,COLUMN(CT!C161)-1),"")</f>
        <v>Tính các khoản trích theo lương vào chi phí</v>
      </c>
      <c r="D165" s="23" t="str">
        <f ca="1">OFFSET(CT!$A$1,INT((ROW()+1)/2),IF(MOD(ROW(),2)=1,COLUMN(CT!$D$5)-1,COLUMN(CT!$E$5)-1))</f>
        <v>6271</v>
      </c>
      <c r="E165" s="78">
        <f ca="1">IF(MOD(ROW(),2)=1,OFFSET(CT!$A$1,INT(ROW()/2)+1,COLUMN(CT!$H$3)-1),0)</f>
        <v>700000</v>
      </c>
      <c r="F165" s="78">
        <f ca="1">IF(MOD(ROW(),2)=0,OFFSET(CT!$A$1,INT(ROW()/2),COLUMN(CT!$H$3)-1),0)</f>
        <v>0</v>
      </c>
      <c r="G165" s="153" t="str">
        <f ca="1">IF(OFFSET(CT!$A$1,INT((ROW()+1)/2),COLUMN(CT!$N$3)-1)="No","False","True")</f>
        <v>True</v>
      </c>
    </row>
    <row r="166" spans="1:7" ht="15.6" x14ac:dyDescent="0.3">
      <c r="A166" s="77" t="str">
        <f ca="1">IF(MOD(ROW(),2)=1, OFFSET(CT!$A$1,INT(ROW()/2)+1,COLUMN(CT!A162)-1),"")</f>
        <v/>
      </c>
      <c r="B166" s="77" t="str">
        <f ca="1">IF(MOD(ROW(),2)=1, OFFSET(CT!$A$1,INT(ROW()/2)+1,COLUMN(CT!B162)-1),"")</f>
        <v/>
      </c>
      <c r="C166" s="77" t="str">
        <f ca="1">IF(MOD(ROW(),2)=1, OFFSET(CT!$A$1,INT(ROW()/2)+1,COLUMN(CT!C162)-1),"")</f>
        <v/>
      </c>
      <c r="D166" s="23" t="str">
        <f ca="1">OFFSET(CT!$A$1,INT((ROW()+1)/2),IF(MOD(ROW(),2)=1,COLUMN(CT!$D$5)-1,COLUMN(CT!$E$5)-1))</f>
        <v>3382</v>
      </c>
      <c r="E166" s="78">
        <f ca="1">IF(MOD(ROW(),2)=1,OFFSET(CT!$A$1,INT(ROW()/2)+1,COLUMN(CT!$H$3)-1),0)</f>
        <v>0</v>
      </c>
      <c r="F166" s="78">
        <f ca="1">IF(MOD(ROW(),2)=0,OFFSET(CT!$A$1,INT(ROW()/2),COLUMN(CT!$H$3)-1),0)</f>
        <v>700000</v>
      </c>
      <c r="G166" s="153" t="str">
        <f ca="1">IF(OFFSET(CT!$A$1,INT((ROW()+1)/2),COLUMN(CT!$N$3)-1)="No","False","True")</f>
        <v>True</v>
      </c>
    </row>
    <row r="167" spans="1:7" ht="15.6" x14ac:dyDescent="0.3">
      <c r="A167" s="77">
        <f ca="1">IF(MOD(ROW(),2)=1, OFFSET(CT!$A$1,INT(ROW()/2)+1,COLUMN(CT!A163)-1),"")</f>
        <v>45322</v>
      </c>
      <c r="B167" s="77" t="str">
        <f ca="1">IF(MOD(ROW(),2)=1, OFFSET(CT!$A$1,INT(ROW()/2)+1,COLUMN(CT!B163)-1),"")</f>
        <v>TH2</v>
      </c>
      <c r="C167" s="77" t="str">
        <f ca="1">IF(MOD(ROW(),2)=1, OFFSET(CT!$A$1,INT(ROW()/2)+1,COLUMN(CT!C163)-1),"")</f>
        <v>Tính các khoản trích theo lương vào chi phí</v>
      </c>
      <c r="D167" s="23" t="str">
        <f ca="1">OFFSET(CT!$A$1,INT((ROW()+1)/2),IF(MOD(ROW(),2)=1,COLUMN(CT!$D$5)-1,COLUMN(CT!$E$5)-1))</f>
        <v>622.01</v>
      </c>
      <c r="E167" s="78">
        <f ca="1">IF(MOD(ROW(),2)=1,OFFSET(CT!$A$1,INT(ROW()/2)+1,COLUMN(CT!$H$3)-1),0)</f>
        <v>800000</v>
      </c>
      <c r="F167" s="78">
        <f ca="1">IF(MOD(ROW(),2)=0,OFFSET(CT!$A$1,INT(ROW()/2),COLUMN(CT!$H$3)-1),0)</f>
        <v>0</v>
      </c>
      <c r="G167" s="153" t="str">
        <f ca="1">IF(OFFSET(CT!$A$1,INT((ROW()+1)/2),COLUMN(CT!$N$3)-1)="No","False","True")</f>
        <v>True</v>
      </c>
    </row>
    <row r="168" spans="1:7" ht="15.6" x14ac:dyDescent="0.3">
      <c r="A168" s="77" t="str">
        <f ca="1">IF(MOD(ROW(),2)=1, OFFSET(CT!$A$1,INT(ROW()/2)+1,COLUMN(CT!A164)-1),"")</f>
        <v/>
      </c>
      <c r="B168" s="77" t="str">
        <f ca="1">IF(MOD(ROW(),2)=1, OFFSET(CT!$A$1,INT(ROW()/2)+1,COLUMN(CT!B164)-1),"")</f>
        <v/>
      </c>
      <c r="C168" s="77" t="str">
        <f ca="1">IF(MOD(ROW(),2)=1, OFFSET(CT!$A$1,INT(ROW()/2)+1,COLUMN(CT!C164)-1),"")</f>
        <v/>
      </c>
      <c r="D168" s="23" t="str">
        <f ca="1">OFFSET(CT!$A$1,INT((ROW()+1)/2),IF(MOD(ROW(),2)=1,COLUMN(CT!$D$5)-1,COLUMN(CT!$E$5)-1))</f>
        <v>3382</v>
      </c>
      <c r="E168" s="78">
        <f ca="1">IF(MOD(ROW(),2)=1,OFFSET(CT!$A$1,INT(ROW()/2)+1,COLUMN(CT!$H$3)-1),0)</f>
        <v>0</v>
      </c>
      <c r="F168" s="78">
        <f ca="1">IF(MOD(ROW(),2)=0,OFFSET(CT!$A$1,INT(ROW()/2),COLUMN(CT!$H$3)-1),0)</f>
        <v>800000</v>
      </c>
      <c r="G168" s="153" t="str">
        <f ca="1">IF(OFFSET(CT!$A$1,INT((ROW()+1)/2),COLUMN(CT!$N$3)-1)="No","False","True")</f>
        <v>True</v>
      </c>
    </row>
    <row r="169" spans="1:7" ht="15.6" x14ac:dyDescent="0.3">
      <c r="A169" s="77">
        <f ca="1">IF(MOD(ROW(),2)=1, OFFSET(CT!$A$1,INT(ROW()/2)+1,COLUMN(CT!A165)-1),"")</f>
        <v>45322</v>
      </c>
      <c r="B169" s="77" t="str">
        <f ca="1">IF(MOD(ROW(),2)=1, OFFSET(CT!$A$1,INT(ROW()/2)+1,COLUMN(CT!B165)-1),"")</f>
        <v>TH2</v>
      </c>
      <c r="C169" s="77" t="str">
        <f ca="1">IF(MOD(ROW(),2)=1, OFFSET(CT!$A$1,INT(ROW()/2)+1,COLUMN(CT!C165)-1),"")</f>
        <v>Tính các khoản trích theo lương vào chi phí</v>
      </c>
      <c r="D169" s="23" t="str">
        <f ca="1">OFFSET(CT!$A$1,INT((ROW()+1)/2),IF(MOD(ROW(),2)=1,COLUMN(CT!$D$5)-1,COLUMN(CT!$E$5)-1))</f>
        <v>622.02</v>
      </c>
      <c r="E169" s="78">
        <f ca="1">IF(MOD(ROW(),2)=1,OFFSET(CT!$A$1,INT(ROW()/2)+1,COLUMN(CT!$H$3)-1),0)</f>
        <v>800000</v>
      </c>
      <c r="F169" s="78">
        <f ca="1">IF(MOD(ROW(),2)=0,OFFSET(CT!$A$1,INT(ROW()/2),COLUMN(CT!$H$3)-1),0)</f>
        <v>0</v>
      </c>
      <c r="G169" s="153" t="str">
        <f ca="1">IF(OFFSET(CT!$A$1,INT((ROW()+1)/2),COLUMN(CT!$N$3)-1)="No","False","True")</f>
        <v>True</v>
      </c>
    </row>
    <row r="170" spans="1:7" ht="15.6" x14ac:dyDescent="0.3">
      <c r="A170" s="77" t="str">
        <f ca="1">IF(MOD(ROW(),2)=1, OFFSET(CT!$A$1,INT(ROW()/2)+1,COLUMN(CT!A166)-1),"")</f>
        <v/>
      </c>
      <c r="B170" s="77" t="str">
        <f ca="1">IF(MOD(ROW(),2)=1, OFFSET(CT!$A$1,INT(ROW()/2)+1,COLUMN(CT!B166)-1),"")</f>
        <v/>
      </c>
      <c r="C170" s="77" t="str">
        <f ca="1">IF(MOD(ROW(),2)=1, OFFSET(CT!$A$1,INT(ROW()/2)+1,COLUMN(CT!C166)-1),"")</f>
        <v/>
      </c>
      <c r="D170" s="23" t="str">
        <f ca="1">OFFSET(CT!$A$1,INT((ROW()+1)/2),IF(MOD(ROW(),2)=1,COLUMN(CT!$D$5)-1,COLUMN(CT!$E$5)-1))</f>
        <v>3382</v>
      </c>
      <c r="E170" s="78">
        <f ca="1">IF(MOD(ROW(),2)=1,OFFSET(CT!$A$1,INT(ROW()/2)+1,COLUMN(CT!$H$3)-1),0)</f>
        <v>0</v>
      </c>
      <c r="F170" s="78">
        <f ca="1">IF(MOD(ROW(),2)=0,OFFSET(CT!$A$1,INT(ROW()/2),COLUMN(CT!$H$3)-1),0)</f>
        <v>800000</v>
      </c>
      <c r="G170" s="153" t="str">
        <f ca="1">IF(OFFSET(CT!$A$1,INT((ROW()+1)/2),COLUMN(CT!$N$3)-1)="No","False","True")</f>
        <v>True</v>
      </c>
    </row>
    <row r="171" spans="1:7" ht="15.6" x14ac:dyDescent="0.3">
      <c r="A171" s="77">
        <f ca="1">IF(MOD(ROW(),2)=1, OFFSET(CT!$A$1,INT(ROW()/2)+1,COLUMN(CT!A167)-1),"")</f>
        <v>45322</v>
      </c>
      <c r="B171" s="77" t="str">
        <f ca="1">IF(MOD(ROW(),2)=1, OFFSET(CT!$A$1,INT(ROW()/2)+1,COLUMN(CT!B167)-1),"")</f>
        <v>TH2</v>
      </c>
      <c r="C171" s="77" t="str">
        <f ca="1">IF(MOD(ROW(),2)=1, OFFSET(CT!$A$1,INT(ROW()/2)+1,COLUMN(CT!C167)-1),"")</f>
        <v>Tính các khoản trích theo lương vào chi phí</v>
      </c>
      <c r="D171" s="23" t="str">
        <f ca="1">OFFSET(CT!$A$1,INT((ROW()+1)/2),IF(MOD(ROW(),2)=1,COLUMN(CT!$D$5)-1,COLUMN(CT!$E$5)-1))</f>
        <v>622.03</v>
      </c>
      <c r="E171" s="78">
        <f ca="1">IF(MOD(ROW(),2)=1,OFFSET(CT!$A$1,INT(ROW()/2)+1,COLUMN(CT!$H$3)-1),0)</f>
        <v>800000</v>
      </c>
      <c r="F171" s="78">
        <f ca="1">IF(MOD(ROW(),2)=0,OFFSET(CT!$A$1,INT(ROW()/2),COLUMN(CT!$H$3)-1),0)</f>
        <v>0</v>
      </c>
      <c r="G171" s="153" t="str">
        <f ca="1">IF(OFFSET(CT!$A$1,INT((ROW()+1)/2),COLUMN(CT!$N$3)-1)="No","False","True")</f>
        <v>True</v>
      </c>
    </row>
    <row r="172" spans="1:7" ht="15.6" x14ac:dyDescent="0.3">
      <c r="A172" s="77" t="str">
        <f ca="1">IF(MOD(ROW(),2)=1, OFFSET(CT!$A$1,INT(ROW()/2)+1,COLUMN(CT!A168)-1),"")</f>
        <v/>
      </c>
      <c r="B172" s="77" t="str">
        <f ca="1">IF(MOD(ROW(),2)=1, OFFSET(CT!$A$1,INT(ROW()/2)+1,COLUMN(CT!B168)-1),"")</f>
        <v/>
      </c>
      <c r="C172" s="77" t="str">
        <f ca="1">IF(MOD(ROW(),2)=1, OFFSET(CT!$A$1,INT(ROW()/2)+1,COLUMN(CT!C168)-1),"")</f>
        <v/>
      </c>
      <c r="D172" s="23" t="str">
        <f ca="1">OFFSET(CT!$A$1,INT((ROW()+1)/2),IF(MOD(ROW(),2)=1,COLUMN(CT!$D$5)-1,COLUMN(CT!$E$5)-1))</f>
        <v>3382</v>
      </c>
      <c r="E172" s="78">
        <f ca="1">IF(MOD(ROW(),2)=1,OFFSET(CT!$A$1,INT(ROW()/2)+1,COLUMN(CT!$H$3)-1),0)</f>
        <v>0</v>
      </c>
      <c r="F172" s="78">
        <f ca="1">IF(MOD(ROW(),2)=0,OFFSET(CT!$A$1,INT(ROW()/2),COLUMN(CT!$H$3)-1),0)</f>
        <v>800000</v>
      </c>
      <c r="G172" s="153" t="str">
        <f ca="1">IF(OFFSET(CT!$A$1,INT((ROW()+1)/2),COLUMN(CT!$N$3)-1)="No","False","True")</f>
        <v>True</v>
      </c>
    </row>
    <row r="173" spans="1:7" ht="15.6" x14ac:dyDescent="0.3">
      <c r="A173" s="77">
        <f ca="1">IF(MOD(ROW(),2)=1, OFFSET(CT!$A$1,INT(ROW()/2)+1,COLUMN(CT!A169)-1),"")</f>
        <v>45322</v>
      </c>
      <c r="B173" s="77" t="str">
        <f ca="1">IF(MOD(ROW(),2)=1, OFFSET(CT!$A$1,INT(ROW()/2)+1,COLUMN(CT!B169)-1),"")</f>
        <v>TH2</v>
      </c>
      <c r="C173" s="77" t="str">
        <f ca="1">IF(MOD(ROW(),2)=1, OFFSET(CT!$A$1,INT(ROW()/2)+1,COLUMN(CT!C169)-1),"")</f>
        <v>Tính các khoản trích theo lương vào chi phí</v>
      </c>
      <c r="D173" s="23" t="str">
        <f ca="1">OFFSET(CT!$A$1,INT((ROW()+1)/2),IF(MOD(ROW(),2)=1,COLUMN(CT!$D$5)-1,COLUMN(CT!$E$5)-1))</f>
        <v>622.04</v>
      </c>
      <c r="E173" s="78">
        <f ca="1">IF(MOD(ROW(),2)=1,OFFSET(CT!$A$1,INT(ROW()/2)+1,COLUMN(CT!$H$3)-1),0)</f>
        <v>800000</v>
      </c>
      <c r="F173" s="78">
        <f ca="1">IF(MOD(ROW(),2)=0,OFFSET(CT!$A$1,INT(ROW()/2),COLUMN(CT!$H$3)-1),0)</f>
        <v>0</v>
      </c>
      <c r="G173" s="153" t="str">
        <f ca="1">IF(OFFSET(CT!$A$1,INT((ROW()+1)/2),COLUMN(CT!$N$3)-1)="No","False","True")</f>
        <v>True</v>
      </c>
    </row>
    <row r="174" spans="1:7" ht="15.6" x14ac:dyDescent="0.3">
      <c r="A174" s="77" t="str">
        <f ca="1">IF(MOD(ROW(),2)=1, OFFSET(CT!$A$1,INT(ROW()/2)+1,COLUMN(CT!A170)-1),"")</f>
        <v/>
      </c>
      <c r="B174" s="77" t="str">
        <f ca="1">IF(MOD(ROW(),2)=1, OFFSET(CT!$A$1,INT(ROW()/2)+1,COLUMN(CT!B170)-1),"")</f>
        <v/>
      </c>
      <c r="C174" s="77" t="str">
        <f ca="1">IF(MOD(ROW(),2)=1, OFFSET(CT!$A$1,INT(ROW()/2)+1,COLUMN(CT!C170)-1),"")</f>
        <v/>
      </c>
      <c r="D174" s="23" t="str">
        <f ca="1">OFFSET(CT!$A$1,INT((ROW()+1)/2),IF(MOD(ROW(),2)=1,COLUMN(CT!$D$5)-1,COLUMN(CT!$E$5)-1))</f>
        <v>3382</v>
      </c>
      <c r="E174" s="78">
        <f ca="1">IF(MOD(ROW(),2)=1,OFFSET(CT!$A$1,INT(ROW()/2)+1,COLUMN(CT!$H$3)-1),0)</f>
        <v>0</v>
      </c>
      <c r="F174" s="78">
        <f ca="1">IF(MOD(ROW(),2)=0,OFFSET(CT!$A$1,INT(ROW()/2),COLUMN(CT!$H$3)-1),0)</f>
        <v>800000</v>
      </c>
      <c r="G174" s="153" t="str">
        <f ca="1">IF(OFFSET(CT!$A$1,INT((ROW()+1)/2),COLUMN(CT!$N$3)-1)="No","False","True")</f>
        <v>True</v>
      </c>
    </row>
    <row r="175" spans="1:7" ht="15.6" x14ac:dyDescent="0.3">
      <c r="A175" s="77">
        <f ca="1">IF(MOD(ROW(),2)=1, OFFSET(CT!$A$1,INT(ROW()/2)+1,COLUMN(CT!A171)-1),"")</f>
        <v>45322</v>
      </c>
      <c r="B175" s="77" t="str">
        <f ca="1">IF(MOD(ROW(),2)=1, OFFSET(CT!$A$1,INT(ROW()/2)+1,COLUMN(CT!B171)-1),"")</f>
        <v>TH2</v>
      </c>
      <c r="C175" s="77" t="str">
        <f ca="1">IF(MOD(ROW(),2)=1, OFFSET(CT!$A$1,INT(ROW()/2)+1,COLUMN(CT!C171)-1),"")</f>
        <v>Tính các khoản trích theo lương vào chi phí</v>
      </c>
      <c r="D175" s="23" t="str">
        <f ca="1">OFFSET(CT!$A$1,INT((ROW()+1)/2),IF(MOD(ROW(),2)=1,COLUMN(CT!$D$5)-1,COLUMN(CT!$E$5)-1))</f>
        <v>622.05</v>
      </c>
      <c r="E175" s="78">
        <f ca="1">IF(MOD(ROW(),2)=1,OFFSET(CT!$A$1,INT(ROW()/2)+1,COLUMN(CT!$H$3)-1),0)</f>
        <v>800000</v>
      </c>
      <c r="F175" s="78">
        <f ca="1">IF(MOD(ROW(),2)=0,OFFSET(CT!$A$1,INT(ROW()/2),COLUMN(CT!$H$3)-1),0)</f>
        <v>0</v>
      </c>
      <c r="G175" s="153" t="str">
        <f ca="1">IF(OFFSET(CT!$A$1,INT((ROW()+1)/2),COLUMN(CT!$N$3)-1)="No","False","True")</f>
        <v>True</v>
      </c>
    </row>
    <row r="176" spans="1:7" ht="15.6" x14ac:dyDescent="0.3">
      <c r="A176" s="77" t="str">
        <f ca="1">IF(MOD(ROW(),2)=1, OFFSET(CT!$A$1,INT(ROW()/2)+1,COLUMN(CT!A172)-1),"")</f>
        <v/>
      </c>
      <c r="B176" s="77" t="str">
        <f ca="1">IF(MOD(ROW(),2)=1, OFFSET(CT!$A$1,INT(ROW()/2)+1,COLUMN(CT!B172)-1),"")</f>
        <v/>
      </c>
      <c r="C176" s="77" t="str">
        <f ca="1">IF(MOD(ROW(),2)=1, OFFSET(CT!$A$1,INT(ROW()/2)+1,COLUMN(CT!C172)-1),"")</f>
        <v/>
      </c>
      <c r="D176" s="23" t="str">
        <f ca="1">OFFSET(CT!$A$1,INT((ROW()+1)/2),IF(MOD(ROW(),2)=1,COLUMN(CT!$D$5)-1,COLUMN(CT!$E$5)-1))</f>
        <v>3382</v>
      </c>
      <c r="E176" s="78">
        <f ca="1">IF(MOD(ROW(),2)=1,OFFSET(CT!$A$1,INT(ROW()/2)+1,COLUMN(CT!$H$3)-1),0)</f>
        <v>0</v>
      </c>
      <c r="F176" s="78">
        <f ca="1">IF(MOD(ROW(),2)=0,OFFSET(CT!$A$1,INT(ROW()/2),COLUMN(CT!$H$3)-1),0)</f>
        <v>800000</v>
      </c>
      <c r="G176" s="153" t="str">
        <f ca="1">IF(OFFSET(CT!$A$1,INT((ROW()+1)/2),COLUMN(CT!$N$3)-1)="No","False","True")</f>
        <v>True</v>
      </c>
    </row>
    <row r="177" spans="1:7" ht="15.6" x14ac:dyDescent="0.3">
      <c r="A177" s="77">
        <f ca="1">IF(MOD(ROW(),2)=1, OFFSET(CT!$A$1,INT(ROW()/2)+1,COLUMN(CT!A173)-1),"")</f>
        <v>45322</v>
      </c>
      <c r="B177" s="77" t="str">
        <f ca="1">IF(MOD(ROW(),2)=1, OFFSET(CT!$A$1,INT(ROW()/2)+1,COLUMN(CT!B173)-1),"")</f>
        <v>TH2</v>
      </c>
      <c r="C177" s="77" t="str">
        <f ca="1">IF(MOD(ROW(),2)=1, OFFSET(CT!$A$1,INT(ROW()/2)+1,COLUMN(CT!C173)-1),"")</f>
        <v>Tính các khoản trích theo lương vào chi phí</v>
      </c>
      <c r="D177" s="23" t="str">
        <f ca="1">OFFSET(CT!$A$1,INT((ROW()+1)/2),IF(MOD(ROW(),2)=1,COLUMN(CT!$D$5)-1,COLUMN(CT!$E$5)-1))</f>
        <v>6411</v>
      </c>
      <c r="E177" s="78">
        <f ca="1">IF(MOD(ROW(),2)=1,OFFSET(CT!$A$1,INT(ROW()/2)+1,COLUMN(CT!$H$3)-1),0)</f>
        <v>800000</v>
      </c>
      <c r="F177" s="78">
        <f ca="1">IF(MOD(ROW(),2)=0,OFFSET(CT!$A$1,INT(ROW()/2),COLUMN(CT!$H$3)-1),0)</f>
        <v>0</v>
      </c>
      <c r="G177" s="153" t="str">
        <f ca="1">IF(OFFSET(CT!$A$1,INT((ROW()+1)/2),COLUMN(CT!$N$3)-1)="No","False","True")</f>
        <v>True</v>
      </c>
    </row>
    <row r="178" spans="1:7" ht="15.6" x14ac:dyDescent="0.3">
      <c r="A178" s="77" t="str">
        <f ca="1">IF(MOD(ROW(),2)=1, OFFSET(CT!$A$1,INT(ROW()/2)+1,COLUMN(CT!A174)-1),"")</f>
        <v/>
      </c>
      <c r="B178" s="77" t="str">
        <f ca="1">IF(MOD(ROW(),2)=1, OFFSET(CT!$A$1,INT(ROW()/2)+1,COLUMN(CT!B174)-1),"")</f>
        <v/>
      </c>
      <c r="C178" s="77" t="str">
        <f ca="1">IF(MOD(ROW(),2)=1, OFFSET(CT!$A$1,INT(ROW()/2)+1,COLUMN(CT!C174)-1),"")</f>
        <v/>
      </c>
      <c r="D178" s="23" t="str">
        <f ca="1">OFFSET(CT!$A$1,INT((ROW()+1)/2),IF(MOD(ROW(),2)=1,COLUMN(CT!$D$5)-1,COLUMN(CT!$E$5)-1))</f>
        <v>3383</v>
      </c>
      <c r="E178" s="78">
        <f ca="1">IF(MOD(ROW(),2)=1,OFFSET(CT!$A$1,INT(ROW()/2)+1,COLUMN(CT!$H$3)-1),0)</f>
        <v>0</v>
      </c>
      <c r="F178" s="78">
        <f ca="1">IF(MOD(ROW(),2)=0,OFFSET(CT!$A$1,INT(ROW()/2),COLUMN(CT!$H$3)-1),0)</f>
        <v>800000</v>
      </c>
      <c r="G178" s="153" t="str">
        <f ca="1">IF(OFFSET(CT!$A$1,INT((ROW()+1)/2),COLUMN(CT!$N$3)-1)="No","False","True")</f>
        <v>True</v>
      </c>
    </row>
    <row r="179" spans="1:7" ht="15.6" x14ac:dyDescent="0.3">
      <c r="A179" s="77">
        <f ca="1">IF(MOD(ROW(),2)=1, OFFSET(CT!$A$1,INT(ROW()/2)+1,COLUMN(CT!A175)-1),"")</f>
        <v>45322</v>
      </c>
      <c r="B179" s="77" t="str">
        <f ca="1">IF(MOD(ROW(),2)=1, OFFSET(CT!$A$1,INT(ROW()/2)+1,COLUMN(CT!B175)-1),"")</f>
        <v>TH11</v>
      </c>
      <c r="C179" s="77" t="str">
        <f ca="1">IF(MOD(ROW(),2)=1, OFFSET(CT!$A$1,INT(ROW()/2)+1,COLUMN(CT!C175)-1),"")</f>
        <v>Kết chuyển CFQLDN vào TK911</v>
      </c>
      <c r="D179" s="23" t="str">
        <f ca="1">OFFSET(CT!$A$1,INT((ROW()+1)/2),IF(MOD(ROW(),2)=1,COLUMN(CT!$D$5)-1,COLUMN(CT!$E$5)-1))</f>
        <v>9111.0102</v>
      </c>
      <c r="E179" s="78">
        <f ca="1">IF(MOD(ROW(),2)=1,OFFSET(CT!$A$1,INT(ROW()/2)+1,COLUMN(CT!$H$3)-1),0)</f>
        <v>808421</v>
      </c>
      <c r="F179" s="78">
        <f ca="1">IF(MOD(ROW(),2)=0,OFFSET(CT!$A$1,INT(ROW()/2),COLUMN(CT!$H$3)-1),0)</f>
        <v>0</v>
      </c>
      <c r="G179" s="153" t="str">
        <f ca="1">IF(OFFSET(CT!$A$1,INT((ROW()+1)/2),COLUMN(CT!$N$3)-1)="No","False","True")</f>
        <v>True</v>
      </c>
    </row>
    <row r="180" spans="1:7" ht="15.6" x14ac:dyDescent="0.3">
      <c r="A180" s="77" t="str">
        <f ca="1">IF(MOD(ROW(),2)=1, OFFSET(CT!$A$1,INT(ROW()/2)+1,COLUMN(CT!A176)-1),"")</f>
        <v/>
      </c>
      <c r="B180" s="77" t="str">
        <f ca="1">IF(MOD(ROW(),2)=1, OFFSET(CT!$A$1,INT(ROW()/2)+1,COLUMN(CT!B176)-1),"")</f>
        <v/>
      </c>
      <c r="C180" s="77" t="str">
        <f ca="1">IF(MOD(ROW(),2)=1, OFFSET(CT!$A$1,INT(ROW()/2)+1,COLUMN(CT!C176)-1),"")</f>
        <v/>
      </c>
      <c r="D180" s="23" t="str">
        <f ca="1">OFFSET(CT!$A$1,INT((ROW()+1)/2),IF(MOD(ROW(),2)=1,COLUMN(CT!$D$5)-1,COLUMN(CT!$E$5)-1))</f>
        <v>6428</v>
      </c>
      <c r="E180" s="78">
        <f ca="1">IF(MOD(ROW(),2)=1,OFFSET(CT!$A$1,INT(ROW()/2)+1,COLUMN(CT!$H$3)-1),0)</f>
        <v>0</v>
      </c>
      <c r="F180" s="78">
        <f ca="1">IF(MOD(ROW(),2)=0,OFFSET(CT!$A$1,INT(ROW()/2),COLUMN(CT!$H$3)-1),0)</f>
        <v>808421</v>
      </c>
      <c r="G180" s="153" t="str">
        <f ca="1">IF(OFFSET(CT!$A$1,INT((ROW()+1)/2),COLUMN(CT!$N$3)-1)="No","False","True")</f>
        <v>True</v>
      </c>
    </row>
    <row r="181" spans="1:7" ht="15.6" x14ac:dyDescent="0.3">
      <c r="A181" s="77">
        <f ca="1">IF(MOD(ROW(),2)=1, OFFSET(CT!$A$1,INT(ROW()/2)+1,COLUMN(CT!A177)-1),"")</f>
        <v>45322</v>
      </c>
      <c r="B181" s="77" t="str">
        <f ca="1">IF(MOD(ROW(),2)=1, OFFSET(CT!$A$1,INT(ROW()/2)+1,COLUMN(CT!B177)-1),"")</f>
        <v>TH6</v>
      </c>
      <c r="C181" s="77" t="str">
        <f ca="1">IF(MOD(ROW(),2)=1, OFFSET(CT!$A$1,INT(ROW()/2)+1,COLUMN(CT!C177)-1),"")</f>
        <v>Bổ sung giá thành TK155 GTV</v>
      </c>
      <c r="D181" s="23" t="str">
        <f ca="1">OFFSET(CT!$A$1,INT((ROW()+1)/2),IF(MOD(ROW(),2)=1,COLUMN(CT!$D$5)-1,COLUMN(CT!$E$5)-1))</f>
        <v>1551.0101</v>
      </c>
      <c r="E181" s="78">
        <f ca="1">IF(MOD(ROW(),2)=1,OFFSET(CT!$A$1,INT(ROW()/2)+1,COLUMN(CT!$H$3)-1),0)</f>
        <v>810000</v>
      </c>
      <c r="F181" s="78">
        <f ca="1">IF(MOD(ROW(),2)=0,OFFSET(CT!$A$1,INT(ROW()/2),COLUMN(CT!$H$3)-1),0)</f>
        <v>0</v>
      </c>
      <c r="G181" s="153" t="str">
        <f ca="1">IF(OFFSET(CT!$A$1,INT((ROW()+1)/2),COLUMN(CT!$N$3)-1)="No","False","True")</f>
        <v>True</v>
      </c>
    </row>
    <row r="182" spans="1:7" ht="15.6" x14ac:dyDescent="0.3">
      <c r="A182" s="77" t="str">
        <f ca="1">IF(MOD(ROW(),2)=1, OFFSET(CT!$A$1,INT(ROW()/2)+1,COLUMN(CT!A178)-1),"")</f>
        <v/>
      </c>
      <c r="B182" s="77" t="str">
        <f ca="1">IF(MOD(ROW(),2)=1, OFFSET(CT!$A$1,INT(ROW()/2)+1,COLUMN(CT!B178)-1),"")</f>
        <v/>
      </c>
      <c r="C182" s="77" t="str">
        <f ca="1">IF(MOD(ROW(),2)=1, OFFSET(CT!$A$1,INT(ROW()/2)+1,COLUMN(CT!C178)-1),"")</f>
        <v/>
      </c>
      <c r="D182" s="23" t="str">
        <f ca="1">OFFSET(CT!$A$1,INT((ROW()+1)/2),IF(MOD(ROW(),2)=1,COLUMN(CT!$D$5)-1,COLUMN(CT!$E$5)-1))</f>
        <v>154.01</v>
      </c>
      <c r="E182" s="78">
        <f ca="1">IF(MOD(ROW(),2)=1,OFFSET(CT!$A$1,INT(ROW()/2)+1,COLUMN(CT!$H$3)-1),0)</f>
        <v>0</v>
      </c>
      <c r="F182" s="78">
        <f ca="1">IF(MOD(ROW(),2)=0,OFFSET(CT!$A$1,INT(ROW()/2),COLUMN(CT!$H$3)-1),0)</f>
        <v>810000</v>
      </c>
      <c r="G182" s="153" t="str">
        <f ca="1">IF(OFFSET(CT!$A$1,INT((ROW()+1)/2),COLUMN(CT!$N$3)-1)="No","False","True")</f>
        <v>True</v>
      </c>
    </row>
    <row r="183" spans="1:7" ht="15.6" x14ac:dyDescent="0.3">
      <c r="A183" s="77">
        <f ca="1">IF(MOD(ROW(),2)=1, OFFSET(CT!$A$1,INT(ROW()/2)+1,COLUMN(CT!A179)-1),"")</f>
        <v>45322</v>
      </c>
      <c r="B183" s="77" t="str">
        <f ca="1">IF(MOD(ROW(),2)=1, OFFSET(CT!$A$1,INT(ROW()/2)+1,COLUMN(CT!B179)-1),"")</f>
        <v>TH11</v>
      </c>
      <c r="C183" s="77" t="str">
        <f ca="1">IF(MOD(ROW(),2)=1, OFFSET(CT!$A$1,INT(ROW()/2)+1,COLUMN(CT!C179)-1),"")</f>
        <v>Kết chuyển CFQLDN vào TK911</v>
      </c>
      <c r="D183" s="23" t="str">
        <f ca="1">OFFSET(CT!$A$1,INT((ROW()+1)/2),IF(MOD(ROW(),2)=1,COLUMN(CT!$D$5)-1,COLUMN(CT!$E$5)-1))</f>
        <v>9111.0202</v>
      </c>
      <c r="E183" s="78">
        <f ca="1">IF(MOD(ROW(),2)=1,OFFSET(CT!$A$1,INT(ROW()/2)+1,COLUMN(CT!$H$3)-1),0)</f>
        <v>993332</v>
      </c>
      <c r="F183" s="78">
        <f ca="1">IF(MOD(ROW(),2)=0,OFFSET(CT!$A$1,INT(ROW()/2),COLUMN(CT!$H$3)-1),0)</f>
        <v>0</v>
      </c>
      <c r="G183" s="153" t="str">
        <f ca="1">IF(OFFSET(CT!$A$1,INT((ROW()+1)/2),COLUMN(CT!$N$3)-1)="No","False","True")</f>
        <v>True</v>
      </c>
    </row>
    <row r="184" spans="1:7" ht="15.6" x14ac:dyDescent="0.3">
      <c r="A184" s="77" t="str">
        <f ca="1">IF(MOD(ROW(),2)=1, OFFSET(CT!$A$1,INT(ROW()/2)+1,COLUMN(CT!A180)-1),"")</f>
        <v/>
      </c>
      <c r="B184" s="77" t="str">
        <f ca="1">IF(MOD(ROW(),2)=1, OFFSET(CT!$A$1,INT(ROW()/2)+1,COLUMN(CT!B180)-1),"")</f>
        <v/>
      </c>
      <c r="C184" s="77" t="str">
        <f ca="1">IF(MOD(ROW(),2)=1, OFFSET(CT!$A$1,INT(ROW()/2)+1,COLUMN(CT!C180)-1),"")</f>
        <v/>
      </c>
      <c r="D184" s="23" t="str">
        <f ca="1">OFFSET(CT!$A$1,INT((ROW()+1)/2),IF(MOD(ROW(),2)=1,COLUMN(CT!$D$5)-1,COLUMN(CT!$E$5)-1))</f>
        <v>6428</v>
      </c>
      <c r="E184" s="78">
        <f ca="1">IF(MOD(ROW(),2)=1,OFFSET(CT!$A$1,INT(ROW()/2)+1,COLUMN(CT!$H$3)-1),0)</f>
        <v>0</v>
      </c>
      <c r="F184" s="78">
        <f ca="1">IF(MOD(ROW(),2)=0,OFFSET(CT!$A$1,INT(ROW()/2),COLUMN(CT!$H$3)-1),0)</f>
        <v>993332</v>
      </c>
      <c r="G184" s="153" t="str">
        <f ca="1">IF(OFFSET(CT!$A$1,INT((ROW()+1)/2),COLUMN(CT!$N$3)-1)="No","False","True")</f>
        <v>True</v>
      </c>
    </row>
    <row r="185" spans="1:7" ht="15.6" x14ac:dyDescent="0.3">
      <c r="A185" s="77">
        <f ca="1">IF(MOD(ROW(),2)=1, OFFSET(CT!$A$1,INT(ROW()/2)+1,COLUMN(CT!A181)-1),"")</f>
        <v>45322</v>
      </c>
      <c r="B185" s="77" t="str">
        <f ca="1">IF(MOD(ROW(),2)=1, OFFSET(CT!$A$1,INT(ROW()/2)+1,COLUMN(CT!B181)-1),"")</f>
        <v>TH11</v>
      </c>
      <c r="C185" s="77" t="str">
        <f ca="1">IF(MOD(ROW(),2)=1, OFFSET(CT!$A$1,INT(ROW()/2)+1,COLUMN(CT!C181)-1),"")</f>
        <v>Kết chuyển CFQLDN vào TK911</v>
      </c>
      <c r="D185" s="23" t="str">
        <f ca="1">OFFSET(CT!$A$1,INT((ROW()+1)/2),IF(MOD(ROW(),2)=1,COLUMN(CT!$D$5)-1,COLUMN(CT!$E$5)-1))</f>
        <v>9111.0101</v>
      </c>
      <c r="E185" s="78">
        <f ca="1">IF(MOD(ROW(),2)=1,OFFSET(CT!$A$1,INT(ROW()/2)+1,COLUMN(CT!$H$3)-1),0)</f>
        <v>998247</v>
      </c>
      <c r="F185" s="78">
        <f ca="1">IF(MOD(ROW(),2)=0,OFFSET(CT!$A$1,INT(ROW()/2),COLUMN(CT!$H$3)-1),0)</f>
        <v>0</v>
      </c>
      <c r="G185" s="153" t="str">
        <f ca="1">IF(OFFSET(CT!$A$1,INT((ROW()+1)/2),COLUMN(CT!$N$3)-1)="No","False","True")</f>
        <v>True</v>
      </c>
    </row>
    <row r="186" spans="1:7" ht="15.6" x14ac:dyDescent="0.3">
      <c r="A186" s="77" t="str">
        <f ca="1">IF(MOD(ROW(),2)=1, OFFSET(CT!$A$1,INT(ROW()/2)+1,COLUMN(CT!A182)-1),"")</f>
        <v/>
      </c>
      <c r="B186" s="77" t="str">
        <f ca="1">IF(MOD(ROW(),2)=1, OFFSET(CT!$A$1,INT(ROW()/2)+1,COLUMN(CT!B182)-1),"")</f>
        <v/>
      </c>
      <c r="C186" s="77" t="str">
        <f ca="1">IF(MOD(ROW(),2)=1, OFFSET(CT!$A$1,INT(ROW()/2)+1,COLUMN(CT!C182)-1),"")</f>
        <v/>
      </c>
      <c r="D186" s="23" t="str">
        <f ca="1">OFFSET(CT!$A$1,INT((ROW()+1)/2),IF(MOD(ROW(),2)=1,COLUMN(CT!$D$5)-1,COLUMN(CT!$E$5)-1))</f>
        <v>6428</v>
      </c>
      <c r="E186" s="78">
        <f ca="1">IF(MOD(ROW(),2)=1,OFFSET(CT!$A$1,INT(ROW()/2)+1,COLUMN(CT!$H$3)-1),0)</f>
        <v>0</v>
      </c>
      <c r="F186" s="78">
        <f ca="1">IF(MOD(ROW(),2)=0,OFFSET(CT!$A$1,INT(ROW()/2),COLUMN(CT!$H$3)-1),0)</f>
        <v>998247</v>
      </c>
      <c r="G186" s="153" t="str">
        <f ca="1">IF(OFFSET(CT!$A$1,INT((ROW()+1)/2),COLUMN(CT!$N$3)-1)="No","False","True")</f>
        <v>True</v>
      </c>
    </row>
    <row r="187" spans="1:7" ht="15.6" x14ac:dyDescent="0.3">
      <c r="A187" s="77">
        <f ca="1">IF(MOD(ROW(),2)=1, OFFSET(CT!$A$1,INT(ROW()/2)+1,COLUMN(CT!A183)-1),"")</f>
        <v>45322</v>
      </c>
      <c r="B187" s="77" t="str">
        <f ca="1">IF(MOD(ROW(),2)=1, OFFSET(CT!$A$1,INT(ROW()/2)+1,COLUMN(CT!B183)-1),"")</f>
        <v>TH2</v>
      </c>
      <c r="C187" s="77" t="str">
        <f ca="1">IF(MOD(ROW(),2)=1, OFFSET(CT!$A$1,INT(ROW()/2)+1,COLUMN(CT!C183)-1),"")</f>
        <v>Tính các khoản trích theo lương vào chi phí</v>
      </c>
      <c r="D187" s="23" t="str">
        <f ca="1">OFFSET(CT!$A$1,INT((ROW()+1)/2),IF(MOD(ROW(),2)=1,COLUMN(CT!$D$5)-1,COLUMN(CT!$E$5)-1))</f>
        <v>6271</v>
      </c>
      <c r="E187" s="78">
        <f ca="1">IF(MOD(ROW(),2)=1,OFFSET(CT!$A$1,INT(ROW()/2)+1,COLUMN(CT!$H$3)-1),0)</f>
        <v>1050000</v>
      </c>
      <c r="F187" s="78">
        <f ca="1">IF(MOD(ROW(),2)=0,OFFSET(CT!$A$1,INT(ROW()/2),COLUMN(CT!$H$3)-1),0)</f>
        <v>0</v>
      </c>
      <c r="G187" s="153" t="str">
        <f ca="1">IF(OFFSET(CT!$A$1,INT((ROW()+1)/2),COLUMN(CT!$N$3)-1)="No","False","True")</f>
        <v>True</v>
      </c>
    </row>
    <row r="188" spans="1:7" ht="15.6" x14ac:dyDescent="0.3">
      <c r="A188" s="77" t="str">
        <f ca="1">IF(MOD(ROW(),2)=1, OFFSET(CT!$A$1,INT(ROW()/2)+1,COLUMN(CT!A184)-1),"")</f>
        <v/>
      </c>
      <c r="B188" s="77" t="str">
        <f ca="1">IF(MOD(ROW(),2)=1, OFFSET(CT!$A$1,INT(ROW()/2)+1,COLUMN(CT!B184)-1),"")</f>
        <v/>
      </c>
      <c r="C188" s="77" t="str">
        <f ca="1">IF(MOD(ROW(),2)=1, OFFSET(CT!$A$1,INT(ROW()/2)+1,COLUMN(CT!C184)-1),"")</f>
        <v/>
      </c>
      <c r="D188" s="23" t="str">
        <f ca="1">OFFSET(CT!$A$1,INT((ROW()+1)/2),IF(MOD(ROW(),2)=1,COLUMN(CT!$D$5)-1,COLUMN(CT!$E$5)-1))</f>
        <v>3384</v>
      </c>
      <c r="E188" s="78">
        <f ca="1">IF(MOD(ROW(),2)=1,OFFSET(CT!$A$1,INT(ROW()/2)+1,COLUMN(CT!$H$3)-1),0)</f>
        <v>0</v>
      </c>
      <c r="F188" s="78">
        <f ca="1">IF(MOD(ROW(),2)=0,OFFSET(CT!$A$1,INT(ROW()/2),COLUMN(CT!$H$3)-1),0)</f>
        <v>1050000</v>
      </c>
      <c r="G188" s="153" t="str">
        <f ca="1">IF(OFFSET(CT!$A$1,INT((ROW()+1)/2),COLUMN(CT!$N$3)-1)="No","False","True")</f>
        <v>True</v>
      </c>
    </row>
    <row r="189" spans="1:7" ht="15.6" x14ac:dyDescent="0.3">
      <c r="A189" s="77">
        <f ca="1">IF(MOD(ROW(),2)=1, OFFSET(CT!$A$1,INT(ROW()/2)+1,COLUMN(CT!A185)-1),"")</f>
        <v>45322</v>
      </c>
      <c r="B189" s="77" t="str">
        <f ca="1">IF(MOD(ROW(),2)=1, OFFSET(CT!$A$1,INT(ROW()/2)+1,COLUMN(CT!B185)-1),"")</f>
        <v>TH2</v>
      </c>
      <c r="C189" s="77" t="str">
        <f ca="1">IF(MOD(ROW(),2)=1, OFFSET(CT!$A$1,INT(ROW()/2)+1,COLUMN(CT!C185)-1),"")</f>
        <v>Tính các khoản trích theo lương vào chi phí</v>
      </c>
      <c r="D189" s="23" t="str">
        <f ca="1">OFFSET(CT!$A$1,INT((ROW()+1)/2),IF(MOD(ROW(),2)=1,COLUMN(CT!$D$5)-1,COLUMN(CT!$E$5)-1))</f>
        <v>6421</v>
      </c>
      <c r="E189" s="78">
        <f ca="1">IF(MOD(ROW(),2)=1,OFFSET(CT!$A$1,INT(ROW()/2)+1,COLUMN(CT!$H$3)-1),0)</f>
        <v>1120000</v>
      </c>
      <c r="F189" s="78">
        <f ca="1">IF(MOD(ROW(),2)=0,OFFSET(CT!$A$1,INT(ROW()/2),COLUMN(CT!$H$3)-1),0)</f>
        <v>0</v>
      </c>
      <c r="G189" s="153" t="str">
        <f ca="1">IF(OFFSET(CT!$A$1,INT((ROW()+1)/2),COLUMN(CT!$N$3)-1)="No","False","True")</f>
        <v>True</v>
      </c>
    </row>
    <row r="190" spans="1:7" ht="15.6" x14ac:dyDescent="0.3">
      <c r="A190" s="77" t="str">
        <f ca="1">IF(MOD(ROW(),2)=1, OFFSET(CT!$A$1,INT(ROW()/2)+1,COLUMN(CT!A186)-1),"")</f>
        <v/>
      </c>
      <c r="B190" s="77" t="str">
        <f ca="1">IF(MOD(ROW(),2)=1, OFFSET(CT!$A$1,INT(ROW()/2)+1,COLUMN(CT!B186)-1),"")</f>
        <v/>
      </c>
      <c r="C190" s="77" t="str">
        <f ca="1">IF(MOD(ROW(),2)=1, OFFSET(CT!$A$1,INT(ROW()/2)+1,COLUMN(CT!C186)-1),"")</f>
        <v/>
      </c>
      <c r="D190" s="23" t="str">
        <f ca="1">OFFSET(CT!$A$1,INT((ROW()+1)/2),IF(MOD(ROW(),2)=1,COLUMN(CT!$D$5)-1,COLUMN(CT!$E$5)-1))</f>
        <v>3383</v>
      </c>
      <c r="E190" s="78">
        <f ca="1">IF(MOD(ROW(),2)=1,OFFSET(CT!$A$1,INT(ROW()/2)+1,COLUMN(CT!$H$3)-1),0)</f>
        <v>0</v>
      </c>
      <c r="F190" s="78">
        <f ca="1">IF(MOD(ROW(),2)=0,OFFSET(CT!$A$1,INT(ROW()/2),COLUMN(CT!$H$3)-1),0)</f>
        <v>1120000</v>
      </c>
      <c r="G190" s="153" t="str">
        <f ca="1">IF(OFFSET(CT!$A$1,INT((ROW()+1)/2),COLUMN(CT!$N$3)-1)="No","False","True")</f>
        <v>True</v>
      </c>
    </row>
    <row r="191" spans="1:7" ht="15.6" x14ac:dyDescent="0.3">
      <c r="A191" s="77">
        <f ca="1">IF(MOD(ROW(),2)=1, OFFSET(CT!$A$1,INT(ROW()/2)+1,COLUMN(CT!A187)-1),"")</f>
        <v>45322</v>
      </c>
      <c r="B191" s="77" t="str">
        <f ca="1">IF(MOD(ROW(),2)=1, OFFSET(CT!$A$1,INT(ROW()/2)+1,COLUMN(CT!B187)-1),"")</f>
        <v>TH2</v>
      </c>
      <c r="C191" s="77" t="str">
        <f ca="1">IF(MOD(ROW(),2)=1, OFFSET(CT!$A$1,INT(ROW()/2)+1,COLUMN(CT!C187)-1),"")</f>
        <v>Tính các khoản trích theo lương vào chi phí</v>
      </c>
      <c r="D191" s="23" t="str">
        <f ca="1">OFFSET(CT!$A$1,INT((ROW()+1)/2),IF(MOD(ROW(),2)=1,COLUMN(CT!$D$5)-1,COLUMN(CT!$E$5)-1))</f>
        <v>622.01</v>
      </c>
      <c r="E191" s="78">
        <f ca="1">IF(MOD(ROW(),2)=1,OFFSET(CT!$A$1,INT(ROW()/2)+1,COLUMN(CT!$H$3)-1),0)</f>
        <v>1200000</v>
      </c>
      <c r="F191" s="78">
        <f ca="1">IF(MOD(ROW(),2)=0,OFFSET(CT!$A$1,INT(ROW()/2),COLUMN(CT!$H$3)-1),0)</f>
        <v>0</v>
      </c>
      <c r="G191" s="153" t="str">
        <f ca="1">IF(OFFSET(CT!$A$1,INT((ROW()+1)/2),COLUMN(CT!$N$3)-1)="No","False","True")</f>
        <v>True</v>
      </c>
    </row>
    <row r="192" spans="1:7" ht="15.6" x14ac:dyDescent="0.3">
      <c r="A192" s="77" t="str">
        <f ca="1">IF(MOD(ROW(),2)=1, OFFSET(CT!$A$1,INT(ROW()/2)+1,COLUMN(CT!A188)-1),"")</f>
        <v/>
      </c>
      <c r="B192" s="77" t="str">
        <f ca="1">IF(MOD(ROW(),2)=1, OFFSET(CT!$A$1,INT(ROW()/2)+1,COLUMN(CT!B188)-1),"")</f>
        <v/>
      </c>
      <c r="C192" s="77" t="str">
        <f ca="1">IF(MOD(ROW(),2)=1, OFFSET(CT!$A$1,INT(ROW()/2)+1,COLUMN(CT!C188)-1),"")</f>
        <v/>
      </c>
      <c r="D192" s="23" t="str">
        <f ca="1">OFFSET(CT!$A$1,INT((ROW()+1)/2),IF(MOD(ROW(),2)=1,COLUMN(CT!$D$5)-1,COLUMN(CT!$E$5)-1))</f>
        <v>3384</v>
      </c>
      <c r="E192" s="78">
        <f ca="1">IF(MOD(ROW(),2)=1,OFFSET(CT!$A$1,INT(ROW()/2)+1,COLUMN(CT!$H$3)-1),0)</f>
        <v>0</v>
      </c>
      <c r="F192" s="78">
        <f ca="1">IF(MOD(ROW(),2)=0,OFFSET(CT!$A$1,INT(ROW()/2),COLUMN(CT!$H$3)-1),0)</f>
        <v>1200000</v>
      </c>
      <c r="G192" s="153" t="str">
        <f ca="1">IF(OFFSET(CT!$A$1,INT((ROW()+1)/2),COLUMN(CT!$N$3)-1)="No","False","True")</f>
        <v>True</v>
      </c>
    </row>
    <row r="193" spans="1:7" ht="15.6" x14ac:dyDescent="0.3">
      <c r="A193" s="77">
        <f ca="1">IF(MOD(ROW(),2)=1, OFFSET(CT!$A$1,INT(ROW()/2)+1,COLUMN(CT!A189)-1),"")</f>
        <v>45322</v>
      </c>
      <c r="B193" s="77" t="str">
        <f ca="1">IF(MOD(ROW(),2)=1, OFFSET(CT!$A$1,INT(ROW()/2)+1,COLUMN(CT!B189)-1),"")</f>
        <v>TH2</v>
      </c>
      <c r="C193" s="77" t="str">
        <f ca="1">IF(MOD(ROW(),2)=1, OFFSET(CT!$A$1,INT(ROW()/2)+1,COLUMN(CT!C189)-1),"")</f>
        <v>Tính các khoản trích theo lương vào chi phí</v>
      </c>
      <c r="D193" s="23" t="str">
        <f ca="1">OFFSET(CT!$A$1,INT((ROW()+1)/2),IF(MOD(ROW(),2)=1,COLUMN(CT!$D$5)-1,COLUMN(CT!$E$5)-1))</f>
        <v>622.02</v>
      </c>
      <c r="E193" s="78">
        <f ca="1">IF(MOD(ROW(),2)=1,OFFSET(CT!$A$1,INT(ROW()/2)+1,COLUMN(CT!$H$3)-1),0)</f>
        <v>1200000</v>
      </c>
      <c r="F193" s="78">
        <f ca="1">IF(MOD(ROW(),2)=0,OFFSET(CT!$A$1,INT(ROW()/2),COLUMN(CT!$H$3)-1),0)</f>
        <v>0</v>
      </c>
      <c r="G193" s="153" t="str">
        <f ca="1">IF(OFFSET(CT!$A$1,INT((ROW()+1)/2),COLUMN(CT!$N$3)-1)="No","False","True")</f>
        <v>True</v>
      </c>
    </row>
    <row r="194" spans="1:7" ht="15.6" x14ac:dyDescent="0.3">
      <c r="A194" s="77" t="str">
        <f ca="1">IF(MOD(ROW(),2)=1, OFFSET(CT!$A$1,INT(ROW()/2)+1,COLUMN(CT!A190)-1),"")</f>
        <v/>
      </c>
      <c r="B194" s="77" t="str">
        <f ca="1">IF(MOD(ROW(),2)=1, OFFSET(CT!$A$1,INT(ROW()/2)+1,COLUMN(CT!B190)-1),"")</f>
        <v/>
      </c>
      <c r="C194" s="77" t="str">
        <f ca="1">IF(MOD(ROW(),2)=1, OFFSET(CT!$A$1,INT(ROW()/2)+1,COLUMN(CT!C190)-1),"")</f>
        <v/>
      </c>
      <c r="D194" s="23" t="str">
        <f ca="1">OFFSET(CT!$A$1,INT((ROW()+1)/2),IF(MOD(ROW(),2)=1,COLUMN(CT!$D$5)-1,COLUMN(CT!$E$5)-1))</f>
        <v>3384</v>
      </c>
      <c r="E194" s="78">
        <f ca="1">IF(MOD(ROW(),2)=1,OFFSET(CT!$A$1,INT(ROW()/2)+1,COLUMN(CT!$H$3)-1),0)</f>
        <v>0</v>
      </c>
      <c r="F194" s="78">
        <f ca="1">IF(MOD(ROW(),2)=0,OFFSET(CT!$A$1,INT(ROW()/2),COLUMN(CT!$H$3)-1),0)</f>
        <v>1200000</v>
      </c>
      <c r="G194" s="153" t="str">
        <f ca="1">IF(OFFSET(CT!$A$1,INT((ROW()+1)/2),COLUMN(CT!$N$3)-1)="No","False","True")</f>
        <v>True</v>
      </c>
    </row>
    <row r="195" spans="1:7" ht="15.6" x14ac:dyDescent="0.3">
      <c r="A195" s="77">
        <f ca="1">IF(MOD(ROW(),2)=1, OFFSET(CT!$A$1,INT(ROW()/2)+1,COLUMN(CT!A191)-1),"")</f>
        <v>45322</v>
      </c>
      <c r="B195" s="77" t="str">
        <f ca="1">IF(MOD(ROW(),2)=1, OFFSET(CT!$A$1,INT(ROW()/2)+1,COLUMN(CT!B191)-1),"")</f>
        <v>TH2</v>
      </c>
      <c r="C195" s="77" t="str">
        <f ca="1">IF(MOD(ROW(),2)=1, OFFSET(CT!$A$1,INT(ROW()/2)+1,COLUMN(CT!C191)-1),"")</f>
        <v>Tính các khoản trích theo lương vào chi phí</v>
      </c>
      <c r="D195" s="23" t="str">
        <f ca="1">OFFSET(CT!$A$1,INT((ROW()+1)/2),IF(MOD(ROW(),2)=1,COLUMN(CT!$D$5)-1,COLUMN(CT!$E$5)-1))</f>
        <v>622.03</v>
      </c>
      <c r="E195" s="78">
        <f ca="1">IF(MOD(ROW(),2)=1,OFFSET(CT!$A$1,INT(ROW()/2)+1,COLUMN(CT!$H$3)-1),0)</f>
        <v>1200000</v>
      </c>
      <c r="F195" s="78">
        <f ca="1">IF(MOD(ROW(),2)=0,OFFSET(CT!$A$1,INT(ROW()/2),COLUMN(CT!$H$3)-1),0)</f>
        <v>0</v>
      </c>
      <c r="G195" s="153" t="str">
        <f ca="1">IF(OFFSET(CT!$A$1,INT((ROW()+1)/2),COLUMN(CT!$N$3)-1)="No","False","True")</f>
        <v>True</v>
      </c>
    </row>
    <row r="196" spans="1:7" ht="15.6" x14ac:dyDescent="0.3">
      <c r="A196" s="77" t="str">
        <f ca="1">IF(MOD(ROW(),2)=1, OFFSET(CT!$A$1,INT(ROW()/2)+1,COLUMN(CT!A192)-1),"")</f>
        <v/>
      </c>
      <c r="B196" s="77" t="str">
        <f ca="1">IF(MOD(ROW(),2)=1, OFFSET(CT!$A$1,INT(ROW()/2)+1,COLUMN(CT!B192)-1),"")</f>
        <v/>
      </c>
      <c r="C196" s="77" t="str">
        <f ca="1">IF(MOD(ROW(),2)=1, OFFSET(CT!$A$1,INT(ROW()/2)+1,COLUMN(CT!C192)-1),"")</f>
        <v/>
      </c>
      <c r="D196" s="23" t="str">
        <f ca="1">OFFSET(CT!$A$1,INT((ROW()+1)/2),IF(MOD(ROW(),2)=1,COLUMN(CT!$D$5)-1,COLUMN(CT!$E$5)-1))</f>
        <v>3384</v>
      </c>
      <c r="E196" s="78">
        <f ca="1">IF(MOD(ROW(),2)=1,OFFSET(CT!$A$1,INT(ROW()/2)+1,COLUMN(CT!$H$3)-1),0)</f>
        <v>0</v>
      </c>
      <c r="F196" s="78">
        <f ca="1">IF(MOD(ROW(),2)=0,OFFSET(CT!$A$1,INT(ROW()/2),COLUMN(CT!$H$3)-1),0)</f>
        <v>1200000</v>
      </c>
      <c r="G196" s="153" t="str">
        <f ca="1">IF(OFFSET(CT!$A$1,INT((ROW()+1)/2),COLUMN(CT!$N$3)-1)="No","False","True")</f>
        <v>True</v>
      </c>
    </row>
    <row r="197" spans="1:7" ht="15.6" x14ac:dyDescent="0.3">
      <c r="A197" s="77">
        <f ca="1">IF(MOD(ROW(),2)=1, OFFSET(CT!$A$1,INT(ROW()/2)+1,COLUMN(CT!A193)-1),"")</f>
        <v>45322</v>
      </c>
      <c r="B197" s="77" t="str">
        <f ca="1">IF(MOD(ROW(),2)=1, OFFSET(CT!$A$1,INT(ROW()/2)+1,COLUMN(CT!B193)-1),"")</f>
        <v>TH2</v>
      </c>
      <c r="C197" s="77" t="str">
        <f ca="1">IF(MOD(ROW(),2)=1, OFFSET(CT!$A$1,INT(ROW()/2)+1,COLUMN(CT!C193)-1),"")</f>
        <v>Tính các khoản trích theo lương vào chi phí</v>
      </c>
      <c r="D197" s="23" t="str">
        <f ca="1">OFFSET(CT!$A$1,INT((ROW()+1)/2),IF(MOD(ROW(),2)=1,COLUMN(CT!$D$5)-1,COLUMN(CT!$E$5)-1))</f>
        <v>622.04</v>
      </c>
      <c r="E197" s="78">
        <f ca="1">IF(MOD(ROW(),2)=1,OFFSET(CT!$A$1,INT(ROW()/2)+1,COLUMN(CT!$H$3)-1),0)</f>
        <v>1200000</v>
      </c>
      <c r="F197" s="78">
        <f ca="1">IF(MOD(ROW(),2)=0,OFFSET(CT!$A$1,INT(ROW()/2),COLUMN(CT!$H$3)-1),0)</f>
        <v>0</v>
      </c>
      <c r="G197" s="153" t="str">
        <f ca="1">IF(OFFSET(CT!$A$1,INT((ROW()+1)/2),COLUMN(CT!$N$3)-1)="No","False","True")</f>
        <v>True</v>
      </c>
    </row>
    <row r="198" spans="1:7" ht="15.6" x14ac:dyDescent="0.3">
      <c r="A198" s="77" t="str">
        <f ca="1">IF(MOD(ROW(),2)=1, OFFSET(CT!$A$1,INT(ROW()/2)+1,COLUMN(CT!A194)-1),"")</f>
        <v/>
      </c>
      <c r="B198" s="77" t="str">
        <f ca="1">IF(MOD(ROW(),2)=1, OFFSET(CT!$A$1,INT(ROW()/2)+1,COLUMN(CT!B194)-1),"")</f>
        <v/>
      </c>
      <c r="C198" s="77" t="str">
        <f ca="1">IF(MOD(ROW(),2)=1, OFFSET(CT!$A$1,INT(ROW()/2)+1,COLUMN(CT!C194)-1),"")</f>
        <v/>
      </c>
      <c r="D198" s="23" t="str">
        <f ca="1">OFFSET(CT!$A$1,INT((ROW()+1)/2),IF(MOD(ROW(),2)=1,COLUMN(CT!$D$5)-1,COLUMN(CT!$E$5)-1))</f>
        <v>3384</v>
      </c>
      <c r="E198" s="78">
        <f ca="1">IF(MOD(ROW(),2)=1,OFFSET(CT!$A$1,INT(ROW()/2)+1,COLUMN(CT!$H$3)-1),0)</f>
        <v>0</v>
      </c>
      <c r="F198" s="78">
        <f ca="1">IF(MOD(ROW(),2)=0,OFFSET(CT!$A$1,INT(ROW()/2),COLUMN(CT!$H$3)-1),0)</f>
        <v>1200000</v>
      </c>
      <c r="G198" s="153" t="str">
        <f ca="1">IF(OFFSET(CT!$A$1,INT((ROW()+1)/2),COLUMN(CT!$N$3)-1)="No","False","True")</f>
        <v>True</v>
      </c>
    </row>
    <row r="199" spans="1:7" ht="15.6" x14ac:dyDescent="0.3">
      <c r="A199" s="77">
        <f ca="1">IF(MOD(ROW(),2)=1, OFFSET(CT!$A$1,INT(ROW()/2)+1,COLUMN(CT!A195)-1),"")</f>
        <v>45322</v>
      </c>
      <c r="B199" s="77" t="str">
        <f ca="1">IF(MOD(ROW(),2)=1, OFFSET(CT!$A$1,INT(ROW()/2)+1,COLUMN(CT!B195)-1),"")</f>
        <v>TH2</v>
      </c>
      <c r="C199" s="77" t="str">
        <f ca="1">IF(MOD(ROW(),2)=1, OFFSET(CT!$A$1,INT(ROW()/2)+1,COLUMN(CT!C195)-1),"")</f>
        <v>Tính các khoản trích theo lương vào chi phí</v>
      </c>
      <c r="D199" s="23" t="str">
        <f ca="1">OFFSET(CT!$A$1,INT((ROW()+1)/2),IF(MOD(ROW(),2)=1,COLUMN(CT!$D$5)-1,COLUMN(CT!$E$5)-1))</f>
        <v>622.05</v>
      </c>
      <c r="E199" s="78">
        <f ca="1">IF(MOD(ROW(),2)=1,OFFSET(CT!$A$1,INT(ROW()/2)+1,COLUMN(CT!$H$3)-1),0)</f>
        <v>1200000</v>
      </c>
      <c r="F199" s="78">
        <f ca="1">IF(MOD(ROW(),2)=0,OFFSET(CT!$A$1,INT(ROW()/2),COLUMN(CT!$H$3)-1),0)</f>
        <v>0</v>
      </c>
      <c r="G199" s="153" t="str">
        <f ca="1">IF(OFFSET(CT!$A$1,INT((ROW()+1)/2),COLUMN(CT!$N$3)-1)="No","False","True")</f>
        <v>True</v>
      </c>
    </row>
    <row r="200" spans="1:7" ht="15.6" x14ac:dyDescent="0.3">
      <c r="A200" s="77" t="str">
        <f ca="1">IF(MOD(ROW(),2)=1, OFFSET(CT!$A$1,INT(ROW()/2)+1,COLUMN(CT!A196)-1),"")</f>
        <v/>
      </c>
      <c r="B200" s="77" t="str">
        <f ca="1">IF(MOD(ROW(),2)=1, OFFSET(CT!$A$1,INT(ROW()/2)+1,COLUMN(CT!B196)-1),"")</f>
        <v/>
      </c>
      <c r="C200" s="77" t="str">
        <f ca="1">IF(MOD(ROW(),2)=1, OFFSET(CT!$A$1,INT(ROW()/2)+1,COLUMN(CT!C196)-1),"")</f>
        <v/>
      </c>
      <c r="D200" s="23" t="str">
        <f ca="1">OFFSET(CT!$A$1,INT((ROW()+1)/2),IF(MOD(ROW(),2)=1,COLUMN(CT!$D$5)-1,COLUMN(CT!$E$5)-1))</f>
        <v>3384</v>
      </c>
      <c r="E200" s="78">
        <f ca="1">IF(MOD(ROW(),2)=1,OFFSET(CT!$A$1,INT(ROW()/2)+1,COLUMN(CT!$H$3)-1),0)</f>
        <v>0</v>
      </c>
      <c r="F200" s="78">
        <f ca="1">IF(MOD(ROW(),2)=0,OFFSET(CT!$A$1,INT(ROW()/2),COLUMN(CT!$H$3)-1),0)</f>
        <v>1200000</v>
      </c>
      <c r="G200" s="153" t="str">
        <f ca="1">IF(OFFSET(CT!$A$1,INT((ROW()+1)/2),COLUMN(CT!$N$3)-1)="No","False","True")</f>
        <v>True</v>
      </c>
    </row>
    <row r="201" spans="1:7" ht="15.6" x14ac:dyDescent="0.3">
      <c r="A201" s="77">
        <f ca="1">IF(MOD(ROW(),2)=1, OFFSET(CT!$A$1,INT(ROW()/2)+1,COLUMN(CT!A197)-1),"")</f>
        <v>45322</v>
      </c>
      <c r="B201" s="77" t="str">
        <f ca="1">IF(MOD(ROW(),2)=1, OFFSET(CT!$A$1,INT(ROW()/2)+1,COLUMN(CT!B197)-1),"")</f>
        <v>TH5</v>
      </c>
      <c r="C201" s="77" t="str">
        <f ca="1">IF(MOD(ROW(),2)=1, OFFSET(CT!$A$1,INT(ROW()/2)+1,COLUMN(CT!C197)-1),"")</f>
        <v>Kết chuyển CFC vào TK154</v>
      </c>
      <c r="D201" s="23" t="str">
        <f ca="1">OFFSET(CT!$A$1,INT((ROW()+1)/2),IF(MOD(ROW(),2)=1,COLUMN(CT!$D$5)-1,COLUMN(CT!$E$5)-1))</f>
        <v>154.01</v>
      </c>
      <c r="E201" s="78">
        <f ca="1">IF(MOD(ROW(),2)=1,OFFSET(CT!$A$1,INT(ROW()/2)+1,COLUMN(CT!$H$3)-1),0)</f>
        <v>1330534</v>
      </c>
      <c r="F201" s="78">
        <f ca="1">IF(MOD(ROW(),2)=0,OFFSET(CT!$A$1,INT(ROW()/2),COLUMN(CT!$H$3)-1),0)</f>
        <v>0</v>
      </c>
      <c r="G201" s="153" t="str">
        <f ca="1">IF(OFFSET(CT!$A$1,INT((ROW()+1)/2),COLUMN(CT!$N$3)-1)="No","False","True")</f>
        <v>True</v>
      </c>
    </row>
    <row r="202" spans="1:7" ht="15.6" x14ac:dyDescent="0.3">
      <c r="A202" s="77" t="str">
        <f ca="1">IF(MOD(ROW(),2)=1, OFFSET(CT!$A$1,INT(ROW()/2)+1,COLUMN(CT!A198)-1),"")</f>
        <v/>
      </c>
      <c r="B202" s="77" t="str">
        <f ca="1">IF(MOD(ROW(),2)=1, OFFSET(CT!$A$1,INT(ROW()/2)+1,COLUMN(CT!B198)-1),"")</f>
        <v/>
      </c>
      <c r="C202" s="77" t="str">
        <f ca="1">IF(MOD(ROW(),2)=1, OFFSET(CT!$A$1,INT(ROW()/2)+1,COLUMN(CT!C198)-1),"")</f>
        <v/>
      </c>
      <c r="D202" s="23" t="str">
        <f ca="1">OFFSET(CT!$A$1,INT((ROW()+1)/2),IF(MOD(ROW(),2)=1,COLUMN(CT!$D$5)-1,COLUMN(CT!$E$5)-1))</f>
        <v>6274</v>
      </c>
      <c r="E202" s="78">
        <f ca="1">IF(MOD(ROW(),2)=1,OFFSET(CT!$A$1,INT(ROW()/2)+1,COLUMN(CT!$H$3)-1),0)</f>
        <v>0</v>
      </c>
      <c r="F202" s="78">
        <f ca="1">IF(MOD(ROW(),2)=0,OFFSET(CT!$A$1,INT(ROW()/2),COLUMN(CT!$H$3)-1),0)</f>
        <v>1330534</v>
      </c>
      <c r="G202" s="153" t="str">
        <f ca="1">IF(OFFSET(CT!$A$1,INT((ROW()+1)/2),COLUMN(CT!$N$3)-1)="No","False","True")</f>
        <v>True</v>
      </c>
    </row>
    <row r="203" spans="1:7" ht="15.6" x14ac:dyDescent="0.3">
      <c r="A203" s="77">
        <f ca="1">IF(MOD(ROW(),2)=1, OFFSET(CT!$A$1,INT(ROW()/2)+1,COLUMN(CT!A199)-1),"")</f>
        <v>45322</v>
      </c>
      <c r="B203" s="77" t="str">
        <f ca="1">IF(MOD(ROW(),2)=1, OFFSET(CT!$A$1,INT(ROW()/2)+1,COLUMN(CT!B199)-1),"")</f>
        <v>TH6</v>
      </c>
      <c r="C203" s="77" t="str">
        <f ca="1">IF(MOD(ROW(),2)=1, OFFSET(CT!$A$1,INT(ROW()/2)+1,COLUMN(CT!C199)-1),"")</f>
        <v>Bổ sung giá thành TK155 BT</v>
      </c>
      <c r="D203" s="23" t="str">
        <f ca="1">OFFSET(CT!$A$1,INT((ROW()+1)/2),IF(MOD(ROW(),2)=1,COLUMN(CT!$D$5)-1,COLUMN(CT!$E$5)-1))</f>
        <v>1551.0201</v>
      </c>
      <c r="E203" s="78">
        <f ca="1">IF(MOD(ROW(),2)=1,OFFSET(CT!$A$1,INT(ROW()/2)+1,COLUMN(CT!$H$3)-1),0)</f>
        <v>1500000</v>
      </c>
      <c r="F203" s="78">
        <f ca="1">IF(MOD(ROW(),2)=0,OFFSET(CT!$A$1,INT(ROW()/2),COLUMN(CT!$H$3)-1),0)</f>
        <v>0</v>
      </c>
      <c r="G203" s="153" t="str">
        <f ca="1">IF(OFFSET(CT!$A$1,INT((ROW()+1)/2),COLUMN(CT!$N$3)-1)="No","False","True")</f>
        <v>True</v>
      </c>
    </row>
    <row r="204" spans="1:7" ht="15.6" x14ac:dyDescent="0.3">
      <c r="A204" s="77" t="str">
        <f ca="1">IF(MOD(ROW(),2)=1, OFFSET(CT!$A$1,INT(ROW()/2)+1,COLUMN(CT!A200)-1),"")</f>
        <v/>
      </c>
      <c r="B204" s="77" t="str">
        <f ca="1">IF(MOD(ROW(),2)=1, OFFSET(CT!$A$1,INT(ROW()/2)+1,COLUMN(CT!B200)-1),"")</f>
        <v/>
      </c>
      <c r="C204" s="77" t="str">
        <f ca="1">IF(MOD(ROW(),2)=1, OFFSET(CT!$A$1,INT(ROW()/2)+1,COLUMN(CT!C200)-1),"")</f>
        <v/>
      </c>
      <c r="D204" s="23" t="str">
        <f ca="1">OFFSET(CT!$A$1,INT((ROW()+1)/2),IF(MOD(ROW(),2)=1,COLUMN(CT!$D$5)-1,COLUMN(CT!$E$5)-1))</f>
        <v>154.03</v>
      </c>
      <c r="E204" s="78">
        <f ca="1">IF(MOD(ROW(),2)=1,OFFSET(CT!$A$1,INT(ROW()/2)+1,COLUMN(CT!$H$3)-1),0)</f>
        <v>0</v>
      </c>
      <c r="F204" s="78">
        <f ca="1">IF(MOD(ROW(),2)=0,OFFSET(CT!$A$1,INT(ROW()/2),COLUMN(CT!$H$3)-1),0)</f>
        <v>1500000</v>
      </c>
      <c r="G204" s="153" t="str">
        <f ca="1">IF(OFFSET(CT!$A$1,INT((ROW()+1)/2),COLUMN(CT!$N$3)-1)="No","False","True")</f>
        <v>True</v>
      </c>
    </row>
    <row r="205" spans="1:7" ht="15.6" x14ac:dyDescent="0.3">
      <c r="A205" s="77">
        <f ca="1">IF(MOD(ROW(),2)=1, OFFSET(CT!$A$1,INT(ROW()/2)+1,COLUMN(CT!A201)-1),"")</f>
        <v>45322</v>
      </c>
      <c r="B205" s="77" t="str">
        <f ca="1">IF(MOD(ROW(),2)=1, OFFSET(CT!$A$1,INT(ROW()/2)+1,COLUMN(CT!B201)-1),"")</f>
        <v>TH12</v>
      </c>
      <c r="C205" s="77" t="str">
        <f ca="1">IF(MOD(ROW(),2)=1, OFFSET(CT!$A$1,INT(ROW()/2)+1,COLUMN(CT!C201)-1),"")</f>
        <v>Chuyển lãi lỗ</v>
      </c>
      <c r="D205" s="23" t="str">
        <f ca="1">OFFSET(CT!$A$1,INT((ROW()+1)/2),IF(MOD(ROW(),2)=1,COLUMN(CT!$D$5)-1,COLUMN(CT!$E$5)-1))</f>
        <v>4212</v>
      </c>
      <c r="E205" s="78">
        <f ca="1">IF(MOD(ROW(),2)=1,OFFSET(CT!$A$1,INT(ROW()/2)+1,COLUMN(CT!$H$3)-1),0)</f>
        <v>1615709</v>
      </c>
      <c r="F205" s="78">
        <f ca="1">IF(MOD(ROW(),2)=0,OFFSET(CT!$A$1,INT(ROW()/2),COLUMN(CT!$H$3)-1),0)</f>
        <v>0</v>
      </c>
      <c r="G205" s="153" t="str">
        <f ca="1">IF(OFFSET(CT!$A$1,INT((ROW()+1)/2),COLUMN(CT!$N$3)-1)="No","False","True")</f>
        <v>True</v>
      </c>
    </row>
    <row r="206" spans="1:7" ht="15.6" x14ac:dyDescent="0.3">
      <c r="A206" s="77" t="str">
        <f ca="1">IF(MOD(ROW(),2)=1, OFFSET(CT!$A$1,INT(ROW()/2)+1,COLUMN(CT!A202)-1),"")</f>
        <v/>
      </c>
      <c r="B206" s="77" t="str">
        <f ca="1">IF(MOD(ROW(),2)=1, OFFSET(CT!$A$1,INT(ROW()/2)+1,COLUMN(CT!B202)-1),"")</f>
        <v/>
      </c>
      <c r="C206" s="77" t="str">
        <f ca="1">IF(MOD(ROW(),2)=1, OFFSET(CT!$A$1,INT(ROW()/2)+1,COLUMN(CT!C202)-1),"")</f>
        <v/>
      </c>
      <c r="D206" s="23" t="str">
        <f ca="1">OFFSET(CT!$A$1,INT((ROW()+1)/2),IF(MOD(ROW(),2)=1,COLUMN(CT!$D$5)-1,COLUMN(CT!$E$5)-1))</f>
        <v>9111.0202</v>
      </c>
      <c r="E206" s="78">
        <f ca="1">IF(MOD(ROW(),2)=1,OFFSET(CT!$A$1,INT(ROW()/2)+1,COLUMN(CT!$H$3)-1),0)</f>
        <v>0</v>
      </c>
      <c r="F206" s="78">
        <f ca="1">IF(MOD(ROW(),2)=0,OFFSET(CT!$A$1,INT(ROW()/2),COLUMN(CT!$H$3)-1),0)</f>
        <v>1615709</v>
      </c>
      <c r="G206" s="153" t="str">
        <f ca="1">IF(OFFSET(CT!$A$1,INT((ROW()+1)/2),COLUMN(CT!$N$3)-1)="No","False","True")</f>
        <v>True</v>
      </c>
    </row>
    <row r="207" spans="1:7" ht="15.6" x14ac:dyDescent="0.3">
      <c r="A207" s="77">
        <f ca="1">IF(MOD(ROW(),2)=1, OFFSET(CT!$A$1,INT(ROW()/2)+1,COLUMN(CT!A203)-1),"")</f>
        <v>45322</v>
      </c>
      <c r="B207" s="77" t="str">
        <f ca="1">IF(MOD(ROW(),2)=1, OFFSET(CT!$A$1,INT(ROW()/2)+1,COLUMN(CT!B203)-1),"")</f>
        <v>KH1</v>
      </c>
      <c r="C207" s="77" t="str">
        <f ca="1">IF(MOD(ROW(),2)=1, OFFSET(CT!$A$1,INT(ROW()/2)+1,COLUMN(CT!C203)-1),"")</f>
        <v>Trích KH cho PXSX</v>
      </c>
      <c r="D207" s="23" t="str">
        <f ca="1">OFFSET(CT!$A$1,INT((ROW()+1)/2),IF(MOD(ROW(),2)=1,COLUMN(CT!$D$5)-1,COLUMN(CT!$E$5)-1))</f>
        <v>6274</v>
      </c>
      <c r="E207" s="78">
        <f ca="1">IF(MOD(ROW(),2)=1,OFFSET(CT!$A$1,INT(ROW()/2)+1,COLUMN(CT!$H$3)-1),0)</f>
        <v>1666666</v>
      </c>
      <c r="F207" s="78">
        <f ca="1">IF(MOD(ROW(),2)=0,OFFSET(CT!$A$1,INT(ROW()/2),COLUMN(CT!$H$3)-1),0)</f>
        <v>0</v>
      </c>
      <c r="G207" s="153" t="str">
        <f ca="1">IF(OFFSET(CT!$A$1,INT((ROW()+1)/2),COLUMN(CT!$N$3)-1)="No","False","True")</f>
        <v>True</v>
      </c>
    </row>
    <row r="208" spans="1:7" ht="15.6" x14ac:dyDescent="0.3">
      <c r="A208" s="77" t="str">
        <f ca="1">IF(MOD(ROW(),2)=1, OFFSET(CT!$A$1,INT(ROW()/2)+1,COLUMN(CT!A204)-1),"")</f>
        <v/>
      </c>
      <c r="B208" s="77" t="str">
        <f ca="1">IF(MOD(ROW(),2)=1, OFFSET(CT!$A$1,INT(ROW()/2)+1,COLUMN(CT!B204)-1),"")</f>
        <v/>
      </c>
      <c r="C208" s="77" t="str">
        <f ca="1">IF(MOD(ROW(),2)=1, OFFSET(CT!$A$1,INT(ROW()/2)+1,COLUMN(CT!C204)-1),"")</f>
        <v/>
      </c>
      <c r="D208" s="23" t="str">
        <f ca="1">OFFSET(CT!$A$1,INT((ROW()+1)/2),IF(MOD(ROW(),2)=1,COLUMN(CT!$D$5)-1,COLUMN(CT!$E$5)-1))</f>
        <v>2141</v>
      </c>
      <c r="E208" s="78">
        <f ca="1">IF(MOD(ROW(),2)=1,OFFSET(CT!$A$1,INT(ROW()/2)+1,COLUMN(CT!$H$3)-1),0)</f>
        <v>0</v>
      </c>
      <c r="F208" s="78">
        <f ca="1">IF(MOD(ROW(),2)=0,OFFSET(CT!$A$1,INT(ROW()/2),COLUMN(CT!$H$3)-1),0)</f>
        <v>1666666</v>
      </c>
      <c r="G208" s="153" t="str">
        <f ca="1">IF(OFFSET(CT!$A$1,INT((ROW()+1)/2),COLUMN(CT!$N$3)-1)="No","False","True")</f>
        <v>True</v>
      </c>
    </row>
    <row r="209" spans="1:7" ht="15.6" x14ac:dyDescent="0.3">
      <c r="A209" s="77">
        <f ca="1">IF(MOD(ROW(),2)=1, OFFSET(CT!$A$1,INT(ROW()/2)+1,COLUMN(CT!A205)-1),"")</f>
        <v>45322</v>
      </c>
      <c r="B209" s="77" t="str">
        <f ca="1">IF(MOD(ROW(),2)=1, OFFSET(CT!$A$1,INT(ROW()/2)+1,COLUMN(CT!B205)-1),"")</f>
        <v>TH10</v>
      </c>
      <c r="C209" s="77" t="str">
        <f ca="1">IF(MOD(ROW(),2)=1, OFFSET(CT!$A$1,INT(ROW()/2)+1,COLUMN(CT!C205)-1),"")</f>
        <v>Kết chuyển CFBH vào TK911</v>
      </c>
      <c r="D209" s="23" t="str">
        <f ca="1">OFFSET(CT!$A$1,INT((ROW()+1)/2),IF(MOD(ROW(),2)=1,COLUMN(CT!$D$5)-1,COLUMN(CT!$E$5)-1))</f>
        <v>9111.0102</v>
      </c>
      <c r="E209" s="78">
        <f ca="1">IF(MOD(ROW(),2)=1,OFFSET(CT!$A$1,INT(ROW()/2)+1,COLUMN(CT!$H$3)-1),0)</f>
        <v>1761203</v>
      </c>
      <c r="F209" s="78">
        <f ca="1">IF(MOD(ROW(),2)=0,OFFSET(CT!$A$1,INT(ROW()/2),COLUMN(CT!$H$3)-1),0)</f>
        <v>0</v>
      </c>
      <c r="G209" s="153" t="str">
        <f ca="1">IF(OFFSET(CT!$A$1,INT((ROW()+1)/2),COLUMN(CT!$N$3)-1)="No","False","True")</f>
        <v>True</v>
      </c>
    </row>
    <row r="210" spans="1:7" ht="15.6" x14ac:dyDescent="0.3">
      <c r="A210" s="77" t="str">
        <f ca="1">IF(MOD(ROW(),2)=1, OFFSET(CT!$A$1,INT(ROW()/2)+1,COLUMN(CT!A206)-1),"")</f>
        <v/>
      </c>
      <c r="B210" s="77" t="str">
        <f ca="1">IF(MOD(ROW(),2)=1, OFFSET(CT!$A$1,INT(ROW()/2)+1,COLUMN(CT!B206)-1),"")</f>
        <v/>
      </c>
      <c r="C210" s="77" t="str">
        <f ca="1">IF(MOD(ROW(),2)=1, OFFSET(CT!$A$1,INT(ROW()/2)+1,COLUMN(CT!C206)-1),"")</f>
        <v/>
      </c>
      <c r="D210" s="23" t="str">
        <f ca="1">OFFSET(CT!$A$1,INT((ROW()+1)/2),IF(MOD(ROW(),2)=1,COLUMN(CT!$D$5)-1,COLUMN(CT!$E$5)-1))</f>
        <v>6411</v>
      </c>
      <c r="E210" s="78">
        <f ca="1">IF(MOD(ROW(),2)=1,OFFSET(CT!$A$1,INT(ROW()/2)+1,COLUMN(CT!$H$3)-1),0)</f>
        <v>0</v>
      </c>
      <c r="F210" s="78">
        <f ca="1">IF(MOD(ROW(),2)=0,OFFSET(CT!$A$1,INT(ROW()/2),COLUMN(CT!$H$3)-1),0)</f>
        <v>1761203</v>
      </c>
      <c r="G210" s="153" t="str">
        <f ca="1">IF(OFFSET(CT!$A$1,INT((ROW()+1)/2),COLUMN(CT!$N$3)-1)="No","False","True")</f>
        <v>True</v>
      </c>
    </row>
    <row r="211" spans="1:7" ht="15.6" x14ac:dyDescent="0.3">
      <c r="A211" s="77">
        <f ca="1">IF(MOD(ROW(),2)=1, OFFSET(CT!$A$1,INT(ROW()/2)+1,COLUMN(CT!A207)-1),"")</f>
        <v>45322</v>
      </c>
      <c r="B211" s="77" t="str">
        <f ca="1">IF(MOD(ROW(),2)=1, OFFSET(CT!$A$1,INT(ROW()/2)+1,COLUMN(CT!B207)-1),"")</f>
        <v>TH12</v>
      </c>
      <c r="C211" s="77" t="str">
        <f ca="1">IF(MOD(ROW(),2)=1, OFFSET(CT!$A$1,INT(ROW()/2)+1,COLUMN(CT!C207)-1),"")</f>
        <v>Chuyển lãi lỗ</v>
      </c>
      <c r="D211" s="23" t="str">
        <f ca="1">OFFSET(CT!$A$1,INT((ROW()+1)/2),IF(MOD(ROW(),2)=1,COLUMN(CT!$D$5)-1,COLUMN(CT!$E$5)-1))</f>
        <v>4212</v>
      </c>
      <c r="E211" s="78">
        <f ca="1">IF(MOD(ROW(),2)=1,OFFSET(CT!$A$1,INT(ROW()/2)+1,COLUMN(CT!$H$3)-1),0)</f>
        <v>1772143</v>
      </c>
      <c r="F211" s="78">
        <f ca="1">IF(MOD(ROW(),2)=0,OFFSET(CT!$A$1,INT(ROW()/2),COLUMN(CT!$H$3)-1),0)</f>
        <v>0</v>
      </c>
      <c r="G211" s="153" t="str">
        <f ca="1">IF(OFFSET(CT!$A$1,INT((ROW()+1)/2),COLUMN(CT!$N$3)-1)="No","False","True")</f>
        <v>True</v>
      </c>
    </row>
    <row r="212" spans="1:7" ht="15.6" x14ac:dyDescent="0.3">
      <c r="A212" s="77" t="str">
        <f ca="1">IF(MOD(ROW(),2)=1, OFFSET(CT!$A$1,INT(ROW()/2)+1,COLUMN(CT!A208)-1),"")</f>
        <v/>
      </c>
      <c r="B212" s="77" t="str">
        <f ca="1">IF(MOD(ROW(),2)=1, OFFSET(CT!$A$1,INT(ROW()/2)+1,COLUMN(CT!B208)-1),"")</f>
        <v/>
      </c>
      <c r="C212" s="77" t="str">
        <f ca="1">IF(MOD(ROW(),2)=1, OFFSET(CT!$A$1,INT(ROW()/2)+1,COLUMN(CT!C208)-1),"")</f>
        <v/>
      </c>
      <c r="D212" s="23" t="str">
        <f ca="1">OFFSET(CT!$A$1,INT((ROW()+1)/2),IF(MOD(ROW(),2)=1,COLUMN(CT!$D$5)-1,COLUMN(CT!$E$5)-1))</f>
        <v>9111.0101</v>
      </c>
      <c r="E212" s="78">
        <f ca="1">IF(MOD(ROW(),2)=1,OFFSET(CT!$A$1,INT(ROW()/2)+1,COLUMN(CT!$H$3)-1),0)</f>
        <v>0</v>
      </c>
      <c r="F212" s="78">
        <f ca="1">IF(MOD(ROW(),2)=0,OFFSET(CT!$A$1,INT(ROW()/2),COLUMN(CT!$H$3)-1),0)</f>
        <v>1772143</v>
      </c>
      <c r="G212" s="153" t="str">
        <f ca="1">IF(OFFSET(CT!$A$1,INT((ROW()+1)/2),COLUMN(CT!$N$3)-1)="No","False","True")</f>
        <v>True</v>
      </c>
    </row>
    <row r="213" spans="1:7" ht="15.6" x14ac:dyDescent="0.3">
      <c r="A213" s="77">
        <f ca="1">IF(MOD(ROW(),2)=1, OFFSET(CT!$A$1,INT(ROW()/2)+1,COLUMN(CT!A209)-1),"")</f>
        <v>45322</v>
      </c>
      <c r="B213" s="77" t="str">
        <f ca="1">IF(MOD(ROW(),2)=1, OFFSET(CT!$A$1,INT(ROW()/2)+1,COLUMN(CT!B209)-1),"")</f>
        <v>TH6</v>
      </c>
      <c r="C213" s="77" t="str">
        <f ca="1">IF(MOD(ROW(),2)=1, OFFSET(CT!$A$1,INT(ROW()/2)+1,COLUMN(CT!C209)-1),"")</f>
        <v>Bổ sung giá thành TK155 GKT</v>
      </c>
      <c r="D213" s="23" t="str">
        <f ca="1">OFFSET(CT!$A$1,INT((ROW()+1)/2),IF(MOD(ROW(),2)=1,COLUMN(CT!$D$5)-1,COLUMN(CT!$E$5)-1))</f>
        <v>1551.0102</v>
      </c>
      <c r="E213" s="78">
        <f ca="1">IF(MOD(ROW(),2)=1,OFFSET(CT!$A$1,INT(ROW()/2)+1,COLUMN(CT!$H$3)-1),0)</f>
        <v>1800000</v>
      </c>
      <c r="F213" s="78">
        <f ca="1">IF(MOD(ROW(),2)=0,OFFSET(CT!$A$1,INT(ROW()/2),COLUMN(CT!$H$3)-1),0)</f>
        <v>0</v>
      </c>
      <c r="G213" s="153" t="str">
        <f ca="1">IF(OFFSET(CT!$A$1,INT((ROW()+1)/2),COLUMN(CT!$N$3)-1)="No","False","True")</f>
        <v>True</v>
      </c>
    </row>
    <row r="214" spans="1:7" ht="15.6" x14ac:dyDescent="0.3">
      <c r="A214" s="77" t="str">
        <f ca="1">IF(MOD(ROW(),2)=1, OFFSET(CT!$A$1,INT(ROW()/2)+1,COLUMN(CT!A210)-1),"")</f>
        <v/>
      </c>
      <c r="B214" s="77" t="str">
        <f ca="1">IF(MOD(ROW(),2)=1, OFFSET(CT!$A$1,INT(ROW()/2)+1,COLUMN(CT!B210)-1),"")</f>
        <v/>
      </c>
      <c r="C214" s="77" t="str">
        <f ca="1">IF(MOD(ROW(),2)=1, OFFSET(CT!$A$1,INT(ROW()/2)+1,COLUMN(CT!C210)-1),"")</f>
        <v/>
      </c>
      <c r="D214" s="23" t="str">
        <f ca="1">OFFSET(CT!$A$1,INT((ROW()+1)/2),IF(MOD(ROW(),2)=1,COLUMN(CT!$D$5)-1,COLUMN(CT!$E$5)-1))</f>
        <v>154.02</v>
      </c>
      <c r="E214" s="78">
        <f ca="1">IF(MOD(ROW(),2)=1,OFFSET(CT!$A$1,INT(ROW()/2)+1,COLUMN(CT!$H$3)-1),0)</f>
        <v>0</v>
      </c>
      <c r="F214" s="78">
        <f ca="1">IF(MOD(ROW(),2)=0,OFFSET(CT!$A$1,INT(ROW()/2),COLUMN(CT!$H$3)-1),0)</f>
        <v>1800000</v>
      </c>
      <c r="G214" s="153" t="str">
        <f ca="1">IF(OFFSET(CT!$A$1,INT((ROW()+1)/2),COLUMN(CT!$N$3)-1)="No","False","True")</f>
        <v>True</v>
      </c>
    </row>
    <row r="215" spans="1:7" ht="15.6" x14ac:dyDescent="0.3">
      <c r="A215" s="77">
        <f ca="1">IF(MOD(ROW(),2)=1, OFFSET(CT!$A$1,INT(ROW()/2)+1,COLUMN(CT!A211)-1),"")</f>
        <v>45322</v>
      </c>
      <c r="B215" s="77" t="str">
        <f ca="1">IF(MOD(ROW(),2)=1, OFFSET(CT!$A$1,INT(ROW()/2)+1,COLUMN(CT!B211)-1),"")</f>
        <v>TH10</v>
      </c>
      <c r="C215" s="77" t="str">
        <f ca="1">IF(MOD(ROW(),2)=1, OFFSET(CT!$A$1,INT(ROW()/2)+1,COLUMN(CT!C211)-1),"")</f>
        <v>Kết chuyển CFBH vào TK911</v>
      </c>
      <c r="D215" s="23" t="str">
        <f ca="1">OFFSET(CT!$A$1,INT((ROW()+1)/2),IF(MOD(ROW(),2)=1,COLUMN(CT!$D$5)-1,COLUMN(CT!$E$5)-1))</f>
        <v>9111.0202</v>
      </c>
      <c r="E215" s="78">
        <f ca="1">IF(MOD(ROW(),2)=1,OFFSET(CT!$A$1,INT(ROW()/2)+1,COLUMN(CT!$H$3)-1),0)</f>
        <v>2164045</v>
      </c>
      <c r="F215" s="78">
        <f ca="1">IF(MOD(ROW(),2)=0,OFFSET(CT!$A$1,INT(ROW()/2),COLUMN(CT!$H$3)-1),0)</f>
        <v>0</v>
      </c>
      <c r="G215" s="153" t="str">
        <f ca="1">IF(OFFSET(CT!$A$1,INT((ROW()+1)/2),COLUMN(CT!$N$3)-1)="No","False","True")</f>
        <v>True</v>
      </c>
    </row>
    <row r="216" spans="1:7" ht="15.6" x14ac:dyDescent="0.3">
      <c r="A216" s="77" t="str">
        <f ca="1">IF(MOD(ROW(),2)=1, OFFSET(CT!$A$1,INT(ROW()/2)+1,COLUMN(CT!A212)-1),"")</f>
        <v/>
      </c>
      <c r="B216" s="77" t="str">
        <f ca="1">IF(MOD(ROW(),2)=1, OFFSET(CT!$A$1,INT(ROW()/2)+1,COLUMN(CT!B212)-1),"")</f>
        <v/>
      </c>
      <c r="C216" s="77" t="str">
        <f ca="1">IF(MOD(ROW(),2)=1, OFFSET(CT!$A$1,INT(ROW()/2)+1,COLUMN(CT!C212)-1),"")</f>
        <v/>
      </c>
      <c r="D216" s="23" t="str">
        <f ca="1">OFFSET(CT!$A$1,INT((ROW()+1)/2),IF(MOD(ROW(),2)=1,COLUMN(CT!$D$5)-1,COLUMN(CT!$E$5)-1))</f>
        <v>6411</v>
      </c>
      <c r="E216" s="78">
        <f ca="1">IF(MOD(ROW(),2)=1,OFFSET(CT!$A$1,INT(ROW()/2)+1,COLUMN(CT!$H$3)-1),0)</f>
        <v>0</v>
      </c>
      <c r="F216" s="78">
        <f ca="1">IF(MOD(ROW(),2)=0,OFFSET(CT!$A$1,INT(ROW()/2),COLUMN(CT!$H$3)-1),0)</f>
        <v>2164045</v>
      </c>
      <c r="G216" s="153" t="str">
        <f ca="1">IF(OFFSET(CT!$A$1,INT((ROW()+1)/2),COLUMN(CT!$N$3)-1)="No","False","True")</f>
        <v>True</v>
      </c>
    </row>
    <row r="217" spans="1:7" ht="15.6" x14ac:dyDescent="0.3">
      <c r="A217" s="77">
        <f ca="1">IF(MOD(ROW(),2)=1, OFFSET(CT!$A$1,INT(ROW()/2)+1,COLUMN(CT!A213)-1),"")</f>
        <v>45322</v>
      </c>
      <c r="B217" s="77" t="str">
        <f ca="1">IF(MOD(ROW(),2)=1, OFFSET(CT!$A$1,INT(ROW()/2)+1,COLUMN(CT!B213)-1),"")</f>
        <v>TH10</v>
      </c>
      <c r="C217" s="77" t="str">
        <f ca="1">IF(MOD(ROW(),2)=1, OFFSET(CT!$A$1,INT(ROW()/2)+1,COLUMN(CT!C213)-1),"")</f>
        <v>Kết chuyển CFBH vào TK911</v>
      </c>
      <c r="D217" s="23" t="str">
        <f ca="1">OFFSET(CT!$A$1,INT((ROW()+1)/2),IF(MOD(ROW(),2)=1,COLUMN(CT!$D$5)-1,COLUMN(CT!$E$5)-1))</f>
        <v>9111.0101</v>
      </c>
      <c r="E217" s="78">
        <f ca="1">IF(MOD(ROW(),2)=1,OFFSET(CT!$A$1,INT(ROW()/2)+1,COLUMN(CT!$H$3)-1),0)</f>
        <v>2174752</v>
      </c>
      <c r="F217" s="78">
        <f ca="1">IF(MOD(ROW(),2)=0,OFFSET(CT!$A$1,INT(ROW()/2),COLUMN(CT!$H$3)-1),0)</f>
        <v>0</v>
      </c>
      <c r="G217" s="153" t="str">
        <f ca="1">IF(OFFSET(CT!$A$1,INT((ROW()+1)/2),COLUMN(CT!$N$3)-1)="No","False","True")</f>
        <v>True</v>
      </c>
    </row>
    <row r="218" spans="1:7" ht="15.6" x14ac:dyDescent="0.3">
      <c r="A218" s="77" t="str">
        <f ca="1">IF(MOD(ROW(),2)=1, OFFSET(CT!$A$1,INT(ROW()/2)+1,COLUMN(CT!A214)-1),"")</f>
        <v/>
      </c>
      <c r="B218" s="77" t="str">
        <f ca="1">IF(MOD(ROW(),2)=1, OFFSET(CT!$A$1,INT(ROW()/2)+1,COLUMN(CT!B214)-1),"")</f>
        <v/>
      </c>
      <c r="C218" s="77" t="str">
        <f ca="1">IF(MOD(ROW(),2)=1, OFFSET(CT!$A$1,INT(ROW()/2)+1,COLUMN(CT!C214)-1),"")</f>
        <v/>
      </c>
      <c r="D218" s="23" t="str">
        <f ca="1">OFFSET(CT!$A$1,INT((ROW()+1)/2),IF(MOD(ROW(),2)=1,COLUMN(CT!$D$5)-1,COLUMN(CT!$E$5)-1))</f>
        <v>6411</v>
      </c>
      <c r="E218" s="78">
        <f ca="1">IF(MOD(ROW(),2)=1,OFFSET(CT!$A$1,INT(ROW()/2)+1,COLUMN(CT!$H$3)-1),0)</f>
        <v>0</v>
      </c>
      <c r="F218" s="78">
        <f ca="1">IF(MOD(ROW(),2)=0,OFFSET(CT!$A$1,INT(ROW()/2),COLUMN(CT!$H$3)-1),0)</f>
        <v>2174752</v>
      </c>
      <c r="G218" s="153" t="str">
        <f ca="1">IF(OFFSET(CT!$A$1,INT((ROW()+1)/2),COLUMN(CT!$N$3)-1)="No","False","True")</f>
        <v>True</v>
      </c>
    </row>
    <row r="219" spans="1:7" ht="15.6" x14ac:dyDescent="0.3">
      <c r="A219" s="77">
        <f ca="1">IF(MOD(ROW(),2)=1, OFFSET(CT!$A$1,INT(ROW()/2)+1,COLUMN(CT!A215)-1),"")</f>
        <v>45322</v>
      </c>
      <c r="B219" s="77" t="str">
        <f ca="1">IF(MOD(ROW(),2)=1, OFFSET(CT!$A$1,INT(ROW()/2)+1,COLUMN(CT!B215)-1),"")</f>
        <v>TH12</v>
      </c>
      <c r="C219" s="77" t="str">
        <f ca="1">IF(MOD(ROW(),2)=1, OFFSET(CT!$A$1,INT(ROW()/2)+1,COLUMN(CT!C215)-1),"")</f>
        <v>Chuyển lãi lỗ</v>
      </c>
      <c r="D219" s="23" t="str">
        <f ca="1">OFFSET(CT!$A$1,INT((ROW()+1)/2),IF(MOD(ROW(),2)=1,COLUMN(CT!$D$5)-1,COLUMN(CT!$E$5)-1))</f>
        <v>9111.0102</v>
      </c>
      <c r="E219" s="78">
        <f ca="1">IF(MOD(ROW(),2)=1,OFFSET(CT!$A$1,INT(ROW()/2)+1,COLUMN(CT!$H$3)-1),0)</f>
        <v>2269619</v>
      </c>
      <c r="F219" s="78">
        <f ca="1">IF(MOD(ROW(),2)=0,OFFSET(CT!$A$1,INT(ROW()/2),COLUMN(CT!$H$3)-1),0)</f>
        <v>0</v>
      </c>
      <c r="G219" s="153" t="str">
        <f ca="1">IF(OFFSET(CT!$A$1,INT((ROW()+1)/2),COLUMN(CT!$N$3)-1)="No","False","True")</f>
        <v>True</v>
      </c>
    </row>
    <row r="220" spans="1:7" ht="15.6" x14ac:dyDescent="0.3">
      <c r="A220" s="77" t="str">
        <f ca="1">IF(MOD(ROW(),2)=1, OFFSET(CT!$A$1,INT(ROW()/2)+1,COLUMN(CT!A216)-1),"")</f>
        <v/>
      </c>
      <c r="B220" s="77" t="str">
        <f ca="1">IF(MOD(ROW(),2)=1, OFFSET(CT!$A$1,INT(ROW()/2)+1,COLUMN(CT!B216)-1),"")</f>
        <v/>
      </c>
      <c r="C220" s="77" t="str">
        <f ca="1">IF(MOD(ROW(),2)=1, OFFSET(CT!$A$1,INT(ROW()/2)+1,COLUMN(CT!C216)-1),"")</f>
        <v/>
      </c>
      <c r="D220" s="23" t="str">
        <f ca="1">OFFSET(CT!$A$1,INT((ROW()+1)/2),IF(MOD(ROW(),2)=1,COLUMN(CT!$D$5)-1,COLUMN(CT!$E$5)-1))</f>
        <v>4212</v>
      </c>
      <c r="E220" s="78">
        <f ca="1">IF(MOD(ROW(),2)=1,OFFSET(CT!$A$1,INT(ROW()/2)+1,COLUMN(CT!$H$3)-1),0)</f>
        <v>0</v>
      </c>
      <c r="F220" s="78">
        <f ca="1">IF(MOD(ROW(),2)=0,OFFSET(CT!$A$1,INT(ROW()/2),COLUMN(CT!$H$3)-1),0)</f>
        <v>2269619</v>
      </c>
      <c r="G220" s="153" t="str">
        <f ca="1">IF(OFFSET(CT!$A$1,INT((ROW()+1)/2),COLUMN(CT!$N$3)-1)="No","False","True")</f>
        <v>True</v>
      </c>
    </row>
    <row r="221" spans="1:7" ht="15.6" x14ac:dyDescent="0.3">
      <c r="A221" s="77">
        <f ca="1">IF(MOD(ROW(),2)=1, OFFSET(CT!$A$1,INT(ROW()/2)+1,COLUMN(CT!A217)-1),"")</f>
        <v>45322</v>
      </c>
      <c r="B221" s="77" t="str">
        <f ca="1">IF(MOD(ROW(),2)=1, OFFSET(CT!$A$1,INT(ROW()/2)+1,COLUMN(CT!B217)-1),"")</f>
        <v>TH11</v>
      </c>
      <c r="C221" s="77" t="str">
        <f ca="1">IF(MOD(ROW(),2)=1, OFFSET(CT!$A$1,INT(ROW()/2)+1,COLUMN(CT!C217)-1),"")</f>
        <v>Kết chuyển CFQLDN vào TK911</v>
      </c>
      <c r="D221" s="23" t="str">
        <f ca="1">OFFSET(CT!$A$1,INT((ROW()+1)/2),IF(MOD(ROW(),2)=1,COLUMN(CT!$D$5)-1,COLUMN(CT!$E$5)-1))</f>
        <v>9111.0102</v>
      </c>
      <c r="E221" s="78">
        <f ca="1">IF(MOD(ROW(),2)=1,OFFSET(CT!$A$1,INT(ROW()/2)+1,COLUMN(CT!$H$3)-1),0)</f>
        <v>2465685</v>
      </c>
      <c r="F221" s="78">
        <f ca="1">IF(MOD(ROW(),2)=0,OFFSET(CT!$A$1,INT(ROW()/2),COLUMN(CT!$H$3)-1),0)</f>
        <v>0</v>
      </c>
      <c r="G221" s="153" t="str">
        <f ca="1">IF(OFFSET(CT!$A$1,INT((ROW()+1)/2),COLUMN(CT!$N$3)-1)="No","False","True")</f>
        <v>True</v>
      </c>
    </row>
    <row r="222" spans="1:7" ht="15.6" x14ac:dyDescent="0.3">
      <c r="A222" s="77" t="str">
        <f ca="1">IF(MOD(ROW(),2)=1, OFFSET(CT!$A$1,INT(ROW()/2)+1,COLUMN(CT!A218)-1),"")</f>
        <v/>
      </c>
      <c r="B222" s="77" t="str">
        <f ca="1">IF(MOD(ROW(),2)=1, OFFSET(CT!$A$1,INT(ROW()/2)+1,COLUMN(CT!B218)-1),"")</f>
        <v/>
      </c>
      <c r="C222" s="77" t="str">
        <f ca="1">IF(MOD(ROW(),2)=1, OFFSET(CT!$A$1,INT(ROW()/2)+1,COLUMN(CT!C218)-1),"")</f>
        <v/>
      </c>
      <c r="D222" s="23" t="str">
        <f ca="1">OFFSET(CT!$A$1,INT((ROW()+1)/2),IF(MOD(ROW(),2)=1,COLUMN(CT!$D$5)-1,COLUMN(CT!$E$5)-1))</f>
        <v>6421</v>
      </c>
      <c r="E222" s="78">
        <f ca="1">IF(MOD(ROW(),2)=1,OFFSET(CT!$A$1,INT(ROW()/2)+1,COLUMN(CT!$H$3)-1),0)</f>
        <v>0</v>
      </c>
      <c r="F222" s="78">
        <f ca="1">IF(MOD(ROW(),2)=0,OFFSET(CT!$A$1,INT(ROW()/2),COLUMN(CT!$H$3)-1),0)</f>
        <v>2465685</v>
      </c>
      <c r="G222" s="153" t="str">
        <f ca="1">IF(OFFSET(CT!$A$1,INT((ROW()+1)/2),COLUMN(CT!$N$3)-1)="No","False","True")</f>
        <v>True</v>
      </c>
    </row>
    <row r="223" spans="1:7" ht="15.6" x14ac:dyDescent="0.3">
      <c r="A223" s="77">
        <f ca="1">IF(MOD(ROW(),2)=1, OFFSET(CT!$A$1,INT(ROW()/2)+1,COLUMN(CT!A219)-1),"")</f>
        <v>45322</v>
      </c>
      <c r="B223" s="77" t="str">
        <f ca="1">IF(MOD(ROW(),2)=1, OFFSET(CT!$A$1,INT(ROW()/2)+1,COLUMN(CT!B219)-1),"")</f>
        <v>TH11</v>
      </c>
      <c r="C223" s="77" t="str">
        <f ca="1">IF(MOD(ROW(),2)=1, OFFSET(CT!$A$1,INT(ROW()/2)+1,COLUMN(CT!C219)-1),"")</f>
        <v>Kết chuyển CFQLDN vào TK911</v>
      </c>
      <c r="D223" s="23" t="str">
        <f ca="1">OFFSET(CT!$A$1,INT((ROW()+1)/2),IF(MOD(ROW(),2)=1,COLUMN(CT!$D$5)-1,COLUMN(CT!$E$5)-1))</f>
        <v>9111.0202</v>
      </c>
      <c r="E223" s="78">
        <f ca="1">IF(MOD(ROW(),2)=1,OFFSET(CT!$A$1,INT(ROW()/2)+1,COLUMN(CT!$H$3)-1),0)</f>
        <v>3029662</v>
      </c>
      <c r="F223" s="78">
        <f ca="1">IF(MOD(ROW(),2)=0,OFFSET(CT!$A$1,INT(ROW()/2),COLUMN(CT!$H$3)-1),0)</f>
        <v>0</v>
      </c>
      <c r="G223" s="153" t="str">
        <f ca="1">IF(OFFSET(CT!$A$1,INT((ROW()+1)/2),COLUMN(CT!$N$3)-1)="No","False","True")</f>
        <v>True</v>
      </c>
    </row>
    <row r="224" spans="1:7" ht="15.6" x14ac:dyDescent="0.3">
      <c r="A224" s="77" t="str">
        <f ca="1">IF(MOD(ROW(),2)=1, OFFSET(CT!$A$1,INT(ROW()/2)+1,COLUMN(CT!A220)-1),"")</f>
        <v/>
      </c>
      <c r="B224" s="77" t="str">
        <f ca="1">IF(MOD(ROW(),2)=1, OFFSET(CT!$A$1,INT(ROW()/2)+1,COLUMN(CT!B220)-1),"")</f>
        <v/>
      </c>
      <c r="C224" s="77" t="str">
        <f ca="1">IF(MOD(ROW(),2)=1, OFFSET(CT!$A$1,INT(ROW()/2)+1,COLUMN(CT!C220)-1),"")</f>
        <v/>
      </c>
      <c r="D224" s="23" t="str">
        <f ca="1">OFFSET(CT!$A$1,INT((ROW()+1)/2),IF(MOD(ROW(),2)=1,COLUMN(CT!$D$5)-1,COLUMN(CT!$E$5)-1))</f>
        <v>6421</v>
      </c>
      <c r="E224" s="78">
        <f ca="1">IF(MOD(ROW(),2)=1,OFFSET(CT!$A$1,INT(ROW()/2)+1,COLUMN(CT!$H$3)-1),0)</f>
        <v>0</v>
      </c>
      <c r="F224" s="78">
        <f ca="1">IF(MOD(ROW(),2)=0,OFFSET(CT!$A$1,INT(ROW()/2),COLUMN(CT!$H$3)-1),0)</f>
        <v>3029662</v>
      </c>
      <c r="G224" s="153" t="str">
        <f ca="1">IF(OFFSET(CT!$A$1,INT((ROW()+1)/2),COLUMN(CT!$N$3)-1)="No","False","True")</f>
        <v>True</v>
      </c>
    </row>
    <row r="225" spans="1:7" ht="15.6" x14ac:dyDescent="0.3">
      <c r="A225" s="77">
        <f ca="1">IF(MOD(ROW(),2)=1, OFFSET(CT!$A$1,INT(ROW()/2)+1,COLUMN(CT!A221)-1),"")</f>
        <v>45322</v>
      </c>
      <c r="B225" s="77" t="str">
        <f ca="1">IF(MOD(ROW(),2)=1, OFFSET(CT!$A$1,INT(ROW()/2)+1,COLUMN(CT!B221)-1),"")</f>
        <v>TH11</v>
      </c>
      <c r="C225" s="77" t="str">
        <f ca="1">IF(MOD(ROW(),2)=1, OFFSET(CT!$A$1,INT(ROW()/2)+1,COLUMN(CT!C221)-1),"")</f>
        <v>Kết chuyển CFQLDN vào TK911</v>
      </c>
      <c r="D225" s="23" t="str">
        <f ca="1">OFFSET(CT!$A$1,INT((ROW()+1)/2),IF(MOD(ROW(),2)=1,COLUMN(CT!$D$5)-1,COLUMN(CT!$E$5)-1))</f>
        <v>9111.0101</v>
      </c>
      <c r="E225" s="78">
        <f ca="1">IF(MOD(ROW(),2)=1,OFFSET(CT!$A$1,INT(ROW()/2)+1,COLUMN(CT!$H$3)-1),0)</f>
        <v>3044653</v>
      </c>
      <c r="F225" s="78">
        <f ca="1">IF(MOD(ROW(),2)=0,OFFSET(CT!$A$1,INT(ROW()/2),COLUMN(CT!$H$3)-1),0)</f>
        <v>0</v>
      </c>
      <c r="G225" s="153" t="str">
        <f ca="1">IF(OFFSET(CT!$A$1,INT((ROW()+1)/2),COLUMN(CT!$N$3)-1)="No","False","True")</f>
        <v>True</v>
      </c>
    </row>
    <row r="226" spans="1:7" ht="15.6" x14ac:dyDescent="0.3">
      <c r="A226" s="77" t="str">
        <f ca="1">IF(MOD(ROW(),2)=1, OFFSET(CT!$A$1,INT(ROW()/2)+1,COLUMN(CT!A222)-1),"")</f>
        <v/>
      </c>
      <c r="B226" s="77" t="str">
        <f ca="1">IF(MOD(ROW(),2)=1, OFFSET(CT!$A$1,INT(ROW()/2)+1,COLUMN(CT!B222)-1),"")</f>
        <v/>
      </c>
      <c r="C226" s="77" t="str">
        <f ca="1">IF(MOD(ROW(),2)=1, OFFSET(CT!$A$1,INT(ROW()/2)+1,COLUMN(CT!C222)-1),"")</f>
        <v/>
      </c>
      <c r="D226" s="23" t="str">
        <f ca="1">OFFSET(CT!$A$1,INT((ROW()+1)/2),IF(MOD(ROW(),2)=1,COLUMN(CT!$D$5)-1,COLUMN(CT!$E$5)-1))</f>
        <v>6421</v>
      </c>
      <c r="E226" s="78">
        <f ca="1">IF(MOD(ROW(),2)=1,OFFSET(CT!$A$1,INT(ROW()/2)+1,COLUMN(CT!$H$3)-1),0)</f>
        <v>0</v>
      </c>
      <c r="F226" s="78">
        <f ca="1">IF(MOD(ROW(),2)=0,OFFSET(CT!$A$1,INT(ROW()/2),COLUMN(CT!$H$3)-1),0)</f>
        <v>3044653</v>
      </c>
      <c r="G226" s="153" t="str">
        <f ca="1">IF(OFFSET(CT!$A$1,INT((ROW()+1)/2),COLUMN(CT!$N$3)-1)="No","False","True")</f>
        <v>True</v>
      </c>
    </row>
    <row r="227" spans="1:7" ht="15.6" x14ac:dyDescent="0.3">
      <c r="A227" s="77">
        <f ca="1">IF(MOD(ROW(),2)=1, OFFSET(CT!$A$1,INT(ROW()/2)+1,COLUMN(CT!A223)-1),"")</f>
        <v>45322</v>
      </c>
      <c r="B227" s="77" t="str">
        <f ca="1">IF(MOD(ROW(),2)=1, OFFSET(CT!$A$1,INT(ROW()/2)+1,COLUMN(CT!B223)-1),"")</f>
        <v>TH3</v>
      </c>
      <c r="C227" s="77" t="str">
        <f ca="1">IF(MOD(ROW(),2)=1, OFFSET(CT!$A$1,INT(ROW()/2)+1,COLUMN(CT!C223)-1),"")</f>
        <v>Kết chuyển CFNVL vào TK154</v>
      </c>
      <c r="D227" s="23" t="str">
        <f ca="1">OFFSET(CT!$A$1,INT((ROW()+1)/2),IF(MOD(ROW(),2)=1,COLUMN(CT!$D$5)-1,COLUMN(CT!$E$5)-1))</f>
        <v>154.03</v>
      </c>
      <c r="E227" s="78">
        <f ca="1">IF(MOD(ROW(),2)=1,OFFSET(CT!$A$1,INT(ROW()/2)+1,COLUMN(CT!$H$3)-1),0)</f>
        <v>3646000</v>
      </c>
      <c r="F227" s="78">
        <f ca="1">IF(MOD(ROW(),2)=0,OFFSET(CT!$A$1,INT(ROW()/2),COLUMN(CT!$H$3)-1),0)</f>
        <v>0</v>
      </c>
      <c r="G227" s="153" t="str">
        <f ca="1">IF(OFFSET(CT!$A$1,INT((ROW()+1)/2),COLUMN(CT!$N$3)-1)="No","False","True")</f>
        <v>True</v>
      </c>
    </row>
    <row r="228" spans="1:7" ht="15.6" x14ac:dyDescent="0.3">
      <c r="A228" s="77" t="str">
        <f ca="1">IF(MOD(ROW(),2)=1, OFFSET(CT!$A$1,INT(ROW()/2)+1,COLUMN(CT!A224)-1),"")</f>
        <v/>
      </c>
      <c r="B228" s="77" t="str">
        <f ca="1">IF(MOD(ROW(),2)=1, OFFSET(CT!$A$1,INT(ROW()/2)+1,COLUMN(CT!B224)-1),"")</f>
        <v/>
      </c>
      <c r="C228" s="77" t="str">
        <f ca="1">IF(MOD(ROW(),2)=1, OFFSET(CT!$A$1,INT(ROW()/2)+1,COLUMN(CT!C224)-1),"")</f>
        <v/>
      </c>
      <c r="D228" s="23" t="str">
        <f ca="1">OFFSET(CT!$A$1,INT((ROW()+1)/2),IF(MOD(ROW(),2)=1,COLUMN(CT!$D$5)-1,COLUMN(CT!$E$5)-1))</f>
        <v>6211.03</v>
      </c>
      <c r="E228" s="78">
        <f ca="1">IF(MOD(ROW(),2)=1,OFFSET(CT!$A$1,INT(ROW()/2)+1,COLUMN(CT!$H$3)-1),0)</f>
        <v>0</v>
      </c>
      <c r="F228" s="78">
        <f ca="1">IF(MOD(ROW(),2)=0,OFFSET(CT!$A$1,INT(ROW()/2),COLUMN(CT!$H$3)-1),0)</f>
        <v>3646000</v>
      </c>
      <c r="G228" s="153" t="str">
        <f ca="1">IF(OFFSET(CT!$A$1,INT((ROW()+1)/2),COLUMN(CT!$N$3)-1)="No","False","True")</f>
        <v>True</v>
      </c>
    </row>
    <row r="229" spans="1:7" ht="15.6" x14ac:dyDescent="0.3">
      <c r="A229" s="77">
        <f ca="1">IF(MOD(ROW(),2)=1, OFFSET(CT!$A$1,INT(ROW()/2)+1,COLUMN(CT!A225)-1),"")</f>
        <v>45322</v>
      </c>
      <c r="B229" s="77" t="str">
        <f ca="1">IF(MOD(ROW(),2)=1, OFFSET(CT!$A$1,INT(ROW()/2)+1,COLUMN(CT!B225)-1),"")</f>
        <v>TH1</v>
      </c>
      <c r="C229" s="77" t="str">
        <f ca="1">IF(MOD(ROW(),2)=1, OFFSET(CT!$A$1,INT(ROW()/2)+1,COLUMN(CT!C225)-1),"")</f>
        <v>Tính lương vào chi phí</v>
      </c>
      <c r="D229" s="23" t="str">
        <f ca="1">OFFSET(CT!$A$1,INT((ROW()+1)/2),IF(MOD(ROW(),2)=1,COLUMN(CT!$D$5)-1,COLUMN(CT!$E$5)-1))</f>
        <v>6411</v>
      </c>
      <c r="E229" s="78">
        <f ca="1">IF(MOD(ROW(),2)=1,OFFSET(CT!$A$1,INT(ROW()/2)+1,COLUMN(CT!$H$3)-1),0)</f>
        <v>5000000</v>
      </c>
      <c r="F229" s="78">
        <f ca="1">IF(MOD(ROW(),2)=0,OFFSET(CT!$A$1,INT(ROW()/2),COLUMN(CT!$H$3)-1),0)</f>
        <v>0</v>
      </c>
      <c r="G229" s="153" t="str">
        <f ca="1">IF(OFFSET(CT!$A$1,INT((ROW()+1)/2),COLUMN(CT!$N$3)-1)="No","False","True")</f>
        <v>True</v>
      </c>
    </row>
    <row r="230" spans="1:7" ht="15.6" x14ac:dyDescent="0.3">
      <c r="A230" s="77" t="str">
        <f ca="1">IF(MOD(ROW(),2)=1, OFFSET(CT!$A$1,INT(ROW()/2)+1,COLUMN(CT!A226)-1),"")</f>
        <v/>
      </c>
      <c r="B230" s="77" t="str">
        <f ca="1">IF(MOD(ROW(),2)=1, OFFSET(CT!$A$1,INT(ROW()/2)+1,COLUMN(CT!B226)-1),"")</f>
        <v/>
      </c>
      <c r="C230" s="77" t="str">
        <f ca="1">IF(MOD(ROW(),2)=1, OFFSET(CT!$A$1,INT(ROW()/2)+1,COLUMN(CT!C226)-1),"")</f>
        <v/>
      </c>
      <c r="D230" s="23" t="str">
        <f ca="1">OFFSET(CT!$A$1,INT((ROW()+1)/2),IF(MOD(ROW(),2)=1,COLUMN(CT!$D$5)-1,COLUMN(CT!$E$5)-1))</f>
        <v>3348.02</v>
      </c>
      <c r="E230" s="78">
        <f ca="1">IF(MOD(ROW(),2)=1,OFFSET(CT!$A$1,INT(ROW()/2)+1,COLUMN(CT!$H$3)-1),0)</f>
        <v>0</v>
      </c>
      <c r="F230" s="78">
        <f ca="1">IF(MOD(ROW(),2)=0,OFFSET(CT!$A$1,INT(ROW()/2),COLUMN(CT!$H$3)-1),0)</f>
        <v>5000000</v>
      </c>
      <c r="G230" s="153" t="str">
        <f ca="1">IF(OFFSET(CT!$A$1,INT((ROW()+1)/2),COLUMN(CT!$N$3)-1)="No","False","True")</f>
        <v>True</v>
      </c>
    </row>
    <row r="231" spans="1:7" ht="15.6" x14ac:dyDescent="0.3">
      <c r="A231" s="77">
        <f ca="1">IF(MOD(ROW(),2)=1, OFFSET(CT!$A$1,INT(ROW()/2)+1,COLUMN(CT!A227)-1),"")</f>
        <v>45322</v>
      </c>
      <c r="B231" s="77" t="str">
        <f ca="1">IF(MOD(ROW(),2)=1, OFFSET(CT!$A$1,INT(ROW()/2)+1,COLUMN(CT!B227)-1),"")</f>
        <v>TH2</v>
      </c>
      <c r="C231" s="77" t="str">
        <f ca="1">IF(MOD(ROW(),2)=1, OFFSET(CT!$A$1,INT(ROW()/2)+1,COLUMN(CT!C227)-1),"")</f>
        <v>Tính các khoản trích theo lương vào chi phí</v>
      </c>
      <c r="D231" s="23" t="str">
        <f ca="1">OFFSET(CT!$A$1,INT((ROW()+1)/2),IF(MOD(ROW(),2)=1,COLUMN(CT!$D$5)-1,COLUMN(CT!$E$5)-1))</f>
        <v>6271</v>
      </c>
      <c r="E231" s="78">
        <f ca="1">IF(MOD(ROW(),2)=1,OFFSET(CT!$A$1,INT(ROW()/2)+1,COLUMN(CT!$H$3)-1),0)</f>
        <v>5600000</v>
      </c>
      <c r="F231" s="78">
        <f ca="1">IF(MOD(ROW(),2)=0,OFFSET(CT!$A$1,INT(ROW()/2),COLUMN(CT!$H$3)-1),0)</f>
        <v>0</v>
      </c>
      <c r="G231" s="153" t="str">
        <f ca="1">IF(OFFSET(CT!$A$1,INT((ROW()+1)/2),COLUMN(CT!$N$3)-1)="No","False","True")</f>
        <v>True</v>
      </c>
    </row>
    <row r="232" spans="1:7" ht="15.6" x14ac:dyDescent="0.3">
      <c r="A232" s="77" t="str">
        <f ca="1">IF(MOD(ROW(),2)=1, OFFSET(CT!$A$1,INT(ROW()/2)+1,COLUMN(CT!A228)-1),"")</f>
        <v/>
      </c>
      <c r="B232" s="77" t="str">
        <f ca="1">IF(MOD(ROW(),2)=1, OFFSET(CT!$A$1,INT(ROW()/2)+1,COLUMN(CT!B228)-1),"")</f>
        <v/>
      </c>
      <c r="C232" s="77" t="str">
        <f ca="1">IF(MOD(ROW(),2)=1, OFFSET(CT!$A$1,INT(ROW()/2)+1,COLUMN(CT!C228)-1),"")</f>
        <v/>
      </c>
      <c r="D232" s="23" t="str">
        <f ca="1">OFFSET(CT!$A$1,INT((ROW()+1)/2),IF(MOD(ROW(),2)=1,COLUMN(CT!$D$5)-1,COLUMN(CT!$E$5)-1))</f>
        <v>3383</v>
      </c>
      <c r="E232" s="78">
        <f ca="1">IF(MOD(ROW(),2)=1,OFFSET(CT!$A$1,INT(ROW()/2)+1,COLUMN(CT!$H$3)-1),0)</f>
        <v>0</v>
      </c>
      <c r="F232" s="78">
        <f ca="1">IF(MOD(ROW(),2)=0,OFFSET(CT!$A$1,INT(ROW()/2),COLUMN(CT!$H$3)-1),0)</f>
        <v>5600000</v>
      </c>
      <c r="G232" s="153" t="str">
        <f ca="1">IF(OFFSET(CT!$A$1,INT((ROW()+1)/2),COLUMN(CT!$N$3)-1)="No","False","True")</f>
        <v>True</v>
      </c>
    </row>
    <row r="233" spans="1:7" ht="15.6" x14ac:dyDescent="0.3">
      <c r="A233" s="77">
        <f ca="1">IF(MOD(ROW(),2)=1, OFFSET(CT!$A$1,INT(ROW()/2)+1,COLUMN(CT!A229)-1),"")</f>
        <v>45322</v>
      </c>
      <c r="B233" s="77" t="str">
        <f ca="1">IF(MOD(ROW(),2)=1, OFFSET(CT!$A$1,INT(ROW()/2)+1,COLUMN(CT!B229)-1),"")</f>
        <v>TH2</v>
      </c>
      <c r="C233" s="77" t="str">
        <f ca="1">IF(MOD(ROW(),2)=1, OFFSET(CT!$A$1,INT(ROW()/2)+1,COLUMN(CT!C229)-1),"")</f>
        <v>Tính các khoản trích theo lương vào chi phí</v>
      </c>
      <c r="D233" s="23" t="str">
        <f ca="1">OFFSET(CT!$A$1,INT((ROW()+1)/2),IF(MOD(ROW(),2)=1,COLUMN(CT!$D$5)-1,COLUMN(CT!$E$5)-1))</f>
        <v>622.01</v>
      </c>
      <c r="E233" s="78">
        <f ca="1">IF(MOD(ROW(),2)=1,OFFSET(CT!$A$1,INT(ROW()/2)+1,COLUMN(CT!$H$3)-1),0)</f>
        <v>6400000</v>
      </c>
      <c r="F233" s="78">
        <f ca="1">IF(MOD(ROW(),2)=0,OFFSET(CT!$A$1,INT(ROW()/2),COLUMN(CT!$H$3)-1),0)</f>
        <v>0</v>
      </c>
      <c r="G233" s="153" t="str">
        <f ca="1">IF(OFFSET(CT!$A$1,INT((ROW()+1)/2),COLUMN(CT!$N$3)-1)="No","False","True")</f>
        <v>True</v>
      </c>
    </row>
    <row r="234" spans="1:7" ht="15.6" x14ac:dyDescent="0.3">
      <c r="A234" s="77" t="str">
        <f ca="1">IF(MOD(ROW(),2)=1, OFFSET(CT!$A$1,INT(ROW()/2)+1,COLUMN(CT!A230)-1),"")</f>
        <v/>
      </c>
      <c r="B234" s="77" t="str">
        <f ca="1">IF(MOD(ROW(),2)=1, OFFSET(CT!$A$1,INT(ROW()/2)+1,COLUMN(CT!B230)-1),"")</f>
        <v/>
      </c>
      <c r="C234" s="77" t="str">
        <f ca="1">IF(MOD(ROW(),2)=1, OFFSET(CT!$A$1,INT(ROW()/2)+1,COLUMN(CT!C230)-1),"")</f>
        <v/>
      </c>
      <c r="D234" s="23" t="str">
        <f ca="1">OFFSET(CT!$A$1,INT((ROW()+1)/2),IF(MOD(ROW(),2)=1,COLUMN(CT!$D$5)-1,COLUMN(CT!$E$5)-1))</f>
        <v>3383</v>
      </c>
      <c r="E234" s="78">
        <f ca="1">IF(MOD(ROW(),2)=1,OFFSET(CT!$A$1,INT(ROW()/2)+1,COLUMN(CT!$H$3)-1),0)</f>
        <v>0</v>
      </c>
      <c r="F234" s="78">
        <f ca="1">IF(MOD(ROW(),2)=0,OFFSET(CT!$A$1,INT(ROW()/2),COLUMN(CT!$H$3)-1),0)</f>
        <v>6400000</v>
      </c>
      <c r="G234" s="153" t="str">
        <f ca="1">IF(OFFSET(CT!$A$1,INT((ROW()+1)/2),COLUMN(CT!$N$3)-1)="No","False","True")</f>
        <v>True</v>
      </c>
    </row>
    <row r="235" spans="1:7" ht="15.6" x14ac:dyDescent="0.3">
      <c r="A235" s="77">
        <f ca="1">IF(MOD(ROW(),2)=1, OFFSET(CT!$A$1,INT(ROW()/2)+1,COLUMN(CT!A231)-1),"")</f>
        <v>45322</v>
      </c>
      <c r="B235" s="77" t="str">
        <f ca="1">IF(MOD(ROW(),2)=1, OFFSET(CT!$A$1,INT(ROW()/2)+1,COLUMN(CT!B231)-1),"")</f>
        <v>TH2</v>
      </c>
      <c r="C235" s="77" t="str">
        <f ca="1">IF(MOD(ROW(),2)=1, OFFSET(CT!$A$1,INT(ROW()/2)+1,COLUMN(CT!C231)-1),"")</f>
        <v>Tính các khoản trích theo lương vào chi phí</v>
      </c>
      <c r="D235" s="23" t="str">
        <f ca="1">OFFSET(CT!$A$1,INT((ROW()+1)/2),IF(MOD(ROW(),2)=1,COLUMN(CT!$D$5)-1,COLUMN(CT!$E$5)-1))</f>
        <v>622.02</v>
      </c>
      <c r="E235" s="78">
        <f ca="1">IF(MOD(ROW(),2)=1,OFFSET(CT!$A$1,INT(ROW()/2)+1,COLUMN(CT!$H$3)-1),0)</f>
        <v>6400000</v>
      </c>
      <c r="F235" s="78">
        <f ca="1">IF(MOD(ROW(),2)=0,OFFSET(CT!$A$1,INT(ROW()/2),COLUMN(CT!$H$3)-1),0)</f>
        <v>0</v>
      </c>
      <c r="G235" s="153" t="str">
        <f ca="1">IF(OFFSET(CT!$A$1,INT((ROW()+1)/2),COLUMN(CT!$N$3)-1)="No","False","True")</f>
        <v>True</v>
      </c>
    </row>
    <row r="236" spans="1:7" ht="15.6" x14ac:dyDescent="0.3">
      <c r="A236" s="77" t="str">
        <f ca="1">IF(MOD(ROW(),2)=1, OFFSET(CT!$A$1,INT(ROW()/2)+1,COLUMN(CT!A232)-1),"")</f>
        <v/>
      </c>
      <c r="B236" s="77" t="str">
        <f ca="1">IF(MOD(ROW(),2)=1, OFFSET(CT!$A$1,INT(ROW()/2)+1,COLUMN(CT!B232)-1),"")</f>
        <v/>
      </c>
      <c r="C236" s="77" t="str">
        <f ca="1">IF(MOD(ROW(),2)=1, OFFSET(CT!$A$1,INT(ROW()/2)+1,COLUMN(CT!C232)-1),"")</f>
        <v/>
      </c>
      <c r="D236" s="23" t="str">
        <f ca="1">OFFSET(CT!$A$1,INT((ROW()+1)/2),IF(MOD(ROW(),2)=1,COLUMN(CT!$D$5)-1,COLUMN(CT!$E$5)-1))</f>
        <v>3383</v>
      </c>
      <c r="E236" s="78">
        <f ca="1">IF(MOD(ROW(),2)=1,OFFSET(CT!$A$1,INT(ROW()/2)+1,COLUMN(CT!$H$3)-1),0)</f>
        <v>0</v>
      </c>
      <c r="F236" s="78">
        <f ca="1">IF(MOD(ROW(),2)=0,OFFSET(CT!$A$1,INT(ROW()/2),COLUMN(CT!$H$3)-1),0)</f>
        <v>6400000</v>
      </c>
      <c r="G236" s="153" t="str">
        <f ca="1">IF(OFFSET(CT!$A$1,INT((ROW()+1)/2),COLUMN(CT!$N$3)-1)="No","False","True")</f>
        <v>True</v>
      </c>
    </row>
    <row r="237" spans="1:7" ht="15.6" x14ac:dyDescent="0.3">
      <c r="A237" s="77">
        <f ca="1">IF(MOD(ROW(),2)=1, OFFSET(CT!$A$1,INT(ROW()/2)+1,COLUMN(CT!A233)-1),"")</f>
        <v>45322</v>
      </c>
      <c r="B237" s="77" t="str">
        <f ca="1">IF(MOD(ROW(),2)=1, OFFSET(CT!$A$1,INT(ROW()/2)+1,COLUMN(CT!B233)-1),"")</f>
        <v>TH2</v>
      </c>
      <c r="C237" s="77" t="str">
        <f ca="1">IF(MOD(ROW(),2)=1, OFFSET(CT!$A$1,INT(ROW()/2)+1,COLUMN(CT!C233)-1),"")</f>
        <v>Tính các khoản trích theo lương vào chi phí</v>
      </c>
      <c r="D237" s="23" t="str">
        <f ca="1">OFFSET(CT!$A$1,INT((ROW()+1)/2),IF(MOD(ROW(),2)=1,COLUMN(CT!$D$5)-1,COLUMN(CT!$E$5)-1))</f>
        <v>622.03</v>
      </c>
      <c r="E237" s="78">
        <f ca="1">IF(MOD(ROW(),2)=1,OFFSET(CT!$A$1,INT(ROW()/2)+1,COLUMN(CT!$H$3)-1),0)</f>
        <v>6400000</v>
      </c>
      <c r="F237" s="78">
        <f ca="1">IF(MOD(ROW(),2)=0,OFFSET(CT!$A$1,INT(ROW()/2),COLUMN(CT!$H$3)-1),0)</f>
        <v>0</v>
      </c>
      <c r="G237" s="153" t="str">
        <f ca="1">IF(OFFSET(CT!$A$1,INT((ROW()+1)/2),COLUMN(CT!$N$3)-1)="No","False","True")</f>
        <v>True</v>
      </c>
    </row>
    <row r="238" spans="1:7" ht="15.6" x14ac:dyDescent="0.3">
      <c r="A238" s="77" t="str">
        <f ca="1">IF(MOD(ROW(),2)=1, OFFSET(CT!$A$1,INT(ROW()/2)+1,COLUMN(CT!A234)-1),"")</f>
        <v/>
      </c>
      <c r="B238" s="77" t="str">
        <f ca="1">IF(MOD(ROW(),2)=1, OFFSET(CT!$A$1,INT(ROW()/2)+1,COLUMN(CT!B234)-1),"")</f>
        <v/>
      </c>
      <c r="C238" s="77" t="str">
        <f ca="1">IF(MOD(ROW(),2)=1, OFFSET(CT!$A$1,INT(ROW()/2)+1,COLUMN(CT!C234)-1),"")</f>
        <v/>
      </c>
      <c r="D238" s="23" t="str">
        <f ca="1">OFFSET(CT!$A$1,INT((ROW()+1)/2),IF(MOD(ROW(),2)=1,COLUMN(CT!$D$5)-1,COLUMN(CT!$E$5)-1))</f>
        <v>3383</v>
      </c>
      <c r="E238" s="78">
        <f ca="1">IF(MOD(ROW(),2)=1,OFFSET(CT!$A$1,INT(ROW()/2)+1,COLUMN(CT!$H$3)-1),0)</f>
        <v>0</v>
      </c>
      <c r="F238" s="78">
        <f ca="1">IF(MOD(ROW(),2)=0,OFFSET(CT!$A$1,INT(ROW()/2),COLUMN(CT!$H$3)-1),0)</f>
        <v>6400000</v>
      </c>
      <c r="G238" s="153" t="str">
        <f ca="1">IF(OFFSET(CT!$A$1,INT((ROW()+1)/2),COLUMN(CT!$N$3)-1)="No","False","True")</f>
        <v>True</v>
      </c>
    </row>
    <row r="239" spans="1:7" ht="15.6" x14ac:dyDescent="0.3">
      <c r="A239" s="77">
        <f ca="1">IF(MOD(ROW(),2)=1, OFFSET(CT!$A$1,INT(ROW()/2)+1,COLUMN(CT!A235)-1),"")</f>
        <v>45322</v>
      </c>
      <c r="B239" s="77" t="str">
        <f ca="1">IF(MOD(ROW(),2)=1, OFFSET(CT!$A$1,INT(ROW()/2)+1,COLUMN(CT!B235)-1),"")</f>
        <v>TH2</v>
      </c>
      <c r="C239" s="77" t="str">
        <f ca="1">IF(MOD(ROW(),2)=1, OFFSET(CT!$A$1,INT(ROW()/2)+1,COLUMN(CT!C235)-1),"")</f>
        <v>Tính các khoản trích theo lương vào chi phí</v>
      </c>
      <c r="D239" s="23" t="str">
        <f ca="1">OFFSET(CT!$A$1,INT((ROW()+1)/2),IF(MOD(ROW(),2)=1,COLUMN(CT!$D$5)-1,COLUMN(CT!$E$5)-1))</f>
        <v>622.04</v>
      </c>
      <c r="E239" s="78">
        <f ca="1">IF(MOD(ROW(),2)=1,OFFSET(CT!$A$1,INT(ROW()/2)+1,COLUMN(CT!$H$3)-1),0)</f>
        <v>6400000</v>
      </c>
      <c r="F239" s="78">
        <f ca="1">IF(MOD(ROW(),2)=0,OFFSET(CT!$A$1,INT(ROW()/2),COLUMN(CT!$H$3)-1),0)</f>
        <v>0</v>
      </c>
      <c r="G239" s="153" t="str">
        <f ca="1">IF(OFFSET(CT!$A$1,INT((ROW()+1)/2),COLUMN(CT!$N$3)-1)="No","False","True")</f>
        <v>True</v>
      </c>
    </row>
    <row r="240" spans="1:7" ht="15.6" x14ac:dyDescent="0.3">
      <c r="A240" s="77" t="str">
        <f ca="1">IF(MOD(ROW(),2)=1, OFFSET(CT!$A$1,INT(ROW()/2)+1,COLUMN(CT!A236)-1),"")</f>
        <v/>
      </c>
      <c r="B240" s="77" t="str">
        <f ca="1">IF(MOD(ROW(),2)=1, OFFSET(CT!$A$1,INT(ROW()/2)+1,COLUMN(CT!B236)-1),"")</f>
        <v/>
      </c>
      <c r="C240" s="77" t="str">
        <f ca="1">IF(MOD(ROW(),2)=1, OFFSET(CT!$A$1,INT(ROW()/2)+1,COLUMN(CT!C236)-1),"")</f>
        <v/>
      </c>
      <c r="D240" s="23" t="str">
        <f ca="1">OFFSET(CT!$A$1,INT((ROW()+1)/2),IF(MOD(ROW(),2)=1,COLUMN(CT!$D$5)-1,COLUMN(CT!$E$5)-1))</f>
        <v>3383</v>
      </c>
      <c r="E240" s="78">
        <f ca="1">IF(MOD(ROW(),2)=1,OFFSET(CT!$A$1,INT(ROW()/2)+1,COLUMN(CT!$H$3)-1),0)</f>
        <v>0</v>
      </c>
      <c r="F240" s="78">
        <f ca="1">IF(MOD(ROW(),2)=0,OFFSET(CT!$A$1,INT(ROW()/2),COLUMN(CT!$H$3)-1),0)</f>
        <v>6400000</v>
      </c>
      <c r="G240" s="153" t="str">
        <f ca="1">IF(OFFSET(CT!$A$1,INT((ROW()+1)/2),COLUMN(CT!$N$3)-1)="No","False","True")</f>
        <v>True</v>
      </c>
    </row>
    <row r="241" spans="1:7" ht="15.6" x14ac:dyDescent="0.3">
      <c r="A241" s="77">
        <f ca="1">IF(MOD(ROW(),2)=1, OFFSET(CT!$A$1,INT(ROW()/2)+1,COLUMN(CT!A237)-1),"")</f>
        <v>45322</v>
      </c>
      <c r="B241" s="77" t="str">
        <f ca="1">IF(MOD(ROW(),2)=1, OFFSET(CT!$A$1,INT(ROW()/2)+1,COLUMN(CT!B237)-1),"")</f>
        <v>TH2</v>
      </c>
      <c r="C241" s="77" t="str">
        <f ca="1">IF(MOD(ROW(),2)=1, OFFSET(CT!$A$1,INT(ROW()/2)+1,COLUMN(CT!C237)-1),"")</f>
        <v>Tính các khoản trích theo lương vào chi phí</v>
      </c>
      <c r="D241" s="23" t="str">
        <f ca="1">OFFSET(CT!$A$1,INT((ROW()+1)/2),IF(MOD(ROW(),2)=1,COLUMN(CT!$D$5)-1,COLUMN(CT!$E$5)-1))</f>
        <v>622.05</v>
      </c>
      <c r="E241" s="78">
        <f ca="1">IF(MOD(ROW(),2)=1,OFFSET(CT!$A$1,INT(ROW()/2)+1,COLUMN(CT!$H$3)-1),0)</f>
        <v>6400000</v>
      </c>
      <c r="F241" s="78">
        <f ca="1">IF(MOD(ROW(),2)=0,OFFSET(CT!$A$1,INT(ROW()/2),COLUMN(CT!$H$3)-1),0)</f>
        <v>0</v>
      </c>
      <c r="G241" s="153" t="str">
        <f ca="1">IF(OFFSET(CT!$A$1,INT((ROW()+1)/2),COLUMN(CT!$N$3)-1)="No","False","True")</f>
        <v>True</v>
      </c>
    </row>
    <row r="242" spans="1:7" ht="15.6" x14ac:dyDescent="0.3">
      <c r="A242" s="77" t="str">
        <f ca="1">IF(MOD(ROW(),2)=1, OFFSET(CT!$A$1,INT(ROW()/2)+1,COLUMN(CT!A238)-1),"")</f>
        <v/>
      </c>
      <c r="B242" s="77" t="str">
        <f ca="1">IF(MOD(ROW(),2)=1, OFFSET(CT!$A$1,INT(ROW()/2)+1,COLUMN(CT!B238)-1),"")</f>
        <v/>
      </c>
      <c r="C242" s="77" t="str">
        <f ca="1">IF(MOD(ROW(),2)=1, OFFSET(CT!$A$1,INT(ROW()/2)+1,COLUMN(CT!C238)-1),"")</f>
        <v/>
      </c>
      <c r="D242" s="23" t="str">
        <f ca="1">OFFSET(CT!$A$1,INT((ROW()+1)/2),IF(MOD(ROW(),2)=1,COLUMN(CT!$D$5)-1,COLUMN(CT!$E$5)-1))</f>
        <v>3383</v>
      </c>
      <c r="E242" s="78">
        <f ca="1">IF(MOD(ROW(),2)=1,OFFSET(CT!$A$1,INT(ROW()/2)+1,COLUMN(CT!$H$3)-1),0)</f>
        <v>0</v>
      </c>
      <c r="F242" s="78">
        <f ca="1">IF(MOD(ROW(),2)=0,OFFSET(CT!$A$1,INT(ROW()/2),COLUMN(CT!$H$3)-1),0)</f>
        <v>6400000</v>
      </c>
      <c r="G242" s="153" t="str">
        <f ca="1">IF(OFFSET(CT!$A$1,INT((ROW()+1)/2),COLUMN(CT!$N$3)-1)="No","False","True")</f>
        <v>True</v>
      </c>
    </row>
    <row r="243" spans="1:7" ht="15.6" x14ac:dyDescent="0.3">
      <c r="A243" s="77">
        <f ca="1">IF(MOD(ROW(),2)=1, OFFSET(CT!$A$1,INT(ROW()/2)+1,COLUMN(CT!A239)-1),"")</f>
        <v>45322</v>
      </c>
      <c r="B243" s="77" t="str">
        <f ca="1">IF(MOD(ROW(),2)=1, OFFSET(CT!$A$1,INT(ROW()/2)+1,COLUMN(CT!B239)-1),"")</f>
        <v>TH1</v>
      </c>
      <c r="C243" s="77" t="str">
        <f ca="1">IF(MOD(ROW(),2)=1, OFFSET(CT!$A$1,INT(ROW()/2)+1,COLUMN(CT!C239)-1),"")</f>
        <v>Tính lương vào chi phí</v>
      </c>
      <c r="D243" s="23" t="str">
        <f ca="1">OFFSET(CT!$A$1,INT((ROW()+1)/2),IF(MOD(ROW(),2)=1,COLUMN(CT!$D$5)-1,COLUMN(CT!$E$5)-1))</f>
        <v>6421</v>
      </c>
      <c r="E243" s="78">
        <f ca="1">IF(MOD(ROW(),2)=1,OFFSET(CT!$A$1,INT(ROW()/2)+1,COLUMN(CT!$H$3)-1),0)</f>
        <v>7000000</v>
      </c>
      <c r="F243" s="78">
        <f ca="1">IF(MOD(ROW(),2)=0,OFFSET(CT!$A$1,INT(ROW()/2),COLUMN(CT!$H$3)-1),0)</f>
        <v>0</v>
      </c>
      <c r="G243" s="153" t="str">
        <f ca="1">IF(OFFSET(CT!$A$1,INT((ROW()+1)/2),COLUMN(CT!$N$3)-1)="No","False","True")</f>
        <v>True</v>
      </c>
    </row>
    <row r="244" spans="1:7" ht="15.6" x14ac:dyDescent="0.3">
      <c r="A244" s="77" t="str">
        <f ca="1">IF(MOD(ROW(),2)=1, OFFSET(CT!$A$1,INT(ROW()/2)+1,COLUMN(CT!A240)-1),"")</f>
        <v/>
      </c>
      <c r="B244" s="77" t="str">
        <f ca="1">IF(MOD(ROW(),2)=1, OFFSET(CT!$A$1,INT(ROW()/2)+1,COLUMN(CT!B240)-1),"")</f>
        <v/>
      </c>
      <c r="C244" s="77" t="str">
        <f ca="1">IF(MOD(ROW(),2)=1, OFFSET(CT!$A$1,INT(ROW()/2)+1,COLUMN(CT!C240)-1),"")</f>
        <v/>
      </c>
      <c r="D244" s="23" t="str">
        <f ca="1">OFFSET(CT!$A$1,INT((ROW()+1)/2),IF(MOD(ROW(),2)=1,COLUMN(CT!$D$5)-1,COLUMN(CT!$E$5)-1))</f>
        <v>3348.03</v>
      </c>
      <c r="E244" s="78">
        <f ca="1">IF(MOD(ROW(),2)=1,OFFSET(CT!$A$1,INT(ROW()/2)+1,COLUMN(CT!$H$3)-1),0)</f>
        <v>0</v>
      </c>
      <c r="F244" s="78">
        <f ca="1">IF(MOD(ROW(),2)=0,OFFSET(CT!$A$1,INT(ROW()/2),COLUMN(CT!$H$3)-1),0)</f>
        <v>7000000</v>
      </c>
      <c r="G244" s="153" t="str">
        <f ca="1">IF(OFFSET(CT!$A$1,INT((ROW()+1)/2),COLUMN(CT!$N$3)-1)="No","False","True")</f>
        <v>True</v>
      </c>
    </row>
    <row r="245" spans="1:7" ht="15.6" x14ac:dyDescent="0.3">
      <c r="A245" s="77">
        <f ca="1">IF(MOD(ROW(),2)=1, OFFSET(CT!$A$1,INT(ROW()/2)+1,COLUMN(CT!A241)-1),"")</f>
        <v>45322</v>
      </c>
      <c r="B245" s="77" t="str">
        <f ca="1">IF(MOD(ROW(),2)=1, OFFSET(CT!$A$1,INT(ROW()/2)+1,COLUMN(CT!B241)-1),"")</f>
        <v>TH5</v>
      </c>
      <c r="C245" s="77" t="str">
        <f ca="1">IF(MOD(ROW(),2)=1, OFFSET(CT!$A$1,INT(ROW()/2)+1,COLUMN(CT!C241)-1),"")</f>
        <v>Kết chuyển CFC vào TK154</v>
      </c>
      <c r="D245" s="23" t="str">
        <f ca="1">OFFSET(CT!$A$1,INT((ROW()+1)/2),IF(MOD(ROW(),2)=1,COLUMN(CT!$D$5)-1,COLUMN(CT!$E$5)-1))</f>
        <v>154.03</v>
      </c>
      <c r="E245" s="78">
        <f ca="1">IF(MOD(ROW(),2)=1,OFFSET(CT!$A$1,INT(ROW()/2)+1,COLUMN(CT!$H$3)-1),0)</f>
        <v>8611709</v>
      </c>
      <c r="F245" s="78">
        <f ca="1">IF(MOD(ROW(),2)=0,OFFSET(CT!$A$1,INT(ROW()/2),COLUMN(CT!$H$3)-1),0)</f>
        <v>0</v>
      </c>
      <c r="G245" s="153" t="str">
        <f ca="1">IF(OFFSET(CT!$A$1,INT((ROW()+1)/2),COLUMN(CT!$N$3)-1)="No","False","True")</f>
        <v>True</v>
      </c>
    </row>
    <row r="246" spans="1:7" ht="15.6" x14ac:dyDescent="0.3">
      <c r="A246" s="77" t="str">
        <f ca="1">IF(MOD(ROW(),2)=1, OFFSET(CT!$A$1,INT(ROW()/2)+1,COLUMN(CT!A242)-1),"")</f>
        <v/>
      </c>
      <c r="B246" s="77" t="str">
        <f ca="1">IF(MOD(ROW(),2)=1, OFFSET(CT!$A$1,INT(ROW()/2)+1,COLUMN(CT!B242)-1),"")</f>
        <v/>
      </c>
      <c r="C246" s="77" t="str">
        <f ca="1">IF(MOD(ROW(),2)=1, OFFSET(CT!$A$1,INT(ROW()/2)+1,COLUMN(CT!C242)-1),"")</f>
        <v/>
      </c>
      <c r="D246" s="23" t="str">
        <f ca="1">OFFSET(CT!$A$1,INT((ROW()+1)/2),IF(MOD(ROW(),2)=1,COLUMN(CT!$D$5)-1,COLUMN(CT!$E$5)-1))</f>
        <v>6271</v>
      </c>
      <c r="E246" s="78">
        <f ca="1">IF(MOD(ROW(),2)=1,OFFSET(CT!$A$1,INT(ROW()/2)+1,COLUMN(CT!$H$3)-1),0)</f>
        <v>0</v>
      </c>
      <c r="F246" s="78">
        <f ca="1">IF(MOD(ROW(),2)=0,OFFSET(CT!$A$1,INT(ROW()/2),COLUMN(CT!$H$3)-1),0)</f>
        <v>8611709</v>
      </c>
      <c r="G246" s="153" t="str">
        <f ca="1">IF(OFFSET(CT!$A$1,INT((ROW()+1)/2),COLUMN(CT!$N$3)-1)="No","False","True")</f>
        <v>True</v>
      </c>
    </row>
    <row r="247" spans="1:7" ht="15.6" x14ac:dyDescent="0.3">
      <c r="A247" s="77">
        <f ca="1">IF(MOD(ROW(),2)=1, OFFSET(CT!$A$1,INT(ROW()/2)+1,COLUMN(CT!A243)-1),"")</f>
        <v>45322</v>
      </c>
      <c r="B247" s="77" t="str">
        <f ca="1">IF(MOD(ROW(),2)=1, OFFSET(CT!$A$1,INT(ROW()/2)+1,COLUMN(CT!B243)-1),"")</f>
        <v>TH3</v>
      </c>
      <c r="C247" s="77" t="str">
        <f ca="1">IF(MOD(ROW(),2)=1, OFFSET(CT!$A$1,INT(ROW()/2)+1,COLUMN(CT!C243)-1),"")</f>
        <v>Kết chuyển CFNVL vào TK154</v>
      </c>
      <c r="D247" s="23" t="str">
        <f ca="1">OFFSET(CT!$A$1,INT((ROW()+1)/2),IF(MOD(ROW(),2)=1,COLUMN(CT!$D$5)-1,COLUMN(CT!$E$5)-1))</f>
        <v>154.01</v>
      </c>
      <c r="E247" s="78">
        <f ca="1">IF(MOD(ROW(),2)=1,OFFSET(CT!$A$1,INT(ROW()/2)+1,COLUMN(CT!$H$3)-1),0)</f>
        <v>14432200</v>
      </c>
      <c r="F247" s="78">
        <f ca="1">IF(MOD(ROW(),2)=0,OFFSET(CT!$A$1,INT(ROW()/2),COLUMN(CT!$H$3)-1),0)</f>
        <v>0</v>
      </c>
      <c r="G247" s="153" t="str">
        <f ca="1">IF(OFFSET(CT!$A$1,INT((ROW()+1)/2),COLUMN(CT!$N$3)-1)="No","False","True")</f>
        <v>True</v>
      </c>
    </row>
    <row r="248" spans="1:7" ht="15.6" x14ac:dyDescent="0.3">
      <c r="A248" s="77" t="str">
        <f ca="1">IF(MOD(ROW(),2)=1, OFFSET(CT!$A$1,INT(ROW()/2)+1,COLUMN(CT!A244)-1),"")</f>
        <v/>
      </c>
      <c r="B248" s="77" t="str">
        <f ca="1">IF(MOD(ROW(),2)=1, OFFSET(CT!$A$1,INT(ROW()/2)+1,COLUMN(CT!B244)-1),"")</f>
        <v/>
      </c>
      <c r="C248" s="77" t="str">
        <f ca="1">IF(MOD(ROW(),2)=1, OFFSET(CT!$A$1,INT(ROW()/2)+1,COLUMN(CT!C244)-1),"")</f>
        <v/>
      </c>
      <c r="D248" s="23" t="str">
        <f ca="1">OFFSET(CT!$A$1,INT((ROW()+1)/2),IF(MOD(ROW(),2)=1,COLUMN(CT!$D$5)-1,COLUMN(CT!$E$5)-1))</f>
        <v>6211.01</v>
      </c>
      <c r="E248" s="78">
        <f ca="1">IF(MOD(ROW(),2)=1,OFFSET(CT!$A$1,INT(ROW()/2)+1,COLUMN(CT!$H$3)-1),0)</f>
        <v>0</v>
      </c>
      <c r="F248" s="78">
        <f ca="1">IF(MOD(ROW(),2)=0,OFFSET(CT!$A$1,INT(ROW()/2),COLUMN(CT!$H$3)-1),0)</f>
        <v>14432200</v>
      </c>
      <c r="G248" s="153" t="str">
        <f ca="1">IF(OFFSET(CT!$A$1,INT((ROW()+1)/2),COLUMN(CT!$N$3)-1)="No","False","True")</f>
        <v>True</v>
      </c>
    </row>
    <row r="249" spans="1:7" ht="15.6" x14ac:dyDescent="0.3">
      <c r="A249" s="77">
        <f ca="1">IF(MOD(ROW(),2)=1, OFFSET(CT!$A$1,INT(ROW()/2)+1,COLUMN(CT!A245)-1),"")</f>
        <v>45322</v>
      </c>
      <c r="B249" s="77" t="str">
        <f ca="1">IF(MOD(ROW(),2)=1, OFFSET(CT!$A$1,INT(ROW()/2)+1,COLUMN(CT!B245)-1),"")</f>
        <v>TH8</v>
      </c>
      <c r="C249" s="77" t="str">
        <f ca="1">IF(MOD(ROW(),2)=1, OFFSET(CT!$A$1,INT(ROW()/2)+1,COLUMN(CT!C245)-1),"")</f>
        <v>Kết chuyển CFGVHB vào TK911</v>
      </c>
      <c r="D249" s="23" t="str">
        <f ca="1">OFFSET(CT!$A$1,INT((ROW()+1)/2),IF(MOD(ROW(),2)=1,COLUMN(CT!$D$5)-1,COLUMN(CT!$E$5)-1))</f>
        <v>9111.0102</v>
      </c>
      <c r="E249" s="78">
        <f ca="1">IF(MOD(ROW(),2)=1,OFFSET(CT!$A$1,INT(ROW()/2)+1,COLUMN(CT!$H$3)-1),0)</f>
        <v>20346200</v>
      </c>
      <c r="F249" s="78">
        <f ca="1">IF(MOD(ROW(),2)=0,OFFSET(CT!$A$1,INT(ROW()/2),COLUMN(CT!$H$3)-1),0)</f>
        <v>0</v>
      </c>
      <c r="G249" s="153" t="str">
        <f ca="1">IF(OFFSET(CT!$A$1,INT((ROW()+1)/2),COLUMN(CT!$N$3)-1)="No","False","True")</f>
        <v>True</v>
      </c>
    </row>
    <row r="250" spans="1:7" ht="15.6" x14ac:dyDescent="0.3">
      <c r="A250" s="77" t="str">
        <f ca="1">IF(MOD(ROW(),2)=1, OFFSET(CT!$A$1,INT(ROW()/2)+1,COLUMN(CT!A246)-1),"")</f>
        <v/>
      </c>
      <c r="B250" s="77" t="str">
        <f ca="1">IF(MOD(ROW(),2)=1, OFFSET(CT!$A$1,INT(ROW()/2)+1,COLUMN(CT!B246)-1),"")</f>
        <v/>
      </c>
      <c r="C250" s="77" t="str">
        <f ca="1">IF(MOD(ROW(),2)=1, OFFSET(CT!$A$1,INT(ROW()/2)+1,COLUMN(CT!C246)-1),"")</f>
        <v/>
      </c>
      <c r="D250" s="23" t="str">
        <f ca="1">OFFSET(CT!$A$1,INT((ROW()+1)/2),IF(MOD(ROW(),2)=1,COLUMN(CT!$D$5)-1,COLUMN(CT!$E$5)-1))</f>
        <v>632.0102</v>
      </c>
      <c r="E250" s="78">
        <f ca="1">IF(MOD(ROW(),2)=1,OFFSET(CT!$A$1,INT(ROW()/2)+1,COLUMN(CT!$H$3)-1),0)</f>
        <v>0</v>
      </c>
      <c r="F250" s="78">
        <f ca="1">IF(MOD(ROW(),2)=0,OFFSET(CT!$A$1,INT(ROW()/2),COLUMN(CT!$H$3)-1),0)</f>
        <v>20346200</v>
      </c>
      <c r="G250" s="153" t="str">
        <f ca="1">IF(OFFSET(CT!$A$1,INT((ROW()+1)/2),COLUMN(CT!$N$3)-1)="No","False","True")</f>
        <v>True</v>
      </c>
    </row>
    <row r="251" spans="1:7" ht="15.6" x14ac:dyDescent="0.3">
      <c r="A251" s="77">
        <f ca="1">IF(MOD(ROW(),2)=1, OFFSET(CT!$A$1,INT(ROW()/2)+1,COLUMN(CT!A247)-1),"")</f>
        <v>45322</v>
      </c>
      <c r="B251" s="77" t="str">
        <f ca="1">IF(MOD(ROW(),2)=1, OFFSET(CT!$A$1,INT(ROW()/2)+1,COLUMN(CT!B247)-1),"")</f>
        <v>TH8</v>
      </c>
      <c r="C251" s="77" t="str">
        <f ca="1">IF(MOD(ROW(),2)=1, OFFSET(CT!$A$1,INT(ROW()/2)+1,COLUMN(CT!C247)-1),"")</f>
        <v>Kết chuyển CFGVHB vào TK911</v>
      </c>
      <c r="D251" s="23" t="str">
        <f ca="1">OFFSET(CT!$A$1,INT((ROW()+1)/2),IF(MOD(ROW(),2)=1,COLUMN(CT!$D$5)-1,COLUMN(CT!$E$5)-1))</f>
        <v>9111.0202</v>
      </c>
      <c r="E251" s="78">
        <f ca="1">IF(MOD(ROW(),2)=1,OFFSET(CT!$A$1,INT(ROW()/2)+1,COLUMN(CT!$H$3)-1),0)</f>
        <v>25000000</v>
      </c>
      <c r="F251" s="78">
        <f ca="1">IF(MOD(ROW(),2)=0,OFFSET(CT!$A$1,INT(ROW()/2),COLUMN(CT!$H$3)-1),0)</f>
        <v>0</v>
      </c>
      <c r="G251" s="153" t="str">
        <f ca="1">IF(OFFSET(CT!$A$1,INT((ROW()+1)/2),COLUMN(CT!$N$3)-1)="No","False","True")</f>
        <v>True</v>
      </c>
    </row>
    <row r="252" spans="1:7" ht="15.6" x14ac:dyDescent="0.3">
      <c r="A252" s="77" t="str">
        <f ca="1">IF(MOD(ROW(),2)=1, OFFSET(CT!$A$1,INT(ROW()/2)+1,COLUMN(CT!A248)-1),"")</f>
        <v/>
      </c>
      <c r="B252" s="77" t="str">
        <f ca="1">IF(MOD(ROW(),2)=1, OFFSET(CT!$A$1,INT(ROW()/2)+1,COLUMN(CT!B248)-1),"")</f>
        <v/>
      </c>
      <c r="C252" s="77" t="str">
        <f ca="1">IF(MOD(ROW(),2)=1, OFFSET(CT!$A$1,INT(ROW()/2)+1,COLUMN(CT!C248)-1),"")</f>
        <v/>
      </c>
      <c r="D252" s="23" t="str">
        <f ca="1">OFFSET(CT!$A$1,INT((ROW()+1)/2),IF(MOD(ROW(),2)=1,COLUMN(CT!$D$5)-1,COLUMN(CT!$E$5)-1))</f>
        <v>632.0202</v>
      </c>
      <c r="E252" s="78">
        <f ca="1">IF(MOD(ROW(),2)=1,OFFSET(CT!$A$1,INT(ROW()/2)+1,COLUMN(CT!$H$3)-1),0)</f>
        <v>0</v>
      </c>
      <c r="F252" s="78">
        <f ca="1">IF(MOD(ROW(),2)=0,OFFSET(CT!$A$1,INT(ROW()/2),COLUMN(CT!$H$3)-1),0)</f>
        <v>25000000</v>
      </c>
      <c r="G252" s="153" t="str">
        <f ca="1">IF(OFFSET(CT!$A$1,INT((ROW()+1)/2),COLUMN(CT!$N$3)-1)="No","False","True")</f>
        <v>True</v>
      </c>
    </row>
    <row r="253" spans="1:7" ht="15.6" x14ac:dyDescent="0.3">
      <c r="A253" s="77">
        <f ca="1">IF(MOD(ROW(),2)=1, OFFSET(CT!$A$1,INT(ROW()/2)+1,COLUMN(CT!A249)-1),"")</f>
        <v>45322</v>
      </c>
      <c r="B253" s="77" t="str">
        <f ca="1">IF(MOD(ROW(),2)=1, OFFSET(CT!$A$1,INT(ROW()/2)+1,COLUMN(CT!B249)-1),"")</f>
        <v>TH8</v>
      </c>
      <c r="C253" s="77" t="str">
        <f ca="1">IF(MOD(ROW(),2)=1, OFFSET(CT!$A$1,INT(ROW()/2)+1,COLUMN(CT!C249)-1),"")</f>
        <v>Kết chuyển CFGVHB vào TK911</v>
      </c>
      <c r="D253" s="23" t="str">
        <f ca="1">OFFSET(CT!$A$1,INT((ROW()+1)/2),IF(MOD(ROW(),2)=1,COLUMN(CT!$D$5)-1,COLUMN(CT!$E$5)-1))</f>
        <v>9111.0101</v>
      </c>
      <c r="E253" s="78">
        <f ca="1">IF(MOD(ROW(),2)=1,OFFSET(CT!$A$1,INT(ROW()/2)+1,COLUMN(CT!$H$3)-1),0)</f>
        <v>25123700</v>
      </c>
      <c r="F253" s="78">
        <f ca="1">IF(MOD(ROW(),2)=0,OFFSET(CT!$A$1,INT(ROW()/2),COLUMN(CT!$H$3)-1),0)</f>
        <v>0</v>
      </c>
      <c r="G253" s="153" t="str">
        <f ca="1">IF(OFFSET(CT!$A$1,INT((ROW()+1)/2),COLUMN(CT!$N$3)-1)="No","False","True")</f>
        <v>True</v>
      </c>
    </row>
    <row r="254" spans="1:7" ht="15.6" x14ac:dyDescent="0.3">
      <c r="A254" s="77" t="str">
        <f ca="1">IF(MOD(ROW(),2)=1, OFFSET(CT!$A$1,INT(ROW()/2)+1,COLUMN(CT!A250)-1),"")</f>
        <v/>
      </c>
      <c r="B254" s="77" t="str">
        <f ca="1">IF(MOD(ROW(),2)=1, OFFSET(CT!$A$1,INT(ROW()/2)+1,COLUMN(CT!B250)-1),"")</f>
        <v/>
      </c>
      <c r="C254" s="77" t="str">
        <f ca="1">IF(MOD(ROW(),2)=1, OFFSET(CT!$A$1,INT(ROW()/2)+1,COLUMN(CT!C250)-1),"")</f>
        <v/>
      </c>
      <c r="D254" s="23" t="str">
        <f ca="1">OFFSET(CT!$A$1,INT((ROW()+1)/2),IF(MOD(ROW(),2)=1,COLUMN(CT!$D$5)-1,COLUMN(CT!$E$5)-1))</f>
        <v>632.0101</v>
      </c>
      <c r="E254" s="78">
        <f ca="1">IF(MOD(ROW(),2)=1,OFFSET(CT!$A$1,INT(ROW()/2)+1,COLUMN(CT!$H$3)-1),0)</f>
        <v>0</v>
      </c>
      <c r="F254" s="78">
        <f ca="1">IF(MOD(ROW(),2)=0,OFFSET(CT!$A$1,INT(ROW()/2),COLUMN(CT!$H$3)-1),0)</f>
        <v>25123700</v>
      </c>
      <c r="G254" s="153" t="str">
        <f ca="1">IF(OFFSET(CT!$A$1,INT((ROW()+1)/2),COLUMN(CT!$N$3)-1)="No","False","True")</f>
        <v>True</v>
      </c>
    </row>
    <row r="255" spans="1:7" ht="15.6" x14ac:dyDescent="0.3">
      <c r="A255" s="77">
        <f ca="1">IF(MOD(ROW(),2)=1, OFFSET(CT!$A$1,INT(ROW()/2)+1,COLUMN(CT!A251)-1),"")</f>
        <v>45322</v>
      </c>
      <c r="B255" s="77" t="str">
        <f ca="1">IF(MOD(ROW(),2)=1, OFFSET(CT!$A$1,INT(ROW()/2)+1,COLUMN(CT!B251)-1),"")</f>
        <v>TH9</v>
      </c>
      <c r="C255" s="77" t="str">
        <f ca="1">IF(MOD(ROW(),2)=1, OFFSET(CT!$A$1,INT(ROW()/2)+1,COLUMN(CT!C251)-1),"")</f>
        <v>Kết chuyển Dthu vào TK911</v>
      </c>
      <c r="D255" s="23" t="str">
        <f ca="1">OFFSET(CT!$A$1,INT((ROW()+1)/2),IF(MOD(ROW(),2)=1,COLUMN(CT!$D$5)-1,COLUMN(CT!$E$5)-1))</f>
        <v>5112.0102</v>
      </c>
      <c r="E255" s="78">
        <f ca="1">IF(MOD(ROW(),2)=1,OFFSET(CT!$A$1,INT(ROW()/2)+1,COLUMN(CT!$H$3)-1),0)</f>
        <v>28000000</v>
      </c>
      <c r="F255" s="78">
        <f ca="1">IF(MOD(ROW(),2)=0,OFFSET(CT!$A$1,INT(ROW()/2),COLUMN(CT!$H$3)-1),0)</f>
        <v>0</v>
      </c>
      <c r="G255" s="153" t="str">
        <f ca="1">IF(OFFSET(CT!$A$1,INT((ROW()+1)/2),COLUMN(CT!$N$3)-1)="No","False","True")</f>
        <v>True</v>
      </c>
    </row>
    <row r="256" spans="1:7" ht="15.6" x14ac:dyDescent="0.3">
      <c r="A256" s="77" t="str">
        <f ca="1">IF(MOD(ROW(),2)=1, OFFSET(CT!$A$1,INT(ROW()/2)+1,COLUMN(CT!A252)-1),"")</f>
        <v/>
      </c>
      <c r="B256" s="77" t="str">
        <f ca="1">IF(MOD(ROW(),2)=1, OFFSET(CT!$A$1,INT(ROW()/2)+1,COLUMN(CT!B252)-1),"")</f>
        <v/>
      </c>
      <c r="C256" s="77" t="str">
        <f ca="1">IF(MOD(ROW(),2)=1, OFFSET(CT!$A$1,INT(ROW()/2)+1,COLUMN(CT!C252)-1),"")</f>
        <v/>
      </c>
      <c r="D256" s="23" t="str">
        <f ca="1">OFFSET(CT!$A$1,INT((ROW()+1)/2),IF(MOD(ROW(),2)=1,COLUMN(CT!$D$5)-1,COLUMN(CT!$E$5)-1))</f>
        <v>9111.0102</v>
      </c>
      <c r="E256" s="78">
        <f ca="1">IF(MOD(ROW(),2)=1,OFFSET(CT!$A$1,INT(ROW()/2)+1,COLUMN(CT!$H$3)-1),0)</f>
        <v>0</v>
      </c>
      <c r="F256" s="78">
        <f ca="1">IF(MOD(ROW(),2)=0,OFFSET(CT!$A$1,INT(ROW()/2),COLUMN(CT!$H$3)-1),0)</f>
        <v>28000000</v>
      </c>
      <c r="G256" s="153" t="str">
        <f ca="1">IF(OFFSET(CT!$A$1,INT((ROW()+1)/2),COLUMN(CT!$N$3)-1)="No","False","True")</f>
        <v>True</v>
      </c>
    </row>
    <row r="257" spans="1:7" ht="15.6" x14ac:dyDescent="0.3">
      <c r="A257" s="77">
        <f ca="1">IF(MOD(ROW(),2)=1, OFFSET(CT!$A$1,INT(ROW()/2)+1,COLUMN(CT!A253)-1),"")</f>
        <v>45322</v>
      </c>
      <c r="B257" s="77" t="str">
        <f ca="1">IF(MOD(ROW(),2)=1, OFFSET(CT!$A$1,INT(ROW()/2)+1,COLUMN(CT!B253)-1),"")</f>
        <v>TH9</v>
      </c>
      <c r="C257" s="77" t="str">
        <f ca="1">IF(MOD(ROW(),2)=1, OFFSET(CT!$A$1,INT(ROW()/2)+1,COLUMN(CT!C253)-1),"")</f>
        <v>Kết chuyển Dthu vào TK911</v>
      </c>
      <c r="D257" s="23" t="str">
        <f ca="1">OFFSET(CT!$A$1,INT((ROW()+1)/2),IF(MOD(ROW(),2)=1,COLUMN(CT!$D$5)-1,COLUMN(CT!$E$5)-1))</f>
        <v>5112.0101</v>
      </c>
      <c r="E257" s="78">
        <f ca="1">IF(MOD(ROW(),2)=1,OFFSET(CT!$A$1,INT(ROW()/2)+1,COLUMN(CT!$H$3)-1),0)</f>
        <v>30000000</v>
      </c>
      <c r="F257" s="78">
        <f ca="1">IF(MOD(ROW(),2)=0,OFFSET(CT!$A$1,INT(ROW()/2),COLUMN(CT!$H$3)-1),0)</f>
        <v>0</v>
      </c>
      <c r="G257" s="153" t="str">
        <f ca="1">IF(OFFSET(CT!$A$1,INT((ROW()+1)/2),COLUMN(CT!$N$3)-1)="No","False","True")</f>
        <v>True</v>
      </c>
    </row>
    <row r="258" spans="1:7" ht="15.6" x14ac:dyDescent="0.3">
      <c r="A258" s="77" t="str">
        <f ca="1">IF(MOD(ROW(),2)=1, OFFSET(CT!$A$1,INT(ROW()/2)+1,COLUMN(CT!A254)-1),"")</f>
        <v/>
      </c>
      <c r="B258" s="77" t="str">
        <f ca="1">IF(MOD(ROW(),2)=1, OFFSET(CT!$A$1,INT(ROW()/2)+1,COLUMN(CT!B254)-1),"")</f>
        <v/>
      </c>
      <c r="C258" s="77" t="str">
        <f ca="1">IF(MOD(ROW(),2)=1, OFFSET(CT!$A$1,INT(ROW()/2)+1,COLUMN(CT!C254)-1),"")</f>
        <v/>
      </c>
      <c r="D258" s="23" t="str">
        <f ca="1">OFFSET(CT!$A$1,INT((ROW()+1)/2),IF(MOD(ROW(),2)=1,COLUMN(CT!$D$5)-1,COLUMN(CT!$E$5)-1))</f>
        <v>9111.0101</v>
      </c>
      <c r="E258" s="78">
        <f ca="1">IF(MOD(ROW(),2)=1,OFFSET(CT!$A$1,INT(ROW()/2)+1,COLUMN(CT!$H$3)-1),0)</f>
        <v>0</v>
      </c>
      <c r="F258" s="78">
        <f ca="1">IF(MOD(ROW(),2)=0,OFFSET(CT!$A$1,INT(ROW()/2),COLUMN(CT!$H$3)-1),0)</f>
        <v>30000000</v>
      </c>
      <c r="G258" s="153" t="str">
        <f ca="1">IF(OFFSET(CT!$A$1,INT((ROW()+1)/2),COLUMN(CT!$N$3)-1)="No","False","True")</f>
        <v>True</v>
      </c>
    </row>
    <row r="259" spans="1:7" ht="15.6" x14ac:dyDescent="0.3">
      <c r="A259" s="77">
        <f ca="1">IF(MOD(ROW(),2)=1, OFFSET(CT!$A$1,INT(ROW()/2)+1,COLUMN(CT!A255)-1),"")</f>
        <v>45322</v>
      </c>
      <c r="B259" s="77" t="str">
        <f ca="1">IF(MOD(ROW(),2)=1, OFFSET(CT!$A$1,INT(ROW()/2)+1,COLUMN(CT!B255)-1),"")</f>
        <v>TH9</v>
      </c>
      <c r="C259" s="77" t="str">
        <f ca="1">IF(MOD(ROW(),2)=1, OFFSET(CT!$A$1,INT(ROW()/2)+1,COLUMN(CT!C255)-1),"")</f>
        <v>Kết chuyển Dthu vào TK911</v>
      </c>
      <c r="D259" s="23" t="str">
        <f ca="1">OFFSET(CT!$A$1,INT((ROW()+1)/2),IF(MOD(ROW(),2)=1,COLUMN(CT!$D$5)-1,COLUMN(CT!$E$5)-1))</f>
        <v>5112.0202</v>
      </c>
      <c r="E259" s="78">
        <f ca="1">IF(MOD(ROW(),2)=1,OFFSET(CT!$A$1,INT(ROW()/2)+1,COLUMN(CT!$H$3)-1),0)</f>
        <v>30000000</v>
      </c>
      <c r="F259" s="78">
        <f ca="1">IF(MOD(ROW(),2)=0,OFFSET(CT!$A$1,INT(ROW()/2),COLUMN(CT!$H$3)-1),0)</f>
        <v>0</v>
      </c>
      <c r="G259" s="153" t="str">
        <f ca="1">IF(OFFSET(CT!$A$1,INT((ROW()+1)/2),COLUMN(CT!$N$3)-1)="No","False","True")</f>
        <v>True</v>
      </c>
    </row>
    <row r="260" spans="1:7" ht="15.6" x14ac:dyDescent="0.3">
      <c r="A260" s="77" t="str">
        <f ca="1">IF(MOD(ROW(),2)=1, OFFSET(CT!$A$1,INT(ROW()/2)+1,COLUMN(CT!A256)-1),"")</f>
        <v/>
      </c>
      <c r="B260" s="77" t="str">
        <f ca="1">IF(MOD(ROW(),2)=1, OFFSET(CT!$A$1,INT(ROW()/2)+1,COLUMN(CT!B256)-1),"")</f>
        <v/>
      </c>
      <c r="C260" s="77" t="str">
        <f ca="1">IF(MOD(ROW(),2)=1, OFFSET(CT!$A$1,INT(ROW()/2)+1,COLUMN(CT!C256)-1),"")</f>
        <v/>
      </c>
      <c r="D260" s="23" t="str">
        <f ca="1">OFFSET(CT!$A$1,INT((ROW()+1)/2),IF(MOD(ROW(),2)=1,COLUMN(CT!$D$5)-1,COLUMN(CT!$E$5)-1))</f>
        <v>9111.0202</v>
      </c>
      <c r="E260" s="78">
        <f ca="1">IF(MOD(ROW(),2)=1,OFFSET(CT!$A$1,INT(ROW()/2)+1,COLUMN(CT!$H$3)-1),0)</f>
        <v>0</v>
      </c>
      <c r="F260" s="78">
        <f ca="1">IF(MOD(ROW(),2)=0,OFFSET(CT!$A$1,INT(ROW()/2),COLUMN(CT!$H$3)-1),0)</f>
        <v>30000000</v>
      </c>
      <c r="G260" s="153" t="str">
        <f ca="1">IF(OFFSET(CT!$A$1,INT((ROW()+1)/2),COLUMN(CT!$N$3)-1)="No","False","True")</f>
        <v>True</v>
      </c>
    </row>
    <row r="261" spans="1:7" ht="15.6" x14ac:dyDescent="0.3">
      <c r="A261" s="77">
        <f ca="1">IF(MOD(ROW(),2)=1, OFFSET(CT!$A$1,INT(ROW()/2)+1,COLUMN(CT!A257)-1),"")</f>
        <v>45322</v>
      </c>
      <c r="B261" s="77" t="str">
        <f ca="1">IF(MOD(ROW(),2)=1, OFFSET(CT!$A$1,INT(ROW()/2)+1,COLUMN(CT!B257)-1),"")</f>
        <v>TH5</v>
      </c>
      <c r="C261" s="77" t="str">
        <f ca="1">IF(MOD(ROW(),2)=1, OFFSET(CT!$A$1,INT(ROW()/2)+1,COLUMN(CT!C257)-1),"")</f>
        <v>Kết chuyển CFC vào TK154</v>
      </c>
      <c r="D261" s="23" t="str">
        <f ca="1">OFFSET(CT!$A$1,INT((ROW()+1)/2),IF(MOD(ROW(),2)=1,COLUMN(CT!$D$5)-1,COLUMN(CT!$E$5)-1))</f>
        <v>154.01</v>
      </c>
      <c r="E261" s="78">
        <f ca="1">IF(MOD(ROW(),2)=1,OFFSET(CT!$A$1,INT(ROW()/2)+1,COLUMN(CT!$H$3)-1),0)</f>
        <v>34088291</v>
      </c>
      <c r="F261" s="78">
        <f ca="1">IF(MOD(ROW(),2)=0,OFFSET(CT!$A$1,INT(ROW()/2),COLUMN(CT!$H$3)-1),0)</f>
        <v>0</v>
      </c>
      <c r="G261" s="153" t="str">
        <f ca="1">IF(OFFSET(CT!$A$1,INT((ROW()+1)/2),COLUMN(CT!$N$3)-1)="No","False","True")</f>
        <v>True</v>
      </c>
    </row>
    <row r="262" spans="1:7" ht="15.6" x14ac:dyDescent="0.3">
      <c r="A262" s="77" t="str">
        <f ca="1">IF(MOD(ROW(),2)=1, OFFSET(CT!$A$1,INT(ROW()/2)+1,COLUMN(CT!A258)-1),"")</f>
        <v/>
      </c>
      <c r="B262" s="77" t="str">
        <f ca="1">IF(MOD(ROW(),2)=1, OFFSET(CT!$A$1,INT(ROW()/2)+1,COLUMN(CT!B258)-1),"")</f>
        <v/>
      </c>
      <c r="C262" s="77" t="str">
        <f ca="1">IF(MOD(ROW(),2)=1, OFFSET(CT!$A$1,INT(ROW()/2)+1,COLUMN(CT!C258)-1),"")</f>
        <v/>
      </c>
      <c r="D262" s="23" t="str">
        <f ca="1">OFFSET(CT!$A$1,INT((ROW()+1)/2),IF(MOD(ROW(),2)=1,COLUMN(CT!$D$5)-1,COLUMN(CT!$E$5)-1))</f>
        <v>6271</v>
      </c>
      <c r="E262" s="78">
        <f ca="1">IF(MOD(ROW(),2)=1,OFFSET(CT!$A$1,INT(ROW()/2)+1,COLUMN(CT!$H$3)-1),0)</f>
        <v>0</v>
      </c>
      <c r="F262" s="78">
        <f ca="1">IF(MOD(ROW(),2)=0,OFFSET(CT!$A$1,INT(ROW()/2),COLUMN(CT!$H$3)-1),0)</f>
        <v>34088291</v>
      </c>
      <c r="G262" s="153" t="str">
        <f ca="1">IF(OFFSET(CT!$A$1,INT((ROW()+1)/2),COLUMN(CT!$N$3)-1)="No","False","True")</f>
        <v>True</v>
      </c>
    </row>
    <row r="263" spans="1:7" ht="15.6" x14ac:dyDescent="0.3">
      <c r="A263" s="77">
        <f ca="1">IF(MOD(ROW(),2)=1, OFFSET(CT!$A$1,INT(ROW()/2)+1,COLUMN(CT!A259)-1),"")</f>
        <v>45322</v>
      </c>
      <c r="B263" s="77" t="str">
        <f ca="1">IF(MOD(ROW(),2)=1, OFFSET(CT!$A$1,INT(ROW()/2)+1,COLUMN(CT!B259)-1),"")</f>
        <v>TH1</v>
      </c>
      <c r="C263" s="77" t="str">
        <f ca="1">IF(MOD(ROW(),2)=1, OFFSET(CT!$A$1,INT(ROW()/2)+1,COLUMN(CT!C259)-1),"")</f>
        <v>Tính lương vào chi phí</v>
      </c>
      <c r="D263" s="23" t="str">
        <f ca="1">OFFSET(CT!$A$1,INT((ROW()+1)/2),IF(MOD(ROW(),2)=1,COLUMN(CT!$D$5)-1,COLUMN(CT!$E$5)-1))</f>
        <v>6271</v>
      </c>
      <c r="E263" s="78">
        <f ca="1">IF(MOD(ROW(),2)=1,OFFSET(CT!$A$1,INT(ROW()/2)+1,COLUMN(CT!$H$3)-1),0)</f>
        <v>35000000</v>
      </c>
      <c r="F263" s="78">
        <f ca="1">IF(MOD(ROW(),2)=0,OFFSET(CT!$A$1,INT(ROW()/2),COLUMN(CT!$H$3)-1),0)</f>
        <v>0</v>
      </c>
      <c r="G263" s="153" t="str">
        <f ca="1">IF(OFFSET(CT!$A$1,INT((ROW()+1)/2),COLUMN(CT!$N$3)-1)="No","False","True")</f>
        <v>True</v>
      </c>
    </row>
    <row r="264" spans="1:7" ht="15.6" x14ac:dyDescent="0.3">
      <c r="A264" s="77" t="str">
        <f ca="1">IF(MOD(ROW(),2)=1, OFFSET(CT!$A$1,INT(ROW()/2)+1,COLUMN(CT!A260)-1),"")</f>
        <v/>
      </c>
      <c r="B264" s="77" t="str">
        <f ca="1">IF(MOD(ROW(),2)=1, OFFSET(CT!$A$1,INT(ROW()/2)+1,COLUMN(CT!B260)-1),"")</f>
        <v/>
      </c>
      <c r="C264" s="77" t="str">
        <f ca="1">IF(MOD(ROW(),2)=1, OFFSET(CT!$A$1,INT(ROW()/2)+1,COLUMN(CT!C260)-1),"")</f>
        <v/>
      </c>
      <c r="D264" s="23" t="str">
        <f ca="1">OFFSET(CT!$A$1,INT((ROW()+1)/2),IF(MOD(ROW(),2)=1,COLUMN(CT!$D$5)-1,COLUMN(CT!$E$5)-1))</f>
        <v>3348.01</v>
      </c>
      <c r="E264" s="78">
        <f ca="1">IF(MOD(ROW(),2)=1,OFFSET(CT!$A$1,INT(ROW()/2)+1,COLUMN(CT!$H$3)-1),0)</f>
        <v>0</v>
      </c>
      <c r="F264" s="78">
        <f ca="1">IF(MOD(ROW(),2)=0,OFFSET(CT!$A$1,INT(ROW()/2),COLUMN(CT!$H$3)-1),0)</f>
        <v>35000000</v>
      </c>
      <c r="G264" s="153" t="str">
        <f ca="1">IF(OFFSET(CT!$A$1,INT((ROW()+1)/2),COLUMN(CT!$N$3)-1)="No","False","True")</f>
        <v>True</v>
      </c>
    </row>
    <row r="265" spans="1:7" ht="15.6" x14ac:dyDescent="0.3">
      <c r="A265" s="77">
        <f ca="1">IF(MOD(ROW(),2)=1, OFFSET(CT!$A$1,INT(ROW()/2)+1,COLUMN(CT!A261)-1),"")</f>
        <v>45322</v>
      </c>
      <c r="B265" s="77" t="str">
        <f ca="1">IF(MOD(ROW(),2)=1, OFFSET(CT!$A$1,INT(ROW()/2)+1,COLUMN(CT!B261)-1),"")</f>
        <v>TH1</v>
      </c>
      <c r="C265" s="77" t="str">
        <f ca="1">IF(MOD(ROW(),2)=1, OFFSET(CT!$A$1,INT(ROW()/2)+1,COLUMN(CT!C261)-1),"")</f>
        <v>Tính lương vào chi phí</v>
      </c>
      <c r="D265" s="23" t="str">
        <f ca="1">OFFSET(CT!$A$1,INT((ROW()+1)/2),IF(MOD(ROW(),2)=1,COLUMN(CT!$D$5)-1,COLUMN(CT!$E$5)-1))</f>
        <v>622.01</v>
      </c>
      <c r="E265" s="78">
        <f ca="1">IF(MOD(ROW(),2)=1,OFFSET(CT!$A$1,INT(ROW()/2)+1,COLUMN(CT!$H$3)-1),0)</f>
        <v>40000000</v>
      </c>
      <c r="F265" s="78">
        <f ca="1">IF(MOD(ROW(),2)=0,OFFSET(CT!$A$1,INT(ROW()/2),COLUMN(CT!$H$3)-1),0)</f>
        <v>0</v>
      </c>
      <c r="G265" s="153" t="str">
        <f ca="1">IF(OFFSET(CT!$A$1,INT((ROW()+1)/2),COLUMN(CT!$N$3)-1)="No","False","True")</f>
        <v>True</v>
      </c>
    </row>
    <row r="266" spans="1:7" ht="15.6" x14ac:dyDescent="0.3">
      <c r="A266" s="77" t="str">
        <f ca="1">IF(MOD(ROW(),2)=1, OFFSET(CT!$A$1,INT(ROW()/2)+1,COLUMN(CT!A262)-1),"")</f>
        <v/>
      </c>
      <c r="B266" s="77" t="str">
        <f ca="1">IF(MOD(ROW(),2)=1, OFFSET(CT!$A$1,INT(ROW()/2)+1,COLUMN(CT!B262)-1),"")</f>
        <v/>
      </c>
      <c r="C266" s="77" t="str">
        <f ca="1">IF(MOD(ROW(),2)=1, OFFSET(CT!$A$1,INT(ROW()/2)+1,COLUMN(CT!C262)-1),"")</f>
        <v/>
      </c>
      <c r="D266" s="23" t="str">
        <f ca="1">OFFSET(CT!$A$1,INT((ROW()+1)/2),IF(MOD(ROW(),2)=1,COLUMN(CT!$D$5)-1,COLUMN(CT!$E$5)-1))</f>
        <v>3341.01</v>
      </c>
      <c r="E266" s="78">
        <f ca="1">IF(MOD(ROW(),2)=1,OFFSET(CT!$A$1,INT(ROW()/2)+1,COLUMN(CT!$H$3)-1),0)</f>
        <v>0</v>
      </c>
      <c r="F266" s="78">
        <f ca="1">IF(MOD(ROW(),2)=0,OFFSET(CT!$A$1,INT(ROW()/2),COLUMN(CT!$H$3)-1),0)</f>
        <v>40000000</v>
      </c>
      <c r="G266" s="153" t="str">
        <f ca="1">IF(OFFSET(CT!$A$1,INT((ROW()+1)/2),COLUMN(CT!$N$3)-1)="No","False","True")</f>
        <v>True</v>
      </c>
    </row>
    <row r="267" spans="1:7" ht="15.6" x14ac:dyDescent="0.3">
      <c r="A267" s="77">
        <f ca="1">IF(MOD(ROW(),2)=1, OFFSET(CT!$A$1,INT(ROW()/2)+1,COLUMN(CT!A263)-1),"")</f>
        <v>45322</v>
      </c>
      <c r="B267" s="77" t="str">
        <f ca="1">IF(MOD(ROW(),2)=1, OFFSET(CT!$A$1,INT(ROW()/2)+1,COLUMN(CT!B263)-1),"")</f>
        <v>TH1</v>
      </c>
      <c r="C267" s="77" t="str">
        <f ca="1">IF(MOD(ROW(),2)=1, OFFSET(CT!$A$1,INT(ROW()/2)+1,COLUMN(CT!C263)-1),"")</f>
        <v>Tính lương vào chi phí</v>
      </c>
      <c r="D267" s="23" t="str">
        <f ca="1">OFFSET(CT!$A$1,INT((ROW()+1)/2),IF(MOD(ROW(),2)=1,COLUMN(CT!$D$5)-1,COLUMN(CT!$E$5)-1))</f>
        <v>622.02</v>
      </c>
      <c r="E267" s="78">
        <f ca="1">IF(MOD(ROW(),2)=1,OFFSET(CT!$A$1,INT(ROW()/2)+1,COLUMN(CT!$H$3)-1),0)</f>
        <v>40000000</v>
      </c>
      <c r="F267" s="78">
        <f ca="1">IF(MOD(ROW(),2)=0,OFFSET(CT!$A$1,INT(ROW()/2),COLUMN(CT!$H$3)-1),0)</f>
        <v>0</v>
      </c>
      <c r="G267" s="153" t="str">
        <f ca="1">IF(OFFSET(CT!$A$1,INT((ROW()+1)/2),COLUMN(CT!$N$3)-1)="No","False","True")</f>
        <v>True</v>
      </c>
    </row>
    <row r="268" spans="1:7" ht="15.6" x14ac:dyDescent="0.3">
      <c r="A268" s="77" t="str">
        <f ca="1">IF(MOD(ROW(),2)=1, OFFSET(CT!$A$1,INT(ROW()/2)+1,COLUMN(CT!A264)-1),"")</f>
        <v/>
      </c>
      <c r="B268" s="77" t="str">
        <f ca="1">IF(MOD(ROW(),2)=1, OFFSET(CT!$A$1,INT(ROW()/2)+1,COLUMN(CT!B264)-1),"")</f>
        <v/>
      </c>
      <c r="C268" s="77" t="str">
        <f ca="1">IF(MOD(ROW(),2)=1, OFFSET(CT!$A$1,INT(ROW()/2)+1,COLUMN(CT!C264)-1),"")</f>
        <v/>
      </c>
      <c r="D268" s="23" t="str">
        <f ca="1">OFFSET(CT!$A$1,INT((ROW()+1)/2),IF(MOD(ROW(),2)=1,COLUMN(CT!$D$5)-1,COLUMN(CT!$E$5)-1))</f>
        <v>3341.02</v>
      </c>
      <c r="E268" s="78">
        <f ca="1">IF(MOD(ROW(),2)=1,OFFSET(CT!$A$1,INT(ROW()/2)+1,COLUMN(CT!$H$3)-1),0)</f>
        <v>0</v>
      </c>
      <c r="F268" s="78">
        <f ca="1">IF(MOD(ROW(),2)=0,OFFSET(CT!$A$1,INT(ROW()/2),COLUMN(CT!$H$3)-1),0)</f>
        <v>40000000</v>
      </c>
      <c r="G268" s="153" t="str">
        <f ca="1">IF(OFFSET(CT!$A$1,INT((ROW()+1)/2),COLUMN(CT!$N$3)-1)="No","False","True")</f>
        <v>True</v>
      </c>
    </row>
    <row r="269" spans="1:7" ht="15.6" x14ac:dyDescent="0.3">
      <c r="A269" s="77">
        <f ca="1">IF(MOD(ROW(),2)=1, OFFSET(CT!$A$1,INT(ROW()/2)+1,COLUMN(CT!A265)-1),"")</f>
        <v>45322</v>
      </c>
      <c r="B269" s="77" t="str">
        <f ca="1">IF(MOD(ROW(),2)=1, OFFSET(CT!$A$1,INT(ROW()/2)+1,COLUMN(CT!B265)-1),"")</f>
        <v>TH1</v>
      </c>
      <c r="C269" s="77" t="str">
        <f ca="1">IF(MOD(ROW(),2)=1, OFFSET(CT!$A$1,INT(ROW()/2)+1,COLUMN(CT!C265)-1),"")</f>
        <v>Tính lương vào chi phí</v>
      </c>
      <c r="D269" s="23" t="str">
        <f ca="1">OFFSET(CT!$A$1,INT((ROW()+1)/2),IF(MOD(ROW(),2)=1,COLUMN(CT!$D$5)-1,COLUMN(CT!$E$5)-1))</f>
        <v>622.03</v>
      </c>
      <c r="E269" s="78">
        <f ca="1">IF(MOD(ROW(),2)=1,OFFSET(CT!$A$1,INT(ROW()/2)+1,COLUMN(CT!$H$3)-1),0)</f>
        <v>40000000</v>
      </c>
      <c r="F269" s="78">
        <f ca="1">IF(MOD(ROW(),2)=0,OFFSET(CT!$A$1,INT(ROW()/2),COLUMN(CT!$H$3)-1),0)</f>
        <v>0</v>
      </c>
      <c r="G269" s="153" t="str">
        <f ca="1">IF(OFFSET(CT!$A$1,INT((ROW()+1)/2),COLUMN(CT!$N$3)-1)="No","False","True")</f>
        <v>True</v>
      </c>
    </row>
    <row r="270" spans="1:7" ht="15.6" x14ac:dyDescent="0.3">
      <c r="A270" s="77" t="str">
        <f ca="1">IF(MOD(ROW(),2)=1, OFFSET(CT!$A$1,INT(ROW()/2)+1,COLUMN(CT!A266)-1),"")</f>
        <v/>
      </c>
      <c r="B270" s="77" t="str">
        <f ca="1">IF(MOD(ROW(),2)=1, OFFSET(CT!$A$1,INT(ROW()/2)+1,COLUMN(CT!B266)-1),"")</f>
        <v/>
      </c>
      <c r="C270" s="77" t="str">
        <f ca="1">IF(MOD(ROW(),2)=1, OFFSET(CT!$A$1,INT(ROW()/2)+1,COLUMN(CT!C266)-1),"")</f>
        <v/>
      </c>
      <c r="D270" s="23" t="str">
        <f ca="1">OFFSET(CT!$A$1,INT((ROW()+1)/2),IF(MOD(ROW(),2)=1,COLUMN(CT!$D$5)-1,COLUMN(CT!$E$5)-1))</f>
        <v>3341.03</v>
      </c>
      <c r="E270" s="78">
        <f ca="1">IF(MOD(ROW(),2)=1,OFFSET(CT!$A$1,INT(ROW()/2)+1,COLUMN(CT!$H$3)-1),0)</f>
        <v>0</v>
      </c>
      <c r="F270" s="78">
        <f ca="1">IF(MOD(ROW(),2)=0,OFFSET(CT!$A$1,INT(ROW()/2),COLUMN(CT!$H$3)-1),0)</f>
        <v>40000000</v>
      </c>
      <c r="G270" s="153" t="str">
        <f ca="1">IF(OFFSET(CT!$A$1,INT((ROW()+1)/2),COLUMN(CT!$N$3)-1)="No","False","True")</f>
        <v>True</v>
      </c>
    </row>
    <row r="271" spans="1:7" ht="15.6" x14ac:dyDescent="0.3">
      <c r="A271" s="77">
        <f ca="1">IF(MOD(ROW(),2)=1, OFFSET(CT!$A$1,INT(ROW()/2)+1,COLUMN(CT!A267)-1),"")</f>
        <v>45322</v>
      </c>
      <c r="B271" s="77" t="str">
        <f ca="1">IF(MOD(ROW(),2)=1, OFFSET(CT!$A$1,INT(ROW()/2)+1,COLUMN(CT!B267)-1),"")</f>
        <v>TH1</v>
      </c>
      <c r="C271" s="77" t="str">
        <f ca="1">IF(MOD(ROW(),2)=1, OFFSET(CT!$A$1,INT(ROW()/2)+1,COLUMN(CT!C267)-1),"")</f>
        <v>Tính lương vào chi phí</v>
      </c>
      <c r="D271" s="23" t="str">
        <f ca="1">OFFSET(CT!$A$1,INT((ROW()+1)/2),IF(MOD(ROW(),2)=1,COLUMN(CT!$D$5)-1,COLUMN(CT!$E$5)-1))</f>
        <v>622.04</v>
      </c>
      <c r="E271" s="78">
        <f ca="1">IF(MOD(ROW(),2)=1,OFFSET(CT!$A$1,INT(ROW()/2)+1,COLUMN(CT!$H$3)-1),0)</f>
        <v>40000000</v>
      </c>
      <c r="F271" s="78">
        <f ca="1">IF(MOD(ROW(),2)=0,OFFSET(CT!$A$1,INT(ROW()/2),COLUMN(CT!$H$3)-1),0)</f>
        <v>0</v>
      </c>
      <c r="G271" s="153" t="str">
        <f ca="1">IF(OFFSET(CT!$A$1,INT((ROW()+1)/2),COLUMN(CT!$N$3)-1)="No","False","True")</f>
        <v>True</v>
      </c>
    </row>
    <row r="272" spans="1:7" ht="15.6" x14ac:dyDescent="0.3">
      <c r="A272" s="77" t="str">
        <f ca="1">IF(MOD(ROW(),2)=1, OFFSET(CT!$A$1,INT(ROW()/2)+1,COLUMN(CT!A268)-1),"")</f>
        <v/>
      </c>
      <c r="B272" s="77" t="str">
        <f ca="1">IF(MOD(ROW(),2)=1, OFFSET(CT!$A$1,INT(ROW()/2)+1,COLUMN(CT!B268)-1),"")</f>
        <v/>
      </c>
      <c r="C272" s="77" t="str">
        <f ca="1">IF(MOD(ROW(),2)=1, OFFSET(CT!$A$1,INT(ROW()/2)+1,COLUMN(CT!C268)-1),"")</f>
        <v/>
      </c>
      <c r="D272" s="23" t="str">
        <f ca="1">OFFSET(CT!$A$1,INT((ROW()+1)/2),IF(MOD(ROW(),2)=1,COLUMN(CT!$D$5)-1,COLUMN(CT!$E$5)-1))</f>
        <v>3341.04</v>
      </c>
      <c r="E272" s="78">
        <f ca="1">IF(MOD(ROW(),2)=1,OFFSET(CT!$A$1,INT(ROW()/2)+1,COLUMN(CT!$H$3)-1),0)</f>
        <v>0</v>
      </c>
      <c r="F272" s="78">
        <f ca="1">IF(MOD(ROW(),2)=0,OFFSET(CT!$A$1,INT(ROW()/2),COLUMN(CT!$H$3)-1),0)</f>
        <v>40000000</v>
      </c>
      <c r="G272" s="153" t="str">
        <f ca="1">IF(OFFSET(CT!$A$1,INT((ROW()+1)/2),COLUMN(CT!$N$3)-1)="No","False","True")</f>
        <v>True</v>
      </c>
    </row>
    <row r="273" spans="1:7" ht="15.6" x14ac:dyDescent="0.3">
      <c r="A273" s="77">
        <f ca="1">IF(MOD(ROW(),2)=1, OFFSET(CT!$A$1,INT(ROW()/2)+1,COLUMN(CT!A269)-1),"")</f>
        <v>45322</v>
      </c>
      <c r="B273" s="77" t="str">
        <f ca="1">IF(MOD(ROW(),2)=1, OFFSET(CT!$A$1,INT(ROW()/2)+1,COLUMN(CT!B269)-1),"")</f>
        <v>TH1</v>
      </c>
      <c r="C273" s="77" t="str">
        <f ca="1">IF(MOD(ROW(),2)=1, OFFSET(CT!$A$1,INT(ROW()/2)+1,COLUMN(CT!C269)-1),"")</f>
        <v>Tính lương vào chi phí</v>
      </c>
      <c r="D273" s="23" t="str">
        <f ca="1">OFFSET(CT!$A$1,INT((ROW()+1)/2),IF(MOD(ROW(),2)=1,COLUMN(CT!$D$5)-1,COLUMN(CT!$E$5)-1))</f>
        <v>622.05</v>
      </c>
      <c r="E273" s="78">
        <f ca="1">IF(MOD(ROW(),2)=1,OFFSET(CT!$A$1,INT(ROW()/2)+1,COLUMN(CT!$H$3)-1),0)</f>
        <v>40000000</v>
      </c>
      <c r="F273" s="78">
        <f ca="1">IF(MOD(ROW(),2)=0,OFFSET(CT!$A$1,INT(ROW()/2),COLUMN(CT!$H$3)-1),0)</f>
        <v>0</v>
      </c>
      <c r="G273" s="153" t="str">
        <f ca="1">IF(OFFSET(CT!$A$1,INT((ROW()+1)/2),COLUMN(CT!$N$3)-1)="No","False","True")</f>
        <v>True</v>
      </c>
    </row>
    <row r="274" spans="1:7" ht="15.6" x14ac:dyDescent="0.3">
      <c r="A274" s="77" t="str">
        <f ca="1">IF(MOD(ROW(),2)=1, OFFSET(CT!$A$1,INT(ROW()/2)+1,COLUMN(CT!A270)-1),"")</f>
        <v/>
      </c>
      <c r="B274" s="77" t="str">
        <f ca="1">IF(MOD(ROW(),2)=1, OFFSET(CT!$A$1,INT(ROW()/2)+1,COLUMN(CT!B270)-1),"")</f>
        <v/>
      </c>
      <c r="C274" s="77" t="str">
        <f ca="1">IF(MOD(ROW(),2)=1, OFFSET(CT!$A$1,INT(ROW()/2)+1,COLUMN(CT!C270)-1),"")</f>
        <v/>
      </c>
      <c r="D274" s="23" t="str">
        <f ca="1">OFFSET(CT!$A$1,INT((ROW()+1)/2),IF(MOD(ROW(),2)=1,COLUMN(CT!$D$5)-1,COLUMN(CT!$E$5)-1))</f>
        <v>3341.05</v>
      </c>
      <c r="E274" s="78">
        <f ca="1">IF(MOD(ROW(),2)=1,OFFSET(CT!$A$1,INT(ROW()/2)+1,COLUMN(CT!$H$3)-1),0)</f>
        <v>0</v>
      </c>
      <c r="F274" s="78">
        <f ca="1">IF(MOD(ROW(),2)=0,OFFSET(CT!$A$1,INT(ROW()/2),COLUMN(CT!$H$3)-1),0)</f>
        <v>40000000</v>
      </c>
      <c r="G274" s="153" t="str">
        <f ca="1">IF(OFFSET(CT!$A$1,INT((ROW()+1)/2),COLUMN(CT!$N$3)-1)="No","False","True")</f>
        <v>True</v>
      </c>
    </row>
    <row r="275" spans="1:7" ht="15.6" x14ac:dyDescent="0.3">
      <c r="A275" s="77">
        <f ca="1">IF(MOD(ROW(),2)=1, OFFSET(CT!$A$1,INT(ROW()/2)+1,COLUMN(CT!A271)-1),"")</f>
        <v>45322</v>
      </c>
      <c r="B275" s="77" t="str">
        <f ca="1">IF(MOD(ROW(),2)=1, OFFSET(CT!$A$1,INT(ROW()/2)+1,COLUMN(CT!B271)-1),"")</f>
        <v>TH4</v>
      </c>
      <c r="C275" s="77" t="str">
        <f ca="1">IF(MOD(ROW(),2)=1, OFFSET(CT!$A$1,INT(ROW()/2)+1,COLUMN(CT!C271)-1),"")</f>
        <v>Kết chuyển CFNC vào TK154</v>
      </c>
      <c r="D275" s="23" t="str">
        <f ca="1">OFFSET(CT!$A$1,INT((ROW()+1)/2),IF(MOD(ROW(),2)=1,COLUMN(CT!$D$5)-1,COLUMN(CT!$E$5)-1))</f>
        <v>154.01</v>
      </c>
      <c r="E275" s="78">
        <f ca="1">IF(MOD(ROW(),2)=1,OFFSET(CT!$A$1,INT(ROW()/2)+1,COLUMN(CT!$H$3)-1),0)</f>
        <v>48800000</v>
      </c>
      <c r="F275" s="78">
        <f ca="1">IF(MOD(ROW(),2)=0,OFFSET(CT!$A$1,INT(ROW()/2),COLUMN(CT!$H$3)-1),0)</f>
        <v>0</v>
      </c>
      <c r="G275" s="153" t="str">
        <f ca="1">IF(OFFSET(CT!$A$1,INT((ROW()+1)/2),COLUMN(CT!$N$3)-1)="No","False","True")</f>
        <v>True</v>
      </c>
    </row>
    <row r="276" spans="1:7" ht="15.6" x14ac:dyDescent="0.3">
      <c r="A276" s="77" t="str">
        <f ca="1">IF(MOD(ROW(),2)=1, OFFSET(CT!$A$1,INT(ROW()/2)+1,COLUMN(CT!A272)-1),"")</f>
        <v/>
      </c>
      <c r="B276" s="77" t="str">
        <f ca="1">IF(MOD(ROW(),2)=1, OFFSET(CT!$A$1,INT(ROW()/2)+1,COLUMN(CT!B272)-1),"")</f>
        <v/>
      </c>
      <c r="C276" s="77" t="str">
        <f ca="1">IF(MOD(ROW(),2)=1, OFFSET(CT!$A$1,INT(ROW()/2)+1,COLUMN(CT!C272)-1),"")</f>
        <v/>
      </c>
      <c r="D276" s="23" t="str">
        <f ca="1">OFFSET(CT!$A$1,INT((ROW()+1)/2),IF(MOD(ROW(),2)=1,COLUMN(CT!$D$5)-1,COLUMN(CT!$E$5)-1))</f>
        <v>622.01</v>
      </c>
      <c r="E276" s="78">
        <f ca="1">IF(MOD(ROW(),2)=1,OFFSET(CT!$A$1,INT(ROW()/2)+1,COLUMN(CT!$H$3)-1),0)</f>
        <v>0</v>
      </c>
      <c r="F276" s="78">
        <f ca="1">IF(MOD(ROW(),2)=0,OFFSET(CT!$A$1,INT(ROW()/2),COLUMN(CT!$H$3)-1),0)</f>
        <v>48800000</v>
      </c>
      <c r="G276" s="153" t="str">
        <f ca="1">IF(OFFSET(CT!$A$1,INT((ROW()+1)/2),COLUMN(CT!$N$3)-1)="No","False","True")</f>
        <v>True</v>
      </c>
    </row>
    <row r="277" spans="1:7" ht="15.6" x14ac:dyDescent="0.3">
      <c r="A277" s="77">
        <f ca="1">IF(MOD(ROW(),2)=1, OFFSET(CT!$A$1,INT(ROW()/2)+1,COLUMN(CT!A273)-1),"")</f>
        <v>45322</v>
      </c>
      <c r="B277" s="77" t="str">
        <f ca="1">IF(MOD(ROW(),2)=1, OFFSET(CT!$A$1,INT(ROW()/2)+1,COLUMN(CT!B273)-1),"")</f>
        <v>TH4</v>
      </c>
      <c r="C277" s="77" t="str">
        <f ca="1">IF(MOD(ROW(),2)=1, OFFSET(CT!$A$1,INT(ROW()/2)+1,COLUMN(CT!C273)-1),"")</f>
        <v>Kết chuyển CFNC vào TK154</v>
      </c>
      <c r="D277" s="23" t="str">
        <f ca="1">OFFSET(CT!$A$1,INT((ROW()+1)/2),IF(MOD(ROW(),2)=1,COLUMN(CT!$D$5)-1,COLUMN(CT!$E$5)-1))</f>
        <v>154.02</v>
      </c>
      <c r="E277" s="78">
        <f ca="1">IF(MOD(ROW(),2)=1,OFFSET(CT!$A$1,INT(ROW()/2)+1,COLUMN(CT!$H$3)-1),0)</f>
        <v>48800000</v>
      </c>
      <c r="F277" s="78">
        <f ca="1">IF(MOD(ROW(),2)=0,OFFSET(CT!$A$1,INT(ROW()/2),COLUMN(CT!$H$3)-1),0)</f>
        <v>0</v>
      </c>
      <c r="G277" s="153" t="str">
        <f ca="1">IF(OFFSET(CT!$A$1,INT((ROW()+1)/2),COLUMN(CT!$N$3)-1)="No","False","True")</f>
        <v>True</v>
      </c>
    </row>
    <row r="278" spans="1:7" ht="15.6" x14ac:dyDescent="0.3">
      <c r="A278" s="77" t="str">
        <f ca="1">IF(MOD(ROW(),2)=1, OFFSET(CT!$A$1,INT(ROW()/2)+1,COLUMN(CT!A274)-1),"")</f>
        <v/>
      </c>
      <c r="B278" s="77" t="str">
        <f ca="1">IF(MOD(ROW(),2)=1, OFFSET(CT!$A$1,INT(ROW()/2)+1,COLUMN(CT!B274)-1),"")</f>
        <v/>
      </c>
      <c r="C278" s="77" t="str">
        <f ca="1">IF(MOD(ROW(),2)=1, OFFSET(CT!$A$1,INT(ROW()/2)+1,COLUMN(CT!C274)-1),"")</f>
        <v/>
      </c>
      <c r="D278" s="23" t="str">
        <f ca="1">OFFSET(CT!$A$1,INT((ROW()+1)/2),IF(MOD(ROW(),2)=1,COLUMN(CT!$D$5)-1,COLUMN(CT!$E$5)-1))</f>
        <v>622.02</v>
      </c>
      <c r="E278" s="78">
        <f ca="1">IF(MOD(ROW(),2)=1,OFFSET(CT!$A$1,INT(ROW()/2)+1,COLUMN(CT!$H$3)-1),0)</f>
        <v>0</v>
      </c>
      <c r="F278" s="78">
        <f ca="1">IF(MOD(ROW(),2)=0,OFFSET(CT!$A$1,INT(ROW()/2),COLUMN(CT!$H$3)-1),0)</f>
        <v>48800000</v>
      </c>
      <c r="G278" s="153" t="str">
        <f ca="1">IF(OFFSET(CT!$A$1,INT((ROW()+1)/2),COLUMN(CT!$N$3)-1)="No","False","True")</f>
        <v>True</v>
      </c>
    </row>
    <row r="279" spans="1:7" ht="15.6" x14ac:dyDescent="0.3">
      <c r="A279" s="77">
        <f ca="1">IF(MOD(ROW(),2)=1, OFFSET(CT!$A$1,INT(ROW()/2)+1,COLUMN(CT!A275)-1),"")</f>
        <v>45322</v>
      </c>
      <c r="B279" s="77" t="str">
        <f ca="1">IF(MOD(ROW(),2)=1, OFFSET(CT!$A$1,INT(ROW()/2)+1,COLUMN(CT!B275)-1),"")</f>
        <v>TH4</v>
      </c>
      <c r="C279" s="77" t="str">
        <f ca="1">IF(MOD(ROW(),2)=1, OFFSET(CT!$A$1,INT(ROW()/2)+1,COLUMN(CT!C275)-1),"")</f>
        <v>Kết chuyển CFNC vào TK154</v>
      </c>
      <c r="D279" s="23" t="str">
        <f ca="1">OFFSET(CT!$A$1,INT((ROW()+1)/2),IF(MOD(ROW(),2)=1,COLUMN(CT!$D$5)-1,COLUMN(CT!$E$5)-1))</f>
        <v>154.03</v>
      </c>
      <c r="E279" s="78">
        <f ca="1">IF(MOD(ROW(),2)=1,OFFSET(CT!$A$1,INT(ROW()/2)+1,COLUMN(CT!$H$3)-1),0)</f>
        <v>48800000</v>
      </c>
      <c r="F279" s="78">
        <f ca="1">IF(MOD(ROW(),2)=0,OFFSET(CT!$A$1,INT(ROW()/2),COLUMN(CT!$H$3)-1),0)</f>
        <v>0</v>
      </c>
      <c r="G279" s="153" t="str">
        <f ca="1">IF(OFFSET(CT!$A$1,INT((ROW()+1)/2),COLUMN(CT!$N$3)-1)="No","False","True")</f>
        <v>True</v>
      </c>
    </row>
    <row r="280" spans="1:7" ht="15.6" x14ac:dyDescent="0.3">
      <c r="A280" s="77" t="str">
        <f ca="1">IF(MOD(ROW(),2)=1, OFFSET(CT!$A$1,INT(ROW()/2)+1,COLUMN(CT!A276)-1),"")</f>
        <v/>
      </c>
      <c r="B280" s="77" t="str">
        <f ca="1">IF(MOD(ROW(),2)=1, OFFSET(CT!$A$1,INT(ROW()/2)+1,COLUMN(CT!B276)-1),"")</f>
        <v/>
      </c>
      <c r="C280" s="77" t="str">
        <f ca="1">IF(MOD(ROW(),2)=1, OFFSET(CT!$A$1,INT(ROW()/2)+1,COLUMN(CT!C276)-1),"")</f>
        <v/>
      </c>
      <c r="D280" s="23" t="str">
        <f ca="1">OFFSET(CT!$A$1,INT((ROW()+1)/2),IF(MOD(ROW(),2)=1,COLUMN(CT!$D$5)-1,COLUMN(CT!$E$5)-1))</f>
        <v>622.03</v>
      </c>
      <c r="E280" s="78">
        <f ca="1">IF(MOD(ROW(),2)=1,OFFSET(CT!$A$1,INT(ROW()/2)+1,COLUMN(CT!$H$3)-1),0)</f>
        <v>0</v>
      </c>
      <c r="F280" s="78">
        <f ca="1">IF(MOD(ROW(),2)=0,OFFSET(CT!$A$1,INT(ROW()/2),COLUMN(CT!$H$3)-1),0)</f>
        <v>48800000</v>
      </c>
      <c r="G280" s="153" t="str">
        <f ca="1">IF(OFFSET(CT!$A$1,INT((ROW()+1)/2),COLUMN(CT!$N$3)-1)="No","False","True")</f>
        <v>True</v>
      </c>
    </row>
    <row r="281" spans="1:7" ht="15.6" x14ac:dyDescent="0.3">
      <c r="A281" s="77">
        <f ca="1">IF(MOD(ROW(),2)=1, OFFSET(CT!$A$1,INT(ROW()/2)+1,COLUMN(CT!A277)-1),"")</f>
        <v>45322</v>
      </c>
      <c r="B281" s="77" t="str">
        <f ca="1">IF(MOD(ROW(),2)=1, OFFSET(CT!$A$1,INT(ROW()/2)+1,COLUMN(CT!B277)-1),"")</f>
        <v>TH4</v>
      </c>
      <c r="C281" s="77" t="str">
        <f ca="1">IF(MOD(ROW(),2)=1, OFFSET(CT!$A$1,INT(ROW()/2)+1,COLUMN(CT!C277)-1),"")</f>
        <v>Kết chuyển CFNC vào TK154</v>
      </c>
      <c r="D281" s="23" t="str">
        <f ca="1">OFFSET(CT!$A$1,INT((ROW()+1)/2),IF(MOD(ROW(),2)=1,COLUMN(CT!$D$5)-1,COLUMN(CT!$E$5)-1))</f>
        <v>154.04</v>
      </c>
      <c r="E281" s="78">
        <f ca="1">IF(MOD(ROW(),2)=1,OFFSET(CT!$A$1,INT(ROW()/2)+1,COLUMN(CT!$H$3)-1),0)</f>
        <v>48800000</v>
      </c>
      <c r="F281" s="78">
        <f ca="1">IF(MOD(ROW(),2)=0,OFFSET(CT!$A$1,INT(ROW()/2),COLUMN(CT!$H$3)-1),0)</f>
        <v>0</v>
      </c>
      <c r="G281" s="153" t="str">
        <f ca="1">IF(OFFSET(CT!$A$1,INT((ROW()+1)/2),COLUMN(CT!$N$3)-1)="No","False","True")</f>
        <v>True</v>
      </c>
    </row>
    <row r="282" spans="1:7" ht="15.6" x14ac:dyDescent="0.3">
      <c r="A282" s="77" t="str">
        <f ca="1">IF(MOD(ROW(),2)=1, OFFSET(CT!$A$1,INT(ROW()/2)+1,COLUMN(CT!A278)-1),"")</f>
        <v/>
      </c>
      <c r="B282" s="77" t="str">
        <f ca="1">IF(MOD(ROW(),2)=1, OFFSET(CT!$A$1,INT(ROW()/2)+1,COLUMN(CT!B278)-1),"")</f>
        <v/>
      </c>
      <c r="C282" s="77" t="str">
        <f ca="1">IF(MOD(ROW(),2)=1, OFFSET(CT!$A$1,INT(ROW()/2)+1,COLUMN(CT!C278)-1),"")</f>
        <v/>
      </c>
      <c r="D282" s="23" t="str">
        <f ca="1">OFFSET(CT!$A$1,INT((ROW()+1)/2),IF(MOD(ROW(),2)=1,COLUMN(CT!$D$5)-1,COLUMN(CT!$E$5)-1))</f>
        <v>622.04</v>
      </c>
      <c r="E282" s="78">
        <f ca="1">IF(MOD(ROW(),2)=1,OFFSET(CT!$A$1,INT(ROW()/2)+1,COLUMN(CT!$H$3)-1),0)</f>
        <v>0</v>
      </c>
      <c r="F282" s="78">
        <f ca="1">IF(MOD(ROW(),2)=0,OFFSET(CT!$A$1,INT(ROW()/2),COLUMN(CT!$H$3)-1),0)</f>
        <v>48800000</v>
      </c>
      <c r="G282" s="153" t="str">
        <f ca="1">IF(OFFSET(CT!$A$1,INT((ROW()+1)/2),COLUMN(CT!$N$3)-1)="No","False","True")</f>
        <v>True</v>
      </c>
    </row>
    <row r="283" spans="1:7" ht="15.6" x14ac:dyDescent="0.3">
      <c r="A283" s="77">
        <f ca="1">IF(MOD(ROW(),2)=1, OFFSET(CT!$A$1,INT(ROW()/2)+1,COLUMN(CT!A279)-1),"")</f>
        <v>45322</v>
      </c>
      <c r="B283" s="77" t="str">
        <f ca="1">IF(MOD(ROW(),2)=1, OFFSET(CT!$A$1,INT(ROW()/2)+1,COLUMN(CT!B279)-1),"")</f>
        <v>TH4</v>
      </c>
      <c r="C283" s="77" t="str">
        <f ca="1">IF(MOD(ROW(),2)=1, OFFSET(CT!$A$1,INT(ROW()/2)+1,COLUMN(CT!C279)-1),"")</f>
        <v>Kết chuyển CFNC vào TK154</v>
      </c>
      <c r="D283" s="23" t="str">
        <f ca="1">OFFSET(CT!$A$1,INT((ROW()+1)/2),IF(MOD(ROW(),2)=1,COLUMN(CT!$D$5)-1,COLUMN(CT!$E$5)-1))</f>
        <v>154.05</v>
      </c>
      <c r="E283" s="78">
        <f ca="1">IF(MOD(ROW(),2)=1,OFFSET(CT!$A$1,INT(ROW()/2)+1,COLUMN(CT!$H$3)-1),0)</f>
        <v>48800000</v>
      </c>
      <c r="F283" s="78">
        <f ca="1">IF(MOD(ROW(),2)=0,OFFSET(CT!$A$1,INT(ROW()/2),COLUMN(CT!$H$3)-1),0)</f>
        <v>0</v>
      </c>
      <c r="G283" s="153" t="str">
        <f ca="1">IF(OFFSET(CT!$A$1,INT((ROW()+1)/2),COLUMN(CT!$N$3)-1)="No","False","True")</f>
        <v>True</v>
      </c>
    </row>
    <row r="284" spans="1:7" ht="15.6" x14ac:dyDescent="0.3">
      <c r="A284" s="77" t="str">
        <f ca="1">IF(MOD(ROW(),2)=1, OFFSET(CT!$A$1,INT(ROW()/2)+1,COLUMN(CT!A280)-1),"")</f>
        <v/>
      </c>
      <c r="B284" s="77" t="str">
        <f ca="1">IF(MOD(ROW(),2)=1, OFFSET(CT!$A$1,INT(ROW()/2)+1,COLUMN(CT!B280)-1),"")</f>
        <v/>
      </c>
      <c r="C284" s="77" t="str">
        <f ca="1">IF(MOD(ROW(),2)=1, OFFSET(CT!$A$1,INT(ROW()/2)+1,COLUMN(CT!C280)-1),"")</f>
        <v/>
      </c>
      <c r="D284" s="23" t="str">
        <f ca="1">OFFSET(CT!$A$1,INT((ROW()+1)/2),IF(MOD(ROW(),2)=1,COLUMN(CT!$D$5)-1,COLUMN(CT!$E$5)-1))</f>
        <v>622.05</v>
      </c>
      <c r="E284" s="78">
        <f ca="1">IF(MOD(ROW(),2)=1,OFFSET(CT!$A$1,INT(ROW()/2)+1,COLUMN(CT!$H$3)-1),0)</f>
        <v>0</v>
      </c>
      <c r="F284" s="78">
        <f ca="1">IF(MOD(ROW(),2)=0,OFFSET(CT!$A$1,INT(ROW()/2),COLUMN(CT!$H$3)-1),0)</f>
        <v>48800000</v>
      </c>
      <c r="G284" s="153" t="str">
        <f ca="1">IF(OFFSET(CT!$A$1,INT((ROW()+1)/2),COLUMN(CT!$N$3)-1)="No","False","True")</f>
        <v>True</v>
      </c>
    </row>
    <row r="285" spans="1:7" s="72" customFormat="1" ht="15.6" x14ac:dyDescent="0.3">
      <c r="A285" s="35"/>
      <c r="B285" s="35"/>
      <c r="C285" s="35" t="s">
        <v>916</v>
      </c>
      <c r="D285" s="35"/>
      <c r="E285" s="103">
        <f ca="1">SUBTOTAL(9,E7:E284)</f>
        <v>1236801169</v>
      </c>
      <c r="F285" s="103">
        <f ca="1">SUBTOTAL(9,F7:F284)</f>
        <v>1236801169</v>
      </c>
      <c r="G285" s="35"/>
    </row>
  </sheetData>
  <autoFilter ref="G6:G285" xr:uid="{B3C4E283-0B8C-43AF-A70B-15D1C26000DE}">
    <filterColumn colId="0">
      <filters blank="1">
        <filter val="True"/>
      </filters>
    </filterColumn>
  </autoFilter>
  <mergeCells count="5">
    <mergeCell ref="A1:G1"/>
    <mergeCell ref="A4:B4"/>
    <mergeCell ref="C4:C5"/>
    <mergeCell ref="D4:D5"/>
    <mergeCell ref="E4:F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A3F0-430D-41E9-A9E7-65A601BF2182}">
  <sheetPr filterMode="1">
    <tabColor rgb="FF00B050"/>
  </sheetPr>
  <dimension ref="A1:F148"/>
  <sheetViews>
    <sheetView workbookViewId="0">
      <selection activeCell="F147" sqref="F147"/>
    </sheetView>
  </sheetViews>
  <sheetFormatPr defaultRowHeight="13.2" x14ac:dyDescent="0.25"/>
  <cols>
    <col min="1" max="1" width="13.6640625" customWidth="1"/>
    <col min="2" max="2" width="17" customWidth="1"/>
    <col min="3" max="3" width="33.33203125" customWidth="1"/>
    <col min="4" max="4" width="24.33203125" customWidth="1"/>
    <col min="5" max="5" width="13" customWidth="1"/>
    <col min="6" max="6" width="12.44140625" customWidth="1"/>
  </cols>
  <sheetData>
    <row r="1" spans="1:6" x14ac:dyDescent="0.25">
      <c r="D1" s="74" t="s">
        <v>860</v>
      </c>
      <c r="E1" s="72"/>
      <c r="F1" s="86" t="s">
        <v>723</v>
      </c>
    </row>
    <row r="2" spans="1:6" x14ac:dyDescent="0.25">
      <c r="D2" s="72" t="s">
        <v>861</v>
      </c>
      <c r="E2" s="72" t="str">
        <f>VLOOKUP($F$1,HTTK1!$1:$1048576,COLUMN(HTTK1!C3),0)</f>
        <v>Tiền Mặt</v>
      </c>
      <c r="F2" s="72"/>
    </row>
    <row r="4" spans="1:6" x14ac:dyDescent="0.25">
      <c r="A4" s="167" t="s">
        <v>828</v>
      </c>
      <c r="B4" s="167"/>
      <c r="C4" s="161" t="s">
        <v>829</v>
      </c>
      <c r="D4" s="157" t="s">
        <v>862</v>
      </c>
      <c r="E4" s="167" t="s">
        <v>854</v>
      </c>
      <c r="F4" s="167"/>
    </row>
    <row r="5" spans="1:6" x14ac:dyDescent="0.25">
      <c r="A5" s="83" t="s">
        <v>832</v>
      </c>
      <c r="B5" s="83" t="s">
        <v>833</v>
      </c>
      <c r="C5" s="158"/>
      <c r="D5" s="158"/>
      <c r="E5" s="83" t="s">
        <v>856</v>
      </c>
      <c r="F5" s="83" t="s">
        <v>857</v>
      </c>
    </row>
    <row r="6" spans="1:6" x14ac:dyDescent="0.25">
      <c r="A6" s="82"/>
      <c r="B6" s="82"/>
      <c r="C6" s="82" t="s">
        <v>863</v>
      </c>
      <c r="D6" s="82"/>
      <c r="E6" s="82">
        <f>VLOOKUP($F$1,HTTK1!$1:$1048576,COLUMN(HTTK1!E3),0)</f>
        <v>400000000</v>
      </c>
      <c r="F6" s="154">
        <f>VLOOKUP($F$1,HTTK1!$1:$1048576,COLUMN(HTTK1!F5),0)</f>
        <v>0</v>
      </c>
    </row>
    <row r="7" spans="1:6" x14ac:dyDescent="0.25">
      <c r="A7" s="79">
        <v>1</v>
      </c>
      <c r="B7" s="79">
        <v>2</v>
      </c>
      <c r="C7" s="79">
        <v>3</v>
      </c>
      <c r="D7" s="79">
        <v>4</v>
      </c>
      <c r="E7" s="79">
        <v>5</v>
      </c>
      <c r="F7" s="79">
        <v>6</v>
      </c>
    </row>
    <row r="8" spans="1:6" x14ac:dyDescent="0.25">
      <c r="A8" s="84">
        <f>IF(OR(LEFT(CT!D5,3)=SC!$F$1,LEFT(CT!E5,3)=SC!$F$1),CT!A5,"")</f>
        <v>45293</v>
      </c>
      <c r="B8" s="84" t="str">
        <f>IF(OR(LEFT(CT!D5,3)=SC!$F$1,LEFT(CT!E5,3)=SC!$F$1),CT!B5,"")</f>
        <v>01/PT</v>
      </c>
      <c r="C8" s="65" t="str">
        <f>IF(OR(LEFT(CT!D5,3)=SC!$F$1,LEFT(CT!E5,3)=SC!$F$1),CT!C5,"")</f>
        <v>Thu nợ lô hàng 200</v>
      </c>
      <c r="D8" s="65" t="str">
        <f>IF(LEFT(CT!D5,3)=SC!$F$1,LEFT(CT!E5,3), IF(LEFT(CT!E5,3)=SC!$F$1,LEFT(CT!D5,3),""))</f>
        <v>131</v>
      </c>
      <c r="E8" s="69">
        <f>IF(LEFT(CT!D5,3)=SC!$F$1,CT!H5,0)</f>
        <v>5000000</v>
      </c>
      <c r="F8" s="69">
        <f>IF(LEFT(CT!E5,3)=SC!$F$1,CT!H5,0)</f>
        <v>0</v>
      </c>
    </row>
    <row r="9" spans="1:6" x14ac:dyDescent="0.25">
      <c r="A9" s="84">
        <f>IF(OR(LEFT(CT!D6,3)=SC!$F$1,LEFT(CT!E6,3)=SC!$F$1),CT!A6,"")</f>
        <v>45293</v>
      </c>
      <c r="B9" s="84" t="str">
        <f>IF(OR(LEFT(CT!D6,3)=SC!$F$1,LEFT(CT!E6,3)=SC!$F$1),CT!B6,"")</f>
        <v>02/PT</v>
      </c>
      <c r="C9" s="65" t="str">
        <f>IF(OR(LEFT(CT!D6,3)=SC!$F$1,LEFT(CT!E6,3)=SC!$F$1),CT!C6,"")</f>
        <v>Thu nợ lô hàng 212</v>
      </c>
      <c r="D9" s="65" t="str">
        <f>IF(LEFT(CT!D6,3)=SC!$F$1,LEFT(CT!E6,3), IF(LEFT(CT!E6,3)=SC!$F$1,LEFT(CT!D6,3),""))</f>
        <v>131</v>
      </c>
      <c r="E9" s="69">
        <f>IF(LEFT(CT!D6,3)=SC!$F$1,CT!H6,0)</f>
        <v>20000000</v>
      </c>
      <c r="F9" s="69">
        <f>IF(LEFT(CT!E6,3)=SC!$F$1,CT!H6,0)</f>
        <v>0</v>
      </c>
    </row>
    <row r="10" spans="1:6" x14ac:dyDescent="0.25">
      <c r="A10" s="84">
        <f>IF(OR(LEFT(CT!D7,3)=SC!$F$1,LEFT(CT!E7,3)=SC!$F$1),CT!A7,"")</f>
        <v>45295</v>
      </c>
      <c r="B10" s="84" t="str">
        <f>IF(OR(LEFT(CT!D7,3)=SC!$F$1,LEFT(CT!E7,3)=SC!$F$1),CT!B7,"")</f>
        <v>01/PC</v>
      </c>
      <c r="C10" s="65" t="str">
        <f>IF(OR(LEFT(CT!D7,3)=SC!$F$1,LEFT(CT!E7,3)=SC!$F$1),CT!C7,"")</f>
        <v>Chi tạm ứng cho Hồ Sĩ Nhật</v>
      </c>
      <c r="D10" s="65" t="str">
        <f>IF(LEFT(CT!D7,3)=SC!$F$1,LEFT(CT!E7,3), IF(LEFT(CT!E7,3)=SC!$F$1,LEFT(CT!D7,3),""))</f>
        <v>141</v>
      </c>
      <c r="E10" s="69">
        <f>IF(LEFT(CT!D7,3)=SC!$F$1,CT!H7,0)</f>
        <v>0</v>
      </c>
      <c r="F10" s="69">
        <f>IF(LEFT(CT!E7,3)=SC!$F$1,CT!H7,0)</f>
        <v>2000000</v>
      </c>
    </row>
    <row r="11" spans="1:6" hidden="1" x14ac:dyDescent="0.25">
      <c r="A11" s="80" t="str">
        <f>IF(OR(LEFT(CT!D8,3)=SC!$F$1,LEFT(CT!E8,3)=SC!$F$1),CT!A8,"")</f>
        <v/>
      </c>
      <c r="B11" s="80" t="str">
        <f>IF(OR(LEFT(CT!D8,3)=SC!$F$1,LEFT(CT!E8,3)=SC!$F$1),CT!B8,"")</f>
        <v/>
      </c>
      <c r="C11" t="str">
        <f>IF(OR(LEFT(CT!D8,3)=SC!$F$1,LEFT(CT!E8,3)=SC!$F$1),CT!C8,"")</f>
        <v/>
      </c>
      <c r="D11" t="str">
        <f>IF(LEFT(CT!D8,3)=SC!$F$1,LEFT(CT!E8,3), IF(LEFT(CT!E8,3)=SC!$F$1,LEFT(CT!D8,3),""))</f>
        <v/>
      </c>
      <c r="E11" s="67">
        <f>IF(LEFT(CT!D8,3)=SC!$F$1,CT!H8,0)</f>
        <v>0</v>
      </c>
      <c r="F11" s="67">
        <f>IF(LEFT(CT!E8,3)=SC!$F$1,CT!H8,0)</f>
        <v>0</v>
      </c>
    </row>
    <row r="12" spans="1:6" hidden="1" x14ac:dyDescent="0.25">
      <c r="A12" s="80" t="str">
        <f>IF(OR(LEFT(CT!D9,3)=SC!$F$1,LEFT(CT!E9,3)=SC!$F$1),CT!A9,"")</f>
        <v/>
      </c>
      <c r="B12" s="80" t="str">
        <f>IF(OR(LEFT(CT!D9,3)=SC!$F$1,LEFT(CT!E9,3)=SC!$F$1),CT!B9,"")</f>
        <v/>
      </c>
      <c r="C12" t="str">
        <f>IF(OR(LEFT(CT!D9,3)=SC!$F$1,LEFT(CT!E9,3)=SC!$F$1),CT!C9,"")</f>
        <v/>
      </c>
      <c r="D12" t="str">
        <f>IF(LEFT(CT!D9,3)=SC!$F$1,LEFT(CT!E9,3), IF(LEFT(CT!E9,3)=SC!$F$1,LEFT(CT!D9,3),""))</f>
        <v/>
      </c>
      <c r="E12" s="67">
        <f>IF(LEFT(CT!D9,3)=SC!$F$1,CT!H9,0)</f>
        <v>0</v>
      </c>
      <c r="F12" s="67">
        <f>IF(LEFT(CT!E9,3)=SC!$F$1,CT!H9,0)</f>
        <v>0</v>
      </c>
    </row>
    <row r="13" spans="1:6" x14ac:dyDescent="0.25">
      <c r="A13" s="84">
        <f>IF(OR(LEFT(CT!D10,3)=SC!$F$1,LEFT(CT!E10,3)=SC!$F$1),CT!A10,"")</f>
        <v>45296</v>
      </c>
      <c r="B13" s="84" t="str">
        <f>IF(OR(LEFT(CT!D10,3)=SC!$F$1,LEFT(CT!E10,3)=SC!$F$1),CT!B10,"")</f>
        <v>02/PC</v>
      </c>
      <c r="C13" s="65" t="str">
        <f>IF(OR(LEFT(CT!D10,3)=SC!$F$1,LEFT(CT!E10,3)=SC!$F$1),CT!C10,"")</f>
        <v>Thuế GTGT mua VPP</v>
      </c>
      <c r="D13" s="65" t="str">
        <f>IF(LEFT(CT!D10,3)=SC!$F$1,LEFT(CT!E10,3), IF(LEFT(CT!E10,3)=SC!$F$1,LEFT(CT!D10,3),""))</f>
        <v>133</v>
      </c>
      <c r="E13" s="69">
        <f>IF(LEFT(CT!D10,3)=SC!$F$1,CT!H10,0)</f>
        <v>0</v>
      </c>
      <c r="F13" s="69">
        <f>IF(LEFT(CT!E10,3)=SC!$F$1,CT!H10,0)</f>
        <v>100000</v>
      </c>
    </row>
    <row r="14" spans="1:6" x14ac:dyDescent="0.25">
      <c r="A14" s="84">
        <f>IF(OR(LEFT(CT!D11,3)=SC!$F$1,LEFT(CT!E11,3)=SC!$F$1),CT!A11,"")</f>
        <v>45296</v>
      </c>
      <c r="B14" s="84" t="str">
        <f>IF(OR(LEFT(CT!D11,3)=SC!$F$1,LEFT(CT!E11,3)=SC!$F$1),CT!B11,"")</f>
        <v>02/PC</v>
      </c>
      <c r="C14" s="65" t="str">
        <f>IF(OR(LEFT(CT!D11,3)=SC!$F$1,LEFT(CT!E11,3)=SC!$F$1),CT!C11,"")</f>
        <v>Mua VPP cho BPVP</v>
      </c>
      <c r="D14" s="65" t="str">
        <f>IF(LEFT(CT!D11,3)=SC!$F$1,LEFT(CT!E11,3), IF(LEFT(CT!E11,3)=SC!$F$1,LEFT(CT!D11,3),""))</f>
        <v>642</v>
      </c>
      <c r="E14" s="69">
        <f>IF(LEFT(CT!D11,3)=SC!$F$1,CT!H11,0)</f>
        <v>0</v>
      </c>
      <c r="F14" s="69">
        <f>IF(LEFT(CT!E11,3)=SC!$F$1,CT!H11,0)</f>
        <v>1000000</v>
      </c>
    </row>
    <row r="15" spans="1:6" hidden="1" x14ac:dyDescent="0.25">
      <c r="A15" s="80" t="str">
        <f>IF(OR(LEFT(CT!D12,3)=SC!$F$1,LEFT(CT!E12,3)=SC!$F$1),CT!A12,"")</f>
        <v/>
      </c>
      <c r="B15" s="80" t="str">
        <f>IF(OR(LEFT(CT!D12,3)=SC!$F$1,LEFT(CT!E12,3)=SC!$F$1),CT!B12,"")</f>
        <v/>
      </c>
      <c r="C15" t="str">
        <f>IF(OR(LEFT(CT!D12,3)=SC!$F$1,LEFT(CT!E12,3)=SC!$F$1),CT!C12,"")</f>
        <v/>
      </c>
      <c r="D15" t="str">
        <f>IF(LEFT(CT!D12,3)=SC!$F$1,LEFT(CT!E12,3), IF(LEFT(CT!E12,3)=SC!$F$1,LEFT(CT!D12,3),""))</f>
        <v/>
      </c>
      <c r="E15" s="67">
        <f>IF(LEFT(CT!D12,3)=SC!$F$1,CT!H12,0)</f>
        <v>0</v>
      </c>
      <c r="F15" s="67">
        <f>IF(LEFT(CT!E12,3)=SC!$F$1,CT!H12,0)</f>
        <v>0</v>
      </c>
    </row>
    <row r="16" spans="1:6" hidden="1" x14ac:dyDescent="0.25">
      <c r="A16" s="80" t="str">
        <f>IF(OR(LEFT(CT!D13,3)=SC!$F$1,LEFT(CT!E13,3)=SC!$F$1),CT!A13,"")</f>
        <v/>
      </c>
      <c r="B16" s="80" t="str">
        <f>IF(OR(LEFT(CT!D13,3)=SC!$F$1,LEFT(CT!E13,3)=SC!$F$1),CT!B13,"")</f>
        <v/>
      </c>
      <c r="C16" t="str">
        <f>IF(OR(LEFT(CT!D13,3)=SC!$F$1,LEFT(CT!E13,3)=SC!$F$1),CT!C13,"")</f>
        <v/>
      </c>
      <c r="D16" t="str">
        <f>IF(LEFT(CT!D13,3)=SC!$F$1,LEFT(CT!E13,3), IF(LEFT(CT!E13,3)=SC!$F$1,LEFT(CT!D13,3),""))</f>
        <v/>
      </c>
      <c r="E16" s="67">
        <f>IF(LEFT(CT!D13,3)=SC!$F$1,CT!H13,0)</f>
        <v>0</v>
      </c>
      <c r="F16" s="67">
        <f>IF(LEFT(CT!E13,3)=SC!$F$1,CT!H13,0)</f>
        <v>0</v>
      </c>
    </row>
    <row r="17" spans="1:6" hidden="1" x14ac:dyDescent="0.25">
      <c r="A17" s="80" t="str">
        <f>IF(OR(LEFT(CT!D14,3)=SC!$F$1,LEFT(CT!E14,3)=SC!$F$1),CT!A14,"")</f>
        <v/>
      </c>
      <c r="B17" s="80" t="str">
        <f>IF(OR(LEFT(CT!D14,3)=SC!$F$1,LEFT(CT!E14,3)=SC!$F$1),CT!B14,"")</f>
        <v/>
      </c>
      <c r="C17" t="str">
        <f>IF(OR(LEFT(CT!D14,3)=SC!$F$1,LEFT(CT!E14,3)=SC!$F$1),CT!C14,"")</f>
        <v/>
      </c>
      <c r="D17" t="str">
        <f>IF(LEFT(CT!D14,3)=SC!$F$1,LEFT(CT!E14,3), IF(LEFT(CT!E14,3)=SC!$F$1,LEFT(CT!D14,3),""))</f>
        <v/>
      </c>
      <c r="E17" s="67">
        <f>IF(LEFT(CT!D14,3)=SC!$F$1,CT!H14,0)</f>
        <v>0</v>
      </c>
      <c r="F17" s="67">
        <f>IF(LEFT(CT!E14,3)=SC!$F$1,CT!H14,0)</f>
        <v>0</v>
      </c>
    </row>
    <row r="18" spans="1:6" hidden="1" x14ac:dyDescent="0.25">
      <c r="A18" s="80" t="str">
        <f>IF(OR(LEFT(CT!D15,3)=SC!$F$1,LEFT(CT!E15,3)=SC!$F$1),CT!A15,"")</f>
        <v/>
      </c>
      <c r="B18" s="80" t="str">
        <f>IF(OR(LEFT(CT!D15,3)=SC!$F$1,LEFT(CT!E15,3)=SC!$F$1),CT!B15,"")</f>
        <v/>
      </c>
      <c r="C18" t="str">
        <f>IF(OR(LEFT(CT!D15,3)=SC!$F$1,LEFT(CT!E15,3)=SC!$F$1),CT!C15,"")</f>
        <v/>
      </c>
      <c r="D18" t="str">
        <f>IF(LEFT(CT!D15,3)=SC!$F$1,LEFT(CT!E15,3), IF(LEFT(CT!E15,3)=SC!$F$1,LEFT(CT!D15,3),""))</f>
        <v/>
      </c>
      <c r="E18" s="67">
        <f>IF(LEFT(CT!D15,3)=SC!$F$1,CT!H15,0)</f>
        <v>0</v>
      </c>
      <c r="F18" s="67">
        <f>IF(LEFT(CT!E15,3)=SC!$F$1,CT!H15,0)</f>
        <v>0</v>
      </c>
    </row>
    <row r="19" spans="1:6" hidden="1" x14ac:dyDescent="0.25">
      <c r="A19" s="80" t="str">
        <f>IF(OR(LEFT(CT!D16,3)=SC!$F$1,LEFT(CT!E16,3)=SC!$F$1),CT!A16,"")</f>
        <v/>
      </c>
      <c r="B19" s="80" t="str">
        <f>IF(OR(LEFT(CT!D16,3)=SC!$F$1,LEFT(CT!E16,3)=SC!$F$1),CT!B16,"")</f>
        <v/>
      </c>
      <c r="C19" t="str">
        <f>IF(OR(LEFT(CT!D16,3)=SC!$F$1,LEFT(CT!E16,3)=SC!$F$1),CT!C16,"")</f>
        <v/>
      </c>
      <c r="D19" t="str">
        <f>IF(LEFT(CT!D16,3)=SC!$F$1,LEFT(CT!E16,3), IF(LEFT(CT!E16,3)=SC!$F$1,LEFT(CT!D16,3),""))</f>
        <v/>
      </c>
      <c r="E19" s="67">
        <f>IF(LEFT(CT!D16,3)=SC!$F$1,CT!H16,0)</f>
        <v>0</v>
      </c>
      <c r="F19" s="67">
        <f>IF(LEFT(CT!E16,3)=SC!$F$1,CT!H16,0)</f>
        <v>0</v>
      </c>
    </row>
    <row r="20" spans="1:6" hidden="1" x14ac:dyDescent="0.25">
      <c r="A20" s="80" t="str">
        <f>IF(OR(LEFT(CT!D17,3)=SC!$F$1,LEFT(CT!E17,3)=SC!$F$1),CT!A17,"")</f>
        <v/>
      </c>
      <c r="B20" s="80" t="str">
        <f>IF(OR(LEFT(CT!D17,3)=SC!$F$1,LEFT(CT!E17,3)=SC!$F$1),CT!B17,"")</f>
        <v/>
      </c>
      <c r="C20" t="str">
        <f>IF(OR(LEFT(CT!D17,3)=SC!$F$1,LEFT(CT!E17,3)=SC!$F$1),CT!C17,"")</f>
        <v/>
      </c>
      <c r="D20" t="str">
        <f>IF(LEFT(CT!D17,3)=SC!$F$1,LEFT(CT!E17,3), IF(LEFT(CT!E17,3)=SC!$F$1,LEFT(CT!D17,3),""))</f>
        <v/>
      </c>
      <c r="E20" s="67">
        <f>IF(LEFT(CT!D17,3)=SC!$F$1,CT!H17,0)</f>
        <v>0</v>
      </c>
      <c r="F20" s="67">
        <f>IF(LEFT(CT!E17,3)=SC!$F$1,CT!H17,0)</f>
        <v>0</v>
      </c>
    </row>
    <row r="21" spans="1:6" x14ac:dyDescent="0.25">
      <c r="A21" s="84">
        <f>IF(OR(LEFT(CT!D18,3)=SC!$F$1,LEFT(CT!E18,3)=SC!$F$1),CT!A18,"")</f>
        <v>45306</v>
      </c>
      <c r="B21" s="84" t="str">
        <f>IF(OR(LEFT(CT!D18,3)=SC!$F$1,LEFT(CT!E18,3)=SC!$F$1),CT!B18,"")</f>
        <v>03/PC</v>
      </c>
      <c r="C21" s="65" t="str">
        <f>IF(OR(LEFT(CT!D18,3)=SC!$F$1,LEFT(CT!E18,3)=SC!$F$1),CT!C18,"")</f>
        <v>Chi lương cho NVBH</v>
      </c>
      <c r="D21" s="65" t="str">
        <f>IF(LEFT(CT!D18,3)=SC!$F$1,LEFT(CT!E18,3), IF(LEFT(CT!E18,3)=SC!$F$1,LEFT(CT!D18,3),""))</f>
        <v>334</v>
      </c>
      <c r="E21" s="69">
        <f>IF(LEFT(CT!D18,3)=SC!$F$1,CT!H18,0)</f>
        <v>0</v>
      </c>
      <c r="F21" s="69">
        <f>IF(LEFT(CT!E18,3)=SC!$F$1,CT!H18,0)</f>
        <v>5000000</v>
      </c>
    </row>
    <row r="22" spans="1:6" x14ac:dyDescent="0.25">
      <c r="A22" s="84">
        <f>IF(OR(LEFT(CT!D19,3)=SC!$F$1,LEFT(CT!E19,3)=SC!$F$1),CT!A19,"")</f>
        <v>45306</v>
      </c>
      <c r="B22" s="84" t="str">
        <f>IF(OR(LEFT(CT!D19,3)=SC!$F$1,LEFT(CT!E19,3)=SC!$F$1),CT!B19,"")</f>
        <v>03/PC</v>
      </c>
      <c r="C22" s="65" t="str">
        <f>IF(OR(LEFT(CT!D19,3)=SC!$F$1,LEFT(CT!E19,3)=SC!$F$1),CT!C19,"")</f>
        <v>Chi lương cho CB QLDN</v>
      </c>
      <c r="D22" s="65" t="str">
        <f>IF(LEFT(CT!D19,3)=SC!$F$1,LEFT(CT!E19,3), IF(LEFT(CT!E19,3)=SC!$F$1,LEFT(CT!D19,3),""))</f>
        <v>334</v>
      </c>
      <c r="E22" s="69">
        <f>IF(LEFT(CT!D19,3)=SC!$F$1,CT!H19,0)</f>
        <v>0</v>
      </c>
      <c r="F22" s="69">
        <f>IF(LEFT(CT!E19,3)=SC!$F$1,CT!H19,0)</f>
        <v>7000000</v>
      </c>
    </row>
    <row r="23" spans="1:6" hidden="1" x14ac:dyDescent="0.25">
      <c r="A23" s="80" t="str">
        <f>IF(OR(LEFT(CT!D20,3)=SC!$F$1,LEFT(CT!E20,3)=SC!$F$1),CT!A20,"")</f>
        <v/>
      </c>
      <c r="B23" s="80" t="str">
        <f>IF(OR(LEFT(CT!D20,3)=SC!$F$1,LEFT(CT!E20,3)=SC!$F$1),CT!B20,"")</f>
        <v/>
      </c>
      <c r="C23" t="str">
        <f>IF(OR(LEFT(CT!D20,3)=SC!$F$1,LEFT(CT!E20,3)=SC!$F$1),CT!C20,"")</f>
        <v/>
      </c>
      <c r="D23" t="str">
        <f>IF(LEFT(CT!D20,3)=SC!$F$1,LEFT(CT!E20,3), IF(LEFT(CT!E20,3)=SC!$F$1,LEFT(CT!D20,3),""))</f>
        <v/>
      </c>
      <c r="E23" s="67">
        <f>IF(LEFT(CT!D20,3)=SC!$F$1,CT!H20,0)</f>
        <v>0</v>
      </c>
      <c r="F23" s="67">
        <f>IF(LEFT(CT!E20,3)=SC!$F$1,CT!H20,0)</f>
        <v>0</v>
      </c>
    </row>
    <row r="24" spans="1:6" hidden="1" x14ac:dyDescent="0.25">
      <c r="A24" s="80" t="str">
        <f>IF(OR(LEFT(CT!D21,3)=SC!$F$1,LEFT(CT!E21,3)=SC!$F$1),CT!A21,"")</f>
        <v/>
      </c>
      <c r="B24" s="80" t="str">
        <f>IF(OR(LEFT(CT!D21,3)=SC!$F$1,LEFT(CT!E21,3)=SC!$F$1),CT!B21,"")</f>
        <v/>
      </c>
      <c r="C24" t="str">
        <f>IF(OR(LEFT(CT!D21,3)=SC!$F$1,LEFT(CT!E21,3)=SC!$F$1),CT!C21,"")</f>
        <v/>
      </c>
      <c r="D24" t="str">
        <f>IF(LEFT(CT!D21,3)=SC!$F$1,LEFT(CT!E21,3), IF(LEFT(CT!E21,3)=SC!$F$1,LEFT(CT!D21,3),""))</f>
        <v/>
      </c>
      <c r="E24" s="67">
        <f>IF(LEFT(CT!D21,3)=SC!$F$1,CT!H21,0)</f>
        <v>0</v>
      </c>
      <c r="F24" s="67">
        <f>IF(LEFT(CT!E21,3)=SC!$F$1,CT!H21,0)</f>
        <v>0</v>
      </c>
    </row>
    <row r="25" spans="1:6" x14ac:dyDescent="0.25">
      <c r="A25" s="84">
        <f>IF(OR(LEFT(CT!D22,3)=SC!$F$1,LEFT(CT!E22,3)=SC!$F$1),CT!A22,"")</f>
        <v>45306</v>
      </c>
      <c r="B25" s="84" t="str">
        <f>IF(OR(LEFT(CT!D22,3)=SC!$F$1,LEFT(CT!E22,3)=SC!$F$1),CT!B22,"")</f>
        <v>03/PC</v>
      </c>
      <c r="C25" s="65" t="str">
        <f>IF(OR(LEFT(CT!D22,3)=SC!$F$1,LEFT(CT!E22,3)=SC!$F$1),CT!C22,"")</f>
        <v>Chi lương cho NV QLPX</v>
      </c>
      <c r="D25" s="65" t="str">
        <f>IF(LEFT(CT!D22,3)=SC!$F$1,LEFT(CT!E22,3), IF(LEFT(CT!E22,3)=SC!$F$1,LEFT(CT!D22,3),""))</f>
        <v>334</v>
      </c>
      <c r="E25" s="69">
        <f>IF(LEFT(CT!D22,3)=SC!$F$1,CT!H22,0)</f>
        <v>0</v>
      </c>
      <c r="F25" s="69">
        <f>IF(LEFT(CT!E22,3)=SC!$F$1,CT!H22,0)</f>
        <v>35000000</v>
      </c>
    </row>
    <row r="26" spans="1:6" x14ac:dyDescent="0.25">
      <c r="A26" s="84">
        <f>IF(OR(LEFT(CT!D23,3)=SC!$F$1,LEFT(CT!E23,3)=SC!$F$1),CT!A23,"")</f>
        <v>45306</v>
      </c>
      <c r="B26" s="84" t="str">
        <f>IF(OR(LEFT(CT!D23,3)=SC!$F$1,LEFT(CT!E23,3)=SC!$F$1),CT!B23,"")</f>
        <v>03/PC</v>
      </c>
      <c r="C26" s="65" t="str">
        <f>IF(OR(LEFT(CT!D23,3)=SC!$F$1,LEFT(CT!E23,3)=SC!$F$1),CT!C23,"")</f>
        <v>Chi lương cho CNSX GTV</v>
      </c>
      <c r="D26" s="65" t="str">
        <f>IF(LEFT(CT!D23,3)=SC!$F$1,LEFT(CT!E23,3), IF(LEFT(CT!E23,3)=SC!$F$1,LEFT(CT!D23,3),""))</f>
        <v>334</v>
      </c>
      <c r="E26" s="69">
        <f>IF(LEFT(CT!D23,3)=SC!$F$1,CT!H23,0)</f>
        <v>0</v>
      </c>
      <c r="F26" s="69">
        <f>IF(LEFT(CT!E23,3)=SC!$F$1,CT!H23,0)</f>
        <v>40000000</v>
      </c>
    </row>
    <row r="27" spans="1:6" x14ac:dyDescent="0.25">
      <c r="A27" s="84">
        <f>IF(OR(LEFT(CT!D24,3)=SC!$F$1,LEFT(CT!E24,3)=SC!$F$1),CT!A24,"")</f>
        <v>45306</v>
      </c>
      <c r="B27" s="84" t="str">
        <f>IF(OR(LEFT(CT!D24,3)=SC!$F$1,LEFT(CT!E24,3)=SC!$F$1),CT!B24,"")</f>
        <v>03/PC</v>
      </c>
      <c r="C27" s="65" t="str">
        <f>IF(OR(LEFT(CT!D24,3)=SC!$F$1,LEFT(CT!E24,3)=SC!$F$1),CT!C24,"")</f>
        <v>Chi lương cho CNSX GKT</v>
      </c>
      <c r="D27" s="65" t="str">
        <f>IF(LEFT(CT!D24,3)=SC!$F$1,LEFT(CT!E24,3), IF(LEFT(CT!E24,3)=SC!$F$1,LEFT(CT!D24,3),""))</f>
        <v>334</v>
      </c>
      <c r="E27" s="69">
        <f>IF(LEFT(CT!D24,3)=SC!$F$1,CT!H24,0)</f>
        <v>0</v>
      </c>
      <c r="F27" s="69">
        <f>IF(LEFT(CT!E24,3)=SC!$F$1,CT!H24,0)</f>
        <v>40000000</v>
      </c>
    </row>
    <row r="28" spans="1:6" x14ac:dyDescent="0.25">
      <c r="A28" s="84">
        <f>IF(OR(LEFT(CT!D25,3)=SC!$F$1,LEFT(CT!E25,3)=SC!$F$1),CT!A25,"")</f>
        <v>45306</v>
      </c>
      <c r="B28" s="84" t="str">
        <f>IF(OR(LEFT(CT!D25,3)=SC!$F$1,LEFT(CT!E25,3)=SC!$F$1),CT!B25,"")</f>
        <v>03/PC</v>
      </c>
      <c r="C28" s="65" t="str">
        <f>IF(OR(LEFT(CT!D25,3)=SC!$F$1,LEFT(CT!E25,3)=SC!$F$1),CT!C25,"")</f>
        <v>Chi lương cho CNSX GTV</v>
      </c>
      <c r="D28" s="65" t="str">
        <f>IF(LEFT(CT!D25,3)=SC!$F$1,LEFT(CT!E25,3), IF(LEFT(CT!E25,3)=SC!$F$1,LEFT(CT!D25,3),""))</f>
        <v>334</v>
      </c>
      <c r="E28" s="69">
        <f>IF(LEFT(CT!D25,3)=SC!$F$1,CT!H25,0)</f>
        <v>0</v>
      </c>
      <c r="F28" s="69">
        <f>IF(LEFT(CT!E25,3)=SC!$F$1,CT!H25,0)</f>
        <v>40000000</v>
      </c>
    </row>
    <row r="29" spans="1:6" x14ac:dyDescent="0.25">
      <c r="A29" s="84">
        <f>IF(OR(LEFT(CT!D26,3)=SC!$F$1,LEFT(CT!E26,3)=SC!$F$1),CT!A26,"")</f>
        <v>45306</v>
      </c>
      <c r="B29" s="84" t="str">
        <f>IF(OR(LEFT(CT!D26,3)=SC!$F$1,LEFT(CT!E26,3)=SC!$F$1),CT!B26,"")</f>
        <v>03/PC</v>
      </c>
      <c r="C29" s="65" t="str">
        <f>IF(OR(LEFT(CT!D26,3)=SC!$F$1,LEFT(CT!E26,3)=SC!$F$1),CT!C26,"")</f>
        <v>Chi lương cho CNSX BT</v>
      </c>
      <c r="D29" s="65" t="str">
        <f>IF(LEFT(CT!D26,3)=SC!$F$1,LEFT(CT!E26,3), IF(LEFT(CT!E26,3)=SC!$F$1,LEFT(CT!D26,3),""))</f>
        <v>334</v>
      </c>
      <c r="E29" s="69">
        <f>IF(LEFT(CT!D26,3)=SC!$F$1,CT!H26,0)</f>
        <v>0</v>
      </c>
      <c r="F29" s="69">
        <f>IF(LEFT(CT!E26,3)=SC!$F$1,CT!H26,0)</f>
        <v>40000000</v>
      </c>
    </row>
    <row r="30" spans="1:6" x14ac:dyDescent="0.25">
      <c r="A30" s="84">
        <f>IF(OR(LEFT(CT!D27,3)=SC!$F$1,LEFT(CT!E27,3)=SC!$F$1),CT!A27,"")</f>
        <v>45306</v>
      </c>
      <c r="B30" s="84" t="str">
        <f>IF(OR(LEFT(CT!D27,3)=SC!$F$1,LEFT(CT!E27,3)=SC!$F$1),CT!B27,"")</f>
        <v>03/PC</v>
      </c>
      <c r="C30" s="65" t="str">
        <f>IF(OR(LEFT(CT!D27,3)=SC!$F$1,LEFT(CT!E27,3)=SC!$F$1),CT!C27,"")</f>
        <v>Chi lương cho CNSX BO</v>
      </c>
      <c r="D30" s="65" t="str">
        <f>IF(LEFT(CT!D27,3)=SC!$F$1,LEFT(CT!E27,3), IF(LEFT(CT!E27,3)=SC!$F$1,LEFT(CT!D27,3),""))</f>
        <v>334</v>
      </c>
      <c r="E30" s="69">
        <f>IF(LEFT(CT!D27,3)=SC!$F$1,CT!H27,0)</f>
        <v>0</v>
      </c>
      <c r="F30" s="69">
        <f>IF(LEFT(CT!E27,3)=SC!$F$1,CT!H27,0)</f>
        <v>40000000</v>
      </c>
    </row>
    <row r="31" spans="1:6" hidden="1" x14ac:dyDescent="0.25">
      <c r="A31" s="80" t="str">
        <f>IF(OR(LEFT(CT!D28,3)=SC!$F$1,LEFT(CT!E28,3)=SC!$F$1),CT!A28,"")</f>
        <v/>
      </c>
      <c r="B31" s="80" t="str">
        <f>IF(OR(LEFT(CT!D28,3)=SC!$F$1,LEFT(CT!E28,3)=SC!$F$1),CT!B28,"")</f>
        <v/>
      </c>
      <c r="C31" t="str">
        <f>IF(OR(LEFT(CT!D28,3)=SC!$F$1,LEFT(CT!E28,3)=SC!$F$1),CT!C28,"")</f>
        <v/>
      </c>
      <c r="D31" t="str">
        <f>IF(LEFT(CT!D28,3)=SC!$F$1,LEFT(CT!E28,3), IF(LEFT(CT!E28,3)=SC!$F$1,LEFT(CT!D28,3),""))</f>
        <v/>
      </c>
      <c r="E31" s="67">
        <f>IF(LEFT(CT!D28,3)=SC!$F$1,CT!H28,0)</f>
        <v>0</v>
      </c>
      <c r="F31" s="67">
        <f>IF(LEFT(CT!E28,3)=SC!$F$1,CT!H28,0)</f>
        <v>0</v>
      </c>
    </row>
    <row r="32" spans="1:6" hidden="1" x14ac:dyDescent="0.25">
      <c r="A32" s="80" t="str">
        <f>IF(OR(LEFT(CT!D29,3)=SC!$F$1,LEFT(CT!E29,3)=SC!$F$1),CT!A29,"")</f>
        <v/>
      </c>
      <c r="B32" s="80" t="str">
        <f>IF(OR(LEFT(CT!D29,3)=SC!$F$1,LEFT(CT!E29,3)=SC!$F$1),CT!B29,"")</f>
        <v/>
      </c>
      <c r="C32" t="str">
        <f>IF(OR(LEFT(CT!D29,3)=SC!$F$1,LEFT(CT!E29,3)=SC!$F$1),CT!C29,"")</f>
        <v/>
      </c>
      <c r="D32" t="str">
        <f>IF(LEFT(CT!D29,3)=SC!$F$1,LEFT(CT!E29,3), IF(LEFT(CT!E29,3)=SC!$F$1,LEFT(CT!D29,3),""))</f>
        <v/>
      </c>
      <c r="E32" s="67">
        <f>IF(LEFT(CT!D29,3)=SC!$F$1,CT!H29,0)</f>
        <v>0</v>
      </c>
      <c r="F32" s="67">
        <f>IF(LEFT(CT!E29,3)=SC!$F$1,CT!H29,0)</f>
        <v>0</v>
      </c>
    </row>
    <row r="33" spans="1:6" hidden="1" x14ac:dyDescent="0.25">
      <c r="A33" s="80" t="str">
        <f>IF(OR(LEFT(CT!D30,3)=SC!$F$1,LEFT(CT!E30,3)=SC!$F$1),CT!A30,"")</f>
        <v/>
      </c>
      <c r="B33" s="80" t="str">
        <f>IF(OR(LEFT(CT!D30,3)=SC!$F$1,LEFT(CT!E30,3)=SC!$F$1),CT!B30,"")</f>
        <v/>
      </c>
      <c r="C33" t="str">
        <f>IF(OR(LEFT(CT!D30,3)=SC!$F$1,LEFT(CT!E30,3)=SC!$F$1),CT!C30,"")</f>
        <v/>
      </c>
      <c r="D33" t="str">
        <f>IF(LEFT(CT!D30,3)=SC!$F$1,LEFT(CT!E30,3), IF(LEFT(CT!E30,3)=SC!$F$1,LEFT(CT!D30,3),""))</f>
        <v/>
      </c>
      <c r="E33" s="67">
        <f>IF(LEFT(CT!D30,3)=SC!$F$1,CT!H30,0)</f>
        <v>0</v>
      </c>
      <c r="F33" s="67">
        <f>IF(LEFT(CT!E30,3)=SC!$F$1,CT!H30,0)</f>
        <v>0</v>
      </c>
    </row>
    <row r="34" spans="1:6" hidden="1" x14ac:dyDescent="0.25">
      <c r="A34" s="80" t="str">
        <f>IF(OR(LEFT(CT!D31,3)=SC!$F$1,LEFT(CT!E31,3)=SC!$F$1),CT!A31,"")</f>
        <v/>
      </c>
      <c r="B34" s="80" t="str">
        <f>IF(OR(LEFT(CT!D31,3)=SC!$F$1,LEFT(CT!E31,3)=SC!$F$1),CT!B31,"")</f>
        <v/>
      </c>
      <c r="C34" t="str">
        <f>IF(OR(LEFT(CT!D31,3)=SC!$F$1,LEFT(CT!E31,3)=SC!$F$1),CT!C31,"")</f>
        <v/>
      </c>
      <c r="D34" t="str">
        <f>IF(LEFT(CT!D31,3)=SC!$F$1,LEFT(CT!E31,3), IF(LEFT(CT!E31,3)=SC!$F$1,LEFT(CT!D31,3),""))</f>
        <v/>
      </c>
      <c r="E34" s="67">
        <f>IF(LEFT(CT!D31,3)=SC!$F$1,CT!H31,0)</f>
        <v>0</v>
      </c>
      <c r="F34" s="67">
        <f>IF(LEFT(CT!E31,3)=SC!$F$1,CT!H31,0)</f>
        <v>0</v>
      </c>
    </row>
    <row r="35" spans="1:6" hidden="1" x14ac:dyDescent="0.25">
      <c r="A35" s="80" t="str">
        <f>IF(OR(LEFT(CT!D32,3)=SC!$F$1,LEFT(CT!E32,3)=SC!$F$1),CT!A32,"")</f>
        <v/>
      </c>
      <c r="B35" s="80" t="str">
        <f>IF(OR(LEFT(CT!D32,3)=SC!$F$1,LEFT(CT!E32,3)=SC!$F$1),CT!B32,"")</f>
        <v/>
      </c>
      <c r="C35" t="str">
        <f>IF(OR(LEFT(CT!D32,3)=SC!$F$1,LEFT(CT!E32,3)=SC!$F$1),CT!C32,"")</f>
        <v/>
      </c>
      <c r="D35" t="str">
        <f>IF(LEFT(CT!D32,3)=SC!$F$1,LEFT(CT!E32,3), IF(LEFT(CT!E32,3)=SC!$F$1,LEFT(CT!D32,3),""))</f>
        <v/>
      </c>
      <c r="E35" s="67">
        <f>IF(LEFT(CT!D32,3)=SC!$F$1,CT!H32,0)</f>
        <v>0</v>
      </c>
      <c r="F35" s="67">
        <f>IF(LEFT(CT!E32,3)=SC!$F$1,CT!H32,0)</f>
        <v>0</v>
      </c>
    </row>
    <row r="36" spans="1:6" hidden="1" x14ac:dyDescent="0.25">
      <c r="A36" s="80" t="str">
        <f>IF(OR(LEFT(CT!D33,3)=SC!$F$1,LEFT(CT!E33,3)=SC!$F$1),CT!A33,"")</f>
        <v/>
      </c>
      <c r="B36" s="80" t="str">
        <f>IF(OR(LEFT(CT!D33,3)=SC!$F$1,LEFT(CT!E33,3)=SC!$F$1),CT!B33,"")</f>
        <v/>
      </c>
      <c r="C36" t="str">
        <f>IF(OR(LEFT(CT!D33,3)=SC!$F$1,LEFT(CT!E33,3)=SC!$F$1),CT!C33,"")</f>
        <v/>
      </c>
      <c r="D36" t="str">
        <f>IF(LEFT(CT!D33,3)=SC!$F$1,LEFT(CT!E33,3), IF(LEFT(CT!E33,3)=SC!$F$1,LEFT(CT!D33,3),""))</f>
        <v/>
      </c>
      <c r="E36" s="67">
        <f>IF(LEFT(CT!D33,3)=SC!$F$1,CT!H33,0)</f>
        <v>0</v>
      </c>
      <c r="F36" s="67">
        <f>IF(LEFT(CT!E33,3)=SC!$F$1,CT!H33,0)</f>
        <v>0</v>
      </c>
    </row>
    <row r="37" spans="1:6" hidden="1" x14ac:dyDescent="0.25">
      <c r="A37" s="80" t="str">
        <f>IF(OR(LEFT(CT!D34,3)=SC!$F$1,LEFT(CT!E34,3)=SC!$F$1),CT!A34,"")</f>
        <v/>
      </c>
      <c r="B37" s="80" t="str">
        <f>IF(OR(LEFT(CT!D34,3)=SC!$F$1,LEFT(CT!E34,3)=SC!$F$1),CT!B34,"")</f>
        <v/>
      </c>
      <c r="C37" t="str">
        <f>IF(OR(LEFT(CT!D34,3)=SC!$F$1,LEFT(CT!E34,3)=SC!$F$1),CT!C34,"")</f>
        <v/>
      </c>
      <c r="D37" t="str">
        <f>IF(LEFT(CT!D34,3)=SC!$F$1,LEFT(CT!E34,3), IF(LEFT(CT!E34,3)=SC!$F$1,LEFT(CT!D34,3),""))</f>
        <v/>
      </c>
      <c r="E37" s="67">
        <f>IF(LEFT(CT!D34,3)=SC!$F$1,CT!H34,0)</f>
        <v>0</v>
      </c>
      <c r="F37" s="67">
        <f>IF(LEFT(CT!E34,3)=SC!$F$1,CT!H34,0)</f>
        <v>0</v>
      </c>
    </row>
    <row r="38" spans="1:6" hidden="1" x14ac:dyDescent="0.25">
      <c r="A38" s="80" t="str">
        <f>IF(OR(LEFT(CT!D35,3)=SC!$F$1,LEFT(CT!E35,3)=SC!$F$1),CT!A35,"")</f>
        <v/>
      </c>
      <c r="B38" s="80" t="str">
        <f>IF(OR(LEFT(CT!D35,3)=SC!$F$1,LEFT(CT!E35,3)=SC!$F$1),CT!B35,"")</f>
        <v/>
      </c>
      <c r="C38" t="str">
        <f>IF(OR(LEFT(CT!D35,3)=SC!$F$1,LEFT(CT!E35,3)=SC!$F$1),CT!C35,"")</f>
        <v/>
      </c>
      <c r="D38" t="str">
        <f>IF(LEFT(CT!D35,3)=SC!$F$1,LEFT(CT!E35,3), IF(LEFT(CT!E35,3)=SC!$F$1,LEFT(CT!D35,3),""))</f>
        <v/>
      </c>
      <c r="E38" s="67">
        <f>IF(LEFT(CT!D35,3)=SC!$F$1,CT!H35,0)</f>
        <v>0</v>
      </c>
      <c r="F38" s="67">
        <f>IF(LEFT(CT!E35,3)=SC!$F$1,CT!H35,0)</f>
        <v>0</v>
      </c>
    </row>
    <row r="39" spans="1:6" hidden="1" x14ac:dyDescent="0.25">
      <c r="A39" s="80" t="str">
        <f>IF(OR(LEFT(CT!D36,3)=SC!$F$1,LEFT(CT!E36,3)=SC!$F$1),CT!A36,"")</f>
        <v/>
      </c>
      <c r="B39" s="80" t="str">
        <f>IF(OR(LEFT(CT!D36,3)=SC!$F$1,LEFT(CT!E36,3)=SC!$F$1),CT!B36,"")</f>
        <v/>
      </c>
      <c r="C39" t="str">
        <f>IF(OR(LEFT(CT!D36,3)=SC!$F$1,LEFT(CT!E36,3)=SC!$F$1),CT!C36,"")</f>
        <v/>
      </c>
      <c r="D39" t="str">
        <f>IF(LEFT(CT!D36,3)=SC!$F$1,LEFT(CT!E36,3), IF(LEFT(CT!E36,3)=SC!$F$1,LEFT(CT!D36,3),""))</f>
        <v/>
      </c>
      <c r="E39" s="67">
        <f>IF(LEFT(CT!D36,3)=SC!$F$1,CT!H36,0)</f>
        <v>0</v>
      </c>
      <c r="F39" s="67">
        <f>IF(LEFT(CT!E36,3)=SC!$F$1,CT!H36,0)</f>
        <v>0</v>
      </c>
    </row>
    <row r="40" spans="1:6" hidden="1" x14ac:dyDescent="0.25">
      <c r="A40" s="80" t="str">
        <f>IF(OR(LEFT(CT!D37,3)=SC!$F$1,LEFT(CT!E37,3)=SC!$F$1),CT!A37,"")</f>
        <v/>
      </c>
      <c r="B40" s="80" t="str">
        <f>IF(OR(LEFT(CT!D37,3)=SC!$F$1,LEFT(CT!E37,3)=SC!$F$1),CT!B37,"")</f>
        <v/>
      </c>
      <c r="C40" t="str">
        <f>IF(OR(LEFT(CT!D37,3)=SC!$F$1,LEFT(CT!E37,3)=SC!$F$1),CT!C37,"")</f>
        <v/>
      </c>
      <c r="D40" t="str">
        <f>IF(LEFT(CT!D37,3)=SC!$F$1,LEFT(CT!E37,3), IF(LEFT(CT!E37,3)=SC!$F$1,LEFT(CT!D37,3),""))</f>
        <v/>
      </c>
      <c r="E40" s="67">
        <f>IF(LEFT(CT!D37,3)=SC!$F$1,CT!H37,0)</f>
        <v>0</v>
      </c>
      <c r="F40" s="67">
        <f>IF(LEFT(CT!E37,3)=SC!$F$1,CT!H37,0)</f>
        <v>0</v>
      </c>
    </row>
    <row r="41" spans="1:6" hidden="1" x14ac:dyDescent="0.25">
      <c r="A41" s="80" t="str">
        <f>IF(OR(LEFT(CT!D38,3)=SC!$F$1,LEFT(CT!E38,3)=SC!$F$1),CT!A38,"")</f>
        <v/>
      </c>
      <c r="B41" s="80" t="str">
        <f>IF(OR(LEFT(CT!D38,3)=SC!$F$1,LEFT(CT!E38,3)=SC!$F$1),CT!B38,"")</f>
        <v/>
      </c>
      <c r="C41" t="str">
        <f>IF(OR(LEFT(CT!D38,3)=SC!$F$1,LEFT(CT!E38,3)=SC!$F$1),CT!C38,"")</f>
        <v/>
      </c>
      <c r="D41" t="str">
        <f>IF(LEFT(CT!D38,3)=SC!$F$1,LEFT(CT!E38,3), IF(LEFT(CT!E38,3)=SC!$F$1,LEFT(CT!D38,3),""))</f>
        <v/>
      </c>
      <c r="E41" s="67">
        <f>IF(LEFT(CT!D38,3)=SC!$F$1,CT!H38,0)</f>
        <v>0</v>
      </c>
      <c r="F41" s="67">
        <f>IF(LEFT(CT!E38,3)=SC!$F$1,CT!H38,0)</f>
        <v>0</v>
      </c>
    </row>
    <row r="42" spans="1:6" hidden="1" x14ac:dyDescent="0.25">
      <c r="A42" s="80" t="str">
        <f>IF(OR(LEFT(CT!D39,3)=SC!$F$1,LEFT(CT!E39,3)=SC!$F$1),CT!A39,"")</f>
        <v/>
      </c>
      <c r="B42" s="80" t="str">
        <f>IF(OR(LEFT(CT!D39,3)=SC!$F$1,LEFT(CT!E39,3)=SC!$F$1),CT!B39,"")</f>
        <v/>
      </c>
      <c r="C42" t="str">
        <f>IF(OR(LEFT(CT!D39,3)=SC!$F$1,LEFT(CT!E39,3)=SC!$F$1),CT!C39,"")</f>
        <v/>
      </c>
      <c r="D42" t="str">
        <f>IF(LEFT(CT!D39,3)=SC!$F$1,LEFT(CT!E39,3), IF(LEFT(CT!E39,3)=SC!$F$1,LEFT(CT!D39,3),""))</f>
        <v/>
      </c>
      <c r="E42" s="67">
        <f>IF(LEFT(CT!D39,3)=SC!$F$1,CT!H39,0)</f>
        <v>0</v>
      </c>
      <c r="F42" s="67">
        <f>IF(LEFT(CT!E39,3)=SC!$F$1,CT!H39,0)</f>
        <v>0</v>
      </c>
    </row>
    <row r="43" spans="1:6" hidden="1" x14ac:dyDescent="0.25">
      <c r="A43" s="80" t="str">
        <f>IF(OR(LEFT(CT!D40,3)=SC!$F$1,LEFT(CT!E40,3)=SC!$F$1),CT!A40,"")</f>
        <v/>
      </c>
      <c r="B43" s="80" t="str">
        <f>IF(OR(LEFT(CT!D40,3)=SC!$F$1,LEFT(CT!E40,3)=SC!$F$1),CT!B40,"")</f>
        <v/>
      </c>
      <c r="C43" t="str">
        <f>IF(OR(LEFT(CT!D40,3)=SC!$F$1,LEFT(CT!E40,3)=SC!$F$1),CT!C40,"")</f>
        <v/>
      </c>
      <c r="D43" t="str">
        <f>IF(LEFT(CT!D40,3)=SC!$F$1,LEFT(CT!E40,3), IF(LEFT(CT!E40,3)=SC!$F$1,LEFT(CT!D40,3),""))</f>
        <v/>
      </c>
      <c r="E43" s="67">
        <f>IF(LEFT(CT!D40,3)=SC!$F$1,CT!H40,0)</f>
        <v>0</v>
      </c>
      <c r="F43" s="67">
        <f>IF(LEFT(CT!E40,3)=SC!$F$1,CT!H40,0)</f>
        <v>0</v>
      </c>
    </row>
    <row r="44" spans="1:6" hidden="1" x14ac:dyDescent="0.25">
      <c r="A44" s="80" t="str">
        <f>IF(OR(LEFT(CT!D41,3)=SC!$F$1,LEFT(CT!E41,3)=SC!$F$1),CT!A41,"")</f>
        <v/>
      </c>
      <c r="B44" s="80" t="str">
        <f>IF(OR(LEFT(CT!D41,3)=SC!$F$1,LEFT(CT!E41,3)=SC!$F$1),CT!B41,"")</f>
        <v/>
      </c>
      <c r="C44" t="str">
        <f>IF(OR(LEFT(CT!D41,3)=SC!$F$1,LEFT(CT!E41,3)=SC!$F$1),CT!C41,"")</f>
        <v/>
      </c>
      <c r="D44" t="str">
        <f>IF(LEFT(CT!D41,3)=SC!$F$1,LEFT(CT!E41,3), IF(LEFT(CT!E41,3)=SC!$F$1,LEFT(CT!D41,3),""))</f>
        <v/>
      </c>
      <c r="E44" s="67">
        <f>IF(LEFT(CT!D41,3)=SC!$F$1,CT!H41,0)</f>
        <v>0</v>
      </c>
      <c r="F44" s="67">
        <f>IF(LEFT(CT!E41,3)=SC!$F$1,CT!H41,0)</f>
        <v>0</v>
      </c>
    </row>
    <row r="45" spans="1:6" hidden="1" x14ac:dyDescent="0.25">
      <c r="A45" s="80" t="str">
        <f>IF(OR(LEFT(CT!D42,3)=SC!$F$1,LEFT(CT!E42,3)=SC!$F$1),CT!A42,"")</f>
        <v/>
      </c>
      <c r="B45" s="80" t="str">
        <f>IF(OR(LEFT(CT!D42,3)=SC!$F$1,LEFT(CT!E42,3)=SC!$F$1),CT!B42,"")</f>
        <v/>
      </c>
      <c r="C45" t="str">
        <f>IF(OR(LEFT(CT!D42,3)=SC!$F$1,LEFT(CT!E42,3)=SC!$F$1),CT!C42,"")</f>
        <v/>
      </c>
      <c r="D45" t="str">
        <f>IF(LEFT(CT!D42,3)=SC!$F$1,LEFT(CT!E42,3), IF(LEFT(CT!E42,3)=SC!$F$1,LEFT(CT!D42,3),""))</f>
        <v/>
      </c>
      <c r="E45" s="67">
        <f>IF(LEFT(CT!D42,3)=SC!$F$1,CT!H42,0)</f>
        <v>0</v>
      </c>
      <c r="F45" s="67">
        <f>IF(LEFT(CT!E42,3)=SC!$F$1,CT!H42,0)</f>
        <v>0</v>
      </c>
    </row>
    <row r="46" spans="1:6" hidden="1" x14ac:dyDescent="0.25">
      <c r="A46" s="80" t="str">
        <f>IF(OR(LEFT(CT!D43,3)=SC!$F$1,LEFT(CT!E43,3)=SC!$F$1),CT!A43,"")</f>
        <v/>
      </c>
      <c r="B46" s="80" t="str">
        <f>IF(OR(LEFT(CT!D43,3)=SC!$F$1,LEFT(CT!E43,3)=SC!$F$1),CT!B43,"")</f>
        <v/>
      </c>
      <c r="C46" t="str">
        <f>IF(OR(LEFT(CT!D43,3)=SC!$F$1,LEFT(CT!E43,3)=SC!$F$1),CT!C43,"")</f>
        <v/>
      </c>
      <c r="D46" t="str">
        <f>IF(LEFT(CT!D43,3)=SC!$F$1,LEFT(CT!E43,3), IF(LEFT(CT!E43,3)=SC!$F$1,LEFT(CT!D43,3),""))</f>
        <v/>
      </c>
      <c r="E46" s="67">
        <f>IF(LEFT(CT!D43,3)=SC!$F$1,CT!H43,0)</f>
        <v>0</v>
      </c>
      <c r="F46" s="67">
        <f>IF(LEFT(CT!E43,3)=SC!$F$1,CT!H43,0)</f>
        <v>0</v>
      </c>
    </row>
    <row r="47" spans="1:6" hidden="1" x14ac:dyDescent="0.25">
      <c r="A47" s="80" t="str">
        <f>IF(OR(LEFT(CT!D44,3)=SC!$F$1,LEFT(CT!E44,3)=SC!$F$1),CT!A44,"")</f>
        <v/>
      </c>
      <c r="B47" s="80" t="str">
        <f>IF(OR(LEFT(CT!D44,3)=SC!$F$1,LEFT(CT!E44,3)=SC!$F$1),CT!B44,"")</f>
        <v/>
      </c>
      <c r="C47" t="str">
        <f>IF(OR(LEFT(CT!D44,3)=SC!$F$1,LEFT(CT!E44,3)=SC!$F$1),CT!C44,"")</f>
        <v/>
      </c>
      <c r="D47" t="str">
        <f>IF(LEFT(CT!D44,3)=SC!$F$1,LEFT(CT!E44,3), IF(LEFT(CT!E44,3)=SC!$F$1,LEFT(CT!D44,3),""))</f>
        <v/>
      </c>
      <c r="E47" s="67">
        <f>IF(LEFT(CT!D44,3)=SC!$F$1,CT!H44,0)</f>
        <v>0</v>
      </c>
      <c r="F47" s="67">
        <f>IF(LEFT(CT!E44,3)=SC!$F$1,CT!H44,0)</f>
        <v>0</v>
      </c>
    </row>
    <row r="48" spans="1:6" hidden="1" x14ac:dyDescent="0.25">
      <c r="A48" s="80" t="str">
        <f>IF(OR(LEFT(CT!D45,3)=SC!$F$1,LEFT(CT!E45,3)=SC!$F$1),CT!A45,"")</f>
        <v/>
      </c>
      <c r="B48" s="80" t="str">
        <f>IF(OR(LEFT(CT!D45,3)=SC!$F$1,LEFT(CT!E45,3)=SC!$F$1),CT!B45,"")</f>
        <v/>
      </c>
      <c r="C48" t="str">
        <f>IF(OR(LEFT(CT!D45,3)=SC!$F$1,LEFT(CT!E45,3)=SC!$F$1),CT!C45,"")</f>
        <v/>
      </c>
      <c r="D48" t="str">
        <f>IF(LEFT(CT!D45,3)=SC!$F$1,LEFT(CT!E45,3), IF(LEFT(CT!E45,3)=SC!$F$1,LEFT(CT!D45,3),""))</f>
        <v/>
      </c>
      <c r="E48" s="67">
        <f>IF(LEFT(CT!D45,3)=SC!$F$1,CT!H45,0)</f>
        <v>0</v>
      </c>
      <c r="F48" s="67">
        <f>IF(LEFT(CT!E45,3)=SC!$F$1,CT!H45,0)</f>
        <v>0</v>
      </c>
    </row>
    <row r="49" spans="1:6" hidden="1" x14ac:dyDescent="0.25">
      <c r="A49" s="80" t="str">
        <f>IF(OR(LEFT(CT!D46,3)=SC!$F$1,LEFT(CT!E46,3)=SC!$F$1),CT!A46,"")</f>
        <v/>
      </c>
      <c r="B49" s="80" t="str">
        <f>IF(OR(LEFT(CT!D46,3)=SC!$F$1,LEFT(CT!E46,3)=SC!$F$1),CT!B46,"")</f>
        <v/>
      </c>
      <c r="C49" t="str">
        <f>IF(OR(LEFT(CT!D46,3)=SC!$F$1,LEFT(CT!E46,3)=SC!$F$1),CT!C46,"")</f>
        <v/>
      </c>
      <c r="D49" t="str">
        <f>IF(LEFT(CT!D46,3)=SC!$F$1,LEFT(CT!E46,3), IF(LEFT(CT!E46,3)=SC!$F$1,LEFT(CT!D46,3),""))</f>
        <v/>
      </c>
      <c r="E49" s="67">
        <f>IF(LEFT(CT!D46,3)=SC!$F$1,CT!H46,0)</f>
        <v>0</v>
      </c>
      <c r="F49" s="67">
        <f>IF(LEFT(CT!E46,3)=SC!$F$1,CT!H46,0)</f>
        <v>0</v>
      </c>
    </row>
    <row r="50" spans="1:6" hidden="1" x14ac:dyDescent="0.25">
      <c r="A50" s="80" t="str">
        <f>IF(OR(LEFT(CT!D47,3)=SC!$F$1,LEFT(CT!E47,3)=SC!$F$1),CT!A47,"")</f>
        <v/>
      </c>
      <c r="B50" s="80" t="str">
        <f>IF(OR(LEFT(CT!D47,3)=SC!$F$1,LEFT(CT!E47,3)=SC!$F$1),CT!B47,"")</f>
        <v/>
      </c>
      <c r="C50" t="str">
        <f>IF(OR(LEFT(CT!D47,3)=SC!$F$1,LEFT(CT!E47,3)=SC!$F$1),CT!C47,"")</f>
        <v/>
      </c>
      <c r="D50" t="str">
        <f>IF(LEFT(CT!D47,3)=SC!$F$1,LEFT(CT!E47,3), IF(LEFT(CT!E47,3)=SC!$F$1,LEFT(CT!D47,3),""))</f>
        <v/>
      </c>
      <c r="E50" s="67">
        <f>IF(LEFT(CT!D47,3)=SC!$F$1,CT!H47,0)</f>
        <v>0</v>
      </c>
      <c r="F50" s="67">
        <f>IF(LEFT(CT!E47,3)=SC!$F$1,CT!H47,0)</f>
        <v>0</v>
      </c>
    </row>
    <row r="51" spans="1:6" hidden="1" x14ac:dyDescent="0.25">
      <c r="A51" s="80" t="str">
        <f>IF(OR(LEFT(CT!D48,3)=SC!$F$1,LEFT(CT!E48,3)=SC!$F$1),CT!A48,"")</f>
        <v/>
      </c>
      <c r="B51" s="80" t="str">
        <f>IF(OR(LEFT(CT!D48,3)=SC!$F$1,LEFT(CT!E48,3)=SC!$F$1),CT!B48,"")</f>
        <v/>
      </c>
      <c r="C51" t="str">
        <f>IF(OR(LEFT(CT!D48,3)=SC!$F$1,LEFT(CT!E48,3)=SC!$F$1),CT!C48,"")</f>
        <v/>
      </c>
      <c r="D51" t="str">
        <f>IF(LEFT(CT!D48,3)=SC!$F$1,LEFT(CT!E48,3), IF(LEFT(CT!E48,3)=SC!$F$1,LEFT(CT!D48,3),""))</f>
        <v/>
      </c>
      <c r="E51" s="67">
        <f>IF(LEFT(CT!D48,3)=SC!$F$1,CT!H48,0)</f>
        <v>0</v>
      </c>
      <c r="F51" s="67">
        <f>IF(LEFT(CT!E48,3)=SC!$F$1,CT!H48,0)</f>
        <v>0</v>
      </c>
    </row>
    <row r="52" spans="1:6" hidden="1" x14ac:dyDescent="0.25">
      <c r="A52" s="80" t="str">
        <f>IF(OR(LEFT(CT!D49,3)=SC!$F$1,LEFT(CT!E49,3)=SC!$F$1),CT!A49,"")</f>
        <v/>
      </c>
      <c r="B52" s="80" t="str">
        <f>IF(OR(LEFT(CT!D49,3)=SC!$F$1,LEFT(CT!E49,3)=SC!$F$1),CT!B49,"")</f>
        <v/>
      </c>
      <c r="C52" t="str">
        <f>IF(OR(LEFT(CT!D49,3)=SC!$F$1,LEFT(CT!E49,3)=SC!$F$1),CT!C49,"")</f>
        <v/>
      </c>
      <c r="D52" t="str">
        <f>IF(LEFT(CT!D49,3)=SC!$F$1,LEFT(CT!E49,3), IF(LEFT(CT!E49,3)=SC!$F$1,LEFT(CT!D49,3),""))</f>
        <v/>
      </c>
      <c r="E52" s="67">
        <f>IF(LEFT(CT!D49,3)=SC!$F$1,CT!H49,0)</f>
        <v>0</v>
      </c>
      <c r="F52" s="67">
        <f>IF(LEFT(CT!E49,3)=SC!$F$1,CT!H49,0)</f>
        <v>0</v>
      </c>
    </row>
    <row r="53" spans="1:6" hidden="1" x14ac:dyDescent="0.25">
      <c r="A53" s="80" t="str">
        <f>IF(OR(LEFT(CT!D50,3)=SC!$F$1,LEFT(CT!E50,3)=SC!$F$1),CT!A50,"")</f>
        <v/>
      </c>
      <c r="B53" s="80" t="str">
        <f>IF(OR(LEFT(CT!D50,3)=SC!$F$1,LEFT(CT!E50,3)=SC!$F$1),CT!B50,"")</f>
        <v/>
      </c>
      <c r="C53" t="str">
        <f>IF(OR(LEFT(CT!D50,3)=SC!$F$1,LEFT(CT!E50,3)=SC!$F$1),CT!C50,"")</f>
        <v/>
      </c>
      <c r="D53" t="str">
        <f>IF(LEFT(CT!D50,3)=SC!$F$1,LEFT(CT!E50,3), IF(LEFT(CT!E50,3)=SC!$F$1,LEFT(CT!D50,3),""))</f>
        <v/>
      </c>
      <c r="E53" s="67">
        <f>IF(LEFT(CT!D50,3)=SC!$F$1,CT!H50,0)</f>
        <v>0</v>
      </c>
      <c r="F53" s="67">
        <f>IF(LEFT(CT!E50,3)=SC!$F$1,CT!H50,0)</f>
        <v>0</v>
      </c>
    </row>
    <row r="54" spans="1:6" x14ac:dyDescent="0.25">
      <c r="A54" s="84">
        <f>IF(OR(LEFT(CT!D51,3)=SC!$F$1,LEFT(CT!E51,3)=SC!$F$1),CT!A51,"")</f>
        <v>45319</v>
      </c>
      <c r="B54" s="84" t="str">
        <f>IF(OR(LEFT(CT!D51,3)=SC!$F$1,LEFT(CT!E51,3)=SC!$F$1),CT!B51,"")</f>
        <v>01/TU</v>
      </c>
      <c r="C54" s="65" t="str">
        <f>IF(OR(LEFT(CT!D51,3)=SC!$F$1,LEFT(CT!E51,3)=SC!$F$1),CT!C51,"")</f>
        <v>Thanh toán tạm ứng Hồ Sĩ Nhật</v>
      </c>
      <c r="D54" s="65" t="str">
        <f>IF(LEFT(CT!D51,3)=SC!$F$1,LEFT(CT!E51,3), IF(LEFT(CT!E51,3)=SC!$F$1,LEFT(CT!D51,3),""))</f>
        <v>141</v>
      </c>
      <c r="E54" s="69">
        <f>IF(LEFT(CT!D51,3)=SC!$F$1,CT!H51,0)</f>
        <v>200000</v>
      </c>
      <c r="F54" s="69">
        <f>IF(LEFT(CT!E51,3)=SC!$F$1,CT!H51,0)</f>
        <v>0</v>
      </c>
    </row>
    <row r="55" spans="1:6" hidden="1" x14ac:dyDescent="0.25">
      <c r="A55" s="80" t="str">
        <f>IF(OR(LEFT(CT!D52,3)=SC!$F$1,LEFT(CT!E52,3)=SC!$F$1),CT!A52,"")</f>
        <v/>
      </c>
      <c r="B55" s="80" t="str">
        <f>IF(OR(LEFT(CT!D52,3)=SC!$F$1,LEFT(CT!E52,3)=SC!$F$1),CT!B52,"")</f>
        <v/>
      </c>
      <c r="C55" t="str">
        <f>IF(OR(LEFT(CT!D52,3)=SC!$F$1,LEFT(CT!E52,3)=SC!$F$1),CT!C52,"")</f>
        <v/>
      </c>
      <c r="D55" t="str">
        <f>IF(LEFT(CT!D52,3)=SC!$F$1,LEFT(CT!E52,3), IF(LEFT(CT!E52,3)=SC!$F$1,LEFT(CT!D52,3),""))</f>
        <v/>
      </c>
      <c r="E55" s="67">
        <f>IF(LEFT(CT!D52,3)=SC!$F$1,CT!H52,0)</f>
        <v>0</v>
      </c>
      <c r="F55" s="67">
        <f>IF(LEFT(CT!E52,3)=SC!$F$1,CT!H52,0)</f>
        <v>0</v>
      </c>
    </row>
    <row r="56" spans="1:6" x14ac:dyDescent="0.25">
      <c r="A56" s="84">
        <f>IF(OR(LEFT(CT!D53,3)=SC!$F$1,LEFT(CT!E53,3)=SC!$F$1),CT!A53,"")</f>
        <v>45319</v>
      </c>
      <c r="B56" s="84" t="str">
        <f>IF(OR(LEFT(CT!D53,3)=SC!$F$1,LEFT(CT!E53,3)=SC!$F$1),CT!B53,"")</f>
        <v>04/PC</v>
      </c>
      <c r="C56" s="65" t="str">
        <f>IF(OR(LEFT(CT!D53,3)=SC!$F$1,LEFT(CT!E53,3)=SC!$F$1),CT!C53,"")</f>
        <v>Thuế GTGT mua máy xẻ gỗ</v>
      </c>
      <c r="D56" s="65" t="str">
        <f>IF(LEFT(CT!D53,3)=SC!$F$1,LEFT(CT!E53,3), IF(LEFT(CT!E53,3)=SC!$F$1,LEFT(CT!D53,3),""))</f>
        <v>133</v>
      </c>
      <c r="E56" s="69">
        <f>IF(LEFT(CT!D53,3)=SC!$F$1,CT!H53,0)</f>
        <v>0</v>
      </c>
      <c r="F56" s="69">
        <f>IF(LEFT(CT!E53,3)=SC!$F$1,CT!H53,0)</f>
        <v>14000000</v>
      </c>
    </row>
    <row r="57" spans="1:6" x14ac:dyDescent="0.25">
      <c r="A57" s="84">
        <f>IF(OR(LEFT(CT!D54,3)=SC!$F$1,LEFT(CT!E54,3)=SC!$F$1),CT!A54,"")</f>
        <v>45319</v>
      </c>
      <c r="B57" s="84" t="str">
        <f>IF(OR(LEFT(CT!D54,3)=SC!$F$1,LEFT(CT!E54,3)=SC!$F$1),CT!B54,"")</f>
        <v>04/PC</v>
      </c>
      <c r="C57" s="65" t="str">
        <f>IF(OR(LEFT(CT!D54,3)=SC!$F$1,LEFT(CT!E54,3)=SC!$F$1),CT!C54,"")</f>
        <v>Mua máy xẻ gỗ</v>
      </c>
      <c r="D57" s="65" t="str">
        <f>IF(LEFT(CT!D54,3)=SC!$F$1,LEFT(CT!E54,3), IF(LEFT(CT!E54,3)=SC!$F$1,LEFT(CT!D54,3),""))</f>
        <v>211</v>
      </c>
      <c r="E57" s="69">
        <f>IF(LEFT(CT!D54,3)=SC!$F$1,CT!H54,0)</f>
        <v>0</v>
      </c>
      <c r="F57" s="69">
        <f>IF(LEFT(CT!E54,3)=SC!$F$1,CT!H54,0)</f>
        <v>140000000</v>
      </c>
    </row>
    <row r="58" spans="1:6" hidden="1" x14ac:dyDescent="0.25">
      <c r="A58" s="80" t="str">
        <f>IF(OR(LEFT(CT!D55,3)=SC!$F$1,LEFT(CT!E55,3)=SC!$F$1),CT!A55,"")</f>
        <v/>
      </c>
      <c r="B58" s="80" t="str">
        <f>IF(OR(LEFT(CT!D55,3)=SC!$F$1,LEFT(CT!E55,3)=SC!$F$1),CT!B55,"")</f>
        <v/>
      </c>
      <c r="C58" t="str">
        <f>IF(OR(LEFT(CT!D55,3)=SC!$F$1,LEFT(CT!E55,3)=SC!$F$1),CT!C55,"")</f>
        <v/>
      </c>
      <c r="D58" t="str">
        <f>IF(LEFT(CT!D55,3)=SC!$F$1,LEFT(CT!E55,3), IF(LEFT(CT!E55,3)=SC!$F$1,LEFT(CT!D55,3),""))</f>
        <v/>
      </c>
      <c r="E58" s="67">
        <f>IF(LEFT(CT!D55,3)=SC!$F$1,CT!H55,0)</f>
        <v>0</v>
      </c>
      <c r="F58" s="67">
        <f>IF(LEFT(CT!E55,3)=SC!$F$1,CT!H55,0)</f>
        <v>0</v>
      </c>
    </row>
    <row r="59" spans="1:6" hidden="1" x14ac:dyDescent="0.25">
      <c r="A59" s="80" t="str">
        <f>IF(OR(LEFT(CT!D56,3)=SC!$F$1,LEFT(CT!E56,3)=SC!$F$1),CT!A56,"")</f>
        <v/>
      </c>
      <c r="B59" s="80" t="str">
        <f>IF(OR(LEFT(CT!D56,3)=SC!$F$1,LEFT(CT!E56,3)=SC!$F$1),CT!B56,"")</f>
        <v/>
      </c>
      <c r="C59" t="str">
        <f>IF(OR(LEFT(CT!D56,3)=SC!$F$1,LEFT(CT!E56,3)=SC!$F$1),CT!C56,"")</f>
        <v/>
      </c>
      <c r="D59" t="str">
        <f>IF(LEFT(CT!D56,3)=SC!$F$1,LEFT(CT!E56,3), IF(LEFT(CT!E56,3)=SC!$F$1,LEFT(CT!D56,3),""))</f>
        <v/>
      </c>
      <c r="E59" s="67">
        <f>IF(LEFT(CT!D56,3)=SC!$F$1,CT!H56,0)</f>
        <v>0</v>
      </c>
      <c r="F59" s="67">
        <f>IF(LEFT(CT!E56,3)=SC!$F$1,CT!H56,0)</f>
        <v>0</v>
      </c>
    </row>
    <row r="60" spans="1:6" hidden="1" x14ac:dyDescent="0.25">
      <c r="A60" s="80" t="str">
        <f>IF(OR(LEFT(CT!D57,3)=SC!$F$1,LEFT(CT!E57,3)=SC!$F$1),CT!A57,"")</f>
        <v/>
      </c>
      <c r="B60" s="80" t="str">
        <f>IF(OR(LEFT(CT!D57,3)=SC!$F$1,LEFT(CT!E57,3)=SC!$F$1),CT!B57,"")</f>
        <v/>
      </c>
      <c r="C60" t="str">
        <f>IF(OR(LEFT(CT!D57,3)=SC!$F$1,LEFT(CT!E57,3)=SC!$F$1),CT!C57,"")</f>
        <v/>
      </c>
      <c r="D60" t="str">
        <f>IF(LEFT(CT!D57,3)=SC!$F$1,LEFT(CT!E57,3), IF(LEFT(CT!E57,3)=SC!$F$1,LEFT(CT!D57,3),""))</f>
        <v/>
      </c>
      <c r="E60" s="67">
        <f>IF(LEFT(CT!D57,3)=SC!$F$1,CT!H57,0)</f>
        <v>0</v>
      </c>
      <c r="F60" s="67">
        <f>IF(LEFT(CT!E57,3)=SC!$F$1,CT!H57,0)</f>
        <v>0</v>
      </c>
    </row>
    <row r="61" spans="1:6" hidden="1" x14ac:dyDescent="0.25">
      <c r="A61" s="80" t="str">
        <f>IF(OR(LEFT(CT!D58,3)=SC!$F$1,LEFT(CT!E58,3)=SC!$F$1),CT!A58,"")</f>
        <v/>
      </c>
      <c r="B61" s="80" t="str">
        <f>IF(OR(LEFT(CT!D58,3)=SC!$F$1,LEFT(CT!E58,3)=SC!$F$1),CT!B58,"")</f>
        <v/>
      </c>
      <c r="C61" t="str">
        <f>IF(OR(LEFT(CT!D58,3)=SC!$F$1,LEFT(CT!E58,3)=SC!$F$1),CT!C58,"")</f>
        <v/>
      </c>
      <c r="D61" t="str">
        <f>IF(LEFT(CT!D58,3)=SC!$F$1,LEFT(CT!E58,3), IF(LEFT(CT!E58,3)=SC!$F$1,LEFT(CT!D58,3),""))</f>
        <v/>
      </c>
      <c r="E61" s="67">
        <f>IF(LEFT(CT!D58,3)=SC!$F$1,CT!H58,0)</f>
        <v>0</v>
      </c>
      <c r="F61" s="67">
        <f>IF(LEFT(CT!E58,3)=SC!$F$1,CT!H58,0)</f>
        <v>0</v>
      </c>
    </row>
    <row r="62" spans="1:6" hidden="1" x14ac:dyDescent="0.25">
      <c r="A62" s="80" t="str">
        <f>IF(OR(LEFT(CT!D59,3)=SC!$F$1,LEFT(CT!E59,3)=SC!$F$1),CT!A59,"")</f>
        <v/>
      </c>
      <c r="B62" s="80" t="str">
        <f>IF(OR(LEFT(CT!D59,3)=SC!$F$1,LEFT(CT!E59,3)=SC!$F$1),CT!B59,"")</f>
        <v/>
      </c>
      <c r="C62" t="str">
        <f>IF(OR(LEFT(CT!D59,3)=SC!$F$1,LEFT(CT!E59,3)=SC!$F$1),CT!C59,"")</f>
        <v/>
      </c>
      <c r="D62" t="str">
        <f>IF(LEFT(CT!D59,3)=SC!$F$1,LEFT(CT!E59,3), IF(LEFT(CT!E59,3)=SC!$F$1,LEFT(CT!D59,3),""))</f>
        <v/>
      </c>
      <c r="E62" s="67">
        <f>IF(LEFT(CT!D59,3)=SC!$F$1,CT!H59,0)</f>
        <v>0</v>
      </c>
      <c r="F62" s="67">
        <f>IF(LEFT(CT!E59,3)=SC!$F$1,CT!H59,0)</f>
        <v>0</v>
      </c>
    </row>
    <row r="63" spans="1:6" hidden="1" x14ac:dyDescent="0.25">
      <c r="A63" s="80" t="str">
        <f>IF(OR(LEFT(CT!D60,3)=SC!$F$1,LEFT(CT!E60,3)=SC!$F$1),CT!A60,"")</f>
        <v/>
      </c>
      <c r="B63" s="80" t="str">
        <f>IF(OR(LEFT(CT!D60,3)=SC!$F$1,LEFT(CT!E60,3)=SC!$F$1),CT!B60,"")</f>
        <v/>
      </c>
      <c r="C63" t="str">
        <f>IF(OR(LEFT(CT!D60,3)=SC!$F$1,LEFT(CT!E60,3)=SC!$F$1),CT!C60,"")</f>
        <v/>
      </c>
      <c r="D63" t="str">
        <f>IF(LEFT(CT!D60,3)=SC!$F$1,LEFT(CT!E60,3), IF(LEFT(CT!E60,3)=SC!$F$1,LEFT(CT!D60,3),""))</f>
        <v/>
      </c>
      <c r="E63" s="67">
        <f>IF(LEFT(CT!D60,3)=SC!$F$1,CT!H60,0)</f>
        <v>0</v>
      </c>
      <c r="F63" s="67">
        <f>IF(LEFT(CT!E60,3)=SC!$F$1,CT!H60,0)</f>
        <v>0</v>
      </c>
    </row>
    <row r="64" spans="1:6" hidden="1" x14ac:dyDescent="0.25">
      <c r="A64" s="80" t="str">
        <f>IF(OR(LEFT(CT!D61,3)=SC!$F$1,LEFT(CT!E61,3)=SC!$F$1),CT!A61,"")</f>
        <v/>
      </c>
      <c r="B64" s="80" t="str">
        <f>IF(OR(LEFT(CT!D61,3)=SC!$F$1,LEFT(CT!E61,3)=SC!$F$1),CT!B61,"")</f>
        <v/>
      </c>
      <c r="C64" t="str">
        <f>IF(OR(LEFT(CT!D61,3)=SC!$F$1,LEFT(CT!E61,3)=SC!$F$1),CT!C61,"")</f>
        <v/>
      </c>
      <c r="D64" t="str">
        <f>IF(LEFT(CT!D61,3)=SC!$F$1,LEFT(CT!E61,3), IF(LEFT(CT!E61,3)=SC!$F$1,LEFT(CT!D61,3),""))</f>
        <v/>
      </c>
      <c r="E64" s="67">
        <f>IF(LEFT(CT!D61,3)=SC!$F$1,CT!H61,0)</f>
        <v>0</v>
      </c>
      <c r="F64" s="67">
        <f>IF(LEFT(CT!E61,3)=SC!$F$1,CT!H61,0)</f>
        <v>0</v>
      </c>
    </row>
    <row r="65" spans="1:6" hidden="1" x14ac:dyDescent="0.25">
      <c r="A65" s="80" t="str">
        <f>IF(OR(LEFT(CT!D62,3)=SC!$F$1,LEFT(CT!E62,3)=SC!$F$1),CT!A62,"")</f>
        <v/>
      </c>
      <c r="B65" s="80" t="str">
        <f>IF(OR(LEFT(CT!D62,3)=SC!$F$1,LEFT(CT!E62,3)=SC!$F$1),CT!B62,"")</f>
        <v/>
      </c>
      <c r="C65" t="str">
        <f>IF(OR(LEFT(CT!D62,3)=SC!$F$1,LEFT(CT!E62,3)=SC!$F$1),CT!C62,"")</f>
        <v/>
      </c>
      <c r="D65" t="str">
        <f>IF(LEFT(CT!D62,3)=SC!$F$1,LEFT(CT!E62,3), IF(LEFT(CT!E62,3)=SC!$F$1,LEFT(CT!D62,3),""))</f>
        <v/>
      </c>
      <c r="E65" s="67">
        <f>IF(LEFT(CT!D62,3)=SC!$F$1,CT!H62,0)</f>
        <v>0</v>
      </c>
      <c r="F65" s="67">
        <f>IF(LEFT(CT!E62,3)=SC!$F$1,CT!H62,0)</f>
        <v>0</v>
      </c>
    </row>
    <row r="66" spans="1:6" hidden="1" x14ac:dyDescent="0.25">
      <c r="A66" s="80" t="str">
        <f>IF(OR(LEFT(CT!D63,3)=SC!$F$1,LEFT(CT!E63,3)=SC!$F$1),CT!A63,"")</f>
        <v/>
      </c>
      <c r="B66" s="80" t="str">
        <f>IF(OR(LEFT(CT!D63,3)=SC!$F$1,LEFT(CT!E63,3)=SC!$F$1),CT!B63,"")</f>
        <v/>
      </c>
      <c r="C66" t="str">
        <f>IF(OR(LEFT(CT!D63,3)=SC!$F$1,LEFT(CT!E63,3)=SC!$F$1),CT!C63,"")</f>
        <v/>
      </c>
      <c r="D66" t="str">
        <f>IF(LEFT(CT!D63,3)=SC!$F$1,LEFT(CT!E63,3), IF(LEFT(CT!E63,3)=SC!$F$1,LEFT(CT!D63,3),""))</f>
        <v/>
      </c>
      <c r="E66" s="67">
        <f>IF(LEFT(CT!D63,3)=SC!$F$1,CT!H63,0)</f>
        <v>0</v>
      </c>
      <c r="F66" s="67">
        <f>IF(LEFT(CT!E63,3)=SC!$F$1,CT!H63,0)</f>
        <v>0</v>
      </c>
    </row>
    <row r="67" spans="1:6" hidden="1" x14ac:dyDescent="0.25">
      <c r="A67" s="80" t="str">
        <f>IF(OR(LEFT(CT!D64,3)=SC!$F$1,LEFT(CT!E64,3)=SC!$F$1),CT!A64,"")</f>
        <v/>
      </c>
      <c r="B67" s="80" t="str">
        <f>IF(OR(LEFT(CT!D64,3)=SC!$F$1,LEFT(CT!E64,3)=SC!$F$1),CT!B64,"")</f>
        <v/>
      </c>
      <c r="C67" t="str">
        <f>IF(OR(LEFT(CT!D64,3)=SC!$F$1,LEFT(CT!E64,3)=SC!$F$1),CT!C64,"")</f>
        <v/>
      </c>
      <c r="D67" t="str">
        <f>IF(LEFT(CT!D64,3)=SC!$F$1,LEFT(CT!E64,3), IF(LEFT(CT!E64,3)=SC!$F$1,LEFT(CT!D64,3),""))</f>
        <v/>
      </c>
      <c r="E67" s="67">
        <f>IF(LEFT(CT!D64,3)=SC!$F$1,CT!H64,0)</f>
        <v>0</v>
      </c>
      <c r="F67" s="67">
        <f>IF(LEFT(CT!E64,3)=SC!$F$1,CT!H64,0)</f>
        <v>0</v>
      </c>
    </row>
    <row r="68" spans="1:6" hidden="1" x14ac:dyDescent="0.25">
      <c r="A68" s="80" t="str">
        <f>IF(OR(LEFT(CT!D65,3)=SC!$F$1,LEFT(CT!E65,3)=SC!$F$1),CT!A65,"")</f>
        <v/>
      </c>
      <c r="B68" s="80" t="str">
        <f>IF(OR(LEFT(CT!D65,3)=SC!$F$1,LEFT(CT!E65,3)=SC!$F$1),CT!B65,"")</f>
        <v/>
      </c>
      <c r="C68" t="str">
        <f>IF(OR(LEFT(CT!D65,3)=SC!$F$1,LEFT(CT!E65,3)=SC!$F$1),CT!C65,"")</f>
        <v/>
      </c>
      <c r="D68" t="str">
        <f>IF(LEFT(CT!D65,3)=SC!$F$1,LEFT(CT!E65,3), IF(LEFT(CT!E65,3)=SC!$F$1,LEFT(CT!D65,3),""))</f>
        <v/>
      </c>
      <c r="E68" s="67">
        <f>IF(LEFT(CT!D65,3)=SC!$F$1,CT!H65,0)</f>
        <v>0</v>
      </c>
      <c r="F68" s="67">
        <f>IF(LEFT(CT!E65,3)=SC!$F$1,CT!H65,0)</f>
        <v>0</v>
      </c>
    </row>
    <row r="69" spans="1:6" hidden="1" x14ac:dyDescent="0.25">
      <c r="A69" s="80" t="str">
        <f>IF(OR(LEFT(CT!D66,3)=SC!$F$1,LEFT(CT!E66,3)=SC!$F$1),CT!A66,"")</f>
        <v/>
      </c>
      <c r="B69" s="80" t="str">
        <f>IF(OR(LEFT(CT!D66,3)=SC!$F$1,LEFT(CT!E66,3)=SC!$F$1),CT!B66,"")</f>
        <v/>
      </c>
      <c r="C69" t="str">
        <f>IF(OR(LEFT(CT!D66,3)=SC!$F$1,LEFT(CT!E66,3)=SC!$F$1),CT!C66,"")</f>
        <v/>
      </c>
      <c r="D69" t="str">
        <f>IF(LEFT(CT!D66,3)=SC!$F$1,LEFT(CT!E66,3), IF(LEFT(CT!E66,3)=SC!$F$1,LEFT(CT!D66,3),""))</f>
        <v/>
      </c>
      <c r="E69" s="67">
        <f>IF(LEFT(CT!D66,3)=SC!$F$1,CT!H66,0)</f>
        <v>0</v>
      </c>
      <c r="F69" s="67">
        <f>IF(LEFT(CT!E66,3)=SC!$F$1,CT!H66,0)</f>
        <v>0</v>
      </c>
    </row>
    <row r="70" spans="1:6" hidden="1" x14ac:dyDescent="0.25">
      <c r="A70" s="80" t="str">
        <f>IF(OR(LEFT(CT!D67,3)=SC!$F$1,LEFT(CT!E67,3)=SC!$F$1),CT!A67,"")</f>
        <v/>
      </c>
      <c r="B70" s="80" t="str">
        <f>IF(OR(LEFT(CT!D67,3)=SC!$F$1,LEFT(CT!E67,3)=SC!$F$1),CT!B67,"")</f>
        <v/>
      </c>
      <c r="C70" t="str">
        <f>IF(OR(LEFT(CT!D67,3)=SC!$F$1,LEFT(CT!E67,3)=SC!$F$1),CT!C67,"")</f>
        <v/>
      </c>
      <c r="D70" t="str">
        <f>IF(LEFT(CT!D67,3)=SC!$F$1,LEFT(CT!E67,3), IF(LEFT(CT!E67,3)=SC!$F$1,LEFT(CT!D67,3),""))</f>
        <v/>
      </c>
      <c r="E70" s="67">
        <f>IF(LEFT(CT!D67,3)=SC!$F$1,CT!H67,0)</f>
        <v>0</v>
      </c>
      <c r="F70" s="67">
        <f>IF(LEFT(CT!E67,3)=SC!$F$1,CT!H67,0)</f>
        <v>0</v>
      </c>
    </row>
    <row r="71" spans="1:6" hidden="1" x14ac:dyDescent="0.25">
      <c r="A71" s="80" t="str">
        <f>IF(OR(LEFT(CT!D68,3)=SC!$F$1,LEFT(CT!E68,3)=SC!$F$1),CT!A68,"")</f>
        <v/>
      </c>
      <c r="B71" s="80" t="str">
        <f>IF(OR(LEFT(CT!D68,3)=SC!$F$1,LEFT(CT!E68,3)=SC!$F$1),CT!B68,"")</f>
        <v/>
      </c>
      <c r="C71" t="str">
        <f>IF(OR(LEFT(CT!D68,3)=SC!$F$1,LEFT(CT!E68,3)=SC!$F$1),CT!C68,"")</f>
        <v/>
      </c>
      <c r="D71" t="str">
        <f>IF(LEFT(CT!D68,3)=SC!$F$1,LEFT(CT!E68,3), IF(LEFT(CT!E68,3)=SC!$F$1,LEFT(CT!D68,3),""))</f>
        <v/>
      </c>
      <c r="E71" s="67">
        <f>IF(LEFT(CT!D68,3)=SC!$F$1,CT!H68,0)</f>
        <v>0</v>
      </c>
      <c r="F71" s="67">
        <f>IF(LEFT(CT!E68,3)=SC!$F$1,CT!H68,0)</f>
        <v>0</v>
      </c>
    </row>
    <row r="72" spans="1:6" hidden="1" x14ac:dyDescent="0.25">
      <c r="A72" s="80" t="str">
        <f>IF(OR(LEFT(CT!D69,3)=SC!$F$1,LEFT(CT!E69,3)=SC!$F$1),CT!A69,"")</f>
        <v/>
      </c>
      <c r="B72" s="80" t="str">
        <f>IF(OR(LEFT(CT!D69,3)=SC!$F$1,LEFT(CT!E69,3)=SC!$F$1),CT!B69,"")</f>
        <v/>
      </c>
      <c r="C72" t="str">
        <f>IF(OR(LEFT(CT!D69,3)=SC!$F$1,LEFT(CT!E69,3)=SC!$F$1),CT!C69,"")</f>
        <v/>
      </c>
      <c r="D72" t="str">
        <f>IF(LEFT(CT!D69,3)=SC!$F$1,LEFT(CT!E69,3), IF(LEFT(CT!E69,3)=SC!$F$1,LEFT(CT!D69,3),""))</f>
        <v/>
      </c>
      <c r="E72" s="67">
        <f>IF(LEFT(CT!D69,3)=SC!$F$1,CT!H69,0)</f>
        <v>0</v>
      </c>
      <c r="F72" s="67">
        <f>IF(LEFT(CT!E69,3)=SC!$F$1,CT!H69,0)</f>
        <v>0</v>
      </c>
    </row>
    <row r="73" spans="1:6" hidden="1" x14ac:dyDescent="0.25">
      <c r="A73" s="80" t="str">
        <f>IF(OR(LEFT(CT!D70,3)=SC!$F$1,LEFT(CT!E70,3)=SC!$F$1),CT!A70,"")</f>
        <v/>
      </c>
      <c r="B73" s="80" t="str">
        <f>IF(OR(LEFT(CT!D70,3)=SC!$F$1,LEFT(CT!E70,3)=SC!$F$1),CT!B70,"")</f>
        <v/>
      </c>
      <c r="C73" t="str">
        <f>IF(OR(LEFT(CT!D70,3)=SC!$F$1,LEFT(CT!E70,3)=SC!$F$1),CT!C70,"")</f>
        <v/>
      </c>
      <c r="D73" t="str">
        <f>IF(LEFT(CT!D70,3)=SC!$F$1,LEFT(CT!E70,3), IF(LEFT(CT!E70,3)=SC!$F$1,LEFT(CT!D70,3),""))</f>
        <v/>
      </c>
      <c r="E73" s="67">
        <f>IF(LEFT(CT!D70,3)=SC!$F$1,CT!H70,0)</f>
        <v>0</v>
      </c>
      <c r="F73" s="67">
        <f>IF(LEFT(CT!E70,3)=SC!$F$1,CT!H70,0)</f>
        <v>0</v>
      </c>
    </row>
    <row r="74" spans="1:6" hidden="1" x14ac:dyDescent="0.25">
      <c r="A74" s="80" t="str">
        <f>IF(OR(LEFT(CT!D71,3)=SC!$F$1,LEFT(CT!E71,3)=SC!$F$1),CT!A71,"")</f>
        <v/>
      </c>
      <c r="B74" s="80" t="str">
        <f>IF(OR(LEFT(CT!D71,3)=SC!$F$1,LEFT(CT!E71,3)=SC!$F$1),CT!B71,"")</f>
        <v/>
      </c>
      <c r="C74" t="str">
        <f>IF(OR(LEFT(CT!D71,3)=SC!$F$1,LEFT(CT!E71,3)=SC!$F$1),CT!C71,"")</f>
        <v/>
      </c>
      <c r="D74" t="str">
        <f>IF(LEFT(CT!D71,3)=SC!$F$1,LEFT(CT!E71,3), IF(LEFT(CT!E71,3)=SC!$F$1,LEFT(CT!D71,3),""))</f>
        <v/>
      </c>
      <c r="E74" s="67">
        <f>IF(LEFT(CT!D71,3)=SC!$F$1,CT!H71,0)</f>
        <v>0</v>
      </c>
      <c r="F74" s="67">
        <f>IF(LEFT(CT!E71,3)=SC!$F$1,CT!H71,0)</f>
        <v>0</v>
      </c>
    </row>
    <row r="75" spans="1:6" hidden="1" x14ac:dyDescent="0.25">
      <c r="A75" s="80" t="str">
        <f>IF(OR(LEFT(CT!D72,3)=SC!$F$1,LEFT(CT!E72,3)=SC!$F$1),CT!A72,"")</f>
        <v/>
      </c>
      <c r="B75" s="80" t="str">
        <f>IF(OR(LEFT(CT!D72,3)=SC!$F$1,LEFT(CT!E72,3)=SC!$F$1),CT!B72,"")</f>
        <v/>
      </c>
      <c r="C75" t="str">
        <f>IF(OR(LEFT(CT!D72,3)=SC!$F$1,LEFT(CT!E72,3)=SC!$F$1),CT!C72,"")</f>
        <v/>
      </c>
      <c r="D75" t="str">
        <f>IF(LEFT(CT!D72,3)=SC!$F$1,LEFT(CT!E72,3), IF(LEFT(CT!E72,3)=SC!$F$1,LEFT(CT!D72,3),""))</f>
        <v/>
      </c>
      <c r="E75" s="67">
        <f>IF(LEFT(CT!D72,3)=SC!$F$1,CT!H72,0)</f>
        <v>0</v>
      </c>
      <c r="F75" s="67">
        <f>IF(LEFT(CT!E72,3)=SC!$F$1,CT!H72,0)</f>
        <v>0</v>
      </c>
    </row>
    <row r="76" spans="1:6" hidden="1" x14ac:dyDescent="0.25">
      <c r="A76" s="80" t="str">
        <f>IF(OR(LEFT(CT!D73,3)=SC!$F$1,LEFT(CT!E73,3)=SC!$F$1),CT!A73,"")</f>
        <v/>
      </c>
      <c r="B76" s="80" t="str">
        <f>IF(OR(LEFT(CT!D73,3)=SC!$F$1,LEFT(CT!E73,3)=SC!$F$1),CT!B73,"")</f>
        <v/>
      </c>
      <c r="C76" t="str">
        <f>IF(OR(LEFT(CT!D73,3)=SC!$F$1,LEFT(CT!E73,3)=SC!$F$1),CT!C73,"")</f>
        <v/>
      </c>
      <c r="D76" t="str">
        <f>IF(LEFT(CT!D73,3)=SC!$F$1,LEFT(CT!E73,3), IF(LEFT(CT!E73,3)=SC!$F$1,LEFT(CT!D73,3),""))</f>
        <v/>
      </c>
      <c r="E76" s="67">
        <f>IF(LEFT(CT!D73,3)=SC!$F$1,CT!H73,0)</f>
        <v>0</v>
      </c>
      <c r="F76" s="67">
        <f>IF(LEFT(CT!E73,3)=SC!$F$1,CT!H73,0)</f>
        <v>0</v>
      </c>
    </row>
    <row r="77" spans="1:6" hidden="1" x14ac:dyDescent="0.25">
      <c r="A77" s="80" t="str">
        <f>IF(OR(LEFT(CT!D74,3)=SC!$F$1,LEFT(CT!E74,3)=SC!$F$1),CT!A74,"")</f>
        <v/>
      </c>
      <c r="B77" s="80" t="str">
        <f>IF(OR(LEFT(CT!D74,3)=SC!$F$1,LEFT(CT!E74,3)=SC!$F$1),CT!B74,"")</f>
        <v/>
      </c>
      <c r="C77" t="str">
        <f>IF(OR(LEFT(CT!D74,3)=SC!$F$1,LEFT(CT!E74,3)=SC!$F$1),CT!C74,"")</f>
        <v/>
      </c>
      <c r="D77" t="str">
        <f>IF(LEFT(CT!D74,3)=SC!$F$1,LEFT(CT!E74,3), IF(LEFT(CT!E74,3)=SC!$F$1,LEFT(CT!D74,3),""))</f>
        <v/>
      </c>
      <c r="E77" s="67">
        <f>IF(LEFT(CT!D74,3)=SC!$F$1,CT!H74,0)</f>
        <v>0</v>
      </c>
      <c r="F77" s="67">
        <f>IF(LEFT(CT!E74,3)=SC!$F$1,CT!H74,0)</f>
        <v>0</v>
      </c>
    </row>
    <row r="78" spans="1:6" hidden="1" x14ac:dyDescent="0.25">
      <c r="A78" s="80" t="str">
        <f>IF(OR(LEFT(CT!D75,3)=SC!$F$1,LEFT(CT!E75,3)=SC!$F$1),CT!A75,"")</f>
        <v/>
      </c>
      <c r="B78" s="80" t="str">
        <f>IF(OR(LEFT(CT!D75,3)=SC!$F$1,LEFT(CT!E75,3)=SC!$F$1),CT!B75,"")</f>
        <v/>
      </c>
      <c r="C78" t="str">
        <f>IF(OR(LEFT(CT!D75,3)=SC!$F$1,LEFT(CT!E75,3)=SC!$F$1),CT!C75,"")</f>
        <v/>
      </c>
      <c r="D78" t="str">
        <f>IF(LEFT(CT!D75,3)=SC!$F$1,LEFT(CT!E75,3), IF(LEFT(CT!E75,3)=SC!$F$1,LEFT(CT!D75,3),""))</f>
        <v/>
      </c>
      <c r="E78" s="67">
        <f>IF(LEFT(CT!D75,3)=SC!$F$1,CT!H75,0)</f>
        <v>0</v>
      </c>
      <c r="F78" s="67">
        <f>IF(LEFT(CT!E75,3)=SC!$F$1,CT!H75,0)</f>
        <v>0</v>
      </c>
    </row>
    <row r="79" spans="1:6" hidden="1" x14ac:dyDescent="0.25">
      <c r="A79" s="80" t="str">
        <f>IF(OR(LEFT(CT!D76,3)=SC!$F$1,LEFT(CT!E76,3)=SC!$F$1),CT!A76,"")</f>
        <v/>
      </c>
      <c r="B79" s="80" t="str">
        <f>IF(OR(LEFT(CT!D76,3)=SC!$F$1,LEFT(CT!E76,3)=SC!$F$1),CT!B76,"")</f>
        <v/>
      </c>
      <c r="C79" t="str">
        <f>IF(OR(LEFT(CT!D76,3)=SC!$F$1,LEFT(CT!E76,3)=SC!$F$1),CT!C76,"")</f>
        <v/>
      </c>
      <c r="D79" t="str">
        <f>IF(LEFT(CT!D76,3)=SC!$F$1,LEFT(CT!E76,3), IF(LEFT(CT!E76,3)=SC!$F$1,LEFT(CT!D76,3),""))</f>
        <v/>
      </c>
      <c r="E79" s="67">
        <f>IF(LEFT(CT!D76,3)=SC!$F$1,CT!H76,0)</f>
        <v>0</v>
      </c>
      <c r="F79" s="67">
        <f>IF(LEFT(CT!E76,3)=SC!$F$1,CT!H76,0)</f>
        <v>0</v>
      </c>
    </row>
    <row r="80" spans="1:6" hidden="1" x14ac:dyDescent="0.25">
      <c r="A80" s="80" t="str">
        <f>IF(OR(LEFT(CT!D77,3)=SC!$F$1,LEFT(CT!E77,3)=SC!$F$1),CT!A77,"")</f>
        <v/>
      </c>
      <c r="B80" s="80" t="str">
        <f>IF(OR(LEFT(CT!D77,3)=SC!$F$1,LEFT(CT!E77,3)=SC!$F$1),CT!B77,"")</f>
        <v/>
      </c>
      <c r="C80" t="str">
        <f>IF(OR(LEFT(CT!D77,3)=SC!$F$1,LEFT(CT!E77,3)=SC!$F$1),CT!C77,"")</f>
        <v/>
      </c>
      <c r="D80" t="str">
        <f>IF(LEFT(CT!D77,3)=SC!$F$1,LEFT(CT!E77,3), IF(LEFT(CT!E77,3)=SC!$F$1,LEFT(CT!D77,3),""))</f>
        <v/>
      </c>
      <c r="E80" s="67">
        <f>IF(LEFT(CT!D77,3)=SC!$F$1,CT!H77,0)</f>
        <v>0</v>
      </c>
      <c r="F80" s="67">
        <f>IF(LEFT(CT!E77,3)=SC!$F$1,CT!H77,0)</f>
        <v>0</v>
      </c>
    </row>
    <row r="81" spans="1:6" hidden="1" x14ac:dyDescent="0.25">
      <c r="A81" s="80" t="str">
        <f>IF(OR(LEFT(CT!D78,3)=SC!$F$1,LEFT(CT!E78,3)=SC!$F$1),CT!A78,"")</f>
        <v/>
      </c>
      <c r="B81" s="80" t="str">
        <f>IF(OR(LEFT(CT!D78,3)=SC!$F$1,LEFT(CT!E78,3)=SC!$F$1),CT!B78,"")</f>
        <v/>
      </c>
      <c r="C81" t="str">
        <f>IF(OR(LEFT(CT!D78,3)=SC!$F$1,LEFT(CT!E78,3)=SC!$F$1),CT!C78,"")</f>
        <v/>
      </c>
      <c r="D81" t="str">
        <f>IF(LEFT(CT!D78,3)=SC!$F$1,LEFT(CT!E78,3), IF(LEFT(CT!E78,3)=SC!$F$1,LEFT(CT!D78,3),""))</f>
        <v/>
      </c>
      <c r="E81" s="67">
        <f>IF(LEFT(CT!D78,3)=SC!$F$1,CT!H78,0)</f>
        <v>0</v>
      </c>
      <c r="F81" s="67">
        <f>IF(LEFT(CT!E78,3)=SC!$F$1,CT!H78,0)</f>
        <v>0</v>
      </c>
    </row>
    <row r="82" spans="1:6" hidden="1" x14ac:dyDescent="0.25">
      <c r="A82" s="80" t="str">
        <f>IF(OR(LEFT(CT!D79,3)=SC!$F$1,LEFT(CT!E79,3)=SC!$F$1),CT!A79,"")</f>
        <v/>
      </c>
      <c r="B82" s="80" t="str">
        <f>IF(OR(LEFT(CT!D79,3)=SC!$F$1,LEFT(CT!E79,3)=SC!$F$1),CT!B79,"")</f>
        <v/>
      </c>
      <c r="C82" t="str">
        <f>IF(OR(LEFT(CT!D79,3)=SC!$F$1,LEFT(CT!E79,3)=SC!$F$1),CT!C79,"")</f>
        <v/>
      </c>
      <c r="D82" t="str">
        <f>IF(LEFT(CT!D79,3)=SC!$F$1,LEFT(CT!E79,3), IF(LEFT(CT!E79,3)=SC!$F$1,LEFT(CT!D79,3),""))</f>
        <v/>
      </c>
      <c r="E82" s="67">
        <f>IF(LEFT(CT!D79,3)=SC!$F$1,CT!H79,0)</f>
        <v>0</v>
      </c>
      <c r="F82" s="67">
        <f>IF(LEFT(CT!E79,3)=SC!$F$1,CT!H79,0)</f>
        <v>0</v>
      </c>
    </row>
    <row r="83" spans="1:6" hidden="1" x14ac:dyDescent="0.25">
      <c r="A83" s="80" t="str">
        <f>IF(OR(LEFT(CT!D80,3)=SC!$F$1,LEFT(CT!E80,3)=SC!$F$1),CT!A80,"")</f>
        <v/>
      </c>
      <c r="B83" s="80" t="str">
        <f>IF(OR(LEFT(CT!D80,3)=SC!$F$1,LEFT(CT!E80,3)=SC!$F$1),CT!B80,"")</f>
        <v/>
      </c>
      <c r="C83" t="str">
        <f>IF(OR(LEFT(CT!D80,3)=SC!$F$1,LEFT(CT!E80,3)=SC!$F$1),CT!C80,"")</f>
        <v/>
      </c>
      <c r="D83" t="str">
        <f>IF(LEFT(CT!D80,3)=SC!$F$1,LEFT(CT!E80,3), IF(LEFT(CT!E80,3)=SC!$F$1,LEFT(CT!D80,3),""))</f>
        <v/>
      </c>
      <c r="E83" s="67">
        <f>IF(LEFT(CT!D80,3)=SC!$F$1,CT!H80,0)</f>
        <v>0</v>
      </c>
      <c r="F83" s="67">
        <f>IF(LEFT(CT!E80,3)=SC!$F$1,CT!H80,0)</f>
        <v>0</v>
      </c>
    </row>
    <row r="84" spans="1:6" hidden="1" x14ac:dyDescent="0.25">
      <c r="A84" s="80" t="str">
        <f>IF(OR(LEFT(CT!D81,3)=SC!$F$1,LEFT(CT!E81,3)=SC!$F$1),CT!A81,"")</f>
        <v/>
      </c>
      <c r="B84" s="80" t="str">
        <f>IF(OR(LEFT(CT!D81,3)=SC!$F$1,LEFT(CT!E81,3)=SC!$F$1),CT!B81,"")</f>
        <v/>
      </c>
      <c r="C84" t="str">
        <f>IF(OR(LEFT(CT!D81,3)=SC!$F$1,LEFT(CT!E81,3)=SC!$F$1),CT!C81,"")</f>
        <v/>
      </c>
      <c r="D84" t="str">
        <f>IF(LEFT(CT!D81,3)=SC!$F$1,LEFT(CT!E81,3), IF(LEFT(CT!E81,3)=SC!$F$1,LEFT(CT!D81,3),""))</f>
        <v/>
      </c>
      <c r="E84" s="67">
        <f>IF(LEFT(CT!D81,3)=SC!$F$1,CT!H81,0)</f>
        <v>0</v>
      </c>
      <c r="F84" s="67">
        <f>IF(LEFT(CT!E81,3)=SC!$F$1,CT!H81,0)</f>
        <v>0</v>
      </c>
    </row>
    <row r="85" spans="1:6" hidden="1" x14ac:dyDescent="0.25">
      <c r="A85" s="80" t="str">
        <f>IF(OR(LEFT(CT!D82,3)=SC!$F$1,LEFT(CT!E82,3)=SC!$F$1),CT!A82,"")</f>
        <v/>
      </c>
      <c r="B85" s="80" t="str">
        <f>IF(OR(LEFT(CT!D82,3)=SC!$F$1,LEFT(CT!E82,3)=SC!$F$1),CT!B82,"")</f>
        <v/>
      </c>
      <c r="C85" t="str">
        <f>IF(OR(LEFT(CT!D82,3)=SC!$F$1,LEFT(CT!E82,3)=SC!$F$1),CT!C82,"")</f>
        <v/>
      </c>
      <c r="D85" t="str">
        <f>IF(LEFT(CT!D82,3)=SC!$F$1,LEFT(CT!E82,3), IF(LEFT(CT!E82,3)=SC!$F$1,LEFT(CT!D82,3),""))</f>
        <v/>
      </c>
      <c r="E85" s="67">
        <f>IF(LEFT(CT!D82,3)=SC!$F$1,CT!H82,0)</f>
        <v>0</v>
      </c>
      <c r="F85" s="67">
        <f>IF(LEFT(CT!E82,3)=SC!$F$1,CT!H82,0)</f>
        <v>0</v>
      </c>
    </row>
    <row r="86" spans="1:6" hidden="1" x14ac:dyDescent="0.25">
      <c r="A86" s="80" t="str">
        <f>IF(OR(LEFT(CT!D83,3)=SC!$F$1,LEFT(CT!E83,3)=SC!$F$1),CT!A83,"")</f>
        <v/>
      </c>
      <c r="B86" s="80" t="str">
        <f>IF(OR(LEFT(CT!D83,3)=SC!$F$1,LEFT(CT!E83,3)=SC!$F$1),CT!B83,"")</f>
        <v/>
      </c>
      <c r="C86" t="str">
        <f>IF(OR(LEFT(CT!D83,3)=SC!$F$1,LEFT(CT!E83,3)=SC!$F$1),CT!C83,"")</f>
        <v/>
      </c>
      <c r="D86" t="str">
        <f>IF(LEFT(CT!D83,3)=SC!$F$1,LEFT(CT!E83,3), IF(LEFT(CT!E83,3)=SC!$F$1,LEFT(CT!D83,3),""))</f>
        <v/>
      </c>
      <c r="E86" s="67">
        <f>IF(LEFT(CT!D83,3)=SC!$F$1,CT!H83,0)</f>
        <v>0</v>
      </c>
      <c r="F86" s="67">
        <f>IF(LEFT(CT!E83,3)=SC!$F$1,CT!H83,0)</f>
        <v>0</v>
      </c>
    </row>
    <row r="87" spans="1:6" hidden="1" x14ac:dyDescent="0.25">
      <c r="A87" s="80" t="str">
        <f>IF(OR(LEFT(CT!D84,3)=SC!$F$1,LEFT(CT!E84,3)=SC!$F$1),CT!A84,"")</f>
        <v/>
      </c>
      <c r="B87" s="80" t="str">
        <f>IF(OR(LEFT(CT!D84,3)=SC!$F$1,LEFT(CT!E84,3)=SC!$F$1),CT!B84,"")</f>
        <v/>
      </c>
      <c r="C87" t="str">
        <f>IF(OR(LEFT(CT!D84,3)=SC!$F$1,LEFT(CT!E84,3)=SC!$F$1),CT!C84,"")</f>
        <v/>
      </c>
      <c r="D87" t="str">
        <f>IF(LEFT(CT!D84,3)=SC!$F$1,LEFT(CT!E84,3), IF(LEFT(CT!E84,3)=SC!$F$1,LEFT(CT!D84,3),""))</f>
        <v/>
      </c>
      <c r="E87" s="67">
        <f>IF(LEFT(CT!D84,3)=SC!$F$1,CT!H84,0)</f>
        <v>0</v>
      </c>
      <c r="F87" s="67">
        <f>IF(LEFT(CT!E84,3)=SC!$F$1,CT!H84,0)</f>
        <v>0</v>
      </c>
    </row>
    <row r="88" spans="1:6" hidden="1" x14ac:dyDescent="0.25">
      <c r="A88" s="80" t="str">
        <f>IF(OR(LEFT(CT!D85,3)=SC!$F$1,LEFT(CT!E85,3)=SC!$F$1),CT!A85,"")</f>
        <v/>
      </c>
      <c r="B88" s="80" t="str">
        <f>IF(OR(LEFT(CT!D85,3)=SC!$F$1,LEFT(CT!E85,3)=SC!$F$1),CT!B85,"")</f>
        <v/>
      </c>
      <c r="C88" t="str">
        <f>IF(OR(LEFT(CT!D85,3)=SC!$F$1,LEFT(CT!E85,3)=SC!$F$1),CT!C85,"")</f>
        <v/>
      </c>
      <c r="D88" t="str">
        <f>IF(LEFT(CT!D85,3)=SC!$F$1,LEFT(CT!E85,3), IF(LEFT(CT!E85,3)=SC!$F$1,LEFT(CT!D85,3),""))</f>
        <v/>
      </c>
      <c r="E88" s="67">
        <f>IF(LEFT(CT!D85,3)=SC!$F$1,CT!H85,0)</f>
        <v>0</v>
      </c>
      <c r="F88" s="67">
        <f>IF(LEFT(CT!E85,3)=SC!$F$1,CT!H85,0)</f>
        <v>0</v>
      </c>
    </row>
    <row r="89" spans="1:6" hidden="1" x14ac:dyDescent="0.25">
      <c r="A89" s="80" t="str">
        <f>IF(OR(LEFT(CT!D86,3)=SC!$F$1,LEFT(CT!E86,3)=SC!$F$1),CT!A86,"")</f>
        <v/>
      </c>
      <c r="B89" s="80" t="str">
        <f>IF(OR(LEFT(CT!D86,3)=SC!$F$1,LEFT(CT!E86,3)=SC!$F$1),CT!B86,"")</f>
        <v/>
      </c>
      <c r="C89" t="str">
        <f>IF(OR(LEFT(CT!D86,3)=SC!$F$1,LEFT(CT!E86,3)=SC!$F$1),CT!C86,"")</f>
        <v/>
      </c>
      <c r="D89" t="str">
        <f>IF(LEFT(CT!D86,3)=SC!$F$1,LEFT(CT!E86,3), IF(LEFT(CT!E86,3)=SC!$F$1,LEFT(CT!D86,3),""))</f>
        <v/>
      </c>
      <c r="E89" s="67">
        <f>IF(LEFT(CT!D86,3)=SC!$F$1,CT!H86,0)</f>
        <v>0</v>
      </c>
      <c r="F89" s="67">
        <f>IF(LEFT(CT!E86,3)=SC!$F$1,CT!H86,0)</f>
        <v>0</v>
      </c>
    </row>
    <row r="90" spans="1:6" hidden="1" x14ac:dyDescent="0.25">
      <c r="A90" s="80" t="str">
        <f>IF(OR(LEFT(CT!D87,3)=SC!$F$1,LEFT(CT!E87,3)=SC!$F$1),CT!A87,"")</f>
        <v/>
      </c>
      <c r="B90" s="80" t="str">
        <f>IF(OR(LEFT(CT!D87,3)=SC!$F$1,LEFT(CT!E87,3)=SC!$F$1),CT!B87,"")</f>
        <v/>
      </c>
      <c r="C90" t="str">
        <f>IF(OR(LEFT(CT!D87,3)=SC!$F$1,LEFT(CT!E87,3)=SC!$F$1),CT!C87,"")</f>
        <v/>
      </c>
      <c r="D90" t="str">
        <f>IF(LEFT(CT!D87,3)=SC!$F$1,LEFT(CT!E87,3), IF(LEFT(CT!E87,3)=SC!$F$1,LEFT(CT!D87,3),""))</f>
        <v/>
      </c>
      <c r="E90" s="67">
        <f>IF(LEFT(CT!D87,3)=SC!$F$1,CT!H87,0)</f>
        <v>0</v>
      </c>
      <c r="F90" s="67">
        <f>IF(LEFT(CT!E87,3)=SC!$F$1,CT!H87,0)</f>
        <v>0</v>
      </c>
    </row>
    <row r="91" spans="1:6" hidden="1" x14ac:dyDescent="0.25">
      <c r="A91" s="80" t="str">
        <f>IF(OR(LEFT(CT!D88,3)=SC!$F$1,LEFT(CT!E88,3)=SC!$F$1),CT!A88,"")</f>
        <v/>
      </c>
      <c r="B91" s="80" t="str">
        <f>IF(OR(LEFT(CT!D88,3)=SC!$F$1,LEFT(CT!E88,3)=SC!$F$1),CT!B88,"")</f>
        <v/>
      </c>
      <c r="C91" t="str">
        <f>IF(OR(LEFT(CT!D88,3)=SC!$F$1,LEFT(CT!E88,3)=SC!$F$1),CT!C88,"")</f>
        <v/>
      </c>
      <c r="D91" t="str">
        <f>IF(LEFT(CT!D88,3)=SC!$F$1,LEFT(CT!E88,3), IF(LEFT(CT!E88,3)=SC!$F$1,LEFT(CT!D88,3),""))</f>
        <v/>
      </c>
      <c r="E91" s="67">
        <f>IF(LEFT(CT!D88,3)=SC!$F$1,CT!H88,0)</f>
        <v>0</v>
      </c>
      <c r="F91" s="67">
        <f>IF(LEFT(CT!E88,3)=SC!$F$1,CT!H88,0)</f>
        <v>0</v>
      </c>
    </row>
    <row r="92" spans="1:6" hidden="1" x14ac:dyDescent="0.25">
      <c r="A92" s="80" t="str">
        <f>IF(OR(LEFT(CT!D89,3)=SC!$F$1,LEFT(CT!E89,3)=SC!$F$1),CT!A89,"")</f>
        <v/>
      </c>
      <c r="B92" s="80" t="str">
        <f>IF(OR(LEFT(CT!D89,3)=SC!$F$1,LEFT(CT!E89,3)=SC!$F$1),CT!B89,"")</f>
        <v/>
      </c>
      <c r="C92" t="str">
        <f>IF(OR(LEFT(CT!D89,3)=SC!$F$1,LEFT(CT!E89,3)=SC!$F$1),CT!C89,"")</f>
        <v/>
      </c>
      <c r="D92" t="str">
        <f>IF(LEFT(CT!D89,3)=SC!$F$1,LEFT(CT!E89,3), IF(LEFT(CT!E89,3)=SC!$F$1,LEFT(CT!D89,3),""))</f>
        <v/>
      </c>
      <c r="E92" s="67">
        <f>IF(LEFT(CT!D89,3)=SC!$F$1,CT!H89,0)</f>
        <v>0</v>
      </c>
      <c r="F92" s="67">
        <f>IF(LEFT(CT!E89,3)=SC!$F$1,CT!H89,0)</f>
        <v>0</v>
      </c>
    </row>
    <row r="93" spans="1:6" hidden="1" x14ac:dyDescent="0.25">
      <c r="A93" s="80" t="str">
        <f>IF(OR(LEFT(CT!D90,3)=SC!$F$1,LEFT(CT!E90,3)=SC!$F$1),CT!A90,"")</f>
        <v/>
      </c>
      <c r="B93" s="80" t="str">
        <f>IF(OR(LEFT(CT!D90,3)=SC!$F$1,LEFT(CT!E90,3)=SC!$F$1),CT!B90,"")</f>
        <v/>
      </c>
      <c r="C93" t="str">
        <f>IF(OR(LEFT(CT!D90,3)=SC!$F$1,LEFT(CT!E90,3)=SC!$F$1),CT!C90,"")</f>
        <v/>
      </c>
      <c r="D93" t="str">
        <f>IF(LEFT(CT!D90,3)=SC!$F$1,LEFT(CT!E90,3), IF(LEFT(CT!E90,3)=SC!$F$1,LEFT(CT!D90,3),""))</f>
        <v/>
      </c>
      <c r="E93" s="67">
        <f>IF(LEFT(CT!D90,3)=SC!$F$1,CT!H90,0)</f>
        <v>0</v>
      </c>
      <c r="F93" s="67">
        <f>IF(LEFT(CT!E90,3)=SC!$F$1,CT!H90,0)</f>
        <v>0</v>
      </c>
    </row>
    <row r="94" spans="1:6" hidden="1" x14ac:dyDescent="0.25">
      <c r="A94" s="80" t="str">
        <f>IF(OR(LEFT(CT!D91,3)=SC!$F$1,LEFT(CT!E91,3)=SC!$F$1),CT!A91,"")</f>
        <v/>
      </c>
      <c r="B94" s="80" t="str">
        <f>IF(OR(LEFT(CT!D91,3)=SC!$F$1,LEFT(CT!E91,3)=SC!$F$1),CT!B91,"")</f>
        <v/>
      </c>
      <c r="C94" t="str">
        <f>IF(OR(LEFT(CT!D91,3)=SC!$F$1,LEFT(CT!E91,3)=SC!$F$1),CT!C91,"")</f>
        <v/>
      </c>
      <c r="D94" t="str">
        <f>IF(LEFT(CT!D91,3)=SC!$F$1,LEFT(CT!E91,3), IF(LEFT(CT!E91,3)=SC!$F$1,LEFT(CT!D91,3),""))</f>
        <v/>
      </c>
      <c r="E94" s="67">
        <f>IF(LEFT(CT!D91,3)=SC!$F$1,CT!H91,0)</f>
        <v>0</v>
      </c>
      <c r="F94" s="67">
        <f>IF(LEFT(CT!E91,3)=SC!$F$1,CT!H91,0)</f>
        <v>0</v>
      </c>
    </row>
    <row r="95" spans="1:6" hidden="1" x14ac:dyDescent="0.25">
      <c r="A95" s="80" t="str">
        <f>IF(OR(LEFT(CT!D92,3)=SC!$F$1,LEFT(CT!E92,3)=SC!$F$1),CT!A92,"")</f>
        <v/>
      </c>
      <c r="B95" s="80" t="str">
        <f>IF(OR(LEFT(CT!D92,3)=SC!$F$1,LEFT(CT!E92,3)=SC!$F$1),CT!B92,"")</f>
        <v/>
      </c>
      <c r="C95" t="str">
        <f>IF(OR(LEFT(CT!D92,3)=SC!$F$1,LEFT(CT!E92,3)=SC!$F$1),CT!C92,"")</f>
        <v/>
      </c>
      <c r="D95" t="str">
        <f>IF(LEFT(CT!D92,3)=SC!$F$1,LEFT(CT!E92,3), IF(LEFT(CT!E92,3)=SC!$F$1,LEFT(CT!D92,3),""))</f>
        <v/>
      </c>
      <c r="E95" s="67">
        <f>IF(LEFT(CT!D92,3)=SC!$F$1,CT!H92,0)</f>
        <v>0</v>
      </c>
      <c r="F95" s="67">
        <f>IF(LEFT(CT!E92,3)=SC!$F$1,CT!H92,0)</f>
        <v>0</v>
      </c>
    </row>
    <row r="96" spans="1:6" hidden="1" x14ac:dyDescent="0.25">
      <c r="A96" s="80" t="str">
        <f>IF(OR(LEFT(CT!D93,3)=SC!$F$1,LEFT(CT!E93,3)=SC!$F$1),CT!A93,"")</f>
        <v/>
      </c>
      <c r="B96" s="80" t="str">
        <f>IF(OR(LEFT(CT!D93,3)=SC!$F$1,LEFT(CT!E93,3)=SC!$F$1),CT!B93,"")</f>
        <v/>
      </c>
      <c r="C96" t="str">
        <f>IF(OR(LEFT(CT!D93,3)=SC!$F$1,LEFT(CT!E93,3)=SC!$F$1),CT!C93,"")</f>
        <v/>
      </c>
      <c r="D96" t="str">
        <f>IF(LEFT(CT!D93,3)=SC!$F$1,LEFT(CT!E93,3), IF(LEFT(CT!E93,3)=SC!$F$1,LEFT(CT!D93,3),""))</f>
        <v/>
      </c>
      <c r="E96" s="67">
        <f>IF(LEFT(CT!D93,3)=SC!$F$1,CT!H93,0)</f>
        <v>0</v>
      </c>
      <c r="F96" s="67">
        <f>IF(LEFT(CT!E93,3)=SC!$F$1,CT!H93,0)</f>
        <v>0</v>
      </c>
    </row>
    <row r="97" spans="1:6" hidden="1" x14ac:dyDescent="0.25">
      <c r="A97" s="80" t="str">
        <f>IF(OR(LEFT(CT!D94,3)=SC!$F$1,LEFT(CT!E94,3)=SC!$F$1),CT!A94,"")</f>
        <v/>
      </c>
      <c r="B97" s="80" t="str">
        <f>IF(OR(LEFT(CT!D94,3)=SC!$F$1,LEFT(CT!E94,3)=SC!$F$1),CT!B94,"")</f>
        <v/>
      </c>
      <c r="C97" t="str">
        <f>IF(OR(LEFT(CT!D94,3)=SC!$F$1,LEFT(CT!E94,3)=SC!$F$1),CT!C94,"")</f>
        <v/>
      </c>
      <c r="D97" t="str">
        <f>IF(LEFT(CT!D94,3)=SC!$F$1,LEFT(CT!E94,3), IF(LEFT(CT!E94,3)=SC!$F$1,LEFT(CT!D94,3),""))</f>
        <v/>
      </c>
      <c r="E97" s="67">
        <f>IF(LEFT(CT!D94,3)=SC!$F$1,CT!H94,0)</f>
        <v>0</v>
      </c>
      <c r="F97" s="67">
        <f>IF(LEFT(CT!E94,3)=SC!$F$1,CT!H94,0)</f>
        <v>0</v>
      </c>
    </row>
    <row r="98" spans="1:6" hidden="1" x14ac:dyDescent="0.25">
      <c r="A98" s="80" t="str">
        <f>IF(OR(LEFT(CT!D95,3)=SC!$F$1,LEFT(CT!E95,3)=SC!$F$1),CT!A95,"")</f>
        <v/>
      </c>
      <c r="B98" s="80" t="str">
        <f>IF(OR(LEFT(CT!D95,3)=SC!$F$1,LEFT(CT!E95,3)=SC!$F$1),CT!B95,"")</f>
        <v/>
      </c>
      <c r="C98" t="str">
        <f>IF(OR(LEFT(CT!D95,3)=SC!$F$1,LEFT(CT!E95,3)=SC!$F$1),CT!C95,"")</f>
        <v/>
      </c>
      <c r="D98" t="str">
        <f>IF(LEFT(CT!D95,3)=SC!$F$1,LEFT(CT!E95,3), IF(LEFT(CT!E95,3)=SC!$F$1,LEFT(CT!D95,3),""))</f>
        <v/>
      </c>
      <c r="E98" s="67">
        <f>IF(LEFT(CT!D95,3)=SC!$F$1,CT!H95,0)</f>
        <v>0</v>
      </c>
      <c r="F98" s="67">
        <f>IF(LEFT(CT!E95,3)=SC!$F$1,CT!H95,0)</f>
        <v>0</v>
      </c>
    </row>
    <row r="99" spans="1:6" hidden="1" x14ac:dyDescent="0.25">
      <c r="A99" s="80" t="str">
        <f>IF(OR(LEFT(CT!D96,3)=SC!$F$1,LEFT(CT!E96,3)=SC!$F$1),CT!A96,"")</f>
        <v/>
      </c>
      <c r="B99" s="80" t="str">
        <f>IF(OR(LEFT(CT!D96,3)=SC!$F$1,LEFT(CT!E96,3)=SC!$F$1),CT!B96,"")</f>
        <v/>
      </c>
      <c r="C99" t="str">
        <f>IF(OR(LEFT(CT!D96,3)=SC!$F$1,LEFT(CT!E96,3)=SC!$F$1),CT!C96,"")</f>
        <v/>
      </c>
      <c r="D99" t="str">
        <f>IF(LEFT(CT!D96,3)=SC!$F$1,LEFT(CT!E96,3), IF(LEFT(CT!E96,3)=SC!$F$1,LEFT(CT!D96,3),""))</f>
        <v/>
      </c>
      <c r="E99" s="67">
        <f>IF(LEFT(CT!D96,3)=SC!$F$1,CT!H96,0)</f>
        <v>0</v>
      </c>
      <c r="F99" s="67">
        <f>IF(LEFT(CT!E96,3)=SC!$F$1,CT!H96,0)</f>
        <v>0</v>
      </c>
    </row>
    <row r="100" spans="1:6" hidden="1" x14ac:dyDescent="0.25">
      <c r="A100" s="80" t="str">
        <f>IF(OR(LEFT(CT!D97,3)=SC!$F$1,LEFT(CT!E97,3)=SC!$F$1),CT!A97,"")</f>
        <v/>
      </c>
      <c r="B100" s="80" t="str">
        <f>IF(OR(LEFT(CT!D97,3)=SC!$F$1,LEFT(CT!E97,3)=SC!$F$1),CT!B97,"")</f>
        <v/>
      </c>
      <c r="C100" t="str">
        <f>IF(OR(LEFT(CT!D97,3)=SC!$F$1,LEFT(CT!E97,3)=SC!$F$1),CT!C97,"")</f>
        <v/>
      </c>
      <c r="D100" t="str">
        <f>IF(LEFT(CT!D97,3)=SC!$F$1,LEFT(CT!E97,3), IF(LEFT(CT!E97,3)=SC!$F$1,LEFT(CT!D97,3),""))</f>
        <v/>
      </c>
      <c r="E100" s="67">
        <f>IF(LEFT(CT!D97,3)=SC!$F$1,CT!H97,0)</f>
        <v>0</v>
      </c>
      <c r="F100" s="67">
        <f>IF(LEFT(CT!E97,3)=SC!$F$1,CT!H97,0)</f>
        <v>0</v>
      </c>
    </row>
    <row r="101" spans="1:6" hidden="1" x14ac:dyDescent="0.25">
      <c r="A101" s="80" t="str">
        <f>IF(OR(LEFT(CT!D98,3)=SC!$F$1,LEFT(CT!E98,3)=SC!$F$1),CT!A98,"")</f>
        <v/>
      </c>
      <c r="B101" s="80" t="str">
        <f>IF(OR(LEFT(CT!D98,3)=SC!$F$1,LEFT(CT!E98,3)=SC!$F$1),CT!B98,"")</f>
        <v/>
      </c>
      <c r="C101" t="str">
        <f>IF(OR(LEFT(CT!D98,3)=SC!$F$1,LEFT(CT!E98,3)=SC!$F$1),CT!C98,"")</f>
        <v/>
      </c>
      <c r="D101" t="str">
        <f>IF(LEFT(CT!D98,3)=SC!$F$1,LEFT(CT!E98,3), IF(LEFT(CT!E98,3)=SC!$F$1,LEFT(CT!D98,3),""))</f>
        <v/>
      </c>
      <c r="E101" s="67">
        <f>IF(LEFT(CT!D98,3)=SC!$F$1,CT!H98,0)</f>
        <v>0</v>
      </c>
      <c r="F101" s="67">
        <f>IF(LEFT(CT!E98,3)=SC!$F$1,CT!H98,0)</f>
        <v>0</v>
      </c>
    </row>
    <row r="102" spans="1:6" hidden="1" x14ac:dyDescent="0.25">
      <c r="A102" s="80" t="str">
        <f>IF(OR(LEFT(CT!D99,3)=SC!$F$1,LEFT(CT!E99,3)=SC!$F$1),CT!A99,"")</f>
        <v/>
      </c>
      <c r="B102" s="80" t="str">
        <f>IF(OR(LEFT(CT!D99,3)=SC!$F$1,LEFT(CT!E99,3)=SC!$F$1),CT!B99,"")</f>
        <v/>
      </c>
      <c r="C102" t="str">
        <f>IF(OR(LEFT(CT!D99,3)=SC!$F$1,LEFT(CT!E99,3)=SC!$F$1),CT!C99,"")</f>
        <v/>
      </c>
      <c r="D102" t="str">
        <f>IF(LEFT(CT!D99,3)=SC!$F$1,LEFT(CT!E99,3), IF(LEFT(CT!E99,3)=SC!$F$1,LEFT(CT!D99,3),""))</f>
        <v/>
      </c>
      <c r="E102" s="67">
        <f>IF(LEFT(CT!D99,3)=SC!$F$1,CT!H99,0)</f>
        <v>0</v>
      </c>
      <c r="F102" s="67">
        <f>IF(LEFT(CT!E99,3)=SC!$F$1,CT!H99,0)</f>
        <v>0</v>
      </c>
    </row>
    <row r="103" spans="1:6" hidden="1" x14ac:dyDescent="0.25">
      <c r="A103" s="80" t="str">
        <f>IF(OR(LEFT(CT!D100,3)=SC!$F$1,LEFT(CT!E100,3)=SC!$F$1),CT!A100,"")</f>
        <v/>
      </c>
      <c r="B103" s="80" t="str">
        <f>IF(OR(LEFT(CT!D100,3)=SC!$F$1,LEFT(CT!E100,3)=SC!$F$1),CT!B100,"")</f>
        <v/>
      </c>
      <c r="C103" t="str">
        <f>IF(OR(LEFT(CT!D100,3)=SC!$F$1,LEFT(CT!E100,3)=SC!$F$1),CT!C100,"")</f>
        <v/>
      </c>
      <c r="D103" t="str">
        <f>IF(LEFT(CT!D100,3)=SC!$F$1,LEFT(CT!E100,3), IF(LEFT(CT!E100,3)=SC!$F$1,LEFT(CT!D100,3),""))</f>
        <v/>
      </c>
      <c r="E103" s="67">
        <f>IF(LEFT(CT!D100,3)=SC!$F$1,CT!H100,0)</f>
        <v>0</v>
      </c>
      <c r="F103" s="67">
        <f>IF(LEFT(CT!E100,3)=SC!$F$1,CT!H100,0)</f>
        <v>0</v>
      </c>
    </row>
    <row r="104" spans="1:6" hidden="1" x14ac:dyDescent="0.25">
      <c r="A104" s="80" t="str">
        <f>IF(OR(LEFT(CT!D101,3)=SC!$F$1,LEFT(CT!E101,3)=SC!$F$1),CT!A101,"")</f>
        <v/>
      </c>
      <c r="B104" s="80" t="str">
        <f>IF(OR(LEFT(CT!D101,3)=SC!$F$1,LEFT(CT!E101,3)=SC!$F$1),CT!B101,"")</f>
        <v/>
      </c>
      <c r="C104" t="str">
        <f>IF(OR(LEFT(CT!D101,3)=SC!$F$1,LEFT(CT!E101,3)=SC!$F$1),CT!C101,"")</f>
        <v/>
      </c>
      <c r="D104" t="str">
        <f>IF(LEFT(CT!D101,3)=SC!$F$1,LEFT(CT!E101,3), IF(LEFT(CT!E101,3)=SC!$F$1,LEFT(CT!D101,3),""))</f>
        <v/>
      </c>
      <c r="E104" s="67">
        <f>IF(LEFT(CT!D101,3)=SC!$F$1,CT!H101,0)</f>
        <v>0</v>
      </c>
      <c r="F104" s="67">
        <f>IF(LEFT(CT!E101,3)=SC!$F$1,CT!H101,0)</f>
        <v>0</v>
      </c>
    </row>
    <row r="105" spans="1:6" hidden="1" x14ac:dyDescent="0.25">
      <c r="A105" s="80" t="str">
        <f>IF(OR(LEFT(CT!D102,3)=SC!$F$1,LEFT(CT!E102,3)=SC!$F$1),CT!A102,"")</f>
        <v/>
      </c>
      <c r="B105" s="80" t="str">
        <f>IF(OR(LEFT(CT!D102,3)=SC!$F$1,LEFT(CT!E102,3)=SC!$F$1),CT!B102,"")</f>
        <v/>
      </c>
      <c r="C105" t="str">
        <f>IF(OR(LEFT(CT!D102,3)=SC!$F$1,LEFT(CT!E102,3)=SC!$F$1),CT!C102,"")</f>
        <v/>
      </c>
      <c r="D105" t="str">
        <f>IF(LEFT(CT!D102,3)=SC!$F$1,LEFT(CT!E102,3), IF(LEFT(CT!E102,3)=SC!$F$1,LEFT(CT!D102,3),""))</f>
        <v/>
      </c>
      <c r="E105" s="67">
        <f>IF(LEFT(CT!D102,3)=SC!$F$1,CT!H102,0)</f>
        <v>0</v>
      </c>
      <c r="F105" s="67">
        <f>IF(LEFT(CT!E102,3)=SC!$F$1,CT!H102,0)</f>
        <v>0</v>
      </c>
    </row>
    <row r="106" spans="1:6" hidden="1" x14ac:dyDescent="0.25">
      <c r="A106" s="80" t="str">
        <f>IF(OR(LEFT(CT!D103,3)=SC!$F$1,LEFT(CT!E103,3)=SC!$F$1),CT!A103,"")</f>
        <v/>
      </c>
      <c r="B106" s="80" t="str">
        <f>IF(OR(LEFT(CT!D103,3)=SC!$F$1,LEFT(CT!E103,3)=SC!$F$1),CT!B103,"")</f>
        <v/>
      </c>
      <c r="C106" t="str">
        <f>IF(OR(LEFT(CT!D103,3)=SC!$F$1,LEFT(CT!E103,3)=SC!$F$1),CT!C103,"")</f>
        <v/>
      </c>
      <c r="D106" t="str">
        <f>IF(LEFT(CT!D103,3)=SC!$F$1,LEFT(CT!E103,3), IF(LEFT(CT!E103,3)=SC!$F$1,LEFT(CT!D103,3),""))</f>
        <v/>
      </c>
      <c r="E106" s="67">
        <f>IF(LEFT(CT!D103,3)=SC!$F$1,CT!H103,0)</f>
        <v>0</v>
      </c>
      <c r="F106" s="67">
        <f>IF(LEFT(CT!E103,3)=SC!$F$1,CT!H103,0)</f>
        <v>0</v>
      </c>
    </row>
    <row r="107" spans="1:6" hidden="1" x14ac:dyDescent="0.25">
      <c r="A107" s="80" t="str">
        <f>IF(OR(LEFT(CT!D104,3)=SC!$F$1,LEFT(CT!E104,3)=SC!$F$1),CT!A104,"")</f>
        <v/>
      </c>
      <c r="B107" s="80" t="str">
        <f>IF(OR(LEFT(CT!D104,3)=SC!$F$1,LEFT(CT!E104,3)=SC!$F$1),CT!B104,"")</f>
        <v/>
      </c>
      <c r="C107" t="str">
        <f>IF(OR(LEFT(CT!D104,3)=SC!$F$1,LEFT(CT!E104,3)=SC!$F$1),CT!C104,"")</f>
        <v/>
      </c>
      <c r="D107" t="str">
        <f>IF(LEFT(CT!D104,3)=SC!$F$1,LEFT(CT!E104,3), IF(LEFT(CT!E104,3)=SC!$F$1,LEFT(CT!D104,3),""))</f>
        <v/>
      </c>
      <c r="E107" s="67">
        <f>IF(LEFT(CT!D104,3)=SC!$F$1,CT!H104,0)</f>
        <v>0</v>
      </c>
      <c r="F107" s="67">
        <f>IF(LEFT(CT!E104,3)=SC!$F$1,CT!H104,0)</f>
        <v>0</v>
      </c>
    </row>
    <row r="108" spans="1:6" hidden="1" x14ac:dyDescent="0.25">
      <c r="A108" s="80" t="str">
        <f>IF(OR(LEFT(CT!D105,3)=SC!$F$1,LEFT(CT!E105,3)=SC!$F$1),CT!A105,"")</f>
        <v/>
      </c>
      <c r="B108" s="80" t="str">
        <f>IF(OR(LEFT(CT!D105,3)=SC!$F$1,LEFT(CT!E105,3)=SC!$F$1),CT!B105,"")</f>
        <v/>
      </c>
      <c r="C108" t="str">
        <f>IF(OR(LEFT(CT!D105,3)=SC!$F$1,LEFT(CT!E105,3)=SC!$F$1),CT!C105,"")</f>
        <v/>
      </c>
      <c r="D108" t="str">
        <f>IF(LEFT(CT!D105,3)=SC!$F$1,LEFT(CT!E105,3), IF(LEFT(CT!E105,3)=SC!$F$1,LEFT(CT!D105,3),""))</f>
        <v/>
      </c>
      <c r="E108" s="67">
        <f>IF(LEFT(CT!D105,3)=SC!$F$1,CT!H105,0)</f>
        <v>0</v>
      </c>
      <c r="F108" s="67">
        <f>IF(LEFT(CT!E105,3)=SC!$F$1,CT!H105,0)</f>
        <v>0</v>
      </c>
    </row>
    <row r="109" spans="1:6" hidden="1" x14ac:dyDescent="0.25">
      <c r="A109" s="80" t="str">
        <f>IF(OR(LEFT(CT!D106,3)=SC!$F$1,LEFT(CT!E106,3)=SC!$F$1),CT!A106,"")</f>
        <v/>
      </c>
      <c r="B109" s="80" t="str">
        <f>IF(OR(LEFT(CT!D106,3)=SC!$F$1,LEFT(CT!E106,3)=SC!$F$1),CT!B106,"")</f>
        <v/>
      </c>
      <c r="C109" t="str">
        <f>IF(OR(LEFT(CT!D106,3)=SC!$F$1,LEFT(CT!E106,3)=SC!$F$1),CT!C106,"")</f>
        <v/>
      </c>
      <c r="D109" t="str">
        <f>IF(LEFT(CT!D106,3)=SC!$F$1,LEFT(CT!E106,3), IF(LEFT(CT!E106,3)=SC!$F$1,LEFT(CT!D106,3),""))</f>
        <v/>
      </c>
      <c r="E109" s="67">
        <f>IF(LEFT(CT!D106,3)=SC!$F$1,CT!H106,0)</f>
        <v>0</v>
      </c>
      <c r="F109" s="67">
        <f>IF(LEFT(CT!E106,3)=SC!$F$1,CT!H106,0)</f>
        <v>0</v>
      </c>
    </row>
    <row r="110" spans="1:6" hidden="1" x14ac:dyDescent="0.25">
      <c r="A110" s="80" t="str">
        <f>IF(OR(LEFT(CT!D107,3)=SC!$F$1,LEFT(CT!E107,3)=SC!$F$1),CT!A107,"")</f>
        <v/>
      </c>
      <c r="B110" s="80" t="str">
        <f>IF(OR(LEFT(CT!D107,3)=SC!$F$1,LEFT(CT!E107,3)=SC!$F$1),CT!B107,"")</f>
        <v/>
      </c>
      <c r="C110" t="str">
        <f>IF(OR(LEFT(CT!D107,3)=SC!$F$1,LEFT(CT!E107,3)=SC!$F$1),CT!C107,"")</f>
        <v/>
      </c>
      <c r="D110" t="str">
        <f>IF(LEFT(CT!D107,3)=SC!$F$1,LEFT(CT!E107,3), IF(LEFT(CT!E107,3)=SC!$F$1,LEFT(CT!D107,3),""))</f>
        <v/>
      </c>
      <c r="E110" s="67">
        <f>IF(LEFT(CT!D107,3)=SC!$F$1,CT!H107,0)</f>
        <v>0</v>
      </c>
      <c r="F110" s="67">
        <f>IF(LEFT(CT!E107,3)=SC!$F$1,CT!H107,0)</f>
        <v>0</v>
      </c>
    </row>
    <row r="111" spans="1:6" hidden="1" x14ac:dyDescent="0.25">
      <c r="A111" s="80" t="str">
        <f>IF(OR(LEFT(CT!D108,3)=SC!$F$1,LEFT(CT!E108,3)=SC!$F$1),CT!A108,"")</f>
        <v/>
      </c>
      <c r="B111" s="80" t="str">
        <f>IF(OR(LEFT(CT!D108,3)=SC!$F$1,LEFT(CT!E108,3)=SC!$F$1),CT!B108,"")</f>
        <v/>
      </c>
      <c r="C111" t="str">
        <f>IF(OR(LEFT(CT!D108,3)=SC!$F$1,LEFT(CT!E108,3)=SC!$F$1),CT!C108,"")</f>
        <v/>
      </c>
      <c r="D111" t="str">
        <f>IF(LEFT(CT!D108,3)=SC!$F$1,LEFT(CT!E108,3), IF(LEFT(CT!E108,3)=SC!$F$1,LEFT(CT!D108,3),""))</f>
        <v/>
      </c>
      <c r="E111" s="67">
        <f>IF(LEFT(CT!D108,3)=SC!$F$1,CT!H108,0)</f>
        <v>0</v>
      </c>
      <c r="F111" s="67">
        <f>IF(LEFT(CT!E108,3)=SC!$F$1,CT!H108,0)</f>
        <v>0</v>
      </c>
    </row>
    <row r="112" spans="1:6" hidden="1" x14ac:dyDescent="0.25">
      <c r="A112" s="80" t="str">
        <f>IF(OR(LEFT(CT!D109,3)=SC!$F$1,LEFT(CT!E109,3)=SC!$F$1),CT!A109,"")</f>
        <v/>
      </c>
      <c r="B112" s="80" t="str">
        <f>IF(OR(LEFT(CT!D109,3)=SC!$F$1,LEFT(CT!E109,3)=SC!$F$1),CT!B109,"")</f>
        <v/>
      </c>
      <c r="C112" t="str">
        <f>IF(OR(LEFT(CT!D109,3)=SC!$F$1,LEFT(CT!E109,3)=SC!$F$1),CT!C109,"")</f>
        <v/>
      </c>
      <c r="D112" t="str">
        <f>IF(LEFT(CT!D109,3)=SC!$F$1,LEFT(CT!E109,3), IF(LEFT(CT!E109,3)=SC!$F$1,LEFT(CT!D109,3),""))</f>
        <v/>
      </c>
      <c r="E112" s="67">
        <f>IF(LEFT(CT!D109,3)=SC!$F$1,CT!H109,0)</f>
        <v>0</v>
      </c>
      <c r="F112" s="67">
        <f>IF(LEFT(CT!E109,3)=SC!$F$1,CT!H109,0)</f>
        <v>0</v>
      </c>
    </row>
    <row r="113" spans="1:6" hidden="1" x14ac:dyDescent="0.25">
      <c r="A113" s="80" t="str">
        <f>IF(OR(LEFT(CT!D110,3)=SC!$F$1,LEFT(CT!E110,3)=SC!$F$1),CT!A110,"")</f>
        <v/>
      </c>
      <c r="B113" s="80" t="str">
        <f>IF(OR(LEFT(CT!D110,3)=SC!$F$1,LEFT(CT!E110,3)=SC!$F$1),CT!B110,"")</f>
        <v/>
      </c>
      <c r="C113" t="str">
        <f>IF(OR(LEFT(CT!D110,3)=SC!$F$1,LEFT(CT!E110,3)=SC!$F$1),CT!C110,"")</f>
        <v/>
      </c>
      <c r="D113" t="str">
        <f>IF(LEFT(CT!D110,3)=SC!$F$1,LEFT(CT!E110,3), IF(LEFT(CT!E110,3)=SC!$F$1,LEFT(CT!D110,3),""))</f>
        <v/>
      </c>
      <c r="E113" s="67">
        <f>IF(LEFT(CT!D110,3)=SC!$F$1,CT!H110,0)</f>
        <v>0</v>
      </c>
      <c r="F113" s="67">
        <f>IF(LEFT(CT!E110,3)=SC!$F$1,CT!H110,0)</f>
        <v>0</v>
      </c>
    </row>
    <row r="114" spans="1:6" hidden="1" x14ac:dyDescent="0.25">
      <c r="A114" s="80" t="str">
        <f>IF(OR(LEFT(CT!D111,3)=SC!$F$1,LEFT(CT!E111,3)=SC!$F$1),CT!A111,"")</f>
        <v/>
      </c>
      <c r="B114" s="80" t="str">
        <f>IF(OR(LEFT(CT!D111,3)=SC!$F$1,LEFT(CT!E111,3)=SC!$F$1),CT!B111,"")</f>
        <v/>
      </c>
      <c r="C114" t="str">
        <f>IF(OR(LEFT(CT!D111,3)=SC!$F$1,LEFT(CT!E111,3)=SC!$F$1),CT!C111,"")</f>
        <v/>
      </c>
      <c r="D114" t="str">
        <f>IF(LEFT(CT!D111,3)=SC!$F$1,LEFT(CT!E111,3), IF(LEFT(CT!E111,3)=SC!$F$1,LEFT(CT!D111,3),""))</f>
        <v/>
      </c>
      <c r="E114" s="67">
        <f>IF(LEFT(CT!D111,3)=SC!$F$1,CT!H111,0)</f>
        <v>0</v>
      </c>
      <c r="F114" s="67">
        <f>IF(LEFT(CT!E111,3)=SC!$F$1,CT!H111,0)</f>
        <v>0</v>
      </c>
    </row>
    <row r="115" spans="1:6" hidden="1" x14ac:dyDescent="0.25">
      <c r="A115" s="80" t="str">
        <f>IF(OR(LEFT(CT!D112,3)=SC!$F$1,LEFT(CT!E112,3)=SC!$F$1),CT!A112,"")</f>
        <v/>
      </c>
      <c r="B115" s="80" t="str">
        <f>IF(OR(LEFT(CT!D112,3)=SC!$F$1,LEFT(CT!E112,3)=SC!$F$1),CT!B112,"")</f>
        <v/>
      </c>
      <c r="C115" t="str">
        <f>IF(OR(LEFT(CT!D112,3)=SC!$F$1,LEFT(CT!E112,3)=SC!$F$1),CT!C112,"")</f>
        <v/>
      </c>
      <c r="D115" t="str">
        <f>IF(LEFT(CT!D112,3)=SC!$F$1,LEFT(CT!E112,3), IF(LEFT(CT!E112,3)=SC!$F$1,LEFT(CT!D112,3),""))</f>
        <v/>
      </c>
      <c r="E115" s="67">
        <f>IF(LEFT(CT!D112,3)=SC!$F$1,CT!H112,0)</f>
        <v>0</v>
      </c>
      <c r="F115" s="67">
        <f>IF(LEFT(CT!E112,3)=SC!$F$1,CT!H112,0)</f>
        <v>0</v>
      </c>
    </row>
    <row r="116" spans="1:6" hidden="1" x14ac:dyDescent="0.25">
      <c r="A116" s="80" t="str">
        <f>IF(OR(LEFT(CT!D113,3)=SC!$F$1,LEFT(CT!E113,3)=SC!$F$1),CT!A113,"")</f>
        <v/>
      </c>
      <c r="B116" s="80" t="str">
        <f>IF(OR(LEFT(CT!D113,3)=SC!$F$1,LEFT(CT!E113,3)=SC!$F$1),CT!B113,"")</f>
        <v/>
      </c>
      <c r="C116" t="str">
        <f>IF(OR(LEFT(CT!D113,3)=SC!$F$1,LEFT(CT!E113,3)=SC!$F$1),CT!C113,"")</f>
        <v/>
      </c>
      <c r="D116" t="str">
        <f>IF(LEFT(CT!D113,3)=SC!$F$1,LEFT(CT!E113,3), IF(LEFT(CT!E113,3)=SC!$F$1,LEFT(CT!D113,3),""))</f>
        <v/>
      </c>
      <c r="E116" s="67">
        <f>IF(LEFT(CT!D113,3)=SC!$F$1,CT!H113,0)</f>
        <v>0</v>
      </c>
      <c r="F116" s="67">
        <f>IF(LEFT(CT!E113,3)=SC!$F$1,CT!H113,0)</f>
        <v>0</v>
      </c>
    </row>
    <row r="117" spans="1:6" hidden="1" x14ac:dyDescent="0.25">
      <c r="A117" s="80" t="str">
        <f>IF(OR(LEFT(CT!D114,3)=SC!$F$1,LEFT(CT!E114,3)=SC!$F$1),CT!A114,"")</f>
        <v/>
      </c>
      <c r="B117" s="80" t="str">
        <f>IF(OR(LEFT(CT!D114,3)=SC!$F$1,LEFT(CT!E114,3)=SC!$F$1),CT!B114,"")</f>
        <v/>
      </c>
      <c r="C117" t="str">
        <f>IF(OR(LEFT(CT!D114,3)=SC!$F$1,LEFT(CT!E114,3)=SC!$F$1),CT!C114,"")</f>
        <v/>
      </c>
      <c r="D117" t="str">
        <f>IF(LEFT(CT!D114,3)=SC!$F$1,LEFT(CT!E114,3), IF(LEFT(CT!E114,3)=SC!$F$1,LEFT(CT!D114,3),""))</f>
        <v/>
      </c>
      <c r="E117" s="67">
        <f>IF(LEFT(CT!D114,3)=SC!$F$1,CT!H114,0)</f>
        <v>0</v>
      </c>
      <c r="F117" s="67">
        <f>IF(LEFT(CT!E114,3)=SC!$F$1,CT!H114,0)</f>
        <v>0</v>
      </c>
    </row>
    <row r="118" spans="1:6" hidden="1" x14ac:dyDescent="0.25">
      <c r="A118" s="80" t="str">
        <f>IF(OR(LEFT(CT!D115,3)=SC!$F$1,LEFT(CT!E115,3)=SC!$F$1),CT!A115,"")</f>
        <v/>
      </c>
      <c r="B118" s="80" t="str">
        <f>IF(OR(LEFT(CT!D115,3)=SC!$F$1,LEFT(CT!E115,3)=SC!$F$1),CT!B115,"")</f>
        <v/>
      </c>
      <c r="C118" t="str">
        <f>IF(OR(LEFT(CT!D115,3)=SC!$F$1,LEFT(CT!E115,3)=SC!$F$1),CT!C115,"")</f>
        <v/>
      </c>
      <c r="D118" t="str">
        <f>IF(LEFT(CT!D115,3)=SC!$F$1,LEFT(CT!E115,3), IF(LEFT(CT!E115,3)=SC!$F$1,LEFT(CT!D115,3),""))</f>
        <v/>
      </c>
      <c r="E118" s="67">
        <f>IF(LEFT(CT!D115,3)=SC!$F$1,CT!H115,0)</f>
        <v>0</v>
      </c>
      <c r="F118" s="67">
        <f>IF(LEFT(CT!E115,3)=SC!$F$1,CT!H115,0)</f>
        <v>0</v>
      </c>
    </row>
    <row r="119" spans="1:6" hidden="1" x14ac:dyDescent="0.25">
      <c r="A119" s="80" t="str">
        <f>IF(OR(LEFT(CT!D116,3)=SC!$F$1,LEFT(CT!E116,3)=SC!$F$1),CT!A116,"")</f>
        <v/>
      </c>
      <c r="B119" s="80" t="str">
        <f>IF(OR(LEFT(CT!D116,3)=SC!$F$1,LEFT(CT!E116,3)=SC!$F$1),CT!B116,"")</f>
        <v/>
      </c>
      <c r="C119" t="str">
        <f>IF(OR(LEFT(CT!D116,3)=SC!$F$1,LEFT(CT!E116,3)=SC!$F$1),CT!C116,"")</f>
        <v/>
      </c>
      <c r="D119" t="str">
        <f>IF(LEFT(CT!D116,3)=SC!$F$1,LEFT(CT!E116,3), IF(LEFT(CT!E116,3)=SC!$F$1,LEFT(CT!D116,3),""))</f>
        <v/>
      </c>
      <c r="E119" s="67">
        <f>IF(LEFT(CT!D116,3)=SC!$F$1,CT!H116,0)</f>
        <v>0</v>
      </c>
      <c r="F119" s="67">
        <f>IF(LEFT(CT!E116,3)=SC!$F$1,CT!H116,0)</f>
        <v>0</v>
      </c>
    </row>
    <row r="120" spans="1:6" hidden="1" x14ac:dyDescent="0.25">
      <c r="A120" s="80" t="str">
        <f>IF(OR(LEFT(CT!D117,3)=SC!$F$1,LEFT(CT!E117,3)=SC!$F$1),CT!A117,"")</f>
        <v/>
      </c>
      <c r="B120" s="80" t="str">
        <f>IF(OR(LEFT(CT!D117,3)=SC!$F$1,LEFT(CT!E117,3)=SC!$F$1),CT!B117,"")</f>
        <v/>
      </c>
      <c r="C120" t="str">
        <f>IF(OR(LEFT(CT!D117,3)=SC!$F$1,LEFT(CT!E117,3)=SC!$F$1),CT!C117,"")</f>
        <v/>
      </c>
      <c r="D120" t="str">
        <f>IF(LEFT(CT!D117,3)=SC!$F$1,LEFT(CT!E117,3), IF(LEFT(CT!E117,3)=SC!$F$1,LEFT(CT!D117,3),""))</f>
        <v/>
      </c>
      <c r="E120" s="67">
        <f>IF(LEFT(CT!D117,3)=SC!$F$1,CT!H117,0)</f>
        <v>0</v>
      </c>
      <c r="F120" s="67">
        <f>IF(LEFT(CT!E117,3)=SC!$F$1,CT!H117,0)</f>
        <v>0</v>
      </c>
    </row>
    <row r="121" spans="1:6" hidden="1" x14ac:dyDescent="0.25">
      <c r="A121" s="80" t="str">
        <f>IF(OR(LEFT(CT!D118,3)=SC!$F$1,LEFT(CT!E118,3)=SC!$F$1),CT!A118,"")</f>
        <v/>
      </c>
      <c r="B121" s="80" t="str">
        <f>IF(OR(LEFT(CT!D118,3)=SC!$F$1,LEFT(CT!E118,3)=SC!$F$1),CT!B118,"")</f>
        <v/>
      </c>
      <c r="C121" t="str">
        <f>IF(OR(LEFT(CT!D118,3)=SC!$F$1,LEFT(CT!E118,3)=SC!$F$1),CT!C118,"")</f>
        <v/>
      </c>
      <c r="D121" t="str">
        <f>IF(LEFT(CT!D118,3)=SC!$F$1,LEFT(CT!E118,3), IF(LEFT(CT!E118,3)=SC!$F$1,LEFT(CT!D118,3),""))</f>
        <v/>
      </c>
      <c r="E121" s="67">
        <f>IF(LEFT(CT!D118,3)=SC!$F$1,CT!H118,0)</f>
        <v>0</v>
      </c>
      <c r="F121" s="67">
        <f>IF(LEFT(CT!E118,3)=SC!$F$1,CT!H118,0)</f>
        <v>0</v>
      </c>
    </row>
    <row r="122" spans="1:6" hidden="1" x14ac:dyDescent="0.25">
      <c r="A122" s="80" t="str">
        <f>IF(OR(LEFT(CT!D119,3)=SC!$F$1,LEFT(CT!E119,3)=SC!$F$1),CT!A119,"")</f>
        <v/>
      </c>
      <c r="B122" s="80" t="str">
        <f>IF(OR(LEFT(CT!D119,3)=SC!$F$1,LEFT(CT!E119,3)=SC!$F$1),CT!B119,"")</f>
        <v/>
      </c>
      <c r="C122" t="str">
        <f>IF(OR(LEFT(CT!D119,3)=SC!$F$1,LEFT(CT!E119,3)=SC!$F$1),CT!C119,"")</f>
        <v/>
      </c>
      <c r="D122" t="str">
        <f>IF(LEFT(CT!D119,3)=SC!$F$1,LEFT(CT!E119,3), IF(LEFT(CT!E119,3)=SC!$F$1,LEFT(CT!D119,3),""))</f>
        <v/>
      </c>
      <c r="E122" s="67">
        <f>IF(LEFT(CT!D119,3)=SC!$F$1,CT!H119,0)</f>
        <v>0</v>
      </c>
      <c r="F122" s="67">
        <f>IF(LEFT(CT!E119,3)=SC!$F$1,CT!H119,0)</f>
        <v>0</v>
      </c>
    </row>
    <row r="123" spans="1:6" hidden="1" x14ac:dyDescent="0.25">
      <c r="A123" s="80" t="str">
        <f>IF(OR(LEFT(CT!D120,3)=SC!$F$1,LEFT(CT!E120,3)=SC!$F$1),CT!A120,"")</f>
        <v/>
      </c>
      <c r="B123" s="80" t="str">
        <f>IF(OR(LEFT(CT!D120,3)=SC!$F$1,LEFT(CT!E120,3)=SC!$F$1),CT!B120,"")</f>
        <v/>
      </c>
      <c r="C123" t="str">
        <f>IF(OR(LEFT(CT!D120,3)=SC!$F$1,LEFT(CT!E120,3)=SC!$F$1),CT!C120,"")</f>
        <v/>
      </c>
      <c r="D123" t="str">
        <f>IF(LEFT(CT!D120,3)=SC!$F$1,LEFT(CT!E120,3), IF(LEFT(CT!E120,3)=SC!$F$1,LEFT(CT!D120,3),""))</f>
        <v/>
      </c>
      <c r="E123" s="67">
        <f>IF(LEFT(CT!D120,3)=SC!$F$1,CT!H120,0)</f>
        <v>0</v>
      </c>
      <c r="F123" s="67">
        <f>IF(LEFT(CT!E120,3)=SC!$F$1,CT!H120,0)</f>
        <v>0</v>
      </c>
    </row>
    <row r="124" spans="1:6" hidden="1" x14ac:dyDescent="0.25">
      <c r="A124" s="80" t="str">
        <f>IF(OR(LEFT(CT!D121,3)=SC!$F$1,LEFT(CT!E121,3)=SC!$F$1),CT!A121,"")</f>
        <v/>
      </c>
      <c r="B124" s="80" t="str">
        <f>IF(OR(LEFT(CT!D121,3)=SC!$F$1,LEFT(CT!E121,3)=SC!$F$1),CT!B121,"")</f>
        <v/>
      </c>
      <c r="C124" t="str">
        <f>IF(OR(LEFT(CT!D121,3)=SC!$F$1,LEFT(CT!E121,3)=SC!$F$1),CT!C121,"")</f>
        <v/>
      </c>
      <c r="D124" t="str">
        <f>IF(LEFT(CT!D121,3)=SC!$F$1,LEFT(CT!E121,3), IF(LEFT(CT!E121,3)=SC!$F$1,LEFT(CT!D121,3),""))</f>
        <v/>
      </c>
      <c r="E124" s="67">
        <f>IF(LEFT(CT!D121,3)=SC!$F$1,CT!H121,0)</f>
        <v>0</v>
      </c>
      <c r="F124" s="67">
        <f>IF(LEFT(CT!E121,3)=SC!$F$1,CT!H121,0)</f>
        <v>0</v>
      </c>
    </row>
    <row r="125" spans="1:6" hidden="1" x14ac:dyDescent="0.25">
      <c r="A125" s="80" t="str">
        <f>IF(OR(LEFT(CT!D122,3)=SC!$F$1,LEFT(CT!E122,3)=SC!$F$1),CT!A122,"")</f>
        <v/>
      </c>
      <c r="B125" s="80" t="str">
        <f>IF(OR(LEFT(CT!D122,3)=SC!$F$1,LEFT(CT!E122,3)=SC!$F$1),CT!B122,"")</f>
        <v/>
      </c>
      <c r="C125" t="str">
        <f>IF(OR(LEFT(CT!D122,3)=SC!$F$1,LEFT(CT!E122,3)=SC!$F$1),CT!C122,"")</f>
        <v/>
      </c>
      <c r="D125" t="str">
        <f>IF(LEFT(CT!D122,3)=SC!$F$1,LEFT(CT!E122,3), IF(LEFT(CT!E122,3)=SC!$F$1,LEFT(CT!D122,3),""))</f>
        <v/>
      </c>
      <c r="E125" s="67">
        <f>IF(LEFT(CT!D122,3)=SC!$F$1,CT!H122,0)</f>
        <v>0</v>
      </c>
      <c r="F125" s="67">
        <f>IF(LEFT(CT!E122,3)=SC!$F$1,CT!H122,0)</f>
        <v>0</v>
      </c>
    </row>
    <row r="126" spans="1:6" hidden="1" x14ac:dyDescent="0.25">
      <c r="A126" s="80" t="str">
        <f>IF(OR(LEFT(CT!D123,3)=SC!$F$1,LEFT(CT!E123,3)=SC!$F$1),CT!A123,"")</f>
        <v/>
      </c>
      <c r="B126" s="80" t="str">
        <f>IF(OR(LEFT(CT!D123,3)=SC!$F$1,LEFT(CT!E123,3)=SC!$F$1),CT!B123,"")</f>
        <v/>
      </c>
      <c r="C126" t="str">
        <f>IF(OR(LEFT(CT!D123,3)=SC!$F$1,LEFT(CT!E123,3)=SC!$F$1),CT!C123,"")</f>
        <v/>
      </c>
      <c r="D126" t="str">
        <f>IF(LEFT(CT!D123,3)=SC!$F$1,LEFT(CT!E123,3), IF(LEFT(CT!E123,3)=SC!$F$1,LEFT(CT!D123,3),""))</f>
        <v/>
      </c>
      <c r="E126" s="67">
        <f>IF(LEFT(CT!D123,3)=SC!$F$1,CT!H123,0)</f>
        <v>0</v>
      </c>
      <c r="F126" s="67">
        <f>IF(LEFT(CT!E123,3)=SC!$F$1,CT!H123,0)</f>
        <v>0</v>
      </c>
    </row>
    <row r="127" spans="1:6" hidden="1" x14ac:dyDescent="0.25">
      <c r="A127" s="80" t="str">
        <f>IF(OR(LEFT(CT!D124,3)=SC!$F$1,LEFT(CT!E124,3)=SC!$F$1),CT!A124,"")</f>
        <v/>
      </c>
      <c r="B127" s="80" t="str">
        <f>IF(OR(LEFT(CT!D124,3)=SC!$F$1,LEFT(CT!E124,3)=SC!$F$1),CT!B124,"")</f>
        <v/>
      </c>
      <c r="C127" t="str">
        <f>IF(OR(LEFT(CT!D124,3)=SC!$F$1,LEFT(CT!E124,3)=SC!$F$1),CT!C124,"")</f>
        <v/>
      </c>
      <c r="D127" t="str">
        <f>IF(LEFT(CT!D124,3)=SC!$F$1,LEFT(CT!E124,3), IF(LEFT(CT!E124,3)=SC!$F$1,LEFT(CT!D124,3),""))</f>
        <v/>
      </c>
      <c r="E127" s="67">
        <f>IF(LEFT(CT!D124,3)=SC!$F$1,CT!H124,0)</f>
        <v>0</v>
      </c>
      <c r="F127" s="67">
        <f>IF(LEFT(CT!E124,3)=SC!$F$1,CT!H124,0)</f>
        <v>0</v>
      </c>
    </row>
    <row r="128" spans="1:6" hidden="1" x14ac:dyDescent="0.25">
      <c r="A128" s="80" t="str">
        <f>IF(OR(LEFT(CT!D125,3)=SC!$F$1,LEFT(CT!E125,3)=SC!$F$1),CT!A125,"")</f>
        <v/>
      </c>
      <c r="B128" s="80" t="str">
        <f>IF(OR(LEFT(CT!D125,3)=SC!$F$1,LEFT(CT!E125,3)=SC!$F$1),CT!B125,"")</f>
        <v/>
      </c>
      <c r="C128" t="str">
        <f>IF(OR(LEFT(CT!D125,3)=SC!$F$1,LEFT(CT!E125,3)=SC!$F$1),CT!C125,"")</f>
        <v/>
      </c>
      <c r="D128" t="str">
        <f>IF(LEFT(CT!D125,3)=SC!$F$1,LEFT(CT!E125,3), IF(LEFT(CT!E125,3)=SC!$F$1,LEFT(CT!D125,3),""))</f>
        <v/>
      </c>
      <c r="E128" s="67">
        <f>IF(LEFT(CT!D125,3)=SC!$F$1,CT!H125,0)</f>
        <v>0</v>
      </c>
      <c r="F128" s="67">
        <f>IF(LEFT(CT!E125,3)=SC!$F$1,CT!H125,0)</f>
        <v>0</v>
      </c>
    </row>
    <row r="129" spans="1:6" hidden="1" x14ac:dyDescent="0.25">
      <c r="A129" s="80" t="str">
        <f>IF(OR(LEFT(CT!D126,3)=SC!$F$1,LEFT(CT!E126,3)=SC!$F$1),CT!A126,"")</f>
        <v/>
      </c>
      <c r="B129" s="80" t="str">
        <f>IF(OR(LEFT(CT!D126,3)=SC!$F$1,LEFT(CT!E126,3)=SC!$F$1),CT!B126,"")</f>
        <v/>
      </c>
      <c r="C129" t="str">
        <f>IF(OR(LEFT(CT!D126,3)=SC!$F$1,LEFT(CT!E126,3)=SC!$F$1),CT!C126,"")</f>
        <v/>
      </c>
      <c r="D129" t="str">
        <f>IF(LEFT(CT!D126,3)=SC!$F$1,LEFT(CT!E126,3), IF(LEFT(CT!E126,3)=SC!$F$1,LEFT(CT!D126,3),""))</f>
        <v/>
      </c>
      <c r="E129" s="67">
        <f>IF(LEFT(CT!D126,3)=SC!$F$1,CT!H126,0)</f>
        <v>0</v>
      </c>
      <c r="F129" s="67">
        <f>IF(LEFT(CT!E126,3)=SC!$F$1,CT!H126,0)</f>
        <v>0</v>
      </c>
    </row>
    <row r="130" spans="1:6" hidden="1" x14ac:dyDescent="0.25">
      <c r="A130" s="80" t="str">
        <f>IF(OR(LEFT(CT!D127,3)=SC!$F$1,LEFT(CT!E127,3)=SC!$F$1),CT!A127,"")</f>
        <v/>
      </c>
      <c r="B130" s="80" t="str">
        <f>IF(OR(LEFT(CT!D127,3)=SC!$F$1,LEFT(CT!E127,3)=SC!$F$1),CT!B127,"")</f>
        <v/>
      </c>
      <c r="C130" t="str">
        <f>IF(OR(LEFT(CT!D127,3)=SC!$F$1,LEFT(CT!E127,3)=SC!$F$1),CT!C127,"")</f>
        <v/>
      </c>
      <c r="D130" t="str">
        <f>IF(LEFT(CT!D127,3)=SC!$F$1,LEFT(CT!E127,3), IF(LEFT(CT!E127,3)=SC!$F$1,LEFT(CT!D127,3),""))</f>
        <v/>
      </c>
      <c r="E130" s="67">
        <f>IF(LEFT(CT!D127,3)=SC!$F$1,CT!H127,0)</f>
        <v>0</v>
      </c>
      <c r="F130" s="67">
        <f>IF(LEFT(CT!E127,3)=SC!$F$1,CT!H127,0)</f>
        <v>0</v>
      </c>
    </row>
    <row r="131" spans="1:6" hidden="1" x14ac:dyDescent="0.25">
      <c r="A131" s="80" t="str">
        <f>IF(OR(LEFT(CT!D128,3)=SC!$F$1,LEFT(CT!E128,3)=SC!$F$1),CT!A128,"")</f>
        <v/>
      </c>
      <c r="B131" s="80" t="str">
        <f>IF(OR(LEFT(CT!D128,3)=SC!$F$1,LEFT(CT!E128,3)=SC!$F$1),CT!B128,"")</f>
        <v/>
      </c>
      <c r="C131" t="str">
        <f>IF(OR(LEFT(CT!D128,3)=SC!$F$1,LEFT(CT!E128,3)=SC!$F$1),CT!C128,"")</f>
        <v/>
      </c>
      <c r="D131" t="str">
        <f>IF(LEFT(CT!D128,3)=SC!$F$1,LEFT(CT!E128,3), IF(LEFT(CT!E128,3)=SC!$F$1,LEFT(CT!D128,3),""))</f>
        <v/>
      </c>
      <c r="E131" s="67">
        <f>IF(LEFT(CT!D128,3)=SC!$F$1,CT!H128,0)</f>
        <v>0</v>
      </c>
      <c r="F131" s="67">
        <f>IF(LEFT(CT!E128,3)=SC!$F$1,CT!H128,0)</f>
        <v>0</v>
      </c>
    </row>
    <row r="132" spans="1:6" hidden="1" x14ac:dyDescent="0.25">
      <c r="A132" s="80" t="str">
        <f>IF(OR(LEFT(CT!D129,3)=SC!$F$1,LEFT(CT!E129,3)=SC!$F$1),CT!A129,"")</f>
        <v/>
      </c>
      <c r="B132" s="80" t="str">
        <f>IF(OR(LEFT(CT!D129,3)=SC!$F$1,LEFT(CT!E129,3)=SC!$F$1),CT!B129,"")</f>
        <v/>
      </c>
      <c r="C132" t="str">
        <f>IF(OR(LEFT(CT!D129,3)=SC!$F$1,LEFT(CT!E129,3)=SC!$F$1),CT!C129,"")</f>
        <v/>
      </c>
      <c r="D132" t="str">
        <f>IF(LEFT(CT!D129,3)=SC!$F$1,LEFT(CT!E129,3), IF(LEFT(CT!E129,3)=SC!$F$1,LEFT(CT!D129,3),""))</f>
        <v/>
      </c>
      <c r="E132" s="67">
        <f>IF(LEFT(CT!D129,3)=SC!$F$1,CT!H129,0)</f>
        <v>0</v>
      </c>
      <c r="F132" s="67">
        <f>IF(LEFT(CT!E129,3)=SC!$F$1,CT!H129,0)</f>
        <v>0</v>
      </c>
    </row>
    <row r="133" spans="1:6" hidden="1" x14ac:dyDescent="0.25">
      <c r="A133" s="80" t="str">
        <f>IF(OR(LEFT(CT!D130,3)=SC!$F$1,LEFT(CT!E130,3)=SC!$F$1),CT!A130,"")</f>
        <v/>
      </c>
      <c r="B133" s="80" t="str">
        <f>IF(OR(LEFT(CT!D130,3)=SC!$F$1,LEFT(CT!E130,3)=SC!$F$1),CT!B130,"")</f>
        <v/>
      </c>
      <c r="C133" t="str">
        <f>IF(OR(LEFT(CT!D130,3)=SC!$F$1,LEFT(CT!E130,3)=SC!$F$1),CT!C130,"")</f>
        <v/>
      </c>
      <c r="D133" t="str">
        <f>IF(LEFT(CT!D130,3)=SC!$F$1,LEFT(CT!E130,3), IF(LEFT(CT!E130,3)=SC!$F$1,LEFT(CT!D130,3),""))</f>
        <v/>
      </c>
      <c r="E133" s="67">
        <f>IF(LEFT(CT!D130,3)=SC!$F$1,CT!H130,0)</f>
        <v>0</v>
      </c>
      <c r="F133" s="67">
        <f>IF(LEFT(CT!E130,3)=SC!$F$1,CT!H130,0)</f>
        <v>0</v>
      </c>
    </row>
    <row r="134" spans="1:6" hidden="1" x14ac:dyDescent="0.25">
      <c r="A134" s="80" t="str">
        <f>IF(OR(LEFT(CT!D131,3)=SC!$F$1,LEFT(CT!E131,3)=SC!$F$1),CT!A131,"")</f>
        <v/>
      </c>
      <c r="B134" s="80" t="str">
        <f>IF(OR(LEFT(CT!D131,3)=SC!$F$1,LEFT(CT!E131,3)=SC!$F$1),CT!B131,"")</f>
        <v/>
      </c>
      <c r="C134" t="str">
        <f>IF(OR(LEFT(CT!D131,3)=SC!$F$1,LEFT(CT!E131,3)=SC!$F$1),CT!C131,"")</f>
        <v/>
      </c>
      <c r="D134" t="str">
        <f>IF(LEFT(CT!D131,3)=SC!$F$1,LEFT(CT!E131,3), IF(LEFT(CT!E131,3)=SC!$F$1,LEFT(CT!D131,3),""))</f>
        <v/>
      </c>
      <c r="E134" s="67">
        <f>IF(LEFT(CT!D131,3)=SC!$F$1,CT!H131,0)</f>
        <v>0</v>
      </c>
      <c r="F134" s="67">
        <f>IF(LEFT(CT!E131,3)=SC!$F$1,CT!H131,0)</f>
        <v>0</v>
      </c>
    </row>
    <row r="135" spans="1:6" hidden="1" x14ac:dyDescent="0.25">
      <c r="A135" s="80" t="str">
        <f>IF(OR(LEFT(CT!D132,3)=SC!$F$1,LEFT(CT!E132,3)=SC!$F$1),CT!A132,"")</f>
        <v/>
      </c>
      <c r="B135" s="80" t="str">
        <f>IF(OR(LEFT(CT!D132,3)=SC!$F$1,LEFT(CT!E132,3)=SC!$F$1),CT!B132,"")</f>
        <v/>
      </c>
      <c r="C135" t="str">
        <f>IF(OR(LEFT(CT!D132,3)=SC!$F$1,LEFT(CT!E132,3)=SC!$F$1),CT!C132,"")</f>
        <v/>
      </c>
      <c r="D135" t="str">
        <f>IF(LEFT(CT!D132,3)=SC!$F$1,LEFT(CT!E132,3), IF(LEFT(CT!E132,3)=SC!$F$1,LEFT(CT!D132,3),""))</f>
        <v/>
      </c>
      <c r="E135" s="67">
        <f>IF(LEFT(CT!D132,3)=SC!$F$1,CT!H132,0)</f>
        <v>0</v>
      </c>
      <c r="F135" s="67">
        <f>IF(LEFT(CT!E132,3)=SC!$F$1,CT!H132,0)</f>
        <v>0</v>
      </c>
    </row>
    <row r="136" spans="1:6" hidden="1" x14ac:dyDescent="0.25">
      <c r="A136" s="80" t="str">
        <f>IF(OR(LEFT(CT!D133,3)=SC!$F$1,LEFT(CT!E133,3)=SC!$F$1),CT!A133,"")</f>
        <v/>
      </c>
      <c r="B136" s="80" t="str">
        <f>IF(OR(LEFT(CT!D133,3)=SC!$F$1,LEFT(CT!E133,3)=SC!$F$1),CT!B133,"")</f>
        <v/>
      </c>
      <c r="C136" t="str">
        <f>IF(OR(LEFT(CT!D133,3)=SC!$F$1,LEFT(CT!E133,3)=SC!$F$1),CT!C133,"")</f>
        <v/>
      </c>
      <c r="D136" t="str">
        <f>IF(LEFT(CT!D133,3)=SC!$F$1,LEFT(CT!E133,3), IF(LEFT(CT!E133,3)=SC!$F$1,LEFT(CT!D133,3),""))</f>
        <v/>
      </c>
      <c r="E136" s="67">
        <f>IF(LEFT(CT!D133,3)=SC!$F$1,CT!H133,0)</f>
        <v>0</v>
      </c>
      <c r="F136" s="67">
        <f>IF(LEFT(CT!E133,3)=SC!$F$1,CT!H133,0)</f>
        <v>0</v>
      </c>
    </row>
    <row r="137" spans="1:6" hidden="1" x14ac:dyDescent="0.25">
      <c r="A137" s="80" t="str">
        <f>IF(OR(LEFT(CT!D134,3)=SC!$F$1,LEFT(CT!E134,3)=SC!$F$1),CT!A134,"")</f>
        <v/>
      </c>
      <c r="B137" s="80" t="str">
        <f>IF(OR(LEFT(CT!D134,3)=SC!$F$1,LEFT(CT!E134,3)=SC!$F$1),CT!B134,"")</f>
        <v/>
      </c>
      <c r="C137" t="str">
        <f>IF(OR(LEFT(CT!D134,3)=SC!$F$1,LEFT(CT!E134,3)=SC!$F$1),CT!C134,"")</f>
        <v/>
      </c>
      <c r="D137" t="str">
        <f>IF(LEFT(CT!D134,3)=SC!$F$1,LEFT(CT!E134,3), IF(LEFT(CT!E134,3)=SC!$F$1,LEFT(CT!D134,3),""))</f>
        <v/>
      </c>
      <c r="E137" s="67">
        <f>IF(LEFT(CT!D134,3)=SC!$F$1,CT!H134,0)</f>
        <v>0</v>
      </c>
      <c r="F137" s="67">
        <f>IF(LEFT(CT!E134,3)=SC!$F$1,CT!H134,0)</f>
        <v>0</v>
      </c>
    </row>
    <row r="138" spans="1:6" hidden="1" x14ac:dyDescent="0.25">
      <c r="A138" s="80" t="str">
        <f>IF(OR(LEFT(CT!D135,3)=SC!$F$1,LEFT(CT!E135,3)=SC!$F$1),CT!A135,"")</f>
        <v/>
      </c>
      <c r="B138" s="80" t="str">
        <f>IF(OR(LEFT(CT!D135,3)=SC!$F$1,LEFT(CT!E135,3)=SC!$F$1),CT!B135,"")</f>
        <v/>
      </c>
      <c r="C138" t="str">
        <f>IF(OR(LEFT(CT!D135,3)=SC!$F$1,LEFT(CT!E135,3)=SC!$F$1),CT!C135,"")</f>
        <v/>
      </c>
      <c r="D138" t="str">
        <f>IF(LEFT(CT!D135,3)=SC!$F$1,LEFT(CT!E135,3), IF(LEFT(CT!E135,3)=SC!$F$1,LEFT(CT!D135,3),""))</f>
        <v/>
      </c>
      <c r="E138" s="67">
        <f>IF(LEFT(CT!D135,3)=SC!$F$1,CT!H135,0)</f>
        <v>0</v>
      </c>
      <c r="F138" s="67">
        <f>IF(LEFT(CT!E135,3)=SC!$F$1,CT!H135,0)</f>
        <v>0</v>
      </c>
    </row>
    <row r="139" spans="1:6" hidden="1" x14ac:dyDescent="0.25">
      <c r="A139" s="80" t="str">
        <f>IF(OR(LEFT(CT!D136,3)=SC!$F$1,LEFT(CT!E136,3)=SC!$F$1),CT!A136,"")</f>
        <v/>
      </c>
      <c r="B139" s="80" t="str">
        <f>IF(OR(LEFT(CT!D136,3)=SC!$F$1,LEFT(CT!E136,3)=SC!$F$1),CT!B136,"")</f>
        <v/>
      </c>
      <c r="C139" t="str">
        <f>IF(OR(LEFT(CT!D136,3)=SC!$F$1,LEFT(CT!E136,3)=SC!$F$1),CT!C136,"")</f>
        <v/>
      </c>
      <c r="D139" t="str">
        <f>IF(LEFT(CT!D136,3)=SC!$F$1,LEFT(CT!E136,3), IF(LEFT(CT!E136,3)=SC!$F$1,LEFT(CT!D136,3),""))</f>
        <v/>
      </c>
      <c r="E139" s="67">
        <f>IF(LEFT(CT!D136,3)=SC!$F$1,CT!H136,0)</f>
        <v>0</v>
      </c>
      <c r="F139" s="67">
        <f>IF(LEFT(CT!E136,3)=SC!$F$1,CT!H136,0)</f>
        <v>0</v>
      </c>
    </row>
    <row r="140" spans="1:6" hidden="1" x14ac:dyDescent="0.25">
      <c r="A140" s="80" t="str">
        <f>IF(OR(LEFT(CT!D137,3)=SC!$F$1,LEFT(CT!E137,3)=SC!$F$1),CT!A137,"")</f>
        <v/>
      </c>
      <c r="B140" s="80" t="str">
        <f>IF(OR(LEFT(CT!D137,3)=SC!$F$1,LEFT(CT!E137,3)=SC!$F$1),CT!B137,"")</f>
        <v/>
      </c>
      <c r="C140" t="str">
        <f>IF(OR(LEFT(CT!D137,3)=SC!$F$1,LEFT(CT!E137,3)=SC!$F$1),CT!C137,"")</f>
        <v/>
      </c>
      <c r="D140" t="str">
        <f>IF(LEFT(CT!D137,3)=SC!$F$1,LEFT(CT!E137,3), IF(LEFT(CT!E137,3)=SC!$F$1,LEFT(CT!D137,3),""))</f>
        <v/>
      </c>
      <c r="E140" s="67">
        <f>IF(LEFT(CT!D137,3)=SC!$F$1,CT!H137,0)</f>
        <v>0</v>
      </c>
      <c r="F140" s="67">
        <f>IF(LEFT(CT!E137,3)=SC!$F$1,CT!H137,0)</f>
        <v>0</v>
      </c>
    </row>
    <row r="141" spans="1:6" hidden="1" x14ac:dyDescent="0.25">
      <c r="A141" s="80" t="str">
        <f>IF(OR(LEFT(CT!D138,3)=SC!$F$1,LEFT(CT!E138,3)=SC!$F$1),CT!A138,"")</f>
        <v/>
      </c>
      <c r="B141" s="80" t="str">
        <f>IF(OR(LEFT(CT!D138,3)=SC!$F$1,LEFT(CT!E138,3)=SC!$F$1),CT!B138,"")</f>
        <v/>
      </c>
      <c r="C141" t="str">
        <f>IF(OR(LEFT(CT!D138,3)=SC!$F$1,LEFT(CT!E138,3)=SC!$F$1),CT!C138,"")</f>
        <v/>
      </c>
      <c r="D141" t="str">
        <f>IF(LEFT(CT!D138,3)=SC!$F$1,LEFT(CT!E138,3), IF(LEFT(CT!E138,3)=SC!$F$1,LEFT(CT!D138,3),""))</f>
        <v/>
      </c>
      <c r="E141" s="67">
        <f>IF(LEFT(CT!D138,3)=SC!$F$1,CT!H138,0)</f>
        <v>0</v>
      </c>
      <c r="F141" s="67">
        <f>IF(LEFT(CT!E138,3)=SC!$F$1,CT!H138,0)</f>
        <v>0</v>
      </c>
    </row>
    <row r="142" spans="1:6" hidden="1" x14ac:dyDescent="0.25">
      <c r="A142" s="80" t="str">
        <f>IF(OR(LEFT(CT!D139,3)=SC!$F$1,LEFT(CT!E139,3)=SC!$F$1),CT!A139,"")</f>
        <v/>
      </c>
      <c r="B142" s="80" t="str">
        <f>IF(OR(LEFT(CT!D139,3)=SC!$F$1,LEFT(CT!E139,3)=SC!$F$1),CT!B139,"")</f>
        <v/>
      </c>
      <c r="C142" t="str">
        <f>IF(OR(LEFT(CT!D139,3)=SC!$F$1,LEFT(CT!E139,3)=SC!$F$1),CT!C139,"")</f>
        <v/>
      </c>
      <c r="D142" t="str">
        <f>IF(LEFT(CT!D139,3)=SC!$F$1,LEFT(CT!E139,3), IF(LEFT(CT!E139,3)=SC!$F$1,LEFT(CT!D139,3),""))</f>
        <v/>
      </c>
      <c r="E142" s="67">
        <f>IF(LEFT(CT!D139,3)=SC!$F$1,CT!H139,0)</f>
        <v>0</v>
      </c>
      <c r="F142" s="67">
        <f>IF(LEFT(CT!E139,3)=SC!$F$1,CT!H139,0)</f>
        <v>0</v>
      </c>
    </row>
    <row r="143" spans="1:6" hidden="1" x14ac:dyDescent="0.25">
      <c r="A143" s="80" t="str">
        <f>IF(OR(LEFT(CT!D140,3)=SC!$F$1,LEFT(CT!E140,3)=SC!$F$1),CT!A140,"")</f>
        <v/>
      </c>
      <c r="B143" s="80" t="str">
        <f>IF(OR(LEFT(CT!D140,3)=SC!$F$1,LEFT(CT!E140,3)=SC!$F$1),CT!B140,"")</f>
        <v/>
      </c>
      <c r="C143" t="str">
        <f>IF(OR(LEFT(CT!D140,3)=SC!$F$1,LEFT(CT!E140,3)=SC!$F$1),CT!C140,"")</f>
        <v/>
      </c>
      <c r="D143" t="str">
        <f>IF(LEFT(CT!D140,3)=SC!$F$1,LEFT(CT!E140,3), IF(LEFT(CT!E140,3)=SC!$F$1,LEFT(CT!D140,3),""))</f>
        <v/>
      </c>
      <c r="E143" s="67">
        <f>IF(LEFT(CT!D140,3)=SC!$F$1,CT!H140,0)</f>
        <v>0</v>
      </c>
      <c r="F143" s="67">
        <f>IF(LEFT(CT!E140,3)=SC!$F$1,CT!H140,0)</f>
        <v>0</v>
      </c>
    </row>
    <row r="144" spans="1:6" hidden="1" x14ac:dyDescent="0.25">
      <c r="A144" s="80" t="str">
        <f>IF(OR(LEFT(CT!D141,3)=SC!$F$1,LEFT(CT!E141,3)=SC!$F$1),CT!A141,"")</f>
        <v/>
      </c>
      <c r="B144" s="80" t="str">
        <f>IF(OR(LEFT(CT!D141,3)=SC!$F$1,LEFT(CT!E141,3)=SC!$F$1),CT!B141,"")</f>
        <v/>
      </c>
      <c r="C144" t="str">
        <f>IF(OR(LEFT(CT!D141,3)=SC!$F$1,LEFT(CT!E141,3)=SC!$F$1),CT!C141,"")</f>
        <v/>
      </c>
      <c r="D144" t="str">
        <f>IF(LEFT(CT!D141,3)=SC!$F$1,LEFT(CT!E141,3), IF(LEFT(CT!E141,3)=SC!$F$1,LEFT(CT!D141,3),""))</f>
        <v/>
      </c>
      <c r="E144" s="67">
        <f>IF(LEFT(CT!D141,3)=SC!$F$1,CT!H141,0)</f>
        <v>0</v>
      </c>
      <c r="F144" s="67">
        <f>IF(LEFT(CT!E141,3)=SC!$F$1,CT!H141,0)</f>
        <v>0</v>
      </c>
    </row>
    <row r="145" spans="1:6" hidden="1" x14ac:dyDescent="0.25">
      <c r="A145" s="80" t="str">
        <f>IF(OR(LEFT(CT!D142,3)=SC!$F$1,LEFT(CT!E142,3)=SC!$F$1),CT!A142,"")</f>
        <v/>
      </c>
      <c r="B145" s="80" t="str">
        <f>IF(OR(LEFT(CT!D142,3)=SC!$F$1,LEFT(CT!E142,3)=SC!$F$1),CT!B142,"")</f>
        <v/>
      </c>
      <c r="C145" t="str">
        <f>IF(OR(LEFT(CT!D142,3)=SC!$F$1,LEFT(CT!E142,3)=SC!$F$1),CT!C142,"")</f>
        <v/>
      </c>
      <c r="D145" t="str">
        <f>IF(LEFT(CT!D142,3)=SC!$F$1,LEFT(CT!E142,3), IF(LEFT(CT!E142,3)=SC!$F$1,LEFT(CT!D142,3),""))</f>
        <v/>
      </c>
      <c r="E145" s="67">
        <f>IF(LEFT(CT!D142,3)=SC!$F$1,CT!H142,0)</f>
        <v>0</v>
      </c>
      <c r="F145" s="67">
        <f>IF(LEFT(CT!E142,3)=SC!$F$1,CT!H142,0)</f>
        <v>0</v>
      </c>
    </row>
    <row r="146" spans="1:6" hidden="1" x14ac:dyDescent="0.25">
      <c r="A146" s="80" t="str">
        <f>IF(OR(LEFT(CT!D143,3)=SC!$F$1,LEFT(CT!E143,3)=SC!$F$1),CT!A143,"")</f>
        <v/>
      </c>
      <c r="B146" s="80" t="str">
        <f>IF(OR(LEFT(CT!D143,3)=SC!$F$1,LEFT(CT!E143,3)=SC!$F$1),CT!B143,"")</f>
        <v/>
      </c>
      <c r="C146" t="str">
        <f>IF(OR(LEFT(CT!D143,3)=SC!$F$1,LEFT(CT!E143,3)=SC!$F$1),CT!C143,"")</f>
        <v/>
      </c>
      <c r="D146" t="str">
        <f>IF(LEFT(CT!D143,3)=SC!$F$1,LEFT(CT!E143,3), IF(LEFT(CT!E143,3)=SC!$F$1,LEFT(CT!D143,3),""))</f>
        <v/>
      </c>
      <c r="E146" s="67">
        <f>IF(LEFT(CT!D143,3)=SC!$F$1,CT!H143,0)</f>
        <v>0</v>
      </c>
      <c r="F146" s="67">
        <f>IF(LEFT(CT!E143,3)=SC!$F$1,CT!H143,0)</f>
        <v>0</v>
      </c>
    </row>
    <row r="147" spans="1:6" x14ac:dyDescent="0.25">
      <c r="A147" s="80"/>
      <c r="B147" s="80" t="str">
        <f>IF(OR(LEFT(CT!D144,3)=SC!$F$1,LEFT(CT!E144,3)=SC!$F$1),CT!B144,"")</f>
        <v/>
      </c>
      <c r="D147" s="72" t="s">
        <v>864</v>
      </c>
      <c r="E147" s="81">
        <f>SUM(E8:E146)</f>
        <v>25200000</v>
      </c>
      <c r="F147" s="81">
        <f>SUM(F8:F146)</f>
        <v>404100000</v>
      </c>
    </row>
    <row r="148" spans="1:6" x14ac:dyDescent="0.25">
      <c r="D148" s="72" t="s">
        <v>865</v>
      </c>
      <c r="E148" s="132">
        <f>MAX(E6+E147-F6-F147,0)</f>
        <v>21100000</v>
      </c>
      <c r="F148" s="81">
        <f>MAX(F6+F147-E6-E147,0)</f>
        <v>0</v>
      </c>
    </row>
  </sheetData>
  <autoFilter ref="D7:D148" xr:uid="{3E66B1BA-DC13-4B70-BE86-C5360D4DB2B8}">
    <filterColumn colId="0">
      <customFilters>
        <customFilter operator="notEqual" val=" "/>
      </customFilters>
    </filterColumn>
  </autoFilter>
  <mergeCells count="4">
    <mergeCell ref="A4:B4"/>
    <mergeCell ref="C4:C5"/>
    <mergeCell ref="E4:F4"/>
    <mergeCell ref="D4:D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96A7-5385-4D88-A39B-13BB02C5F4B5}">
  <sheetPr filterMode="1">
    <tabColor rgb="FF00B050"/>
  </sheetPr>
  <dimension ref="A1:G150"/>
  <sheetViews>
    <sheetView workbookViewId="0">
      <selection activeCell="A9" sqref="A9:XFD9"/>
    </sheetView>
  </sheetViews>
  <sheetFormatPr defaultRowHeight="13.2" x14ac:dyDescent="0.25"/>
  <cols>
    <col min="1" max="1" width="13.109375" customWidth="1"/>
    <col min="2" max="2" width="10.44140625" customWidth="1"/>
    <col min="3" max="3" width="32" customWidth="1"/>
    <col min="4" max="4" width="23.77734375" customWidth="1"/>
    <col min="5" max="5" width="18.44140625" customWidth="1"/>
    <col min="6" max="6" width="19.77734375" customWidth="1"/>
  </cols>
  <sheetData>
    <row r="1" spans="1:7" ht="20.399999999999999" x14ac:dyDescent="0.35">
      <c r="A1" s="155" t="s">
        <v>860</v>
      </c>
      <c r="B1" s="155"/>
      <c r="C1" s="155"/>
      <c r="D1" s="155"/>
      <c r="E1" s="155"/>
      <c r="F1" s="109" t="s">
        <v>723</v>
      </c>
    </row>
    <row r="2" spans="1:7" ht="15.6" x14ac:dyDescent="0.3">
      <c r="A2" s="3"/>
      <c r="B2" s="3"/>
      <c r="C2" s="35"/>
      <c r="D2" s="35" t="s">
        <v>861</v>
      </c>
      <c r="E2" s="35" t="str">
        <f>VLOOKUP($F$1,HTTK1!$1:$1048576,COLUMN(HTTK1!C3),0)</f>
        <v>Tiền Mặt</v>
      </c>
      <c r="F2" s="35"/>
      <c r="G2" s="3"/>
    </row>
    <row r="3" spans="1:7" ht="15.6" x14ac:dyDescent="0.3">
      <c r="A3" s="3"/>
      <c r="B3" s="3"/>
      <c r="C3" s="107" t="s">
        <v>866</v>
      </c>
      <c r="D3" s="108">
        <v>45306</v>
      </c>
      <c r="E3" s="107" t="s">
        <v>867</v>
      </c>
      <c r="F3" s="108">
        <v>45319</v>
      </c>
      <c r="G3" s="3"/>
    </row>
    <row r="4" spans="1:7" ht="15.6" x14ac:dyDescent="0.3">
      <c r="A4" s="168" t="s">
        <v>828</v>
      </c>
      <c r="B4" s="168"/>
      <c r="C4" s="165" t="s">
        <v>829</v>
      </c>
      <c r="D4" s="165" t="s">
        <v>862</v>
      </c>
      <c r="E4" s="168" t="s">
        <v>854</v>
      </c>
      <c r="F4" s="168"/>
      <c r="G4" s="111"/>
    </row>
    <row r="5" spans="1:7" ht="15.6" x14ac:dyDescent="0.3">
      <c r="A5" s="112" t="s">
        <v>832</v>
      </c>
      <c r="B5" s="112" t="s">
        <v>833</v>
      </c>
      <c r="C5" s="165"/>
      <c r="D5" s="165"/>
      <c r="E5" s="112" t="s">
        <v>856</v>
      </c>
      <c r="F5" s="112" t="s">
        <v>857</v>
      </c>
      <c r="G5" s="111"/>
    </row>
    <row r="6" spans="1:7" ht="15.6" x14ac:dyDescent="0.3">
      <c r="A6" s="104"/>
      <c r="B6" s="104"/>
      <c r="C6" s="104" t="s">
        <v>868</v>
      </c>
      <c r="D6" s="113"/>
      <c r="E6" s="114">
        <f>VLOOKUP($F$1,HTTK1!$A$5:$F$80,5,0)</f>
        <v>400000000</v>
      </c>
      <c r="F6" s="115">
        <f>VLOOKUP($F$1,HTTK1!$A$5:$F$80,6,0)</f>
        <v>0</v>
      </c>
      <c r="G6" s="3"/>
    </row>
    <row r="7" spans="1:7" ht="15.6" x14ac:dyDescent="0.3">
      <c r="A7" s="104"/>
      <c r="B7" s="104"/>
      <c r="C7" s="104" t="s">
        <v>869</v>
      </c>
      <c r="D7" s="104"/>
      <c r="E7" s="113">
        <f>SUMIFS(CT!$H$5:$H$143,CT!$A$5:$A$143,"&lt;"&amp;D3,CT!$D$5:$D$143,F1&amp;"*")</f>
        <v>25000000</v>
      </c>
      <c r="F7" s="113">
        <f>SUMIFS(CT!$H$5:$H$143,CT!$A$5:$A$143,"&lt;"&amp;D3,CT!$E$5:$E$143,F1&amp;"*")</f>
        <v>3100000</v>
      </c>
      <c r="G7" s="3"/>
    </row>
    <row r="8" spans="1:7" ht="15.6" x14ac:dyDescent="0.3">
      <c r="A8" s="104"/>
      <c r="B8" s="104"/>
      <c r="C8" s="104" t="s">
        <v>863</v>
      </c>
      <c r="D8" s="104"/>
      <c r="E8" s="113">
        <f>MAX(E6+E7-F6-F7,0)</f>
        <v>421900000</v>
      </c>
      <c r="F8" s="105">
        <f>MAX(F6+F7-E6-E7,0)</f>
        <v>0</v>
      </c>
      <c r="G8" s="3"/>
    </row>
    <row r="9" spans="1:7" ht="15.6" x14ac:dyDescent="0.3">
      <c r="A9" s="147">
        <v>1</v>
      </c>
      <c r="B9" s="147">
        <v>2</v>
      </c>
      <c r="C9" s="147">
        <v>3</v>
      </c>
      <c r="D9" s="147">
        <v>4</v>
      </c>
      <c r="E9" s="147">
        <v>5</v>
      </c>
      <c r="F9" s="147">
        <v>6</v>
      </c>
      <c r="G9" s="3" t="s">
        <v>870</v>
      </c>
    </row>
    <row r="10" spans="1:7" hidden="1" x14ac:dyDescent="0.25">
      <c r="A10" s="84">
        <f>IF(OR(LEFT(CT!D5,3)=SC!$F$1,LEFT(CT!E5,3)=SC!$F$1),CT!A5,"")</f>
        <v>45293</v>
      </c>
      <c r="B10" s="65" t="str">
        <f>IF(OR(LEFT(CT!D5,3)=SC!$F$1,LEFT(CT!E5,3)=SC!$F$1),CT!B5,"")</f>
        <v>01/PT</v>
      </c>
      <c r="C10" s="65" t="str">
        <f>IF(OR(LEFT(CT!D5,3)=SC!$F$1,LEFT(CT!E5,3)=SC!$F$1),CT!C5,"")</f>
        <v>Thu nợ lô hàng 200</v>
      </c>
      <c r="D10" s="65" t="str">
        <f>IF(LEFT(CT!D5,3)=SC!$F$1,LEFT(CT!E5,3), IF(LEFT(CT!E5,3)=SC!$F$1,LEFT(CT!D5,3),""))</f>
        <v>131</v>
      </c>
      <c r="E10" s="69">
        <f>IF(LEFT(CT!D5,3)=SC!$F$1,CT!H5,0)</f>
        <v>5000000</v>
      </c>
      <c r="F10" s="69">
        <f>IF(LEFT(CT!E5,3)=SC!$F$1,CT!H5,0)</f>
        <v>0</v>
      </c>
      <c r="G10" t="b">
        <f>AND(A10&gt;=$D$3,A10&lt;=$F$3)</f>
        <v>0</v>
      </c>
    </row>
    <row r="11" spans="1:7" hidden="1" x14ac:dyDescent="0.25">
      <c r="A11" s="84">
        <f>IF(OR(LEFT(CT!D6,3)=SC!$F$1,LEFT(CT!E6,3)=SC!$F$1),CT!A6,"")</f>
        <v>45293</v>
      </c>
      <c r="B11" s="65" t="str">
        <f>IF(OR(LEFT(CT!D6,3)=SC!$F$1,LEFT(CT!E6,3)=SC!$F$1),CT!B6,"")</f>
        <v>02/PT</v>
      </c>
      <c r="C11" s="65" t="str">
        <f>IF(OR(LEFT(CT!D6,3)=SC!$F$1,LEFT(CT!E6,3)=SC!$F$1),CT!C6,"")</f>
        <v>Thu nợ lô hàng 212</v>
      </c>
      <c r="D11" s="65" t="str">
        <f>IF(LEFT(CT!D6,3)=SC!$F$1,LEFT(CT!E6,3), IF(LEFT(CT!E6,3)=SC!$F$1,LEFT(CT!D6,3),""))</f>
        <v>131</v>
      </c>
      <c r="E11" s="69">
        <f>IF(LEFT(CT!D6,3)=SC!$F$1,CT!H6,0)</f>
        <v>20000000</v>
      </c>
      <c r="F11" s="69">
        <f>IF(LEFT(CT!E6,3)=SC!$F$1,CT!H6,0)</f>
        <v>0</v>
      </c>
      <c r="G11" t="b">
        <f t="shared" ref="G11:G74" si="0">AND(A11&gt;=$D$3,A11&lt;=$F$3)</f>
        <v>0</v>
      </c>
    </row>
    <row r="12" spans="1:7" hidden="1" x14ac:dyDescent="0.25">
      <c r="A12" s="84">
        <f>IF(OR(LEFT(CT!D7,3)=SC!$F$1,LEFT(CT!E7,3)=SC!$F$1),CT!A7,"")</f>
        <v>45295</v>
      </c>
      <c r="B12" s="65" t="str">
        <f>IF(OR(LEFT(CT!D7,3)=SC!$F$1,LEFT(CT!E7,3)=SC!$F$1),CT!B7,"")</f>
        <v>01/PC</v>
      </c>
      <c r="C12" s="65" t="str">
        <f>IF(OR(LEFT(CT!D7,3)=SC!$F$1,LEFT(CT!E7,3)=SC!$F$1),CT!C7,"")</f>
        <v>Chi tạm ứng cho Hồ Sĩ Nhật</v>
      </c>
      <c r="D12" s="65" t="str">
        <f>IF(LEFT(CT!D7,3)=SC!$F$1,LEFT(CT!E7,3), IF(LEFT(CT!E7,3)=SC!$F$1,LEFT(CT!D7,3),""))</f>
        <v>141</v>
      </c>
      <c r="E12" s="69">
        <f>IF(LEFT(CT!D7,3)=SC!$F$1,CT!H7,0)</f>
        <v>0</v>
      </c>
      <c r="F12" s="69">
        <f>IF(LEFT(CT!E7,3)=SC!$F$1,CT!H7,0)</f>
        <v>2000000</v>
      </c>
      <c r="G12" t="b">
        <f t="shared" si="0"/>
        <v>0</v>
      </c>
    </row>
    <row r="13" spans="1:7" hidden="1" x14ac:dyDescent="0.25">
      <c r="A13" s="84" t="str">
        <f>IF(OR(LEFT(CT!D8,3)=SC!$F$1,LEFT(CT!E8,3)=SC!$F$1),CT!A8,"")</f>
        <v/>
      </c>
      <c r="B13" s="65" t="str">
        <f>IF(OR(LEFT(CT!D8,3)=SC!$F$1,LEFT(CT!E8,3)=SC!$F$1),CT!B8,"")</f>
        <v/>
      </c>
      <c r="C13" s="65" t="str">
        <f>IF(OR(LEFT(CT!D8,3)=SC!$F$1,LEFT(CT!E8,3)=SC!$F$1),CT!C8,"")</f>
        <v/>
      </c>
      <c r="D13" s="65" t="str">
        <f>IF(LEFT(CT!D8,3)=SC!$F$1,LEFT(CT!E8,3), IF(LEFT(CT!E8,3)=SC!$F$1,LEFT(CT!D8,3),""))</f>
        <v/>
      </c>
      <c r="E13" s="69">
        <f>IF(LEFT(CT!D8,3)=SC!$F$1,CT!H8,0)</f>
        <v>0</v>
      </c>
      <c r="F13" s="69">
        <f>IF(LEFT(CT!E8,3)=SC!$F$1,CT!H8,0)</f>
        <v>0</v>
      </c>
      <c r="G13" t="b">
        <f t="shared" si="0"/>
        <v>0</v>
      </c>
    </row>
    <row r="14" spans="1:7" hidden="1" x14ac:dyDescent="0.25">
      <c r="A14" s="84" t="str">
        <f>IF(OR(LEFT(CT!D9,3)=SC!$F$1,LEFT(CT!E9,3)=SC!$F$1),CT!A9,"")</f>
        <v/>
      </c>
      <c r="B14" s="65" t="str">
        <f>IF(OR(LEFT(CT!D9,3)=SC!$F$1,LEFT(CT!E9,3)=SC!$F$1),CT!B9,"")</f>
        <v/>
      </c>
      <c r="C14" s="65" t="str">
        <f>IF(OR(LEFT(CT!D9,3)=SC!$F$1,LEFT(CT!E9,3)=SC!$F$1),CT!C9,"")</f>
        <v/>
      </c>
      <c r="D14" s="65" t="str">
        <f>IF(LEFT(CT!D9,3)=SC!$F$1,LEFT(CT!E9,3), IF(LEFT(CT!E9,3)=SC!$F$1,LEFT(CT!D9,3),""))</f>
        <v/>
      </c>
      <c r="E14" s="69">
        <f>IF(LEFT(CT!D9,3)=SC!$F$1,CT!H9,0)</f>
        <v>0</v>
      </c>
      <c r="F14" s="69">
        <f>IF(LEFT(CT!E9,3)=SC!$F$1,CT!H9,0)</f>
        <v>0</v>
      </c>
      <c r="G14" t="b">
        <f t="shared" si="0"/>
        <v>0</v>
      </c>
    </row>
    <row r="15" spans="1:7" hidden="1" x14ac:dyDescent="0.25">
      <c r="A15" s="84">
        <f>IF(OR(LEFT(CT!D10,3)=SC!$F$1,LEFT(CT!E10,3)=SC!$F$1),CT!A10,"")</f>
        <v>45296</v>
      </c>
      <c r="B15" s="65" t="str">
        <f>IF(OR(LEFT(CT!D10,3)=SC!$F$1,LEFT(CT!E10,3)=SC!$F$1),CT!B10,"")</f>
        <v>02/PC</v>
      </c>
      <c r="C15" s="65" t="str">
        <f>IF(OR(LEFT(CT!D10,3)=SC!$F$1,LEFT(CT!E10,3)=SC!$F$1),CT!C10,"")</f>
        <v>Thuế GTGT mua VPP</v>
      </c>
      <c r="D15" s="65" t="str">
        <f>IF(LEFT(CT!D10,3)=SC!$F$1,LEFT(CT!E10,3), IF(LEFT(CT!E10,3)=SC!$F$1,LEFT(CT!D10,3),""))</f>
        <v>133</v>
      </c>
      <c r="E15" s="69">
        <f>IF(LEFT(CT!D10,3)=SC!$F$1,CT!H10,0)</f>
        <v>0</v>
      </c>
      <c r="F15" s="69">
        <f>IF(LEFT(CT!E10,3)=SC!$F$1,CT!H10,0)</f>
        <v>100000</v>
      </c>
      <c r="G15" t="b">
        <f t="shared" si="0"/>
        <v>0</v>
      </c>
    </row>
    <row r="16" spans="1:7" hidden="1" x14ac:dyDescent="0.25">
      <c r="A16" s="84">
        <f>IF(OR(LEFT(CT!D11,3)=SC!$F$1,LEFT(CT!E11,3)=SC!$F$1),CT!A11,"")</f>
        <v>45296</v>
      </c>
      <c r="B16" s="65" t="str">
        <f>IF(OR(LEFT(CT!D11,3)=SC!$F$1,LEFT(CT!E11,3)=SC!$F$1),CT!B11,"")</f>
        <v>02/PC</v>
      </c>
      <c r="C16" s="65" t="str">
        <f>IF(OR(LEFT(CT!D11,3)=SC!$F$1,LEFT(CT!E11,3)=SC!$F$1),CT!C11,"")</f>
        <v>Mua VPP cho BPVP</v>
      </c>
      <c r="D16" s="65" t="str">
        <f>IF(LEFT(CT!D11,3)=SC!$F$1,LEFT(CT!E11,3), IF(LEFT(CT!E11,3)=SC!$F$1,LEFT(CT!D11,3),""))</f>
        <v>642</v>
      </c>
      <c r="E16" s="69">
        <f>IF(LEFT(CT!D11,3)=SC!$F$1,CT!H11,0)</f>
        <v>0</v>
      </c>
      <c r="F16" s="69">
        <f>IF(LEFT(CT!E11,3)=SC!$F$1,CT!H11,0)</f>
        <v>1000000</v>
      </c>
      <c r="G16" t="b">
        <f t="shared" si="0"/>
        <v>0</v>
      </c>
    </row>
    <row r="17" spans="1:7" hidden="1" x14ac:dyDescent="0.25">
      <c r="A17" s="84" t="str">
        <f>IF(OR(LEFT(CT!D12,3)=SC!$F$1,LEFT(CT!E12,3)=SC!$F$1),CT!A12,"")</f>
        <v/>
      </c>
      <c r="B17" s="65" t="str">
        <f>IF(OR(LEFT(CT!D12,3)=SC!$F$1,LEFT(CT!E12,3)=SC!$F$1),CT!B12,"")</f>
        <v/>
      </c>
      <c r="C17" s="65" t="str">
        <f>IF(OR(LEFT(CT!D12,3)=SC!$F$1,LEFT(CT!E12,3)=SC!$F$1),CT!C12,"")</f>
        <v/>
      </c>
      <c r="D17" s="65" t="str">
        <f>IF(LEFT(CT!D12,3)=SC!$F$1,LEFT(CT!E12,3), IF(LEFT(CT!E12,3)=SC!$F$1,LEFT(CT!D12,3),""))</f>
        <v/>
      </c>
      <c r="E17" s="69">
        <f>IF(LEFT(CT!D12,3)=SC!$F$1,CT!H12,0)</f>
        <v>0</v>
      </c>
      <c r="F17" s="69">
        <f>IF(LEFT(CT!E12,3)=SC!$F$1,CT!H12,0)</f>
        <v>0</v>
      </c>
      <c r="G17" t="b">
        <f t="shared" si="0"/>
        <v>0</v>
      </c>
    </row>
    <row r="18" spans="1:7" hidden="1" x14ac:dyDescent="0.25">
      <c r="A18" s="84" t="str">
        <f>IF(OR(LEFT(CT!D13,3)=SC!$F$1,LEFT(CT!E13,3)=SC!$F$1),CT!A13,"")</f>
        <v/>
      </c>
      <c r="B18" s="65" t="str">
        <f>IF(OR(LEFT(CT!D13,3)=SC!$F$1,LEFT(CT!E13,3)=SC!$F$1),CT!B13,"")</f>
        <v/>
      </c>
      <c r="C18" s="65" t="str">
        <f>IF(OR(LEFT(CT!D13,3)=SC!$F$1,LEFT(CT!E13,3)=SC!$F$1),CT!C13,"")</f>
        <v/>
      </c>
      <c r="D18" s="65" t="str">
        <f>IF(LEFT(CT!D13,3)=SC!$F$1,LEFT(CT!E13,3), IF(LEFT(CT!E13,3)=SC!$F$1,LEFT(CT!D13,3),""))</f>
        <v/>
      </c>
      <c r="E18" s="69">
        <f>IF(LEFT(CT!D13,3)=SC!$F$1,CT!H13,0)</f>
        <v>0</v>
      </c>
      <c r="F18" s="69">
        <f>IF(LEFT(CT!E13,3)=SC!$F$1,CT!H13,0)</f>
        <v>0</v>
      </c>
      <c r="G18" t="b">
        <f t="shared" si="0"/>
        <v>0</v>
      </c>
    </row>
    <row r="19" spans="1:7" hidden="1" x14ac:dyDescent="0.25">
      <c r="A19" s="84" t="str">
        <f>IF(OR(LEFT(CT!D14,3)=SC!$F$1,LEFT(CT!E14,3)=SC!$F$1),CT!A14,"")</f>
        <v/>
      </c>
      <c r="B19" s="65" t="str">
        <f>IF(OR(LEFT(CT!D14,3)=SC!$F$1,LEFT(CT!E14,3)=SC!$F$1),CT!B14,"")</f>
        <v/>
      </c>
      <c r="C19" s="65" t="str">
        <f>IF(OR(LEFT(CT!D14,3)=SC!$F$1,LEFT(CT!E14,3)=SC!$F$1),CT!C14,"")</f>
        <v/>
      </c>
      <c r="D19" s="65" t="str">
        <f>IF(LEFT(CT!D14,3)=SC!$F$1,LEFT(CT!E14,3), IF(LEFT(CT!E14,3)=SC!$F$1,LEFT(CT!D14,3),""))</f>
        <v/>
      </c>
      <c r="E19" s="69">
        <f>IF(LEFT(CT!D14,3)=SC!$F$1,CT!H14,0)</f>
        <v>0</v>
      </c>
      <c r="F19" s="69">
        <f>IF(LEFT(CT!E14,3)=SC!$F$1,CT!H14,0)</f>
        <v>0</v>
      </c>
      <c r="G19" t="b">
        <f t="shared" si="0"/>
        <v>0</v>
      </c>
    </row>
    <row r="20" spans="1:7" hidden="1" x14ac:dyDescent="0.25">
      <c r="A20" s="84" t="str">
        <f>IF(OR(LEFT(CT!D15,3)=SC!$F$1,LEFT(CT!E15,3)=SC!$F$1),CT!A15,"")</f>
        <v/>
      </c>
      <c r="B20" s="65" t="str">
        <f>IF(OR(LEFT(CT!D15,3)=SC!$F$1,LEFT(CT!E15,3)=SC!$F$1),CT!B15,"")</f>
        <v/>
      </c>
      <c r="C20" s="65" t="str">
        <f>IF(OR(LEFT(CT!D15,3)=SC!$F$1,LEFT(CT!E15,3)=SC!$F$1),CT!C15,"")</f>
        <v/>
      </c>
      <c r="D20" s="65" t="str">
        <f>IF(LEFT(CT!D15,3)=SC!$F$1,LEFT(CT!E15,3), IF(LEFT(CT!E15,3)=SC!$F$1,LEFT(CT!D15,3),""))</f>
        <v/>
      </c>
      <c r="E20" s="69">
        <f>IF(LEFT(CT!D15,3)=SC!$F$1,CT!H15,0)</f>
        <v>0</v>
      </c>
      <c r="F20" s="69">
        <f>IF(LEFT(CT!E15,3)=SC!$F$1,CT!H15,0)</f>
        <v>0</v>
      </c>
      <c r="G20" t="b">
        <f t="shared" si="0"/>
        <v>0</v>
      </c>
    </row>
    <row r="21" spans="1:7" hidden="1" x14ac:dyDescent="0.25">
      <c r="A21" s="84" t="str">
        <f>IF(OR(LEFT(CT!D16,3)=SC!$F$1,LEFT(CT!E16,3)=SC!$F$1),CT!A16,"")</f>
        <v/>
      </c>
      <c r="B21" s="65" t="str">
        <f>IF(OR(LEFT(CT!D16,3)=SC!$F$1,LEFT(CT!E16,3)=SC!$F$1),CT!B16,"")</f>
        <v/>
      </c>
      <c r="C21" s="65" t="str">
        <f>IF(OR(LEFT(CT!D16,3)=SC!$F$1,LEFT(CT!E16,3)=SC!$F$1),CT!C16,"")</f>
        <v/>
      </c>
      <c r="D21" s="65" t="str">
        <f>IF(LEFT(CT!D16,3)=SC!$F$1,LEFT(CT!E16,3), IF(LEFT(CT!E16,3)=SC!$F$1,LEFT(CT!D16,3),""))</f>
        <v/>
      </c>
      <c r="E21" s="69">
        <f>IF(LEFT(CT!D16,3)=SC!$F$1,CT!H16,0)</f>
        <v>0</v>
      </c>
      <c r="F21" s="69">
        <f>IF(LEFT(CT!E16,3)=SC!$F$1,CT!H16,0)</f>
        <v>0</v>
      </c>
      <c r="G21" t="b">
        <f t="shared" si="0"/>
        <v>0</v>
      </c>
    </row>
    <row r="22" spans="1:7" hidden="1" x14ac:dyDescent="0.25">
      <c r="A22" s="84" t="str">
        <f>IF(OR(LEFT(CT!D17,3)=SC!$F$1,LEFT(CT!E17,3)=SC!$F$1),CT!A17,"")</f>
        <v/>
      </c>
      <c r="B22" s="65" t="str">
        <f>IF(OR(LEFT(CT!D17,3)=SC!$F$1,LEFT(CT!E17,3)=SC!$F$1),CT!B17,"")</f>
        <v/>
      </c>
      <c r="C22" s="65" t="str">
        <f>IF(OR(LEFT(CT!D17,3)=SC!$F$1,LEFT(CT!E17,3)=SC!$F$1),CT!C17,"")</f>
        <v/>
      </c>
      <c r="D22" s="65" t="str">
        <f>IF(LEFT(CT!D17,3)=SC!$F$1,LEFT(CT!E17,3), IF(LEFT(CT!E17,3)=SC!$F$1,LEFT(CT!D17,3),""))</f>
        <v/>
      </c>
      <c r="E22" s="69">
        <f>IF(LEFT(CT!D17,3)=SC!$F$1,CT!H17,0)</f>
        <v>0</v>
      </c>
      <c r="F22" s="69">
        <f>IF(LEFT(CT!E17,3)=SC!$F$1,CT!H17,0)</f>
        <v>0</v>
      </c>
      <c r="G22" t="b">
        <f t="shared" si="0"/>
        <v>0</v>
      </c>
    </row>
    <row r="23" spans="1:7" ht="15.6" x14ac:dyDescent="0.3">
      <c r="A23" s="63">
        <f>IF(OR(LEFT(CT!D18,3)=SC!$F$1,LEFT(CT!E18,3)=SC!$F$1),CT!A18,"")</f>
        <v>45306</v>
      </c>
      <c r="B23" s="23" t="str">
        <f>IF(OR(LEFT(CT!D18,3)=SC!$F$1,LEFT(CT!E18,3)=SC!$F$1),CT!B18,"")</f>
        <v>03/PC</v>
      </c>
      <c r="C23" s="23" t="str">
        <f>IF(OR(LEFT(CT!D18,3)=SC!$F$1,LEFT(CT!E18,3)=SC!$F$1),CT!C18,"")</f>
        <v>Chi lương cho NVBH</v>
      </c>
      <c r="D23" s="23" t="str">
        <f>IF(LEFT(CT!D18,3)=SC!$F$1,LEFT(CT!E18,3), IF(LEFT(CT!E18,3)=SC!$F$1,LEFT(CT!D18,3),""))</f>
        <v>334</v>
      </c>
      <c r="E23" s="78">
        <f>IF(LEFT(CT!D18,3)=SC!$F$1,CT!H18,0)</f>
        <v>0</v>
      </c>
      <c r="F23" s="78">
        <f>IF(LEFT(CT!E18,3)=SC!$F$1,CT!H18,0)</f>
        <v>5000000</v>
      </c>
      <c r="G23" s="3" t="b">
        <f t="shared" si="0"/>
        <v>1</v>
      </c>
    </row>
    <row r="24" spans="1:7" ht="15.6" x14ac:dyDescent="0.3">
      <c r="A24" s="63">
        <f>IF(OR(LEFT(CT!D19,3)=SC!$F$1,LEFT(CT!E19,3)=SC!$F$1),CT!A19,"")</f>
        <v>45306</v>
      </c>
      <c r="B24" s="23" t="str">
        <f>IF(OR(LEFT(CT!D19,3)=SC!$F$1,LEFT(CT!E19,3)=SC!$F$1),CT!B19,"")</f>
        <v>03/PC</v>
      </c>
      <c r="C24" s="23" t="str">
        <f>IF(OR(LEFT(CT!D19,3)=SC!$F$1,LEFT(CT!E19,3)=SC!$F$1),CT!C19,"")</f>
        <v>Chi lương cho CB QLDN</v>
      </c>
      <c r="D24" s="23" t="str">
        <f>IF(LEFT(CT!D19,3)=SC!$F$1,LEFT(CT!E19,3), IF(LEFT(CT!E19,3)=SC!$F$1,LEFT(CT!D19,3),""))</f>
        <v>334</v>
      </c>
      <c r="E24" s="78">
        <f>IF(LEFT(CT!D19,3)=SC!$F$1,CT!H19,0)</f>
        <v>0</v>
      </c>
      <c r="F24" s="78">
        <f>IF(LEFT(CT!E19,3)=SC!$F$1,CT!H19,0)</f>
        <v>7000000</v>
      </c>
      <c r="G24" s="3" t="b">
        <f t="shared" si="0"/>
        <v>1</v>
      </c>
    </row>
    <row r="25" spans="1:7" hidden="1" x14ac:dyDescent="0.25">
      <c r="A25" s="84" t="str">
        <f>IF(OR(LEFT(CT!D20,3)=SC!$F$1,LEFT(CT!E20,3)=SC!$F$1),CT!A20,"")</f>
        <v/>
      </c>
      <c r="B25" s="65" t="str">
        <f>IF(OR(LEFT(CT!D20,3)=SC!$F$1,LEFT(CT!E20,3)=SC!$F$1),CT!B20,"")</f>
        <v/>
      </c>
      <c r="C25" s="65" t="str">
        <f>IF(OR(LEFT(CT!D20,3)=SC!$F$1,LEFT(CT!E20,3)=SC!$F$1),CT!C20,"")</f>
        <v/>
      </c>
      <c r="D25" s="65" t="str">
        <f>IF(LEFT(CT!D20,3)=SC!$F$1,LEFT(CT!E20,3), IF(LEFT(CT!E20,3)=SC!$F$1,LEFT(CT!D20,3),""))</f>
        <v/>
      </c>
      <c r="E25" s="69">
        <f>IF(LEFT(CT!D20,3)=SC!$F$1,CT!H20,0)</f>
        <v>0</v>
      </c>
      <c r="F25" s="69">
        <f>IF(LEFT(CT!E20,3)=SC!$F$1,CT!H20,0)</f>
        <v>0</v>
      </c>
      <c r="G25" t="b">
        <f t="shared" si="0"/>
        <v>0</v>
      </c>
    </row>
    <row r="26" spans="1:7" hidden="1" x14ac:dyDescent="0.25">
      <c r="A26" s="84" t="str">
        <f>IF(OR(LEFT(CT!D21,3)=SC!$F$1,LEFT(CT!E21,3)=SC!$F$1),CT!A21,"")</f>
        <v/>
      </c>
      <c r="B26" s="65" t="str">
        <f>IF(OR(LEFT(CT!D21,3)=SC!$F$1,LEFT(CT!E21,3)=SC!$F$1),CT!B21,"")</f>
        <v/>
      </c>
      <c r="C26" s="65" t="str">
        <f>IF(OR(LEFT(CT!D21,3)=SC!$F$1,LEFT(CT!E21,3)=SC!$F$1),CT!C21,"")</f>
        <v/>
      </c>
      <c r="D26" s="65" t="str">
        <f>IF(LEFT(CT!D21,3)=SC!$F$1,LEFT(CT!E21,3), IF(LEFT(CT!E21,3)=SC!$F$1,LEFT(CT!D21,3),""))</f>
        <v/>
      </c>
      <c r="E26" s="69">
        <f>IF(LEFT(CT!D21,3)=SC!$F$1,CT!H21,0)</f>
        <v>0</v>
      </c>
      <c r="F26" s="69">
        <f>IF(LEFT(CT!E21,3)=SC!$F$1,CT!H21,0)</f>
        <v>0</v>
      </c>
      <c r="G26" t="b">
        <f t="shared" si="0"/>
        <v>0</v>
      </c>
    </row>
    <row r="27" spans="1:7" ht="15.6" x14ac:dyDescent="0.3">
      <c r="A27" s="63">
        <f>IF(OR(LEFT(CT!D22,3)=SC!$F$1,LEFT(CT!E22,3)=SC!$F$1),CT!A22,"")</f>
        <v>45306</v>
      </c>
      <c r="B27" s="23" t="str">
        <f>IF(OR(LEFT(CT!D22,3)=SC!$F$1,LEFT(CT!E22,3)=SC!$F$1),CT!B22,"")</f>
        <v>03/PC</v>
      </c>
      <c r="C27" s="23" t="str">
        <f>IF(OR(LEFT(CT!D22,3)=SC!$F$1,LEFT(CT!E22,3)=SC!$F$1),CT!C22,"")</f>
        <v>Chi lương cho NV QLPX</v>
      </c>
      <c r="D27" s="23" t="str">
        <f>IF(LEFT(CT!D22,3)=SC!$F$1,LEFT(CT!E22,3), IF(LEFT(CT!E22,3)=SC!$F$1,LEFT(CT!D22,3),""))</f>
        <v>334</v>
      </c>
      <c r="E27" s="78">
        <f>IF(LEFT(CT!D22,3)=SC!$F$1,CT!H22,0)</f>
        <v>0</v>
      </c>
      <c r="F27" s="78">
        <f>IF(LEFT(CT!E22,3)=SC!$F$1,CT!H22,0)</f>
        <v>35000000</v>
      </c>
      <c r="G27" s="3" t="b">
        <f t="shared" si="0"/>
        <v>1</v>
      </c>
    </row>
    <row r="28" spans="1:7" ht="15.6" x14ac:dyDescent="0.3">
      <c r="A28" s="63">
        <f>IF(OR(LEFT(CT!D23,3)=SC!$F$1,LEFT(CT!E23,3)=SC!$F$1),CT!A23,"")</f>
        <v>45306</v>
      </c>
      <c r="B28" s="23" t="str">
        <f>IF(OR(LEFT(CT!D23,3)=SC!$F$1,LEFT(CT!E23,3)=SC!$F$1),CT!B23,"")</f>
        <v>03/PC</v>
      </c>
      <c r="C28" s="23" t="str">
        <f>IF(OR(LEFT(CT!D23,3)=SC!$F$1,LEFT(CT!E23,3)=SC!$F$1),CT!C23,"")</f>
        <v>Chi lương cho CNSX GTV</v>
      </c>
      <c r="D28" s="23" t="str">
        <f>IF(LEFT(CT!D23,3)=SC!$F$1,LEFT(CT!E23,3), IF(LEFT(CT!E23,3)=SC!$F$1,LEFT(CT!D23,3),""))</f>
        <v>334</v>
      </c>
      <c r="E28" s="78">
        <f>IF(LEFT(CT!D23,3)=SC!$F$1,CT!H23,0)</f>
        <v>0</v>
      </c>
      <c r="F28" s="78">
        <f>IF(LEFT(CT!E23,3)=SC!$F$1,CT!H23,0)</f>
        <v>40000000</v>
      </c>
      <c r="G28" s="3" t="b">
        <f t="shared" si="0"/>
        <v>1</v>
      </c>
    </row>
    <row r="29" spans="1:7" ht="15.6" x14ac:dyDescent="0.3">
      <c r="A29" s="63">
        <f>IF(OR(LEFT(CT!D24,3)=SC!$F$1,LEFT(CT!E24,3)=SC!$F$1),CT!A24,"")</f>
        <v>45306</v>
      </c>
      <c r="B29" s="23" t="str">
        <f>IF(OR(LEFT(CT!D24,3)=SC!$F$1,LEFT(CT!E24,3)=SC!$F$1),CT!B24,"")</f>
        <v>03/PC</v>
      </c>
      <c r="C29" s="23" t="str">
        <f>IF(OR(LEFT(CT!D24,3)=SC!$F$1,LEFT(CT!E24,3)=SC!$F$1),CT!C24,"")</f>
        <v>Chi lương cho CNSX GKT</v>
      </c>
      <c r="D29" s="23" t="str">
        <f>IF(LEFT(CT!D24,3)=SC!$F$1,LEFT(CT!E24,3), IF(LEFT(CT!E24,3)=SC!$F$1,LEFT(CT!D24,3),""))</f>
        <v>334</v>
      </c>
      <c r="E29" s="78">
        <f>IF(LEFT(CT!D24,3)=SC!$F$1,CT!H24,0)</f>
        <v>0</v>
      </c>
      <c r="F29" s="78">
        <f>IF(LEFT(CT!E24,3)=SC!$F$1,CT!H24,0)</f>
        <v>40000000</v>
      </c>
      <c r="G29" s="3" t="b">
        <f t="shared" si="0"/>
        <v>1</v>
      </c>
    </row>
    <row r="30" spans="1:7" ht="15.6" x14ac:dyDescent="0.3">
      <c r="A30" s="63">
        <f>IF(OR(LEFT(CT!D25,3)=SC!$F$1,LEFT(CT!E25,3)=SC!$F$1),CT!A25,"")</f>
        <v>45306</v>
      </c>
      <c r="B30" s="23" t="str">
        <f>IF(OR(LEFT(CT!D25,3)=SC!$F$1,LEFT(CT!E25,3)=SC!$F$1),CT!B25,"")</f>
        <v>03/PC</v>
      </c>
      <c r="C30" s="23" t="str">
        <f>IF(OR(LEFT(CT!D25,3)=SC!$F$1,LEFT(CT!E25,3)=SC!$F$1),CT!C25,"")</f>
        <v>Chi lương cho CNSX GTV</v>
      </c>
      <c r="D30" s="23" t="str">
        <f>IF(LEFT(CT!D25,3)=SC!$F$1,LEFT(CT!E25,3), IF(LEFT(CT!E25,3)=SC!$F$1,LEFT(CT!D25,3),""))</f>
        <v>334</v>
      </c>
      <c r="E30" s="78">
        <f>IF(LEFT(CT!D25,3)=SC!$F$1,CT!H25,0)</f>
        <v>0</v>
      </c>
      <c r="F30" s="78">
        <f>IF(LEFT(CT!E25,3)=SC!$F$1,CT!H25,0)</f>
        <v>40000000</v>
      </c>
      <c r="G30" s="3" t="b">
        <f t="shared" si="0"/>
        <v>1</v>
      </c>
    </row>
    <row r="31" spans="1:7" ht="15.6" x14ac:dyDescent="0.3">
      <c r="A31" s="63">
        <f>IF(OR(LEFT(CT!D26,3)=SC!$F$1,LEFT(CT!E26,3)=SC!$F$1),CT!A26,"")</f>
        <v>45306</v>
      </c>
      <c r="B31" s="23" t="str">
        <f>IF(OR(LEFT(CT!D26,3)=SC!$F$1,LEFT(CT!E26,3)=SC!$F$1),CT!B26,"")</f>
        <v>03/PC</v>
      </c>
      <c r="C31" s="23" t="str">
        <f>IF(OR(LEFT(CT!D26,3)=SC!$F$1,LEFT(CT!E26,3)=SC!$F$1),CT!C26,"")</f>
        <v>Chi lương cho CNSX BT</v>
      </c>
      <c r="D31" s="23" t="str">
        <f>IF(LEFT(CT!D26,3)=SC!$F$1,LEFT(CT!E26,3), IF(LEFT(CT!E26,3)=SC!$F$1,LEFT(CT!D26,3),""))</f>
        <v>334</v>
      </c>
      <c r="E31" s="78">
        <f>IF(LEFT(CT!D26,3)=SC!$F$1,CT!H26,0)</f>
        <v>0</v>
      </c>
      <c r="F31" s="78">
        <f>IF(LEFT(CT!E26,3)=SC!$F$1,CT!H26,0)</f>
        <v>40000000</v>
      </c>
      <c r="G31" s="3" t="b">
        <f t="shared" si="0"/>
        <v>1</v>
      </c>
    </row>
    <row r="32" spans="1:7" ht="15.6" x14ac:dyDescent="0.3">
      <c r="A32" s="63">
        <f>IF(OR(LEFT(CT!D27,3)=SC!$F$1,LEFT(CT!E27,3)=SC!$F$1),CT!A27,"")</f>
        <v>45306</v>
      </c>
      <c r="B32" s="23" t="str">
        <f>IF(OR(LEFT(CT!D27,3)=SC!$F$1,LEFT(CT!E27,3)=SC!$F$1),CT!B27,"")</f>
        <v>03/PC</v>
      </c>
      <c r="C32" s="23" t="str">
        <f>IF(OR(LEFT(CT!D27,3)=SC!$F$1,LEFT(CT!E27,3)=SC!$F$1),CT!C27,"")</f>
        <v>Chi lương cho CNSX BO</v>
      </c>
      <c r="D32" s="23" t="str">
        <f>IF(LEFT(CT!D27,3)=SC!$F$1,LEFT(CT!E27,3), IF(LEFT(CT!E27,3)=SC!$F$1,LEFT(CT!D27,3),""))</f>
        <v>334</v>
      </c>
      <c r="E32" s="78">
        <f>IF(LEFT(CT!D27,3)=SC!$F$1,CT!H27,0)</f>
        <v>0</v>
      </c>
      <c r="F32" s="78">
        <f>IF(LEFT(CT!E27,3)=SC!$F$1,CT!H27,0)</f>
        <v>40000000</v>
      </c>
      <c r="G32" s="3" t="b">
        <f t="shared" si="0"/>
        <v>1</v>
      </c>
    </row>
    <row r="33" spans="1:7" hidden="1" x14ac:dyDescent="0.25">
      <c r="A33" s="84" t="str">
        <f>IF(OR(LEFT(CT!D28,3)=SC!$F$1,LEFT(CT!E28,3)=SC!$F$1),CT!A28,"")</f>
        <v/>
      </c>
      <c r="B33" s="65" t="str">
        <f>IF(OR(LEFT(CT!D28,3)=SC!$F$1,LEFT(CT!E28,3)=SC!$F$1),CT!B28,"")</f>
        <v/>
      </c>
      <c r="C33" s="65" t="str">
        <f>IF(OR(LEFT(CT!D28,3)=SC!$F$1,LEFT(CT!E28,3)=SC!$F$1),CT!C28,"")</f>
        <v/>
      </c>
      <c r="D33" s="65" t="str">
        <f>IF(LEFT(CT!D28,3)=SC!$F$1,LEFT(CT!E28,3), IF(LEFT(CT!E28,3)=SC!$F$1,LEFT(CT!D28,3),""))</f>
        <v/>
      </c>
      <c r="E33" s="69">
        <f>IF(LEFT(CT!D28,3)=SC!$F$1,CT!H28,0)</f>
        <v>0</v>
      </c>
      <c r="F33" s="69">
        <f>IF(LEFT(CT!E28,3)=SC!$F$1,CT!H28,0)</f>
        <v>0</v>
      </c>
      <c r="G33" t="b">
        <f t="shared" si="0"/>
        <v>0</v>
      </c>
    </row>
    <row r="34" spans="1:7" hidden="1" x14ac:dyDescent="0.25">
      <c r="A34" s="84" t="str">
        <f>IF(OR(LEFT(CT!D29,3)=SC!$F$1,LEFT(CT!E29,3)=SC!$F$1),CT!A29,"")</f>
        <v/>
      </c>
      <c r="B34" s="65" t="str">
        <f>IF(OR(LEFT(CT!D29,3)=SC!$F$1,LEFT(CT!E29,3)=SC!$F$1),CT!B29,"")</f>
        <v/>
      </c>
      <c r="C34" s="65" t="str">
        <f>IF(OR(LEFT(CT!D29,3)=SC!$F$1,LEFT(CT!E29,3)=SC!$F$1),CT!C29,"")</f>
        <v/>
      </c>
      <c r="D34" s="65" t="str">
        <f>IF(LEFT(CT!D29,3)=SC!$F$1,LEFT(CT!E29,3), IF(LEFT(CT!E29,3)=SC!$F$1,LEFT(CT!D29,3),""))</f>
        <v/>
      </c>
      <c r="E34" s="69">
        <f>IF(LEFT(CT!D29,3)=SC!$F$1,CT!H29,0)</f>
        <v>0</v>
      </c>
      <c r="F34" s="69">
        <f>IF(LEFT(CT!E29,3)=SC!$F$1,CT!H29,0)</f>
        <v>0</v>
      </c>
      <c r="G34" t="b">
        <f t="shared" si="0"/>
        <v>0</v>
      </c>
    </row>
    <row r="35" spans="1:7" hidden="1" x14ac:dyDescent="0.25">
      <c r="A35" s="84" t="str">
        <f>IF(OR(LEFT(CT!D30,3)=SC!$F$1,LEFT(CT!E30,3)=SC!$F$1),CT!A30,"")</f>
        <v/>
      </c>
      <c r="B35" s="65" t="str">
        <f>IF(OR(LEFT(CT!D30,3)=SC!$F$1,LEFT(CT!E30,3)=SC!$F$1),CT!B30,"")</f>
        <v/>
      </c>
      <c r="C35" s="65" t="str">
        <f>IF(OR(LEFT(CT!D30,3)=SC!$F$1,LEFT(CT!E30,3)=SC!$F$1),CT!C30,"")</f>
        <v/>
      </c>
      <c r="D35" s="65" t="str">
        <f>IF(LEFT(CT!D30,3)=SC!$F$1,LEFT(CT!E30,3), IF(LEFT(CT!E30,3)=SC!$F$1,LEFT(CT!D30,3),""))</f>
        <v/>
      </c>
      <c r="E35" s="69">
        <f>IF(LEFT(CT!D30,3)=SC!$F$1,CT!H30,0)</f>
        <v>0</v>
      </c>
      <c r="F35" s="69">
        <f>IF(LEFT(CT!E30,3)=SC!$F$1,CT!H30,0)</f>
        <v>0</v>
      </c>
      <c r="G35" t="b">
        <f t="shared" si="0"/>
        <v>0</v>
      </c>
    </row>
    <row r="36" spans="1:7" hidden="1" x14ac:dyDescent="0.25">
      <c r="A36" s="84" t="str">
        <f>IF(OR(LEFT(CT!D31,3)=SC!$F$1,LEFT(CT!E31,3)=SC!$F$1),CT!A31,"")</f>
        <v/>
      </c>
      <c r="B36" s="65" t="str">
        <f>IF(OR(LEFT(CT!D31,3)=SC!$F$1,LEFT(CT!E31,3)=SC!$F$1),CT!B31,"")</f>
        <v/>
      </c>
      <c r="C36" s="65" t="str">
        <f>IF(OR(LEFT(CT!D31,3)=SC!$F$1,LEFT(CT!E31,3)=SC!$F$1),CT!C31,"")</f>
        <v/>
      </c>
      <c r="D36" s="65" t="str">
        <f>IF(LEFT(CT!D31,3)=SC!$F$1,LEFT(CT!E31,3), IF(LEFT(CT!E31,3)=SC!$F$1,LEFT(CT!D31,3),""))</f>
        <v/>
      </c>
      <c r="E36" s="69">
        <f>IF(LEFT(CT!D31,3)=SC!$F$1,CT!H31,0)</f>
        <v>0</v>
      </c>
      <c r="F36" s="69">
        <f>IF(LEFT(CT!E31,3)=SC!$F$1,CT!H31,0)</f>
        <v>0</v>
      </c>
      <c r="G36" t="b">
        <f t="shared" si="0"/>
        <v>0</v>
      </c>
    </row>
    <row r="37" spans="1:7" hidden="1" x14ac:dyDescent="0.25">
      <c r="A37" s="84" t="str">
        <f>IF(OR(LEFT(CT!D32,3)=SC!$F$1,LEFT(CT!E32,3)=SC!$F$1),CT!A32,"")</f>
        <v/>
      </c>
      <c r="B37" s="65" t="str">
        <f>IF(OR(LEFT(CT!D32,3)=SC!$F$1,LEFT(CT!E32,3)=SC!$F$1),CT!B32,"")</f>
        <v/>
      </c>
      <c r="C37" s="65" t="str">
        <f>IF(OR(LEFT(CT!D32,3)=SC!$F$1,LEFT(CT!E32,3)=SC!$F$1),CT!C32,"")</f>
        <v/>
      </c>
      <c r="D37" s="65" t="str">
        <f>IF(LEFT(CT!D32,3)=SC!$F$1,LEFT(CT!E32,3), IF(LEFT(CT!E32,3)=SC!$F$1,LEFT(CT!D32,3),""))</f>
        <v/>
      </c>
      <c r="E37" s="69">
        <f>IF(LEFT(CT!D32,3)=SC!$F$1,CT!H32,0)</f>
        <v>0</v>
      </c>
      <c r="F37" s="69">
        <f>IF(LEFT(CT!E32,3)=SC!$F$1,CT!H32,0)</f>
        <v>0</v>
      </c>
      <c r="G37" t="b">
        <f t="shared" si="0"/>
        <v>0</v>
      </c>
    </row>
    <row r="38" spans="1:7" hidden="1" x14ac:dyDescent="0.25">
      <c r="A38" s="84" t="str">
        <f>IF(OR(LEFT(CT!D33,3)=SC!$F$1,LEFT(CT!E33,3)=SC!$F$1),CT!A33,"")</f>
        <v/>
      </c>
      <c r="B38" s="65" t="str">
        <f>IF(OR(LEFT(CT!D33,3)=SC!$F$1,LEFT(CT!E33,3)=SC!$F$1),CT!B33,"")</f>
        <v/>
      </c>
      <c r="C38" s="65" t="str">
        <f>IF(OR(LEFT(CT!D33,3)=SC!$F$1,LEFT(CT!E33,3)=SC!$F$1),CT!C33,"")</f>
        <v/>
      </c>
      <c r="D38" s="65" t="str">
        <f>IF(LEFT(CT!D33,3)=SC!$F$1,LEFT(CT!E33,3), IF(LEFT(CT!E33,3)=SC!$F$1,LEFT(CT!D33,3),""))</f>
        <v/>
      </c>
      <c r="E38" s="69">
        <f>IF(LEFT(CT!D33,3)=SC!$F$1,CT!H33,0)</f>
        <v>0</v>
      </c>
      <c r="F38" s="69">
        <f>IF(LEFT(CT!E33,3)=SC!$F$1,CT!H33,0)</f>
        <v>0</v>
      </c>
      <c r="G38" t="b">
        <f t="shared" si="0"/>
        <v>0</v>
      </c>
    </row>
    <row r="39" spans="1:7" hidden="1" x14ac:dyDescent="0.25">
      <c r="A39" s="84" t="str">
        <f>IF(OR(LEFT(CT!D34,3)=SC!$F$1,LEFT(CT!E34,3)=SC!$F$1),CT!A34,"")</f>
        <v/>
      </c>
      <c r="B39" s="65" t="str">
        <f>IF(OR(LEFT(CT!D34,3)=SC!$F$1,LEFT(CT!E34,3)=SC!$F$1),CT!B34,"")</f>
        <v/>
      </c>
      <c r="C39" s="65" t="str">
        <f>IF(OR(LEFT(CT!D34,3)=SC!$F$1,LEFT(CT!E34,3)=SC!$F$1),CT!C34,"")</f>
        <v/>
      </c>
      <c r="D39" s="65" t="str">
        <f>IF(LEFT(CT!D34,3)=SC!$F$1,LEFT(CT!E34,3), IF(LEFT(CT!E34,3)=SC!$F$1,LEFT(CT!D34,3),""))</f>
        <v/>
      </c>
      <c r="E39" s="69">
        <f>IF(LEFT(CT!D34,3)=SC!$F$1,CT!H34,0)</f>
        <v>0</v>
      </c>
      <c r="F39" s="69">
        <f>IF(LEFT(CT!E34,3)=SC!$F$1,CT!H34,0)</f>
        <v>0</v>
      </c>
      <c r="G39" t="b">
        <f t="shared" si="0"/>
        <v>0</v>
      </c>
    </row>
    <row r="40" spans="1:7" hidden="1" x14ac:dyDescent="0.25">
      <c r="A40" s="84" t="str">
        <f>IF(OR(LEFT(CT!D35,3)=SC!$F$1,LEFT(CT!E35,3)=SC!$F$1),CT!A35,"")</f>
        <v/>
      </c>
      <c r="B40" s="65" t="str">
        <f>IF(OR(LEFT(CT!D35,3)=SC!$F$1,LEFT(CT!E35,3)=SC!$F$1),CT!B35,"")</f>
        <v/>
      </c>
      <c r="C40" s="65" t="str">
        <f>IF(OR(LEFT(CT!D35,3)=SC!$F$1,LEFT(CT!E35,3)=SC!$F$1),CT!C35,"")</f>
        <v/>
      </c>
      <c r="D40" s="65" t="str">
        <f>IF(LEFT(CT!D35,3)=SC!$F$1,LEFT(CT!E35,3), IF(LEFT(CT!E35,3)=SC!$F$1,LEFT(CT!D35,3),""))</f>
        <v/>
      </c>
      <c r="E40" s="69">
        <f>IF(LEFT(CT!D35,3)=SC!$F$1,CT!H35,0)</f>
        <v>0</v>
      </c>
      <c r="F40" s="69">
        <f>IF(LEFT(CT!E35,3)=SC!$F$1,CT!H35,0)</f>
        <v>0</v>
      </c>
      <c r="G40" t="b">
        <f t="shared" si="0"/>
        <v>0</v>
      </c>
    </row>
    <row r="41" spans="1:7" hidden="1" x14ac:dyDescent="0.25">
      <c r="A41" s="84" t="str">
        <f>IF(OR(LEFT(CT!D36,3)=SC!$F$1,LEFT(CT!E36,3)=SC!$F$1),CT!A36,"")</f>
        <v/>
      </c>
      <c r="B41" s="65" t="str">
        <f>IF(OR(LEFT(CT!D36,3)=SC!$F$1,LEFT(CT!E36,3)=SC!$F$1),CT!B36,"")</f>
        <v/>
      </c>
      <c r="C41" s="65" t="str">
        <f>IF(OR(LEFT(CT!D36,3)=SC!$F$1,LEFT(CT!E36,3)=SC!$F$1),CT!C36,"")</f>
        <v/>
      </c>
      <c r="D41" s="65" t="str">
        <f>IF(LEFT(CT!D36,3)=SC!$F$1,LEFT(CT!E36,3), IF(LEFT(CT!E36,3)=SC!$F$1,LEFT(CT!D36,3),""))</f>
        <v/>
      </c>
      <c r="E41" s="69">
        <f>IF(LEFT(CT!D36,3)=SC!$F$1,CT!H36,0)</f>
        <v>0</v>
      </c>
      <c r="F41" s="69">
        <f>IF(LEFT(CT!E36,3)=SC!$F$1,CT!H36,0)</f>
        <v>0</v>
      </c>
      <c r="G41" t="b">
        <f t="shared" si="0"/>
        <v>0</v>
      </c>
    </row>
    <row r="42" spans="1:7" hidden="1" x14ac:dyDescent="0.25">
      <c r="A42" s="84" t="str">
        <f>IF(OR(LEFT(CT!D37,3)=SC!$F$1,LEFT(CT!E37,3)=SC!$F$1),CT!A37,"")</f>
        <v/>
      </c>
      <c r="B42" s="65" t="str">
        <f>IF(OR(LEFT(CT!D37,3)=SC!$F$1,LEFT(CT!E37,3)=SC!$F$1),CT!B37,"")</f>
        <v/>
      </c>
      <c r="C42" s="65" t="str">
        <f>IF(OR(LEFT(CT!D37,3)=SC!$F$1,LEFT(CT!E37,3)=SC!$F$1),CT!C37,"")</f>
        <v/>
      </c>
      <c r="D42" s="65" t="str">
        <f>IF(LEFT(CT!D37,3)=SC!$F$1,LEFT(CT!E37,3), IF(LEFT(CT!E37,3)=SC!$F$1,LEFT(CT!D37,3),""))</f>
        <v/>
      </c>
      <c r="E42" s="69">
        <f>IF(LEFT(CT!D37,3)=SC!$F$1,CT!H37,0)</f>
        <v>0</v>
      </c>
      <c r="F42" s="69">
        <f>IF(LEFT(CT!E37,3)=SC!$F$1,CT!H37,0)</f>
        <v>0</v>
      </c>
      <c r="G42" t="b">
        <f t="shared" si="0"/>
        <v>0</v>
      </c>
    </row>
    <row r="43" spans="1:7" hidden="1" x14ac:dyDescent="0.25">
      <c r="A43" s="84" t="str">
        <f>IF(OR(LEFT(CT!D38,3)=SC!$F$1,LEFT(CT!E38,3)=SC!$F$1),CT!A38,"")</f>
        <v/>
      </c>
      <c r="B43" s="65" t="str">
        <f>IF(OR(LEFT(CT!D38,3)=SC!$F$1,LEFT(CT!E38,3)=SC!$F$1),CT!B38,"")</f>
        <v/>
      </c>
      <c r="C43" s="65" t="str">
        <f>IF(OR(LEFT(CT!D38,3)=SC!$F$1,LEFT(CT!E38,3)=SC!$F$1),CT!C38,"")</f>
        <v/>
      </c>
      <c r="D43" s="65" t="str">
        <f>IF(LEFT(CT!D38,3)=SC!$F$1,LEFT(CT!E38,3), IF(LEFT(CT!E38,3)=SC!$F$1,LEFT(CT!D38,3),""))</f>
        <v/>
      </c>
      <c r="E43" s="69">
        <f>IF(LEFT(CT!D38,3)=SC!$F$1,CT!H38,0)</f>
        <v>0</v>
      </c>
      <c r="F43" s="69">
        <f>IF(LEFT(CT!E38,3)=SC!$F$1,CT!H38,0)</f>
        <v>0</v>
      </c>
      <c r="G43" t="b">
        <f t="shared" si="0"/>
        <v>0</v>
      </c>
    </row>
    <row r="44" spans="1:7" hidden="1" x14ac:dyDescent="0.25">
      <c r="A44" s="84" t="str">
        <f>IF(OR(LEFT(CT!D39,3)=SC!$F$1,LEFT(CT!E39,3)=SC!$F$1),CT!A39,"")</f>
        <v/>
      </c>
      <c r="B44" s="65" t="str">
        <f>IF(OR(LEFT(CT!D39,3)=SC!$F$1,LEFT(CT!E39,3)=SC!$F$1),CT!B39,"")</f>
        <v/>
      </c>
      <c r="C44" s="65" t="str">
        <f>IF(OR(LEFT(CT!D39,3)=SC!$F$1,LEFT(CT!E39,3)=SC!$F$1),CT!C39,"")</f>
        <v/>
      </c>
      <c r="D44" s="65" t="str">
        <f>IF(LEFT(CT!D39,3)=SC!$F$1,LEFT(CT!E39,3), IF(LEFT(CT!E39,3)=SC!$F$1,LEFT(CT!D39,3),""))</f>
        <v/>
      </c>
      <c r="E44" s="69">
        <f>IF(LEFT(CT!D39,3)=SC!$F$1,CT!H39,0)</f>
        <v>0</v>
      </c>
      <c r="F44" s="69">
        <f>IF(LEFT(CT!E39,3)=SC!$F$1,CT!H39,0)</f>
        <v>0</v>
      </c>
      <c r="G44" t="b">
        <f t="shared" si="0"/>
        <v>0</v>
      </c>
    </row>
    <row r="45" spans="1:7" hidden="1" x14ac:dyDescent="0.25">
      <c r="A45" s="84" t="str">
        <f>IF(OR(LEFT(CT!D40,3)=SC!$F$1,LEFT(CT!E40,3)=SC!$F$1),CT!A40,"")</f>
        <v/>
      </c>
      <c r="B45" s="65" t="str">
        <f>IF(OR(LEFT(CT!D40,3)=SC!$F$1,LEFT(CT!E40,3)=SC!$F$1),CT!B40,"")</f>
        <v/>
      </c>
      <c r="C45" s="65" t="str">
        <f>IF(OR(LEFT(CT!D40,3)=SC!$F$1,LEFT(CT!E40,3)=SC!$F$1),CT!C40,"")</f>
        <v/>
      </c>
      <c r="D45" s="65" t="str">
        <f>IF(LEFT(CT!D40,3)=SC!$F$1,LEFT(CT!E40,3), IF(LEFT(CT!E40,3)=SC!$F$1,LEFT(CT!D40,3),""))</f>
        <v/>
      </c>
      <c r="E45" s="69">
        <f>IF(LEFT(CT!D40,3)=SC!$F$1,CT!H40,0)</f>
        <v>0</v>
      </c>
      <c r="F45" s="69">
        <f>IF(LEFT(CT!E40,3)=SC!$F$1,CT!H40,0)</f>
        <v>0</v>
      </c>
      <c r="G45" t="b">
        <f t="shared" si="0"/>
        <v>0</v>
      </c>
    </row>
    <row r="46" spans="1:7" hidden="1" x14ac:dyDescent="0.25">
      <c r="A46" s="84" t="str">
        <f>IF(OR(LEFT(CT!D41,3)=SC!$F$1,LEFT(CT!E41,3)=SC!$F$1),CT!A41,"")</f>
        <v/>
      </c>
      <c r="B46" s="65" t="str">
        <f>IF(OR(LEFT(CT!D41,3)=SC!$F$1,LEFT(CT!E41,3)=SC!$F$1),CT!B41,"")</f>
        <v/>
      </c>
      <c r="C46" s="65" t="str">
        <f>IF(OR(LEFT(CT!D41,3)=SC!$F$1,LEFT(CT!E41,3)=SC!$F$1),CT!C41,"")</f>
        <v/>
      </c>
      <c r="D46" s="65" t="str">
        <f>IF(LEFT(CT!D41,3)=SC!$F$1,LEFT(CT!E41,3), IF(LEFT(CT!E41,3)=SC!$F$1,LEFT(CT!D41,3),""))</f>
        <v/>
      </c>
      <c r="E46" s="69">
        <f>IF(LEFT(CT!D41,3)=SC!$F$1,CT!H41,0)</f>
        <v>0</v>
      </c>
      <c r="F46" s="69">
        <f>IF(LEFT(CT!E41,3)=SC!$F$1,CT!H41,0)</f>
        <v>0</v>
      </c>
      <c r="G46" t="b">
        <f t="shared" si="0"/>
        <v>0</v>
      </c>
    </row>
    <row r="47" spans="1:7" hidden="1" x14ac:dyDescent="0.25">
      <c r="A47" s="84" t="str">
        <f>IF(OR(LEFT(CT!D42,3)=SC!$F$1,LEFT(CT!E42,3)=SC!$F$1),CT!A42,"")</f>
        <v/>
      </c>
      <c r="B47" s="65" t="str">
        <f>IF(OR(LEFT(CT!D42,3)=SC!$F$1,LEFT(CT!E42,3)=SC!$F$1),CT!B42,"")</f>
        <v/>
      </c>
      <c r="C47" s="65" t="str">
        <f>IF(OR(LEFT(CT!D42,3)=SC!$F$1,LEFT(CT!E42,3)=SC!$F$1),CT!C42,"")</f>
        <v/>
      </c>
      <c r="D47" s="65" t="str">
        <f>IF(LEFT(CT!D42,3)=SC!$F$1,LEFT(CT!E42,3), IF(LEFT(CT!E42,3)=SC!$F$1,LEFT(CT!D42,3),""))</f>
        <v/>
      </c>
      <c r="E47" s="69">
        <f>IF(LEFT(CT!D42,3)=SC!$F$1,CT!H42,0)</f>
        <v>0</v>
      </c>
      <c r="F47" s="69">
        <f>IF(LEFT(CT!E42,3)=SC!$F$1,CT!H42,0)</f>
        <v>0</v>
      </c>
      <c r="G47" t="b">
        <f t="shared" si="0"/>
        <v>0</v>
      </c>
    </row>
    <row r="48" spans="1:7" hidden="1" x14ac:dyDescent="0.25">
      <c r="A48" s="84" t="str">
        <f>IF(OR(LEFT(CT!D43,3)=SC!$F$1,LEFT(CT!E43,3)=SC!$F$1),CT!A43,"")</f>
        <v/>
      </c>
      <c r="B48" s="65" t="str">
        <f>IF(OR(LEFT(CT!D43,3)=SC!$F$1,LEFT(CT!E43,3)=SC!$F$1),CT!B43,"")</f>
        <v/>
      </c>
      <c r="C48" s="65" t="str">
        <f>IF(OR(LEFT(CT!D43,3)=SC!$F$1,LEFT(CT!E43,3)=SC!$F$1),CT!C43,"")</f>
        <v/>
      </c>
      <c r="D48" s="65" t="str">
        <f>IF(LEFT(CT!D43,3)=SC!$F$1,LEFT(CT!E43,3), IF(LEFT(CT!E43,3)=SC!$F$1,LEFT(CT!D43,3),""))</f>
        <v/>
      </c>
      <c r="E48" s="69">
        <f>IF(LEFT(CT!D43,3)=SC!$F$1,CT!H43,0)</f>
        <v>0</v>
      </c>
      <c r="F48" s="69">
        <f>IF(LEFT(CT!E43,3)=SC!$F$1,CT!H43,0)</f>
        <v>0</v>
      </c>
      <c r="G48" t="b">
        <f t="shared" si="0"/>
        <v>0</v>
      </c>
    </row>
    <row r="49" spans="1:7" hidden="1" x14ac:dyDescent="0.25">
      <c r="A49" s="84" t="str">
        <f>IF(OR(LEFT(CT!D44,3)=SC!$F$1,LEFT(CT!E44,3)=SC!$F$1),CT!A44,"")</f>
        <v/>
      </c>
      <c r="B49" s="65" t="str">
        <f>IF(OR(LEFT(CT!D44,3)=SC!$F$1,LEFT(CT!E44,3)=SC!$F$1),CT!B44,"")</f>
        <v/>
      </c>
      <c r="C49" s="65" t="str">
        <f>IF(OR(LEFT(CT!D44,3)=SC!$F$1,LEFT(CT!E44,3)=SC!$F$1),CT!C44,"")</f>
        <v/>
      </c>
      <c r="D49" s="65" t="str">
        <f>IF(LEFT(CT!D44,3)=SC!$F$1,LEFT(CT!E44,3), IF(LEFT(CT!E44,3)=SC!$F$1,LEFT(CT!D44,3),""))</f>
        <v/>
      </c>
      <c r="E49" s="69">
        <f>IF(LEFT(CT!D44,3)=SC!$F$1,CT!H44,0)</f>
        <v>0</v>
      </c>
      <c r="F49" s="69">
        <f>IF(LEFT(CT!E44,3)=SC!$F$1,CT!H44,0)</f>
        <v>0</v>
      </c>
      <c r="G49" t="b">
        <f t="shared" si="0"/>
        <v>0</v>
      </c>
    </row>
    <row r="50" spans="1:7" hidden="1" x14ac:dyDescent="0.25">
      <c r="A50" s="84" t="str">
        <f>IF(OR(LEFT(CT!D45,3)=SC!$F$1,LEFT(CT!E45,3)=SC!$F$1),CT!A45,"")</f>
        <v/>
      </c>
      <c r="B50" s="65" t="str">
        <f>IF(OR(LEFT(CT!D45,3)=SC!$F$1,LEFT(CT!E45,3)=SC!$F$1),CT!B45,"")</f>
        <v/>
      </c>
      <c r="C50" s="65" t="str">
        <f>IF(OR(LEFT(CT!D45,3)=SC!$F$1,LEFT(CT!E45,3)=SC!$F$1),CT!C45,"")</f>
        <v/>
      </c>
      <c r="D50" s="65" t="str">
        <f>IF(LEFT(CT!D45,3)=SC!$F$1,LEFT(CT!E45,3), IF(LEFT(CT!E45,3)=SC!$F$1,LEFT(CT!D45,3),""))</f>
        <v/>
      </c>
      <c r="E50" s="69">
        <f>IF(LEFT(CT!D45,3)=SC!$F$1,CT!H45,0)</f>
        <v>0</v>
      </c>
      <c r="F50" s="69">
        <f>IF(LEFT(CT!E45,3)=SC!$F$1,CT!H45,0)</f>
        <v>0</v>
      </c>
      <c r="G50" t="b">
        <f t="shared" si="0"/>
        <v>0</v>
      </c>
    </row>
    <row r="51" spans="1:7" hidden="1" x14ac:dyDescent="0.25">
      <c r="A51" s="84" t="str">
        <f>IF(OR(LEFT(CT!D46,3)=SC!$F$1,LEFT(CT!E46,3)=SC!$F$1),CT!A46,"")</f>
        <v/>
      </c>
      <c r="B51" s="65" t="str">
        <f>IF(OR(LEFT(CT!D46,3)=SC!$F$1,LEFT(CT!E46,3)=SC!$F$1),CT!B46,"")</f>
        <v/>
      </c>
      <c r="C51" s="65" t="str">
        <f>IF(OR(LEFT(CT!D46,3)=SC!$F$1,LEFT(CT!E46,3)=SC!$F$1),CT!C46,"")</f>
        <v/>
      </c>
      <c r="D51" s="65" t="str">
        <f>IF(LEFT(CT!D46,3)=SC!$F$1,LEFT(CT!E46,3), IF(LEFT(CT!E46,3)=SC!$F$1,LEFT(CT!D46,3),""))</f>
        <v/>
      </c>
      <c r="E51" s="69">
        <f>IF(LEFT(CT!D46,3)=SC!$F$1,CT!H46,0)</f>
        <v>0</v>
      </c>
      <c r="F51" s="69">
        <f>IF(LEFT(CT!E46,3)=SC!$F$1,CT!H46,0)</f>
        <v>0</v>
      </c>
      <c r="G51" t="b">
        <f t="shared" si="0"/>
        <v>0</v>
      </c>
    </row>
    <row r="52" spans="1:7" hidden="1" x14ac:dyDescent="0.25">
      <c r="A52" s="84" t="str">
        <f>IF(OR(LEFT(CT!D47,3)=SC!$F$1,LEFT(CT!E47,3)=SC!$F$1),CT!A47,"")</f>
        <v/>
      </c>
      <c r="B52" s="65" t="str">
        <f>IF(OR(LEFT(CT!D47,3)=SC!$F$1,LEFT(CT!E47,3)=SC!$F$1),CT!B47,"")</f>
        <v/>
      </c>
      <c r="C52" s="65" t="str">
        <f>IF(OR(LEFT(CT!D47,3)=SC!$F$1,LEFT(CT!E47,3)=SC!$F$1),CT!C47,"")</f>
        <v/>
      </c>
      <c r="D52" s="65" t="str">
        <f>IF(LEFT(CT!D47,3)=SC!$F$1,LEFT(CT!E47,3), IF(LEFT(CT!E47,3)=SC!$F$1,LEFT(CT!D47,3),""))</f>
        <v/>
      </c>
      <c r="E52" s="69">
        <f>IF(LEFT(CT!D47,3)=SC!$F$1,CT!H47,0)</f>
        <v>0</v>
      </c>
      <c r="F52" s="69">
        <f>IF(LEFT(CT!E47,3)=SC!$F$1,CT!H47,0)</f>
        <v>0</v>
      </c>
      <c r="G52" t="b">
        <f t="shared" si="0"/>
        <v>0</v>
      </c>
    </row>
    <row r="53" spans="1:7" hidden="1" x14ac:dyDescent="0.25">
      <c r="A53" s="84" t="str">
        <f>IF(OR(LEFT(CT!D48,3)=SC!$F$1,LEFT(CT!E48,3)=SC!$F$1),CT!A48,"")</f>
        <v/>
      </c>
      <c r="B53" s="65" t="str">
        <f>IF(OR(LEFT(CT!D48,3)=SC!$F$1,LEFT(CT!E48,3)=SC!$F$1),CT!B48,"")</f>
        <v/>
      </c>
      <c r="C53" s="65" t="str">
        <f>IF(OR(LEFT(CT!D48,3)=SC!$F$1,LEFT(CT!E48,3)=SC!$F$1),CT!C48,"")</f>
        <v/>
      </c>
      <c r="D53" s="65" t="str">
        <f>IF(LEFT(CT!D48,3)=SC!$F$1,LEFT(CT!E48,3), IF(LEFT(CT!E48,3)=SC!$F$1,LEFT(CT!D48,3),""))</f>
        <v/>
      </c>
      <c r="E53" s="69">
        <f>IF(LEFT(CT!D48,3)=SC!$F$1,CT!H48,0)</f>
        <v>0</v>
      </c>
      <c r="F53" s="69">
        <f>IF(LEFT(CT!E48,3)=SC!$F$1,CT!H48,0)</f>
        <v>0</v>
      </c>
      <c r="G53" t="b">
        <f t="shared" si="0"/>
        <v>0</v>
      </c>
    </row>
    <row r="54" spans="1:7" hidden="1" x14ac:dyDescent="0.25">
      <c r="A54" s="84" t="str">
        <f>IF(OR(LEFT(CT!D49,3)=SC!$F$1,LEFT(CT!E49,3)=SC!$F$1),CT!A49,"")</f>
        <v/>
      </c>
      <c r="B54" s="65" t="str">
        <f>IF(OR(LEFT(CT!D49,3)=SC!$F$1,LEFT(CT!E49,3)=SC!$F$1),CT!B49,"")</f>
        <v/>
      </c>
      <c r="C54" s="65" t="str">
        <f>IF(OR(LEFT(CT!D49,3)=SC!$F$1,LEFT(CT!E49,3)=SC!$F$1),CT!C49,"")</f>
        <v/>
      </c>
      <c r="D54" s="65" t="str">
        <f>IF(LEFT(CT!D49,3)=SC!$F$1,LEFT(CT!E49,3), IF(LEFT(CT!E49,3)=SC!$F$1,LEFT(CT!D49,3),""))</f>
        <v/>
      </c>
      <c r="E54" s="69">
        <f>IF(LEFT(CT!D49,3)=SC!$F$1,CT!H49,0)</f>
        <v>0</v>
      </c>
      <c r="F54" s="69">
        <f>IF(LEFT(CT!E49,3)=SC!$F$1,CT!H49,0)</f>
        <v>0</v>
      </c>
      <c r="G54" t="b">
        <f t="shared" si="0"/>
        <v>0</v>
      </c>
    </row>
    <row r="55" spans="1:7" hidden="1" x14ac:dyDescent="0.25">
      <c r="A55" s="84" t="str">
        <f>IF(OR(LEFT(CT!D50,3)=SC!$F$1,LEFT(CT!E50,3)=SC!$F$1),CT!A50,"")</f>
        <v/>
      </c>
      <c r="B55" s="65" t="str">
        <f>IF(OR(LEFT(CT!D50,3)=SC!$F$1,LEFT(CT!E50,3)=SC!$F$1),CT!B50,"")</f>
        <v/>
      </c>
      <c r="C55" s="65" t="str">
        <f>IF(OR(LEFT(CT!D50,3)=SC!$F$1,LEFT(CT!E50,3)=SC!$F$1),CT!C50,"")</f>
        <v/>
      </c>
      <c r="D55" s="65" t="str">
        <f>IF(LEFT(CT!D50,3)=SC!$F$1,LEFT(CT!E50,3), IF(LEFT(CT!E50,3)=SC!$F$1,LEFT(CT!D50,3),""))</f>
        <v/>
      </c>
      <c r="E55" s="69">
        <f>IF(LEFT(CT!D50,3)=SC!$F$1,CT!H50,0)</f>
        <v>0</v>
      </c>
      <c r="F55" s="69">
        <f>IF(LEFT(CT!E50,3)=SC!$F$1,CT!H50,0)</f>
        <v>0</v>
      </c>
      <c r="G55" t="b">
        <f t="shared" si="0"/>
        <v>0</v>
      </c>
    </row>
    <row r="56" spans="1:7" ht="15.6" x14ac:dyDescent="0.3">
      <c r="A56" s="63">
        <f>IF(OR(LEFT(CT!D51,3)=SC!$F$1,LEFT(CT!E51,3)=SC!$F$1),CT!A51,"")</f>
        <v>45319</v>
      </c>
      <c r="B56" s="23" t="str">
        <f>IF(OR(LEFT(CT!D51,3)=SC!$F$1,LEFT(CT!E51,3)=SC!$F$1),CT!B51,"")</f>
        <v>01/TU</v>
      </c>
      <c r="C56" s="23" t="str">
        <f>IF(OR(LEFT(CT!D51,3)=SC!$F$1,LEFT(CT!E51,3)=SC!$F$1),CT!C51,"")</f>
        <v>Thanh toán tạm ứng Hồ Sĩ Nhật</v>
      </c>
      <c r="D56" s="23" t="str">
        <f>IF(LEFT(CT!D51,3)=SC!$F$1,LEFT(CT!E51,3), IF(LEFT(CT!E51,3)=SC!$F$1,LEFT(CT!D51,3),""))</f>
        <v>141</v>
      </c>
      <c r="E56" s="78">
        <f>IF(LEFT(CT!D51,3)=SC!$F$1,CT!H51,0)</f>
        <v>200000</v>
      </c>
      <c r="F56" s="78">
        <f>IF(LEFT(CT!E51,3)=SC!$F$1,CT!H51,0)</f>
        <v>0</v>
      </c>
      <c r="G56" s="3" t="b">
        <f t="shared" si="0"/>
        <v>1</v>
      </c>
    </row>
    <row r="57" spans="1:7" hidden="1" x14ac:dyDescent="0.25">
      <c r="A57" s="84" t="str">
        <f>IF(OR(LEFT(CT!D52,3)=SC!$F$1,LEFT(CT!E52,3)=SC!$F$1),CT!A52,"")</f>
        <v/>
      </c>
      <c r="B57" s="65" t="str">
        <f>IF(OR(LEFT(CT!D52,3)=SC!$F$1,LEFT(CT!E52,3)=SC!$F$1),CT!B52,"")</f>
        <v/>
      </c>
      <c r="C57" s="65" t="str">
        <f>IF(OR(LEFT(CT!D52,3)=SC!$F$1,LEFT(CT!E52,3)=SC!$F$1),CT!C52,"")</f>
        <v/>
      </c>
      <c r="D57" s="65" t="str">
        <f>IF(LEFT(CT!D52,3)=SC!$F$1,LEFT(CT!E52,3), IF(LEFT(CT!E52,3)=SC!$F$1,LEFT(CT!D52,3),""))</f>
        <v/>
      </c>
      <c r="E57" s="69">
        <f>IF(LEFT(CT!D52,3)=SC!$F$1,CT!H52,0)</f>
        <v>0</v>
      </c>
      <c r="F57" s="69">
        <f>IF(LEFT(CT!E52,3)=SC!$F$1,CT!H52,0)</f>
        <v>0</v>
      </c>
      <c r="G57" t="b">
        <f t="shared" si="0"/>
        <v>0</v>
      </c>
    </row>
    <row r="58" spans="1:7" ht="15.6" x14ac:dyDescent="0.3">
      <c r="A58" s="63">
        <f>IF(OR(LEFT(CT!D53,3)=SC!$F$1,LEFT(CT!E53,3)=SC!$F$1),CT!A53,"")</f>
        <v>45319</v>
      </c>
      <c r="B58" s="23" t="str">
        <f>IF(OR(LEFT(CT!D53,3)=SC!$F$1,LEFT(CT!E53,3)=SC!$F$1),CT!B53,"")</f>
        <v>04/PC</v>
      </c>
      <c r="C58" s="23" t="str">
        <f>IF(OR(LEFT(CT!D53,3)=SC!$F$1,LEFT(CT!E53,3)=SC!$F$1),CT!C53,"")</f>
        <v>Thuế GTGT mua máy xẻ gỗ</v>
      </c>
      <c r="D58" s="23" t="str">
        <f>IF(LEFT(CT!D53,3)=SC!$F$1,LEFT(CT!E53,3), IF(LEFT(CT!E53,3)=SC!$F$1,LEFT(CT!D53,3),""))</f>
        <v>133</v>
      </c>
      <c r="E58" s="78">
        <f>IF(LEFT(CT!D53,3)=SC!$F$1,CT!H53,0)</f>
        <v>0</v>
      </c>
      <c r="F58" s="78">
        <f>IF(LEFT(CT!E53,3)=SC!$F$1,CT!H53,0)</f>
        <v>14000000</v>
      </c>
      <c r="G58" s="3" t="b">
        <f t="shared" si="0"/>
        <v>1</v>
      </c>
    </row>
    <row r="59" spans="1:7" ht="15.6" x14ac:dyDescent="0.3">
      <c r="A59" s="63">
        <f>IF(OR(LEFT(CT!D54,3)=SC!$F$1,LEFT(CT!E54,3)=SC!$F$1),CT!A54,"")</f>
        <v>45319</v>
      </c>
      <c r="B59" s="23" t="str">
        <f>IF(OR(LEFT(CT!D54,3)=SC!$F$1,LEFT(CT!E54,3)=SC!$F$1),CT!B54,"")</f>
        <v>04/PC</v>
      </c>
      <c r="C59" s="23" t="str">
        <f>IF(OR(LEFT(CT!D54,3)=SC!$F$1,LEFT(CT!E54,3)=SC!$F$1),CT!C54,"")</f>
        <v>Mua máy xẻ gỗ</v>
      </c>
      <c r="D59" s="23" t="str">
        <f>IF(LEFT(CT!D54,3)=SC!$F$1,LEFT(CT!E54,3), IF(LEFT(CT!E54,3)=SC!$F$1,LEFT(CT!D54,3),""))</f>
        <v>211</v>
      </c>
      <c r="E59" s="78">
        <f>IF(LEFT(CT!D54,3)=SC!$F$1,CT!H54,0)</f>
        <v>0</v>
      </c>
      <c r="F59" s="78">
        <f>IF(LEFT(CT!E54,3)=SC!$F$1,CT!H54,0)</f>
        <v>140000000</v>
      </c>
      <c r="G59" s="3" t="b">
        <f t="shared" si="0"/>
        <v>1</v>
      </c>
    </row>
    <row r="60" spans="1:7" hidden="1" x14ac:dyDescent="0.25">
      <c r="A60" s="84" t="str">
        <f>IF(OR(LEFT(CT!D55,3)=SC!$F$1,LEFT(CT!E55,3)=SC!$F$1),CT!A55,"")</f>
        <v/>
      </c>
      <c r="B60" s="65" t="str">
        <f>IF(OR(LEFT(CT!D55,3)=SC!$F$1,LEFT(CT!E55,3)=SC!$F$1),CT!B55,"")</f>
        <v/>
      </c>
      <c r="C60" s="65" t="str">
        <f>IF(OR(LEFT(CT!D55,3)=SC!$F$1,LEFT(CT!E55,3)=SC!$F$1),CT!C55,"")</f>
        <v/>
      </c>
      <c r="D60" s="65" t="str">
        <f>IF(LEFT(CT!D55,3)=SC!$F$1,LEFT(CT!E55,3), IF(LEFT(CT!E55,3)=SC!$F$1,LEFT(CT!D55,3),""))</f>
        <v/>
      </c>
      <c r="E60" s="69">
        <f>IF(LEFT(CT!D55,3)=SC!$F$1,CT!H55,0)</f>
        <v>0</v>
      </c>
      <c r="F60" s="69">
        <f>IF(LEFT(CT!E55,3)=SC!$F$1,CT!H55,0)</f>
        <v>0</v>
      </c>
      <c r="G60" t="b">
        <f t="shared" si="0"/>
        <v>0</v>
      </c>
    </row>
    <row r="61" spans="1:7" hidden="1" x14ac:dyDescent="0.25">
      <c r="A61" s="84" t="str">
        <f>IF(OR(LEFT(CT!D56,3)=SC!$F$1,LEFT(CT!E56,3)=SC!$F$1),CT!A56,"")</f>
        <v/>
      </c>
      <c r="B61" s="65" t="str">
        <f>IF(OR(LEFT(CT!D56,3)=SC!$F$1,LEFT(CT!E56,3)=SC!$F$1),CT!B56,"")</f>
        <v/>
      </c>
      <c r="C61" s="65" t="str">
        <f>IF(OR(LEFT(CT!D56,3)=SC!$F$1,LEFT(CT!E56,3)=SC!$F$1),CT!C56,"")</f>
        <v/>
      </c>
      <c r="D61" s="65" t="str">
        <f>IF(LEFT(CT!D56,3)=SC!$F$1,LEFT(CT!E56,3), IF(LEFT(CT!E56,3)=SC!$F$1,LEFT(CT!D56,3),""))</f>
        <v/>
      </c>
      <c r="E61" s="69">
        <f>IF(LEFT(CT!D56,3)=SC!$F$1,CT!H56,0)</f>
        <v>0</v>
      </c>
      <c r="F61" s="69">
        <f>IF(LEFT(CT!E56,3)=SC!$F$1,CT!H56,0)</f>
        <v>0</v>
      </c>
      <c r="G61" t="b">
        <f t="shared" si="0"/>
        <v>0</v>
      </c>
    </row>
    <row r="62" spans="1:7" hidden="1" x14ac:dyDescent="0.25">
      <c r="A62" s="84" t="str">
        <f>IF(OR(LEFT(CT!D57,3)=SC!$F$1,LEFT(CT!E57,3)=SC!$F$1),CT!A57,"")</f>
        <v/>
      </c>
      <c r="B62" s="65" t="str">
        <f>IF(OR(LEFT(CT!D57,3)=SC!$F$1,LEFT(CT!E57,3)=SC!$F$1),CT!B57,"")</f>
        <v/>
      </c>
      <c r="C62" s="65" t="str">
        <f>IF(OR(LEFT(CT!D57,3)=SC!$F$1,LEFT(CT!E57,3)=SC!$F$1),CT!C57,"")</f>
        <v/>
      </c>
      <c r="D62" s="65" t="str">
        <f>IF(LEFT(CT!D57,3)=SC!$F$1,LEFT(CT!E57,3), IF(LEFT(CT!E57,3)=SC!$F$1,LEFT(CT!D57,3),""))</f>
        <v/>
      </c>
      <c r="E62" s="69">
        <f>IF(LEFT(CT!D57,3)=SC!$F$1,CT!H57,0)</f>
        <v>0</v>
      </c>
      <c r="F62" s="69">
        <f>IF(LEFT(CT!E57,3)=SC!$F$1,CT!H57,0)</f>
        <v>0</v>
      </c>
      <c r="G62" t="b">
        <f t="shared" si="0"/>
        <v>0</v>
      </c>
    </row>
    <row r="63" spans="1:7" hidden="1" x14ac:dyDescent="0.25">
      <c r="A63" s="84" t="str">
        <f>IF(OR(LEFT(CT!D58,3)=SC!$F$1,LEFT(CT!E58,3)=SC!$F$1),CT!A58,"")</f>
        <v/>
      </c>
      <c r="B63" s="65" t="str">
        <f>IF(OR(LEFT(CT!D58,3)=SC!$F$1,LEFT(CT!E58,3)=SC!$F$1),CT!B58,"")</f>
        <v/>
      </c>
      <c r="C63" s="65" t="str">
        <f>IF(OR(LEFT(CT!D58,3)=SC!$F$1,LEFT(CT!E58,3)=SC!$F$1),CT!C58,"")</f>
        <v/>
      </c>
      <c r="D63" s="65" t="str">
        <f>IF(LEFT(CT!D58,3)=SC!$F$1,LEFT(CT!E58,3), IF(LEFT(CT!E58,3)=SC!$F$1,LEFT(CT!D58,3),""))</f>
        <v/>
      </c>
      <c r="E63" s="69">
        <f>IF(LEFT(CT!D58,3)=SC!$F$1,CT!H58,0)</f>
        <v>0</v>
      </c>
      <c r="F63" s="69">
        <f>IF(LEFT(CT!E58,3)=SC!$F$1,CT!H58,0)</f>
        <v>0</v>
      </c>
      <c r="G63" t="b">
        <f t="shared" si="0"/>
        <v>0</v>
      </c>
    </row>
    <row r="64" spans="1:7" hidden="1" x14ac:dyDescent="0.25">
      <c r="A64" s="84" t="str">
        <f>IF(OR(LEFT(CT!D59,3)=SC!$F$1,LEFT(CT!E59,3)=SC!$F$1),CT!A59,"")</f>
        <v/>
      </c>
      <c r="B64" s="65" t="str">
        <f>IF(OR(LEFT(CT!D59,3)=SC!$F$1,LEFT(CT!E59,3)=SC!$F$1),CT!B59,"")</f>
        <v/>
      </c>
      <c r="C64" s="65" t="str">
        <f>IF(OR(LEFT(CT!D59,3)=SC!$F$1,LEFT(CT!E59,3)=SC!$F$1),CT!C59,"")</f>
        <v/>
      </c>
      <c r="D64" s="65" t="str">
        <f>IF(LEFT(CT!D59,3)=SC!$F$1,LEFT(CT!E59,3), IF(LEFT(CT!E59,3)=SC!$F$1,LEFT(CT!D59,3),""))</f>
        <v/>
      </c>
      <c r="E64" s="69">
        <f>IF(LEFT(CT!D59,3)=SC!$F$1,CT!H59,0)</f>
        <v>0</v>
      </c>
      <c r="F64" s="69">
        <f>IF(LEFT(CT!E59,3)=SC!$F$1,CT!H59,0)</f>
        <v>0</v>
      </c>
      <c r="G64" t="b">
        <f t="shared" si="0"/>
        <v>0</v>
      </c>
    </row>
    <row r="65" spans="1:7" hidden="1" x14ac:dyDescent="0.25">
      <c r="A65" s="84" t="str">
        <f>IF(OR(LEFT(CT!D60,3)=SC!$F$1,LEFT(CT!E60,3)=SC!$F$1),CT!A60,"")</f>
        <v/>
      </c>
      <c r="B65" s="65" t="str">
        <f>IF(OR(LEFT(CT!D60,3)=SC!$F$1,LEFT(CT!E60,3)=SC!$F$1),CT!B60,"")</f>
        <v/>
      </c>
      <c r="C65" s="65" t="str">
        <f>IF(OR(LEFT(CT!D60,3)=SC!$F$1,LEFT(CT!E60,3)=SC!$F$1),CT!C60,"")</f>
        <v/>
      </c>
      <c r="D65" s="65" t="str">
        <f>IF(LEFT(CT!D60,3)=SC!$F$1,LEFT(CT!E60,3), IF(LEFT(CT!E60,3)=SC!$F$1,LEFT(CT!D60,3),""))</f>
        <v/>
      </c>
      <c r="E65" s="69">
        <f>IF(LEFT(CT!D60,3)=SC!$F$1,CT!H60,0)</f>
        <v>0</v>
      </c>
      <c r="F65" s="69">
        <f>IF(LEFT(CT!E60,3)=SC!$F$1,CT!H60,0)</f>
        <v>0</v>
      </c>
      <c r="G65" t="b">
        <f t="shared" si="0"/>
        <v>0</v>
      </c>
    </row>
    <row r="66" spans="1:7" hidden="1" x14ac:dyDescent="0.25">
      <c r="A66" s="84" t="str">
        <f>IF(OR(LEFT(CT!D61,3)=SC!$F$1,LEFT(CT!E61,3)=SC!$F$1),CT!A61,"")</f>
        <v/>
      </c>
      <c r="B66" s="65" t="str">
        <f>IF(OR(LEFT(CT!D61,3)=SC!$F$1,LEFT(CT!E61,3)=SC!$F$1),CT!B61,"")</f>
        <v/>
      </c>
      <c r="C66" s="65" t="str">
        <f>IF(OR(LEFT(CT!D61,3)=SC!$F$1,LEFT(CT!E61,3)=SC!$F$1),CT!C61,"")</f>
        <v/>
      </c>
      <c r="D66" s="65" t="str">
        <f>IF(LEFT(CT!D61,3)=SC!$F$1,LEFT(CT!E61,3), IF(LEFT(CT!E61,3)=SC!$F$1,LEFT(CT!D61,3),""))</f>
        <v/>
      </c>
      <c r="E66" s="69">
        <f>IF(LEFT(CT!D61,3)=SC!$F$1,CT!H61,0)</f>
        <v>0</v>
      </c>
      <c r="F66" s="69">
        <f>IF(LEFT(CT!E61,3)=SC!$F$1,CT!H61,0)</f>
        <v>0</v>
      </c>
      <c r="G66" t="b">
        <f t="shared" si="0"/>
        <v>0</v>
      </c>
    </row>
    <row r="67" spans="1:7" hidden="1" x14ac:dyDescent="0.25">
      <c r="A67" s="84" t="str">
        <f>IF(OR(LEFT(CT!D62,3)=SC!$F$1,LEFT(CT!E62,3)=SC!$F$1),CT!A62,"")</f>
        <v/>
      </c>
      <c r="B67" s="65" t="str">
        <f>IF(OR(LEFT(CT!D62,3)=SC!$F$1,LEFT(CT!E62,3)=SC!$F$1),CT!B62,"")</f>
        <v/>
      </c>
      <c r="C67" s="65" t="str">
        <f>IF(OR(LEFT(CT!D62,3)=SC!$F$1,LEFT(CT!E62,3)=SC!$F$1),CT!C62,"")</f>
        <v/>
      </c>
      <c r="D67" s="65" t="str">
        <f>IF(LEFT(CT!D62,3)=SC!$F$1,LEFT(CT!E62,3), IF(LEFT(CT!E62,3)=SC!$F$1,LEFT(CT!D62,3),""))</f>
        <v/>
      </c>
      <c r="E67" s="69">
        <f>IF(LEFT(CT!D62,3)=SC!$F$1,CT!H62,0)</f>
        <v>0</v>
      </c>
      <c r="F67" s="69">
        <f>IF(LEFT(CT!E62,3)=SC!$F$1,CT!H62,0)</f>
        <v>0</v>
      </c>
      <c r="G67" t="b">
        <f t="shared" si="0"/>
        <v>0</v>
      </c>
    </row>
    <row r="68" spans="1:7" hidden="1" x14ac:dyDescent="0.25">
      <c r="A68" s="84" t="str">
        <f>IF(OR(LEFT(CT!D63,3)=SC!$F$1,LEFT(CT!E63,3)=SC!$F$1),CT!A63,"")</f>
        <v/>
      </c>
      <c r="B68" s="65" t="str">
        <f>IF(OR(LEFT(CT!D63,3)=SC!$F$1,LEFT(CT!E63,3)=SC!$F$1),CT!B63,"")</f>
        <v/>
      </c>
      <c r="C68" s="65" t="str">
        <f>IF(OR(LEFT(CT!D63,3)=SC!$F$1,LEFT(CT!E63,3)=SC!$F$1),CT!C63,"")</f>
        <v/>
      </c>
      <c r="D68" s="65" t="str">
        <f>IF(LEFT(CT!D63,3)=SC!$F$1,LEFT(CT!E63,3), IF(LEFT(CT!E63,3)=SC!$F$1,LEFT(CT!D63,3),""))</f>
        <v/>
      </c>
      <c r="E68" s="69">
        <f>IF(LEFT(CT!D63,3)=SC!$F$1,CT!H63,0)</f>
        <v>0</v>
      </c>
      <c r="F68" s="69">
        <f>IF(LEFT(CT!E63,3)=SC!$F$1,CT!H63,0)</f>
        <v>0</v>
      </c>
      <c r="G68" t="b">
        <f t="shared" si="0"/>
        <v>0</v>
      </c>
    </row>
    <row r="69" spans="1:7" hidden="1" x14ac:dyDescent="0.25">
      <c r="A69" s="84" t="str">
        <f>IF(OR(LEFT(CT!D64,3)=SC!$F$1,LEFT(CT!E64,3)=SC!$F$1),CT!A64,"")</f>
        <v/>
      </c>
      <c r="B69" s="65" t="str">
        <f>IF(OR(LEFT(CT!D64,3)=SC!$F$1,LEFT(CT!E64,3)=SC!$F$1),CT!B64,"")</f>
        <v/>
      </c>
      <c r="C69" s="65" t="str">
        <f>IF(OR(LEFT(CT!D64,3)=SC!$F$1,LEFT(CT!E64,3)=SC!$F$1),CT!C64,"")</f>
        <v/>
      </c>
      <c r="D69" s="65" t="str">
        <f>IF(LEFT(CT!D64,3)=SC!$F$1,LEFT(CT!E64,3), IF(LEFT(CT!E64,3)=SC!$F$1,LEFT(CT!D64,3),""))</f>
        <v/>
      </c>
      <c r="E69" s="69">
        <f>IF(LEFT(CT!D64,3)=SC!$F$1,CT!H64,0)</f>
        <v>0</v>
      </c>
      <c r="F69" s="69">
        <f>IF(LEFT(CT!E64,3)=SC!$F$1,CT!H64,0)</f>
        <v>0</v>
      </c>
      <c r="G69" t="b">
        <f t="shared" si="0"/>
        <v>0</v>
      </c>
    </row>
    <row r="70" spans="1:7" hidden="1" x14ac:dyDescent="0.25">
      <c r="A70" s="84" t="str">
        <f>IF(OR(LEFT(CT!D65,3)=SC!$F$1,LEFT(CT!E65,3)=SC!$F$1),CT!A65,"")</f>
        <v/>
      </c>
      <c r="B70" s="65" t="str">
        <f>IF(OR(LEFT(CT!D65,3)=SC!$F$1,LEFT(CT!E65,3)=SC!$F$1),CT!B65,"")</f>
        <v/>
      </c>
      <c r="C70" s="65" t="str">
        <f>IF(OR(LEFT(CT!D65,3)=SC!$F$1,LEFT(CT!E65,3)=SC!$F$1),CT!C65,"")</f>
        <v/>
      </c>
      <c r="D70" s="65" t="str">
        <f>IF(LEFT(CT!D65,3)=SC!$F$1,LEFT(CT!E65,3), IF(LEFT(CT!E65,3)=SC!$F$1,LEFT(CT!D65,3),""))</f>
        <v/>
      </c>
      <c r="E70" s="69">
        <f>IF(LEFT(CT!D65,3)=SC!$F$1,CT!H65,0)</f>
        <v>0</v>
      </c>
      <c r="F70" s="69">
        <f>IF(LEFT(CT!E65,3)=SC!$F$1,CT!H65,0)</f>
        <v>0</v>
      </c>
      <c r="G70" t="b">
        <f t="shared" si="0"/>
        <v>0</v>
      </c>
    </row>
    <row r="71" spans="1:7" hidden="1" x14ac:dyDescent="0.25">
      <c r="A71" s="84" t="str">
        <f>IF(OR(LEFT(CT!D66,3)=SC!$F$1,LEFT(CT!E66,3)=SC!$F$1),CT!A66,"")</f>
        <v/>
      </c>
      <c r="B71" s="65" t="str">
        <f>IF(OR(LEFT(CT!D66,3)=SC!$F$1,LEFT(CT!E66,3)=SC!$F$1),CT!B66,"")</f>
        <v/>
      </c>
      <c r="C71" s="65" t="str">
        <f>IF(OR(LEFT(CT!D66,3)=SC!$F$1,LEFT(CT!E66,3)=SC!$F$1),CT!C66,"")</f>
        <v/>
      </c>
      <c r="D71" s="65" t="str">
        <f>IF(LEFT(CT!D66,3)=SC!$F$1,LEFT(CT!E66,3), IF(LEFT(CT!E66,3)=SC!$F$1,LEFT(CT!D66,3),""))</f>
        <v/>
      </c>
      <c r="E71" s="69">
        <f>IF(LEFT(CT!D66,3)=SC!$F$1,CT!H66,0)</f>
        <v>0</v>
      </c>
      <c r="F71" s="69">
        <f>IF(LEFT(CT!E66,3)=SC!$F$1,CT!H66,0)</f>
        <v>0</v>
      </c>
      <c r="G71" t="b">
        <f t="shared" si="0"/>
        <v>0</v>
      </c>
    </row>
    <row r="72" spans="1:7" hidden="1" x14ac:dyDescent="0.25">
      <c r="A72" s="84" t="str">
        <f>IF(OR(LEFT(CT!D67,3)=SC!$F$1,LEFT(CT!E67,3)=SC!$F$1),CT!A67,"")</f>
        <v/>
      </c>
      <c r="B72" s="65" t="str">
        <f>IF(OR(LEFT(CT!D67,3)=SC!$F$1,LEFT(CT!E67,3)=SC!$F$1),CT!B67,"")</f>
        <v/>
      </c>
      <c r="C72" s="65" t="str">
        <f>IF(OR(LEFT(CT!D67,3)=SC!$F$1,LEFT(CT!E67,3)=SC!$F$1),CT!C67,"")</f>
        <v/>
      </c>
      <c r="D72" s="65" t="str">
        <f>IF(LEFT(CT!D67,3)=SC!$F$1,LEFT(CT!E67,3), IF(LEFT(CT!E67,3)=SC!$F$1,LEFT(CT!D67,3),""))</f>
        <v/>
      </c>
      <c r="E72" s="69">
        <f>IF(LEFT(CT!D67,3)=SC!$F$1,CT!H67,0)</f>
        <v>0</v>
      </c>
      <c r="F72" s="69">
        <f>IF(LEFT(CT!E67,3)=SC!$F$1,CT!H67,0)</f>
        <v>0</v>
      </c>
      <c r="G72" t="b">
        <f t="shared" si="0"/>
        <v>0</v>
      </c>
    </row>
    <row r="73" spans="1:7" hidden="1" x14ac:dyDescent="0.25">
      <c r="A73" s="84" t="str">
        <f>IF(OR(LEFT(CT!D68,3)=SC!$F$1,LEFT(CT!E68,3)=SC!$F$1),CT!A68,"")</f>
        <v/>
      </c>
      <c r="B73" s="65" t="str">
        <f>IF(OR(LEFT(CT!D68,3)=SC!$F$1,LEFT(CT!E68,3)=SC!$F$1),CT!B68,"")</f>
        <v/>
      </c>
      <c r="C73" s="65" t="str">
        <f>IF(OR(LEFT(CT!D68,3)=SC!$F$1,LEFT(CT!E68,3)=SC!$F$1),CT!C68,"")</f>
        <v/>
      </c>
      <c r="D73" s="65" t="str">
        <f>IF(LEFT(CT!D68,3)=SC!$F$1,LEFT(CT!E68,3), IF(LEFT(CT!E68,3)=SC!$F$1,LEFT(CT!D68,3),""))</f>
        <v/>
      </c>
      <c r="E73" s="69">
        <f>IF(LEFT(CT!D68,3)=SC!$F$1,CT!H68,0)</f>
        <v>0</v>
      </c>
      <c r="F73" s="69">
        <f>IF(LEFT(CT!E68,3)=SC!$F$1,CT!H68,0)</f>
        <v>0</v>
      </c>
      <c r="G73" t="b">
        <f t="shared" si="0"/>
        <v>0</v>
      </c>
    </row>
    <row r="74" spans="1:7" hidden="1" x14ac:dyDescent="0.25">
      <c r="A74" s="84" t="str">
        <f>IF(OR(LEFT(CT!D69,3)=SC!$F$1,LEFT(CT!E69,3)=SC!$F$1),CT!A69,"")</f>
        <v/>
      </c>
      <c r="B74" s="65" t="str">
        <f>IF(OR(LEFT(CT!D69,3)=SC!$F$1,LEFT(CT!E69,3)=SC!$F$1),CT!B69,"")</f>
        <v/>
      </c>
      <c r="C74" s="65" t="str">
        <f>IF(OR(LEFT(CT!D69,3)=SC!$F$1,LEFT(CT!E69,3)=SC!$F$1),CT!C69,"")</f>
        <v/>
      </c>
      <c r="D74" s="65" t="str">
        <f>IF(LEFT(CT!D69,3)=SC!$F$1,LEFT(CT!E69,3), IF(LEFT(CT!E69,3)=SC!$F$1,LEFT(CT!D69,3),""))</f>
        <v/>
      </c>
      <c r="E74" s="69">
        <f>IF(LEFT(CT!D69,3)=SC!$F$1,CT!H69,0)</f>
        <v>0</v>
      </c>
      <c r="F74" s="69">
        <f>IF(LEFT(CT!E69,3)=SC!$F$1,CT!H69,0)</f>
        <v>0</v>
      </c>
      <c r="G74" t="b">
        <f t="shared" si="0"/>
        <v>0</v>
      </c>
    </row>
    <row r="75" spans="1:7" hidden="1" x14ac:dyDescent="0.25">
      <c r="A75" s="84" t="str">
        <f>IF(OR(LEFT(CT!D70,3)=SC!$F$1,LEFT(CT!E70,3)=SC!$F$1),CT!A70,"")</f>
        <v/>
      </c>
      <c r="B75" s="65" t="str">
        <f>IF(OR(LEFT(CT!D70,3)=SC!$F$1,LEFT(CT!E70,3)=SC!$F$1),CT!B70,"")</f>
        <v/>
      </c>
      <c r="C75" s="65" t="str">
        <f>IF(OR(LEFT(CT!D70,3)=SC!$F$1,LEFT(CT!E70,3)=SC!$F$1),CT!C70,"")</f>
        <v/>
      </c>
      <c r="D75" s="65" t="str">
        <f>IF(LEFT(CT!D70,3)=SC!$F$1,LEFT(CT!E70,3), IF(LEFT(CT!E70,3)=SC!$F$1,LEFT(CT!D70,3),""))</f>
        <v/>
      </c>
      <c r="E75" s="69">
        <f>IF(LEFT(CT!D70,3)=SC!$F$1,CT!H70,0)</f>
        <v>0</v>
      </c>
      <c r="F75" s="69">
        <f>IF(LEFT(CT!E70,3)=SC!$F$1,CT!H70,0)</f>
        <v>0</v>
      </c>
      <c r="G75" t="b">
        <f t="shared" ref="G75:G138" si="1">AND(A75&gt;=$D$3,A75&lt;=$F$3)</f>
        <v>0</v>
      </c>
    </row>
    <row r="76" spans="1:7" hidden="1" x14ac:dyDescent="0.25">
      <c r="A76" s="84" t="str">
        <f>IF(OR(LEFT(CT!D71,3)=SC!$F$1,LEFT(CT!E71,3)=SC!$F$1),CT!A71,"")</f>
        <v/>
      </c>
      <c r="B76" s="65" t="str">
        <f>IF(OR(LEFT(CT!D71,3)=SC!$F$1,LEFT(CT!E71,3)=SC!$F$1),CT!B71,"")</f>
        <v/>
      </c>
      <c r="C76" s="65" t="str">
        <f>IF(OR(LEFT(CT!D71,3)=SC!$F$1,LEFT(CT!E71,3)=SC!$F$1),CT!C71,"")</f>
        <v/>
      </c>
      <c r="D76" s="65" t="str">
        <f>IF(LEFT(CT!D71,3)=SC!$F$1,LEFT(CT!E71,3), IF(LEFT(CT!E71,3)=SC!$F$1,LEFT(CT!D71,3),""))</f>
        <v/>
      </c>
      <c r="E76" s="69">
        <f>IF(LEFT(CT!D71,3)=SC!$F$1,CT!H71,0)</f>
        <v>0</v>
      </c>
      <c r="F76" s="69">
        <f>IF(LEFT(CT!E71,3)=SC!$F$1,CT!H71,0)</f>
        <v>0</v>
      </c>
      <c r="G76" t="b">
        <f t="shared" si="1"/>
        <v>0</v>
      </c>
    </row>
    <row r="77" spans="1:7" hidden="1" x14ac:dyDescent="0.25">
      <c r="A77" s="84" t="str">
        <f>IF(OR(LEFT(CT!D72,3)=SC!$F$1,LEFT(CT!E72,3)=SC!$F$1),CT!A72,"")</f>
        <v/>
      </c>
      <c r="B77" s="65" t="str">
        <f>IF(OR(LEFT(CT!D72,3)=SC!$F$1,LEFT(CT!E72,3)=SC!$F$1),CT!B72,"")</f>
        <v/>
      </c>
      <c r="C77" s="65" t="str">
        <f>IF(OR(LEFT(CT!D72,3)=SC!$F$1,LEFT(CT!E72,3)=SC!$F$1),CT!C72,"")</f>
        <v/>
      </c>
      <c r="D77" s="65" t="str">
        <f>IF(LEFT(CT!D72,3)=SC!$F$1,LEFT(CT!E72,3), IF(LEFT(CT!E72,3)=SC!$F$1,LEFT(CT!D72,3),""))</f>
        <v/>
      </c>
      <c r="E77" s="69">
        <f>IF(LEFT(CT!D72,3)=SC!$F$1,CT!H72,0)</f>
        <v>0</v>
      </c>
      <c r="F77" s="69">
        <f>IF(LEFT(CT!E72,3)=SC!$F$1,CT!H72,0)</f>
        <v>0</v>
      </c>
      <c r="G77" t="b">
        <f t="shared" si="1"/>
        <v>0</v>
      </c>
    </row>
    <row r="78" spans="1:7" hidden="1" x14ac:dyDescent="0.25">
      <c r="A78" s="84" t="str">
        <f>IF(OR(LEFT(CT!D73,3)=SC!$F$1,LEFT(CT!E73,3)=SC!$F$1),CT!A73,"")</f>
        <v/>
      </c>
      <c r="B78" s="65" t="str">
        <f>IF(OR(LEFT(CT!D73,3)=SC!$F$1,LEFT(CT!E73,3)=SC!$F$1),CT!B73,"")</f>
        <v/>
      </c>
      <c r="C78" s="65" t="str">
        <f>IF(OR(LEFT(CT!D73,3)=SC!$F$1,LEFT(CT!E73,3)=SC!$F$1),CT!C73,"")</f>
        <v/>
      </c>
      <c r="D78" s="65" t="str">
        <f>IF(LEFT(CT!D73,3)=SC!$F$1,LEFT(CT!E73,3), IF(LEFT(CT!E73,3)=SC!$F$1,LEFT(CT!D73,3),""))</f>
        <v/>
      </c>
      <c r="E78" s="69">
        <f>IF(LEFT(CT!D73,3)=SC!$F$1,CT!H73,0)</f>
        <v>0</v>
      </c>
      <c r="F78" s="69">
        <f>IF(LEFT(CT!E73,3)=SC!$F$1,CT!H73,0)</f>
        <v>0</v>
      </c>
      <c r="G78" t="b">
        <f t="shared" si="1"/>
        <v>0</v>
      </c>
    </row>
    <row r="79" spans="1:7" hidden="1" x14ac:dyDescent="0.25">
      <c r="A79" s="84" t="str">
        <f>IF(OR(LEFT(CT!D74,3)=SC!$F$1,LEFT(CT!E74,3)=SC!$F$1),CT!A74,"")</f>
        <v/>
      </c>
      <c r="B79" s="65" t="str">
        <f>IF(OR(LEFT(CT!D74,3)=SC!$F$1,LEFT(CT!E74,3)=SC!$F$1),CT!B74,"")</f>
        <v/>
      </c>
      <c r="C79" s="65" t="str">
        <f>IF(OR(LEFT(CT!D74,3)=SC!$F$1,LEFT(CT!E74,3)=SC!$F$1),CT!C74,"")</f>
        <v/>
      </c>
      <c r="D79" s="65" t="str">
        <f>IF(LEFT(CT!D74,3)=SC!$F$1,LEFT(CT!E74,3), IF(LEFT(CT!E74,3)=SC!$F$1,LEFT(CT!D74,3),""))</f>
        <v/>
      </c>
      <c r="E79" s="69">
        <f>IF(LEFT(CT!D74,3)=SC!$F$1,CT!H74,0)</f>
        <v>0</v>
      </c>
      <c r="F79" s="69">
        <f>IF(LEFT(CT!E74,3)=SC!$F$1,CT!H74,0)</f>
        <v>0</v>
      </c>
      <c r="G79" t="b">
        <f t="shared" si="1"/>
        <v>0</v>
      </c>
    </row>
    <row r="80" spans="1:7" hidden="1" x14ac:dyDescent="0.25">
      <c r="A80" s="84" t="str">
        <f>IF(OR(LEFT(CT!D75,3)=SC!$F$1,LEFT(CT!E75,3)=SC!$F$1),CT!A75,"")</f>
        <v/>
      </c>
      <c r="B80" s="65" t="str">
        <f>IF(OR(LEFT(CT!D75,3)=SC!$F$1,LEFT(CT!E75,3)=SC!$F$1),CT!B75,"")</f>
        <v/>
      </c>
      <c r="C80" s="65" t="str">
        <f>IF(OR(LEFT(CT!D75,3)=SC!$F$1,LEFT(CT!E75,3)=SC!$F$1),CT!C75,"")</f>
        <v/>
      </c>
      <c r="D80" s="65" t="str">
        <f>IF(LEFT(CT!D75,3)=SC!$F$1,LEFT(CT!E75,3), IF(LEFT(CT!E75,3)=SC!$F$1,LEFT(CT!D75,3),""))</f>
        <v/>
      </c>
      <c r="E80" s="69">
        <f>IF(LEFT(CT!D75,3)=SC!$F$1,CT!H75,0)</f>
        <v>0</v>
      </c>
      <c r="F80" s="69">
        <f>IF(LEFT(CT!E75,3)=SC!$F$1,CT!H75,0)</f>
        <v>0</v>
      </c>
      <c r="G80" t="b">
        <f t="shared" si="1"/>
        <v>0</v>
      </c>
    </row>
    <row r="81" spans="1:7" hidden="1" x14ac:dyDescent="0.25">
      <c r="A81" s="84" t="str">
        <f>IF(OR(LEFT(CT!D76,3)=SC!$F$1,LEFT(CT!E76,3)=SC!$F$1),CT!A76,"")</f>
        <v/>
      </c>
      <c r="B81" s="65" t="str">
        <f>IF(OR(LEFT(CT!D76,3)=SC!$F$1,LEFT(CT!E76,3)=SC!$F$1),CT!B76,"")</f>
        <v/>
      </c>
      <c r="C81" s="65" t="str">
        <f>IF(OR(LEFT(CT!D76,3)=SC!$F$1,LEFT(CT!E76,3)=SC!$F$1),CT!C76,"")</f>
        <v/>
      </c>
      <c r="D81" s="65" t="str">
        <f>IF(LEFT(CT!D76,3)=SC!$F$1,LEFT(CT!E76,3), IF(LEFT(CT!E76,3)=SC!$F$1,LEFT(CT!D76,3),""))</f>
        <v/>
      </c>
      <c r="E81" s="69">
        <f>IF(LEFT(CT!D76,3)=SC!$F$1,CT!H76,0)</f>
        <v>0</v>
      </c>
      <c r="F81" s="69">
        <f>IF(LEFT(CT!E76,3)=SC!$F$1,CT!H76,0)</f>
        <v>0</v>
      </c>
      <c r="G81" t="b">
        <f t="shared" si="1"/>
        <v>0</v>
      </c>
    </row>
    <row r="82" spans="1:7" hidden="1" x14ac:dyDescent="0.25">
      <c r="A82" s="84" t="str">
        <f>IF(OR(LEFT(CT!D77,3)=SC!$F$1,LEFT(CT!E77,3)=SC!$F$1),CT!A77,"")</f>
        <v/>
      </c>
      <c r="B82" s="65" t="str">
        <f>IF(OR(LEFT(CT!D77,3)=SC!$F$1,LEFT(CT!E77,3)=SC!$F$1),CT!B77,"")</f>
        <v/>
      </c>
      <c r="C82" s="65" t="str">
        <f>IF(OR(LEFT(CT!D77,3)=SC!$F$1,LEFT(CT!E77,3)=SC!$F$1),CT!C77,"")</f>
        <v/>
      </c>
      <c r="D82" s="65" t="str">
        <f>IF(LEFT(CT!D77,3)=SC!$F$1,LEFT(CT!E77,3), IF(LEFT(CT!E77,3)=SC!$F$1,LEFT(CT!D77,3),""))</f>
        <v/>
      </c>
      <c r="E82" s="69">
        <f>IF(LEFT(CT!D77,3)=SC!$F$1,CT!H77,0)</f>
        <v>0</v>
      </c>
      <c r="F82" s="69">
        <f>IF(LEFT(CT!E77,3)=SC!$F$1,CT!H77,0)</f>
        <v>0</v>
      </c>
      <c r="G82" t="b">
        <f t="shared" si="1"/>
        <v>0</v>
      </c>
    </row>
    <row r="83" spans="1:7" hidden="1" x14ac:dyDescent="0.25">
      <c r="A83" s="84" t="str">
        <f>IF(OR(LEFT(CT!D78,3)=SC!$F$1,LEFT(CT!E78,3)=SC!$F$1),CT!A78,"")</f>
        <v/>
      </c>
      <c r="B83" s="65" t="str">
        <f>IF(OR(LEFT(CT!D78,3)=SC!$F$1,LEFT(CT!E78,3)=SC!$F$1),CT!B78,"")</f>
        <v/>
      </c>
      <c r="C83" s="65" t="str">
        <f>IF(OR(LEFT(CT!D78,3)=SC!$F$1,LEFT(CT!E78,3)=SC!$F$1),CT!C78,"")</f>
        <v/>
      </c>
      <c r="D83" s="65" t="str">
        <f>IF(LEFT(CT!D78,3)=SC!$F$1,LEFT(CT!E78,3), IF(LEFT(CT!E78,3)=SC!$F$1,LEFT(CT!D78,3),""))</f>
        <v/>
      </c>
      <c r="E83" s="69">
        <f>IF(LEFT(CT!D78,3)=SC!$F$1,CT!H78,0)</f>
        <v>0</v>
      </c>
      <c r="F83" s="69">
        <f>IF(LEFT(CT!E78,3)=SC!$F$1,CT!H78,0)</f>
        <v>0</v>
      </c>
      <c r="G83" t="b">
        <f t="shared" si="1"/>
        <v>0</v>
      </c>
    </row>
    <row r="84" spans="1:7" hidden="1" x14ac:dyDescent="0.25">
      <c r="A84" s="84" t="str">
        <f>IF(OR(LEFT(CT!D79,3)=SC!$F$1,LEFT(CT!E79,3)=SC!$F$1),CT!A79,"")</f>
        <v/>
      </c>
      <c r="B84" s="65" t="str">
        <f>IF(OR(LEFT(CT!D79,3)=SC!$F$1,LEFT(CT!E79,3)=SC!$F$1),CT!B79,"")</f>
        <v/>
      </c>
      <c r="C84" s="65" t="str">
        <f>IF(OR(LEFT(CT!D79,3)=SC!$F$1,LEFT(CT!E79,3)=SC!$F$1),CT!C79,"")</f>
        <v/>
      </c>
      <c r="D84" s="65" t="str">
        <f>IF(LEFT(CT!D79,3)=SC!$F$1,LEFT(CT!E79,3), IF(LEFT(CT!E79,3)=SC!$F$1,LEFT(CT!D79,3),""))</f>
        <v/>
      </c>
      <c r="E84" s="69">
        <f>IF(LEFT(CT!D79,3)=SC!$F$1,CT!H79,0)</f>
        <v>0</v>
      </c>
      <c r="F84" s="69">
        <f>IF(LEFT(CT!E79,3)=SC!$F$1,CT!H79,0)</f>
        <v>0</v>
      </c>
      <c r="G84" t="b">
        <f t="shared" si="1"/>
        <v>0</v>
      </c>
    </row>
    <row r="85" spans="1:7" hidden="1" x14ac:dyDescent="0.25">
      <c r="A85" s="84" t="str">
        <f>IF(OR(LEFT(CT!D80,3)=SC!$F$1,LEFT(CT!E80,3)=SC!$F$1),CT!A80,"")</f>
        <v/>
      </c>
      <c r="B85" s="65" t="str">
        <f>IF(OR(LEFT(CT!D80,3)=SC!$F$1,LEFT(CT!E80,3)=SC!$F$1),CT!B80,"")</f>
        <v/>
      </c>
      <c r="C85" s="65" t="str">
        <f>IF(OR(LEFT(CT!D80,3)=SC!$F$1,LEFT(CT!E80,3)=SC!$F$1),CT!C80,"")</f>
        <v/>
      </c>
      <c r="D85" s="65" t="str">
        <f>IF(LEFT(CT!D80,3)=SC!$F$1,LEFT(CT!E80,3), IF(LEFT(CT!E80,3)=SC!$F$1,LEFT(CT!D80,3),""))</f>
        <v/>
      </c>
      <c r="E85" s="69">
        <f>IF(LEFT(CT!D80,3)=SC!$F$1,CT!H80,0)</f>
        <v>0</v>
      </c>
      <c r="F85" s="69">
        <f>IF(LEFT(CT!E80,3)=SC!$F$1,CT!H80,0)</f>
        <v>0</v>
      </c>
      <c r="G85" t="b">
        <f t="shared" si="1"/>
        <v>0</v>
      </c>
    </row>
    <row r="86" spans="1:7" hidden="1" x14ac:dyDescent="0.25">
      <c r="A86" s="84" t="str">
        <f>IF(OR(LEFT(CT!D81,3)=SC!$F$1,LEFT(CT!E81,3)=SC!$F$1),CT!A81,"")</f>
        <v/>
      </c>
      <c r="B86" s="65" t="str">
        <f>IF(OR(LEFT(CT!D81,3)=SC!$F$1,LEFT(CT!E81,3)=SC!$F$1),CT!B81,"")</f>
        <v/>
      </c>
      <c r="C86" s="65" t="str">
        <f>IF(OR(LEFT(CT!D81,3)=SC!$F$1,LEFT(CT!E81,3)=SC!$F$1),CT!C81,"")</f>
        <v/>
      </c>
      <c r="D86" s="65" t="str">
        <f>IF(LEFT(CT!D81,3)=SC!$F$1,LEFT(CT!E81,3), IF(LEFT(CT!E81,3)=SC!$F$1,LEFT(CT!D81,3),""))</f>
        <v/>
      </c>
      <c r="E86" s="69">
        <f>IF(LEFT(CT!D81,3)=SC!$F$1,CT!H81,0)</f>
        <v>0</v>
      </c>
      <c r="F86" s="69">
        <f>IF(LEFT(CT!E81,3)=SC!$F$1,CT!H81,0)</f>
        <v>0</v>
      </c>
      <c r="G86" t="b">
        <f t="shared" si="1"/>
        <v>0</v>
      </c>
    </row>
    <row r="87" spans="1:7" hidden="1" x14ac:dyDescent="0.25">
      <c r="A87" s="84" t="str">
        <f>IF(OR(LEFT(CT!D82,3)=SC!$F$1,LEFT(CT!E82,3)=SC!$F$1),CT!A82,"")</f>
        <v/>
      </c>
      <c r="B87" s="65" t="str">
        <f>IF(OR(LEFT(CT!D82,3)=SC!$F$1,LEFT(CT!E82,3)=SC!$F$1),CT!B82,"")</f>
        <v/>
      </c>
      <c r="C87" s="65" t="str">
        <f>IF(OR(LEFT(CT!D82,3)=SC!$F$1,LEFT(CT!E82,3)=SC!$F$1),CT!C82,"")</f>
        <v/>
      </c>
      <c r="D87" s="65" t="str">
        <f>IF(LEFT(CT!D82,3)=SC!$F$1,LEFT(CT!E82,3), IF(LEFT(CT!E82,3)=SC!$F$1,LEFT(CT!D82,3),""))</f>
        <v/>
      </c>
      <c r="E87" s="69">
        <f>IF(LEFT(CT!D82,3)=SC!$F$1,CT!H82,0)</f>
        <v>0</v>
      </c>
      <c r="F87" s="69">
        <f>IF(LEFT(CT!E82,3)=SC!$F$1,CT!H82,0)</f>
        <v>0</v>
      </c>
      <c r="G87" t="b">
        <f t="shared" si="1"/>
        <v>0</v>
      </c>
    </row>
    <row r="88" spans="1:7" hidden="1" x14ac:dyDescent="0.25">
      <c r="A88" s="84" t="str">
        <f>IF(OR(LEFT(CT!D83,3)=SC!$F$1,LEFT(CT!E83,3)=SC!$F$1),CT!A83,"")</f>
        <v/>
      </c>
      <c r="B88" s="65" t="str">
        <f>IF(OR(LEFT(CT!D83,3)=SC!$F$1,LEFT(CT!E83,3)=SC!$F$1),CT!B83,"")</f>
        <v/>
      </c>
      <c r="C88" s="65" t="str">
        <f>IF(OR(LEFT(CT!D83,3)=SC!$F$1,LEFT(CT!E83,3)=SC!$F$1),CT!C83,"")</f>
        <v/>
      </c>
      <c r="D88" s="65" t="str">
        <f>IF(LEFT(CT!D83,3)=SC!$F$1,LEFT(CT!E83,3), IF(LEFT(CT!E83,3)=SC!$F$1,LEFT(CT!D83,3),""))</f>
        <v/>
      </c>
      <c r="E88" s="69">
        <f>IF(LEFT(CT!D83,3)=SC!$F$1,CT!H83,0)</f>
        <v>0</v>
      </c>
      <c r="F88" s="69">
        <f>IF(LEFT(CT!E83,3)=SC!$F$1,CT!H83,0)</f>
        <v>0</v>
      </c>
      <c r="G88" t="b">
        <f t="shared" si="1"/>
        <v>0</v>
      </c>
    </row>
    <row r="89" spans="1:7" hidden="1" x14ac:dyDescent="0.25">
      <c r="A89" s="84" t="str">
        <f>IF(OR(LEFT(CT!D84,3)=SC!$F$1,LEFT(CT!E84,3)=SC!$F$1),CT!A84,"")</f>
        <v/>
      </c>
      <c r="B89" s="65" t="str">
        <f>IF(OR(LEFT(CT!D84,3)=SC!$F$1,LEFT(CT!E84,3)=SC!$F$1),CT!B84,"")</f>
        <v/>
      </c>
      <c r="C89" s="65" t="str">
        <f>IF(OR(LEFT(CT!D84,3)=SC!$F$1,LEFT(CT!E84,3)=SC!$F$1),CT!C84,"")</f>
        <v/>
      </c>
      <c r="D89" s="65" t="str">
        <f>IF(LEFT(CT!D84,3)=SC!$F$1,LEFT(CT!E84,3), IF(LEFT(CT!E84,3)=SC!$F$1,LEFT(CT!D84,3),""))</f>
        <v/>
      </c>
      <c r="E89" s="69">
        <f>IF(LEFT(CT!D84,3)=SC!$F$1,CT!H84,0)</f>
        <v>0</v>
      </c>
      <c r="F89" s="69">
        <f>IF(LEFT(CT!E84,3)=SC!$F$1,CT!H84,0)</f>
        <v>0</v>
      </c>
      <c r="G89" t="b">
        <f t="shared" si="1"/>
        <v>0</v>
      </c>
    </row>
    <row r="90" spans="1:7" hidden="1" x14ac:dyDescent="0.25">
      <c r="A90" s="84" t="str">
        <f>IF(OR(LEFT(CT!D85,3)=SC!$F$1,LEFT(CT!E85,3)=SC!$F$1),CT!A85,"")</f>
        <v/>
      </c>
      <c r="B90" s="65" t="str">
        <f>IF(OR(LEFT(CT!D85,3)=SC!$F$1,LEFT(CT!E85,3)=SC!$F$1),CT!B85,"")</f>
        <v/>
      </c>
      <c r="C90" s="65" t="str">
        <f>IF(OR(LEFT(CT!D85,3)=SC!$F$1,LEFT(CT!E85,3)=SC!$F$1),CT!C85,"")</f>
        <v/>
      </c>
      <c r="D90" s="65" t="str">
        <f>IF(LEFT(CT!D85,3)=SC!$F$1,LEFT(CT!E85,3), IF(LEFT(CT!E85,3)=SC!$F$1,LEFT(CT!D85,3),""))</f>
        <v/>
      </c>
      <c r="E90" s="69">
        <f>IF(LEFT(CT!D85,3)=SC!$F$1,CT!H85,0)</f>
        <v>0</v>
      </c>
      <c r="F90" s="69">
        <f>IF(LEFT(CT!E85,3)=SC!$F$1,CT!H85,0)</f>
        <v>0</v>
      </c>
      <c r="G90" t="b">
        <f t="shared" si="1"/>
        <v>0</v>
      </c>
    </row>
    <row r="91" spans="1:7" hidden="1" x14ac:dyDescent="0.25">
      <c r="A91" s="84" t="str">
        <f>IF(OR(LEFT(CT!D86,3)=SC!$F$1,LEFT(CT!E86,3)=SC!$F$1),CT!A86,"")</f>
        <v/>
      </c>
      <c r="B91" s="65" t="str">
        <f>IF(OR(LEFT(CT!D86,3)=SC!$F$1,LEFT(CT!E86,3)=SC!$F$1),CT!B86,"")</f>
        <v/>
      </c>
      <c r="C91" s="65" t="str">
        <f>IF(OR(LEFT(CT!D86,3)=SC!$F$1,LEFT(CT!E86,3)=SC!$F$1),CT!C86,"")</f>
        <v/>
      </c>
      <c r="D91" s="65" t="str">
        <f>IF(LEFT(CT!D86,3)=SC!$F$1,LEFT(CT!E86,3), IF(LEFT(CT!E86,3)=SC!$F$1,LEFT(CT!D86,3),""))</f>
        <v/>
      </c>
      <c r="E91" s="69">
        <f>IF(LEFT(CT!D86,3)=SC!$F$1,CT!H86,0)</f>
        <v>0</v>
      </c>
      <c r="F91" s="69">
        <f>IF(LEFT(CT!E86,3)=SC!$F$1,CT!H86,0)</f>
        <v>0</v>
      </c>
      <c r="G91" t="b">
        <f t="shared" si="1"/>
        <v>0</v>
      </c>
    </row>
    <row r="92" spans="1:7" hidden="1" x14ac:dyDescent="0.25">
      <c r="A92" s="84" t="str">
        <f>IF(OR(LEFT(CT!D87,3)=SC!$F$1,LEFT(CT!E87,3)=SC!$F$1),CT!A87,"")</f>
        <v/>
      </c>
      <c r="B92" s="65" t="str">
        <f>IF(OR(LEFT(CT!D87,3)=SC!$F$1,LEFT(CT!E87,3)=SC!$F$1),CT!B87,"")</f>
        <v/>
      </c>
      <c r="C92" s="65" t="str">
        <f>IF(OR(LEFT(CT!D87,3)=SC!$F$1,LEFT(CT!E87,3)=SC!$F$1),CT!C87,"")</f>
        <v/>
      </c>
      <c r="D92" s="65" t="str">
        <f>IF(LEFT(CT!D87,3)=SC!$F$1,LEFT(CT!E87,3), IF(LEFT(CT!E87,3)=SC!$F$1,LEFT(CT!D87,3),""))</f>
        <v/>
      </c>
      <c r="E92" s="69">
        <f>IF(LEFT(CT!D87,3)=SC!$F$1,CT!H87,0)</f>
        <v>0</v>
      </c>
      <c r="F92" s="69">
        <f>IF(LEFT(CT!E87,3)=SC!$F$1,CT!H87,0)</f>
        <v>0</v>
      </c>
      <c r="G92" t="b">
        <f t="shared" si="1"/>
        <v>0</v>
      </c>
    </row>
    <row r="93" spans="1:7" hidden="1" x14ac:dyDescent="0.25">
      <c r="A93" s="84" t="str">
        <f>IF(OR(LEFT(CT!D88,3)=SC!$F$1,LEFT(CT!E88,3)=SC!$F$1),CT!A88,"")</f>
        <v/>
      </c>
      <c r="B93" s="65" t="str">
        <f>IF(OR(LEFT(CT!D88,3)=SC!$F$1,LEFT(CT!E88,3)=SC!$F$1),CT!B88,"")</f>
        <v/>
      </c>
      <c r="C93" s="65" t="str">
        <f>IF(OR(LEFT(CT!D88,3)=SC!$F$1,LEFT(CT!E88,3)=SC!$F$1),CT!C88,"")</f>
        <v/>
      </c>
      <c r="D93" s="65" t="str">
        <f>IF(LEFT(CT!D88,3)=SC!$F$1,LEFT(CT!E88,3), IF(LEFT(CT!E88,3)=SC!$F$1,LEFT(CT!D88,3),""))</f>
        <v/>
      </c>
      <c r="E93" s="69">
        <f>IF(LEFT(CT!D88,3)=SC!$F$1,CT!H88,0)</f>
        <v>0</v>
      </c>
      <c r="F93" s="69">
        <f>IF(LEFT(CT!E88,3)=SC!$F$1,CT!H88,0)</f>
        <v>0</v>
      </c>
      <c r="G93" t="b">
        <f t="shared" si="1"/>
        <v>0</v>
      </c>
    </row>
    <row r="94" spans="1:7" hidden="1" x14ac:dyDescent="0.25">
      <c r="A94" s="84" t="str">
        <f>IF(OR(LEFT(CT!D89,3)=SC!$F$1,LEFT(CT!E89,3)=SC!$F$1),CT!A89,"")</f>
        <v/>
      </c>
      <c r="B94" s="65" t="str">
        <f>IF(OR(LEFT(CT!D89,3)=SC!$F$1,LEFT(CT!E89,3)=SC!$F$1),CT!B89,"")</f>
        <v/>
      </c>
      <c r="C94" s="65" t="str">
        <f>IF(OR(LEFT(CT!D89,3)=SC!$F$1,LEFT(CT!E89,3)=SC!$F$1),CT!C89,"")</f>
        <v/>
      </c>
      <c r="D94" s="65" t="str">
        <f>IF(LEFT(CT!D89,3)=SC!$F$1,LEFT(CT!E89,3), IF(LEFT(CT!E89,3)=SC!$F$1,LEFT(CT!D89,3),""))</f>
        <v/>
      </c>
      <c r="E94" s="69">
        <f>IF(LEFT(CT!D89,3)=SC!$F$1,CT!H89,0)</f>
        <v>0</v>
      </c>
      <c r="F94" s="69">
        <f>IF(LEFT(CT!E89,3)=SC!$F$1,CT!H89,0)</f>
        <v>0</v>
      </c>
      <c r="G94" t="b">
        <f t="shared" si="1"/>
        <v>0</v>
      </c>
    </row>
    <row r="95" spans="1:7" hidden="1" x14ac:dyDescent="0.25">
      <c r="A95" s="84" t="str">
        <f>IF(OR(LEFT(CT!D90,3)=SC!$F$1,LEFT(CT!E90,3)=SC!$F$1),CT!A90,"")</f>
        <v/>
      </c>
      <c r="B95" s="65" t="str">
        <f>IF(OR(LEFT(CT!D90,3)=SC!$F$1,LEFT(CT!E90,3)=SC!$F$1),CT!B90,"")</f>
        <v/>
      </c>
      <c r="C95" s="65" t="str">
        <f>IF(OR(LEFT(CT!D90,3)=SC!$F$1,LEFT(CT!E90,3)=SC!$F$1),CT!C90,"")</f>
        <v/>
      </c>
      <c r="D95" s="65" t="str">
        <f>IF(LEFT(CT!D90,3)=SC!$F$1,LEFT(CT!E90,3), IF(LEFT(CT!E90,3)=SC!$F$1,LEFT(CT!D90,3),""))</f>
        <v/>
      </c>
      <c r="E95" s="69">
        <f>IF(LEFT(CT!D90,3)=SC!$F$1,CT!H90,0)</f>
        <v>0</v>
      </c>
      <c r="F95" s="69">
        <f>IF(LEFT(CT!E90,3)=SC!$F$1,CT!H90,0)</f>
        <v>0</v>
      </c>
      <c r="G95" t="b">
        <f t="shared" si="1"/>
        <v>0</v>
      </c>
    </row>
    <row r="96" spans="1:7" hidden="1" x14ac:dyDescent="0.25">
      <c r="A96" s="84" t="str">
        <f>IF(OR(LEFT(CT!D91,3)=SC!$F$1,LEFT(CT!E91,3)=SC!$F$1),CT!A91,"")</f>
        <v/>
      </c>
      <c r="B96" s="65" t="str">
        <f>IF(OR(LEFT(CT!D91,3)=SC!$F$1,LEFT(CT!E91,3)=SC!$F$1),CT!B91,"")</f>
        <v/>
      </c>
      <c r="C96" s="65" t="str">
        <f>IF(OR(LEFT(CT!D91,3)=SC!$F$1,LEFT(CT!E91,3)=SC!$F$1),CT!C91,"")</f>
        <v/>
      </c>
      <c r="D96" s="65" t="str">
        <f>IF(LEFT(CT!D91,3)=SC!$F$1,LEFT(CT!E91,3), IF(LEFT(CT!E91,3)=SC!$F$1,LEFT(CT!D91,3),""))</f>
        <v/>
      </c>
      <c r="E96" s="69">
        <f>IF(LEFT(CT!D91,3)=SC!$F$1,CT!H91,0)</f>
        <v>0</v>
      </c>
      <c r="F96" s="69">
        <f>IF(LEFT(CT!E91,3)=SC!$F$1,CT!H91,0)</f>
        <v>0</v>
      </c>
      <c r="G96" t="b">
        <f t="shared" si="1"/>
        <v>0</v>
      </c>
    </row>
    <row r="97" spans="1:7" hidden="1" x14ac:dyDescent="0.25">
      <c r="A97" s="84" t="str">
        <f>IF(OR(LEFT(CT!D92,3)=SC!$F$1,LEFT(CT!E92,3)=SC!$F$1),CT!A92,"")</f>
        <v/>
      </c>
      <c r="B97" s="65" t="str">
        <f>IF(OR(LEFT(CT!D92,3)=SC!$F$1,LEFT(CT!E92,3)=SC!$F$1),CT!B92,"")</f>
        <v/>
      </c>
      <c r="C97" s="65" t="str">
        <f>IF(OR(LEFT(CT!D92,3)=SC!$F$1,LEFT(CT!E92,3)=SC!$F$1),CT!C92,"")</f>
        <v/>
      </c>
      <c r="D97" s="65" t="str">
        <f>IF(LEFT(CT!D92,3)=SC!$F$1,LEFT(CT!E92,3), IF(LEFT(CT!E92,3)=SC!$F$1,LEFT(CT!D92,3),""))</f>
        <v/>
      </c>
      <c r="E97" s="69">
        <f>IF(LEFT(CT!D92,3)=SC!$F$1,CT!H92,0)</f>
        <v>0</v>
      </c>
      <c r="F97" s="69">
        <f>IF(LEFT(CT!E92,3)=SC!$F$1,CT!H92,0)</f>
        <v>0</v>
      </c>
      <c r="G97" t="b">
        <f t="shared" si="1"/>
        <v>0</v>
      </c>
    </row>
    <row r="98" spans="1:7" hidden="1" x14ac:dyDescent="0.25">
      <c r="A98" s="84" t="str">
        <f>IF(OR(LEFT(CT!D93,3)=SC!$F$1,LEFT(CT!E93,3)=SC!$F$1),CT!A93,"")</f>
        <v/>
      </c>
      <c r="B98" s="65" t="str">
        <f>IF(OR(LEFT(CT!D93,3)=SC!$F$1,LEFT(CT!E93,3)=SC!$F$1),CT!B93,"")</f>
        <v/>
      </c>
      <c r="C98" s="65" t="str">
        <f>IF(OR(LEFT(CT!D93,3)=SC!$F$1,LEFT(CT!E93,3)=SC!$F$1),CT!C93,"")</f>
        <v/>
      </c>
      <c r="D98" s="65" t="str">
        <f>IF(LEFT(CT!D93,3)=SC!$F$1,LEFT(CT!E93,3), IF(LEFT(CT!E93,3)=SC!$F$1,LEFT(CT!D93,3),""))</f>
        <v/>
      </c>
      <c r="E98" s="69">
        <f>IF(LEFT(CT!D93,3)=SC!$F$1,CT!H93,0)</f>
        <v>0</v>
      </c>
      <c r="F98" s="69">
        <f>IF(LEFT(CT!E93,3)=SC!$F$1,CT!H93,0)</f>
        <v>0</v>
      </c>
      <c r="G98" t="b">
        <f t="shared" si="1"/>
        <v>0</v>
      </c>
    </row>
    <row r="99" spans="1:7" hidden="1" x14ac:dyDescent="0.25">
      <c r="A99" s="84" t="str">
        <f>IF(OR(LEFT(CT!D94,3)=SC!$F$1,LEFT(CT!E94,3)=SC!$F$1),CT!A94,"")</f>
        <v/>
      </c>
      <c r="B99" s="65" t="str">
        <f>IF(OR(LEFT(CT!D94,3)=SC!$F$1,LEFT(CT!E94,3)=SC!$F$1),CT!B94,"")</f>
        <v/>
      </c>
      <c r="C99" s="65" t="str">
        <f>IF(OR(LEFT(CT!D94,3)=SC!$F$1,LEFT(CT!E94,3)=SC!$F$1),CT!C94,"")</f>
        <v/>
      </c>
      <c r="D99" s="65" t="str">
        <f>IF(LEFT(CT!D94,3)=SC!$F$1,LEFT(CT!E94,3), IF(LEFT(CT!E94,3)=SC!$F$1,LEFT(CT!D94,3),""))</f>
        <v/>
      </c>
      <c r="E99" s="69">
        <f>IF(LEFT(CT!D94,3)=SC!$F$1,CT!H94,0)</f>
        <v>0</v>
      </c>
      <c r="F99" s="69">
        <f>IF(LEFT(CT!E94,3)=SC!$F$1,CT!H94,0)</f>
        <v>0</v>
      </c>
      <c r="G99" t="b">
        <f t="shared" si="1"/>
        <v>0</v>
      </c>
    </row>
    <row r="100" spans="1:7" hidden="1" x14ac:dyDescent="0.25">
      <c r="A100" s="84" t="str">
        <f>IF(OR(LEFT(CT!D95,3)=SC!$F$1,LEFT(CT!E95,3)=SC!$F$1),CT!A95,"")</f>
        <v/>
      </c>
      <c r="B100" s="65" t="str">
        <f>IF(OR(LEFT(CT!D95,3)=SC!$F$1,LEFT(CT!E95,3)=SC!$F$1),CT!B95,"")</f>
        <v/>
      </c>
      <c r="C100" s="65" t="str">
        <f>IF(OR(LEFT(CT!D95,3)=SC!$F$1,LEFT(CT!E95,3)=SC!$F$1),CT!C95,"")</f>
        <v/>
      </c>
      <c r="D100" s="65" t="str">
        <f>IF(LEFT(CT!D95,3)=SC!$F$1,LEFT(CT!E95,3), IF(LEFT(CT!E95,3)=SC!$F$1,LEFT(CT!D95,3),""))</f>
        <v/>
      </c>
      <c r="E100" s="69">
        <f>IF(LEFT(CT!D95,3)=SC!$F$1,CT!H95,0)</f>
        <v>0</v>
      </c>
      <c r="F100" s="69">
        <f>IF(LEFT(CT!E95,3)=SC!$F$1,CT!H95,0)</f>
        <v>0</v>
      </c>
      <c r="G100" t="b">
        <f t="shared" si="1"/>
        <v>0</v>
      </c>
    </row>
    <row r="101" spans="1:7" hidden="1" x14ac:dyDescent="0.25">
      <c r="A101" s="84" t="str">
        <f>IF(OR(LEFT(CT!D96,3)=SC!$F$1,LEFT(CT!E96,3)=SC!$F$1),CT!A96,"")</f>
        <v/>
      </c>
      <c r="B101" s="65" t="str">
        <f>IF(OR(LEFT(CT!D96,3)=SC!$F$1,LEFT(CT!E96,3)=SC!$F$1),CT!B96,"")</f>
        <v/>
      </c>
      <c r="C101" s="65" t="str">
        <f>IF(OR(LEFT(CT!D96,3)=SC!$F$1,LEFT(CT!E96,3)=SC!$F$1),CT!C96,"")</f>
        <v/>
      </c>
      <c r="D101" s="65" t="str">
        <f>IF(LEFT(CT!D96,3)=SC!$F$1,LEFT(CT!E96,3), IF(LEFT(CT!E96,3)=SC!$F$1,LEFT(CT!D96,3),""))</f>
        <v/>
      </c>
      <c r="E101" s="69">
        <f>IF(LEFT(CT!D96,3)=SC!$F$1,CT!H96,0)</f>
        <v>0</v>
      </c>
      <c r="F101" s="69">
        <f>IF(LEFT(CT!E96,3)=SC!$F$1,CT!H96,0)</f>
        <v>0</v>
      </c>
      <c r="G101" t="b">
        <f t="shared" si="1"/>
        <v>0</v>
      </c>
    </row>
    <row r="102" spans="1:7" hidden="1" x14ac:dyDescent="0.25">
      <c r="A102" s="84" t="str">
        <f>IF(OR(LEFT(CT!D97,3)=SC!$F$1,LEFT(CT!E97,3)=SC!$F$1),CT!A97,"")</f>
        <v/>
      </c>
      <c r="B102" s="65" t="str">
        <f>IF(OR(LEFT(CT!D97,3)=SC!$F$1,LEFT(CT!E97,3)=SC!$F$1),CT!B97,"")</f>
        <v/>
      </c>
      <c r="C102" s="65" t="str">
        <f>IF(OR(LEFT(CT!D97,3)=SC!$F$1,LEFT(CT!E97,3)=SC!$F$1),CT!C97,"")</f>
        <v/>
      </c>
      <c r="D102" s="65" t="str">
        <f>IF(LEFT(CT!D97,3)=SC!$F$1,LEFT(CT!E97,3), IF(LEFT(CT!E97,3)=SC!$F$1,LEFT(CT!D97,3),""))</f>
        <v/>
      </c>
      <c r="E102" s="69">
        <f>IF(LEFT(CT!D97,3)=SC!$F$1,CT!H97,0)</f>
        <v>0</v>
      </c>
      <c r="F102" s="69">
        <f>IF(LEFT(CT!E97,3)=SC!$F$1,CT!H97,0)</f>
        <v>0</v>
      </c>
      <c r="G102" t="b">
        <f t="shared" si="1"/>
        <v>0</v>
      </c>
    </row>
    <row r="103" spans="1:7" hidden="1" x14ac:dyDescent="0.25">
      <c r="A103" s="84" t="str">
        <f>IF(OR(LEFT(CT!D98,3)=SC!$F$1,LEFT(CT!E98,3)=SC!$F$1),CT!A98,"")</f>
        <v/>
      </c>
      <c r="B103" s="65" t="str">
        <f>IF(OR(LEFT(CT!D98,3)=SC!$F$1,LEFT(CT!E98,3)=SC!$F$1),CT!B98,"")</f>
        <v/>
      </c>
      <c r="C103" s="65" t="str">
        <f>IF(OR(LEFT(CT!D98,3)=SC!$F$1,LEFT(CT!E98,3)=SC!$F$1),CT!C98,"")</f>
        <v/>
      </c>
      <c r="D103" s="65" t="str">
        <f>IF(LEFT(CT!D98,3)=SC!$F$1,LEFT(CT!E98,3), IF(LEFT(CT!E98,3)=SC!$F$1,LEFT(CT!D98,3),""))</f>
        <v/>
      </c>
      <c r="E103" s="69">
        <f>IF(LEFT(CT!D98,3)=SC!$F$1,CT!H98,0)</f>
        <v>0</v>
      </c>
      <c r="F103" s="69">
        <f>IF(LEFT(CT!E98,3)=SC!$F$1,CT!H98,0)</f>
        <v>0</v>
      </c>
      <c r="G103" t="b">
        <f t="shared" si="1"/>
        <v>0</v>
      </c>
    </row>
    <row r="104" spans="1:7" hidden="1" x14ac:dyDescent="0.25">
      <c r="A104" s="84" t="str">
        <f>IF(OR(LEFT(CT!D99,3)=SC!$F$1,LEFT(CT!E99,3)=SC!$F$1),CT!A99,"")</f>
        <v/>
      </c>
      <c r="B104" s="65" t="str">
        <f>IF(OR(LEFT(CT!D99,3)=SC!$F$1,LEFT(CT!E99,3)=SC!$F$1),CT!B99,"")</f>
        <v/>
      </c>
      <c r="C104" s="65" t="str">
        <f>IF(OR(LEFT(CT!D99,3)=SC!$F$1,LEFT(CT!E99,3)=SC!$F$1),CT!C99,"")</f>
        <v/>
      </c>
      <c r="D104" s="65" t="str">
        <f>IF(LEFT(CT!D99,3)=SC!$F$1,LEFT(CT!E99,3), IF(LEFT(CT!E99,3)=SC!$F$1,LEFT(CT!D99,3),""))</f>
        <v/>
      </c>
      <c r="E104" s="69">
        <f>IF(LEFT(CT!D99,3)=SC!$F$1,CT!H99,0)</f>
        <v>0</v>
      </c>
      <c r="F104" s="69">
        <f>IF(LEFT(CT!E99,3)=SC!$F$1,CT!H99,0)</f>
        <v>0</v>
      </c>
      <c r="G104" t="b">
        <f t="shared" si="1"/>
        <v>0</v>
      </c>
    </row>
    <row r="105" spans="1:7" hidden="1" x14ac:dyDescent="0.25">
      <c r="A105" s="84" t="str">
        <f>IF(OR(LEFT(CT!D100,3)=SC!$F$1,LEFT(CT!E100,3)=SC!$F$1),CT!A100,"")</f>
        <v/>
      </c>
      <c r="B105" s="65" t="str">
        <f>IF(OR(LEFT(CT!D100,3)=SC!$F$1,LEFT(CT!E100,3)=SC!$F$1),CT!B100,"")</f>
        <v/>
      </c>
      <c r="C105" s="65" t="str">
        <f>IF(OR(LEFT(CT!D100,3)=SC!$F$1,LEFT(CT!E100,3)=SC!$F$1),CT!C100,"")</f>
        <v/>
      </c>
      <c r="D105" s="65" t="str">
        <f>IF(LEFT(CT!D100,3)=SC!$F$1,LEFT(CT!E100,3), IF(LEFT(CT!E100,3)=SC!$F$1,LEFT(CT!D100,3),""))</f>
        <v/>
      </c>
      <c r="E105" s="69">
        <f>IF(LEFT(CT!D100,3)=SC!$F$1,CT!H100,0)</f>
        <v>0</v>
      </c>
      <c r="F105" s="69">
        <f>IF(LEFT(CT!E100,3)=SC!$F$1,CT!H100,0)</f>
        <v>0</v>
      </c>
      <c r="G105" t="b">
        <f t="shared" si="1"/>
        <v>0</v>
      </c>
    </row>
    <row r="106" spans="1:7" hidden="1" x14ac:dyDescent="0.25">
      <c r="A106" s="84" t="str">
        <f>IF(OR(LEFT(CT!D101,3)=SC!$F$1,LEFT(CT!E101,3)=SC!$F$1),CT!A101,"")</f>
        <v/>
      </c>
      <c r="B106" s="65" t="str">
        <f>IF(OR(LEFT(CT!D101,3)=SC!$F$1,LEFT(CT!E101,3)=SC!$F$1),CT!B101,"")</f>
        <v/>
      </c>
      <c r="C106" s="65" t="str">
        <f>IF(OR(LEFT(CT!D101,3)=SC!$F$1,LEFT(CT!E101,3)=SC!$F$1),CT!C101,"")</f>
        <v/>
      </c>
      <c r="D106" s="65" t="str">
        <f>IF(LEFT(CT!D101,3)=SC!$F$1,LEFT(CT!E101,3), IF(LEFT(CT!E101,3)=SC!$F$1,LEFT(CT!D101,3),""))</f>
        <v/>
      </c>
      <c r="E106" s="69">
        <f>IF(LEFT(CT!D101,3)=SC!$F$1,CT!H101,0)</f>
        <v>0</v>
      </c>
      <c r="F106" s="69">
        <f>IF(LEFT(CT!E101,3)=SC!$F$1,CT!H101,0)</f>
        <v>0</v>
      </c>
      <c r="G106" t="b">
        <f t="shared" si="1"/>
        <v>0</v>
      </c>
    </row>
    <row r="107" spans="1:7" hidden="1" x14ac:dyDescent="0.25">
      <c r="A107" s="84" t="str">
        <f>IF(OR(LEFT(CT!D102,3)=SC!$F$1,LEFT(CT!E102,3)=SC!$F$1),CT!A102,"")</f>
        <v/>
      </c>
      <c r="B107" s="65" t="str">
        <f>IF(OR(LEFT(CT!D102,3)=SC!$F$1,LEFT(CT!E102,3)=SC!$F$1),CT!B102,"")</f>
        <v/>
      </c>
      <c r="C107" s="65" t="str">
        <f>IF(OR(LEFT(CT!D102,3)=SC!$F$1,LEFT(CT!E102,3)=SC!$F$1),CT!C102,"")</f>
        <v/>
      </c>
      <c r="D107" s="65" t="str">
        <f>IF(LEFT(CT!D102,3)=SC!$F$1,LEFT(CT!E102,3), IF(LEFT(CT!E102,3)=SC!$F$1,LEFT(CT!D102,3),""))</f>
        <v/>
      </c>
      <c r="E107" s="69">
        <f>IF(LEFT(CT!D102,3)=SC!$F$1,CT!H102,0)</f>
        <v>0</v>
      </c>
      <c r="F107" s="69">
        <f>IF(LEFT(CT!E102,3)=SC!$F$1,CT!H102,0)</f>
        <v>0</v>
      </c>
      <c r="G107" t="b">
        <f t="shared" si="1"/>
        <v>0</v>
      </c>
    </row>
    <row r="108" spans="1:7" hidden="1" x14ac:dyDescent="0.25">
      <c r="A108" s="84" t="str">
        <f>IF(OR(LEFT(CT!D103,3)=SC!$F$1,LEFT(CT!E103,3)=SC!$F$1),CT!A103,"")</f>
        <v/>
      </c>
      <c r="B108" s="65" t="str">
        <f>IF(OR(LEFT(CT!D103,3)=SC!$F$1,LEFT(CT!E103,3)=SC!$F$1),CT!B103,"")</f>
        <v/>
      </c>
      <c r="C108" s="65" t="str">
        <f>IF(OR(LEFT(CT!D103,3)=SC!$F$1,LEFT(CT!E103,3)=SC!$F$1),CT!C103,"")</f>
        <v/>
      </c>
      <c r="D108" s="65" t="str">
        <f>IF(LEFT(CT!D103,3)=SC!$F$1,LEFT(CT!E103,3), IF(LEFT(CT!E103,3)=SC!$F$1,LEFT(CT!D103,3),""))</f>
        <v/>
      </c>
      <c r="E108" s="69">
        <f>IF(LEFT(CT!D103,3)=SC!$F$1,CT!H103,0)</f>
        <v>0</v>
      </c>
      <c r="F108" s="69">
        <f>IF(LEFT(CT!E103,3)=SC!$F$1,CT!H103,0)</f>
        <v>0</v>
      </c>
      <c r="G108" t="b">
        <f t="shared" si="1"/>
        <v>0</v>
      </c>
    </row>
    <row r="109" spans="1:7" hidden="1" x14ac:dyDescent="0.25">
      <c r="A109" s="84" t="str">
        <f>IF(OR(LEFT(CT!D104,3)=SC!$F$1,LEFT(CT!E104,3)=SC!$F$1),CT!A104,"")</f>
        <v/>
      </c>
      <c r="B109" s="65" t="str">
        <f>IF(OR(LEFT(CT!D104,3)=SC!$F$1,LEFT(CT!E104,3)=SC!$F$1),CT!B104,"")</f>
        <v/>
      </c>
      <c r="C109" s="65" t="str">
        <f>IF(OR(LEFT(CT!D104,3)=SC!$F$1,LEFT(CT!E104,3)=SC!$F$1),CT!C104,"")</f>
        <v/>
      </c>
      <c r="D109" s="65" t="str">
        <f>IF(LEFT(CT!D104,3)=SC!$F$1,LEFT(CT!E104,3), IF(LEFT(CT!E104,3)=SC!$F$1,LEFT(CT!D104,3),""))</f>
        <v/>
      </c>
      <c r="E109" s="69">
        <f>IF(LEFT(CT!D104,3)=SC!$F$1,CT!H104,0)</f>
        <v>0</v>
      </c>
      <c r="F109" s="69">
        <f>IF(LEFT(CT!E104,3)=SC!$F$1,CT!H104,0)</f>
        <v>0</v>
      </c>
      <c r="G109" t="b">
        <f t="shared" si="1"/>
        <v>0</v>
      </c>
    </row>
    <row r="110" spans="1:7" hidden="1" x14ac:dyDescent="0.25">
      <c r="A110" s="84" t="str">
        <f>IF(OR(LEFT(CT!D105,3)=SC!$F$1,LEFT(CT!E105,3)=SC!$F$1),CT!A105,"")</f>
        <v/>
      </c>
      <c r="B110" s="65" t="str">
        <f>IF(OR(LEFT(CT!D105,3)=SC!$F$1,LEFT(CT!E105,3)=SC!$F$1),CT!B105,"")</f>
        <v/>
      </c>
      <c r="C110" s="65" t="str">
        <f>IF(OR(LEFT(CT!D105,3)=SC!$F$1,LEFT(CT!E105,3)=SC!$F$1),CT!C105,"")</f>
        <v/>
      </c>
      <c r="D110" s="65" t="str">
        <f>IF(LEFT(CT!D105,3)=SC!$F$1,LEFT(CT!E105,3), IF(LEFT(CT!E105,3)=SC!$F$1,LEFT(CT!D105,3),""))</f>
        <v/>
      </c>
      <c r="E110" s="69">
        <f>IF(LEFT(CT!D105,3)=SC!$F$1,CT!H105,0)</f>
        <v>0</v>
      </c>
      <c r="F110" s="69">
        <f>IF(LEFT(CT!E105,3)=SC!$F$1,CT!H105,0)</f>
        <v>0</v>
      </c>
      <c r="G110" t="b">
        <f t="shared" si="1"/>
        <v>0</v>
      </c>
    </row>
    <row r="111" spans="1:7" hidden="1" x14ac:dyDescent="0.25">
      <c r="A111" s="84" t="str">
        <f>IF(OR(LEFT(CT!D106,3)=SC!$F$1,LEFT(CT!E106,3)=SC!$F$1),CT!A106,"")</f>
        <v/>
      </c>
      <c r="B111" s="65" t="str">
        <f>IF(OR(LEFT(CT!D106,3)=SC!$F$1,LEFT(CT!E106,3)=SC!$F$1),CT!B106,"")</f>
        <v/>
      </c>
      <c r="C111" s="65" t="str">
        <f>IF(OR(LEFT(CT!D106,3)=SC!$F$1,LEFT(CT!E106,3)=SC!$F$1),CT!C106,"")</f>
        <v/>
      </c>
      <c r="D111" s="65" t="str">
        <f>IF(LEFT(CT!D106,3)=SC!$F$1,LEFT(CT!E106,3), IF(LEFT(CT!E106,3)=SC!$F$1,LEFT(CT!D106,3),""))</f>
        <v/>
      </c>
      <c r="E111" s="69">
        <f>IF(LEFT(CT!D106,3)=SC!$F$1,CT!H106,0)</f>
        <v>0</v>
      </c>
      <c r="F111" s="69">
        <f>IF(LEFT(CT!E106,3)=SC!$F$1,CT!H106,0)</f>
        <v>0</v>
      </c>
      <c r="G111" t="b">
        <f t="shared" si="1"/>
        <v>0</v>
      </c>
    </row>
    <row r="112" spans="1:7" hidden="1" x14ac:dyDescent="0.25">
      <c r="A112" s="84" t="str">
        <f>IF(OR(LEFT(CT!D107,3)=SC!$F$1,LEFT(CT!E107,3)=SC!$F$1),CT!A107,"")</f>
        <v/>
      </c>
      <c r="B112" s="65" t="str">
        <f>IF(OR(LEFT(CT!D107,3)=SC!$F$1,LEFT(CT!E107,3)=SC!$F$1),CT!B107,"")</f>
        <v/>
      </c>
      <c r="C112" s="65" t="str">
        <f>IF(OR(LEFT(CT!D107,3)=SC!$F$1,LEFT(CT!E107,3)=SC!$F$1),CT!C107,"")</f>
        <v/>
      </c>
      <c r="D112" s="65" t="str">
        <f>IF(LEFT(CT!D107,3)=SC!$F$1,LEFT(CT!E107,3), IF(LEFT(CT!E107,3)=SC!$F$1,LEFT(CT!D107,3),""))</f>
        <v/>
      </c>
      <c r="E112" s="69">
        <f>IF(LEFT(CT!D107,3)=SC!$F$1,CT!H107,0)</f>
        <v>0</v>
      </c>
      <c r="F112" s="69">
        <f>IF(LEFT(CT!E107,3)=SC!$F$1,CT!H107,0)</f>
        <v>0</v>
      </c>
      <c r="G112" t="b">
        <f t="shared" si="1"/>
        <v>0</v>
      </c>
    </row>
    <row r="113" spans="1:7" hidden="1" x14ac:dyDescent="0.25">
      <c r="A113" s="84" t="str">
        <f>IF(OR(LEFT(CT!D108,3)=SC!$F$1,LEFT(CT!E108,3)=SC!$F$1),CT!A108,"")</f>
        <v/>
      </c>
      <c r="B113" s="65" t="str">
        <f>IF(OR(LEFT(CT!D108,3)=SC!$F$1,LEFT(CT!E108,3)=SC!$F$1),CT!B108,"")</f>
        <v/>
      </c>
      <c r="C113" s="65" t="str">
        <f>IF(OR(LEFT(CT!D108,3)=SC!$F$1,LEFT(CT!E108,3)=SC!$F$1),CT!C108,"")</f>
        <v/>
      </c>
      <c r="D113" s="65" t="str">
        <f>IF(LEFT(CT!D108,3)=SC!$F$1,LEFT(CT!E108,3), IF(LEFT(CT!E108,3)=SC!$F$1,LEFT(CT!D108,3),""))</f>
        <v/>
      </c>
      <c r="E113" s="69">
        <f>IF(LEFT(CT!D108,3)=SC!$F$1,CT!H108,0)</f>
        <v>0</v>
      </c>
      <c r="F113" s="69">
        <f>IF(LEFT(CT!E108,3)=SC!$F$1,CT!H108,0)</f>
        <v>0</v>
      </c>
      <c r="G113" t="b">
        <f t="shared" si="1"/>
        <v>0</v>
      </c>
    </row>
    <row r="114" spans="1:7" hidden="1" x14ac:dyDescent="0.25">
      <c r="A114" s="84" t="str">
        <f>IF(OR(LEFT(CT!D109,3)=SC!$F$1,LEFT(CT!E109,3)=SC!$F$1),CT!A109,"")</f>
        <v/>
      </c>
      <c r="B114" s="65" t="str">
        <f>IF(OR(LEFT(CT!D109,3)=SC!$F$1,LEFT(CT!E109,3)=SC!$F$1),CT!B109,"")</f>
        <v/>
      </c>
      <c r="C114" s="65" t="str">
        <f>IF(OR(LEFT(CT!D109,3)=SC!$F$1,LEFT(CT!E109,3)=SC!$F$1),CT!C109,"")</f>
        <v/>
      </c>
      <c r="D114" s="65" t="str">
        <f>IF(LEFT(CT!D109,3)=SC!$F$1,LEFT(CT!E109,3), IF(LEFT(CT!E109,3)=SC!$F$1,LEFT(CT!D109,3),""))</f>
        <v/>
      </c>
      <c r="E114" s="69">
        <f>IF(LEFT(CT!D109,3)=SC!$F$1,CT!H109,0)</f>
        <v>0</v>
      </c>
      <c r="F114" s="69">
        <f>IF(LEFT(CT!E109,3)=SC!$F$1,CT!H109,0)</f>
        <v>0</v>
      </c>
      <c r="G114" t="b">
        <f t="shared" si="1"/>
        <v>0</v>
      </c>
    </row>
    <row r="115" spans="1:7" hidden="1" x14ac:dyDescent="0.25">
      <c r="A115" s="84" t="str">
        <f>IF(OR(LEFT(CT!D110,3)=SC!$F$1,LEFT(CT!E110,3)=SC!$F$1),CT!A110,"")</f>
        <v/>
      </c>
      <c r="B115" s="65" t="str">
        <f>IF(OR(LEFT(CT!D110,3)=SC!$F$1,LEFT(CT!E110,3)=SC!$F$1),CT!B110,"")</f>
        <v/>
      </c>
      <c r="C115" s="65" t="str">
        <f>IF(OR(LEFT(CT!D110,3)=SC!$F$1,LEFT(CT!E110,3)=SC!$F$1),CT!C110,"")</f>
        <v/>
      </c>
      <c r="D115" s="65" t="str">
        <f>IF(LEFT(CT!D110,3)=SC!$F$1,LEFT(CT!E110,3), IF(LEFT(CT!E110,3)=SC!$F$1,LEFT(CT!D110,3),""))</f>
        <v/>
      </c>
      <c r="E115" s="69">
        <f>IF(LEFT(CT!D110,3)=SC!$F$1,CT!H110,0)</f>
        <v>0</v>
      </c>
      <c r="F115" s="69">
        <f>IF(LEFT(CT!E110,3)=SC!$F$1,CT!H110,0)</f>
        <v>0</v>
      </c>
      <c r="G115" t="b">
        <f t="shared" si="1"/>
        <v>0</v>
      </c>
    </row>
    <row r="116" spans="1:7" hidden="1" x14ac:dyDescent="0.25">
      <c r="A116" s="84" t="str">
        <f>IF(OR(LEFT(CT!D111,3)=SC!$F$1,LEFT(CT!E111,3)=SC!$F$1),CT!A111,"")</f>
        <v/>
      </c>
      <c r="B116" s="65" t="str">
        <f>IF(OR(LEFT(CT!D111,3)=SC!$F$1,LEFT(CT!E111,3)=SC!$F$1),CT!B111,"")</f>
        <v/>
      </c>
      <c r="C116" s="65" t="str">
        <f>IF(OR(LEFT(CT!D111,3)=SC!$F$1,LEFT(CT!E111,3)=SC!$F$1),CT!C111,"")</f>
        <v/>
      </c>
      <c r="D116" s="65" t="str">
        <f>IF(LEFT(CT!D111,3)=SC!$F$1,LEFT(CT!E111,3), IF(LEFT(CT!E111,3)=SC!$F$1,LEFT(CT!D111,3),""))</f>
        <v/>
      </c>
      <c r="E116" s="69">
        <f>IF(LEFT(CT!D111,3)=SC!$F$1,CT!H111,0)</f>
        <v>0</v>
      </c>
      <c r="F116" s="69">
        <f>IF(LEFT(CT!E111,3)=SC!$F$1,CT!H111,0)</f>
        <v>0</v>
      </c>
      <c r="G116" t="b">
        <f t="shared" si="1"/>
        <v>0</v>
      </c>
    </row>
    <row r="117" spans="1:7" hidden="1" x14ac:dyDescent="0.25">
      <c r="A117" s="84" t="str">
        <f>IF(OR(LEFT(CT!D112,3)=SC!$F$1,LEFT(CT!E112,3)=SC!$F$1),CT!A112,"")</f>
        <v/>
      </c>
      <c r="B117" s="65" t="str">
        <f>IF(OR(LEFT(CT!D112,3)=SC!$F$1,LEFT(CT!E112,3)=SC!$F$1),CT!B112,"")</f>
        <v/>
      </c>
      <c r="C117" s="65" t="str">
        <f>IF(OR(LEFT(CT!D112,3)=SC!$F$1,LEFT(CT!E112,3)=SC!$F$1),CT!C112,"")</f>
        <v/>
      </c>
      <c r="D117" s="65" t="str">
        <f>IF(LEFT(CT!D112,3)=SC!$F$1,LEFT(CT!E112,3), IF(LEFT(CT!E112,3)=SC!$F$1,LEFT(CT!D112,3),""))</f>
        <v/>
      </c>
      <c r="E117" s="69">
        <f>IF(LEFT(CT!D112,3)=SC!$F$1,CT!H112,0)</f>
        <v>0</v>
      </c>
      <c r="F117" s="69">
        <f>IF(LEFT(CT!E112,3)=SC!$F$1,CT!H112,0)</f>
        <v>0</v>
      </c>
      <c r="G117" t="b">
        <f t="shared" si="1"/>
        <v>0</v>
      </c>
    </row>
    <row r="118" spans="1:7" hidden="1" x14ac:dyDescent="0.25">
      <c r="A118" s="84" t="str">
        <f>IF(OR(LEFT(CT!D113,3)=SC!$F$1,LEFT(CT!E113,3)=SC!$F$1),CT!A113,"")</f>
        <v/>
      </c>
      <c r="B118" s="65" t="str">
        <f>IF(OR(LEFT(CT!D113,3)=SC!$F$1,LEFT(CT!E113,3)=SC!$F$1),CT!B113,"")</f>
        <v/>
      </c>
      <c r="C118" s="65" t="str">
        <f>IF(OR(LEFT(CT!D113,3)=SC!$F$1,LEFT(CT!E113,3)=SC!$F$1),CT!C113,"")</f>
        <v/>
      </c>
      <c r="D118" s="65" t="str">
        <f>IF(LEFT(CT!D113,3)=SC!$F$1,LEFT(CT!E113,3), IF(LEFT(CT!E113,3)=SC!$F$1,LEFT(CT!D113,3),""))</f>
        <v/>
      </c>
      <c r="E118" s="69">
        <f>IF(LEFT(CT!D113,3)=SC!$F$1,CT!H113,0)</f>
        <v>0</v>
      </c>
      <c r="F118" s="69">
        <f>IF(LEFT(CT!E113,3)=SC!$F$1,CT!H113,0)</f>
        <v>0</v>
      </c>
      <c r="G118" t="b">
        <f t="shared" si="1"/>
        <v>0</v>
      </c>
    </row>
    <row r="119" spans="1:7" hidden="1" x14ac:dyDescent="0.25">
      <c r="A119" s="84" t="str">
        <f>IF(OR(LEFT(CT!D114,3)=SC!$F$1,LEFT(CT!E114,3)=SC!$F$1),CT!A114,"")</f>
        <v/>
      </c>
      <c r="B119" s="65" t="str">
        <f>IF(OR(LEFT(CT!D114,3)=SC!$F$1,LEFT(CT!E114,3)=SC!$F$1),CT!B114,"")</f>
        <v/>
      </c>
      <c r="C119" s="65" t="str">
        <f>IF(OR(LEFT(CT!D114,3)=SC!$F$1,LEFT(CT!E114,3)=SC!$F$1),CT!C114,"")</f>
        <v/>
      </c>
      <c r="D119" s="65" t="str">
        <f>IF(LEFT(CT!D114,3)=SC!$F$1,LEFT(CT!E114,3), IF(LEFT(CT!E114,3)=SC!$F$1,LEFT(CT!D114,3),""))</f>
        <v/>
      </c>
      <c r="E119" s="69">
        <f>IF(LEFT(CT!D114,3)=SC!$F$1,CT!H114,0)</f>
        <v>0</v>
      </c>
      <c r="F119" s="69">
        <f>IF(LEFT(CT!E114,3)=SC!$F$1,CT!H114,0)</f>
        <v>0</v>
      </c>
      <c r="G119" t="b">
        <f t="shared" si="1"/>
        <v>0</v>
      </c>
    </row>
    <row r="120" spans="1:7" hidden="1" x14ac:dyDescent="0.25">
      <c r="A120" s="84" t="str">
        <f>IF(OR(LEFT(CT!D115,3)=SC!$F$1,LEFT(CT!E115,3)=SC!$F$1),CT!A115,"")</f>
        <v/>
      </c>
      <c r="B120" s="65" t="str">
        <f>IF(OR(LEFT(CT!D115,3)=SC!$F$1,LEFT(CT!E115,3)=SC!$F$1),CT!B115,"")</f>
        <v/>
      </c>
      <c r="C120" s="65" t="str">
        <f>IF(OR(LEFT(CT!D115,3)=SC!$F$1,LEFT(CT!E115,3)=SC!$F$1),CT!C115,"")</f>
        <v/>
      </c>
      <c r="D120" s="65" t="str">
        <f>IF(LEFT(CT!D115,3)=SC!$F$1,LEFT(CT!E115,3), IF(LEFT(CT!E115,3)=SC!$F$1,LEFT(CT!D115,3),""))</f>
        <v/>
      </c>
      <c r="E120" s="69">
        <f>IF(LEFT(CT!D115,3)=SC!$F$1,CT!H115,0)</f>
        <v>0</v>
      </c>
      <c r="F120" s="69">
        <f>IF(LEFT(CT!E115,3)=SC!$F$1,CT!H115,0)</f>
        <v>0</v>
      </c>
      <c r="G120" t="b">
        <f t="shared" si="1"/>
        <v>0</v>
      </c>
    </row>
    <row r="121" spans="1:7" hidden="1" x14ac:dyDescent="0.25">
      <c r="A121" s="84" t="str">
        <f>IF(OR(LEFT(CT!D116,3)=SC!$F$1,LEFT(CT!E116,3)=SC!$F$1),CT!A116,"")</f>
        <v/>
      </c>
      <c r="B121" s="65" t="str">
        <f>IF(OR(LEFT(CT!D116,3)=SC!$F$1,LEFT(CT!E116,3)=SC!$F$1),CT!B116,"")</f>
        <v/>
      </c>
      <c r="C121" s="65" t="str">
        <f>IF(OR(LEFT(CT!D116,3)=SC!$F$1,LEFT(CT!E116,3)=SC!$F$1),CT!C116,"")</f>
        <v/>
      </c>
      <c r="D121" s="65" t="str">
        <f>IF(LEFT(CT!D116,3)=SC!$F$1,LEFT(CT!E116,3), IF(LEFT(CT!E116,3)=SC!$F$1,LEFT(CT!D116,3),""))</f>
        <v/>
      </c>
      <c r="E121" s="69">
        <f>IF(LEFT(CT!D116,3)=SC!$F$1,CT!H116,0)</f>
        <v>0</v>
      </c>
      <c r="F121" s="69">
        <f>IF(LEFT(CT!E116,3)=SC!$F$1,CT!H116,0)</f>
        <v>0</v>
      </c>
      <c r="G121" t="b">
        <f t="shared" si="1"/>
        <v>0</v>
      </c>
    </row>
    <row r="122" spans="1:7" hidden="1" x14ac:dyDescent="0.25">
      <c r="A122" s="84" t="str">
        <f>IF(OR(LEFT(CT!D117,3)=SC!$F$1,LEFT(CT!E117,3)=SC!$F$1),CT!A117,"")</f>
        <v/>
      </c>
      <c r="B122" s="65" t="str">
        <f>IF(OR(LEFT(CT!D117,3)=SC!$F$1,LEFT(CT!E117,3)=SC!$F$1),CT!B117,"")</f>
        <v/>
      </c>
      <c r="C122" s="65" t="str">
        <f>IF(OR(LEFT(CT!D117,3)=SC!$F$1,LEFT(CT!E117,3)=SC!$F$1),CT!C117,"")</f>
        <v/>
      </c>
      <c r="D122" s="65" t="str">
        <f>IF(LEFT(CT!D117,3)=SC!$F$1,LEFT(CT!E117,3), IF(LEFT(CT!E117,3)=SC!$F$1,LEFT(CT!D117,3),""))</f>
        <v/>
      </c>
      <c r="E122" s="69">
        <f>IF(LEFT(CT!D117,3)=SC!$F$1,CT!H117,0)</f>
        <v>0</v>
      </c>
      <c r="F122" s="69">
        <f>IF(LEFT(CT!E117,3)=SC!$F$1,CT!H117,0)</f>
        <v>0</v>
      </c>
      <c r="G122" t="b">
        <f t="shared" si="1"/>
        <v>0</v>
      </c>
    </row>
    <row r="123" spans="1:7" hidden="1" x14ac:dyDescent="0.25">
      <c r="A123" s="84" t="str">
        <f>IF(OR(LEFT(CT!D118,3)=SC!$F$1,LEFT(CT!E118,3)=SC!$F$1),CT!A118,"")</f>
        <v/>
      </c>
      <c r="B123" s="65" t="str">
        <f>IF(OR(LEFT(CT!D118,3)=SC!$F$1,LEFT(CT!E118,3)=SC!$F$1),CT!B118,"")</f>
        <v/>
      </c>
      <c r="C123" s="65" t="str">
        <f>IF(OR(LEFT(CT!D118,3)=SC!$F$1,LEFT(CT!E118,3)=SC!$F$1),CT!C118,"")</f>
        <v/>
      </c>
      <c r="D123" s="65" t="str">
        <f>IF(LEFT(CT!D118,3)=SC!$F$1,LEFT(CT!E118,3), IF(LEFT(CT!E118,3)=SC!$F$1,LEFT(CT!D118,3),""))</f>
        <v/>
      </c>
      <c r="E123" s="69">
        <f>IF(LEFT(CT!D118,3)=SC!$F$1,CT!H118,0)</f>
        <v>0</v>
      </c>
      <c r="F123" s="69">
        <f>IF(LEFT(CT!E118,3)=SC!$F$1,CT!H118,0)</f>
        <v>0</v>
      </c>
      <c r="G123" t="b">
        <f t="shared" si="1"/>
        <v>0</v>
      </c>
    </row>
    <row r="124" spans="1:7" hidden="1" x14ac:dyDescent="0.25">
      <c r="A124" s="84" t="str">
        <f>IF(OR(LEFT(CT!D119,3)=SC!$F$1,LEFT(CT!E119,3)=SC!$F$1),CT!A119,"")</f>
        <v/>
      </c>
      <c r="B124" s="65" t="str">
        <f>IF(OR(LEFT(CT!D119,3)=SC!$F$1,LEFT(CT!E119,3)=SC!$F$1),CT!B119,"")</f>
        <v/>
      </c>
      <c r="C124" s="65" t="str">
        <f>IF(OR(LEFT(CT!D119,3)=SC!$F$1,LEFT(CT!E119,3)=SC!$F$1),CT!C119,"")</f>
        <v/>
      </c>
      <c r="D124" s="65" t="str">
        <f>IF(LEFT(CT!D119,3)=SC!$F$1,LEFT(CT!E119,3), IF(LEFT(CT!E119,3)=SC!$F$1,LEFT(CT!D119,3),""))</f>
        <v/>
      </c>
      <c r="E124" s="69">
        <f>IF(LEFT(CT!D119,3)=SC!$F$1,CT!H119,0)</f>
        <v>0</v>
      </c>
      <c r="F124" s="69">
        <f>IF(LEFT(CT!E119,3)=SC!$F$1,CT!H119,0)</f>
        <v>0</v>
      </c>
      <c r="G124" t="b">
        <f t="shared" si="1"/>
        <v>0</v>
      </c>
    </row>
    <row r="125" spans="1:7" hidden="1" x14ac:dyDescent="0.25">
      <c r="A125" s="84" t="str">
        <f>IF(OR(LEFT(CT!D120,3)=SC!$F$1,LEFT(CT!E120,3)=SC!$F$1),CT!A120,"")</f>
        <v/>
      </c>
      <c r="B125" s="65" t="str">
        <f>IF(OR(LEFT(CT!D120,3)=SC!$F$1,LEFT(CT!E120,3)=SC!$F$1),CT!B120,"")</f>
        <v/>
      </c>
      <c r="C125" s="65" t="str">
        <f>IF(OR(LEFT(CT!D120,3)=SC!$F$1,LEFT(CT!E120,3)=SC!$F$1),CT!C120,"")</f>
        <v/>
      </c>
      <c r="D125" s="65" t="str">
        <f>IF(LEFT(CT!D120,3)=SC!$F$1,LEFT(CT!E120,3), IF(LEFT(CT!E120,3)=SC!$F$1,LEFT(CT!D120,3),""))</f>
        <v/>
      </c>
      <c r="E125" s="69">
        <f>IF(LEFT(CT!D120,3)=SC!$F$1,CT!H120,0)</f>
        <v>0</v>
      </c>
      <c r="F125" s="69">
        <f>IF(LEFT(CT!E120,3)=SC!$F$1,CT!H120,0)</f>
        <v>0</v>
      </c>
      <c r="G125" t="b">
        <f t="shared" si="1"/>
        <v>0</v>
      </c>
    </row>
    <row r="126" spans="1:7" hidden="1" x14ac:dyDescent="0.25">
      <c r="A126" s="84" t="str">
        <f>IF(OR(LEFT(CT!D121,3)=SC!$F$1,LEFT(CT!E121,3)=SC!$F$1),CT!A121,"")</f>
        <v/>
      </c>
      <c r="B126" s="65" t="str">
        <f>IF(OR(LEFT(CT!D121,3)=SC!$F$1,LEFT(CT!E121,3)=SC!$F$1),CT!B121,"")</f>
        <v/>
      </c>
      <c r="C126" s="65" t="str">
        <f>IF(OR(LEFT(CT!D121,3)=SC!$F$1,LEFT(CT!E121,3)=SC!$F$1),CT!C121,"")</f>
        <v/>
      </c>
      <c r="D126" s="65" t="str">
        <f>IF(LEFT(CT!D121,3)=SC!$F$1,LEFT(CT!E121,3), IF(LEFT(CT!E121,3)=SC!$F$1,LEFT(CT!D121,3),""))</f>
        <v/>
      </c>
      <c r="E126" s="69">
        <f>IF(LEFT(CT!D121,3)=SC!$F$1,CT!H121,0)</f>
        <v>0</v>
      </c>
      <c r="F126" s="69">
        <f>IF(LEFT(CT!E121,3)=SC!$F$1,CT!H121,0)</f>
        <v>0</v>
      </c>
      <c r="G126" t="b">
        <f t="shared" si="1"/>
        <v>0</v>
      </c>
    </row>
    <row r="127" spans="1:7" hidden="1" x14ac:dyDescent="0.25">
      <c r="A127" s="84" t="str">
        <f>IF(OR(LEFT(CT!D122,3)=SC!$F$1,LEFT(CT!E122,3)=SC!$F$1),CT!A122,"")</f>
        <v/>
      </c>
      <c r="B127" s="65" t="str">
        <f>IF(OR(LEFT(CT!D122,3)=SC!$F$1,LEFT(CT!E122,3)=SC!$F$1),CT!B122,"")</f>
        <v/>
      </c>
      <c r="C127" s="65" t="str">
        <f>IF(OR(LEFT(CT!D122,3)=SC!$F$1,LEFT(CT!E122,3)=SC!$F$1),CT!C122,"")</f>
        <v/>
      </c>
      <c r="D127" s="65" t="str">
        <f>IF(LEFT(CT!D122,3)=SC!$F$1,LEFT(CT!E122,3), IF(LEFT(CT!E122,3)=SC!$F$1,LEFT(CT!D122,3),""))</f>
        <v/>
      </c>
      <c r="E127" s="69">
        <f>IF(LEFT(CT!D122,3)=SC!$F$1,CT!H122,0)</f>
        <v>0</v>
      </c>
      <c r="F127" s="69">
        <f>IF(LEFT(CT!E122,3)=SC!$F$1,CT!H122,0)</f>
        <v>0</v>
      </c>
      <c r="G127" t="b">
        <f t="shared" si="1"/>
        <v>0</v>
      </c>
    </row>
    <row r="128" spans="1:7" hidden="1" x14ac:dyDescent="0.25">
      <c r="A128" s="84" t="str">
        <f>IF(OR(LEFT(CT!D123,3)=SC!$F$1,LEFT(CT!E123,3)=SC!$F$1),CT!A123,"")</f>
        <v/>
      </c>
      <c r="B128" s="65" t="str">
        <f>IF(OR(LEFT(CT!D123,3)=SC!$F$1,LEFT(CT!E123,3)=SC!$F$1),CT!B123,"")</f>
        <v/>
      </c>
      <c r="C128" s="65" t="str">
        <f>IF(OR(LEFT(CT!D123,3)=SC!$F$1,LEFT(CT!E123,3)=SC!$F$1),CT!C123,"")</f>
        <v/>
      </c>
      <c r="D128" s="65" t="str">
        <f>IF(LEFT(CT!D123,3)=SC!$F$1,LEFT(CT!E123,3), IF(LEFT(CT!E123,3)=SC!$F$1,LEFT(CT!D123,3),""))</f>
        <v/>
      </c>
      <c r="E128" s="69">
        <f>IF(LEFT(CT!D123,3)=SC!$F$1,CT!H123,0)</f>
        <v>0</v>
      </c>
      <c r="F128" s="69">
        <f>IF(LEFT(CT!E123,3)=SC!$F$1,CT!H123,0)</f>
        <v>0</v>
      </c>
      <c r="G128" t="b">
        <f t="shared" si="1"/>
        <v>0</v>
      </c>
    </row>
    <row r="129" spans="1:7" hidden="1" x14ac:dyDescent="0.25">
      <c r="A129" s="84" t="str">
        <f>IF(OR(LEFT(CT!D124,3)=SC!$F$1,LEFT(CT!E124,3)=SC!$F$1),CT!A124,"")</f>
        <v/>
      </c>
      <c r="B129" s="65" t="str">
        <f>IF(OR(LEFT(CT!D124,3)=SC!$F$1,LEFT(CT!E124,3)=SC!$F$1),CT!B124,"")</f>
        <v/>
      </c>
      <c r="C129" s="65" t="str">
        <f>IF(OR(LEFT(CT!D124,3)=SC!$F$1,LEFT(CT!E124,3)=SC!$F$1),CT!C124,"")</f>
        <v/>
      </c>
      <c r="D129" s="65" t="str">
        <f>IF(LEFT(CT!D124,3)=SC!$F$1,LEFT(CT!E124,3), IF(LEFT(CT!E124,3)=SC!$F$1,LEFT(CT!D124,3),""))</f>
        <v/>
      </c>
      <c r="E129" s="69">
        <f>IF(LEFT(CT!D124,3)=SC!$F$1,CT!H124,0)</f>
        <v>0</v>
      </c>
      <c r="F129" s="69">
        <f>IF(LEFT(CT!E124,3)=SC!$F$1,CT!H124,0)</f>
        <v>0</v>
      </c>
      <c r="G129" t="b">
        <f t="shared" si="1"/>
        <v>0</v>
      </c>
    </row>
    <row r="130" spans="1:7" hidden="1" x14ac:dyDescent="0.25">
      <c r="A130" s="84" t="str">
        <f>IF(OR(LEFT(CT!D125,3)=SC!$F$1,LEFT(CT!E125,3)=SC!$F$1),CT!A125,"")</f>
        <v/>
      </c>
      <c r="B130" s="65" t="str">
        <f>IF(OR(LEFT(CT!D125,3)=SC!$F$1,LEFT(CT!E125,3)=SC!$F$1),CT!B125,"")</f>
        <v/>
      </c>
      <c r="C130" s="65" t="str">
        <f>IF(OR(LEFT(CT!D125,3)=SC!$F$1,LEFT(CT!E125,3)=SC!$F$1),CT!C125,"")</f>
        <v/>
      </c>
      <c r="D130" s="65" t="str">
        <f>IF(LEFT(CT!D125,3)=SC!$F$1,LEFT(CT!E125,3), IF(LEFT(CT!E125,3)=SC!$F$1,LEFT(CT!D125,3),""))</f>
        <v/>
      </c>
      <c r="E130" s="69">
        <f>IF(LEFT(CT!D125,3)=SC!$F$1,CT!H125,0)</f>
        <v>0</v>
      </c>
      <c r="F130" s="69">
        <f>IF(LEFT(CT!E125,3)=SC!$F$1,CT!H125,0)</f>
        <v>0</v>
      </c>
      <c r="G130" t="b">
        <f t="shared" si="1"/>
        <v>0</v>
      </c>
    </row>
    <row r="131" spans="1:7" hidden="1" x14ac:dyDescent="0.25">
      <c r="A131" s="84" t="str">
        <f>IF(OR(LEFT(CT!D126,3)=SC!$F$1,LEFT(CT!E126,3)=SC!$F$1),CT!A126,"")</f>
        <v/>
      </c>
      <c r="B131" s="65" t="str">
        <f>IF(OR(LEFT(CT!D126,3)=SC!$F$1,LEFT(CT!E126,3)=SC!$F$1),CT!B126,"")</f>
        <v/>
      </c>
      <c r="C131" s="65" t="str">
        <f>IF(OR(LEFT(CT!D126,3)=SC!$F$1,LEFT(CT!E126,3)=SC!$F$1),CT!C126,"")</f>
        <v/>
      </c>
      <c r="D131" s="65" t="str">
        <f>IF(LEFT(CT!D126,3)=SC!$F$1,LEFT(CT!E126,3), IF(LEFT(CT!E126,3)=SC!$F$1,LEFT(CT!D126,3),""))</f>
        <v/>
      </c>
      <c r="E131" s="69">
        <f>IF(LEFT(CT!D126,3)=SC!$F$1,CT!H126,0)</f>
        <v>0</v>
      </c>
      <c r="F131" s="69">
        <f>IF(LEFT(CT!E126,3)=SC!$F$1,CT!H126,0)</f>
        <v>0</v>
      </c>
      <c r="G131" t="b">
        <f t="shared" si="1"/>
        <v>0</v>
      </c>
    </row>
    <row r="132" spans="1:7" hidden="1" x14ac:dyDescent="0.25">
      <c r="A132" s="84" t="str">
        <f>IF(OR(LEFT(CT!D127,3)=SC!$F$1,LEFT(CT!E127,3)=SC!$F$1),CT!A127,"")</f>
        <v/>
      </c>
      <c r="B132" s="65" t="str">
        <f>IF(OR(LEFT(CT!D127,3)=SC!$F$1,LEFT(CT!E127,3)=SC!$F$1),CT!B127,"")</f>
        <v/>
      </c>
      <c r="C132" s="65" t="str">
        <f>IF(OR(LEFT(CT!D127,3)=SC!$F$1,LEFT(CT!E127,3)=SC!$F$1),CT!C127,"")</f>
        <v/>
      </c>
      <c r="D132" s="65" t="str">
        <f>IF(LEFT(CT!D127,3)=SC!$F$1,LEFT(CT!E127,3), IF(LEFT(CT!E127,3)=SC!$F$1,LEFT(CT!D127,3),""))</f>
        <v/>
      </c>
      <c r="E132" s="69">
        <f>IF(LEFT(CT!D127,3)=SC!$F$1,CT!H127,0)</f>
        <v>0</v>
      </c>
      <c r="F132" s="69">
        <f>IF(LEFT(CT!E127,3)=SC!$F$1,CT!H127,0)</f>
        <v>0</v>
      </c>
      <c r="G132" t="b">
        <f t="shared" si="1"/>
        <v>0</v>
      </c>
    </row>
    <row r="133" spans="1:7" hidden="1" x14ac:dyDescent="0.25">
      <c r="A133" s="84" t="str">
        <f>IF(OR(LEFT(CT!D128,3)=SC!$F$1,LEFT(CT!E128,3)=SC!$F$1),CT!A128,"")</f>
        <v/>
      </c>
      <c r="B133" s="65" t="str">
        <f>IF(OR(LEFT(CT!D128,3)=SC!$F$1,LEFT(CT!E128,3)=SC!$F$1),CT!B128,"")</f>
        <v/>
      </c>
      <c r="C133" s="65" t="str">
        <f>IF(OR(LEFT(CT!D128,3)=SC!$F$1,LEFT(CT!E128,3)=SC!$F$1),CT!C128,"")</f>
        <v/>
      </c>
      <c r="D133" s="65" t="str">
        <f>IF(LEFT(CT!D128,3)=SC!$F$1,LEFT(CT!E128,3), IF(LEFT(CT!E128,3)=SC!$F$1,LEFT(CT!D128,3),""))</f>
        <v/>
      </c>
      <c r="E133" s="69">
        <f>IF(LEFT(CT!D128,3)=SC!$F$1,CT!H128,0)</f>
        <v>0</v>
      </c>
      <c r="F133" s="69">
        <f>IF(LEFT(CT!E128,3)=SC!$F$1,CT!H128,0)</f>
        <v>0</v>
      </c>
      <c r="G133" t="b">
        <f t="shared" si="1"/>
        <v>0</v>
      </c>
    </row>
    <row r="134" spans="1:7" hidden="1" x14ac:dyDescent="0.25">
      <c r="A134" s="84" t="str">
        <f>IF(OR(LEFT(CT!D129,3)=SC!$F$1,LEFT(CT!E129,3)=SC!$F$1),CT!A129,"")</f>
        <v/>
      </c>
      <c r="B134" s="65" t="str">
        <f>IF(OR(LEFT(CT!D129,3)=SC!$F$1,LEFT(CT!E129,3)=SC!$F$1),CT!B129,"")</f>
        <v/>
      </c>
      <c r="C134" s="65" t="str">
        <f>IF(OR(LEFT(CT!D129,3)=SC!$F$1,LEFT(CT!E129,3)=SC!$F$1),CT!C129,"")</f>
        <v/>
      </c>
      <c r="D134" s="65" t="str">
        <f>IF(LEFT(CT!D129,3)=SC!$F$1,LEFT(CT!E129,3), IF(LEFT(CT!E129,3)=SC!$F$1,LEFT(CT!D129,3),""))</f>
        <v/>
      </c>
      <c r="E134" s="69">
        <f>IF(LEFT(CT!D129,3)=SC!$F$1,CT!H129,0)</f>
        <v>0</v>
      </c>
      <c r="F134" s="69">
        <f>IF(LEFT(CT!E129,3)=SC!$F$1,CT!H129,0)</f>
        <v>0</v>
      </c>
      <c r="G134" t="b">
        <f t="shared" si="1"/>
        <v>0</v>
      </c>
    </row>
    <row r="135" spans="1:7" hidden="1" x14ac:dyDescent="0.25">
      <c r="A135" s="84" t="str">
        <f>IF(OR(LEFT(CT!D130,3)=SC!$F$1,LEFT(CT!E130,3)=SC!$F$1),CT!A130,"")</f>
        <v/>
      </c>
      <c r="B135" s="65" t="str">
        <f>IF(OR(LEFT(CT!D130,3)=SC!$F$1,LEFT(CT!E130,3)=SC!$F$1),CT!B130,"")</f>
        <v/>
      </c>
      <c r="C135" s="65" t="str">
        <f>IF(OR(LEFT(CT!D130,3)=SC!$F$1,LEFT(CT!E130,3)=SC!$F$1),CT!C130,"")</f>
        <v/>
      </c>
      <c r="D135" s="65" t="str">
        <f>IF(LEFT(CT!D130,3)=SC!$F$1,LEFT(CT!E130,3), IF(LEFT(CT!E130,3)=SC!$F$1,LEFT(CT!D130,3),""))</f>
        <v/>
      </c>
      <c r="E135" s="69">
        <f>IF(LEFT(CT!D130,3)=SC!$F$1,CT!H130,0)</f>
        <v>0</v>
      </c>
      <c r="F135" s="69">
        <f>IF(LEFT(CT!E130,3)=SC!$F$1,CT!H130,0)</f>
        <v>0</v>
      </c>
      <c r="G135" t="b">
        <f t="shared" si="1"/>
        <v>0</v>
      </c>
    </row>
    <row r="136" spans="1:7" hidden="1" x14ac:dyDescent="0.25">
      <c r="A136" s="84" t="str">
        <f>IF(OR(LEFT(CT!D131,3)=SC!$F$1,LEFT(CT!E131,3)=SC!$F$1),CT!A131,"")</f>
        <v/>
      </c>
      <c r="B136" s="65" t="str">
        <f>IF(OR(LEFT(CT!D131,3)=SC!$F$1,LEFT(CT!E131,3)=SC!$F$1),CT!B131,"")</f>
        <v/>
      </c>
      <c r="C136" s="65" t="str">
        <f>IF(OR(LEFT(CT!D131,3)=SC!$F$1,LEFT(CT!E131,3)=SC!$F$1),CT!C131,"")</f>
        <v/>
      </c>
      <c r="D136" s="65" t="str">
        <f>IF(LEFT(CT!D131,3)=SC!$F$1,LEFT(CT!E131,3), IF(LEFT(CT!E131,3)=SC!$F$1,LEFT(CT!D131,3),""))</f>
        <v/>
      </c>
      <c r="E136" s="69">
        <f>IF(LEFT(CT!D131,3)=SC!$F$1,CT!H131,0)</f>
        <v>0</v>
      </c>
      <c r="F136" s="69">
        <f>IF(LEFT(CT!E131,3)=SC!$F$1,CT!H131,0)</f>
        <v>0</v>
      </c>
      <c r="G136" t="b">
        <f t="shared" si="1"/>
        <v>0</v>
      </c>
    </row>
    <row r="137" spans="1:7" hidden="1" x14ac:dyDescent="0.25">
      <c r="A137" s="84" t="str">
        <f>IF(OR(LEFT(CT!D132,3)=SC!$F$1,LEFT(CT!E132,3)=SC!$F$1),CT!A132,"")</f>
        <v/>
      </c>
      <c r="B137" s="65" t="str">
        <f>IF(OR(LEFT(CT!D132,3)=SC!$F$1,LEFT(CT!E132,3)=SC!$F$1),CT!B132,"")</f>
        <v/>
      </c>
      <c r="C137" s="65" t="str">
        <f>IF(OR(LEFT(CT!D132,3)=SC!$F$1,LEFT(CT!E132,3)=SC!$F$1),CT!C132,"")</f>
        <v/>
      </c>
      <c r="D137" s="65" t="str">
        <f>IF(LEFT(CT!D132,3)=SC!$F$1,LEFT(CT!E132,3), IF(LEFT(CT!E132,3)=SC!$F$1,LEFT(CT!D132,3),""))</f>
        <v/>
      </c>
      <c r="E137" s="69">
        <f>IF(LEFT(CT!D132,3)=SC!$F$1,CT!H132,0)</f>
        <v>0</v>
      </c>
      <c r="F137" s="69">
        <f>IF(LEFT(CT!E132,3)=SC!$F$1,CT!H132,0)</f>
        <v>0</v>
      </c>
      <c r="G137" t="b">
        <f t="shared" si="1"/>
        <v>0</v>
      </c>
    </row>
    <row r="138" spans="1:7" hidden="1" x14ac:dyDescent="0.25">
      <c r="A138" s="84" t="str">
        <f>IF(OR(LEFT(CT!D133,3)=SC!$F$1,LEFT(CT!E133,3)=SC!$F$1),CT!A133,"")</f>
        <v/>
      </c>
      <c r="B138" s="65" t="str">
        <f>IF(OR(LEFT(CT!D133,3)=SC!$F$1,LEFT(CT!E133,3)=SC!$F$1),CT!B133,"")</f>
        <v/>
      </c>
      <c r="C138" s="65" t="str">
        <f>IF(OR(LEFT(CT!D133,3)=SC!$F$1,LEFT(CT!E133,3)=SC!$F$1),CT!C133,"")</f>
        <v/>
      </c>
      <c r="D138" s="65" t="str">
        <f>IF(LEFT(CT!D133,3)=SC!$F$1,LEFT(CT!E133,3), IF(LEFT(CT!E133,3)=SC!$F$1,LEFT(CT!D133,3),""))</f>
        <v/>
      </c>
      <c r="E138" s="69">
        <f>IF(LEFT(CT!D133,3)=SC!$F$1,CT!H133,0)</f>
        <v>0</v>
      </c>
      <c r="F138" s="69">
        <f>IF(LEFT(CT!E133,3)=SC!$F$1,CT!H133,0)</f>
        <v>0</v>
      </c>
      <c r="G138" t="b">
        <f t="shared" si="1"/>
        <v>0</v>
      </c>
    </row>
    <row r="139" spans="1:7" hidden="1" x14ac:dyDescent="0.25">
      <c r="A139" s="84" t="str">
        <f>IF(OR(LEFT(CT!D134,3)=SC!$F$1,LEFT(CT!E134,3)=SC!$F$1),CT!A134,"")</f>
        <v/>
      </c>
      <c r="B139" s="65" t="str">
        <f>IF(OR(LEFT(CT!D134,3)=SC!$F$1,LEFT(CT!E134,3)=SC!$F$1),CT!B134,"")</f>
        <v/>
      </c>
      <c r="C139" s="65" t="str">
        <f>IF(OR(LEFT(CT!D134,3)=SC!$F$1,LEFT(CT!E134,3)=SC!$F$1),CT!C134,"")</f>
        <v/>
      </c>
      <c r="D139" s="65" t="str">
        <f>IF(LEFT(CT!D134,3)=SC!$F$1,LEFT(CT!E134,3), IF(LEFT(CT!E134,3)=SC!$F$1,LEFT(CT!D134,3),""))</f>
        <v/>
      </c>
      <c r="E139" s="69">
        <f>IF(LEFT(CT!D134,3)=SC!$F$1,CT!H134,0)</f>
        <v>0</v>
      </c>
      <c r="F139" s="69">
        <f>IF(LEFT(CT!E134,3)=SC!$F$1,CT!H134,0)</f>
        <v>0</v>
      </c>
      <c r="G139" t="b">
        <f t="shared" ref="G139:G148" si="2">AND(A139&gt;=$D$3,A139&lt;=$F$3)</f>
        <v>0</v>
      </c>
    </row>
    <row r="140" spans="1:7" hidden="1" x14ac:dyDescent="0.25">
      <c r="A140" s="84" t="str">
        <f>IF(OR(LEFT(CT!D135,3)=SC!$F$1,LEFT(CT!E135,3)=SC!$F$1),CT!A135,"")</f>
        <v/>
      </c>
      <c r="B140" s="65" t="str">
        <f>IF(OR(LEFT(CT!D135,3)=SC!$F$1,LEFT(CT!E135,3)=SC!$F$1),CT!B135,"")</f>
        <v/>
      </c>
      <c r="C140" s="65" t="str">
        <f>IF(OR(LEFT(CT!D135,3)=SC!$F$1,LEFT(CT!E135,3)=SC!$F$1),CT!C135,"")</f>
        <v/>
      </c>
      <c r="D140" s="65" t="str">
        <f>IF(LEFT(CT!D135,3)=SC!$F$1,LEFT(CT!E135,3), IF(LEFT(CT!E135,3)=SC!$F$1,LEFT(CT!D135,3),""))</f>
        <v/>
      </c>
      <c r="E140" s="69">
        <f>IF(LEFT(CT!D135,3)=SC!$F$1,CT!H135,0)</f>
        <v>0</v>
      </c>
      <c r="F140" s="69">
        <f>IF(LEFT(CT!E135,3)=SC!$F$1,CT!H135,0)</f>
        <v>0</v>
      </c>
      <c r="G140" t="b">
        <f t="shared" si="2"/>
        <v>0</v>
      </c>
    </row>
    <row r="141" spans="1:7" hidden="1" x14ac:dyDescent="0.25">
      <c r="A141" s="84" t="str">
        <f>IF(OR(LEFT(CT!D136,3)=SC!$F$1,LEFT(CT!E136,3)=SC!$F$1),CT!A136,"")</f>
        <v/>
      </c>
      <c r="B141" s="65" t="str">
        <f>IF(OR(LEFT(CT!D136,3)=SC!$F$1,LEFT(CT!E136,3)=SC!$F$1),CT!B136,"")</f>
        <v/>
      </c>
      <c r="C141" s="65" t="str">
        <f>IF(OR(LEFT(CT!D136,3)=SC!$F$1,LEFT(CT!E136,3)=SC!$F$1),CT!C136,"")</f>
        <v/>
      </c>
      <c r="D141" s="65" t="str">
        <f>IF(LEFT(CT!D136,3)=SC!$F$1,LEFT(CT!E136,3), IF(LEFT(CT!E136,3)=SC!$F$1,LEFT(CT!D136,3),""))</f>
        <v/>
      </c>
      <c r="E141" s="69">
        <f>IF(LEFT(CT!D136,3)=SC!$F$1,CT!H136,0)</f>
        <v>0</v>
      </c>
      <c r="F141" s="69">
        <f>IF(LEFT(CT!E136,3)=SC!$F$1,CT!H136,0)</f>
        <v>0</v>
      </c>
      <c r="G141" t="b">
        <f t="shared" si="2"/>
        <v>0</v>
      </c>
    </row>
    <row r="142" spans="1:7" hidden="1" x14ac:dyDescent="0.25">
      <c r="A142" s="84" t="str">
        <f>IF(OR(LEFT(CT!D137,3)=SC!$F$1,LEFT(CT!E137,3)=SC!$F$1),CT!A137,"")</f>
        <v/>
      </c>
      <c r="B142" s="65" t="str">
        <f>IF(OR(LEFT(CT!D137,3)=SC!$F$1,LEFT(CT!E137,3)=SC!$F$1),CT!B137,"")</f>
        <v/>
      </c>
      <c r="C142" s="65" t="str">
        <f>IF(OR(LEFT(CT!D137,3)=SC!$F$1,LEFT(CT!E137,3)=SC!$F$1),CT!C137,"")</f>
        <v/>
      </c>
      <c r="D142" s="65" t="str">
        <f>IF(LEFT(CT!D137,3)=SC!$F$1,LEFT(CT!E137,3), IF(LEFT(CT!E137,3)=SC!$F$1,LEFT(CT!D137,3),""))</f>
        <v/>
      </c>
      <c r="E142" s="69">
        <f>IF(LEFT(CT!D137,3)=SC!$F$1,CT!H137,0)</f>
        <v>0</v>
      </c>
      <c r="F142" s="69">
        <f>IF(LEFT(CT!E137,3)=SC!$F$1,CT!H137,0)</f>
        <v>0</v>
      </c>
      <c r="G142" t="b">
        <f t="shared" si="2"/>
        <v>0</v>
      </c>
    </row>
    <row r="143" spans="1:7" hidden="1" x14ac:dyDescent="0.25">
      <c r="A143" s="84" t="str">
        <f>IF(OR(LEFT(CT!D138,3)=SC!$F$1,LEFT(CT!E138,3)=SC!$F$1),CT!A138,"")</f>
        <v/>
      </c>
      <c r="B143" s="65" t="str">
        <f>IF(OR(LEFT(CT!D138,3)=SC!$F$1,LEFT(CT!E138,3)=SC!$F$1),CT!B138,"")</f>
        <v/>
      </c>
      <c r="C143" s="65" t="str">
        <f>IF(OR(LEFT(CT!D138,3)=SC!$F$1,LEFT(CT!E138,3)=SC!$F$1),CT!C138,"")</f>
        <v/>
      </c>
      <c r="D143" s="65" t="str">
        <f>IF(LEFT(CT!D138,3)=SC!$F$1,LEFT(CT!E138,3), IF(LEFT(CT!E138,3)=SC!$F$1,LEFT(CT!D138,3),""))</f>
        <v/>
      </c>
      <c r="E143" s="69">
        <f>IF(LEFT(CT!D138,3)=SC!$F$1,CT!H138,0)</f>
        <v>0</v>
      </c>
      <c r="F143" s="69">
        <f>IF(LEFT(CT!E138,3)=SC!$F$1,CT!H138,0)</f>
        <v>0</v>
      </c>
      <c r="G143" t="b">
        <f t="shared" si="2"/>
        <v>0</v>
      </c>
    </row>
    <row r="144" spans="1:7" hidden="1" x14ac:dyDescent="0.25">
      <c r="A144" s="84" t="str">
        <f>IF(OR(LEFT(CT!D139,3)=SC!$F$1,LEFT(CT!E139,3)=SC!$F$1),CT!A139,"")</f>
        <v/>
      </c>
      <c r="B144" s="65" t="str">
        <f>IF(OR(LEFT(CT!D139,3)=SC!$F$1,LEFT(CT!E139,3)=SC!$F$1),CT!B139,"")</f>
        <v/>
      </c>
      <c r="C144" s="65" t="str">
        <f>IF(OR(LEFT(CT!D139,3)=SC!$F$1,LEFT(CT!E139,3)=SC!$F$1),CT!C139,"")</f>
        <v/>
      </c>
      <c r="D144" s="65" t="str">
        <f>IF(LEFT(CT!D139,3)=SC!$F$1,LEFT(CT!E139,3), IF(LEFT(CT!E139,3)=SC!$F$1,LEFT(CT!D139,3),""))</f>
        <v/>
      </c>
      <c r="E144" s="69">
        <f>IF(LEFT(CT!D139,3)=SC!$F$1,CT!H139,0)</f>
        <v>0</v>
      </c>
      <c r="F144" s="69">
        <f>IF(LEFT(CT!E139,3)=SC!$F$1,CT!H139,0)</f>
        <v>0</v>
      </c>
      <c r="G144" t="b">
        <f t="shared" si="2"/>
        <v>0</v>
      </c>
    </row>
    <row r="145" spans="1:7" hidden="1" x14ac:dyDescent="0.25">
      <c r="A145" s="84" t="str">
        <f>IF(OR(LEFT(CT!D140,3)=SC!$F$1,LEFT(CT!E140,3)=SC!$F$1),CT!A140,"")</f>
        <v/>
      </c>
      <c r="B145" s="65" t="str">
        <f>IF(OR(LEFT(CT!D140,3)=SC!$F$1,LEFT(CT!E140,3)=SC!$F$1),CT!B140,"")</f>
        <v/>
      </c>
      <c r="C145" s="65" t="str">
        <f>IF(OR(LEFT(CT!D140,3)=SC!$F$1,LEFT(CT!E140,3)=SC!$F$1),CT!C140,"")</f>
        <v/>
      </c>
      <c r="D145" s="65" t="str">
        <f>IF(LEFT(CT!D140,3)=SC!$F$1,LEFT(CT!E140,3), IF(LEFT(CT!E140,3)=SC!$F$1,LEFT(CT!D140,3),""))</f>
        <v/>
      </c>
      <c r="E145" s="69">
        <f>IF(LEFT(CT!D140,3)=SC!$F$1,CT!H140,0)</f>
        <v>0</v>
      </c>
      <c r="F145" s="69">
        <f>IF(LEFT(CT!E140,3)=SC!$F$1,CT!H140,0)</f>
        <v>0</v>
      </c>
      <c r="G145" t="b">
        <f t="shared" si="2"/>
        <v>0</v>
      </c>
    </row>
    <row r="146" spans="1:7" hidden="1" x14ac:dyDescent="0.25">
      <c r="A146" s="84" t="str">
        <f>IF(OR(LEFT(CT!D141,3)=SC!$F$1,LEFT(CT!E141,3)=SC!$F$1),CT!A141,"")</f>
        <v/>
      </c>
      <c r="B146" s="65" t="str">
        <f>IF(OR(LEFT(CT!D141,3)=SC!$F$1,LEFT(CT!E141,3)=SC!$F$1),CT!B141,"")</f>
        <v/>
      </c>
      <c r="C146" s="65" t="str">
        <f>IF(OR(LEFT(CT!D141,3)=SC!$F$1,LEFT(CT!E141,3)=SC!$F$1),CT!C141,"")</f>
        <v/>
      </c>
      <c r="D146" s="65" t="str">
        <f>IF(LEFT(CT!D141,3)=SC!$F$1,LEFT(CT!E141,3), IF(LEFT(CT!E141,3)=SC!$F$1,LEFT(CT!D141,3),""))</f>
        <v/>
      </c>
      <c r="E146" s="69">
        <f>IF(LEFT(CT!D141,3)=SC!$F$1,CT!H141,0)</f>
        <v>0</v>
      </c>
      <c r="F146" s="69">
        <f>IF(LEFT(CT!E141,3)=SC!$F$1,CT!H141,0)</f>
        <v>0</v>
      </c>
      <c r="G146" t="b">
        <f t="shared" si="2"/>
        <v>0</v>
      </c>
    </row>
    <row r="147" spans="1:7" hidden="1" x14ac:dyDescent="0.25">
      <c r="A147" s="84" t="str">
        <f>IF(OR(LEFT(CT!D142,3)=SC!$F$1,LEFT(CT!E142,3)=SC!$F$1),CT!A142,"")</f>
        <v/>
      </c>
      <c r="B147" s="65" t="str">
        <f>IF(OR(LEFT(CT!D142,3)=SC!$F$1,LEFT(CT!E142,3)=SC!$F$1),CT!B142,"")</f>
        <v/>
      </c>
      <c r="C147" s="65" t="str">
        <f>IF(OR(LEFT(CT!D142,3)=SC!$F$1,LEFT(CT!E142,3)=SC!$F$1),CT!C142,"")</f>
        <v/>
      </c>
      <c r="D147" s="65" t="str">
        <f>IF(LEFT(CT!D142,3)=SC!$F$1,LEFT(CT!E142,3), IF(LEFT(CT!E142,3)=SC!$F$1,LEFT(CT!D142,3),""))</f>
        <v/>
      </c>
      <c r="E147" s="69">
        <f>IF(LEFT(CT!D142,3)=SC!$F$1,CT!H142,0)</f>
        <v>0</v>
      </c>
      <c r="F147" s="69">
        <f>IF(LEFT(CT!E142,3)=SC!$F$1,CT!H142,0)</f>
        <v>0</v>
      </c>
      <c r="G147" t="b">
        <f t="shared" si="2"/>
        <v>0</v>
      </c>
    </row>
    <row r="148" spans="1:7" hidden="1" x14ac:dyDescent="0.25">
      <c r="A148" s="84" t="str">
        <f>IF(OR(LEFT(CT!D143,3)=SC!$F$1,LEFT(CT!E143,3)=SC!$F$1),CT!A143,"")</f>
        <v/>
      </c>
      <c r="B148" s="65" t="str">
        <f>IF(OR(LEFT(CT!D143,3)=SC!$F$1,LEFT(CT!E143,3)=SC!$F$1),CT!B143,"")</f>
        <v/>
      </c>
      <c r="C148" s="65" t="str">
        <f>IF(OR(LEFT(CT!D143,3)=SC!$F$1,LEFT(CT!E143,3)=SC!$F$1),CT!C143,"")</f>
        <v/>
      </c>
      <c r="D148" s="65" t="str">
        <f>IF(LEFT(CT!D143,3)=SC!$F$1,LEFT(CT!E143,3), IF(LEFT(CT!E143,3)=SC!$F$1,LEFT(CT!D143,3),""))</f>
        <v/>
      </c>
      <c r="E148" s="69">
        <f>IF(LEFT(CT!D143,3)=SC!$F$1,CT!H143,0)</f>
        <v>0</v>
      </c>
      <c r="F148" s="69">
        <f>IF(LEFT(CT!E143,3)=SC!$F$1,CT!H143,0)</f>
        <v>0</v>
      </c>
      <c r="G148" t="b">
        <f t="shared" si="2"/>
        <v>0</v>
      </c>
    </row>
    <row r="149" spans="1:7" ht="15.6" x14ac:dyDescent="0.3">
      <c r="A149" s="3"/>
      <c r="B149" s="3"/>
      <c r="C149" s="3"/>
      <c r="D149" s="35" t="s">
        <v>864</v>
      </c>
      <c r="E149" s="103">
        <f>SUM(E23:E59)</f>
        <v>200000</v>
      </c>
      <c r="F149" s="103">
        <f>SUM(F23:F59)</f>
        <v>401000000</v>
      </c>
      <c r="G149" s="3"/>
    </row>
    <row r="150" spans="1:7" ht="15.6" x14ac:dyDescent="0.3">
      <c r="A150" s="3"/>
      <c r="B150" s="3"/>
      <c r="C150" s="3"/>
      <c r="D150" s="35" t="s">
        <v>865</v>
      </c>
      <c r="E150" s="103">
        <f>MAX(E8+E149,F8-F149)</f>
        <v>422100000</v>
      </c>
      <c r="F150" s="103">
        <f>MAX(F10+F11-E10-E11,0)</f>
        <v>0</v>
      </c>
      <c r="G150" s="3"/>
    </row>
  </sheetData>
  <autoFilter ref="G9:G150" xr:uid="{72588188-6586-46BE-A322-B7811EEEC2B7}">
    <filterColumn colId="0">
      <filters blank="1">
        <filter val="TRUE"/>
      </filters>
    </filterColumn>
  </autoFilter>
  <mergeCells count="5">
    <mergeCell ref="A4:B4"/>
    <mergeCell ref="C4:C5"/>
    <mergeCell ref="E4:F4"/>
    <mergeCell ref="D4:D5"/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A240-AEED-4B07-B965-421D058E5430}">
  <sheetPr filterMode="1">
    <tabColor theme="5" tint="0.79998168889431442"/>
  </sheetPr>
  <dimension ref="A1:H157"/>
  <sheetViews>
    <sheetView zoomScale="85" zoomScaleNormal="85" workbookViewId="0">
      <selection activeCell="F152" sqref="F152"/>
    </sheetView>
  </sheetViews>
  <sheetFormatPr defaultRowHeight="13.2" x14ac:dyDescent="0.25"/>
  <cols>
    <col min="1" max="1" width="17.6640625" customWidth="1"/>
    <col min="2" max="2" width="17" customWidth="1"/>
    <col min="3" max="3" width="33" customWidth="1"/>
    <col min="4" max="4" width="25.77734375" customWidth="1"/>
    <col min="5" max="5" width="20.109375" customWidth="1"/>
    <col min="6" max="6" width="14.6640625" customWidth="1"/>
    <col min="7" max="7" width="19.6640625" customWidth="1"/>
    <col min="8" max="8" width="13.6640625" customWidth="1"/>
  </cols>
  <sheetData>
    <row r="1" spans="1:8" ht="22.8" x14ac:dyDescent="0.4">
      <c r="A1" s="169" t="s">
        <v>871</v>
      </c>
      <c r="B1" s="169"/>
      <c r="C1" s="169"/>
      <c r="D1" s="169"/>
      <c r="E1" s="169"/>
      <c r="F1" s="169"/>
      <c r="G1" s="101" t="s">
        <v>26</v>
      </c>
      <c r="H1" s="99"/>
    </row>
    <row r="2" spans="1:8" ht="16.8" x14ac:dyDescent="0.3">
      <c r="A2" s="99"/>
      <c r="B2" s="99"/>
      <c r="C2" s="99"/>
      <c r="D2" s="99"/>
      <c r="E2" s="87" t="s">
        <v>872</v>
      </c>
      <c r="F2" s="99"/>
      <c r="G2" s="87" t="str">
        <f>VLOOKUP(G1,DMTK!$B$5:$Q$263,3,0)</f>
        <v>Tiền Việt Nam</v>
      </c>
      <c r="H2" s="99"/>
    </row>
    <row r="3" spans="1:8" ht="16.8" x14ac:dyDescent="0.3">
      <c r="A3" s="99"/>
      <c r="B3" s="99"/>
      <c r="C3" s="99"/>
      <c r="D3" s="99"/>
      <c r="E3" s="99"/>
      <c r="F3" s="99"/>
      <c r="G3" s="99"/>
      <c r="H3" s="99"/>
    </row>
    <row r="4" spans="1:8" ht="16.8" x14ac:dyDescent="0.3">
      <c r="A4" s="170" t="s">
        <v>828</v>
      </c>
      <c r="B4" s="170"/>
      <c r="C4" s="170" t="s">
        <v>829</v>
      </c>
      <c r="D4" s="170" t="s">
        <v>862</v>
      </c>
      <c r="E4" s="170" t="s">
        <v>854</v>
      </c>
      <c r="F4" s="170"/>
      <c r="G4" s="171" t="s">
        <v>873</v>
      </c>
      <c r="H4" s="171"/>
    </row>
    <row r="5" spans="1:8" ht="16.8" x14ac:dyDescent="0.25">
      <c r="A5" s="170" t="s">
        <v>832</v>
      </c>
      <c r="B5" s="170" t="s">
        <v>833</v>
      </c>
      <c r="C5" s="170"/>
      <c r="D5" s="170"/>
      <c r="E5" s="100" t="s">
        <v>856</v>
      </c>
      <c r="F5" s="100" t="s">
        <v>857</v>
      </c>
      <c r="G5" s="100" t="s">
        <v>856</v>
      </c>
      <c r="H5" s="100" t="s">
        <v>857</v>
      </c>
    </row>
    <row r="6" spans="1:8" ht="16.8" x14ac:dyDescent="0.25">
      <c r="A6" s="170"/>
      <c r="B6" s="170"/>
      <c r="C6" s="170"/>
      <c r="D6" s="170"/>
      <c r="E6" s="100"/>
      <c r="F6" s="100"/>
      <c r="G6" s="102">
        <f>VLOOKUP(G1,DMTK!$B$5:$Q$263,10,0)</f>
        <v>400000000</v>
      </c>
      <c r="H6" s="102">
        <f>VLOOKUP(G1,DMTK!$B$5:$Q$263,11,0)</f>
        <v>0</v>
      </c>
    </row>
    <row r="7" spans="1:8" x14ac:dyDescent="0.25">
      <c r="A7" s="79">
        <v>1</v>
      </c>
      <c r="B7" s="79">
        <v>2</v>
      </c>
      <c r="C7" s="79">
        <v>3</v>
      </c>
      <c r="D7" s="79">
        <v>4</v>
      </c>
      <c r="E7" s="79">
        <v>5</v>
      </c>
      <c r="F7" s="79">
        <v>6</v>
      </c>
      <c r="G7" s="79">
        <v>7</v>
      </c>
      <c r="H7" s="79">
        <v>8</v>
      </c>
    </row>
    <row r="8" spans="1:8" x14ac:dyDescent="0.25">
      <c r="A8" s="84">
        <f>IF(OR(CT!D5=SCTTK!$G$1,CT!E5=SCTTK!$G$1),CT!$A5,"")</f>
        <v>45293</v>
      </c>
      <c r="B8" s="65" t="str">
        <f>IF(OR(CT!D5=SCTTK!$G$1,CT!E5=SCTTK!$G$1),CT!$B5,"")</f>
        <v>01/PT</v>
      </c>
      <c r="C8" s="65" t="str">
        <f>IF(OR(CT!D5=SCTTK!$G$1,CT!E5=SCTTK!$G$1),CT!$C5,"")</f>
        <v>Thu nợ lô hàng 200</v>
      </c>
      <c r="D8" s="65" t="str">
        <f>IF(CT!D5=SCTTK!$G$1,CT!E5,IF(CT!E5=SCTTK!$G$1,CT!D5,""))</f>
        <v>1311.03</v>
      </c>
      <c r="E8" s="69">
        <f>IF(CT!D5=SCTTK!$G$1,CT!H5,0)</f>
        <v>5000000</v>
      </c>
      <c r="F8" s="69">
        <f>IF(CT!E5=SCTTK!$G$1,CT!H5,0)</f>
        <v>0</v>
      </c>
      <c r="G8" s="69">
        <f>IF(SUM(E8:F8)=0,0,MAX($G$6+SUM($E$8:E8)-$H$6-SUM($F$8:F8),0))</f>
        <v>405000000</v>
      </c>
      <c r="H8" s="69">
        <f>IF(SUM(E8:F8)=0,0,MAX($H$6+SUM($F$8:F8)-$G$6-SUM($E$8:E8),0))</f>
        <v>0</v>
      </c>
    </row>
    <row r="9" spans="1:8" x14ac:dyDescent="0.25">
      <c r="A9" s="84">
        <f>IF(OR(CT!D6=SCTTK!$G$1,CT!E6=SCTTK!$G$1),CT!$A6,"")</f>
        <v>45293</v>
      </c>
      <c r="B9" s="65" t="str">
        <f>IF(OR(CT!D6=SCTTK!$G$1,CT!E6=SCTTK!$G$1),CT!$B6,"")</f>
        <v>02/PT</v>
      </c>
      <c r="C9" s="65" t="str">
        <f>IF(OR(CT!D6=SCTTK!$G$1,CT!E6=SCTTK!$G$1),CT!$C6,"")</f>
        <v>Thu nợ lô hàng 212</v>
      </c>
      <c r="D9" s="65" t="str">
        <f>IF(CT!D6=SCTTK!$G$1,CT!E6,IF(CT!E6=SCTTK!$G$1,CT!D6,""))</f>
        <v>1311.01</v>
      </c>
      <c r="E9" s="69">
        <f>IF(CT!D6=SCTTK!$G$1,CT!H6,0)</f>
        <v>20000000</v>
      </c>
      <c r="F9" s="69">
        <f>IF(CT!E6=SCTTK!$G$1,CT!H6,0)</f>
        <v>0</v>
      </c>
      <c r="G9" s="69">
        <f>IF(SUM(E9:F9)=0,0,MAX($G$6+SUM($E$8:E9)-$H$6-SUM($F$8:F9),0))</f>
        <v>425000000</v>
      </c>
      <c r="H9" s="69">
        <f>IF(SUM(E9:F9)=0,0,MAX($H$6+SUM($F$8:F9)-$G$6-SUM($E$8:E9),0))</f>
        <v>0</v>
      </c>
    </row>
    <row r="10" spans="1:8" x14ac:dyDescent="0.25">
      <c r="A10" s="84">
        <f>IF(OR(CT!D7=SCTTK!$G$1,CT!E7=SCTTK!$G$1),CT!$A7,"")</f>
        <v>45295</v>
      </c>
      <c r="B10" s="65" t="str">
        <f>IF(OR(CT!D7=SCTTK!$G$1,CT!E7=SCTTK!$G$1),CT!$B7,"")</f>
        <v>01/PC</v>
      </c>
      <c r="C10" s="65" t="str">
        <f>IF(OR(CT!D7=SCTTK!$G$1,CT!E7=SCTTK!$G$1),CT!$C7,"")</f>
        <v>Chi tạm ứng cho Hồ Sĩ Nhật</v>
      </c>
      <c r="D10" s="65" t="str">
        <f>IF(CT!D7=SCTTK!$G$1,CT!E7,IF(CT!E7=SCTTK!$G$1,CT!D7,""))</f>
        <v>141.0102</v>
      </c>
      <c r="E10" s="69">
        <f>IF(CT!D7=SCTTK!$G$1,CT!H7,0)</f>
        <v>0</v>
      </c>
      <c r="F10" s="69">
        <f>IF(CT!E7=SCTTK!$G$1,CT!H7,0)</f>
        <v>2000000</v>
      </c>
      <c r="G10" s="69">
        <f>IF(SUM(E10:F10)=0,0,MAX($G$6+SUM($E$8:E10)-$H$6-SUM($F$8:F10),0))</f>
        <v>423000000</v>
      </c>
      <c r="H10" s="69">
        <f>IF(SUM(E10:F10)=0,0,MAX($H$6+SUM($F$8:F10)-$G$6-SUM($E$8:E10),0))</f>
        <v>0</v>
      </c>
    </row>
    <row r="11" spans="1:8" hidden="1" x14ac:dyDescent="0.25">
      <c r="A11" s="84" t="str">
        <f>IF(OR(CT!D8=SCTTK!$G$1,CT!E8=SCTTK!$G$1),CT!$A8,"")</f>
        <v/>
      </c>
      <c r="B11" s="65" t="str">
        <f>IF(OR(CT!D8=SCTTK!$G$1,CT!E8=SCTTK!$G$1),CT!$B8,"")</f>
        <v/>
      </c>
      <c r="C11" s="65" t="str">
        <f>IF(OR(CT!D8=SCTTK!$G$1,CT!E8=SCTTK!$G$1),CT!$C8,"")</f>
        <v/>
      </c>
      <c r="D11" s="65" t="str">
        <f>IF(CT!D8=SCTTK!$G$1,CT!E8,IF(CT!E8=SCTTK!$G$1,CT!D8,""))</f>
        <v/>
      </c>
      <c r="E11" s="69">
        <f>IF(CT!D8=SCTTK!$G$1,CT!H8,0)</f>
        <v>0</v>
      </c>
      <c r="F11" s="69">
        <f>IF(CT!E8=SCTTK!$G$1,CT!H8,0)</f>
        <v>0</v>
      </c>
      <c r="G11" s="69">
        <f>IF(SUM(E11:F11)=0,0,MAX($G$6+SUM($E$8:E11)-$H$6-SUM($F$8:F11),0))</f>
        <v>0</v>
      </c>
      <c r="H11" s="69">
        <f>IF(SUM(E11:F11)=0,0,MAX($H$6+SUM($F$8:F11)-$G$6-SUM($E$8:E11),0))</f>
        <v>0</v>
      </c>
    </row>
    <row r="12" spans="1:8" hidden="1" x14ac:dyDescent="0.25">
      <c r="A12" s="84" t="str">
        <f>IF(OR(CT!D9=SCTTK!$G$1,CT!E9=SCTTK!$G$1),CT!$A9,"")</f>
        <v/>
      </c>
      <c r="B12" s="65" t="str">
        <f>IF(OR(CT!D9=SCTTK!$G$1,CT!E9=SCTTK!$G$1),CT!$B9,"")</f>
        <v/>
      </c>
      <c r="C12" s="65" t="str">
        <f>IF(OR(CT!D9=SCTTK!$G$1,CT!E9=SCTTK!$G$1),CT!$C9,"")</f>
        <v/>
      </c>
      <c r="D12" s="65" t="str">
        <f>IF(CT!D9=SCTTK!$G$1,CT!E9,IF(CT!E9=SCTTK!$G$1,CT!D9,""))</f>
        <v/>
      </c>
      <c r="E12" s="69">
        <f>IF(CT!D9=SCTTK!$G$1,CT!H9,0)</f>
        <v>0</v>
      </c>
      <c r="F12" s="69">
        <f>IF(CT!E9=SCTTK!$G$1,CT!H9,0)</f>
        <v>0</v>
      </c>
      <c r="G12" s="69">
        <f>IF(SUM(E12:F12)=0,0,MAX($G$6+SUM($E$8:E12)-$H$6-SUM($F$8:F12),0))</f>
        <v>0</v>
      </c>
      <c r="H12" s="69">
        <f>IF(SUM(E12:F12)=0,0,MAX($H$6+SUM($F$8:F12)-$G$6-SUM($E$8:E12),0))</f>
        <v>0</v>
      </c>
    </row>
    <row r="13" spans="1:8" x14ac:dyDescent="0.25">
      <c r="A13" s="84">
        <f>IF(OR(CT!D10=SCTTK!$G$1,CT!E10=SCTTK!$G$1),CT!$A10,"")</f>
        <v>45296</v>
      </c>
      <c r="B13" s="65" t="str">
        <f>IF(OR(CT!D10=SCTTK!$G$1,CT!E10=SCTTK!$G$1),CT!$B10,"")</f>
        <v>02/PC</v>
      </c>
      <c r="C13" s="65" t="str">
        <f>IF(OR(CT!D10=SCTTK!$G$1,CT!E10=SCTTK!$G$1),CT!$C10,"")</f>
        <v>Thuế GTGT mua VPP</v>
      </c>
      <c r="D13" s="65" t="str">
        <f>IF(CT!D10=SCTTK!$G$1,CT!E10,IF(CT!E10=SCTTK!$G$1,CT!D10,""))</f>
        <v>1331</v>
      </c>
      <c r="E13" s="69">
        <f>IF(CT!D10=SCTTK!$G$1,CT!H10,0)</f>
        <v>0</v>
      </c>
      <c r="F13" s="69">
        <f>IF(CT!E10=SCTTK!$G$1,CT!H10,0)</f>
        <v>100000</v>
      </c>
      <c r="G13" s="69">
        <f>IF(SUM(E13:F13)=0,0,MAX($G$6+SUM($E$8:E13)-$H$6-SUM($F$8:F13),0))</f>
        <v>422900000</v>
      </c>
      <c r="H13" s="69">
        <f>IF(SUM(E13:F13)=0,0,MAX($H$6+SUM($F$8:F13)-$G$6-SUM($E$8:E13),0))</f>
        <v>0</v>
      </c>
    </row>
    <row r="14" spans="1:8" x14ac:dyDescent="0.25">
      <c r="A14" s="84">
        <f>IF(OR(CT!D11=SCTTK!$G$1,CT!E11=SCTTK!$G$1),CT!$A11,"")</f>
        <v>45296</v>
      </c>
      <c r="B14" s="65" t="str">
        <f>IF(OR(CT!D11=SCTTK!$G$1,CT!E11=SCTTK!$G$1),CT!$B11,"")</f>
        <v>02/PC</v>
      </c>
      <c r="C14" s="65" t="str">
        <f>IF(OR(CT!D11=SCTTK!$G$1,CT!E11=SCTTK!$G$1),CT!$C11,"")</f>
        <v>Mua VPP cho BPVP</v>
      </c>
      <c r="D14" s="65" t="str">
        <f>IF(CT!D11=SCTTK!$G$1,CT!E11,IF(CT!E11=SCTTK!$G$1,CT!D11,""))</f>
        <v>6428</v>
      </c>
      <c r="E14" s="69">
        <f>IF(CT!D11=SCTTK!$G$1,CT!H11,0)</f>
        <v>0</v>
      </c>
      <c r="F14" s="69">
        <f>IF(CT!E11=SCTTK!$G$1,CT!H11,0)</f>
        <v>1000000</v>
      </c>
      <c r="G14" s="69">
        <f>IF(SUM(E14:F14)=0,0,MAX($G$6+SUM($E$8:E14)-$H$6-SUM($F$8:F14),0))</f>
        <v>421900000</v>
      </c>
      <c r="H14" s="69">
        <f>IF(SUM(E14:F14)=0,0,MAX($H$6+SUM($F$8:F14)-$G$6-SUM($E$8:E14),0))</f>
        <v>0</v>
      </c>
    </row>
    <row r="15" spans="1:8" hidden="1" x14ac:dyDescent="0.25">
      <c r="A15" s="84" t="str">
        <f>IF(OR(CT!D12=SCTTK!$G$1,CT!E12=SCTTK!$G$1),CT!$A12,"")</f>
        <v/>
      </c>
      <c r="B15" s="65" t="str">
        <f>IF(OR(CT!D12=SCTTK!$G$1,CT!E12=SCTTK!$G$1),CT!$B12,"")</f>
        <v/>
      </c>
      <c r="C15" s="65" t="str">
        <f>IF(OR(CT!D12=SCTTK!$G$1,CT!E12=SCTTK!$G$1),CT!$C12,"")</f>
        <v/>
      </c>
      <c r="D15" s="65" t="str">
        <f>IF(CT!D12=SCTTK!$G$1,CT!E12,IF(CT!E12=SCTTK!$G$1,CT!D12,""))</f>
        <v/>
      </c>
      <c r="E15" s="69">
        <f>IF(CT!D12=SCTTK!$G$1,CT!H12,0)</f>
        <v>0</v>
      </c>
      <c r="F15" s="69">
        <f>IF(CT!E12=SCTTK!$G$1,CT!H12,0)</f>
        <v>0</v>
      </c>
      <c r="G15" s="69">
        <f>IF(SUM(E15:F15)=0,0,MAX($G$6+SUM($E$8:E15)-$H$6-SUM($F$8:F15),0))</f>
        <v>0</v>
      </c>
      <c r="H15" s="69">
        <f>IF(SUM(E15:F15)=0,0,MAX($H$6+SUM($F$8:F15)-$G$6-SUM($E$8:E15),0))</f>
        <v>0</v>
      </c>
    </row>
    <row r="16" spans="1:8" hidden="1" x14ac:dyDescent="0.25">
      <c r="A16" s="84" t="str">
        <f>IF(OR(CT!D13=SCTTK!$G$1,CT!E13=SCTTK!$G$1),CT!$A13,"")</f>
        <v/>
      </c>
      <c r="B16" s="65" t="str">
        <f>IF(OR(CT!D13=SCTTK!$G$1,CT!E13=SCTTK!$G$1),CT!$B13,"")</f>
        <v/>
      </c>
      <c r="C16" s="65" t="str">
        <f>IF(OR(CT!D13=SCTTK!$G$1,CT!E13=SCTTK!$G$1),CT!$C13,"")</f>
        <v/>
      </c>
      <c r="D16" s="65" t="str">
        <f>IF(CT!D13=SCTTK!$G$1,CT!E13,IF(CT!E13=SCTTK!$G$1,CT!D13,""))</f>
        <v/>
      </c>
      <c r="E16" s="69">
        <f>IF(CT!D13=SCTTK!$G$1,CT!H13,0)</f>
        <v>0</v>
      </c>
      <c r="F16" s="69">
        <f>IF(CT!E13=SCTTK!$G$1,CT!H13,0)</f>
        <v>0</v>
      </c>
      <c r="G16" s="69">
        <f>IF(SUM(E16:F16)=0,0,MAX($G$6+SUM($E$8:E16)-$H$6-SUM($F$8:F16),0))</f>
        <v>0</v>
      </c>
      <c r="H16" s="69">
        <f>IF(SUM(E16:F16)=0,0,MAX($H$6+SUM($F$8:F16)-$G$6-SUM($E$8:E16),0))</f>
        <v>0</v>
      </c>
    </row>
    <row r="17" spans="1:8" hidden="1" x14ac:dyDescent="0.25">
      <c r="A17" s="84" t="str">
        <f>IF(OR(CT!D14=SCTTK!$G$1,CT!E14=SCTTK!$G$1),CT!$A14,"")</f>
        <v/>
      </c>
      <c r="B17" s="65" t="str">
        <f>IF(OR(CT!D14=SCTTK!$G$1,CT!E14=SCTTK!$G$1),CT!$B14,"")</f>
        <v/>
      </c>
      <c r="C17" s="65" t="str">
        <f>IF(OR(CT!D14=SCTTK!$G$1,CT!E14=SCTTK!$G$1),CT!$C14,"")</f>
        <v/>
      </c>
      <c r="D17" s="65" t="str">
        <f>IF(CT!D14=SCTTK!$G$1,CT!E14,IF(CT!E14=SCTTK!$G$1,CT!D14,""))</f>
        <v/>
      </c>
      <c r="E17" s="69">
        <f>IF(CT!D14=SCTTK!$G$1,CT!H14,0)</f>
        <v>0</v>
      </c>
      <c r="F17" s="69">
        <f>IF(CT!E14=SCTTK!$G$1,CT!H14,0)</f>
        <v>0</v>
      </c>
      <c r="G17" s="69">
        <f>IF(SUM(E17:F17)=0,0,MAX($G$6+SUM($E$8:E17)-$H$6-SUM($F$8:F17),0))</f>
        <v>0</v>
      </c>
      <c r="H17" s="69">
        <f>IF(SUM(E17:F17)=0,0,MAX($H$6+SUM($F$8:F17)-$G$6-SUM($E$8:E17),0))</f>
        <v>0</v>
      </c>
    </row>
    <row r="18" spans="1:8" hidden="1" x14ac:dyDescent="0.25">
      <c r="A18" s="84" t="str">
        <f>IF(OR(CT!D15=SCTTK!$G$1,CT!E15=SCTTK!$G$1),CT!$A15,"")</f>
        <v/>
      </c>
      <c r="B18" s="65" t="str">
        <f>IF(OR(CT!D15=SCTTK!$G$1,CT!E15=SCTTK!$G$1),CT!$B15,"")</f>
        <v/>
      </c>
      <c r="C18" s="65" t="str">
        <f>IF(OR(CT!D15=SCTTK!$G$1,CT!E15=SCTTK!$G$1),CT!$C15,"")</f>
        <v/>
      </c>
      <c r="D18" s="65" t="str">
        <f>IF(CT!D15=SCTTK!$G$1,CT!E15,IF(CT!E15=SCTTK!$G$1,CT!D15,""))</f>
        <v/>
      </c>
      <c r="E18" s="69">
        <f>IF(CT!D15=SCTTK!$G$1,CT!H15,0)</f>
        <v>0</v>
      </c>
      <c r="F18" s="69">
        <f>IF(CT!E15=SCTTK!$G$1,CT!H15,0)</f>
        <v>0</v>
      </c>
      <c r="G18" s="69">
        <f>IF(SUM(E18:F18)=0,0,MAX($G$6+SUM($E$8:E18)-$H$6-SUM($F$8:F18),0))</f>
        <v>0</v>
      </c>
      <c r="H18" s="69">
        <f>IF(SUM(E18:F18)=0,0,MAX($H$6+SUM($F$8:F18)-$G$6-SUM($E$8:E18),0))</f>
        <v>0</v>
      </c>
    </row>
    <row r="19" spans="1:8" hidden="1" x14ac:dyDescent="0.25">
      <c r="A19" s="84" t="str">
        <f>IF(OR(CT!D16=SCTTK!$G$1,CT!E16=SCTTK!$G$1),CT!$A16,"")</f>
        <v/>
      </c>
      <c r="B19" s="65" t="str">
        <f>IF(OR(CT!D16=SCTTK!$G$1,CT!E16=SCTTK!$G$1),CT!$B16,"")</f>
        <v/>
      </c>
      <c r="C19" s="65" t="str">
        <f>IF(OR(CT!D16=SCTTK!$G$1,CT!E16=SCTTK!$G$1),CT!$C16,"")</f>
        <v/>
      </c>
      <c r="D19" s="65" t="str">
        <f>IF(CT!D16=SCTTK!$G$1,CT!E16,IF(CT!E16=SCTTK!$G$1,CT!D16,""))</f>
        <v/>
      </c>
      <c r="E19" s="69">
        <f>IF(CT!D16=SCTTK!$G$1,CT!H16,0)</f>
        <v>0</v>
      </c>
      <c r="F19" s="69">
        <f>IF(CT!E16=SCTTK!$G$1,CT!H16,0)</f>
        <v>0</v>
      </c>
      <c r="G19" s="69">
        <f>IF(SUM(E19:F19)=0,0,MAX($G$6+SUM($E$8:E19)-$H$6-SUM($F$8:F19),0))</f>
        <v>0</v>
      </c>
      <c r="H19" s="69">
        <f>IF(SUM(E19:F19)=0,0,MAX($H$6+SUM($F$8:F19)-$G$6-SUM($E$8:E19),0))</f>
        <v>0</v>
      </c>
    </row>
    <row r="20" spans="1:8" hidden="1" x14ac:dyDescent="0.25">
      <c r="A20" s="84" t="str">
        <f>IF(OR(CT!D17=SCTTK!$G$1,CT!E17=SCTTK!$G$1),CT!$A17,"")</f>
        <v/>
      </c>
      <c r="B20" s="65" t="str">
        <f>IF(OR(CT!D17=SCTTK!$G$1,CT!E17=SCTTK!$G$1),CT!$B17,"")</f>
        <v/>
      </c>
      <c r="C20" s="65" t="str">
        <f>IF(OR(CT!D17=SCTTK!$G$1,CT!E17=SCTTK!$G$1),CT!$C17,"")</f>
        <v/>
      </c>
      <c r="D20" s="65" t="str">
        <f>IF(CT!D17=SCTTK!$G$1,CT!E17,IF(CT!E17=SCTTK!$G$1,CT!D17,""))</f>
        <v/>
      </c>
      <c r="E20" s="69">
        <f>IF(CT!D17=SCTTK!$G$1,CT!H17,0)</f>
        <v>0</v>
      </c>
      <c r="F20" s="69">
        <f>IF(CT!E17=SCTTK!$G$1,CT!H17,0)</f>
        <v>0</v>
      </c>
      <c r="G20" s="69">
        <f>IF(SUM(E20:F20)=0,0,MAX($G$6+SUM($E$8:E20)-$H$6-SUM($F$8:F20),0))</f>
        <v>0</v>
      </c>
      <c r="H20" s="69">
        <f>IF(SUM(E20:F20)=0,0,MAX($H$6+SUM($F$8:F20)-$G$6-SUM($E$8:E20),0))</f>
        <v>0</v>
      </c>
    </row>
    <row r="21" spans="1:8" x14ac:dyDescent="0.25">
      <c r="A21" s="84">
        <f>IF(OR(CT!D18=SCTTK!$G$1,CT!E18=SCTTK!$G$1),CT!$A18,"")</f>
        <v>45306</v>
      </c>
      <c r="B21" s="65" t="str">
        <f>IF(OR(CT!D18=SCTTK!$G$1,CT!E18=SCTTK!$G$1),CT!$B18,"")</f>
        <v>03/PC</v>
      </c>
      <c r="C21" s="65" t="str">
        <f>IF(OR(CT!D18=SCTTK!$G$1,CT!E18=SCTTK!$G$1),CT!$C18,"")</f>
        <v>Chi lương cho NVBH</v>
      </c>
      <c r="D21" s="65" t="str">
        <f>IF(CT!D18=SCTTK!$G$1,CT!E18,IF(CT!E18=SCTTK!$G$1,CT!D18,""))</f>
        <v>3348.02</v>
      </c>
      <c r="E21" s="69">
        <f>IF(CT!D18=SCTTK!$G$1,CT!H18,0)</f>
        <v>0</v>
      </c>
      <c r="F21" s="69">
        <f>IF(CT!E18=SCTTK!$G$1,CT!H18,0)</f>
        <v>5000000</v>
      </c>
      <c r="G21" s="69">
        <f>IF(SUM(E21:F21)=0,0,MAX($G$6+SUM($E$8:E21)-$H$6-SUM($F$8:F21),0))</f>
        <v>416900000</v>
      </c>
      <c r="H21" s="69">
        <f>IF(SUM(E21:F21)=0,0,MAX($H$6+SUM($F$8:F21)-$G$6-SUM($E$8:E21),0))</f>
        <v>0</v>
      </c>
    </row>
    <row r="22" spans="1:8" x14ac:dyDescent="0.25">
      <c r="A22" s="84">
        <f>IF(OR(CT!D19=SCTTK!$G$1,CT!E19=SCTTK!$G$1),CT!$A19,"")</f>
        <v>45306</v>
      </c>
      <c r="B22" s="65" t="str">
        <f>IF(OR(CT!D19=SCTTK!$G$1,CT!E19=SCTTK!$G$1),CT!$B19,"")</f>
        <v>03/PC</v>
      </c>
      <c r="C22" s="65" t="str">
        <f>IF(OR(CT!D19=SCTTK!$G$1,CT!E19=SCTTK!$G$1),CT!$C19,"")</f>
        <v>Chi lương cho CB QLDN</v>
      </c>
      <c r="D22" s="65" t="str">
        <f>IF(CT!D19=SCTTK!$G$1,CT!E19,IF(CT!E19=SCTTK!$G$1,CT!D19,""))</f>
        <v>3348.03</v>
      </c>
      <c r="E22" s="69">
        <f>IF(CT!D19=SCTTK!$G$1,CT!H19,0)</f>
        <v>0</v>
      </c>
      <c r="F22" s="69">
        <f>IF(CT!E19=SCTTK!$G$1,CT!H19,0)</f>
        <v>7000000</v>
      </c>
      <c r="G22" s="69">
        <f>IF(SUM(E22:F22)=0,0,MAX($G$6+SUM($E$8:E22)-$H$6-SUM($F$8:F22),0))</f>
        <v>409900000</v>
      </c>
      <c r="H22" s="69">
        <f>IF(SUM(E22:F22)=0,0,MAX($H$6+SUM($F$8:F22)-$G$6-SUM($E$8:E22),0))</f>
        <v>0</v>
      </c>
    </row>
    <row r="23" spans="1:8" hidden="1" x14ac:dyDescent="0.25">
      <c r="A23" s="84" t="str">
        <f>IF(OR(CT!D20=SCTTK!$G$1,CT!E20=SCTTK!$G$1),CT!$A20,"")</f>
        <v/>
      </c>
      <c r="B23" s="65" t="str">
        <f>IF(OR(CT!D20=SCTTK!$G$1,CT!E20=SCTTK!$G$1),CT!$B20,"")</f>
        <v/>
      </c>
      <c r="C23" s="65" t="str">
        <f>IF(OR(CT!D20=SCTTK!$G$1,CT!E20=SCTTK!$G$1),CT!$C20,"")</f>
        <v/>
      </c>
      <c r="D23" s="65" t="str">
        <f>IF(CT!D20=SCTTK!$G$1,CT!E20,IF(CT!E20=SCTTK!$G$1,CT!D20,""))</f>
        <v/>
      </c>
      <c r="E23" s="69">
        <f>IF(CT!D20=SCTTK!$G$1,CT!H20,0)</f>
        <v>0</v>
      </c>
      <c r="F23" s="69">
        <f>IF(CT!E20=SCTTK!$G$1,CT!H20,0)</f>
        <v>0</v>
      </c>
      <c r="G23" s="69">
        <f>IF(SUM(E23:F23)=0,0,MAX($G$6+SUM($E$8:E23)-$H$6-SUM($F$8:F23),0))</f>
        <v>0</v>
      </c>
      <c r="H23" s="69">
        <f>IF(SUM(E23:F23)=0,0,MAX($H$6+SUM($F$8:F23)-$G$6-SUM($E$8:E23),0))</f>
        <v>0</v>
      </c>
    </row>
    <row r="24" spans="1:8" hidden="1" x14ac:dyDescent="0.25">
      <c r="A24" s="84" t="str">
        <f>IF(OR(CT!D21=SCTTK!$G$1,CT!E21=SCTTK!$G$1),CT!$A21,"")</f>
        <v/>
      </c>
      <c r="B24" s="65" t="str">
        <f>IF(OR(CT!D21=SCTTK!$G$1,CT!E21=SCTTK!$G$1),CT!$B21,"")</f>
        <v/>
      </c>
      <c r="C24" s="65" t="str">
        <f>IF(OR(CT!D21=SCTTK!$G$1,CT!E21=SCTTK!$G$1),CT!$C21,"")</f>
        <v/>
      </c>
      <c r="D24" s="65" t="str">
        <f>IF(CT!D21=SCTTK!$G$1,CT!E21,IF(CT!E21=SCTTK!$G$1,CT!D21,""))</f>
        <v/>
      </c>
      <c r="E24" s="69">
        <f>IF(CT!D21=SCTTK!$G$1,CT!H21,0)</f>
        <v>0</v>
      </c>
      <c r="F24" s="69">
        <f>IF(CT!E21=SCTTK!$G$1,CT!H21,0)</f>
        <v>0</v>
      </c>
      <c r="G24" s="69">
        <f>IF(SUM(E24:F24)=0,0,MAX($G$6+SUM($E$8:E24)-$H$6-SUM($F$8:F24),0))</f>
        <v>0</v>
      </c>
      <c r="H24" s="69">
        <f>IF(SUM(E24:F24)=0,0,MAX($H$6+SUM($F$8:F24)-$G$6-SUM($E$8:E24),0))</f>
        <v>0</v>
      </c>
    </row>
    <row r="25" spans="1:8" x14ac:dyDescent="0.25">
      <c r="A25" s="84">
        <f>IF(OR(CT!D22=SCTTK!$G$1,CT!E22=SCTTK!$G$1),CT!$A22,"")</f>
        <v>45306</v>
      </c>
      <c r="B25" s="65" t="str">
        <f>IF(OR(CT!D22=SCTTK!$G$1,CT!E22=SCTTK!$G$1),CT!$B22,"")</f>
        <v>03/PC</v>
      </c>
      <c r="C25" s="65" t="str">
        <f>IF(OR(CT!D22=SCTTK!$G$1,CT!E22=SCTTK!$G$1),CT!$C22,"")</f>
        <v>Chi lương cho NV QLPX</v>
      </c>
      <c r="D25" s="65" t="str">
        <f>IF(CT!D22=SCTTK!$G$1,CT!E22,IF(CT!E22=SCTTK!$G$1,CT!D22,""))</f>
        <v>3348.01</v>
      </c>
      <c r="E25" s="69">
        <f>IF(CT!D22=SCTTK!$G$1,CT!H22,0)</f>
        <v>0</v>
      </c>
      <c r="F25" s="69">
        <f>IF(CT!E22=SCTTK!$G$1,CT!H22,0)</f>
        <v>35000000</v>
      </c>
      <c r="G25" s="69">
        <f>IF(SUM(E25:F25)=0,0,MAX($G$6+SUM($E$8:E25)-$H$6-SUM($F$8:F25),0))</f>
        <v>374900000</v>
      </c>
      <c r="H25" s="69">
        <f>IF(SUM(E25:F25)=0,0,MAX($H$6+SUM($F$8:F25)-$G$6-SUM($E$8:E25),0))</f>
        <v>0</v>
      </c>
    </row>
    <row r="26" spans="1:8" x14ac:dyDescent="0.25">
      <c r="A26" s="84">
        <f>IF(OR(CT!D23=SCTTK!$G$1,CT!E23=SCTTK!$G$1),CT!$A23,"")</f>
        <v>45306</v>
      </c>
      <c r="B26" s="65" t="str">
        <f>IF(OR(CT!D23=SCTTK!$G$1,CT!E23=SCTTK!$G$1),CT!$B23,"")</f>
        <v>03/PC</v>
      </c>
      <c r="C26" s="65" t="str">
        <f>IF(OR(CT!D23=SCTTK!$G$1,CT!E23=SCTTK!$G$1),CT!$C23,"")</f>
        <v>Chi lương cho CNSX GTV</v>
      </c>
      <c r="D26" s="65" t="str">
        <f>IF(CT!D23=SCTTK!$G$1,CT!E23,IF(CT!E23=SCTTK!$G$1,CT!D23,""))</f>
        <v>3341.01</v>
      </c>
      <c r="E26" s="69">
        <f>IF(CT!D23=SCTTK!$G$1,CT!H23,0)</f>
        <v>0</v>
      </c>
      <c r="F26" s="69">
        <f>IF(CT!E23=SCTTK!$G$1,CT!H23,0)</f>
        <v>40000000</v>
      </c>
      <c r="G26" s="69">
        <f>IF(SUM(E26:F26)=0,0,MAX($G$6+SUM($E$8:E26)-$H$6-SUM($F$8:F26),0))</f>
        <v>334900000</v>
      </c>
      <c r="H26" s="69">
        <f>IF(SUM(E26:F26)=0,0,MAX($H$6+SUM($F$8:F26)-$G$6-SUM($E$8:E26),0))</f>
        <v>0</v>
      </c>
    </row>
    <row r="27" spans="1:8" x14ac:dyDescent="0.25">
      <c r="A27" s="84">
        <f>IF(OR(CT!D24=SCTTK!$G$1,CT!E24=SCTTK!$G$1),CT!$A24,"")</f>
        <v>45306</v>
      </c>
      <c r="B27" s="65" t="str">
        <f>IF(OR(CT!D24=SCTTK!$G$1,CT!E24=SCTTK!$G$1),CT!$B24,"")</f>
        <v>03/PC</v>
      </c>
      <c r="C27" s="65" t="str">
        <f>IF(OR(CT!D24=SCTTK!$G$1,CT!E24=SCTTK!$G$1),CT!$C24,"")</f>
        <v>Chi lương cho CNSX GKT</v>
      </c>
      <c r="D27" s="65" t="str">
        <f>IF(CT!D24=SCTTK!$G$1,CT!E24,IF(CT!E24=SCTTK!$G$1,CT!D24,""))</f>
        <v>3341.02</v>
      </c>
      <c r="E27" s="69">
        <f>IF(CT!D24=SCTTK!$G$1,CT!H24,0)</f>
        <v>0</v>
      </c>
      <c r="F27" s="69">
        <f>IF(CT!E24=SCTTK!$G$1,CT!H24,0)</f>
        <v>40000000</v>
      </c>
      <c r="G27" s="69">
        <f>IF(SUM(E27:F27)=0,0,MAX($G$6+SUM($E$8:E27)-$H$6-SUM($F$8:F27),0))</f>
        <v>294900000</v>
      </c>
      <c r="H27" s="69">
        <f>IF(SUM(E27:F27)=0,0,MAX($H$6+SUM($F$8:F27)-$G$6-SUM($E$8:E27),0))</f>
        <v>0</v>
      </c>
    </row>
    <row r="28" spans="1:8" x14ac:dyDescent="0.25">
      <c r="A28" s="84">
        <f>IF(OR(CT!D25=SCTTK!$G$1,CT!E25=SCTTK!$G$1),CT!$A25,"")</f>
        <v>45306</v>
      </c>
      <c r="B28" s="65" t="str">
        <f>IF(OR(CT!D25=SCTTK!$G$1,CT!E25=SCTTK!$G$1),CT!$B25,"")</f>
        <v>03/PC</v>
      </c>
      <c r="C28" s="65" t="str">
        <f>IF(OR(CT!D25=SCTTK!$G$1,CT!E25=SCTTK!$G$1),CT!$C25,"")</f>
        <v>Chi lương cho CNSX GTV</v>
      </c>
      <c r="D28" s="65" t="str">
        <f>IF(CT!D25=SCTTK!$G$1,CT!E25,IF(CT!E25=SCTTK!$G$1,CT!D25,""))</f>
        <v>3341.03</v>
      </c>
      <c r="E28" s="69">
        <f>IF(CT!D25=SCTTK!$G$1,CT!H25,0)</f>
        <v>0</v>
      </c>
      <c r="F28" s="69">
        <f>IF(CT!E25=SCTTK!$G$1,CT!H25,0)</f>
        <v>40000000</v>
      </c>
      <c r="G28" s="69">
        <f>IF(SUM(E28:F28)=0,0,MAX($G$6+SUM($E$8:E28)-$H$6-SUM($F$8:F28),0))</f>
        <v>254900000</v>
      </c>
      <c r="H28" s="69">
        <f>IF(SUM(E28:F28)=0,0,MAX($H$6+SUM($F$8:F28)-$G$6-SUM($E$8:E28),0))</f>
        <v>0</v>
      </c>
    </row>
    <row r="29" spans="1:8" x14ac:dyDescent="0.25">
      <c r="A29" s="84">
        <f>IF(OR(CT!D26=SCTTK!$G$1,CT!E26=SCTTK!$G$1),CT!$A26,"")</f>
        <v>45306</v>
      </c>
      <c r="B29" s="65" t="str">
        <f>IF(OR(CT!D26=SCTTK!$G$1,CT!E26=SCTTK!$G$1),CT!$B26,"")</f>
        <v>03/PC</v>
      </c>
      <c r="C29" s="65" t="str">
        <f>IF(OR(CT!D26=SCTTK!$G$1,CT!E26=SCTTK!$G$1),CT!$C26,"")</f>
        <v>Chi lương cho CNSX BT</v>
      </c>
      <c r="D29" s="65" t="str">
        <f>IF(CT!D26=SCTTK!$G$1,CT!E26,IF(CT!E26=SCTTK!$G$1,CT!D26,""))</f>
        <v>3341.04</v>
      </c>
      <c r="E29" s="69">
        <f>IF(CT!D26=SCTTK!$G$1,CT!H26,0)</f>
        <v>0</v>
      </c>
      <c r="F29" s="69">
        <f>IF(CT!E26=SCTTK!$G$1,CT!H26,0)</f>
        <v>40000000</v>
      </c>
      <c r="G29" s="69">
        <f>IF(SUM(E29:F29)=0,0,MAX($G$6+SUM($E$8:E29)-$H$6-SUM($F$8:F29),0))</f>
        <v>214900000</v>
      </c>
      <c r="H29" s="69">
        <f>IF(SUM(E29:F29)=0,0,MAX($H$6+SUM($F$8:F29)-$G$6-SUM($E$8:E29),0))</f>
        <v>0</v>
      </c>
    </row>
    <row r="30" spans="1:8" x14ac:dyDescent="0.25">
      <c r="A30" s="84">
        <f>IF(OR(CT!D27=SCTTK!$G$1,CT!E27=SCTTK!$G$1),CT!$A27,"")</f>
        <v>45306</v>
      </c>
      <c r="B30" s="65" t="str">
        <f>IF(OR(CT!D27=SCTTK!$G$1,CT!E27=SCTTK!$G$1),CT!$B27,"")</f>
        <v>03/PC</v>
      </c>
      <c r="C30" s="65" t="str">
        <f>IF(OR(CT!D27=SCTTK!$G$1,CT!E27=SCTTK!$G$1),CT!$C27,"")</f>
        <v>Chi lương cho CNSX BO</v>
      </c>
      <c r="D30" s="65" t="str">
        <f>IF(CT!D27=SCTTK!$G$1,CT!E27,IF(CT!E27=SCTTK!$G$1,CT!D27,""))</f>
        <v>3341.05</v>
      </c>
      <c r="E30" s="69">
        <f>IF(CT!D27=SCTTK!$G$1,CT!H27,0)</f>
        <v>0</v>
      </c>
      <c r="F30" s="69">
        <f>IF(CT!E27=SCTTK!$G$1,CT!H27,0)</f>
        <v>40000000</v>
      </c>
      <c r="G30" s="69">
        <f>IF(SUM(E30:F30)=0,0,MAX($G$6+SUM($E$8:E30)-$H$6-SUM($F$8:F30),0))</f>
        <v>174900000</v>
      </c>
      <c r="H30" s="69">
        <f>IF(SUM(E30:F30)=0,0,MAX($H$6+SUM($F$8:F30)-$G$6-SUM($E$8:E30),0))</f>
        <v>0</v>
      </c>
    </row>
    <row r="31" spans="1:8" hidden="1" x14ac:dyDescent="0.25">
      <c r="A31" s="84" t="str">
        <f>IF(OR(CT!D28=SCTTK!$G$1,CT!E28=SCTTK!$G$1),CT!$A28,"")</f>
        <v/>
      </c>
      <c r="B31" s="65" t="str">
        <f>IF(OR(CT!D28=SCTTK!$G$1,CT!E28=SCTTK!$G$1),CT!$B28,"")</f>
        <v/>
      </c>
      <c r="C31" s="65" t="str">
        <f>IF(OR(CT!D28=SCTTK!$G$1,CT!E28=SCTTK!$G$1),CT!$C28,"")</f>
        <v/>
      </c>
      <c r="D31" s="65" t="str">
        <f>IF(CT!D28=SCTTK!$G$1,CT!E28,IF(CT!E28=SCTTK!$G$1,CT!D28,""))</f>
        <v/>
      </c>
      <c r="E31" s="69">
        <f>IF(CT!D28=SCTTK!$G$1,CT!H28,0)</f>
        <v>0</v>
      </c>
      <c r="F31" s="69">
        <f>IF(CT!E28=SCTTK!$G$1,CT!H28,0)</f>
        <v>0</v>
      </c>
      <c r="G31" s="69">
        <f>IF(SUM(E31:F31)=0,0,MAX($G$6+SUM($E$8:E31)-$H$6-SUM($F$8:F31),0))</f>
        <v>0</v>
      </c>
      <c r="H31" s="69">
        <f>IF(SUM(E31:F31)=0,0,MAX($H$6+SUM($F$8:F31)-$G$6-SUM($E$8:E31),0))</f>
        <v>0</v>
      </c>
    </row>
    <row r="32" spans="1:8" hidden="1" x14ac:dyDescent="0.25">
      <c r="A32" s="84" t="str">
        <f>IF(OR(CT!D29=SCTTK!$G$1,CT!E29=SCTTK!$G$1),CT!$A29,"")</f>
        <v/>
      </c>
      <c r="B32" s="65" t="str">
        <f>IF(OR(CT!D29=SCTTK!$G$1,CT!E29=SCTTK!$G$1),CT!$B29,"")</f>
        <v/>
      </c>
      <c r="C32" s="65" t="str">
        <f>IF(OR(CT!D29=SCTTK!$G$1,CT!E29=SCTTK!$G$1),CT!$C29,"")</f>
        <v/>
      </c>
      <c r="D32" s="65" t="str">
        <f>IF(CT!D29=SCTTK!$G$1,CT!E29,IF(CT!E29=SCTTK!$G$1,CT!D29,""))</f>
        <v/>
      </c>
      <c r="E32" s="69">
        <f>IF(CT!D29=SCTTK!$G$1,CT!H29,0)</f>
        <v>0</v>
      </c>
      <c r="F32" s="69">
        <f>IF(CT!E29=SCTTK!$G$1,CT!H29,0)</f>
        <v>0</v>
      </c>
      <c r="G32" s="69">
        <f>IF(SUM(E32:F32)=0,0,MAX($G$6+SUM($E$8:E32)-$H$6-SUM($F$8:F32),0))</f>
        <v>0</v>
      </c>
      <c r="H32" s="69">
        <f>IF(SUM(E32:F32)=0,0,MAX($H$6+SUM($F$8:F32)-$G$6-SUM($E$8:E32),0))</f>
        <v>0</v>
      </c>
    </row>
    <row r="33" spans="1:8" hidden="1" x14ac:dyDescent="0.25">
      <c r="A33" s="84" t="str">
        <f>IF(OR(CT!D30=SCTTK!$G$1,CT!E30=SCTTK!$G$1),CT!$A30,"")</f>
        <v/>
      </c>
      <c r="B33" s="65" t="str">
        <f>IF(OR(CT!D30=SCTTK!$G$1,CT!E30=SCTTK!$G$1),CT!$B30,"")</f>
        <v/>
      </c>
      <c r="C33" s="65" t="str">
        <f>IF(OR(CT!D30=SCTTK!$G$1,CT!E30=SCTTK!$G$1),CT!$C30,"")</f>
        <v/>
      </c>
      <c r="D33" s="65" t="str">
        <f>IF(CT!D30=SCTTK!$G$1,CT!E30,IF(CT!E30=SCTTK!$G$1,CT!D30,""))</f>
        <v/>
      </c>
      <c r="E33" s="69">
        <f>IF(CT!D30=SCTTK!$G$1,CT!H30,0)</f>
        <v>0</v>
      </c>
      <c r="F33" s="69">
        <f>IF(CT!E30=SCTTK!$G$1,CT!H30,0)</f>
        <v>0</v>
      </c>
      <c r="G33" s="69">
        <f>IF(SUM(E33:F33)=0,0,MAX($G$6+SUM($E$8:E33)-$H$6-SUM($F$8:F33),0))</f>
        <v>0</v>
      </c>
      <c r="H33" s="69">
        <f>IF(SUM(E33:F33)=0,0,MAX($H$6+SUM($F$8:F33)-$G$6-SUM($E$8:E33),0))</f>
        <v>0</v>
      </c>
    </row>
    <row r="34" spans="1:8" hidden="1" x14ac:dyDescent="0.25">
      <c r="A34" s="84" t="str">
        <f>IF(OR(CT!D31=SCTTK!$G$1,CT!E31=SCTTK!$G$1),CT!$A31,"")</f>
        <v/>
      </c>
      <c r="B34" s="65" t="str">
        <f>IF(OR(CT!D31=SCTTK!$G$1,CT!E31=SCTTK!$G$1),CT!$B31,"")</f>
        <v/>
      </c>
      <c r="C34" s="65" t="str">
        <f>IF(OR(CT!D31=SCTTK!$G$1,CT!E31=SCTTK!$G$1),CT!$C31,"")</f>
        <v/>
      </c>
      <c r="D34" s="65" t="str">
        <f>IF(CT!D31=SCTTK!$G$1,CT!E31,IF(CT!E31=SCTTK!$G$1,CT!D31,""))</f>
        <v/>
      </c>
      <c r="E34" s="69">
        <f>IF(CT!D31=SCTTK!$G$1,CT!H31,0)</f>
        <v>0</v>
      </c>
      <c r="F34" s="69">
        <f>IF(CT!E31=SCTTK!$G$1,CT!H31,0)</f>
        <v>0</v>
      </c>
      <c r="G34" s="69">
        <f>IF(SUM(E34:F34)=0,0,MAX($G$6+SUM($E$8:E34)-$H$6-SUM($F$8:F34),0))</f>
        <v>0</v>
      </c>
      <c r="H34" s="69">
        <f>IF(SUM(E34:F34)=0,0,MAX($H$6+SUM($F$8:F34)-$G$6-SUM($E$8:E34),0))</f>
        <v>0</v>
      </c>
    </row>
    <row r="35" spans="1:8" hidden="1" x14ac:dyDescent="0.25">
      <c r="A35" s="84" t="str">
        <f>IF(OR(CT!D32=SCTTK!$G$1,CT!E32=SCTTK!$G$1),CT!$A32,"")</f>
        <v/>
      </c>
      <c r="B35" s="65" t="str">
        <f>IF(OR(CT!D32=SCTTK!$G$1,CT!E32=SCTTK!$G$1),CT!$B32,"")</f>
        <v/>
      </c>
      <c r="C35" s="65" t="str">
        <f>IF(OR(CT!D32=SCTTK!$G$1,CT!E32=SCTTK!$G$1),CT!$C32,"")</f>
        <v/>
      </c>
      <c r="D35" s="65" t="str">
        <f>IF(CT!D32=SCTTK!$G$1,CT!E32,IF(CT!E32=SCTTK!$G$1,CT!D32,""))</f>
        <v/>
      </c>
      <c r="E35" s="69">
        <f>IF(CT!D32=SCTTK!$G$1,CT!H32,0)</f>
        <v>0</v>
      </c>
      <c r="F35" s="69">
        <f>IF(CT!E32=SCTTK!$G$1,CT!H32,0)</f>
        <v>0</v>
      </c>
      <c r="G35" s="69">
        <f>IF(SUM(E35:F35)=0,0,MAX($G$6+SUM($E$8:E35)-$H$6-SUM($F$8:F35),0))</f>
        <v>0</v>
      </c>
      <c r="H35" s="69">
        <f>IF(SUM(E35:F35)=0,0,MAX($H$6+SUM($F$8:F35)-$G$6-SUM($E$8:E35),0))</f>
        <v>0</v>
      </c>
    </row>
    <row r="36" spans="1:8" hidden="1" x14ac:dyDescent="0.25">
      <c r="A36" s="84" t="str">
        <f>IF(OR(CT!D33=SCTTK!$G$1,CT!E33=SCTTK!$G$1),CT!$A33,"")</f>
        <v/>
      </c>
      <c r="B36" s="65" t="str">
        <f>IF(OR(CT!D33=SCTTK!$G$1,CT!E33=SCTTK!$G$1),CT!$B33,"")</f>
        <v/>
      </c>
      <c r="C36" s="65" t="str">
        <f>IF(OR(CT!D33=SCTTK!$G$1,CT!E33=SCTTK!$G$1),CT!$C33,"")</f>
        <v/>
      </c>
      <c r="D36" s="65" t="str">
        <f>IF(CT!D33=SCTTK!$G$1,CT!E33,IF(CT!E33=SCTTK!$G$1,CT!D33,""))</f>
        <v/>
      </c>
      <c r="E36" s="69">
        <f>IF(CT!D33=SCTTK!$G$1,CT!H33,0)</f>
        <v>0</v>
      </c>
      <c r="F36" s="69">
        <f>IF(CT!E33=SCTTK!$G$1,CT!H33,0)</f>
        <v>0</v>
      </c>
      <c r="G36" s="69">
        <f>IF(SUM(E36:F36)=0,0,MAX($G$6+SUM($E$8:E36)-$H$6-SUM($F$8:F36),0))</f>
        <v>0</v>
      </c>
      <c r="H36" s="69">
        <f>IF(SUM(E36:F36)=0,0,MAX($H$6+SUM($F$8:F36)-$G$6-SUM($E$8:E36),0))</f>
        <v>0</v>
      </c>
    </row>
    <row r="37" spans="1:8" hidden="1" x14ac:dyDescent="0.25">
      <c r="A37" s="84" t="str">
        <f>IF(OR(CT!D34=SCTTK!$G$1,CT!E34=SCTTK!$G$1),CT!$A34,"")</f>
        <v/>
      </c>
      <c r="B37" s="65" t="str">
        <f>IF(OR(CT!D34=SCTTK!$G$1,CT!E34=SCTTK!$G$1),CT!$B34,"")</f>
        <v/>
      </c>
      <c r="C37" s="65" t="str">
        <f>IF(OR(CT!D34=SCTTK!$G$1,CT!E34=SCTTK!$G$1),CT!$C34,"")</f>
        <v/>
      </c>
      <c r="D37" s="65" t="str">
        <f>IF(CT!D34=SCTTK!$G$1,CT!E34,IF(CT!E34=SCTTK!$G$1,CT!D34,""))</f>
        <v/>
      </c>
      <c r="E37" s="69">
        <f>IF(CT!D34=SCTTK!$G$1,CT!H34,0)</f>
        <v>0</v>
      </c>
      <c r="F37" s="69">
        <f>IF(CT!E34=SCTTK!$G$1,CT!H34,0)</f>
        <v>0</v>
      </c>
      <c r="G37" s="69">
        <f>IF(SUM(E37:F37)=0,0,MAX($G$6+SUM($E$8:E37)-$H$6-SUM($F$8:F37),0))</f>
        <v>0</v>
      </c>
      <c r="H37" s="69">
        <f>IF(SUM(E37:F37)=0,0,MAX($H$6+SUM($F$8:F37)-$G$6-SUM($E$8:E37),0))</f>
        <v>0</v>
      </c>
    </row>
    <row r="38" spans="1:8" hidden="1" x14ac:dyDescent="0.25">
      <c r="A38" s="84" t="str">
        <f>IF(OR(CT!D35=SCTTK!$G$1,CT!E35=SCTTK!$G$1),CT!$A35,"")</f>
        <v/>
      </c>
      <c r="B38" s="65" t="str">
        <f>IF(OR(CT!D35=SCTTK!$G$1,CT!E35=SCTTK!$G$1),CT!$B35,"")</f>
        <v/>
      </c>
      <c r="C38" s="65" t="str">
        <f>IF(OR(CT!D35=SCTTK!$G$1,CT!E35=SCTTK!$G$1),CT!$C35,"")</f>
        <v/>
      </c>
      <c r="D38" s="65" t="str">
        <f>IF(CT!D35=SCTTK!$G$1,CT!E35,IF(CT!E35=SCTTK!$G$1,CT!D35,""))</f>
        <v/>
      </c>
      <c r="E38" s="69">
        <f>IF(CT!D35=SCTTK!$G$1,CT!H35,0)</f>
        <v>0</v>
      </c>
      <c r="F38" s="69">
        <f>IF(CT!E35=SCTTK!$G$1,CT!H35,0)</f>
        <v>0</v>
      </c>
      <c r="G38" s="69">
        <f>IF(SUM(E38:F38)=0,0,MAX($G$6+SUM($E$8:E38)-$H$6-SUM($F$8:F38),0))</f>
        <v>0</v>
      </c>
      <c r="H38" s="69">
        <f>IF(SUM(E38:F38)=0,0,MAX($H$6+SUM($F$8:F38)-$G$6-SUM($E$8:E38),0))</f>
        <v>0</v>
      </c>
    </row>
    <row r="39" spans="1:8" hidden="1" x14ac:dyDescent="0.25">
      <c r="A39" s="84" t="str">
        <f>IF(OR(CT!D36=SCTTK!$G$1,CT!E36=SCTTK!$G$1),CT!$A36,"")</f>
        <v/>
      </c>
      <c r="B39" s="65" t="str">
        <f>IF(OR(CT!D36=SCTTK!$G$1,CT!E36=SCTTK!$G$1),CT!$B36,"")</f>
        <v/>
      </c>
      <c r="C39" s="65" t="str">
        <f>IF(OR(CT!D36=SCTTK!$G$1,CT!E36=SCTTK!$G$1),CT!$C36,"")</f>
        <v/>
      </c>
      <c r="D39" s="65" t="str">
        <f>IF(CT!D36=SCTTK!$G$1,CT!E36,IF(CT!E36=SCTTK!$G$1,CT!D36,""))</f>
        <v/>
      </c>
      <c r="E39" s="69">
        <f>IF(CT!D36=SCTTK!$G$1,CT!H36,0)</f>
        <v>0</v>
      </c>
      <c r="F39" s="69">
        <f>IF(CT!E36=SCTTK!$G$1,CT!H36,0)</f>
        <v>0</v>
      </c>
      <c r="G39" s="69">
        <f>IF(SUM(E39:F39)=0,0,MAX($G$6+SUM($E$8:E39)-$H$6-SUM($F$8:F39),0))</f>
        <v>0</v>
      </c>
      <c r="H39" s="69">
        <f>IF(SUM(E39:F39)=0,0,MAX($H$6+SUM($F$8:F39)-$G$6-SUM($E$8:E39),0))</f>
        <v>0</v>
      </c>
    </row>
    <row r="40" spans="1:8" hidden="1" x14ac:dyDescent="0.25">
      <c r="A40" s="84" t="str">
        <f>IF(OR(CT!D37=SCTTK!$G$1,CT!E37=SCTTK!$G$1),CT!$A37,"")</f>
        <v/>
      </c>
      <c r="B40" s="65" t="str">
        <f>IF(OR(CT!D37=SCTTK!$G$1,CT!E37=SCTTK!$G$1),CT!$B37,"")</f>
        <v/>
      </c>
      <c r="C40" s="65" t="str">
        <f>IF(OR(CT!D37=SCTTK!$G$1,CT!E37=SCTTK!$G$1),CT!$C37,"")</f>
        <v/>
      </c>
      <c r="D40" s="65" t="str">
        <f>IF(CT!D37=SCTTK!$G$1,CT!E37,IF(CT!E37=SCTTK!$G$1,CT!D37,""))</f>
        <v/>
      </c>
      <c r="E40" s="69">
        <f>IF(CT!D37=SCTTK!$G$1,CT!H37,0)</f>
        <v>0</v>
      </c>
      <c r="F40" s="69">
        <f>IF(CT!E37=SCTTK!$G$1,CT!H37,0)</f>
        <v>0</v>
      </c>
      <c r="G40" s="69">
        <f>IF(SUM(E40:F40)=0,0,MAX($G$6+SUM($E$8:E40)-$H$6-SUM($F$8:F40),0))</f>
        <v>0</v>
      </c>
      <c r="H40" s="69">
        <f>IF(SUM(E40:F40)=0,0,MAX($H$6+SUM($F$8:F40)-$G$6-SUM($E$8:E40),0))</f>
        <v>0</v>
      </c>
    </row>
    <row r="41" spans="1:8" hidden="1" x14ac:dyDescent="0.25">
      <c r="A41" s="84" t="str">
        <f>IF(OR(CT!D38=SCTTK!$G$1,CT!E38=SCTTK!$G$1),CT!$A38,"")</f>
        <v/>
      </c>
      <c r="B41" s="65" t="str">
        <f>IF(OR(CT!D38=SCTTK!$G$1,CT!E38=SCTTK!$G$1),CT!$B38,"")</f>
        <v/>
      </c>
      <c r="C41" s="65" t="str">
        <f>IF(OR(CT!D38=SCTTK!$G$1,CT!E38=SCTTK!$G$1),CT!$C38,"")</f>
        <v/>
      </c>
      <c r="D41" s="65" t="str">
        <f>IF(CT!D38=SCTTK!$G$1,CT!E38,IF(CT!E38=SCTTK!$G$1,CT!D38,""))</f>
        <v/>
      </c>
      <c r="E41" s="69">
        <f>IF(CT!D38=SCTTK!$G$1,CT!H38,0)</f>
        <v>0</v>
      </c>
      <c r="F41" s="69">
        <f>IF(CT!E38=SCTTK!$G$1,CT!H38,0)</f>
        <v>0</v>
      </c>
      <c r="G41" s="69">
        <f>IF(SUM(E41:F41)=0,0,MAX($G$6+SUM($E$8:E41)-$H$6-SUM($F$8:F41),0))</f>
        <v>0</v>
      </c>
      <c r="H41" s="69">
        <f>IF(SUM(E41:F41)=0,0,MAX($H$6+SUM($F$8:F41)-$G$6-SUM($E$8:E41),0))</f>
        <v>0</v>
      </c>
    </row>
    <row r="42" spans="1:8" hidden="1" x14ac:dyDescent="0.25">
      <c r="A42" s="84" t="str">
        <f>IF(OR(CT!D39=SCTTK!$G$1,CT!E39=SCTTK!$G$1),CT!$A39,"")</f>
        <v/>
      </c>
      <c r="B42" s="65" t="str">
        <f>IF(OR(CT!D39=SCTTK!$G$1,CT!E39=SCTTK!$G$1),CT!$B39,"")</f>
        <v/>
      </c>
      <c r="C42" s="65" t="str">
        <f>IF(OR(CT!D39=SCTTK!$G$1,CT!E39=SCTTK!$G$1),CT!$C39,"")</f>
        <v/>
      </c>
      <c r="D42" s="65" t="str">
        <f>IF(CT!D39=SCTTK!$G$1,CT!E39,IF(CT!E39=SCTTK!$G$1,CT!D39,""))</f>
        <v/>
      </c>
      <c r="E42" s="69">
        <f>IF(CT!D39=SCTTK!$G$1,CT!H39,0)</f>
        <v>0</v>
      </c>
      <c r="F42" s="69">
        <f>IF(CT!E39=SCTTK!$G$1,CT!H39,0)</f>
        <v>0</v>
      </c>
      <c r="G42" s="69">
        <f>IF(SUM(E42:F42)=0,0,MAX($G$6+SUM($E$8:E42)-$H$6-SUM($F$8:F42),0))</f>
        <v>0</v>
      </c>
      <c r="H42" s="69">
        <f>IF(SUM(E42:F42)=0,0,MAX($H$6+SUM($F$8:F42)-$G$6-SUM($E$8:E42),0))</f>
        <v>0</v>
      </c>
    </row>
    <row r="43" spans="1:8" hidden="1" x14ac:dyDescent="0.25">
      <c r="A43" s="84" t="str">
        <f>IF(OR(CT!D40=SCTTK!$G$1,CT!E40=SCTTK!$G$1),CT!$A40,"")</f>
        <v/>
      </c>
      <c r="B43" s="65" t="str">
        <f>IF(OR(CT!D40=SCTTK!$G$1,CT!E40=SCTTK!$G$1),CT!$B40,"")</f>
        <v/>
      </c>
      <c r="C43" s="65" t="str">
        <f>IF(OR(CT!D40=SCTTK!$G$1,CT!E40=SCTTK!$G$1),CT!$C40,"")</f>
        <v/>
      </c>
      <c r="D43" s="65" t="str">
        <f>IF(CT!D40=SCTTK!$G$1,CT!E40,IF(CT!E40=SCTTK!$G$1,CT!D40,""))</f>
        <v/>
      </c>
      <c r="E43" s="69">
        <f>IF(CT!D40=SCTTK!$G$1,CT!H40,0)</f>
        <v>0</v>
      </c>
      <c r="F43" s="69">
        <f>IF(CT!E40=SCTTK!$G$1,CT!H40,0)</f>
        <v>0</v>
      </c>
      <c r="G43" s="69">
        <f>IF(SUM(E43:F43)=0,0,MAX($G$6+SUM($E$8:E43)-$H$6-SUM($F$8:F43),0))</f>
        <v>0</v>
      </c>
      <c r="H43" s="69">
        <f>IF(SUM(E43:F43)=0,0,MAX($H$6+SUM($F$8:F43)-$G$6-SUM($E$8:E43),0))</f>
        <v>0</v>
      </c>
    </row>
    <row r="44" spans="1:8" hidden="1" x14ac:dyDescent="0.25">
      <c r="A44" s="84" t="str">
        <f>IF(OR(CT!D41=SCTTK!$G$1,CT!E41=SCTTK!$G$1),CT!$A41,"")</f>
        <v/>
      </c>
      <c r="B44" s="65" t="str">
        <f>IF(OR(CT!D41=SCTTK!$G$1,CT!E41=SCTTK!$G$1),CT!$B41,"")</f>
        <v/>
      </c>
      <c r="C44" s="65" t="str">
        <f>IF(OR(CT!D41=SCTTK!$G$1,CT!E41=SCTTK!$G$1),CT!$C41,"")</f>
        <v/>
      </c>
      <c r="D44" s="65" t="str">
        <f>IF(CT!D41=SCTTK!$G$1,CT!E41,IF(CT!E41=SCTTK!$G$1,CT!D41,""))</f>
        <v/>
      </c>
      <c r="E44" s="69">
        <f>IF(CT!D41=SCTTK!$G$1,CT!H41,0)</f>
        <v>0</v>
      </c>
      <c r="F44" s="69">
        <f>IF(CT!E41=SCTTK!$G$1,CT!H41,0)</f>
        <v>0</v>
      </c>
      <c r="G44" s="69">
        <f>IF(SUM(E44:F44)=0,0,MAX($G$6+SUM($E$8:E44)-$H$6-SUM($F$8:F44),0))</f>
        <v>0</v>
      </c>
      <c r="H44" s="69">
        <f>IF(SUM(E44:F44)=0,0,MAX($H$6+SUM($F$8:F44)-$G$6-SUM($E$8:E44),0))</f>
        <v>0</v>
      </c>
    </row>
    <row r="45" spans="1:8" hidden="1" x14ac:dyDescent="0.25">
      <c r="A45" s="84" t="str">
        <f>IF(OR(CT!D42=SCTTK!$G$1,CT!E42=SCTTK!$G$1),CT!$A42,"")</f>
        <v/>
      </c>
      <c r="B45" s="65" t="str">
        <f>IF(OR(CT!D42=SCTTK!$G$1,CT!E42=SCTTK!$G$1),CT!$B42,"")</f>
        <v/>
      </c>
      <c r="C45" s="65" t="str">
        <f>IF(OR(CT!D42=SCTTK!$G$1,CT!E42=SCTTK!$G$1),CT!$C42,"")</f>
        <v/>
      </c>
      <c r="D45" s="65" t="str">
        <f>IF(CT!D42=SCTTK!$G$1,CT!E42,IF(CT!E42=SCTTK!$G$1,CT!D42,""))</f>
        <v/>
      </c>
      <c r="E45" s="69">
        <f>IF(CT!D42=SCTTK!$G$1,CT!H42,0)</f>
        <v>0</v>
      </c>
      <c r="F45" s="69">
        <f>IF(CT!E42=SCTTK!$G$1,CT!H42,0)</f>
        <v>0</v>
      </c>
      <c r="G45" s="69">
        <f>IF(SUM(E45:F45)=0,0,MAX($G$6+SUM($E$8:E45)-$H$6-SUM($F$8:F45),0))</f>
        <v>0</v>
      </c>
      <c r="H45" s="69">
        <f>IF(SUM(E45:F45)=0,0,MAX($H$6+SUM($F$8:F45)-$G$6-SUM($E$8:E45),0))</f>
        <v>0</v>
      </c>
    </row>
    <row r="46" spans="1:8" hidden="1" x14ac:dyDescent="0.25">
      <c r="A46" s="84" t="str">
        <f>IF(OR(CT!D43=SCTTK!$G$1,CT!E43=SCTTK!$G$1),CT!$A43,"")</f>
        <v/>
      </c>
      <c r="B46" s="65" t="str">
        <f>IF(OR(CT!D43=SCTTK!$G$1,CT!E43=SCTTK!$G$1),CT!$B43,"")</f>
        <v/>
      </c>
      <c r="C46" s="65" t="str">
        <f>IF(OR(CT!D43=SCTTK!$G$1,CT!E43=SCTTK!$G$1),CT!$C43,"")</f>
        <v/>
      </c>
      <c r="D46" s="65" t="str">
        <f>IF(CT!D43=SCTTK!$G$1,CT!E43,IF(CT!E43=SCTTK!$G$1,CT!D43,""))</f>
        <v/>
      </c>
      <c r="E46" s="69">
        <f>IF(CT!D43=SCTTK!$G$1,CT!H43,0)</f>
        <v>0</v>
      </c>
      <c r="F46" s="69">
        <f>IF(CT!E43=SCTTK!$G$1,CT!H43,0)</f>
        <v>0</v>
      </c>
      <c r="G46" s="69">
        <f>IF(SUM(E46:F46)=0,0,MAX($G$6+SUM($E$8:E46)-$H$6-SUM($F$8:F46),0))</f>
        <v>0</v>
      </c>
      <c r="H46" s="69">
        <f>IF(SUM(E46:F46)=0,0,MAX($H$6+SUM($F$8:F46)-$G$6-SUM($E$8:E46),0))</f>
        <v>0</v>
      </c>
    </row>
    <row r="47" spans="1:8" hidden="1" x14ac:dyDescent="0.25">
      <c r="A47" s="84" t="str">
        <f>IF(OR(CT!D44=SCTTK!$G$1,CT!E44=SCTTK!$G$1),CT!$A44,"")</f>
        <v/>
      </c>
      <c r="B47" s="65" t="str">
        <f>IF(OR(CT!D44=SCTTK!$G$1,CT!E44=SCTTK!$G$1),CT!$B44,"")</f>
        <v/>
      </c>
      <c r="C47" s="65" t="str">
        <f>IF(OR(CT!D44=SCTTK!$G$1,CT!E44=SCTTK!$G$1),CT!$C44,"")</f>
        <v/>
      </c>
      <c r="D47" s="65" t="str">
        <f>IF(CT!D44=SCTTK!$G$1,CT!E44,IF(CT!E44=SCTTK!$G$1,CT!D44,""))</f>
        <v/>
      </c>
      <c r="E47" s="69">
        <f>IF(CT!D44=SCTTK!$G$1,CT!H44,0)</f>
        <v>0</v>
      </c>
      <c r="F47" s="69">
        <f>IF(CT!E44=SCTTK!$G$1,CT!H44,0)</f>
        <v>0</v>
      </c>
      <c r="G47" s="69">
        <f>IF(SUM(E47:F47)=0,0,MAX($G$6+SUM($E$8:E47)-$H$6-SUM($F$8:F47),0))</f>
        <v>0</v>
      </c>
      <c r="H47" s="69">
        <f>IF(SUM(E47:F47)=0,0,MAX($H$6+SUM($F$8:F47)-$G$6-SUM($E$8:E47),0))</f>
        <v>0</v>
      </c>
    </row>
    <row r="48" spans="1:8" hidden="1" x14ac:dyDescent="0.25">
      <c r="A48" s="84" t="str">
        <f>IF(OR(CT!D45=SCTTK!$G$1,CT!E45=SCTTK!$G$1),CT!$A45,"")</f>
        <v/>
      </c>
      <c r="B48" s="65" t="str">
        <f>IF(OR(CT!D45=SCTTK!$G$1,CT!E45=SCTTK!$G$1),CT!$B45,"")</f>
        <v/>
      </c>
      <c r="C48" s="65" t="str">
        <f>IF(OR(CT!D45=SCTTK!$G$1,CT!E45=SCTTK!$G$1),CT!$C45,"")</f>
        <v/>
      </c>
      <c r="D48" s="65" t="str">
        <f>IF(CT!D45=SCTTK!$G$1,CT!E45,IF(CT!E45=SCTTK!$G$1,CT!D45,""))</f>
        <v/>
      </c>
      <c r="E48" s="69">
        <f>IF(CT!D45=SCTTK!$G$1,CT!H45,0)</f>
        <v>0</v>
      </c>
      <c r="F48" s="69">
        <f>IF(CT!E45=SCTTK!$G$1,CT!H45,0)</f>
        <v>0</v>
      </c>
      <c r="G48" s="69">
        <f>IF(SUM(E48:F48)=0,0,MAX($G$6+SUM($E$8:E48)-$H$6-SUM($F$8:F48),0))</f>
        <v>0</v>
      </c>
      <c r="H48" s="69">
        <f>IF(SUM(E48:F48)=0,0,MAX($H$6+SUM($F$8:F48)-$G$6-SUM($E$8:E48),0))</f>
        <v>0</v>
      </c>
    </row>
    <row r="49" spans="1:8" hidden="1" x14ac:dyDescent="0.25">
      <c r="A49" s="84" t="str">
        <f>IF(OR(CT!D46=SCTTK!$G$1,CT!E46=SCTTK!$G$1),CT!$A46,"")</f>
        <v/>
      </c>
      <c r="B49" s="65" t="str">
        <f>IF(OR(CT!D46=SCTTK!$G$1,CT!E46=SCTTK!$G$1),CT!$B46,"")</f>
        <v/>
      </c>
      <c r="C49" s="65" t="str">
        <f>IF(OR(CT!D46=SCTTK!$G$1,CT!E46=SCTTK!$G$1),CT!$C46,"")</f>
        <v/>
      </c>
      <c r="D49" s="65" t="str">
        <f>IF(CT!D46=SCTTK!$G$1,CT!E46,IF(CT!E46=SCTTK!$G$1,CT!D46,""))</f>
        <v/>
      </c>
      <c r="E49" s="69">
        <f>IF(CT!D46=SCTTK!$G$1,CT!H46,0)</f>
        <v>0</v>
      </c>
      <c r="F49" s="69">
        <f>IF(CT!E46=SCTTK!$G$1,CT!H46,0)</f>
        <v>0</v>
      </c>
      <c r="G49" s="69">
        <f>IF(SUM(E49:F49)=0,0,MAX($G$6+SUM($E$8:E49)-$H$6-SUM($F$8:F49),0))</f>
        <v>0</v>
      </c>
      <c r="H49" s="69">
        <f>IF(SUM(E49:F49)=0,0,MAX($H$6+SUM($F$8:F49)-$G$6-SUM($E$8:E49),0))</f>
        <v>0</v>
      </c>
    </row>
    <row r="50" spans="1:8" hidden="1" x14ac:dyDescent="0.25">
      <c r="A50" s="84" t="str">
        <f>IF(OR(CT!D47=SCTTK!$G$1,CT!E47=SCTTK!$G$1),CT!$A47,"")</f>
        <v/>
      </c>
      <c r="B50" s="65" t="str">
        <f>IF(OR(CT!D47=SCTTK!$G$1,CT!E47=SCTTK!$G$1),CT!$B47,"")</f>
        <v/>
      </c>
      <c r="C50" s="65" t="str">
        <f>IF(OR(CT!D47=SCTTK!$G$1,CT!E47=SCTTK!$G$1),CT!$C47,"")</f>
        <v/>
      </c>
      <c r="D50" s="65" t="str">
        <f>IF(CT!D47=SCTTK!$G$1,CT!E47,IF(CT!E47=SCTTK!$G$1,CT!D47,""))</f>
        <v/>
      </c>
      <c r="E50" s="69">
        <f>IF(CT!D47=SCTTK!$G$1,CT!H47,0)</f>
        <v>0</v>
      </c>
      <c r="F50" s="69">
        <f>IF(CT!E47=SCTTK!$G$1,CT!H47,0)</f>
        <v>0</v>
      </c>
      <c r="G50" s="69">
        <f>IF(SUM(E50:F50)=0,0,MAX($G$6+SUM($E$8:E50)-$H$6-SUM($F$8:F50),0))</f>
        <v>0</v>
      </c>
      <c r="H50" s="69">
        <f>IF(SUM(E50:F50)=0,0,MAX($H$6+SUM($F$8:F50)-$G$6-SUM($E$8:E50),0))</f>
        <v>0</v>
      </c>
    </row>
    <row r="51" spans="1:8" hidden="1" x14ac:dyDescent="0.25">
      <c r="A51" s="84" t="str">
        <f>IF(OR(CT!D48=SCTTK!$G$1,CT!E48=SCTTK!$G$1),CT!$A48,"")</f>
        <v/>
      </c>
      <c r="B51" s="65" t="str">
        <f>IF(OR(CT!D48=SCTTK!$G$1,CT!E48=SCTTK!$G$1),CT!$B48,"")</f>
        <v/>
      </c>
      <c r="C51" s="65" t="str">
        <f>IF(OR(CT!D48=SCTTK!$G$1,CT!E48=SCTTK!$G$1),CT!$C48,"")</f>
        <v/>
      </c>
      <c r="D51" s="65" t="str">
        <f>IF(CT!D48=SCTTK!$G$1,CT!E48,IF(CT!E48=SCTTK!$G$1,CT!D48,""))</f>
        <v/>
      </c>
      <c r="E51" s="69">
        <f>IF(CT!D48=SCTTK!$G$1,CT!H48,0)</f>
        <v>0</v>
      </c>
      <c r="F51" s="69">
        <f>IF(CT!E48=SCTTK!$G$1,CT!H48,0)</f>
        <v>0</v>
      </c>
      <c r="G51" s="69">
        <f>IF(SUM(E51:F51)=0,0,MAX($G$6+SUM($E$8:E51)-$H$6-SUM($F$8:F51),0))</f>
        <v>0</v>
      </c>
      <c r="H51" s="69">
        <f>IF(SUM(E51:F51)=0,0,MAX($H$6+SUM($F$8:F51)-$G$6-SUM($E$8:E51),0))</f>
        <v>0</v>
      </c>
    </row>
    <row r="52" spans="1:8" hidden="1" x14ac:dyDescent="0.25">
      <c r="A52" s="84" t="str">
        <f>IF(OR(CT!D49=SCTTK!$G$1,CT!E49=SCTTK!$G$1),CT!$A49,"")</f>
        <v/>
      </c>
      <c r="B52" s="65" t="str">
        <f>IF(OR(CT!D49=SCTTK!$G$1,CT!E49=SCTTK!$G$1),CT!$B49,"")</f>
        <v/>
      </c>
      <c r="C52" s="65" t="str">
        <f>IF(OR(CT!D49=SCTTK!$G$1,CT!E49=SCTTK!$G$1),CT!$C49,"")</f>
        <v/>
      </c>
      <c r="D52" s="65" t="str">
        <f>IF(CT!D49=SCTTK!$G$1,CT!E49,IF(CT!E49=SCTTK!$G$1,CT!D49,""))</f>
        <v/>
      </c>
      <c r="E52" s="69">
        <f>IF(CT!D49=SCTTK!$G$1,CT!H49,0)</f>
        <v>0</v>
      </c>
      <c r="F52" s="69">
        <f>IF(CT!E49=SCTTK!$G$1,CT!H49,0)</f>
        <v>0</v>
      </c>
      <c r="G52" s="69">
        <f>IF(SUM(E52:F52)=0,0,MAX($G$6+SUM($E$8:E52)-$H$6-SUM($F$8:F52),0))</f>
        <v>0</v>
      </c>
      <c r="H52" s="69">
        <f>IF(SUM(E52:F52)=0,0,MAX($H$6+SUM($F$8:F52)-$G$6-SUM($E$8:E52),0))</f>
        <v>0</v>
      </c>
    </row>
    <row r="53" spans="1:8" hidden="1" x14ac:dyDescent="0.25">
      <c r="A53" s="84" t="str">
        <f>IF(OR(CT!D50=SCTTK!$G$1,CT!E50=SCTTK!$G$1),CT!$A50,"")</f>
        <v/>
      </c>
      <c r="B53" s="65" t="str">
        <f>IF(OR(CT!D50=SCTTK!$G$1,CT!E50=SCTTK!$G$1),CT!$B50,"")</f>
        <v/>
      </c>
      <c r="C53" s="65" t="str">
        <f>IF(OR(CT!D50=SCTTK!$G$1,CT!E50=SCTTK!$G$1),CT!$C50,"")</f>
        <v/>
      </c>
      <c r="D53" s="65" t="str">
        <f>IF(CT!D50=SCTTK!$G$1,CT!E50,IF(CT!E50=SCTTK!$G$1,CT!D50,""))</f>
        <v/>
      </c>
      <c r="E53" s="69">
        <f>IF(CT!D50=SCTTK!$G$1,CT!H50,0)</f>
        <v>0</v>
      </c>
      <c r="F53" s="69">
        <f>IF(CT!E50=SCTTK!$G$1,CT!H50,0)</f>
        <v>0</v>
      </c>
      <c r="G53" s="69">
        <f>IF(SUM(E53:F53)=0,0,MAX($G$6+SUM($E$8:E53)-$H$6-SUM($F$8:F53),0))</f>
        <v>0</v>
      </c>
      <c r="H53" s="69">
        <f>IF(SUM(E53:F53)=0,0,MAX($H$6+SUM($F$8:F53)-$G$6-SUM($E$8:E53),0))</f>
        <v>0</v>
      </c>
    </row>
    <row r="54" spans="1:8" x14ac:dyDescent="0.25">
      <c r="A54" s="84">
        <f>IF(OR(CT!D51=SCTTK!$G$1,CT!E51=SCTTK!$G$1),CT!$A51,"")</f>
        <v>45319</v>
      </c>
      <c r="B54" s="65" t="str">
        <f>IF(OR(CT!D51=SCTTK!$G$1,CT!E51=SCTTK!$G$1),CT!$B51,"")</f>
        <v>01/TU</v>
      </c>
      <c r="C54" s="65" t="str">
        <f>IF(OR(CT!D51=SCTTK!$G$1,CT!E51=SCTTK!$G$1),CT!$C51,"")</f>
        <v>Thanh toán tạm ứng Hồ Sĩ Nhật</v>
      </c>
      <c r="D54" s="65" t="str">
        <f>IF(CT!D51=SCTTK!$G$1,CT!E51,IF(CT!E51=SCTTK!$G$1,CT!D51,""))</f>
        <v>141.0102</v>
      </c>
      <c r="E54" s="69">
        <f>IF(CT!D51=SCTTK!$G$1,CT!H51,0)</f>
        <v>200000</v>
      </c>
      <c r="F54" s="69">
        <f>IF(CT!E51=SCTTK!$G$1,CT!H51,0)</f>
        <v>0</v>
      </c>
      <c r="G54" s="69">
        <f>IF(SUM(E54:F54)=0,0,MAX($G$6+SUM($E$8:E54)-$H$6-SUM($F$8:F54),0))</f>
        <v>175100000</v>
      </c>
      <c r="H54" s="69">
        <f>IF(SUM(E54:F54)=0,0,MAX($H$6+SUM($F$8:F54)-$G$6-SUM($E$8:E54),0))</f>
        <v>0</v>
      </c>
    </row>
    <row r="55" spans="1:8" hidden="1" x14ac:dyDescent="0.25">
      <c r="A55" s="84" t="str">
        <f>IF(OR(CT!D52=SCTTK!$G$1,CT!E52=SCTTK!$G$1),CT!$A52,"")</f>
        <v/>
      </c>
      <c r="B55" s="65" t="str">
        <f>IF(OR(CT!D52=SCTTK!$G$1,CT!E52=SCTTK!$G$1),CT!$B52,"")</f>
        <v/>
      </c>
      <c r="C55" s="65" t="str">
        <f>IF(OR(CT!D52=SCTTK!$G$1,CT!E52=SCTTK!$G$1),CT!$C52,"")</f>
        <v/>
      </c>
      <c r="D55" s="65" t="str">
        <f>IF(CT!D52=SCTTK!$G$1,CT!E52,IF(CT!E52=SCTTK!$G$1,CT!D52,""))</f>
        <v/>
      </c>
      <c r="E55" s="69">
        <f>IF(CT!D52=SCTTK!$G$1,CT!H52,0)</f>
        <v>0</v>
      </c>
      <c r="F55" s="69">
        <f>IF(CT!E52=SCTTK!$G$1,CT!H52,0)</f>
        <v>0</v>
      </c>
      <c r="G55" s="69">
        <f>IF(SUM(E55:F55)=0,0,MAX($G$6+SUM($E$8:E55)-$H$6-SUM($F$8:F55),0))</f>
        <v>0</v>
      </c>
      <c r="H55" s="69">
        <f>IF(SUM(E55:F55)=0,0,MAX($H$6+SUM($F$8:F55)-$G$6-SUM($E$8:E55),0))</f>
        <v>0</v>
      </c>
    </row>
    <row r="56" spans="1:8" x14ac:dyDescent="0.25">
      <c r="A56" s="84">
        <f>IF(OR(CT!D53=SCTTK!$G$1,CT!E53=SCTTK!$G$1),CT!$A53,"")</f>
        <v>45319</v>
      </c>
      <c r="B56" s="65" t="str">
        <f>IF(OR(CT!D53=SCTTK!$G$1,CT!E53=SCTTK!$G$1),CT!$B53,"")</f>
        <v>04/PC</v>
      </c>
      <c r="C56" s="65" t="str">
        <f>IF(OR(CT!D53=SCTTK!$G$1,CT!E53=SCTTK!$G$1),CT!$C53,"")</f>
        <v>Thuế GTGT mua máy xẻ gỗ</v>
      </c>
      <c r="D56" s="65" t="str">
        <f>IF(CT!D53=SCTTK!$G$1,CT!E53,IF(CT!E53=SCTTK!$G$1,CT!D53,""))</f>
        <v>1332</v>
      </c>
      <c r="E56" s="69">
        <f>IF(CT!D53=SCTTK!$G$1,CT!H53,0)</f>
        <v>0</v>
      </c>
      <c r="F56" s="69">
        <f>IF(CT!E53=SCTTK!$G$1,CT!H53,0)</f>
        <v>14000000</v>
      </c>
      <c r="G56" s="69">
        <f>IF(SUM(E56:F56)=0,0,MAX($G$6+SUM($E$8:E56)-$H$6-SUM($F$8:F56),0))</f>
        <v>161100000</v>
      </c>
      <c r="H56" s="69">
        <f>IF(SUM(E56:F56)=0,0,MAX($H$6+SUM($F$8:F56)-$G$6-SUM($E$8:E56),0))</f>
        <v>0</v>
      </c>
    </row>
    <row r="57" spans="1:8" x14ac:dyDescent="0.25">
      <c r="A57" s="84">
        <f>IF(OR(CT!D54=SCTTK!$G$1,CT!E54=SCTTK!$G$1),CT!$A54,"")</f>
        <v>45319</v>
      </c>
      <c r="B57" s="65" t="str">
        <f>IF(OR(CT!D54=SCTTK!$G$1,CT!E54=SCTTK!$G$1),CT!$B54,"")</f>
        <v>04/PC</v>
      </c>
      <c r="C57" s="65" t="str">
        <f>IF(OR(CT!D54=SCTTK!$G$1,CT!E54=SCTTK!$G$1),CT!$C54,"")</f>
        <v>Mua máy xẻ gỗ</v>
      </c>
      <c r="D57" s="65" t="str">
        <f>IF(CT!D54=SCTTK!$G$1,CT!E54,IF(CT!E54=SCTTK!$G$1,CT!D54,""))</f>
        <v>2112.04</v>
      </c>
      <c r="E57" s="69">
        <f>IF(CT!D54=SCTTK!$G$1,CT!H54,0)</f>
        <v>0</v>
      </c>
      <c r="F57" s="69">
        <f>IF(CT!E54=SCTTK!$G$1,CT!H54,0)</f>
        <v>140000000</v>
      </c>
      <c r="G57" s="69">
        <f>IF(SUM(E57:F57)=0,0,MAX($G$6+SUM($E$8:E57)-$H$6-SUM($F$8:F57),0))</f>
        <v>21100000</v>
      </c>
      <c r="H57" s="69">
        <f>IF(SUM(E57:F57)=0,0,MAX($H$6+SUM($F$8:F57)-$G$6-SUM($E$8:E57),0))</f>
        <v>0</v>
      </c>
    </row>
    <row r="58" spans="1:8" hidden="1" x14ac:dyDescent="0.25">
      <c r="A58" s="84" t="str">
        <f>IF(OR(CT!D55=SCTTK!$G$1,CT!E55=SCTTK!$G$1),CT!$A55,"")</f>
        <v/>
      </c>
      <c r="B58" s="65" t="str">
        <f>IF(OR(CT!D55=SCTTK!$G$1,CT!E55=SCTTK!$G$1),CT!$B55,"")</f>
        <v/>
      </c>
      <c r="C58" s="65" t="str">
        <f>IF(OR(CT!D55=SCTTK!$G$1,CT!E55=SCTTK!$G$1),CT!$C55,"")</f>
        <v/>
      </c>
      <c r="D58" s="65" t="str">
        <f>IF(CT!D55=SCTTK!$G$1,CT!E55,IF(CT!E55=SCTTK!$G$1,CT!D55,""))</f>
        <v/>
      </c>
      <c r="E58" s="69">
        <f>IF(CT!D55=SCTTK!$G$1,CT!H55,0)</f>
        <v>0</v>
      </c>
      <c r="F58" s="69">
        <f>IF(CT!E55=SCTTK!$G$1,CT!H55,0)</f>
        <v>0</v>
      </c>
      <c r="G58" s="69">
        <f>IF(SUM(E58:F58)=0,0,MAX($G$6+SUM($E$8:E58)-$H$6-SUM($F$8:F58),0))</f>
        <v>0</v>
      </c>
      <c r="H58" s="69">
        <f>IF(SUM(E58:F58)=0,0,MAX($H$6+SUM($F$8:F58)-$G$6-SUM($E$8:E58),0))</f>
        <v>0</v>
      </c>
    </row>
    <row r="59" spans="1:8" hidden="1" x14ac:dyDescent="0.25">
      <c r="A59" s="84" t="str">
        <f>IF(OR(CT!D56=SCTTK!$G$1,CT!E56=SCTTK!$G$1),CT!$A56,"")</f>
        <v/>
      </c>
      <c r="B59" s="65" t="str">
        <f>IF(OR(CT!D56=SCTTK!$G$1,CT!E56=SCTTK!$G$1),CT!$B56,"")</f>
        <v/>
      </c>
      <c r="C59" s="65" t="str">
        <f>IF(OR(CT!D56=SCTTK!$G$1,CT!E56=SCTTK!$G$1),CT!$C56,"")</f>
        <v/>
      </c>
      <c r="D59" s="65" t="str">
        <f>IF(CT!D56=SCTTK!$G$1,CT!E56,IF(CT!E56=SCTTK!$G$1,CT!D56,""))</f>
        <v/>
      </c>
      <c r="E59" s="69">
        <f>IF(CT!D56=SCTTK!$G$1,CT!H56,0)</f>
        <v>0</v>
      </c>
      <c r="F59" s="69">
        <f>IF(CT!E56=SCTTK!$G$1,CT!H56,0)</f>
        <v>0</v>
      </c>
      <c r="G59" s="69">
        <f>IF(SUM(E59:F59)=0,0,MAX($G$6+SUM($E$8:E59)-$H$6-SUM($F$8:F59),0))</f>
        <v>0</v>
      </c>
      <c r="H59" s="69">
        <f>IF(SUM(E59:F59)=0,0,MAX($H$6+SUM($F$8:F59)-$G$6-SUM($E$8:E59),0))</f>
        <v>0</v>
      </c>
    </row>
    <row r="60" spans="1:8" hidden="1" x14ac:dyDescent="0.25">
      <c r="A60" s="84" t="str">
        <f>IF(OR(CT!D57=SCTTK!$G$1,CT!E57=SCTTK!$G$1),CT!$A57,"")</f>
        <v/>
      </c>
      <c r="B60" s="65" t="str">
        <f>IF(OR(CT!D57=SCTTK!$G$1,CT!E57=SCTTK!$G$1),CT!$B57,"")</f>
        <v/>
      </c>
      <c r="C60" s="65" t="str">
        <f>IF(OR(CT!D57=SCTTK!$G$1,CT!E57=SCTTK!$G$1),CT!$C57,"")</f>
        <v/>
      </c>
      <c r="D60" s="65" t="str">
        <f>IF(CT!D57=SCTTK!$G$1,CT!E57,IF(CT!E57=SCTTK!$G$1,CT!D57,""))</f>
        <v/>
      </c>
      <c r="E60" s="69">
        <f>IF(CT!D57=SCTTK!$G$1,CT!H57,0)</f>
        <v>0</v>
      </c>
      <c r="F60" s="69">
        <f>IF(CT!E57=SCTTK!$G$1,CT!H57,0)</f>
        <v>0</v>
      </c>
      <c r="G60" s="69">
        <f>IF(SUM(E60:F60)=0,0,MAX($G$6+SUM($E$8:E60)-$H$6-SUM($F$8:F60),0))</f>
        <v>0</v>
      </c>
      <c r="H60" s="69">
        <f>IF(SUM(E60:F60)=0,0,MAX($H$6+SUM($F$8:F60)-$G$6-SUM($E$8:E60),0))</f>
        <v>0</v>
      </c>
    </row>
    <row r="61" spans="1:8" hidden="1" x14ac:dyDescent="0.25">
      <c r="A61" s="84" t="str">
        <f>IF(OR(CT!D58=SCTTK!$G$1,CT!E58=SCTTK!$G$1),CT!$A58,"")</f>
        <v/>
      </c>
      <c r="B61" s="65" t="str">
        <f>IF(OR(CT!D58=SCTTK!$G$1,CT!E58=SCTTK!$G$1),CT!$B58,"")</f>
        <v/>
      </c>
      <c r="C61" s="65" t="str">
        <f>IF(OR(CT!D58=SCTTK!$G$1,CT!E58=SCTTK!$G$1),CT!$C58,"")</f>
        <v/>
      </c>
      <c r="D61" s="65" t="str">
        <f>IF(CT!D58=SCTTK!$G$1,CT!E58,IF(CT!E58=SCTTK!$G$1,CT!D58,""))</f>
        <v/>
      </c>
      <c r="E61" s="69">
        <f>IF(CT!D58=SCTTK!$G$1,CT!H58,0)</f>
        <v>0</v>
      </c>
      <c r="F61" s="69">
        <f>IF(CT!E58=SCTTK!$G$1,CT!H58,0)</f>
        <v>0</v>
      </c>
      <c r="G61" s="69">
        <f>IF(SUM(E61:F61)=0,0,MAX($G$6+SUM($E$8:E61)-$H$6-SUM($F$8:F61),0))</f>
        <v>0</v>
      </c>
      <c r="H61" s="69">
        <f>IF(SUM(E61:F61)=0,0,MAX($H$6+SUM($F$8:F61)-$G$6-SUM($E$8:E61),0))</f>
        <v>0</v>
      </c>
    </row>
    <row r="62" spans="1:8" hidden="1" x14ac:dyDescent="0.25">
      <c r="A62" s="84" t="str">
        <f>IF(OR(CT!D59=SCTTK!$G$1,CT!E59=SCTTK!$G$1),CT!$A59,"")</f>
        <v/>
      </c>
      <c r="B62" s="65" t="str">
        <f>IF(OR(CT!D59=SCTTK!$G$1,CT!E59=SCTTK!$G$1),CT!$B59,"")</f>
        <v/>
      </c>
      <c r="C62" s="65" t="str">
        <f>IF(OR(CT!D59=SCTTK!$G$1,CT!E59=SCTTK!$G$1),CT!$C59,"")</f>
        <v/>
      </c>
      <c r="D62" s="65" t="str">
        <f>IF(CT!D59=SCTTK!$G$1,CT!E59,IF(CT!E59=SCTTK!$G$1,CT!D59,""))</f>
        <v/>
      </c>
      <c r="E62" s="69">
        <f>IF(CT!D59=SCTTK!$G$1,CT!H59,0)</f>
        <v>0</v>
      </c>
      <c r="F62" s="69">
        <f>IF(CT!E59=SCTTK!$G$1,CT!H59,0)</f>
        <v>0</v>
      </c>
      <c r="G62" s="69">
        <f>IF(SUM(E62:F62)=0,0,MAX($G$6+SUM($E$8:E62)-$H$6-SUM($F$8:F62),0))</f>
        <v>0</v>
      </c>
      <c r="H62" s="69">
        <f>IF(SUM(E62:F62)=0,0,MAX($H$6+SUM($F$8:F62)-$G$6-SUM($E$8:E62),0))</f>
        <v>0</v>
      </c>
    </row>
    <row r="63" spans="1:8" hidden="1" x14ac:dyDescent="0.25">
      <c r="A63" s="84" t="str">
        <f>IF(OR(CT!D60=SCTTK!$G$1,CT!E60=SCTTK!$G$1),CT!$A60,"")</f>
        <v/>
      </c>
      <c r="B63" s="65" t="str">
        <f>IF(OR(CT!D60=SCTTK!$G$1,CT!E60=SCTTK!$G$1),CT!$B60,"")</f>
        <v/>
      </c>
      <c r="C63" s="65" t="str">
        <f>IF(OR(CT!D60=SCTTK!$G$1,CT!E60=SCTTK!$G$1),CT!$C60,"")</f>
        <v/>
      </c>
      <c r="D63" s="65" t="str">
        <f>IF(CT!D60=SCTTK!$G$1,CT!E60,IF(CT!E60=SCTTK!$G$1,CT!D60,""))</f>
        <v/>
      </c>
      <c r="E63" s="69">
        <f>IF(CT!D60=SCTTK!$G$1,CT!H60,0)</f>
        <v>0</v>
      </c>
      <c r="F63" s="69">
        <f>IF(CT!E60=SCTTK!$G$1,CT!H60,0)</f>
        <v>0</v>
      </c>
      <c r="G63" s="69">
        <f>IF(SUM(E63:F63)=0,0,MAX($G$6+SUM($E$8:E63)-$H$6-SUM($F$8:F63),0))</f>
        <v>0</v>
      </c>
      <c r="H63" s="69">
        <f>IF(SUM(E63:F63)=0,0,MAX($H$6+SUM($F$8:F63)-$G$6-SUM($E$8:E63),0))</f>
        <v>0</v>
      </c>
    </row>
    <row r="64" spans="1:8" hidden="1" x14ac:dyDescent="0.25">
      <c r="A64" s="84" t="str">
        <f>IF(OR(CT!D61=SCTTK!$G$1,CT!E61=SCTTK!$G$1),CT!$A61,"")</f>
        <v/>
      </c>
      <c r="B64" s="65" t="str">
        <f>IF(OR(CT!D61=SCTTK!$G$1,CT!E61=SCTTK!$G$1),CT!$B61,"")</f>
        <v/>
      </c>
      <c r="C64" s="65" t="str">
        <f>IF(OR(CT!D61=SCTTK!$G$1,CT!E61=SCTTK!$G$1),CT!$C61,"")</f>
        <v/>
      </c>
      <c r="D64" s="65" t="str">
        <f>IF(CT!D61=SCTTK!$G$1,CT!E61,IF(CT!E61=SCTTK!$G$1,CT!D61,""))</f>
        <v/>
      </c>
      <c r="E64" s="69">
        <f>IF(CT!D61=SCTTK!$G$1,CT!H61,0)</f>
        <v>0</v>
      </c>
      <c r="F64" s="69">
        <f>IF(CT!E61=SCTTK!$G$1,CT!H61,0)</f>
        <v>0</v>
      </c>
      <c r="G64" s="69">
        <f>IF(SUM(E64:F64)=0,0,MAX($G$6+SUM($E$8:E64)-$H$6-SUM($F$8:F64),0))</f>
        <v>0</v>
      </c>
      <c r="H64" s="69">
        <f>IF(SUM(E64:F64)=0,0,MAX($H$6+SUM($F$8:F64)-$G$6-SUM($E$8:E64),0))</f>
        <v>0</v>
      </c>
    </row>
    <row r="65" spans="1:8" hidden="1" x14ac:dyDescent="0.25">
      <c r="A65" s="84" t="str">
        <f>IF(OR(CT!D62=SCTTK!$G$1,CT!E62=SCTTK!$G$1),CT!$A62,"")</f>
        <v/>
      </c>
      <c r="B65" s="65" t="str">
        <f>IF(OR(CT!D62=SCTTK!$G$1,CT!E62=SCTTK!$G$1),CT!$B62,"")</f>
        <v/>
      </c>
      <c r="C65" s="65" t="str">
        <f>IF(OR(CT!D62=SCTTK!$G$1,CT!E62=SCTTK!$G$1),CT!$C62,"")</f>
        <v/>
      </c>
      <c r="D65" s="65" t="str">
        <f>IF(CT!D62=SCTTK!$G$1,CT!E62,IF(CT!E62=SCTTK!$G$1,CT!D62,""))</f>
        <v/>
      </c>
      <c r="E65" s="69">
        <f>IF(CT!D62=SCTTK!$G$1,CT!H62,0)</f>
        <v>0</v>
      </c>
      <c r="F65" s="69">
        <f>IF(CT!E62=SCTTK!$G$1,CT!H62,0)</f>
        <v>0</v>
      </c>
      <c r="G65" s="69">
        <f>IF(SUM(E65:F65)=0,0,MAX($G$6+SUM($E$8:E65)-$H$6-SUM($F$8:F65),0))</f>
        <v>0</v>
      </c>
      <c r="H65" s="69">
        <f>IF(SUM(E65:F65)=0,0,MAX($H$6+SUM($F$8:F65)-$G$6-SUM($E$8:E65),0))</f>
        <v>0</v>
      </c>
    </row>
    <row r="66" spans="1:8" hidden="1" x14ac:dyDescent="0.25">
      <c r="A66" s="84" t="str">
        <f>IF(OR(CT!D63=SCTTK!$G$1,CT!E63=SCTTK!$G$1),CT!$A63,"")</f>
        <v/>
      </c>
      <c r="B66" s="65" t="str">
        <f>IF(OR(CT!D63=SCTTK!$G$1,CT!E63=SCTTK!$G$1),CT!$B63,"")</f>
        <v/>
      </c>
      <c r="C66" s="65" t="str">
        <f>IF(OR(CT!D63=SCTTK!$G$1,CT!E63=SCTTK!$G$1),CT!$C63,"")</f>
        <v/>
      </c>
      <c r="D66" s="65" t="str">
        <f>IF(CT!D63=SCTTK!$G$1,CT!E63,IF(CT!E63=SCTTK!$G$1,CT!D63,""))</f>
        <v/>
      </c>
      <c r="E66" s="69">
        <f>IF(CT!D63=SCTTK!$G$1,CT!H63,0)</f>
        <v>0</v>
      </c>
      <c r="F66" s="69">
        <f>IF(CT!E63=SCTTK!$G$1,CT!H63,0)</f>
        <v>0</v>
      </c>
      <c r="G66" s="69">
        <f>IF(SUM(E66:F66)=0,0,MAX($G$6+SUM($E$8:E66)-$H$6-SUM($F$8:F66),0))</f>
        <v>0</v>
      </c>
      <c r="H66" s="69">
        <f>IF(SUM(E66:F66)=0,0,MAX($H$6+SUM($F$8:F66)-$G$6-SUM($E$8:E66),0))</f>
        <v>0</v>
      </c>
    </row>
    <row r="67" spans="1:8" hidden="1" x14ac:dyDescent="0.25">
      <c r="A67" s="84" t="str">
        <f>IF(OR(CT!D64=SCTTK!$G$1,CT!E64=SCTTK!$G$1),CT!$A64,"")</f>
        <v/>
      </c>
      <c r="B67" s="65" t="str">
        <f>IF(OR(CT!D64=SCTTK!$G$1,CT!E64=SCTTK!$G$1),CT!$B64,"")</f>
        <v/>
      </c>
      <c r="C67" s="65" t="str">
        <f>IF(OR(CT!D64=SCTTK!$G$1,CT!E64=SCTTK!$G$1),CT!$C64,"")</f>
        <v/>
      </c>
      <c r="D67" s="65" t="str">
        <f>IF(CT!D64=SCTTK!$G$1,CT!E64,IF(CT!E64=SCTTK!$G$1,CT!D64,""))</f>
        <v/>
      </c>
      <c r="E67" s="69">
        <f>IF(CT!D64=SCTTK!$G$1,CT!H64,0)</f>
        <v>0</v>
      </c>
      <c r="F67" s="69">
        <f>IF(CT!E64=SCTTK!$G$1,CT!H64,0)</f>
        <v>0</v>
      </c>
      <c r="G67" s="69">
        <f>IF(SUM(E67:F67)=0,0,MAX($G$6+SUM($E$8:E67)-$H$6-SUM($F$8:F67),0))</f>
        <v>0</v>
      </c>
      <c r="H67" s="69">
        <f>IF(SUM(E67:F67)=0,0,MAX($H$6+SUM($F$8:F67)-$G$6-SUM($E$8:E67),0))</f>
        <v>0</v>
      </c>
    </row>
    <row r="68" spans="1:8" hidden="1" x14ac:dyDescent="0.25">
      <c r="A68" s="84" t="str">
        <f>IF(OR(CT!D65=SCTTK!$G$1,CT!E65=SCTTK!$G$1),CT!$A65,"")</f>
        <v/>
      </c>
      <c r="B68" s="65" t="str">
        <f>IF(OR(CT!D65=SCTTK!$G$1,CT!E65=SCTTK!$G$1),CT!$B65,"")</f>
        <v/>
      </c>
      <c r="C68" s="65" t="str">
        <f>IF(OR(CT!D65=SCTTK!$G$1,CT!E65=SCTTK!$G$1),CT!$C65,"")</f>
        <v/>
      </c>
      <c r="D68" s="65" t="str">
        <f>IF(CT!D65=SCTTK!$G$1,CT!E65,IF(CT!E65=SCTTK!$G$1,CT!D65,""))</f>
        <v/>
      </c>
      <c r="E68" s="69">
        <f>IF(CT!D65=SCTTK!$G$1,CT!H65,0)</f>
        <v>0</v>
      </c>
      <c r="F68" s="69">
        <f>IF(CT!E65=SCTTK!$G$1,CT!H65,0)</f>
        <v>0</v>
      </c>
      <c r="G68" s="69">
        <f>IF(SUM(E68:F68)=0,0,MAX($G$6+SUM($E$8:E68)-$H$6-SUM($F$8:F68),0))</f>
        <v>0</v>
      </c>
      <c r="H68" s="69">
        <f>IF(SUM(E68:F68)=0,0,MAX($H$6+SUM($F$8:F68)-$G$6-SUM($E$8:E68),0))</f>
        <v>0</v>
      </c>
    </row>
    <row r="69" spans="1:8" hidden="1" x14ac:dyDescent="0.25">
      <c r="A69" s="84" t="str">
        <f>IF(OR(CT!D66=SCTTK!$G$1,CT!E66=SCTTK!$G$1),CT!$A66,"")</f>
        <v/>
      </c>
      <c r="B69" s="65" t="str">
        <f>IF(OR(CT!D66=SCTTK!$G$1,CT!E66=SCTTK!$G$1),CT!$B66,"")</f>
        <v/>
      </c>
      <c r="C69" s="65" t="str">
        <f>IF(OR(CT!D66=SCTTK!$G$1,CT!E66=SCTTK!$G$1),CT!$C66,"")</f>
        <v/>
      </c>
      <c r="D69" s="65" t="str">
        <f>IF(CT!D66=SCTTK!$G$1,CT!E66,IF(CT!E66=SCTTK!$G$1,CT!D66,""))</f>
        <v/>
      </c>
      <c r="E69" s="69">
        <f>IF(CT!D66=SCTTK!$G$1,CT!H66,0)</f>
        <v>0</v>
      </c>
      <c r="F69" s="69">
        <f>IF(CT!E66=SCTTK!$G$1,CT!H66,0)</f>
        <v>0</v>
      </c>
      <c r="G69" s="69">
        <f>IF(SUM(E69:F69)=0,0,MAX($G$6+SUM($E$8:E69)-$H$6-SUM($F$8:F69),0))</f>
        <v>0</v>
      </c>
      <c r="H69" s="69">
        <f>IF(SUM(E69:F69)=0,0,MAX($H$6+SUM($F$8:F69)-$G$6-SUM($E$8:E69),0))</f>
        <v>0</v>
      </c>
    </row>
    <row r="70" spans="1:8" hidden="1" x14ac:dyDescent="0.25">
      <c r="A70" s="84" t="str">
        <f>IF(OR(CT!D67=SCTTK!$G$1,CT!E67=SCTTK!$G$1),CT!$A67,"")</f>
        <v/>
      </c>
      <c r="B70" s="65" t="str">
        <f>IF(OR(CT!D67=SCTTK!$G$1,CT!E67=SCTTK!$G$1),CT!$B67,"")</f>
        <v/>
      </c>
      <c r="C70" s="65" t="str">
        <f>IF(OR(CT!D67=SCTTK!$G$1,CT!E67=SCTTK!$G$1),CT!$C67,"")</f>
        <v/>
      </c>
      <c r="D70" s="65" t="str">
        <f>IF(CT!D67=SCTTK!$G$1,CT!E67,IF(CT!E67=SCTTK!$G$1,CT!D67,""))</f>
        <v/>
      </c>
      <c r="E70" s="69">
        <f>IF(CT!D67=SCTTK!$G$1,CT!H67,0)</f>
        <v>0</v>
      </c>
      <c r="F70" s="69">
        <f>IF(CT!E67=SCTTK!$G$1,CT!H67,0)</f>
        <v>0</v>
      </c>
      <c r="G70" s="69">
        <f>IF(SUM(E70:F70)=0,0,MAX($G$6+SUM($E$8:E70)-$H$6-SUM($F$8:F70),0))</f>
        <v>0</v>
      </c>
      <c r="H70" s="69">
        <f>IF(SUM(E70:F70)=0,0,MAX($H$6+SUM($F$8:F70)-$G$6-SUM($E$8:E70),0))</f>
        <v>0</v>
      </c>
    </row>
    <row r="71" spans="1:8" hidden="1" x14ac:dyDescent="0.25">
      <c r="A71" s="84" t="str">
        <f>IF(OR(CT!D68=SCTTK!$G$1,CT!E68=SCTTK!$G$1),CT!$A68,"")</f>
        <v/>
      </c>
      <c r="B71" s="65" t="str">
        <f>IF(OR(CT!D68=SCTTK!$G$1,CT!E68=SCTTK!$G$1),CT!$B68,"")</f>
        <v/>
      </c>
      <c r="C71" s="65" t="str">
        <f>IF(OR(CT!D68=SCTTK!$G$1,CT!E68=SCTTK!$G$1),CT!$C68,"")</f>
        <v/>
      </c>
      <c r="D71" s="65" t="str">
        <f>IF(CT!D68=SCTTK!$G$1,CT!E68,IF(CT!E68=SCTTK!$G$1,CT!D68,""))</f>
        <v/>
      </c>
      <c r="E71" s="69">
        <f>IF(CT!D68=SCTTK!$G$1,CT!H68,0)</f>
        <v>0</v>
      </c>
      <c r="F71" s="69">
        <f>IF(CT!E68=SCTTK!$G$1,CT!H68,0)</f>
        <v>0</v>
      </c>
      <c r="G71" s="69">
        <f>IF(SUM(E71:F71)=0,0,MAX($G$6+SUM($E$8:E71)-$H$6-SUM($F$8:F71),0))</f>
        <v>0</v>
      </c>
      <c r="H71" s="69">
        <f>IF(SUM(E71:F71)=0,0,MAX($H$6+SUM($F$8:F71)-$G$6-SUM($E$8:E71),0))</f>
        <v>0</v>
      </c>
    </row>
    <row r="72" spans="1:8" hidden="1" x14ac:dyDescent="0.25">
      <c r="A72" s="84" t="str">
        <f>IF(OR(CT!D69=SCTTK!$G$1,CT!E69=SCTTK!$G$1),CT!$A69,"")</f>
        <v/>
      </c>
      <c r="B72" s="65" t="str">
        <f>IF(OR(CT!D69=SCTTK!$G$1,CT!E69=SCTTK!$G$1),CT!$B69,"")</f>
        <v/>
      </c>
      <c r="C72" s="65" t="str">
        <f>IF(OR(CT!D69=SCTTK!$G$1,CT!E69=SCTTK!$G$1),CT!$C69,"")</f>
        <v/>
      </c>
      <c r="D72" s="65" t="str">
        <f>IF(CT!D69=SCTTK!$G$1,CT!E69,IF(CT!E69=SCTTK!$G$1,CT!D69,""))</f>
        <v/>
      </c>
      <c r="E72" s="69">
        <f>IF(CT!D69=SCTTK!$G$1,CT!H69,0)</f>
        <v>0</v>
      </c>
      <c r="F72" s="69">
        <f>IF(CT!E69=SCTTK!$G$1,CT!H69,0)</f>
        <v>0</v>
      </c>
      <c r="G72" s="69">
        <f>IF(SUM(E72:F72)=0,0,MAX($G$6+SUM($E$8:E72)-$H$6-SUM($F$8:F72),0))</f>
        <v>0</v>
      </c>
      <c r="H72" s="69">
        <f>IF(SUM(E72:F72)=0,0,MAX($H$6+SUM($F$8:F72)-$G$6-SUM($E$8:E72),0))</f>
        <v>0</v>
      </c>
    </row>
    <row r="73" spans="1:8" hidden="1" x14ac:dyDescent="0.25">
      <c r="A73" s="84" t="str">
        <f>IF(OR(CT!D70=SCTTK!$G$1,CT!E70=SCTTK!$G$1),CT!$A70,"")</f>
        <v/>
      </c>
      <c r="B73" s="65" t="str">
        <f>IF(OR(CT!D70=SCTTK!$G$1,CT!E70=SCTTK!$G$1),CT!$B70,"")</f>
        <v/>
      </c>
      <c r="C73" s="65" t="str">
        <f>IF(OR(CT!D70=SCTTK!$G$1,CT!E70=SCTTK!$G$1),CT!$C70,"")</f>
        <v/>
      </c>
      <c r="D73" s="65" t="str">
        <f>IF(CT!D70=SCTTK!$G$1,CT!E70,IF(CT!E70=SCTTK!$G$1,CT!D70,""))</f>
        <v/>
      </c>
      <c r="E73" s="69">
        <f>IF(CT!D70=SCTTK!$G$1,CT!H70,0)</f>
        <v>0</v>
      </c>
      <c r="F73" s="69">
        <f>IF(CT!E70=SCTTK!$G$1,CT!H70,0)</f>
        <v>0</v>
      </c>
      <c r="G73" s="69">
        <f>IF(SUM(E73:F73)=0,0,MAX($G$6+SUM($E$8:E73)-$H$6-SUM($F$8:F73),0))</f>
        <v>0</v>
      </c>
      <c r="H73" s="69">
        <f>IF(SUM(E73:F73)=0,0,MAX($H$6+SUM($F$8:F73)-$G$6-SUM($E$8:E73),0))</f>
        <v>0</v>
      </c>
    </row>
    <row r="74" spans="1:8" hidden="1" x14ac:dyDescent="0.25">
      <c r="A74" s="84" t="str">
        <f>IF(OR(CT!D71=SCTTK!$G$1,CT!E71=SCTTK!$G$1),CT!$A71,"")</f>
        <v/>
      </c>
      <c r="B74" s="65" t="str">
        <f>IF(OR(CT!D71=SCTTK!$G$1,CT!E71=SCTTK!$G$1),CT!$B71,"")</f>
        <v/>
      </c>
      <c r="C74" s="65" t="str">
        <f>IF(OR(CT!D71=SCTTK!$G$1,CT!E71=SCTTK!$G$1),CT!$C71,"")</f>
        <v/>
      </c>
      <c r="D74" s="65" t="str">
        <f>IF(CT!D71=SCTTK!$G$1,CT!E71,IF(CT!E71=SCTTK!$G$1,CT!D71,""))</f>
        <v/>
      </c>
      <c r="E74" s="69">
        <f>IF(CT!D71=SCTTK!$G$1,CT!H71,0)</f>
        <v>0</v>
      </c>
      <c r="F74" s="69">
        <f>IF(CT!E71=SCTTK!$G$1,CT!H71,0)</f>
        <v>0</v>
      </c>
      <c r="G74" s="69">
        <f>IF(SUM(E74:F74)=0,0,MAX($G$6+SUM($E$8:E74)-$H$6-SUM($F$8:F74),0))</f>
        <v>0</v>
      </c>
      <c r="H74" s="69">
        <f>IF(SUM(E74:F74)=0,0,MAX($H$6+SUM($F$8:F74)-$G$6-SUM($E$8:E74),0))</f>
        <v>0</v>
      </c>
    </row>
    <row r="75" spans="1:8" hidden="1" x14ac:dyDescent="0.25">
      <c r="A75" s="84" t="str">
        <f>IF(OR(CT!D72=SCTTK!$G$1,CT!E72=SCTTK!$G$1),CT!$A72,"")</f>
        <v/>
      </c>
      <c r="B75" s="65" t="str">
        <f>IF(OR(CT!D72=SCTTK!$G$1,CT!E72=SCTTK!$G$1),CT!$B72,"")</f>
        <v/>
      </c>
      <c r="C75" s="65" t="str">
        <f>IF(OR(CT!D72=SCTTK!$G$1,CT!E72=SCTTK!$G$1),CT!$C72,"")</f>
        <v/>
      </c>
      <c r="D75" s="65" t="str">
        <f>IF(CT!D72=SCTTK!$G$1,CT!E72,IF(CT!E72=SCTTK!$G$1,CT!D72,""))</f>
        <v/>
      </c>
      <c r="E75" s="69">
        <f>IF(CT!D72=SCTTK!$G$1,CT!H72,0)</f>
        <v>0</v>
      </c>
      <c r="F75" s="69">
        <f>IF(CT!E72=SCTTK!$G$1,CT!H72,0)</f>
        <v>0</v>
      </c>
      <c r="G75" s="69">
        <f>IF(SUM(E75:F75)=0,0,MAX($G$6+SUM($E$8:E75)-$H$6-SUM($F$8:F75),0))</f>
        <v>0</v>
      </c>
      <c r="H75" s="69">
        <f>IF(SUM(E75:F75)=0,0,MAX($H$6+SUM($F$8:F75)-$G$6-SUM($E$8:E75),0))</f>
        <v>0</v>
      </c>
    </row>
    <row r="76" spans="1:8" hidden="1" x14ac:dyDescent="0.25">
      <c r="A76" s="84" t="str">
        <f>IF(OR(CT!D73=SCTTK!$G$1,CT!E73=SCTTK!$G$1),CT!$A73,"")</f>
        <v/>
      </c>
      <c r="B76" s="65" t="str">
        <f>IF(OR(CT!D73=SCTTK!$G$1,CT!E73=SCTTK!$G$1),CT!$B73,"")</f>
        <v/>
      </c>
      <c r="C76" s="65" t="str">
        <f>IF(OR(CT!D73=SCTTK!$G$1,CT!E73=SCTTK!$G$1),CT!$C73,"")</f>
        <v/>
      </c>
      <c r="D76" s="65" t="str">
        <f>IF(CT!D73=SCTTK!$G$1,CT!E73,IF(CT!E73=SCTTK!$G$1,CT!D73,""))</f>
        <v/>
      </c>
      <c r="E76" s="69">
        <f>IF(CT!D73=SCTTK!$G$1,CT!H73,0)</f>
        <v>0</v>
      </c>
      <c r="F76" s="69">
        <f>IF(CT!E73=SCTTK!$G$1,CT!H73,0)</f>
        <v>0</v>
      </c>
      <c r="G76" s="69">
        <f>IF(SUM(E76:F76)=0,0,MAX($G$6+SUM($E$8:E76)-$H$6-SUM($F$8:F76),0))</f>
        <v>0</v>
      </c>
      <c r="H76" s="69">
        <f>IF(SUM(E76:F76)=0,0,MAX($H$6+SUM($F$8:F76)-$G$6-SUM($E$8:E76),0))</f>
        <v>0</v>
      </c>
    </row>
    <row r="77" spans="1:8" hidden="1" x14ac:dyDescent="0.25">
      <c r="A77" s="84" t="str">
        <f>IF(OR(CT!D74=SCTTK!$G$1,CT!E74=SCTTK!$G$1),CT!$A74,"")</f>
        <v/>
      </c>
      <c r="B77" s="65" t="str">
        <f>IF(OR(CT!D74=SCTTK!$G$1,CT!E74=SCTTK!$G$1),CT!$B74,"")</f>
        <v/>
      </c>
      <c r="C77" s="65" t="str">
        <f>IF(OR(CT!D74=SCTTK!$G$1,CT!E74=SCTTK!$G$1),CT!$C74,"")</f>
        <v/>
      </c>
      <c r="D77" s="65" t="str">
        <f>IF(CT!D74=SCTTK!$G$1,CT!E74,IF(CT!E74=SCTTK!$G$1,CT!D74,""))</f>
        <v/>
      </c>
      <c r="E77" s="69">
        <f>IF(CT!D74=SCTTK!$G$1,CT!H74,0)</f>
        <v>0</v>
      </c>
      <c r="F77" s="69">
        <f>IF(CT!E74=SCTTK!$G$1,CT!H74,0)</f>
        <v>0</v>
      </c>
      <c r="G77" s="69">
        <f>IF(SUM(E77:F77)=0,0,MAX($G$6+SUM($E$8:E77)-$H$6-SUM($F$8:F77),0))</f>
        <v>0</v>
      </c>
      <c r="H77" s="69">
        <f>IF(SUM(E77:F77)=0,0,MAX($H$6+SUM($F$8:F77)-$G$6-SUM($E$8:E77),0))</f>
        <v>0</v>
      </c>
    </row>
    <row r="78" spans="1:8" hidden="1" x14ac:dyDescent="0.25">
      <c r="A78" s="84" t="str">
        <f>IF(OR(CT!D75=SCTTK!$G$1,CT!E75=SCTTK!$G$1),CT!$A75,"")</f>
        <v/>
      </c>
      <c r="B78" s="65" t="str">
        <f>IF(OR(CT!D75=SCTTK!$G$1,CT!E75=SCTTK!$G$1),CT!$B75,"")</f>
        <v/>
      </c>
      <c r="C78" s="65" t="str">
        <f>IF(OR(CT!D75=SCTTK!$G$1,CT!E75=SCTTK!$G$1),CT!$C75,"")</f>
        <v/>
      </c>
      <c r="D78" s="65" t="str">
        <f>IF(CT!D75=SCTTK!$G$1,CT!E75,IF(CT!E75=SCTTK!$G$1,CT!D75,""))</f>
        <v/>
      </c>
      <c r="E78" s="69">
        <f>IF(CT!D75=SCTTK!$G$1,CT!H75,0)</f>
        <v>0</v>
      </c>
      <c r="F78" s="69">
        <f>IF(CT!E75=SCTTK!$G$1,CT!H75,0)</f>
        <v>0</v>
      </c>
      <c r="G78" s="69">
        <f>IF(SUM(E78:F78)=0,0,MAX($G$6+SUM($E$8:E78)-$H$6-SUM($F$8:F78),0))</f>
        <v>0</v>
      </c>
      <c r="H78" s="69">
        <f>IF(SUM(E78:F78)=0,0,MAX($H$6+SUM($F$8:F78)-$G$6-SUM($E$8:E78),0))</f>
        <v>0</v>
      </c>
    </row>
    <row r="79" spans="1:8" hidden="1" x14ac:dyDescent="0.25">
      <c r="A79" s="84" t="str">
        <f>IF(OR(CT!D76=SCTTK!$G$1,CT!E76=SCTTK!$G$1),CT!$A76,"")</f>
        <v/>
      </c>
      <c r="B79" s="65" t="str">
        <f>IF(OR(CT!D76=SCTTK!$G$1,CT!E76=SCTTK!$G$1),CT!$B76,"")</f>
        <v/>
      </c>
      <c r="C79" s="65" t="str">
        <f>IF(OR(CT!D76=SCTTK!$G$1,CT!E76=SCTTK!$G$1),CT!$C76,"")</f>
        <v/>
      </c>
      <c r="D79" s="65" t="str">
        <f>IF(CT!D76=SCTTK!$G$1,CT!E76,IF(CT!E76=SCTTK!$G$1,CT!D76,""))</f>
        <v/>
      </c>
      <c r="E79" s="69">
        <f>IF(CT!D76=SCTTK!$G$1,CT!H76,0)</f>
        <v>0</v>
      </c>
      <c r="F79" s="69">
        <f>IF(CT!E76=SCTTK!$G$1,CT!H76,0)</f>
        <v>0</v>
      </c>
      <c r="G79" s="69">
        <f>IF(SUM(E79:F79)=0,0,MAX($G$6+SUM($E$8:E79)-$H$6-SUM($F$8:F79),0))</f>
        <v>0</v>
      </c>
      <c r="H79" s="69">
        <f>IF(SUM(E79:F79)=0,0,MAX($H$6+SUM($F$8:F79)-$G$6-SUM($E$8:E79),0))</f>
        <v>0</v>
      </c>
    </row>
    <row r="80" spans="1:8" hidden="1" x14ac:dyDescent="0.25">
      <c r="A80" s="84" t="str">
        <f>IF(OR(CT!D77=SCTTK!$G$1,CT!E77=SCTTK!$G$1),CT!$A77,"")</f>
        <v/>
      </c>
      <c r="B80" s="65" t="str">
        <f>IF(OR(CT!D77=SCTTK!$G$1,CT!E77=SCTTK!$G$1),CT!$B77,"")</f>
        <v/>
      </c>
      <c r="C80" s="65" t="str">
        <f>IF(OR(CT!D77=SCTTK!$G$1,CT!E77=SCTTK!$G$1),CT!$C77,"")</f>
        <v/>
      </c>
      <c r="D80" s="65" t="str">
        <f>IF(CT!D77=SCTTK!$G$1,CT!E77,IF(CT!E77=SCTTK!$G$1,CT!D77,""))</f>
        <v/>
      </c>
      <c r="E80" s="69">
        <f>IF(CT!D77=SCTTK!$G$1,CT!H77,0)</f>
        <v>0</v>
      </c>
      <c r="F80" s="69">
        <f>IF(CT!E77=SCTTK!$G$1,CT!H77,0)</f>
        <v>0</v>
      </c>
      <c r="G80" s="69">
        <f>IF(SUM(E80:F80)=0,0,MAX($G$6+SUM($E$8:E80)-$H$6-SUM($F$8:F80),0))</f>
        <v>0</v>
      </c>
      <c r="H80" s="69">
        <f>IF(SUM(E80:F80)=0,0,MAX($H$6+SUM($F$8:F80)-$G$6-SUM($E$8:E80),0))</f>
        <v>0</v>
      </c>
    </row>
    <row r="81" spans="1:8" hidden="1" x14ac:dyDescent="0.25">
      <c r="A81" s="84" t="str">
        <f>IF(OR(CT!D78=SCTTK!$G$1,CT!E78=SCTTK!$G$1),CT!$A78,"")</f>
        <v/>
      </c>
      <c r="B81" s="65" t="str">
        <f>IF(OR(CT!D78=SCTTK!$G$1,CT!E78=SCTTK!$G$1),CT!$B78,"")</f>
        <v/>
      </c>
      <c r="C81" s="65" t="str">
        <f>IF(OR(CT!D78=SCTTK!$G$1,CT!E78=SCTTK!$G$1),CT!$C78,"")</f>
        <v/>
      </c>
      <c r="D81" s="65" t="str">
        <f>IF(CT!D78=SCTTK!$G$1,CT!E78,IF(CT!E78=SCTTK!$G$1,CT!D78,""))</f>
        <v/>
      </c>
      <c r="E81" s="69">
        <f>IF(CT!D78=SCTTK!$G$1,CT!H78,0)</f>
        <v>0</v>
      </c>
      <c r="F81" s="69">
        <f>IF(CT!E78=SCTTK!$G$1,CT!H78,0)</f>
        <v>0</v>
      </c>
      <c r="G81" s="69">
        <f>IF(SUM(E81:F81)=0,0,MAX($G$6+SUM($E$8:E81)-$H$6-SUM($F$8:F81),0))</f>
        <v>0</v>
      </c>
      <c r="H81" s="69">
        <f>IF(SUM(E81:F81)=0,0,MAX($H$6+SUM($F$8:F81)-$G$6-SUM($E$8:E81),0))</f>
        <v>0</v>
      </c>
    </row>
    <row r="82" spans="1:8" hidden="1" x14ac:dyDescent="0.25">
      <c r="A82" s="84" t="str">
        <f>IF(OR(CT!D79=SCTTK!$G$1,CT!E79=SCTTK!$G$1),CT!$A79,"")</f>
        <v/>
      </c>
      <c r="B82" s="65" t="str">
        <f>IF(OR(CT!D79=SCTTK!$G$1,CT!E79=SCTTK!$G$1),CT!$B79,"")</f>
        <v/>
      </c>
      <c r="C82" s="65" t="str">
        <f>IF(OR(CT!D79=SCTTK!$G$1,CT!E79=SCTTK!$G$1),CT!$C79,"")</f>
        <v/>
      </c>
      <c r="D82" s="65" t="str">
        <f>IF(CT!D79=SCTTK!$G$1,CT!E79,IF(CT!E79=SCTTK!$G$1,CT!D79,""))</f>
        <v/>
      </c>
      <c r="E82" s="69">
        <f>IF(CT!D79=SCTTK!$G$1,CT!H79,0)</f>
        <v>0</v>
      </c>
      <c r="F82" s="69">
        <f>IF(CT!E79=SCTTK!$G$1,CT!H79,0)</f>
        <v>0</v>
      </c>
      <c r="G82" s="69">
        <f>IF(SUM(E82:F82)=0,0,MAX($G$6+SUM($E$8:E82)-$H$6-SUM($F$8:F82),0))</f>
        <v>0</v>
      </c>
      <c r="H82" s="69">
        <f>IF(SUM(E82:F82)=0,0,MAX($H$6+SUM($F$8:F82)-$G$6-SUM($E$8:E82),0))</f>
        <v>0</v>
      </c>
    </row>
    <row r="83" spans="1:8" hidden="1" x14ac:dyDescent="0.25">
      <c r="A83" s="84" t="str">
        <f>IF(OR(CT!D80=SCTTK!$G$1,CT!E80=SCTTK!$G$1),CT!$A80,"")</f>
        <v/>
      </c>
      <c r="B83" s="65" t="str">
        <f>IF(OR(CT!D80=SCTTK!$G$1,CT!E80=SCTTK!$G$1),CT!$B80,"")</f>
        <v/>
      </c>
      <c r="C83" s="65" t="str">
        <f>IF(OR(CT!D80=SCTTK!$G$1,CT!E80=SCTTK!$G$1),CT!$C80,"")</f>
        <v/>
      </c>
      <c r="D83" s="65" t="str">
        <f>IF(CT!D80=SCTTK!$G$1,CT!E80,IF(CT!E80=SCTTK!$G$1,CT!D80,""))</f>
        <v/>
      </c>
      <c r="E83" s="69">
        <f>IF(CT!D80=SCTTK!$G$1,CT!H80,0)</f>
        <v>0</v>
      </c>
      <c r="F83" s="69">
        <f>IF(CT!E80=SCTTK!$G$1,CT!H80,0)</f>
        <v>0</v>
      </c>
      <c r="G83" s="69">
        <f>IF(SUM(E83:F83)=0,0,MAX($G$6+SUM($E$8:E83)-$H$6-SUM($F$8:F83),0))</f>
        <v>0</v>
      </c>
      <c r="H83" s="69">
        <f>IF(SUM(E83:F83)=0,0,MAX($H$6+SUM($F$8:F83)-$G$6-SUM($E$8:E83),0))</f>
        <v>0</v>
      </c>
    </row>
    <row r="84" spans="1:8" hidden="1" x14ac:dyDescent="0.25">
      <c r="A84" s="84" t="str">
        <f>IF(OR(CT!D81=SCTTK!$G$1,CT!E81=SCTTK!$G$1),CT!$A81,"")</f>
        <v/>
      </c>
      <c r="B84" s="65" t="str">
        <f>IF(OR(CT!D81=SCTTK!$G$1,CT!E81=SCTTK!$G$1),CT!$B81,"")</f>
        <v/>
      </c>
      <c r="C84" s="65" t="str">
        <f>IF(OR(CT!D81=SCTTK!$G$1,CT!E81=SCTTK!$G$1),CT!$C81,"")</f>
        <v/>
      </c>
      <c r="D84" s="65" t="str">
        <f>IF(CT!D81=SCTTK!$G$1,CT!E81,IF(CT!E81=SCTTK!$G$1,CT!D81,""))</f>
        <v/>
      </c>
      <c r="E84" s="69">
        <f>IF(CT!D81=SCTTK!$G$1,CT!H81,0)</f>
        <v>0</v>
      </c>
      <c r="F84" s="69">
        <f>IF(CT!E81=SCTTK!$G$1,CT!H81,0)</f>
        <v>0</v>
      </c>
      <c r="G84" s="69">
        <f>IF(SUM(E84:F84)=0,0,MAX($G$6+SUM($E$8:E84)-$H$6-SUM($F$8:F84),0))</f>
        <v>0</v>
      </c>
      <c r="H84" s="69">
        <f>IF(SUM(E84:F84)=0,0,MAX($H$6+SUM($F$8:F84)-$G$6-SUM($E$8:E84),0))</f>
        <v>0</v>
      </c>
    </row>
    <row r="85" spans="1:8" hidden="1" x14ac:dyDescent="0.25">
      <c r="A85" s="84" t="str">
        <f>IF(OR(CT!D82=SCTTK!$G$1,CT!E82=SCTTK!$G$1),CT!$A82,"")</f>
        <v/>
      </c>
      <c r="B85" s="65" t="str">
        <f>IF(OR(CT!D82=SCTTK!$G$1,CT!E82=SCTTK!$G$1),CT!$B82,"")</f>
        <v/>
      </c>
      <c r="C85" s="65" t="str">
        <f>IF(OR(CT!D82=SCTTK!$G$1,CT!E82=SCTTK!$G$1),CT!$C82,"")</f>
        <v/>
      </c>
      <c r="D85" s="65" t="str">
        <f>IF(CT!D82=SCTTK!$G$1,CT!E82,IF(CT!E82=SCTTK!$G$1,CT!D82,""))</f>
        <v/>
      </c>
      <c r="E85" s="69">
        <f>IF(CT!D82=SCTTK!$G$1,CT!H82,0)</f>
        <v>0</v>
      </c>
      <c r="F85" s="69">
        <f>IF(CT!E82=SCTTK!$G$1,CT!H82,0)</f>
        <v>0</v>
      </c>
      <c r="G85" s="69">
        <f>IF(SUM(E85:F85)=0,0,MAX($G$6+SUM($E$8:E85)-$H$6-SUM($F$8:F85),0))</f>
        <v>0</v>
      </c>
      <c r="H85" s="69">
        <f>IF(SUM(E85:F85)=0,0,MAX($H$6+SUM($F$8:F85)-$G$6-SUM($E$8:E85),0))</f>
        <v>0</v>
      </c>
    </row>
    <row r="86" spans="1:8" hidden="1" x14ac:dyDescent="0.25">
      <c r="A86" s="84" t="str">
        <f>IF(OR(CT!D83=SCTTK!$G$1,CT!E83=SCTTK!$G$1),CT!$A83,"")</f>
        <v/>
      </c>
      <c r="B86" s="65" t="str">
        <f>IF(OR(CT!D83=SCTTK!$G$1,CT!E83=SCTTK!$G$1),CT!$B83,"")</f>
        <v/>
      </c>
      <c r="C86" s="65" t="str">
        <f>IF(OR(CT!D83=SCTTK!$G$1,CT!E83=SCTTK!$G$1),CT!$C83,"")</f>
        <v/>
      </c>
      <c r="D86" s="65" t="str">
        <f>IF(CT!D83=SCTTK!$G$1,CT!E83,IF(CT!E83=SCTTK!$G$1,CT!D83,""))</f>
        <v/>
      </c>
      <c r="E86" s="69">
        <f>IF(CT!D83=SCTTK!$G$1,CT!H83,0)</f>
        <v>0</v>
      </c>
      <c r="F86" s="69">
        <f>IF(CT!E83=SCTTK!$G$1,CT!H83,0)</f>
        <v>0</v>
      </c>
      <c r="G86" s="69">
        <f>IF(SUM(E86:F86)=0,0,MAX($G$6+SUM($E$8:E86)-$H$6-SUM($F$8:F86),0))</f>
        <v>0</v>
      </c>
      <c r="H86" s="69">
        <f>IF(SUM(E86:F86)=0,0,MAX($H$6+SUM($F$8:F86)-$G$6-SUM($E$8:E86),0))</f>
        <v>0</v>
      </c>
    </row>
    <row r="87" spans="1:8" hidden="1" x14ac:dyDescent="0.25">
      <c r="A87" s="84" t="str">
        <f>IF(OR(CT!D84=SCTTK!$G$1,CT!E84=SCTTK!$G$1),CT!$A84,"")</f>
        <v/>
      </c>
      <c r="B87" s="65" t="str">
        <f>IF(OR(CT!D84=SCTTK!$G$1,CT!E84=SCTTK!$G$1),CT!$B84,"")</f>
        <v/>
      </c>
      <c r="C87" s="65" t="str">
        <f>IF(OR(CT!D84=SCTTK!$G$1,CT!E84=SCTTK!$G$1),CT!$C84,"")</f>
        <v/>
      </c>
      <c r="D87" s="65" t="str">
        <f>IF(CT!D84=SCTTK!$G$1,CT!E84,IF(CT!E84=SCTTK!$G$1,CT!D84,""))</f>
        <v/>
      </c>
      <c r="E87" s="69">
        <f>IF(CT!D84=SCTTK!$G$1,CT!H84,0)</f>
        <v>0</v>
      </c>
      <c r="F87" s="69">
        <f>IF(CT!E84=SCTTK!$G$1,CT!H84,0)</f>
        <v>0</v>
      </c>
      <c r="G87" s="69">
        <f>IF(SUM(E87:F87)=0,0,MAX($G$6+SUM($E$8:E87)-$H$6-SUM($F$8:F87),0))</f>
        <v>0</v>
      </c>
      <c r="H87" s="69">
        <f>IF(SUM(E87:F87)=0,0,MAX($H$6+SUM($F$8:F87)-$G$6-SUM($E$8:E87),0))</f>
        <v>0</v>
      </c>
    </row>
    <row r="88" spans="1:8" hidden="1" x14ac:dyDescent="0.25">
      <c r="A88" s="84" t="str">
        <f>IF(OR(CT!D85=SCTTK!$G$1,CT!E85=SCTTK!$G$1),CT!$A85,"")</f>
        <v/>
      </c>
      <c r="B88" s="65" t="str">
        <f>IF(OR(CT!D85=SCTTK!$G$1,CT!E85=SCTTK!$G$1),CT!$B85,"")</f>
        <v/>
      </c>
      <c r="C88" s="65" t="str">
        <f>IF(OR(CT!D85=SCTTK!$G$1,CT!E85=SCTTK!$G$1),CT!$C85,"")</f>
        <v/>
      </c>
      <c r="D88" s="65" t="str">
        <f>IF(CT!D85=SCTTK!$G$1,CT!E85,IF(CT!E85=SCTTK!$G$1,CT!D85,""))</f>
        <v/>
      </c>
      <c r="E88" s="69">
        <f>IF(CT!D85=SCTTK!$G$1,CT!H85,0)</f>
        <v>0</v>
      </c>
      <c r="F88" s="69">
        <f>IF(CT!E85=SCTTK!$G$1,CT!H85,0)</f>
        <v>0</v>
      </c>
      <c r="G88" s="69">
        <f>IF(SUM(E88:F88)=0,0,MAX($G$6+SUM($E$8:E88)-$H$6-SUM($F$8:F88),0))</f>
        <v>0</v>
      </c>
      <c r="H88" s="69">
        <f>IF(SUM(E88:F88)=0,0,MAX($H$6+SUM($F$8:F88)-$G$6-SUM($E$8:E88),0))</f>
        <v>0</v>
      </c>
    </row>
    <row r="89" spans="1:8" hidden="1" x14ac:dyDescent="0.25">
      <c r="A89" s="84" t="str">
        <f>IF(OR(CT!D86=SCTTK!$G$1,CT!E86=SCTTK!$G$1),CT!$A86,"")</f>
        <v/>
      </c>
      <c r="B89" s="65" t="str">
        <f>IF(OR(CT!D86=SCTTK!$G$1,CT!E86=SCTTK!$G$1),CT!$B86,"")</f>
        <v/>
      </c>
      <c r="C89" s="65" t="str">
        <f>IF(OR(CT!D86=SCTTK!$G$1,CT!E86=SCTTK!$G$1),CT!$C86,"")</f>
        <v/>
      </c>
      <c r="D89" s="65" t="str">
        <f>IF(CT!D86=SCTTK!$G$1,CT!E86,IF(CT!E86=SCTTK!$G$1,CT!D86,""))</f>
        <v/>
      </c>
      <c r="E89" s="69">
        <f>IF(CT!D86=SCTTK!$G$1,CT!H86,0)</f>
        <v>0</v>
      </c>
      <c r="F89" s="69">
        <f>IF(CT!E86=SCTTK!$G$1,CT!H86,0)</f>
        <v>0</v>
      </c>
      <c r="G89" s="69">
        <f>IF(SUM(E89:F89)=0,0,MAX($G$6+SUM($E$8:E89)-$H$6-SUM($F$8:F89),0))</f>
        <v>0</v>
      </c>
      <c r="H89" s="69">
        <f>IF(SUM(E89:F89)=0,0,MAX($H$6+SUM($F$8:F89)-$G$6-SUM($E$8:E89),0))</f>
        <v>0</v>
      </c>
    </row>
    <row r="90" spans="1:8" hidden="1" x14ac:dyDescent="0.25">
      <c r="A90" s="84" t="str">
        <f>IF(OR(CT!D87=SCTTK!$G$1,CT!E87=SCTTK!$G$1),CT!$A87,"")</f>
        <v/>
      </c>
      <c r="B90" s="65" t="str">
        <f>IF(OR(CT!D87=SCTTK!$G$1,CT!E87=SCTTK!$G$1),CT!$B87,"")</f>
        <v/>
      </c>
      <c r="C90" s="65" t="str">
        <f>IF(OR(CT!D87=SCTTK!$G$1,CT!E87=SCTTK!$G$1),CT!$C87,"")</f>
        <v/>
      </c>
      <c r="D90" s="65" t="str">
        <f>IF(CT!D87=SCTTK!$G$1,CT!E87,IF(CT!E87=SCTTK!$G$1,CT!D87,""))</f>
        <v/>
      </c>
      <c r="E90" s="69">
        <f>IF(CT!D87=SCTTK!$G$1,CT!H87,0)</f>
        <v>0</v>
      </c>
      <c r="F90" s="69">
        <f>IF(CT!E87=SCTTK!$G$1,CT!H87,0)</f>
        <v>0</v>
      </c>
      <c r="G90" s="69">
        <f>IF(SUM(E90:F90)=0,0,MAX($G$6+SUM($E$8:E90)-$H$6-SUM($F$8:F90),0))</f>
        <v>0</v>
      </c>
      <c r="H90" s="69">
        <f>IF(SUM(E90:F90)=0,0,MAX($H$6+SUM($F$8:F90)-$G$6-SUM($E$8:E90),0))</f>
        <v>0</v>
      </c>
    </row>
    <row r="91" spans="1:8" hidden="1" x14ac:dyDescent="0.25">
      <c r="A91" s="84" t="str">
        <f>IF(OR(CT!D88=SCTTK!$G$1,CT!E88=SCTTK!$G$1),CT!$A88,"")</f>
        <v/>
      </c>
      <c r="B91" s="65" t="str">
        <f>IF(OR(CT!D88=SCTTK!$G$1,CT!E88=SCTTK!$G$1),CT!$B88,"")</f>
        <v/>
      </c>
      <c r="C91" s="65" t="str">
        <f>IF(OR(CT!D88=SCTTK!$G$1,CT!E88=SCTTK!$G$1),CT!$C88,"")</f>
        <v/>
      </c>
      <c r="D91" s="65" t="str">
        <f>IF(CT!D88=SCTTK!$G$1,CT!E88,IF(CT!E88=SCTTK!$G$1,CT!D88,""))</f>
        <v/>
      </c>
      <c r="E91" s="69">
        <f>IF(CT!D88=SCTTK!$G$1,CT!H88,0)</f>
        <v>0</v>
      </c>
      <c r="F91" s="69">
        <f>IF(CT!E88=SCTTK!$G$1,CT!H88,0)</f>
        <v>0</v>
      </c>
      <c r="G91" s="69">
        <f>IF(SUM(E91:F91)=0,0,MAX($G$6+SUM($E$8:E91)-$H$6-SUM($F$8:F91),0))</f>
        <v>0</v>
      </c>
      <c r="H91" s="69">
        <f>IF(SUM(E91:F91)=0,0,MAX($H$6+SUM($F$8:F91)-$G$6-SUM($E$8:E91),0))</f>
        <v>0</v>
      </c>
    </row>
    <row r="92" spans="1:8" hidden="1" x14ac:dyDescent="0.25">
      <c r="A92" s="84" t="str">
        <f>IF(OR(CT!D89=SCTTK!$G$1,CT!E89=SCTTK!$G$1),CT!$A89,"")</f>
        <v/>
      </c>
      <c r="B92" s="65" t="str">
        <f>IF(OR(CT!D89=SCTTK!$G$1,CT!E89=SCTTK!$G$1),CT!$B89,"")</f>
        <v/>
      </c>
      <c r="C92" s="65" t="str">
        <f>IF(OR(CT!D89=SCTTK!$G$1,CT!E89=SCTTK!$G$1),CT!$C89,"")</f>
        <v/>
      </c>
      <c r="D92" s="65" t="str">
        <f>IF(CT!D89=SCTTK!$G$1,CT!E89,IF(CT!E89=SCTTK!$G$1,CT!D89,""))</f>
        <v/>
      </c>
      <c r="E92" s="69">
        <f>IF(CT!D89=SCTTK!$G$1,CT!H89,0)</f>
        <v>0</v>
      </c>
      <c r="F92" s="69">
        <f>IF(CT!E89=SCTTK!$G$1,CT!H89,0)</f>
        <v>0</v>
      </c>
      <c r="G92" s="69">
        <f>IF(SUM(E92:F92)=0,0,MAX($G$6+SUM($E$8:E92)-$H$6-SUM($F$8:F92),0))</f>
        <v>0</v>
      </c>
      <c r="H92" s="69">
        <f>IF(SUM(E92:F92)=0,0,MAX($H$6+SUM($F$8:F92)-$G$6-SUM($E$8:E92),0))</f>
        <v>0</v>
      </c>
    </row>
    <row r="93" spans="1:8" hidden="1" x14ac:dyDescent="0.25">
      <c r="A93" s="84" t="str">
        <f>IF(OR(CT!D90=SCTTK!$G$1,CT!E90=SCTTK!$G$1),CT!$A90,"")</f>
        <v/>
      </c>
      <c r="B93" s="65" t="str">
        <f>IF(OR(CT!D90=SCTTK!$G$1,CT!E90=SCTTK!$G$1),CT!$B90,"")</f>
        <v/>
      </c>
      <c r="C93" s="65" t="str">
        <f>IF(OR(CT!D90=SCTTK!$G$1,CT!E90=SCTTK!$G$1),CT!$C90,"")</f>
        <v/>
      </c>
      <c r="D93" s="65" t="str">
        <f>IF(CT!D90=SCTTK!$G$1,CT!E90,IF(CT!E90=SCTTK!$G$1,CT!D90,""))</f>
        <v/>
      </c>
      <c r="E93" s="69">
        <f>IF(CT!D90=SCTTK!$G$1,CT!H90,0)</f>
        <v>0</v>
      </c>
      <c r="F93" s="69">
        <f>IF(CT!E90=SCTTK!$G$1,CT!H90,0)</f>
        <v>0</v>
      </c>
      <c r="G93" s="69">
        <f>IF(SUM(E93:F93)=0,0,MAX($G$6+SUM($E$8:E93)-$H$6-SUM($F$8:F93),0))</f>
        <v>0</v>
      </c>
      <c r="H93" s="69">
        <f>IF(SUM(E93:F93)=0,0,MAX($H$6+SUM($F$8:F93)-$G$6-SUM($E$8:E93),0))</f>
        <v>0</v>
      </c>
    </row>
    <row r="94" spans="1:8" hidden="1" x14ac:dyDescent="0.25">
      <c r="A94" s="84" t="str">
        <f>IF(OR(CT!D91=SCTTK!$G$1,CT!E91=SCTTK!$G$1),CT!$A91,"")</f>
        <v/>
      </c>
      <c r="B94" s="65" t="str">
        <f>IF(OR(CT!D91=SCTTK!$G$1,CT!E91=SCTTK!$G$1),CT!$B91,"")</f>
        <v/>
      </c>
      <c r="C94" s="65" t="str">
        <f>IF(OR(CT!D91=SCTTK!$G$1,CT!E91=SCTTK!$G$1),CT!$C91,"")</f>
        <v/>
      </c>
      <c r="D94" s="65" t="str">
        <f>IF(CT!D91=SCTTK!$G$1,CT!E91,IF(CT!E91=SCTTK!$G$1,CT!D91,""))</f>
        <v/>
      </c>
      <c r="E94" s="69">
        <f>IF(CT!D91=SCTTK!$G$1,CT!H91,0)</f>
        <v>0</v>
      </c>
      <c r="F94" s="69">
        <f>IF(CT!E91=SCTTK!$G$1,CT!H91,0)</f>
        <v>0</v>
      </c>
      <c r="G94" s="69">
        <f>IF(SUM(E94:F94)=0,0,MAX($G$6+SUM($E$8:E94)-$H$6-SUM($F$8:F94),0))</f>
        <v>0</v>
      </c>
      <c r="H94" s="69">
        <f>IF(SUM(E94:F94)=0,0,MAX($H$6+SUM($F$8:F94)-$G$6-SUM($E$8:E94),0))</f>
        <v>0</v>
      </c>
    </row>
    <row r="95" spans="1:8" hidden="1" x14ac:dyDescent="0.25">
      <c r="A95" s="84" t="str">
        <f>IF(OR(CT!D92=SCTTK!$G$1,CT!E92=SCTTK!$G$1),CT!$A92,"")</f>
        <v/>
      </c>
      <c r="B95" s="65" t="str">
        <f>IF(OR(CT!D92=SCTTK!$G$1,CT!E92=SCTTK!$G$1),CT!$B92,"")</f>
        <v/>
      </c>
      <c r="C95" s="65" t="str">
        <f>IF(OR(CT!D92=SCTTK!$G$1,CT!E92=SCTTK!$G$1),CT!$C92,"")</f>
        <v/>
      </c>
      <c r="D95" s="65" t="str">
        <f>IF(CT!D92=SCTTK!$G$1,CT!E92,IF(CT!E92=SCTTK!$G$1,CT!D92,""))</f>
        <v/>
      </c>
      <c r="E95" s="69">
        <f>IF(CT!D92=SCTTK!$G$1,CT!H92,0)</f>
        <v>0</v>
      </c>
      <c r="F95" s="69">
        <f>IF(CT!E92=SCTTK!$G$1,CT!H92,0)</f>
        <v>0</v>
      </c>
      <c r="G95" s="69">
        <f>IF(SUM(E95:F95)=0,0,MAX($G$6+SUM($E$8:E95)-$H$6-SUM($F$8:F95),0))</f>
        <v>0</v>
      </c>
      <c r="H95" s="69">
        <f>IF(SUM(E95:F95)=0,0,MAX($H$6+SUM($F$8:F95)-$G$6-SUM($E$8:E95),0))</f>
        <v>0</v>
      </c>
    </row>
    <row r="96" spans="1:8" hidden="1" x14ac:dyDescent="0.25">
      <c r="A96" s="84" t="str">
        <f>IF(OR(CT!D93=SCTTK!$G$1,CT!E93=SCTTK!$G$1),CT!$A93,"")</f>
        <v/>
      </c>
      <c r="B96" s="65" t="str">
        <f>IF(OR(CT!D93=SCTTK!$G$1,CT!E93=SCTTK!$G$1),CT!$B93,"")</f>
        <v/>
      </c>
      <c r="C96" s="65" t="str">
        <f>IF(OR(CT!D93=SCTTK!$G$1,CT!E93=SCTTK!$G$1),CT!$C93,"")</f>
        <v/>
      </c>
      <c r="D96" s="65" t="str">
        <f>IF(CT!D93=SCTTK!$G$1,CT!E93,IF(CT!E93=SCTTK!$G$1,CT!D93,""))</f>
        <v/>
      </c>
      <c r="E96" s="69">
        <f>IF(CT!D93=SCTTK!$G$1,CT!H93,0)</f>
        <v>0</v>
      </c>
      <c r="F96" s="69">
        <f>IF(CT!E93=SCTTK!$G$1,CT!H93,0)</f>
        <v>0</v>
      </c>
      <c r="G96" s="69">
        <f>IF(SUM(E96:F96)=0,0,MAX($G$6+SUM($E$8:E96)-$H$6-SUM($F$8:F96),0))</f>
        <v>0</v>
      </c>
      <c r="H96" s="69">
        <f>IF(SUM(E96:F96)=0,0,MAX($H$6+SUM($F$8:F96)-$G$6-SUM($E$8:E96),0))</f>
        <v>0</v>
      </c>
    </row>
    <row r="97" spans="1:8" hidden="1" x14ac:dyDescent="0.25">
      <c r="A97" s="84" t="str">
        <f>IF(OR(CT!D94=SCTTK!$G$1,CT!E94=SCTTK!$G$1),CT!$A94,"")</f>
        <v/>
      </c>
      <c r="B97" s="65" t="str">
        <f>IF(OR(CT!D94=SCTTK!$G$1,CT!E94=SCTTK!$G$1),CT!$B94,"")</f>
        <v/>
      </c>
      <c r="C97" s="65" t="str">
        <f>IF(OR(CT!D94=SCTTK!$G$1,CT!E94=SCTTK!$G$1),CT!$C94,"")</f>
        <v/>
      </c>
      <c r="D97" s="65" t="str">
        <f>IF(CT!D94=SCTTK!$G$1,CT!E94,IF(CT!E94=SCTTK!$G$1,CT!D94,""))</f>
        <v/>
      </c>
      <c r="E97" s="69">
        <f>IF(CT!D94=SCTTK!$G$1,CT!H94,0)</f>
        <v>0</v>
      </c>
      <c r="F97" s="69">
        <f>IF(CT!E94=SCTTK!$G$1,CT!H94,0)</f>
        <v>0</v>
      </c>
      <c r="G97" s="69">
        <f>IF(SUM(E97:F97)=0,0,MAX($G$6+SUM($E$8:E97)-$H$6-SUM($F$8:F97),0))</f>
        <v>0</v>
      </c>
      <c r="H97" s="69">
        <f>IF(SUM(E97:F97)=0,0,MAX($H$6+SUM($F$8:F97)-$G$6-SUM($E$8:E97),0))</f>
        <v>0</v>
      </c>
    </row>
    <row r="98" spans="1:8" hidden="1" x14ac:dyDescent="0.25">
      <c r="A98" s="84" t="str">
        <f>IF(OR(CT!D95=SCTTK!$G$1,CT!E95=SCTTK!$G$1),CT!$A95,"")</f>
        <v/>
      </c>
      <c r="B98" s="65" t="str">
        <f>IF(OR(CT!D95=SCTTK!$G$1,CT!E95=SCTTK!$G$1),CT!$B95,"")</f>
        <v/>
      </c>
      <c r="C98" s="65" t="str">
        <f>IF(OR(CT!D95=SCTTK!$G$1,CT!E95=SCTTK!$G$1),CT!$C95,"")</f>
        <v/>
      </c>
      <c r="D98" s="65" t="str">
        <f>IF(CT!D95=SCTTK!$G$1,CT!E95,IF(CT!E95=SCTTK!$G$1,CT!D95,""))</f>
        <v/>
      </c>
      <c r="E98" s="69">
        <f>IF(CT!D95=SCTTK!$G$1,CT!H95,0)</f>
        <v>0</v>
      </c>
      <c r="F98" s="69">
        <f>IF(CT!E95=SCTTK!$G$1,CT!H95,0)</f>
        <v>0</v>
      </c>
      <c r="G98" s="69">
        <f>IF(SUM(E98:F98)=0,0,MAX($G$6+SUM($E$8:E98)-$H$6-SUM($F$8:F98),0))</f>
        <v>0</v>
      </c>
      <c r="H98" s="69">
        <f>IF(SUM(E98:F98)=0,0,MAX($H$6+SUM($F$8:F98)-$G$6-SUM($E$8:E98),0))</f>
        <v>0</v>
      </c>
    </row>
    <row r="99" spans="1:8" hidden="1" x14ac:dyDescent="0.25">
      <c r="A99" s="84" t="str">
        <f>IF(OR(CT!D96=SCTTK!$G$1,CT!E96=SCTTK!$G$1),CT!$A96,"")</f>
        <v/>
      </c>
      <c r="B99" s="65" t="str">
        <f>IF(OR(CT!D96=SCTTK!$G$1,CT!E96=SCTTK!$G$1),CT!$B96,"")</f>
        <v/>
      </c>
      <c r="C99" s="65" t="str">
        <f>IF(OR(CT!D96=SCTTK!$G$1,CT!E96=SCTTK!$G$1),CT!$C96,"")</f>
        <v/>
      </c>
      <c r="D99" s="65" t="str">
        <f>IF(CT!D96=SCTTK!$G$1,CT!E96,IF(CT!E96=SCTTK!$G$1,CT!D96,""))</f>
        <v/>
      </c>
      <c r="E99" s="69">
        <f>IF(CT!D96=SCTTK!$G$1,CT!H96,0)</f>
        <v>0</v>
      </c>
      <c r="F99" s="69">
        <f>IF(CT!E96=SCTTK!$G$1,CT!H96,0)</f>
        <v>0</v>
      </c>
      <c r="G99" s="69">
        <f>IF(SUM(E99:F99)=0,0,MAX($G$6+SUM($E$8:E99)-$H$6-SUM($F$8:F99),0))</f>
        <v>0</v>
      </c>
      <c r="H99" s="69">
        <f>IF(SUM(E99:F99)=0,0,MAX($H$6+SUM($F$8:F99)-$G$6-SUM($E$8:E99),0))</f>
        <v>0</v>
      </c>
    </row>
    <row r="100" spans="1:8" hidden="1" x14ac:dyDescent="0.25">
      <c r="A100" s="84" t="str">
        <f>IF(OR(CT!D97=SCTTK!$G$1,CT!E97=SCTTK!$G$1),CT!$A97,"")</f>
        <v/>
      </c>
      <c r="B100" s="65" t="str">
        <f>IF(OR(CT!D97=SCTTK!$G$1,CT!E97=SCTTK!$G$1),CT!$B97,"")</f>
        <v/>
      </c>
      <c r="C100" s="65" t="str">
        <f>IF(OR(CT!D97=SCTTK!$G$1,CT!E97=SCTTK!$G$1),CT!$C97,"")</f>
        <v/>
      </c>
      <c r="D100" s="65" t="str">
        <f>IF(CT!D97=SCTTK!$G$1,CT!E97,IF(CT!E97=SCTTK!$G$1,CT!D97,""))</f>
        <v/>
      </c>
      <c r="E100" s="69">
        <f>IF(CT!D97=SCTTK!$G$1,CT!H97,0)</f>
        <v>0</v>
      </c>
      <c r="F100" s="69">
        <f>IF(CT!E97=SCTTK!$G$1,CT!H97,0)</f>
        <v>0</v>
      </c>
      <c r="G100" s="69">
        <f>IF(SUM(E100:F100)=0,0,MAX($G$6+SUM($E$8:E100)-$H$6-SUM($F$8:F100),0))</f>
        <v>0</v>
      </c>
      <c r="H100" s="69">
        <f>IF(SUM(E100:F100)=0,0,MAX($H$6+SUM($F$8:F100)-$G$6-SUM($E$8:E100),0))</f>
        <v>0</v>
      </c>
    </row>
    <row r="101" spans="1:8" hidden="1" x14ac:dyDescent="0.25">
      <c r="A101" s="84" t="str">
        <f>IF(OR(CT!D98=SCTTK!$G$1,CT!E98=SCTTK!$G$1),CT!$A98,"")</f>
        <v/>
      </c>
      <c r="B101" s="65" t="str">
        <f>IF(OR(CT!D98=SCTTK!$G$1,CT!E98=SCTTK!$G$1),CT!$B98,"")</f>
        <v/>
      </c>
      <c r="C101" s="65" t="str">
        <f>IF(OR(CT!D98=SCTTK!$G$1,CT!E98=SCTTK!$G$1),CT!$C98,"")</f>
        <v/>
      </c>
      <c r="D101" s="65" t="str">
        <f>IF(CT!D98=SCTTK!$G$1,CT!E98,IF(CT!E98=SCTTK!$G$1,CT!D98,""))</f>
        <v/>
      </c>
      <c r="E101" s="69">
        <f>IF(CT!D98=SCTTK!$G$1,CT!H98,0)</f>
        <v>0</v>
      </c>
      <c r="F101" s="69">
        <f>IF(CT!E98=SCTTK!$G$1,CT!H98,0)</f>
        <v>0</v>
      </c>
      <c r="G101" s="69">
        <f>IF(SUM(E101:F101)=0,0,MAX($G$6+SUM($E$8:E101)-$H$6-SUM($F$8:F101),0))</f>
        <v>0</v>
      </c>
      <c r="H101" s="69">
        <f>IF(SUM(E101:F101)=0,0,MAX($H$6+SUM($F$8:F101)-$G$6-SUM($E$8:E101),0))</f>
        <v>0</v>
      </c>
    </row>
    <row r="102" spans="1:8" hidden="1" x14ac:dyDescent="0.25">
      <c r="A102" s="84" t="str">
        <f>IF(OR(CT!D99=SCTTK!$G$1,CT!E99=SCTTK!$G$1),CT!$A99,"")</f>
        <v/>
      </c>
      <c r="B102" s="65" t="str">
        <f>IF(OR(CT!D99=SCTTK!$G$1,CT!E99=SCTTK!$G$1),CT!$B99,"")</f>
        <v/>
      </c>
      <c r="C102" s="65" t="str">
        <f>IF(OR(CT!D99=SCTTK!$G$1,CT!E99=SCTTK!$G$1),CT!$C99,"")</f>
        <v/>
      </c>
      <c r="D102" s="65" t="str">
        <f>IF(CT!D99=SCTTK!$G$1,CT!E99,IF(CT!E99=SCTTK!$G$1,CT!D99,""))</f>
        <v/>
      </c>
      <c r="E102" s="69">
        <f>IF(CT!D99=SCTTK!$G$1,CT!H99,0)</f>
        <v>0</v>
      </c>
      <c r="F102" s="69">
        <f>IF(CT!E99=SCTTK!$G$1,CT!H99,0)</f>
        <v>0</v>
      </c>
      <c r="G102" s="69">
        <f>IF(SUM(E102:F102)=0,0,MAX($G$6+SUM($E$8:E102)-$H$6-SUM($F$8:F102),0))</f>
        <v>0</v>
      </c>
      <c r="H102" s="69">
        <f>IF(SUM(E102:F102)=0,0,MAX($H$6+SUM($F$8:F102)-$G$6-SUM($E$8:E102),0))</f>
        <v>0</v>
      </c>
    </row>
    <row r="103" spans="1:8" hidden="1" x14ac:dyDescent="0.25">
      <c r="A103" s="84" t="str">
        <f>IF(OR(CT!D100=SCTTK!$G$1,CT!E100=SCTTK!$G$1),CT!$A100,"")</f>
        <v/>
      </c>
      <c r="B103" s="65" t="str">
        <f>IF(OR(CT!D100=SCTTK!$G$1,CT!E100=SCTTK!$G$1),CT!$B100,"")</f>
        <v/>
      </c>
      <c r="C103" s="65" t="str">
        <f>IF(OR(CT!D100=SCTTK!$G$1,CT!E100=SCTTK!$G$1),CT!$C100,"")</f>
        <v/>
      </c>
      <c r="D103" s="65" t="str">
        <f>IF(CT!D100=SCTTK!$G$1,CT!E100,IF(CT!E100=SCTTK!$G$1,CT!D100,""))</f>
        <v/>
      </c>
      <c r="E103" s="69">
        <f>IF(CT!D100=SCTTK!$G$1,CT!H100,0)</f>
        <v>0</v>
      </c>
      <c r="F103" s="69">
        <f>IF(CT!E100=SCTTK!$G$1,CT!H100,0)</f>
        <v>0</v>
      </c>
      <c r="G103" s="69">
        <f>IF(SUM(E103:F103)=0,0,MAX($G$6+SUM($E$8:E103)-$H$6-SUM($F$8:F103),0))</f>
        <v>0</v>
      </c>
      <c r="H103" s="69">
        <f>IF(SUM(E103:F103)=0,0,MAX($H$6+SUM($F$8:F103)-$G$6-SUM($E$8:E103),0))</f>
        <v>0</v>
      </c>
    </row>
    <row r="104" spans="1:8" hidden="1" x14ac:dyDescent="0.25">
      <c r="A104" s="84" t="str">
        <f>IF(OR(CT!D101=SCTTK!$G$1,CT!E101=SCTTK!$G$1),CT!$A101,"")</f>
        <v/>
      </c>
      <c r="B104" s="65" t="str">
        <f>IF(OR(CT!D101=SCTTK!$G$1,CT!E101=SCTTK!$G$1),CT!$B101,"")</f>
        <v/>
      </c>
      <c r="C104" s="65" t="str">
        <f>IF(OR(CT!D101=SCTTK!$G$1,CT!E101=SCTTK!$G$1),CT!$C101,"")</f>
        <v/>
      </c>
      <c r="D104" s="65" t="str">
        <f>IF(CT!D101=SCTTK!$G$1,CT!E101,IF(CT!E101=SCTTK!$G$1,CT!D101,""))</f>
        <v/>
      </c>
      <c r="E104" s="69">
        <f>IF(CT!D101=SCTTK!$G$1,CT!H101,0)</f>
        <v>0</v>
      </c>
      <c r="F104" s="69">
        <f>IF(CT!E101=SCTTK!$G$1,CT!H101,0)</f>
        <v>0</v>
      </c>
      <c r="G104" s="69">
        <f>IF(SUM(E104:F104)=0,0,MAX($G$6+SUM($E$8:E104)-$H$6-SUM($F$8:F104),0))</f>
        <v>0</v>
      </c>
      <c r="H104" s="69">
        <f>IF(SUM(E104:F104)=0,0,MAX($H$6+SUM($F$8:F104)-$G$6-SUM($E$8:E104),0))</f>
        <v>0</v>
      </c>
    </row>
    <row r="105" spans="1:8" hidden="1" x14ac:dyDescent="0.25">
      <c r="A105" s="84" t="str">
        <f>IF(OR(CT!D102=SCTTK!$G$1,CT!E102=SCTTK!$G$1),CT!$A102,"")</f>
        <v/>
      </c>
      <c r="B105" s="65" t="str">
        <f>IF(OR(CT!D102=SCTTK!$G$1,CT!E102=SCTTK!$G$1),CT!$B102,"")</f>
        <v/>
      </c>
      <c r="C105" s="65" t="str">
        <f>IF(OR(CT!D102=SCTTK!$G$1,CT!E102=SCTTK!$G$1),CT!$C102,"")</f>
        <v/>
      </c>
      <c r="D105" s="65" t="str">
        <f>IF(CT!D102=SCTTK!$G$1,CT!E102,IF(CT!E102=SCTTK!$G$1,CT!D102,""))</f>
        <v/>
      </c>
      <c r="E105" s="69">
        <f>IF(CT!D102=SCTTK!$G$1,CT!H102,0)</f>
        <v>0</v>
      </c>
      <c r="F105" s="69">
        <f>IF(CT!E102=SCTTK!$G$1,CT!H102,0)</f>
        <v>0</v>
      </c>
      <c r="G105" s="69">
        <f>IF(SUM(E105:F105)=0,0,MAX($G$6+SUM($E$8:E105)-$H$6-SUM($F$8:F105),0))</f>
        <v>0</v>
      </c>
      <c r="H105" s="69">
        <f>IF(SUM(E105:F105)=0,0,MAX($H$6+SUM($F$8:F105)-$G$6-SUM($E$8:E105),0))</f>
        <v>0</v>
      </c>
    </row>
    <row r="106" spans="1:8" hidden="1" x14ac:dyDescent="0.25">
      <c r="A106" s="84" t="str">
        <f>IF(OR(CT!D103=SCTTK!$G$1,CT!E103=SCTTK!$G$1),CT!$A103,"")</f>
        <v/>
      </c>
      <c r="B106" s="65" t="str">
        <f>IF(OR(CT!D103=SCTTK!$G$1,CT!E103=SCTTK!$G$1),CT!$B103,"")</f>
        <v/>
      </c>
      <c r="C106" s="65" t="str">
        <f>IF(OR(CT!D103=SCTTK!$G$1,CT!E103=SCTTK!$G$1),CT!$C103,"")</f>
        <v/>
      </c>
      <c r="D106" s="65" t="str">
        <f>IF(CT!D103=SCTTK!$G$1,CT!E103,IF(CT!E103=SCTTK!$G$1,CT!D103,""))</f>
        <v/>
      </c>
      <c r="E106" s="69">
        <f>IF(CT!D103=SCTTK!$G$1,CT!H103,0)</f>
        <v>0</v>
      </c>
      <c r="F106" s="69">
        <f>IF(CT!E103=SCTTK!$G$1,CT!H103,0)</f>
        <v>0</v>
      </c>
      <c r="G106" s="69">
        <f>IF(SUM(E106:F106)=0,0,MAX($G$6+SUM($E$8:E106)-$H$6-SUM($F$8:F106),0))</f>
        <v>0</v>
      </c>
      <c r="H106" s="69">
        <f>IF(SUM(E106:F106)=0,0,MAX($H$6+SUM($F$8:F106)-$G$6-SUM($E$8:E106),0))</f>
        <v>0</v>
      </c>
    </row>
    <row r="107" spans="1:8" hidden="1" x14ac:dyDescent="0.25">
      <c r="A107" s="84" t="str">
        <f>IF(OR(CT!D104=SCTTK!$G$1,CT!E104=SCTTK!$G$1),CT!$A104,"")</f>
        <v/>
      </c>
      <c r="B107" s="65" t="str">
        <f>IF(OR(CT!D104=SCTTK!$G$1,CT!E104=SCTTK!$G$1),CT!$B104,"")</f>
        <v/>
      </c>
      <c r="C107" s="65" t="str">
        <f>IF(OR(CT!D104=SCTTK!$G$1,CT!E104=SCTTK!$G$1),CT!$C104,"")</f>
        <v/>
      </c>
      <c r="D107" s="65" t="str">
        <f>IF(CT!D104=SCTTK!$G$1,CT!E104,IF(CT!E104=SCTTK!$G$1,CT!D104,""))</f>
        <v/>
      </c>
      <c r="E107" s="69">
        <f>IF(CT!D104=SCTTK!$G$1,CT!H104,0)</f>
        <v>0</v>
      </c>
      <c r="F107" s="69">
        <f>IF(CT!E104=SCTTK!$G$1,CT!H104,0)</f>
        <v>0</v>
      </c>
      <c r="G107" s="69">
        <f>IF(SUM(E107:F107)=0,0,MAX($G$6+SUM($E$8:E107)-$H$6-SUM($F$8:F107),0))</f>
        <v>0</v>
      </c>
      <c r="H107" s="69">
        <f>IF(SUM(E107:F107)=0,0,MAX($H$6+SUM($F$8:F107)-$G$6-SUM($E$8:E107),0))</f>
        <v>0</v>
      </c>
    </row>
    <row r="108" spans="1:8" hidden="1" x14ac:dyDescent="0.25">
      <c r="A108" s="84" t="str">
        <f>IF(OR(CT!D105=SCTTK!$G$1,CT!E105=SCTTK!$G$1),CT!$A105,"")</f>
        <v/>
      </c>
      <c r="B108" s="65" t="str">
        <f>IF(OR(CT!D105=SCTTK!$G$1,CT!E105=SCTTK!$G$1),CT!$B105,"")</f>
        <v/>
      </c>
      <c r="C108" s="65" t="str">
        <f>IF(OR(CT!D105=SCTTK!$G$1,CT!E105=SCTTK!$G$1),CT!$C105,"")</f>
        <v/>
      </c>
      <c r="D108" s="65" t="str">
        <f>IF(CT!D105=SCTTK!$G$1,CT!E105,IF(CT!E105=SCTTK!$G$1,CT!D105,""))</f>
        <v/>
      </c>
      <c r="E108" s="69">
        <f>IF(CT!D105=SCTTK!$G$1,CT!H105,0)</f>
        <v>0</v>
      </c>
      <c r="F108" s="69">
        <f>IF(CT!E105=SCTTK!$G$1,CT!H105,0)</f>
        <v>0</v>
      </c>
      <c r="G108" s="69">
        <f>IF(SUM(E108:F108)=0,0,MAX($G$6+SUM($E$8:E108)-$H$6-SUM($F$8:F108),0))</f>
        <v>0</v>
      </c>
      <c r="H108" s="69">
        <f>IF(SUM(E108:F108)=0,0,MAX($H$6+SUM($F$8:F108)-$G$6-SUM($E$8:E108),0))</f>
        <v>0</v>
      </c>
    </row>
    <row r="109" spans="1:8" hidden="1" x14ac:dyDescent="0.25">
      <c r="A109" s="84" t="str">
        <f>IF(OR(CT!D106=SCTTK!$G$1,CT!E106=SCTTK!$G$1),CT!$A106,"")</f>
        <v/>
      </c>
      <c r="B109" s="65" t="str">
        <f>IF(OR(CT!D106=SCTTK!$G$1,CT!E106=SCTTK!$G$1),CT!$B106,"")</f>
        <v/>
      </c>
      <c r="C109" s="65" t="str">
        <f>IF(OR(CT!D106=SCTTK!$G$1,CT!E106=SCTTK!$G$1),CT!$C106,"")</f>
        <v/>
      </c>
      <c r="D109" s="65" t="str">
        <f>IF(CT!D106=SCTTK!$G$1,CT!E106,IF(CT!E106=SCTTK!$G$1,CT!D106,""))</f>
        <v/>
      </c>
      <c r="E109" s="69">
        <f>IF(CT!D106=SCTTK!$G$1,CT!H106,0)</f>
        <v>0</v>
      </c>
      <c r="F109" s="69">
        <f>IF(CT!E106=SCTTK!$G$1,CT!H106,0)</f>
        <v>0</v>
      </c>
      <c r="G109" s="69">
        <f>IF(SUM(E109:F109)=0,0,MAX($G$6+SUM($E$8:E109)-$H$6-SUM($F$8:F109),0))</f>
        <v>0</v>
      </c>
      <c r="H109" s="69">
        <f>IF(SUM(E109:F109)=0,0,MAX($H$6+SUM($F$8:F109)-$G$6-SUM($E$8:E109),0))</f>
        <v>0</v>
      </c>
    </row>
    <row r="110" spans="1:8" hidden="1" x14ac:dyDescent="0.25">
      <c r="A110" s="84" t="str">
        <f>IF(OR(CT!D107=SCTTK!$G$1,CT!E107=SCTTK!$G$1),CT!$A107,"")</f>
        <v/>
      </c>
      <c r="B110" s="65" t="str">
        <f>IF(OR(CT!D107=SCTTK!$G$1,CT!E107=SCTTK!$G$1),CT!$B107,"")</f>
        <v/>
      </c>
      <c r="C110" s="65" t="str">
        <f>IF(OR(CT!D107=SCTTK!$G$1,CT!E107=SCTTK!$G$1),CT!$C107,"")</f>
        <v/>
      </c>
      <c r="D110" s="65" t="str">
        <f>IF(CT!D107=SCTTK!$G$1,CT!E107,IF(CT!E107=SCTTK!$G$1,CT!D107,""))</f>
        <v/>
      </c>
      <c r="E110" s="69">
        <f>IF(CT!D107=SCTTK!$G$1,CT!H107,0)</f>
        <v>0</v>
      </c>
      <c r="F110" s="69">
        <f>IF(CT!E107=SCTTK!$G$1,CT!H107,0)</f>
        <v>0</v>
      </c>
      <c r="G110" s="69">
        <f>IF(SUM(E110:F110)=0,0,MAX($G$6+SUM($E$8:E110)-$H$6-SUM($F$8:F110),0))</f>
        <v>0</v>
      </c>
      <c r="H110" s="69">
        <f>IF(SUM(E110:F110)=0,0,MAX($H$6+SUM($F$8:F110)-$G$6-SUM($E$8:E110),0))</f>
        <v>0</v>
      </c>
    </row>
    <row r="111" spans="1:8" hidden="1" x14ac:dyDescent="0.25">
      <c r="A111" s="84" t="str">
        <f>IF(OR(CT!D108=SCTTK!$G$1,CT!E108=SCTTK!$G$1),CT!$A108,"")</f>
        <v/>
      </c>
      <c r="B111" s="65" t="str">
        <f>IF(OR(CT!D108=SCTTK!$G$1,CT!E108=SCTTK!$G$1),CT!$B108,"")</f>
        <v/>
      </c>
      <c r="C111" s="65" t="str">
        <f>IF(OR(CT!D108=SCTTK!$G$1,CT!E108=SCTTK!$G$1),CT!$C108,"")</f>
        <v/>
      </c>
      <c r="D111" s="65" t="str">
        <f>IF(CT!D108=SCTTK!$G$1,CT!E108,IF(CT!E108=SCTTK!$G$1,CT!D108,""))</f>
        <v/>
      </c>
      <c r="E111" s="69">
        <f>IF(CT!D108=SCTTK!$G$1,CT!H108,0)</f>
        <v>0</v>
      </c>
      <c r="F111" s="69">
        <f>IF(CT!E108=SCTTK!$G$1,CT!H108,0)</f>
        <v>0</v>
      </c>
      <c r="G111" s="69">
        <f>IF(SUM(E111:F111)=0,0,MAX($G$6+SUM($E$8:E111)-$H$6-SUM($F$8:F111),0))</f>
        <v>0</v>
      </c>
      <c r="H111" s="69">
        <f>IF(SUM(E111:F111)=0,0,MAX($H$6+SUM($F$8:F111)-$G$6-SUM($E$8:E111),0))</f>
        <v>0</v>
      </c>
    </row>
    <row r="112" spans="1:8" hidden="1" x14ac:dyDescent="0.25">
      <c r="A112" s="84" t="str">
        <f>IF(OR(CT!D109=SCTTK!$G$1,CT!E109=SCTTK!$G$1),CT!$A109,"")</f>
        <v/>
      </c>
      <c r="B112" s="65" t="str">
        <f>IF(OR(CT!D109=SCTTK!$G$1,CT!E109=SCTTK!$G$1),CT!$B109,"")</f>
        <v/>
      </c>
      <c r="C112" s="65" t="str">
        <f>IF(OR(CT!D109=SCTTK!$G$1,CT!E109=SCTTK!$G$1),CT!$C109,"")</f>
        <v/>
      </c>
      <c r="D112" s="65" t="str">
        <f>IF(CT!D109=SCTTK!$G$1,CT!E109,IF(CT!E109=SCTTK!$G$1,CT!D109,""))</f>
        <v/>
      </c>
      <c r="E112" s="69">
        <f>IF(CT!D109=SCTTK!$G$1,CT!H109,0)</f>
        <v>0</v>
      </c>
      <c r="F112" s="69">
        <f>IF(CT!E109=SCTTK!$G$1,CT!H109,0)</f>
        <v>0</v>
      </c>
      <c r="G112" s="69">
        <f>IF(SUM(E112:F112)=0,0,MAX($G$6+SUM($E$8:E112)-$H$6-SUM($F$8:F112),0))</f>
        <v>0</v>
      </c>
      <c r="H112" s="69">
        <f>IF(SUM(E112:F112)=0,0,MAX($H$6+SUM($F$8:F112)-$G$6-SUM($E$8:E112),0))</f>
        <v>0</v>
      </c>
    </row>
    <row r="113" spans="1:8" hidden="1" x14ac:dyDescent="0.25">
      <c r="A113" s="84" t="str">
        <f>IF(OR(CT!D110=SCTTK!$G$1,CT!E110=SCTTK!$G$1),CT!$A110,"")</f>
        <v/>
      </c>
      <c r="B113" s="65" t="str">
        <f>IF(OR(CT!D110=SCTTK!$G$1,CT!E110=SCTTK!$G$1),CT!$B110,"")</f>
        <v/>
      </c>
      <c r="C113" s="65" t="str">
        <f>IF(OR(CT!D110=SCTTK!$G$1,CT!E110=SCTTK!$G$1),CT!$C110,"")</f>
        <v/>
      </c>
      <c r="D113" s="65" t="str">
        <f>IF(CT!D110=SCTTK!$G$1,CT!E110,IF(CT!E110=SCTTK!$G$1,CT!D110,""))</f>
        <v/>
      </c>
      <c r="E113" s="69">
        <f>IF(CT!D110=SCTTK!$G$1,CT!H110,0)</f>
        <v>0</v>
      </c>
      <c r="F113" s="69">
        <f>IF(CT!E110=SCTTK!$G$1,CT!H110,0)</f>
        <v>0</v>
      </c>
      <c r="G113" s="69">
        <f>IF(SUM(E113:F113)=0,0,MAX($G$6+SUM($E$8:E113)-$H$6-SUM($F$8:F113),0))</f>
        <v>0</v>
      </c>
      <c r="H113" s="69">
        <f>IF(SUM(E113:F113)=0,0,MAX($H$6+SUM($F$8:F113)-$G$6-SUM($E$8:E113),0))</f>
        <v>0</v>
      </c>
    </row>
    <row r="114" spans="1:8" hidden="1" x14ac:dyDescent="0.25">
      <c r="A114" s="84" t="str">
        <f>IF(OR(CT!D111=SCTTK!$G$1,CT!E111=SCTTK!$G$1),CT!$A111,"")</f>
        <v/>
      </c>
      <c r="B114" s="65" t="str">
        <f>IF(OR(CT!D111=SCTTK!$G$1,CT!E111=SCTTK!$G$1),CT!$B111,"")</f>
        <v/>
      </c>
      <c r="C114" s="65" t="str">
        <f>IF(OR(CT!D111=SCTTK!$G$1,CT!E111=SCTTK!$G$1),CT!$C111,"")</f>
        <v/>
      </c>
      <c r="D114" s="65" t="str">
        <f>IF(CT!D111=SCTTK!$G$1,CT!E111,IF(CT!E111=SCTTK!$G$1,CT!D111,""))</f>
        <v/>
      </c>
      <c r="E114" s="69">
        <f>IF(CT!D111=SCTTK!$G$1,CT!H111,0)</f>
        <v>0</v>
      </c>
      <c r="F114" s="69">
        <f>IF(CT!E111=SCTTK!$G$1,CT!H111,0)</f>
        <v>0</v>
      </c>
      <c r="G114" s="69">
        <f>IF(SUM(E114:F114)=0,0,MAX($G$6+SUM($E$8:E114)-$H$6-SUM($F$8:F114),0))</f>
        <v>0</v>
      </c>
      <c r="H114" s="69">
        <f>IF(SUM(E114:F114)=0,0,MAX($H$6+SUM($F$8:F114)-$G$6-SUM($E$8:E114),0))</f>
        <v>0</v>
      </c>
    </row>
    <row r="115" spans="1:8" hidden="1" x14ac:dyDescent="0.25">
      <c r="A115" s="84" t="str">
        <f>IF(OR(CT!D112=SCTTK!$G$1,CT!E112=SCTTK!$G$1),CT!$A112,"")</f>
        <v/>
      </c>
      <c r="B115" s="65" t="str">
        <f>IF(OR(CT!D112=SCTTK!$G$1,CT!E112=SCTTK!$G$1),CT!$B112,"")</f>
        <v/>
      </c>
      <c r="C115" s="65" t="str">
        <f>IF(OR(CT!D112=SCTTK!$G$1,CT!E112=SCTTK!$G$1),CT!$C112,"")</f>
        <v/>
      </c>
      <c r="D115" s="65" t="str">
        <f>IF(CT!D112=SCTTK!$G$1,CT!E112,IF(CT!E112=SCTTK!$G$1,CT!D112,""))</f>
        <v/>
      </c>
      <c r="E115" s="69">
        <f>IF(CT!D112=SCTTK!$G$1,CT!H112,0)</f>
        <v>0</v>
      </c>
      <c r="F115" s="69">
        <f>IF(CT!E112=SCTTK!$G$1,CT!H112,0)</f>
        <v>0</v>
      </c>
      <c r="G115" s="69">
        <f>IF(SUM(E115:F115)=0,0,MAX($G$6+SUM($E$8:E115)-$H$6-SUM($F$8:F115),0))</f>
        <v>0</v>
      </c>
      <c r="H115" s="69">
        <f>IF(SUM(E115:F115)=0,0,MAX($H$6+SUM($F$8:F115)-$G$6-SUM($E$8:E115),0))</f>
        <v>0</v>
      </c>
    </row>
    <row r="116" spans="1:8" hidden="1" x14ac:dyDescent="0.25">
      <c r="A116" s="84" t="str">
        <f>IF(OR(CT!D113=SCTTK!$G$1,CT!E113=SCTTK!$G$1),CT!$A113,"")</f>
        <v/>
      </c>
      <c r="B116" s="65" t="str">
        <f>IF(OR(CT!D113=SCTTK!$G$1,CT!E113=SCTTK!$G$1),CT!$B113,"")</f>
        <v/>
      </c>
      <c r="C116" s="65" t="str">
        <f>IF(OR(CT!D113=SCTTK!$G$1,CT!E113=SCTTK!$G$1),CT!$C113,"")</f>
        <v/>
      </c>
      <c r="D116" s="65" t="str">
        <f>IF(CT!D113=SCTTK!$G$1,CT!E113,IF(CT!E113=SCTTK!$G$1,CT!D113,""))</f>
        <v/>
      </c>
      <c r="E116" s="69">
        <f>IF(CT!D113=SCTTK!$G$1,CT!H113,0)</f>
        <v>0</v>
      </c>
      <c r="F116" s="69">
        <f>IF(CT!E113=SCTTK!$G$1,CT!H113,0)</f>
        <v>0</v>
      </c>
      <c r="G116" s="69">
        <f>IF(SUM(E116:F116)=0,0,MAX($G$6+SUM($E$8:E116)-$H$6-SUM($F$8:F116),0))</f>
        <v>0</v>
      </c>
      <c r="H116" s="69">
        <f>IF(SUM(E116:F116)=0,0,MAX($H$6+SUM($F$8:F116)-$G$6-SUM($E$8:E116),0))</f>
        <v>0</v>
      </c>
    </row>
    <row r="117" spans="1:8" hidden="1" x14ac:dyDescent="0.25">
      <c r="A117" s="84" t="str">
        <f>IF(OR(CT!D114=SCTTK!$G$1,CT!E114=SCTTK!$G$1),CT!$A114,"")</f>
        <v/>
      </c>
      <c r="B117" s="65" t="str">
        <f>IF(OR(CT!D114=SCTTK!$G$1,CT!E114=SCTTK!$G$1),CT!$B114,"")</f>
        <v/>
      </c>
      <c r="C117" s="65" t="str">
        <f>IF(OR(CT!D114=SCTTK!$G$1,CT!E114=SCTTK!$G$1),CT!$C114,"")</f>
        <v/>
      </c>
      <c r="D117" s="65" t="str">
        <f>IF(CT!D114=SCTTK!$G$1,CT!E114,IF(CT!E114=SCTTK!$G$1,CT!D114,""))</f>
        <v/>
      </c>
      <c r="E117" s="69">
        <f>IF(CT!D114=SCTTK!$G$1,CT!H114,0)</f>
        <v>0</v>
      </c>
      <c r="F117" s="69">
        <f>IF(CT!E114=SCTTK!$G$1,CT!H114,0)</f>
        <v>0</v>
      </c>
      <c r="G117" s="69">
        <f>IF(SUM(E117:F117)=0,0,MAX($G$6+SUM($E$8:E117)-$H$6-SUM($F$8:F117),0))</f>
        <v>0</v>
      </c>
      <c r="H117" s="69">
        <f>IF(SUM(E117:F117)=0,0,MAX($H$6+SUM($F$8:F117)-$G$6-SUM($E$8:E117),0))</f>
        <v>0</v>
      </c>
    </row>
    <row r="118" spans="1:8" hidden="1" x14ac:dyDescent="0.25">
      <c r="A118" s="84" t="str">
        <f>IF(OR(CT!D115=SCTTK!$G$1,CT!E115=SCTTK!$G$1),CT!$A115,"")</f>
        <v/>
      </c>
      <c r="B118" s="65" t="str">
        <f>IF(OR(CT!D115=SCTTK!$G$1,CT!E115=SCTTK!$G$1),CT!$B115,"")</f>
        <v/>
      </c>
      <c r="C118" s="65" t="str">
        <f>IF(OR(CT!D115=SCTTK!$G$1,CT!E115=SCTTK!$G$1),CT!$C115,"")</f>
        <v/>
      </c>
      <c r="D118" s="65" t="str">
        <f>IF(CT!D115=SCTTK!$G$1,CT!E115,IF(CT!E115=SCTTK!$G$1,CT!D115,""))</f>
        <v/>
      </c>
      <c r="E118" s="69">
        <f>IF(CT!D115=SCTTK!$G$1,CT!H115,0)</f>
        <v>0</v>
      </c>
      <c r="F118" s="69">
        <f>IF(CT!E115=SCTTK!$G$1,CT!H115,0)</f>
        <v>0</v>
      </c>
      <c r="G118" s="69">
        <f>IF(SUM(E118:F118)=0,0,MAX($G$6+SUM($E$8:E118)-$H$6-SUM($F$8:F118),0))</f>
        <v>0</v>
      </c>
      <c r="H118" s="69">
        <f>IF(SUM(E118:F118)=0,0,MAX($H$6+SUM($F$8:F118)-$G$6-SUM($E$8:E118),0))</f>
        <v>0</v>
      </c>
    </row>
    <row r="119" spans="1:8" hidden="1" x14ac:dyDescent="0.25">
      <c r="A119" s="84" t="str">
        <f>IF(OR(CT!D116=SCTTK!$G$1,CT!E116=SCTTK!$G$1),CT!$A116,"")</f>
        <v/>
      </c>
      <c r="B119" s="65" t="str">
        <f>IF(OR(CT!D116=SCTTK!$G$1,CT!E116=SCTTK!$G$1),CT!$B116,"")</f>
        <v/>
      </c>
      <c r="C119" s="65" t="str">
        <f>IF(OR(CT!D116=SCTTK!$G$1,CT!E116=SCTTK!$G$1),CT!$C116,"")</f>
        <v/>
      </c>
      <c r="D119" s="65" t="str">
        <f>IF(CT!D116=SCTTK!$G$1,CT!E116,IF(CT!E116=SCTTK!$G$1,CT!D116,""))</f>
        <v/>
      </c>
      <c r="E119" s="69">
        <f>IF(CT!D116=SCTTK!$G$1,CT!H116,0)</f>
        <v>0</v>
      </c>
      <c r="F119" s="69">
        <f>IF(CT!E116=SCTTK!$G$1,CT!H116,0)</f>
        <v>0</v>
      </c>
      <c r="G119" s="69">
        <f>IF(SUM(E119:F119)=0,0,MAX($G$6+SUM($E$8:E119)-$H$6-SUM($F$8:F119),0))</f>
        <v>0</v>
      </c>
      <c r="H119" s="69">
        <f>IF(SUM(E119:F119)=0,0,MAX($H$6+SUM($F$8:F119)-$G$6-SUM($E$8:E119),0))</f>
        <v>0</v>
      </c>
    </row>
    <row r="120" spans="1:8" hidden="1" x14ac:dyDescent="0.25">
      <c r="A120" s="84" t="str">
        <f>IF(OR(CT!D117=SCTTK!$G$1,CT!E117=SCTTK!$G$1),CT!$A117,"")</f>
        <v/>
      </c>
      <c r="B120" s="65" t="str">
        <f>IF(OR(CT!D117=SCTTK!$G$1,CT!E117=SCTTK!$G$1),CT!$B117,"")</f>
        <v/>
      </c>
      <c r="C120" s="65" t="str">
        <f>IF(OR(CT!D117=SCTTK!$G$1,CT!E117=SCTTK!$G$1),CT!$C117,"")</f>
        <v/>
      </c>
      <c r="D120" s="65" t="str">
        <f>IF(CT!D117=SCTTK!$G$1,CT!E117,IF(CT!E117=SCTTK!$G$1,CT!D117,""))</f>
        <v/>
      </c>
      <c r="E120" s="69">
        <f>IF(CT!D117=SCTTK!$G$1,CT!H117,0)</f>
        <v>0</v>
      </c>
      <c r="F120" s="69">
        <f>IF(CT!E117=SCTTK!$G$1,CT!H117,0)</f>
        <v>0</v>
      </c>
      <c r="G120" s="69">
        <f>IF(SUM(E120:F120)=0,0,MAX($G$6+SUM($E$8:E120)-$H$6-SUM($F$8:F120),0))</f>
        <v>0</v>
      </c>
      <c r="H120" s="69">
        <f>IF(SUM(E120:F120)=0,0,MAX($H$6+SUM($F$8:F120)-$G$6-SUM($E$8:E120),0))</f>
        <v>0</v>
      </c>
    </row>
    <row r="121" spans="1:8" hidden="1" x14ac:dyDescent="0.25">
      <c r="A121" s="84" t="str">
        <f>IF(OR(CT!D118=SCTTK!$G$1,CT!E118=SCTTK!$G$1),CT!$A118,"")</f>
        <v/>
      </c>
      <c r="B121" s="65" t="str">
        <f>IF(OR(CT!D118=SCTTK!$G$1,CT!E118=SCTTK!$G$1),CT!$B118,"")</f>
        <v/>
      </c>
      <c r="C121" s="65" t="str">
        <f>IF(OR(CT!D118=SCTTK!$G$1,CT!E118=SCTTK!$G$1),CT!$C118,"")</f>
        <v/>
      </c>
      <c r="D121" s="65" t="str">
        <f>IF(CT!D118=SCTTK!$G$1,CT!E118,IF(CT!E118=SCTTK!$G$1,CT!D118,""))</f>
        <v/>
      </c>
      <c r="E121" s="69">
        <f>IF(CT!D118=SCTTK!$G$1,CT!H118,0)</f>
        <v>0</v>
      </c>
      <c r="F121" s="69">
        <f>IF(CT!E118=SCTTK!$G$1,CT!H118,0)</f>
        <v>0</v>
      </c>
      <c r="G121" s="69">
        <f>IF(SUM(E121:F121)=0,0,MAX($G$6+SUM($E$8:E121)-$H$6-SUM($F$8:F121),0))</f>
        <v>0</v>
      </c>
      <c r="H121" s="69">
        <f>IF(SUM(E121:F121)=0,0,MAX($H$6+SUM($F$8:F121)-$G$6-SUM($E$8:E121),0))</f>
        <v>0</v>
      </c>
    </row>
    <row r="122" spans="1:8" hidden="1" x14ac:dyDescent="0.25">
      <c r="A122" s="84" t="str">
        <f>IF(OR(CT!D119=SCTTK!$G$1,CT!E119=SCTTK!$G$1),CT!$A119,"")</f>
        <v/>
      </c>
      <c r="B122" s="65" t="str">
        <f>IF(OR(CT!D119=SCTTK!$G$1,CT!E119=SCTTK!$G$1),CT!$B119,"")</f>
        <v/>
      </c>
      <c r="C122" s="65" t="str">
        <f>IF(OR(CT!D119=SCTTK!$G$1,CT!E119=SCTTK!$G$1),CT!$C119,"")</f>
        <v/>
      </c>
      <c r="D122" s="65" t="str">
        <f>IF(CT!D119=SCTTK!$G$1,CT!E119,IF(CT!E119=SCTTK!$G$1,CT!D119,""))</f>
        <v/>
      </c>
      <c r="E122" s="69">
        <f>IF(CT!D119=SCTTK!$G$1,CT!H119,0)</f>
        <v>0</v>
      </c>
      <c r="F122" s="69">
        <f>IF(CT!E119=SCTTK!$G$1,CT!H119,0)</f>
        <v>0</v>
      </c>
      <c r="G122" s="69">
        <f>IF(SUM(E122:F122)=0,0,MAX($G$6+SUM($E$8:E122)-$H$6-SUM($F$8:F122),0))</f>
        <v>0</v>
      </c>
      <c r="H122" s="69">
        <f>IF(SUM(E122:F122)=0,0,MAX($H$6+SUM($F$8:F122)-$G$6-SUM($E$8:E122),0))</f>
        <v>0</v>
      </c>
    </row>
    <row r="123" spans="1:8" hidden="1" x14ac:dyDescent="0.25">
      <c r="A123" s="84" t="str">
        <f>IF(OR(CT!D120=SCTTK!$G$1,CT!E120=SCTTK!$G$1),CT!$A120,"")</f>
        <v/>
      </c>
      <c r="B123" s="65" t="str">
        <f>IF(OR(CT!D120=SCTTK!$G$1,CT!E120=SCTTK!$G$1),CT!$B120,"")</f>
        <v/>
      </c>
      <c r="C123" s="65" t="str">
        <f>IF(OR(CT!D120=SCTTK!$G$1,CT!E120=SCTTK!$G$1),CT!$C120,"")</f>
        <v/>
      </c>
      <c r="D123" s="65" t="str">
        <f>IF(CT!D120=SCTTK!$G$1,CT!E120,IF(CT!E120=SCTTK!$G$1,CT!D120,""))</f>
        <v/>
      </c>
      <c r="E123" s="69">
        <f>IF(CT!D120=SCTTK!$G$1,CT!H120,0)</f>
        <v>0</v>
      </c>
      <c r="F123" s="69">
        <f>IF(CT!E120=SCTTK!$G$1,CT!H120,0)</f>
        <v>0</v>
      </c>
      <c r="G123" s="69">
        <f>IF(SUM(E123:F123)=0,0,MAX($G$6+SUM($E$8:E123)-$H$6-SUM($F$8:F123),0))</f>
        <v>0</v>
      </c>
      <c r="H123" s="69">
        <f>IF(SUM(E123:F123)=0,0,MAX($H$6+SUM($F$8:F123)-$G$6-SUM($E$8:E123),0))</f>
        <v>0</v>
      </c>
    </row>
    <row r="124" spans="1:8" hidden="1" x14ac:dyDescent="0.25">
      <c r="A124" s="84" t="str">
        <f>IF(OR(CT!D121=SCTTK!$G$1,CT!E121=SCTTK!$G$1),CT!$A121,"")</f>
        <v/>
      </c>
      <c r="B124" s="65" t="str">
        <f>IF(OR(CT!D121=SCTTK!$G$1,CT!E121=SCTTK!$G$1),CT!$B121,"")</f>
        <v/>
      </c>
      <c r="C124" s="65" t="str">
        <f>IF(OR(CT!D121=SCTTK!$G$1,CT!E121=SCTTK!$G$1),CT!$C121,"")</f>
        <v/>
      </c>
      <c r="D124" s="65" t="str">
        <f>IF(CT!D121=SCTTK!$G$1,CT!E121,IF(CT!E121=SCTTK!$G$1,CT!D121,""))</f>
        <v/>
      </c>
      <c r="E124" s="69">
        <f>IF(CT!D121=SCTTK!$G$1,CT!H121,0)</f>
        <v>0</v>
      </c>
      <c r="F124" s="69">
        <f>IF(CT!E121=SCTTK!$G$1,CT!H121,0)</f>
        <v>0</v>
      </c>
      <c r="G124" s="69">
        <f>IF(SUM(E124:F124)=0,0,MAX($G$6+SUM($E$8:E124)-$H$6-SUM($F$8:F124),0))</f>
        <v>0</v>
      </c>
      <c r="H124" s="69">
        <f>IF(SUM(E124:F124)=0,0,MAX($H$6+SUM($F$8:F124)-$G$6-SUM($E$8:E124),0))</f>
        <v>0</v>
      </c>
    </row>
    <row r="125" spans="1:8" hidden="1" x14ac:dyDescent="0.25">
      <c r="A125" s="84" t="str">
        <f>IF(OR(CT!D122=SCTTK!$G$1,CT!E122=SCTTK!$G$1),CT!$A122,"")</f>
        <v/>
      </c>
      <c r="B125" s="65" t="str">
        <f>IF(OR(CT!D122=SCTTK!$G$1,CT!E122=SCTTK!$G$1),CT!$B122,"")</f>
        <v/>
      </c>
      <c r="C125" s="65" t="str">
        <f>IF(OR(CT!D122=SCTTK!$G$1,CT!E122=SCTTK!$G$1),CT!$C122,"")</f>
        <v/>
      </c>
      <c r="D125" s="65" t="str">
        <f>IF(CT!D122=SCTTK!$G$1,CT!E122,IF(CT!E122=SCTTK!$G$1,CT!D122,""))</f>
        <v/>
      </c>
      <c r="E125" s="69">
        <f>IF(CT!D122=SCTTK!$G$1,CT!H122,0)</f>
        <v>0</v>
      </c>
      <c r="F125" s="69">
        <f>IF(CT!E122=SCTTK!$G$1,CT!H122,0)</f>
        <v>0</v>
      </c>
      <c r="G125" s="69">
        <f>IF(SUM(E125:F125)=0,0,MAX($G$6+SUM($E$8:E125)-$H$6-SUM($F$8:F125),0))</f>
        <v>0</v>
      </c>
      <c r="H125" s="69">
        <f>IF(SUM(E125:F125)=0,0,MAX($H$6+SUM($F$8:F125)-$G$6-SUM($E$8:E125),0))</f>
        <v>0</v>
      </c>
    </row>
    <row r="126" spans="1:8" hidden="1" x14ac:dyDescent="0.25">
      <c r="A126" s="84" t="str">
        <f>IF(OR(CT!D123=SCTTK!$G$1,CT!E123=SCTTK!$G$1),CT!$A123,"")</f>
        <v/>
      </c>
      <c r="B126" s="65" t="str">
        <f>IF(OR(CT!D123=SCTTK!$G$1,CT!E123=SCTTK!$G$1),CT!$B123,"")</f>
        <v/>
      </c>
      <c r="C126" s="65" t="str">
        <f>IF(OR(CT!D123=SCTTK!$G$1,CT!E123=SCTTK!$G$1),CT!$C123,"")</f>
        <v/>
      </c>
      <c r="D126" s="65" t="str">
        <f>IF(CT!D123=SCTTK!$G$1,CT!E123,IF(CT!E123=SCTTK!$G$1,CT!D123,""))</f>
        <v/>
      </c>
      <c r="E126" s="69">
        <f>IF(CT!D123=SCTTK!$G$1,CT!H123,0)</f>
        <v>0</v>
      </c>
      <c r="F126" s="69">
        <f>IF(CT!E123=SCTTK!$G$1,CT!H123,0)</f>
        <v>0</v>
      </c>
      <c r="G126" s="69">
        <f>IF(SUM(E126:F126)=0,0,MAX($G$6+SUM($E$8:E126)-$H$6-SUM($F$8:F126),0))</f>
        <v>0</v>
      </c>
      <c r="H126" s="69">
        <f>IF(SUM(E126:F126)=0,0,MAX($H$6+SUM($F$8:F126)-$G$6-SUM($E$8:E126),0))</f>
        <v>0</v>
      </c>
    </row>
    <row r="127" spans="1:8" hidden="1" x14ac:dyDescent="0.25">
      <c r="A127" s="84" t="str">
        <f>IF(OR(CT!D124=SCTTK!$G$1,CT!E124=SCTTK!$G$1),CT!$A124,"")</f>
        <v/>
      </c>
      <c r="B127" s="65" t="str">
        <f>IF(OR(CT!D124=SCTTK!$G$1,CT!E124=SCTTK!$G$1),CT!$B124,"")</f>
        <v/>
      </c>
      <c r="C127" s="65" t="str">
        <f>IF(OR(CT!D124=SCTTK!$G$1,CT!E124=SCTTK!$G$1),CT!$C124,"")</f>
        <v/>
      </c>
      <c r="D127" s="65" t="str">
        <f>IF(CT!D124=SCTTK!$G$1,CT!E124,IF(CT!E124=SCTTK!$G$1,CT!D124,""))</f>
        <v/>
      </c>
      <c r="E127" s="69">
        <f>IF(CT!D124=SCTTK!$G$1,CT!H124,0)</f>
        <v>0</v>
      </c>
      <c r="F127" s="69">
        <f>IF(CT!E124=SCTTK!$G$1,CT!H124,0)</f>
        <v>0</v>
      </c>
      <c r="G127" s="69">
        <f>IF(SUM(E127:F127)=0,0,MAX($G$6+SUM($E$8:E127)-$H$6-SUM($F$8:F127),0))</f>
        <v>0</v>
      </c>
      <c r="H127" s="69">
        <f>IF(SUM(E127:F127)=0,0,MAX($H$6+SUM($F$8:F127)-$G$6-SUM($E$8:E127),0))</f>
        <v>0</v>
      </c>
    </row>
    <row r="128" spans="1:8" hidden="1" x14ac:dyDescent="0.25">
      <c r="A128" s="84" t="str">
        <f>IF(OR(CT!D125=SCTTK!$G$1,CT!E125=SCTTK!$G$1),CT!$A125,"")</f>
        <v/>
      </c>
      <c r="B128" s="65" t="str">
        <f>IF(OR(CT!D125=SCTTK!$G$1,CT!E125=SCTTK!$G$1),CT!$B125,"")</f>
        <v/>
      </c>
      <c r="C128" s="65" t="str">
        <f>IF(OR(CT!D125=SCTTK!$G$1,CT!E125=SCTTK!$G$1),CT!$C125,"")</f>
        <v/>
      </c>
      <c r="D128" s="65" t="str">
        <f>IF(CT!D125=SCTTK!$G$1,CT!E125,IF(CT!E125=SCTTK!$G$1,CT!D125,""))</f>
        <v/>
      </c>
      <c r="E128" s="69">
        <f>IF(CT!D125=SCTTK!$G$1,CT!H125,0)</f>
        <v>0</v>
      </c>
      <c r="F128" s="69">
        <f>IF(CT!E125=SCTTK!$G$1,CT!H125,0)</f>
        <v>0</v>
      </c>
      <c r="G128" s="69">
        <f>IF(SUM(E128:F128)=0,0,MAX($G$6+SUM($E$8:E128)-$H$6-SUM($F$8:F128),0))</f>
        <v>0</v>
      </c>
      <c r="H128" s="69">
        <f>IF(SUM(E128:F128)=0,0,MAX($H$6+SUM($F$8:F128)-$G$6-SUM($E$8:E128),0))</f>
        <v>0</v>
      </c>
    </row>
    <row r="129" spans="1:8" hidden="1" x14ac:dyDescent="0.25">
      <c r="A129" s="84" t="str">
        <f>IF(OR(CT!D126=SCTTK!$G$1,CT!E126=SCTTK!$G$1),CT!$A126,"")</f>
        <v/>
      </c>
      <c r="B129" s="65" t="str">
        <f>IF(OR(CT!D126=SCTTK!$G$1,CT!E126=SCTTK!$G$1),CT!$B126,"")</f>
        <v/>
      </c>
      <c r="C129" s="65" t="str">
        <f>IF(OR(CT!D126=SCTTK!$G$1,CT!E126=SCTTK!$G$1),CT!$C126,"")</f>
        <v/>
      </c>
      <c r="D129" s="65" t="str">
        <f>IF(CT!D126=SCTTK!$G$1,CT!E126,IF(CT!E126=SCTTK!$G$1,CT!D126,""))</f>
        <v/>
      </c>
      <c r="E129" s="69">
        <f>IF(CT!D126=SCTTK!$G$1,CT!H126,0)</f>
        <v>0</v>
      </c>
      <c r="F129" s="69">
        <f>IF(CT!E126=SCTTK!$G$1,CT!H126,0)</f>
        <v>0</v>
      </c>
      <c r="G129" s="69">
        <f>IF(SUM(E129:F129)=0,0,MAX($G$6+SUM($E$8:E129)-$H$6-SUM($F$8:F129),0))</f>
        <v>0</v>
      </c>
      <c r="H129" s="69">
        <f>IF(SUM(E129:F129)=0,0,MAX($H$6+SUM($F$8:F129)-$G$6-SUM($E$8:E129),0))</f>
        <v>0</v>
      </c>
    </row>
    <row r="130" spans="1:8" hidden="1" x14ac:dyDescent="0.25">
      <c r="A130" s="84" t="str">
        <f>IF(OR(CT!D127=SCTTK!$G$1,CT!E127=SCTTK!$G$1),CT!$A127,"")</f>
        <v/>
      </c>
      <c r="B130" s="65" t="str">
        <f>IF(OR(CT!D127=SCTTK!$G$1,CT!E127=SCTTK!$G$1),CT!$B127,"")</f>
        <v/>
      </c>
      <c r="C130" s="65" t="str">
        <f>IF(OR(CT!D127=SCTTK!$G$1,CT!E127=SCTTK!$G$1),CT!$C127,"")</f>
        <v/>
      </c>
      <c r="D130" s="65" t="str">
        <f>IF(CT!D127=SCTTK!$G$1,CT!E127,IF(CT!E127=SCTTK!$G$1,CT!D127,""))</f>
        <v/>
      </c>
      <c r="E130" s="69">
        <f>IF(CT!D127=SCTTK!$G$1,CT!H127,0)</f>
        <v>0</v>
      </c>
      <c r="F130" s="69">
        <f>IF(CT!E127=SCTTK!$G$1,CT!H127,0)</f>
        <v>0</v>
      </c>
      <c r="G130" s="69">
        <f>IF(SUM(E130:F130)=0,0,MAX($G$6+SUM($E$8:E130)-$H$6-SUM($F$8:F130),0))</f>
        <v>0</v>
      </c>
      <c r="H130" s="69">
        <f>IF(SUM(E130:F130)=0,0,MAX($H$6+SUM($F$8:F130)-$G$6-SUM($E$8:E130),0))</f>
        <v>0</v>
      </c>
    </row>
    <row r="131" spans="1:8" hidden="1" x14ac:dyDescent="0.25">
      <c r="A131" s="84" t="str">
        <f>IF(OR(CT!D128=SCTTK!$G$1,CT!E128=SCTTK!$G$1),CT!$A128,"")</f>
        <v/>
      </c>
      <c r="B131" s="65" t="str">
        <f>IF(OR(CT!D128=SCTTK!$G$1,CT!E128=SCTTK!$G$1),CT!$B128,"")</f>
        <v/>
      </c>
      <c r="C131" s="65" t="str">
        <f>IF(OR(CT!D128=SCTTK!$G$1,CT!E128=SCTTK!$G$1),CT!$C128,"")</f>
        <v/>
      </c>
      <c r="D131" s="65" t="str">
        <f>IF(CT!D128=SCTTK!$G$1,CT!E128,IF(CT!E128=SCTTK!$G$1,CT!D128,""))</f>
        <v/>
      </c>
      <c r="E131" s="69">
        <f>IF(CT!D128=SCTTK!$G$1,CT!H128,0)</f>
        <v>0</v>
      </c>
      <c r="F131" s="69">
        <f>IF(CT!E128=SCTTK!$G$1,CT!H128,0)</f>
        <v>0</v>
      </c>
      <c r="G131" s="69">
        <f>IF(SUM(E131:F131)=0,0,MAX($G$6+SUM($E$8:E131)-$H$6-SUM($F$8:F131),0))</f>
        <v>0</v>
      </c>
      <c r="H131" s="69">
        <f>IF(SUM(E131:F131)=0,0,MAX($H$6+SUM($F$8:F131)-$G$6-SUM($E$8:E131),0))</f>
        <v>0</v>
      </c>
    </row>
    <row r="132" spans="1:8" hidden="1" x14ac:dyDescent="0.25">
      <c r="A132" s="84" t="str">
        <f>IF(OR(CT!D129=SCTTK!$G$1,CT!E129=SCTTK!$G$1),CT!$A129,"")</f>
        <v/>
      </c>
      <c r="B132" s="65" t="str">
        <f>IF(OR(CT!D129=SCTTK!$G$1,CT!E129=SCTTK!$G$1),CT!$B129,"")</f>
        <v/>
      </c>
      <c r="C132" s="65" t="str">
        <f>IF(OR(CT!D129=SCTTK!$G$1,CT!E129=SCTTK!$G$1),CT!$C129,"")</f>
        <v/>
      </c>
      <c r="D132" s="65" t="str">
        <f>IF(CT!D129=SCTTK!$G$1,CT!E129,IF(CT!E129=SCTTK!$G$1,CT!D129,""))</f>
        <v/>
      </c>
      <c r="E132" s="69">
        <f>IF(CT!D129=SCTTK!$G$1,CT!H129,0)</f>
        <v>0</v>
      </c>
      <c r="F132" s="69">
        <f>IF(CT!E129=SCTTK!$G$1,CT!H129,0)</f>
        <v>0</v>
      </c>
      <c r="G132" s="69">
        <f>IF(SUM(E132:F132)=0,0,MAX($G$6+SUM($E$8:E132)-$H$6-SUM($F$8:F132),0))</f>
        <v>0</v>
      </c>
      <c r="H132" s="69">
        <f>IF(SUM(E132:F132)=0,0,MAX($H$6+SUM($F$8:F132)-$G$6-SUM($E$8:E132),0))</f>
        <v>0</v>
      </c>
    </row>
    <row r="133" spans="1:8" hidden="1" x14ac:dyDescent="0.25">
      <c r="A133" s="84" t="str">
        <f>IF(OR(CT!D130=SCTTK!$G$1,CT!E130=SCTTK!$G$1),CT!$A130,"")</f>
        <v/>
      </c>
      <c r="B133" s="65" t="str">
        <f>IF(OR(CT!D130=SCTTK!$G$1,CT!E130=SCTTK!$G$1),CT!$B130,"")</f>
        <v/>
      </c>
      <c r="C133" s="65" t="str">
        <f>IF(OR(CT!D130=SCTTK!$G$1,CT!E130=SCTTK!$G$1),CT!$C130,"")</f>
        <v/>
      </c>
      <c r="D133" s="65" t="str">
        <f>IF(CT!D130=SCTTK!$G$1,CT!E130,IF(CT!E130=SCTTK!$G$1,CT!D130,""))</f>
        <v/>
      </c>
      <c r="E133" s="69">
        <f>IF(CT!D130=SCTTK!$G$1,CT!H130,0)</f>
        <v>0</v>
      </c>
      <c r="F133" s="69">
        <f>IF(CT!E130=SCTTK!$G$1,CT!H130,0)</f>
        <v>0</v>
      </c>
      <c r="G133" s="69">
        <f>IF(SUM(E133:F133)=0,0,MAX($G$6+SUM($E$8:E133)-$H$6-SUM($F$8:F133),0))</f>
        <v>0</v>
      </c>
      <c r="H133" s="69">
        <f>IF(SUM(E133:F133)=0,0,MAX($H$6+SUM($F$8:F133)-$G$6-SUM($E$8:E133),0))</f>
        <v>0</v>
      </c>
    </row>
    <row r="134" spans="1:8" hidden="1" x14ac:dyDescent="0.25">
      <c r="A134" s="84" t="str">
        <f>IF(OR(CT!D131=SCTTK!$G$1,CT!E131=SCTTK!$G$1),CT!$A131,"")</f>
        <v/>
      </c>
      <c r="B134" s="65" t="str">
        <f>IF(OR(CT!D131=SCTTK!$G$1,CT!E131=SCTTK!$G$1),CT!$B131,"")</f>
        <v/>
      </c>
      <c r="C134" s="65" t="str">
        <f>IF(OR(CT!D131=SCTTK!$G$1,CT!E131=SCTTK!$G$1),CT!$C131,"")</f>
        <v/>
      </c>
      <c r="D134" s="65" t="str">
        <f>IF(CT!D131=SCTTK!$G$1,CT!E131,IF(CT!E131=SCTTK!$G$1,CT!D131,""))</f>
        <v/>
      </c>
      <c r="E134" s="69">
        <f>IF(CT!D131=SCTTK!$G$1,CT!H131,0)</f>
        <v>0</v>
      </c>
      <c r="F134" s="69">
        <f>IF(CT!E131=SCTTK!$G$1,CT!H131,0)</f>
        <v>0</v>
      </c>
      <c r="G134" s="69">
        <f>IF(SUM(E134:F134)=0,0,MAX($G$6+SUM($E$8:E134)-$H$6-SUM($F$8:F134),0))</f>
        <v>0</v>
      </c>
      <c r="H134" s="69">
        <f>IF(SUM(E134:F134)=0,0,MAX($H$6+SUM($F$8:F134)-$G$6-SUM($E$8:E134),0))</f>
        <v>0</v>
      </c>
    </row>
    <row r="135" spans="1:8" hidden="1" x14ac:dyDescent="0.25">
      <c r="A135" s="84" t="str">
        <f>IF(OR(CT!D132=SCTTK!$G$1,CT!E132=SCTTK!$G$1),CT!$A132,"")</f>
        <v/>
      </c>
      <c r="B135" s="65" t="str">
        <f>IF(OR(CT!D132=SCTTK!$G$1,CT!E132=SCTTK!$G$1),CT!$B132,"")</f>
        <v/>
      </c>
      <c r="C135" s="65" t="str">
        <f>IF(OR(CT!D132=SCTTK!$G$1,CT!E132=SCTTK!$G$1),CT!$C132,"")</f>
        <v/>
      </c>
      <c r="D135" s="65" t="str">
        <f>IF(CT!D132=SCTTK!$G$1,CT!E132,IF(CT!E132=SCTTK!$G$1,CT!D132,""))</f>
        <v/>
      </c>
      <c r="E135" s="69">
        <f>IF(CT!D132=SCTTK!$G$1,CT!H132,0)</f>
        <v>0</v>
      </c>
      <c r="F135" s="69">
        <f>IF(CT!E132=SCTTK!$G$1,CT!H132,0)</f>
        <v>0</v>
      </c>
      <c r="G135" s="69">
        <f>IF(SUM(E135:F135)=0,0,MAX($G$6+SUM($E$8:E135)-$H$6-SUM($F$8:F135),0))</f>
        <v>0</v>
      </c>
      <c r="H135" s="69">
        <f>IF(SUM(E135:F135)=0,0,MAX($H$6+SUM($F$8:F135)-$G$6-SUM($E$8:E135),0))</f>
        <v>0</v>
      </c>
    </row>
    <row r="136" spans="1:8" hidden="1" x14ac:dyDescent="0.25">
      <c r="A136" s="84" t="str">
        <f>IF(OR(CT!D133=SCTTK!$G$1,CT!E133=SCTTK!$G$1),CT!$A133,"")</f>
        <v/>
      </c>
      <c r="B136" s="65" t="str">
        <f>IF(OR(CT!D133=SCTTK!$G$1,CT!E133=SCTTK!$G$1),CT!$B133,"")</f>
        <v/>
      </c>
      <c r="C136" s="65" t="str">
        <f>IF(OR(CT!D133=SCTTK!$G$1,CT!E133=SCTTK!$G$1),CT!$C133,"")</f>
        <v/>
      </c>
      <c r="D136" s="65" t="str">
        <f>IF(CT!D133=SCTTK!$G$1,CT!E133,IF(CT!E133=SCTTK!$G$1,CT!D133,""))</f>
        <v/>
      </c>
      <c r="E136" s="69">
        <f>IF(CT!D133=SCTTK!$G$1,CT!H133,0)</f>
        <v>0</v>
      </c>
      <c r="F136" s="69">
        <f>IF(CT!E133=SCTTK!$G$1,CT!H133,0)</f>
        <v>0</v>
      </c>
      <c r="G136" s="69">
        <f>IF(SUM(E136:F136)=0,0,MAX($G$6+SUM($E$8:E136)-$H$6-SUM($F$8:F136),0))</f>
        <v>0</v>
      </c>
      <c r="H136" s="69">
        <f>IF(SUM(E136:F136)=0,0,MAX($H$6+SUM($F$8:F136)-$G$6-SUM($E$8:E136),0))</f>
        <v>0</v>
      </c>
    </row>
    <row r="137" spans="1:8" hidden="1" x14ac:dyDescent="0.25">
      <c r="A137" s="84" t="str">
        <f>IF(OR(CT!D134=SCTTK!$G$1,CT!E134=SCTTK!$G$1),CT!$A134,"")</f>
        <v/>
      </c>
      <c r="B137" s="65" t="str">
        <f>IF(OR(CT!D134=SCTTK!$G$1,CT!E134=SCTTK!$G$1),CT!$B134,"")</f>
        <v/>
      </c>
      <c r="C137" s="65" t="str">
        <f>IF(OR(CT!D134=SCTTK!$G$1,CT!E134=SCTTK!$G$1),CT!$C134,"")</f>
        <v/>
      </c>
      <c r="D137" s="65" t="str">
        <f>IF(CT!D134=SCTTK!$G$1,CT!E134,IF(CT!E134=SCTTK!$G$1,CT!D134,""))</f>
        <v/>
      </c>
      <c r="E137" s="69">
        <f>IF(CT!D134=SCTTK!$G$1,CT!H134,0)</f>
        <v>0</v>
      </c>
      <c r="F137" s="69">
        <f>IF(CT!E134=SCTTK!$G$1,CT!H134,0)</f>
        <v>0</v>
      </c>
      <c r="G137" s="69">
        <f>IF(SUM(E137:F137)=0,0,MAX($G$6+SUM($E$8:E137)-$H$6-SUM($F$8:F137),0))</f>
        <v>0</v>
      </c>
      <c r="H137" s="69">
        <f>IF(SUM(E137:F137)=0,0,MAX($H$6+SUM($F$8:F137)-$G$6-SUM($E$8:E137),0))</f>
        <v>0</v>
      </c>
    </row>
    <row r="138" spans="1:8" hidden="1" x14ac:dyDescent="0.25">
      <c r="A138" s="84" t="str">
        <f>IF(OR(CT!D135=SCTTK!$G$1,CT!E135=SCTTK!$G$1),CT!$A135,"")</f>
        <v/>
      </c>
      <c r="B138" s="65" t="str">
        <f>IF(OR(CT!D135=SCTTK!$G$1,CT!E135=SCTTK!$G$1),CT!$B135,"")</f>
        <v/>
      </c>
      <c r="C138" s="65" t="str">
        <f>IF(OR(CT!D135=SCTTK!$G$1,CT!E135=SCTTK!$G$1),CT!$C135,"")</f>
        <v/>
      </c>
      <c r="D138" s="65" t="str">
        <f>IF(CT!D135=SCTTK!$G$1,CT!E135,IF(CT!E135=SCTTK!$G$1,CT!D135,""))</f>
        <v/>
      </c>
      <c r="E138" s="69">
        <f>IF(CT!D135=SCTTK!$G$1,CT!H135,0)</f>
        <v>0</v>
      </c>
      <c r="F138" s="69">
        <f>IF(CT!E135=SCTTK!$G$1,CT!H135,0)</f>
        <v>0</v>
      </c>
      <c r="G138" s="69">
        <f>IF(SUM(E138:F138)=0,0,MAX($G$6+SUM($E$8:E138)-$H$6-SUM($F$8:F138),0))</f>
        <v>0</v>
      </c>
      <c r="H138" s="69">
        <f>IF(SUM(E138:F138)=0,0,MAX($H$6+SUM($F$8:F138)-$G$6-SUM($E$8:E138),0))</f>
        <v>0</v>
      </c>
    </row>
    <row r="139" spans="1:8" hidden="1" x14ac:dyDescent="0.25">
      <c r="A139" s="84" t="str">
        <f>IF(OR(CT!D136=SCTTK!$G$1,CT!E136=SCTTK!$G$1),CT!$A136,"")</f>
        <v/>
      </c>
      <c r="B139" s="65" t="str">
        <f>IF(OR(CT!D136=SCTTK!$G$1,CT!E136=SCTTK!$G$1),CT!$B136,"")</f>
        <v/>
      </c>
      <c r="C139" s="65" t="str">
        <f>IF(OR(CT!D136=SCTTK!$G$1,CT!E136=SCTTK!$G$1),CT!$C136,"")</f>
        <v/>
      </c>
      <c r="D139" s="65" t="str">
        <f>IF(CT!D136=SCTTK!$G$1,CT!E136,IF(CT!E136=SCTTK!$G$1,CT!D136,""))</f>
        <v/>
      </c>
      <c r="E139" s="69">
        <f>IF(CT!D136=SCTTK!$G$1,CT!H136,0)</f>
        <v>0</v>
      </c>
      <c r="F139" s="69">
        <f>IF(CT!E136=SCTTK!$G$1,CT!H136,0)</f>
        <v>0</v>
      </c>
      <c r="G139" s="69">
        <f>IF(SUM(E139:F139)=0,0,MAX($G$6+SUM($E$8:E139)-$H$6-SUM($F$8:F139),0))</f>
        <v>0</v>
      </c>
      <c r="H139" s="69">
        <f>IF(SUM(E139:F139)=0,0,MAX($H$6+SUM($F$8:F139)-$G$6-SUM($E$8:E139),0))</f>
        <v>0</v>
      </c>
    </row>
    <row r="140" spans="1:8" hidden="1" x14ac:dyDescent="0.25">
      <c r="A140" s="84" t="str">
        <f>IF(OR(CT!D137=SCTTK!$G$1,CT!E137=SCTTK!$G$1),CT!$A137,"")</f>
        <v/>
      </c>
      <c r="B140" s="65" t="str">
        <f>IF(OR(CT!D137=SCTTK!$G$1,CT!E137=SCTTK!$G$1),CT!$B137,"")</f>
        <v/>
      </c>
      <c r="C140" s="65" t="str">
        <f>IF(OR(CT!D137=SCTTK!$G$1,CT!E137=SCTTK!$G$1),CT!$C137,"")</f>
        <v/>
      </c>
      <c r="D140" s="65" t="str">
        <f>IF(CT!D137=SCTTK!$G$1,CT!E137,IF(CT!E137=SCTTK!$G$1,CT!D137,""))</f>
        <v/>
      </c>
      <c r="E140" s="69">
        <f>IF(CT!D137=SCTTK!$G$1,CT!H137,0)</f>
        <v>0</v>
      </c>
      <c r="F140" s="69">
        <f>IF(CT!E137=SCTTK!$G$1,CT!H137,0)</f>
        <v>0</v>
      </c>
      <c r="G140" s="69">
        <f>IF(SUM(E140:F140)=0,0,MAX($G$6+SUM($E$8:E140)-$H$6-SUM($F$8:F140),0))</f>
        <v>0</v>
      </c>
      <c r="H140" s="69">
        <f>IF(SUM(E140:F140)=0,0,MAX($H$6+SUM($F$8:F140)-$G$6-SUM($E$8:E140),0))</f>
        <v>0</v>
      </c>
    </row>
    <row r="141" spans="1:8" hidden="1" x14ac:dyDescent="0.25">
      <c r="A141" s="84" t="str">
        <f>IF(OR(CT!D138=SCTTK!$G$1,CT!E138=SCTTK!$G$1),CT!$A138,"")</f>
        <v/>
      </c>
      <c r="B141" s="65" t="str">
        <f>IF(OR(CT!D138=SCTTK!$G$1,CT!E138=SCTTK!$G$1),CT!$B138,"")</f>
        <v/>
      </c>
      <c r="C141" s="65" t="str">
        <f>IF(OR(CT!D138=SCTTK!$G$1,CT!E138=SCTTK!$G$1),CT!$C138,"")</f>
        <v/>
      </c>
      <c r="D141" s="65" t="str">
        <f>IF(CT!D138=SCTTK!$G$1,CT!E138,IF(CT!E138=SCTTK!$G$1,CT!D138,""))</f>
        <v/>
      </c>
      <c r="E141" s="69">
        <f>IF(CT!D138=SCTTK!$G$1,CT!H138,0)</f>
        <v>0</v>
      </c>
      <c r="F141" s="69">
        <f>IF(CT!E138=SCTTK!$G$1,CT!H138,0)</f>
        <v>0</v>
      </c>
      <c r="G141" s="69">
        <f>IF(SUM(E141:F141)=0,0,MAX($G$6+SUM($E$8:E141)-$H$6-SUM($F$8:F141),0))</f>
        <v>0</v>
      </c>
      <c r="H141" s="69">
        <f>IF(SUM(E141:F141)=0,0,MAX($H$6+SUM($F$8:F141)-$G$6-SUM($E$8:E141),0))</f>
        <v>0</v>
      </c>
    </row>
    <row r="142" spans="1:8" hidden="1" x14ac:dyDescent="0.25">
      <c r="A142" s="84" t="str">
        <f>IF(OR(CT!D139=SCTTK!$G$1,CT!E139=SCTTK!$G$1),CT!$A139,"")</f>
        <v/>
      </c>
      <c r="B142" s="65" t="str">
        <f>IF(OR(CT!D139=SCTTK!$G$1,CT!E139=SCTTK!$G$1),CT!$B139,"")</f>
        <v/>
      </c>
      <c r="C142" s="65" t="str">
        <f>IF(OR(CT!D139=SCTTK!$G$1,CT!E139=SCTTK!$G$1),CT!$C139,"")</f>
        <v/>
      </c>
      <c r="D142" s="65" t="str">
        <f>IF(CT!D139=SCTTK!$G$1,CT!E139,IF(CT!E139=SCTTK!$G$1,CT!D139,""))</f>
        <v/>
      </c>
      <c r="E142" s="69">
        <f>IF(CT!D139=SCTTK!$G$1,CT!H139,0)</f>
        <v>0</v>
      </c>
      <c r="F142" s="69">
        <f>IF(CT!E139=SCTTK!$G$1,CT!H139,0)</f>
        <v>0</v>
      </c>
      <c r="G142" s="69">
        <f>IF(SUM(E142:F142)=0,0,MAX($G$6+SUM($E$8:E142)-$H$6-SUM($F$8:F142),0))</f>
        <v>0</v>
      </c>
      <c r="H142" s="69">
        <f>IF(SUM(E142:F142)=0,0,MAX($H$6+SUM($F$8:F142)-$G$6-SUM($E$8:E142),0))</f>
        <v>0</v>
      </c>
    </row>
    <row r="143" spans="1:8" hidden="1" x14ac:dyDescent="0.25">
      <c r="A143" s="84" t="str">
        <f>IF(OR(CT!D140=SCTTK!$G$1,CT!E140=SCTTK!$G$1),CT!$A140,"")</f>
        <v/>
      </c>
      <c r="B143" s="65" t="str">
        <f>IF(OR(CT!D140=SCTTK!$G$1,CT!E140=SCTTK!$G$1),CT!$B140,"")</f>
        <v/>
      </c>
      <c r="C143" s="65" t="str">
        <f>IF(OR(CT!D140=SCTTK!$G$1,CT!E140=SCTTK!$G$1),CT!$C140,"")</f>
        <v/>
      </c>
      <c r="D143" s="65" t="str">
        <f>IF(CT!D140=SCTTK!$G$1,CT!E140,IF(CT!E140=SCTTK!$G$1,CT!D140,""))</f>
        <v/>
      </c>
      <c r="E143" s="69">
        <f>IF(CT!D140=SCTTK!$G$1,CT!H140,0)</f>
        <v>0</v>
      </c>
      <c r="F143" s="69">
        <f>IF(CT!E140=SCTTK!$G$1,CT!H140,0)</f>
        <v>0</v>
      </c>
      <c r="G143" s="69">
        <f>IF(SUM(E143:F143)=0,0,MAX($G$6+SUM($E$8:E143)-$H$6-SUM($F$8:F143),0))</f>
        <v>0</v>
      </c>
      <c r="H143" s="69">
        <f>IF(SUM(E143:F143)=0,0,MAX($H$6+SUM($F$8:F143)-$G$6-SUM($E$8:E143),0))</f>
        <v>0</v>
      </c>
    </row>
    <row r="144" spans="1:8" hidden="1" x14ac:dyDescent="0.25">
      <c r="A144" s="84" t="str">
        <f>IF(OR(CT!D141=SCTTK!$G$1,CT!E141=SCTTK!$G$1),CT!$A141,"")</f>
        <v/>
      </c>
      <c r="B144" s="65" t="str">
        <f>IF(OR(CT!D141=SCTTK!$G$1,CT!E141=SCTTK!$G$1),CT!$B141,"")</f>
        <v/>
      </c>
      <c r="C144" s="65" t="str">
        <f>IF(OR(CT!D141=SCTTK!$G$1,CT!E141=SCTTK!$G$1),CT!$C141,"")</f>
        <v/>
      </c>
      <c r="D144" s="65" t="str">
        <f>IF(CT!D141=SCTTK!$G$1,CT!E141,IF(CT!E141=SCTTK!$G$1,CT!D141,""))</f>
        <v/>
      </c>
      <c r="E144" s="69">
        <f>IF(CT!D141=SCTTK!$G$1,CT!H141,0)</f>
        <v>0</v>
      </c>
      <c r="F144" s="69">
        <f>IF(CT!E141=SCTTK!$G$1,CT!H141,0)</f>
        <v>0</v>
      </c>
      <c r="G144" s="69">
        <f>IF(SUM(E144:F144)=0,0,MAX($G$6+SUM($E$8:E144)-$H$6-SUM($F$8:F144),0))</f>
        <v>0</v>
      </c>
      <c r="H144" s="69">
        <f>IF(SUM(E144:F144)=0,0,MAX($H$6+SUM($F$8:F144)-$G$6-SUM($E$8:E144),0))</f>
        <v>0</v>
      </c>
    </row>
    <row r="145" spans="1:8" hidden="1" x14ac:dyDescent="0.25">
      <c r="A145" s="84" t="str">
        <f>IF(OR(CT!D142=SCTTK!$G$1,CT!E142=SCTTK!$G$1),CT!$A142,"")</f>
        <v/>
      </c>
      <c r="B145" s="65" t="str">
        <f>IF(OR(CT!D142=SCTTK!$G$1,CT!E142=SCTTK!$G$1),CT!$B142,"")</f>
        <v/>
      </c>
      <c r="C145" s="65" t="str">
        <f>IF(OR(CT!D142=SCTTK!$G$1,CT!E142=SCTTK!$G$1),CT!$C142,"")</f>
        <v/>
      </c>
      <c r="D145" s="65" t="str">
        <f>IF(CT!D142=SCTTK!$G$1,CT!E142,IF(CT!E142=SCTTK!$G$1,CT!D142,""))</f>
        <v/>
      </c>
      <c r="E145" s="69">
        <f>IF(CT!D142=SCTTK!$G$1,CT!H142,0)</f>
        <v>0</v>
      </c>
      <c r="F145" s="69">
        <f>IF(CT!E142=SCTTK!$G$1,CT!H142,0)</f>
        <v>0</v>
      </c>
      <c r="G145" s="69">
        <f>IF(SUM(E145:F145)=0,0,MAX($G$6+SUM($E$8:E145)-$H$6-SUM($F$8:F145),0))</f>
        <v>0</v>
      </c>
      <c r="H145" s="69">
        <f>IF(SUM(E145:F145)=0,0,MAX($H$6+SUM($F$8:F145)-$G$6-SUM($E$8:E145),0))</f>
        <v>0</v>
      </c>
    </row>
    <row r="146" spans="1:8" hidden="1" x14ac:dyDescent="0.25">
      <c r="A146" s="135" t="str">
        <f>IF(OR(CT!D143=SCTTK!$G$1,CT!E143=SCTTK!$G$1),CT!$A143,"")</f>
        <v/>
      </c>
      <c r="B146" s="136" t="str">
        <f>IF(OR(CT!D143=SCTTK!$G$1,CT!E143=SCTTK!$G$1),CT!$B143,"")</f>
        <v/>
      </c>
      <c r="C146" s="136" t="str">
        <f>IF(OR(CT!D143=SCTTK!$G$1,CT!E143=SCTTK!$G$1),CT!$C143,"")</f>
        <v/>
      </c>
      <c r="D146" s="136" t="str">
        <f>IF(CT!D143=SCTTK!$G$1,CT!E143,IF(CT!E143=SCTTK!$G$1,CT!D143,""))</f>
        <v/>
      </c>
      <c r="E146" s="137">
        <f>IF(CT!D143=SCTTK!$G$1,CT!H143,0)</f>
        <v>0</v>
      </c>
      <c r="F146" s="137">
        <f>IF(CT!E143=SCTTK!$G$1,CT!H143,0)</f>
        <v>0</v>
      </c>
      <c r="G146" s="137">
        <f>IF(SUM(E146:F146)=0,0,MAX($G$6+SUM($E$8:E146)-$H$6-SUM($F$8:F146),0))</f>
        <v>0</v>
      </c>
      <c r="H146" s="137">
        <f>IF(SUM(E146:F146)=0,0,MAX($H$6+SUM($F$8:F146)-$G$6-SUM($E$8:E146),0))</f>
        <v>0</v>
      </c>
    </row>
    <row r="147" spans="1:8" ht="16.8" x14ac:dyDescent="0.3">
      <c r="C147" s="87" t="s">
        <v>864</v>
      </c>
      <c r="E147" s="81">
        <f>SUM(E8:E146)</f>
        <v>25200000</v>
      </c>
      <c r="F147" s="81">
        <f>SUM(F8:F146)</f>
        <v>404100000</v>
      </c>
      <c r="G147" s="72"/>
    </row>
    <row r="148" spans="1:8" ht="16.8" x14ac:dyDescent="0.3">
      <c r="C148" s="87" t="s">
        <v>865</v>
      </c>
      <c r="E148" s="72"/>
      <c r="F148" s="72"/>
      <c r="G148" s="81">
        <f>MAX(G6-H6+E147-F147,0)</f>
        <v>21100000</v>
      </c>
      <c r="H148" s="81">
        <f>MAX(H6-G6+F147-E147,0)</f>
        <v>0</v>
      </c>
    </row>
    <row r="157" spans="1:8" x14ac:dyDescent="0.25">
      <c r="H157" s="72"/>
    </row>
  </sheetData>
  <autoFilter ref="C7:C148" xr:uid="{0CB71A15-6D24-4DD2-AFDE-3121D3A264D9}">
    <filterColumn colId="0">
      <customFilters>
        <customFilter operator="notEqual" val=" "/>
      </customFilters>
    </filterColumn>
  </autoFilter>
  <mergeCells count="8">
    <mergeCell ref="A1:F1"/>
    <mergeCell ref="A4:B4"/>
    <mergeCell ref="E4:F4"/>
    <mergeCell ref="G4:H4"/>
    <mergeCell ref="A5:A6"/>
    <mergeCell ref="B5:B6"/>
    <mergeCell ref="C4:C6"/>
    <mergeCell ref="D4:D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DB3287-5219-40A9-BB95-07486BEAD4C7}">
          <x14:formula1>
            <xm:f>DMTK!$B$5:$B$263</xm:f>
          </x14:formula1>
          <xm:sqref>G1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40A8-8670-4B01-A15C-67229197F451}">
  <sheetPr filterMode="1">
    <tabColor rgb="FFFFC000"/>
  </sheetPr>
  <dimension ref="A1:H148"/>
  <sheetViews>
    <sheetView workbookViewId="0">
      <selection activeCell="C156" sqref="C156"/>
    </sheetView>
  </sheetViews>
  <sheetFormatPr defaultColWidth="9.33203125" defaultRowHeight="15.6" x14ac:dyDescent="0.3"/>
  <cols>
    <col min="1" max="1" width="13.33203125" style="3" bestFit="1" customWidth="1"/>
    <col min="2" max="2" width="10" style="3" customWidth="1"/>
    <col min="3" max="3" width="9.33203125" style="3"/>
    <col min="4" max="4" width="36.109375" style="3" customWidth="1"/>
    <col min="5" max="5" width="26.44140625" style="3" customWidth="1"/>
    <col min="6" max="6" width="14" style="3" customWidth="1"/>
    <col min="7" max="7" width="17.109375" style="3" customWidth="1"/>
    <col min="8" max="8" width="16" style="3" customWidth="1"/>
    <col min="9" max="16384" width="9.33203125" style="3"/>
  </cols>
  <sheetData>
    <row r="1" spans="1:8" ht="20.399999999999999" x14ac:dyDescent="0.35">
      <c r="A1" s="155" t="s">
        <v>874</v>
      </c>
      <c r="B1" s="155"/>
      <c r="C1" s="155"/>
      <c r="D1" s="155"/>
      <c r="E1" s="155"/>
      <c r="F1" s="155"/>
      <c r="G1" s="155"/>
      <c r="H1" s="155"/>
    </row>
    <row r="2" spans="1:8" x14ac:dyDescent="0.3">
      <c r="D2" s="3" t="s">
        <v>840</v>
      </c>
      <c r="E2" s="11" t="s">
        <v>723</v>
      </c>
    </row>
    <row r="4" spans="1:8" x14ac:dyDescent="0.3">
      <c r="A4" s="165" t="s">
        <v>832</v>
      </c>
      <c r="B4" s="165" t="s">
        <v>828</v>
      </c>
      <c r="C4" s="165"/>
      <c r="D4" s="165" t="s">
        <v>829</v>
      </c>
      <c r="E4" s="165" t="s">
        <v>862</v>
      </c>
      <c r="F4" s="165" t="s">
        <v>835</v>
      </c>
      <c r="G4" s="165"/>
      <c r="H4" s="165"/>
    </row>
    <row r="5" spans="1:8" x14ac:dyDescent="0.3">
      <c r="A5" s="165"/>
      <c r="B5" s="76" t="s">
        <v>875</v>
      </c>
      <c r="C5" s="76" t="s">
        <v>876</v>
      </c>
      <c r="D5" s="165"/>
      <c r="E5" s="165"/>
      <c r="F5" s="76" t="s">
        <v>875</v>
      </c>
      <c r="G5" s="76" t="s">
        <v>876</v>
      </c>
      <c r="H5" s="76" t="s">
        <v>877</v>
      </c>
    </row>
    <row r="6" spans="1:8" x14ac:dyDescent="0.3">
      <c r="A6" s="23"/>
      <c r="B6" s="23"/>
      <c r="C6" s="23"/>
      <c r="D6" s="76" t="s">
        <v>878</v>
      </c>
      <c r="E6" s="23"/>
      <c r="F6" s="78"/>
      <c r="G6" s="78"/>
      <c r="H6" s="105">
        <f>SUMIFS(DMTK!$F$5:$F$263, DMTK!$B$5:$B$263,'SQTM '!E2&amp;"*")</f>
        <v>400000000</v>
      </c>
    </row>
    <row r="7" spans="1:8" x14ac:dyDescent="0.3">
      <c r="A7" s="147">
        <v>1</v>
      </c>
      <c r="B7" s="147">
        <v>2</v>
      </c>
      <c r="C7" s="147">
        <v>3</v>
      </c>
      <c r="D7" s="147">
        <v>4</v>
      </c>
      <c r="E7" s="147">
        <v>5</v>
      </c>
      <c r="F7" s="147">
        <v>6</v>
      </c>
      <c r="G7" s="147">
        <v>7</v>
      </c>
      <c r="H7" s="147">
        <v>8</v>
      </c>
    </row>
    <row r="8" spans="1:8" x14ac:dyDescent="0.3">
      <c r="A8" s="63">
        <f>IF(OR(LEFT(CT!D5,3)='SQTM '!$E$2,LEFT(CT!E5,3)='SQTM '!$E$2),CT!A5,"")</f>
        <v>45293</v>
      </c>
      <c r="B8" s="23" t="str">
        <f>IF(LEFT(CT!D5,3)='SQTM '!$E$2,CT!B5,"")</f>
        <v>01/PT</v>
      </c>
      <c r="C8" s="23" t="str">
        <f>IF(LEFT(CT!E5,3)='SQTM '!$E$2,CT!B5,"")</f>
        <v/>
      </c>
      <c r="D8" s="23" t="str">
        <f>IF(OR(LEFT(CT!D5,3)='SQTM '!$E$2,LEFT(CT!E5,3)='SQTM '!$E$2),CT!C5,"")</f>
        <v>Thu nợ lô hàng 200</v>
      </c>
      <c r="E8" s="23" t="str">
        <f>IF(LEFT(CT!D5,3)='SQTM '!$E$2,LEFT(CT!E5,3),IF(LEFT(CT!E5,3)='SQTM '!$E$2,LEFT(CT!D5,3),""))</f>
        <v>131</v>
      </c>
      <c r="F8" s="78">
        <f>IF(LEFT(CT!D5,3)='SQTM '!$E$2,CT!H5,0)</f>
        <v>5000000</v>
      </c>
      <c r="G8" s="78">
        <f>IF(LEFT(CT!E5,3)='SQTM '!$E$2,CT!H5,0)</f>
        <v>0</v>
      </c>
      <c r="H8" s="78">
        <f>IF(SUM(F8:G8)=0,0,$H$6+SUM($F$8:F8)-SUM($G$8:G8))</f>
        <v>405000000</v>
      </c>
    </row>
    <row r="9" spans="1:8" x14ac:dyDescent="0.3">
      <c r="A9" s="63">
        <f>IF(OR(LEFT(CT!D6,3)='SQTM '!$E$2,LEFT(CT!E6,3)='SQTM '!$E$2),CT!A6,"")</f>
        <v>45293</v>
      </c>
      <c r="B9" s="23" t="str">
        <f>IF(LEFT(CT!D6,3)='SQTM '!$E$2,CT!B6,"")</f>
        <v>02/PT</v>
      </c>
      <c r="C9" s="23" t="str">
        <f>IF(LEFT(CT!E6,3)='SQTM '!$E$2,CT!B6,"")</f>
        <v/>
      </c>
      <c r="D9" s="23" t="str">
        <f>IF(OR(LEFT(CT!D6,3)='SQTM '!$E$2,LEFT(CT!E6,3)='SQTM '!$E$2),CT!C6,"")</f>
        <v>Thu nợ lô hàng 212</v>
      </c>
      <c r="E9" s="23" t="str">
        <f>IF(LEFT(CT!D6,3)='SQTM '!$E$2,LEFT(CT!E6,3),IF(LEFT(CT!E6,3)='SQTM '!$E$2,LEFT(CT!D6,3),""))</f>
        <v>131</v>
      </c>
      <c r="F9" s="78">
        <f>IF(LEFT(CT!D6,3)='SQTM '!$E$2,CT!H6,0)</f>
        <v>20000000</v>
      </c>
      <c r="G9" s="78">
        <f>IF(LEFT(CT!E6,3)='SQTM '!$E$2,CT!H6,0)</f>
        <v>0</v>
      </c>
      <c r="H9" s="78">
        <f>IF(SUM(F9:G9)=0,0,$H$6+SUM($F$8:F9)-SUM($G$8:G9))</f>
        <v>425000000</v>
      </c>
    </row>
    <row r="10" spans="1:8" x14ac:dyDescent="0.3">
      <c r="A10" s="63">
        <f>IF(OR(LEFT(CT!D7,3)='SQTM '!$E$2,LEFT(CT!E7,3)='SQTM '!$E$2),CT!A7,"")</f>
        <v>45295</v>
      </c>
      <c r="B10" s="23" t="str">
        <f>IF(LEFT(CT!D7,3)='SQTM '!$E$2,CT!B7,"")</f>
        <v/>
      </c>
      <c r="C10" s="23" t="str">
        <f>IF(LEFT(CT!E7,3)='SQTM '!$E$2,CT!B7,"")</f>
        <v>01/PC</v>
      </c>
      <c r="D10" s="23" t="str">
        <f>IF(OR(LEFT(CT!D7,3)='SQTM '!$E$2,LEFT(CT!E7,3)='SQTM '!$E$2),CT!C7,"")</f>
        <v>Chi tạm ứng cho Hồ Sĩ Nhật</v>
      </c>
      <c r="E10" s="23" t="str">
        <f>IF(LEFT(CT!D7,3)='SQTM '!$E$2,LEFT(CT!E7,3),IF(LEFT(CT!E7,3)='SQTM '!$E$2,LEFT(CT!D7,3),""))</f>
        <v>141</v>
      </c>
      <c r="F10" s="78">
        <f>IF(LEFT(CT!D7,3)='SQTM '!$E$2,CT!H7,0)</f>
        <v>0</v>
      </c>
      <c r="G10" s="78">
        <f>IF(LEFT(CT!E7,3)='SQTM '!$E$2,CT!H7,0)</f>
        <v>2000000</v>
      </c>
      <c r="H10" s="78">
        <f>IF(SUM(F10:G10)=0,0,$H$6+SUM($F$8:F10)-SUM($G$8:G10))</f>
        <v>423000000</v>
      </c>
    </row>
    <row r="11" spans="1:8" hidden="1" x14ac:dyDescent="0.3">
      <c r="A11" s="63" t="str">
        <f>IF(OR(LEFT(CT!D8,3)='SQTM '!$E$2,LEFT(CT!E8,3)='SQTM '!$E$2),CT!A8,"")</f>
        <v/>
      </c>
      <c r="B11" s="23" t="str">
        <f>IF(LEFT(CT!D8,3)='SQTM '!$E$2,CT!B8,"")</f>
        <v/>
      </c>
      <c r="C11" s="23" t="str">
        <f>IF(LEFT(CT!E8,3)='SQTM '!$E$2,CT!B8,"")</f>
        <v/>
      </c>
      <c r="D11" s="23" t="str">
        <f>IF(OR(LEFT(CT!D8,3)='SQTM '!$E$2,LEFT(CT!E8,3)='SQTM '!$E$2),CT!C8,"")</f>
        <v/>
      </c>
      <c r="E11" s="23" t="str">
        <f>IF(LEFT(CT!D8,3)='SQTM '!$E$2,LEFT(CT!E8,3),IF(LEFT(CT!E8,3)='SQTM '!$E$2,LEFT(CT!D8,3),""))</f>
        <v/>
      </c>
      <c r="F11" s="78">
        <f>IF(LEFT(CT!D8,3)='SQTM '!$E$2,CT!H8,0)</f>
        <v>0</v>
      </c>
      <c r="G11" s="78">
        <f>IF(LEFT(CT!E8,3)='SQTM '!$E$2,CT!H8,0)</f>
        <v>0</v>
      </c>
      <c r="H11" s="78">
        <f>IF(SUM(F11:G11)=0,0,$H$6+SUM($F$8:F11)-SUM($G$8:G11))</f>
        <v>0</v>
      </c>
    </row>
    <row r="12" spans="1:8" hidden="1" x14ac:dyDescent="0.3">
      <c r="A12" s="63" t="str">
        <f>IF(OR(LEFT(CT!D9,3)='SQTM '!$E$2,LEFT(CT!E9,3)='SQTM '!$E$2),CT!A9,"")</f>
        <v/>
      </c>
      <c r="B12" s="23" t="str">
        <f>IF(LEFT(CT!D9,3)='SQTM '!$E$2,CT!B9,"")</f>
        <v/>
      </c>
      <c r="C12" s="23" t="str">
        <f>IF(LEFT(CT!E9,3)='SQTM '!$E$2,CT!B9,"")</f>
        <v/>
      </c>
      <c r="D12" s="23" t="str">
        <f>IF(OR(LEFT(CT!D9,3)='SQTM '!$E$2,LEFT(CT!E9,3)='SQTM '!$E$2),CT!C9,"")</f>
        <v/>
      </c>
      <c r="E12" s="23" t="str">
        <f>IF(LEFT(CT!D9,3)='SQTM '!$E$2,LEFT(CT!E9,3),IF(LEFT(CT!E9,3)='SQTM '!$E$2,LEFT(CT!D9,3),""))</f>
        <v/>
      </c>
      <c r="F12" s="78">
        <f>IF(LEFT(CT!D9,3)='SQTM '!$E$2,CT!H9,0)</f>
        <v>0</v>
      </c>
      <c r="G12" s="78">
        <f>IF(LEFT(CT!E9,3)='SQTM '!$E$2,CT!H9,0)</f>
        <v>0</v>
      </c>
      <c r="H12" s="78">
        <f>IF(SUM(F12:G12)=0,0,$H$6+SUM($F$8:F12)-SUM($G$8:G12))</f>
        <v>0</v>
      </c>
    </row>
    <row r="13" spans="1:8" x14ac:dyDescent="0.3">
      <c r="A13" s="63">
        <f>IF(OR(LEFT(CT!D10,3)='SQTM '!$E$2,LEFT(CT!E10,3)='SQTM '!$E$2),CT!A10,"")</f>
        <v>45296</v>
      </c>
      <c r="B13" s="23" t="str">
        <f>IF(LEFT(CT!D10,3)='SQTM '!$E$2,CT!B10,"")</f>
        <v/>
      </c>
      <c r="C13" s="23" t="str">
        <f>IF(LEFT(CT!E10,3)='SQTM '!$E$2,CT!B10,"")</f>
        <v>02/PC</v>
      </c>
      <c r="D13" s="23" t="str">
        <f>IF(OR(LEFT(CT!D10,3)='SQTM '!$E$2,LEFT(CT!E10,3)='SQTM '!$E$2),CT!C10,"")</f>
        <v>Thuế GTGT mua VPP</v>
      </c>
      <c r="E13" s="23" t="str">
        <f>IF(LEFT(CT!D10,3)='SQTM '!$E$2,LEFT(CT!E10,3),IF(LEFT(CT!E10,3)='SQTM '!$E$2,LEFT(CT!D10,3),""))</f>
        <v>133</v>
      </c>
      <c r="F13" s="78">
        <f>IF(LEFT(CT!D10,3)='SQTM '!$E$2,CT!H10,0)</f>
        <v>0</v>
      </c>
      <c r="G13" s="78">
        <f>IF(LEFT(CT!E10,3)='SQTM '!$E$2,CT!H10,0)</f>
        <v>100000</v>
      </c>
      <c r="H13" s="78">
        <f>IF(SUM(F13:G13)=0,0,$H$6+SUM($F$8:F13)-SUM($G$8:G13))</f>
        <v>422900000</v>
      </c>
    </row>
    <row r="14" spans="1:8" x14ac:dyDescent="0.3">
      <c r="A14" s="63">
        <f>IF(OR(LEFT(CT!D11,3)='SQTM '!$E$2,LEFT(CT!E11,3)='SQTM '!$E$2),CT!A11,"")</f>
        <v>45296</v>
      </c>
      <c r="B14" s="23" t="str">
        <f>IF(LEFT(CT!D11,3)='SQTM '!$E$2,CT!B11,"")</f>
        <v/>
      </c>
      <c r="C14" s="23" t="str">
        <f>IF(LEFT(CT!E11,3)='SQTM '!$E$2,CT!B11,"")</f>
        <v>02/PC</v>
      </c>
      <c r="D14" s="23" t="str">
        <f>IF(OR(LEFT(CT!D11,3)='SQTM '!$E$2,LEFT(CT!E11,3)='SQTM '!$E$2),CT!C11,"")</f>
        <v>Mua VPP cho BPVP</v>
      </c>
      <c r="E14" s="23" t="str">
        <f>IF(LEFT(CT!D11,3)='SQTM '!$E$2,LEFT(CT!E11,3),IF(LEFT(CT!E11,3)='SQTM '!$E$2,LEFT(CT!D11,3),""))</f>
        <v>642</v>
      </c>
      <c r="F14" s="78">
        <f>IF(LEFT(CT!D11,3)='SQTM '!$E$2,CT!H11,0)</f>
        <v>0</v>
      </c>
      <c r="G14" s="78">
        <f>IF(LEFT(CT!E11,3)='SQTM '!$E$2,CT!H11,0)</f>
        <v>1000000</v>
      </c>
      <c r="H14" s="78">
        <f>IF(SUM(F14:G14)=0,0,$H$6+SUM($F$8:F14)-SUM($G$8:G14))</f>
        <v>421900000</v>
      </c>
    </row>
    <row r="15" spans="1:8" hidden="1" x14ac:dyDescent="0.3">
      <c r="A15" s="63" t="str">
        <f>IF(OR(LEFT(CT!D12,3)='SQTM '!$E$2,LEFT(CT!E12,3)='SQTM '!$E$2),CT!A12,"")</f>
        <v/>
      </c>
      <c r="B15" s="23" t="str">
        <f>IF(LEFT(CT!D12,3)='SQTM '!$E$2,CT!B12,"")</f>
        <v/>
      </c>
      <c r="C15" s="23" t="str">
        <f>IF(LEFT(CT!E12,3)='SQTM '!$E$2,CT!B12,"")</f>
        <v/>
      </c>
      <c r="D15" s="23" t="str">
        <f>IF(OR(LEFT(CT!D12,3)='SQTM '!$E$2,LEFT(CT!E12,3)='SQTM '!$E$2),CT!C12,"")</f>
        <v/>
      </c>
      <c r="E15" s="23" t="str">
        <f>IF(LEFT(CT!D12,3)='SQTM '!$E$2,LEFT(CT!E12,3),IF(LEFT(CT!E12,3)='SQTM '!$E$2,LEFT(CT!D12,3),""))</f>
        <v/>
      </c>
      <c r="F15" s="78">
        <f>IF(LEFT(CT!D12,3)='SQTM '!$E$2,CT!H12,0)</f>
        <v>0</v>
      </c>
      <c r="G15" s="78">
        <f>IF(LEFT(CT!E12,3)='SQTM '!$E$2,CT!H12,0)</f>
        <v>0</v>
      </c>
      <c r="H15" s="78">
        <f>IF(SUM(F15:G15)=0,0,$H$6+SUM($F$8:F15)-SUM($G$8:G15))</f>
        <v>0</v>
      </c>
    </row>
    <row r="16" spans="1:8" hidden="1" x14ac:dyDescent="0.3">
      <c r="A16" s="63" t="str">
        <f>IF(OR(LEFT(CT!D13,3)='SQTM '!$E$2,LEFT(CT!E13,3)='SQTM '!$E$2),CT!A13,"")</f>
        <v/>
      </c>
      <c r="B16" s="23" t="str">
        <f>IF(LEFT(CT!D13,3)='SQTM '!$E$2,CT!B13,"")</f>
        <v/>
      </c>
      <c r="C16" s="23" t="str">
        <f>IF(LEFT(CT!E13,3)='SQTM '!$E$2,CT!B13,"")</f>
        <v/>
      </c>
      <c r="D16" s="23" t="str">
        <f>IF(OR(LEFT(CT!D13,3)='SQTM '!$E$2,LEFT(CT!E13,3)='SQTM '!$E$2),CT!C13,"")</f>
        <v/>
      </c>
      <c r="E16" s="23" t="str">
        <f>IF(LEFT(CT!D13,3)='SQTM '!$E$2,LEFT(CT!E13,3),IF(LEFT(CT!E13,3)='SQTM '!$E$2,LEFT(CT!D13,3),""))</f>
        <v/>
      </c>
      <c r="F16" s="78">
        <f>IF(LEFT(CT!D13,3)='SQTM '!$E$2,CT!H13,0)</f>
        <v>0</v>
      </c>
      <c r="G16" s="78">
        <f>IF(LEFT(CT!E13,3)='SQTM '!$E$2,CT!H13,0)</f>
        <v>0</v>
      </c>
      <c r="H16" s="78">
        <f>IF(SUM(F16:G16)=0,0,$H$6+SUM($F$8:F16)-SUM($G$8:G16))</f>
        <v>0</v>
      </c>
    </row>
    <row r="17" spans="1:8" hidden="1" x14ac:dyDescent="0.3">
      <c r="A17" s="63" t="str">
        <f>IF(OR(LEFT(CT!D14,3)='SQTM '!$E$2,LEFT(CT!E14,3)='SQTM '!$E$2),CT!A14,"")</f>
        <v/>
      </c>
      <c r="B17" s="23" t="str">
        <f>IF(LEFT(CT!D14,3)='SQTM '!$E$2,CT!B14,"")</f>
        <v/>
      </c>
      <c r="C17" s="23" t="str">
        <f>IF(LEFT(CT!E14,3)='SQTM '!$E$2,CT!B14,"")</f>
        <v/>
      </c>
      <c r="D17" s="23" t="str">
        <f>IF(OR(LEFT(CT!D14,3)='SQTM '!$E$2,LEFT(CT!E14,3)='SQTM '!$E$2),CT!C14,"")</f>
        <v/>
      </c>
      <c r="E17" s="23" t="str">
        <f>IF(LEFT(CT!D14,3)='SQTM '!$E$2,LEFT(CT!E14,3),IF(LEFT(CT!E14,3)='SQTM '!$E$2,LEFT(CT!D14,3),""))</f>
        <v/>
      </c>
      <c r="F17" s="78">
        <f>IF(LEFT(CT!D14,3)='SQTM '!$E$2,CT!H14,0)</f>
        <v>0</v>
      </c>
      <c r="G17" s="78">
        <f>IF(LEFT(CT!E14,3)='SQTM '!$E$2,CT!H14,0)</f>
        <v>0</v>
      </c>
      <c r="H17" s="78">
        <f>IF(SUM(F17:G17)=0,0,$H$6+SUM($F$8:F17)-SUM($G$8:G17))</f>
        <v>0</v>
      </c>
    </row>
    <row r="18" spans="1:8" hidden="1" x14ac:dyDescent="0.3">
      <c r="A18" s="63" t="str">
        <f>IF(OR(LEFT(CT!D15,3)='SQTM '!$E$2,LEFT(CT!E15,3)='SQTM '!$E$2),CT!A15,"")</f>
        <v/>
      </c>
      <c r="B18" s="23" t="str">
        <f>IF(LEFT(CT!D15,3)='SQTM '!$E$2,CT!B15,"")</f>
        <v/>
      </c>
      <c r="C18" s="23" t="str">
        <f>IF(LEFT(CT!E15,3)='SQTM '!$E$2,CT!B15,"")</f>
        <v/>
      </c>
      <c r="D18" s="23" t="str">
        <f>IF(OR(LEFT(CT!D15,3)='SQTM '!$E$2,LEFT(CT!E15,3)='SQTM '!$E$2),CT!C15,"")</f>
        <v/>
      </c>
      <c r="E18" s="23" t="str">
        <f>IF(LEFT(CT!D15,3)='SQTM '!$E$2,LEFT(CT!E15,3),IF(LEFT(CT!E15,3)='SQTM '!$E$2,LEFT(CT!D15,3),""))</f>
        <v/>
      </c>
      <c r="F18" s="78">
        <f>IF(LEFT(CT!D15,3)='SQTM '!$E$2,CT!H15,0)</f>
        <v>0</v>
      </c>
      <c r="G18" s="78">
        <f>IF(LEFT(CT!E15,3)='SQTM '!$E$2,CT!H15,0)</f>
        <v>0</v>
      </c>
      <c r="H18" s="78">
        <f>IF(SUM(F18:G18)=0,0,$H$6+SUM($F$8:F18)-SUM($G$8:G18))</f>
        <v>0</v>
      </c>
    </row>
    <row r="19" spans="1:8" hidden="1" x14ac:dyDescent="0.3">
      <c r="A19" s="63" t="str">
        <f>IF(OR(LEFT(CT!D16,3)='SQTM '!$E$2,LEFT(CT!E16,3)='SQTM '!$E$2),CT!A16,"")</f>
        <v/>
      </c>
      <c r="B19" s="23" t="str">
        <f>IF(LEFT(CT!D16,3)='SQTM '!$E$2,CT!B16,"")</f>
        <v/>
      </c>
      <c r="C19" s="23" t="str">
        <f>IF(LEFT(CT!E16,3)='SQTM '!$E$2,CT!B16,"")</f>
        <v/>
      </c>
      <c r="D19" s="23" t="str">
        <f>IF(OR(LEFT(CT!D16,3)='SQTM '!$E$2,LEFT(CT!E16,3)='SQTM '!$E$2),CT!C16,"")</f>
        <v/>
      </c>
      <c r="E19" s="23" t="str">
        <f>IF(LEFT(CT!D16,3)='SQTM '!$E$2,LEFT(CT!E16,3),IF(LEFT(CT!E16,3)='SQTM '!$E$2,LEFT(CT!D16,3),""))</f>
        <v/>
      </c>
      <c r="F19" s="78">
        <f>IF(LEFT(CT!D16,3)='SQTM '!$E$2,CT!H16,0)</f>
        <v>0</v>
      </c>
      <c r="G19" s="78">
        <f>IF(LEFT(CT!E16,3)='SQTM '!$E$2,CT!H16,0)</f>
        <v>0</v>
      </c>
      <c r="H19" s="78">
        <f>IF(SUM(F19:G19)=0,0,$H$6+SUM($F$8:F19)-SUM($G$8:G19))</f>
        <v>0</v>
      </c>
    </row>
    <row r="20" spans="1:8" hidden="1" x14ac:dyDescent="0.3">
      <c r="A20" s="63" t="str">
        <f>IF(OR(LEFT(CT!D17,3)='SQTM '!$E$2,LEFT(CT!E17,3)='SQTM '!$E$2),CT!A17,"")</f>
        <v/>
      </c>
      <c r="B20" s="23" t="str">
        <f>IF(LEFT(CT!D17,3)='SQTM '!$E$2,CT!B17,"")</f>
        <v/>
      </c>
      <c r="C20" s="23" t="str">
        <f>IF(LEFT(CT!E17,3)='SQTM '!$E$2,CT!B17,"")</f>
        <v/>
      </c>
      <c r="D20" s="23" t="str">
        <f>IF(OR(LEFT(CT!D17,3)='SQTM '!$E$2,LEFT(CT!E17,3)='SQTM '!$E$2),CT!C17,"")</f>
        <v/>
      </c>
      <c r="E20" s="23" t="str">
        <f>IF(LEFT(CT!D17,3)='SQTM '!$E$2,LEFT(CT!E17,3),IF(LEFT(CT!E17,3)='SQTM '!$E$2,LEFT(CT!D17,3),""))</f>
        <v/>
      </c>
      <c r="F20" s="78">
        <f>IF(LEFT(CT!D17,3)='SQTM '!$E$2,CT!H17,0)</f>
        <v>0</v>
      </c>
      <c r="G20" s="78">
        <f>IF(LEFT(CT!E17,3)='SQTM '!$E$2,CT!H17,0)</f>
        <v>0</v>
      </c>
      <c r="H20" s="78">
        <f>IF(SUM(F20:G20)=0,0,$H$6+SUM($F$8:F20)-SUM($G$8:G20))</f>
        <v>0</v>
      </c>
    </row>
    <row r="21" spans="1:8" x14ac:dyDescent="0.3">
      <c r="A21" s="63">
        <f>IF(OR(LEFT(CT!D18,3)='SQTM '!$E$2,LEFT(CT!E18,3)='SQTM '!$E$2),CT!A18,"")</f>
        <v>45306</v>
      </c>
      <c r="B21" s="23" t="str">
        <f>IF(LEFT(CT!D18,3)='SQTM '!$E$2,CT!B18,"")</f>
        <v/>
      </c>
      <c r="C21" s="23" t="str">
        <f>IF(LEFT(CT!E18,3)='SQTM '!$E$2,CT!B18,"")</f>
        <v>03/PC</v>
      </c>
      <c r="D21" s="23" t="str">
        <f>IF(OR(LEFT(CT!D18,3)='SQTM '!$E$2,LEFT(CT!E18,3)='SQTM '!$E$2),CT!C18,"")</f>
        <v>Chi lương cho NVBH</v>
      </c>
      <c r="E21" s="23" t="str">
        <f>IF(LEFT(CT!D18,3)='SQTM '!$E$2,LEFT(CT!E18,3),IF(LEFT(CT!E18,3)='SQTM '!$E$2,LEFT(CT!D18,3),""))</f>
        <v>334</v>
      </c>
      <c r="F21" s="78">
        <f>IF(LEFT(CT!D18,3)='SQTM '!$E$2,CT!H18,0)</f>
        <v>0</v>
      </c>
      <c r="G21" s="78">
        <f>IF(LEFT(CT!E18,3)='SQTM '!$E$2,CT!H18,0)</f>
        <v>5000000</v>
      </c>
      <c r="H21" s="78">
        <f>IF(SUM(F21:G21)=0,0,$H$6+SUM($F$8:F21)-SUM($G$8:G21))</f>
        <v>416900000</v>
      </c>
    </row>
    <row r="22" spans="1:8" x14ac:dyDescent="0.3">
      <c r="A22" s="63">
        <f>IF(OR(LEFT(CT!D19,3)='SQTM '!$E$2,LEFT(CT!E19,3)='SQTM '!$E$2),CT!A19,"")</f>
        <v>45306</v>
      </c>
      <c r="B22" s="23" t="str">
        <f>IF(LEFT(CT!D19,3)='SQTM '!$E$2,CT!B19,"")</f>
        <v/>
      </c>
      <c r="C22" s="23" t="str">
        <f>IF(LEFT(CT!E19,3)='SQTM '!$E$2,CT!B19,"")</f>
        <v>03/PC</v>
      </c>
      <c r="D22" s="23" t="str">
        <f>IF(OR(LEFT(CT!D19,3)='SQTM '!$E$2,LEFT(CT!E19,3)='SQTM '!$E$2),CT!C19,"")</f>
        <v>Chi lương cho CB QLDN</v>
      </c>
      <c r="E22" s="23" t="str">
        <f>IF(LEFT(CT!D19,3)='SQTM '!$E$2,LEFT(CT!E19,3),IF(LEFT(CT!E19,3)='SQTM '!$E$2,LEFT(CT!D19,3),""))</f>
        <v>334</v>
      </c>
      <c r="F22" s="78">
        <f>IF(LEFT(CT!D19,3)='SQTM '!$E$2,CT!H19,0)</f>
        <v>0</v>
      </c>
      <c r="G22" s="78">
        <f>IF(LEFT(CT!E19,3)='SQTM '!$E$2,CT!H19,0)</f>
        <v>7000000</v>
      </c>
      <c r="H22" s="78">
        <f>IF(SUM(F22:G22)=0,0,$H$6+SUM($F$8:F22)-SUM($G$8:G22))</f>
        <v>409900000</v>
      </c>
    </row>
    <row r="23" spans="1:8" hidden="1" x14ac:dyDescent="0.3">
      <c r="A23" s="63" t="str">
        <f>IF(OR(LEFT(CT!D20,3)='SQTM '!$E$2,LEFT(CT!E20,3)='SQTM '!$E$2),CT!A20,"")</f>
        <v/>
      </c>
      <c r="B23" s="23" t="str">
        <f>IF(LEFT(CT!D20,3)='SQTM '!$E$2,CT!B20,"")</f>
        <v/>
      </c>
      <c r="C23" s="23" t="str">
        <f>IF(LEFT(CT!E20,3)='SQTM '!$E$2,CT!B20,"")</f>
        <v/>
      </c>
      <c r="D23" s="23" t="str">
        <f>IF(OR(LEFT(CT!D20,3)='SQTM '!$E$2,LEFT(CT!E20,3)='SQTM '!$E$2),CT!C20,"")</f>
        <v/>
      </c>
      <c r="E23" s="23" t="str">
        <f>IF(LEFT(CT!D20,3)='SQTM '!$E$2,LEFT(CT!E20,3),IF(LEFT(CT!E20,3)='SQTM '!$E$2,LEFT(CT!D20,3),""))</f>
        <v/>
      </c>
      <c r="F23" s="78">
        <f>IF(LEFT(CT!D20,3)='SQTM '!$E$2,CT!H20,0)</f>
        <v>0</v>
      </c>
      <c r="G23" s="78">
        <f>IF(LEFT(CT!E20,3)='SQTM '!$E$2,CT!H20,0)</f>
        <v>0</v>
      </c>
      <c r="H23" s="78">
        <f>IF(SUM(F23:G23)=0,0,$H$6+SUM($F$8:F23)-SUM($G$8:G23))</f>
        <v>0</v>
      </c>
    </row>
    <row r="24" spans="1:8" hidden="1" x14ac:dyDescent="0.3">
      <c r="A24" s="63" t="str">
        <f>IF(OR(LEFT(CT!D21,3)='SQTM '!$E$2,LEFT(CT!E21,3)='SQTM '!$E$2),CT!A21,"")</f>
        <v/>
      </c>
      <c r="B24" s="23" t="str">
        <f>IF(LEFT(CT!D21,3)='SQTM '!$E$2,CT!B21,"")</f>
        <v/>
      </c>
      <c r="C24" s="23" t="str">
        <f>IF(LEFT(CT!E21,3)='SQTM '!$E$2,CT!B21,"")</f>
        <v/>
      </c>
      <c r="D24" s="23" t="str">
        <f>IF(OR(LEFT(CT!D21,3)='SQTM '!$E$2,LEFT(CT!E21,3)='SQTM '!$E$2),CT!C21,"")</f>
        <v/>
      </c>
      <c r="E24" s="23" t="str">
        <f>IF(LEFT(CT!D21,3)='SQTM '!$E$2,LEFT(CT!E21,3),IF(LEFT(CT!E21,3)='SQTM '!$E$2,LEFT(CT!D21,3),""))</f>
        <v/>
      </c>
      <c r="F24" s="78">
        <f>IF(LEFT(CT!D21,3)='SQTM '!$E$2,CT!H21,0)</f>
        <v>0</v>
      </c>
      <c r="G24" s="78">
        <f>IF(LEFT(CT!E21,3)='SQTM '!$E$2,CT!H21,0)</f>
        <v>0</v>
      </c>
      <c r="H24" s="78">
        <f>IF(SUM(F24:G24)=0,0,$H$6+SUM($F$8:F24)-SUM($G$8:G24))</f>
        <v>0</v>
      </c>
    </row>
    <row r="25" spans="1:8" x14ac:dyDescent="0.3">
      <c r="A25" s="63">
        <f>IF(OR(LEFT(CT!D22,3)='SQTM '!$E$2,LEFT(CT!E22,3)='SQTM '!$E$2),CT!A22,"")</f>
        <v>45306</v>
      </c>
      <c r="B25" s="23" t="str">
        <f>IF(LEFT(CT!D22,3)='SQTM '!$E$2,CT!B22,"")</f>
        <v/>
      </c>
      <c r="C25" s="23" t="str">
        <f>IF(LEFT(CT!E22,3)='SQTM '!$E$2,CT!B22,"")</f>
        <v>03/PC</v>
      </c>
      <c r="D25" s="23" t="str">
        <f>IF(OR(LEFT(CT!D22,3)='SQTM '!$E$2,LEFT(CT!E22,3)='SQTM '!$E$2),CT!C22,"")</f>
        <v>Chi lương cho NV QLPX</v>
      </c>
      <c r="E25" s="23" t="str">
        <f>IF(LEFT(CT!D22,3)='SQTM '!$E$2,LEFT(CT!E22,3),IF(LEFT(CT!E22,3)='SQTM '!$E$2,LEFT(CT!D22,3),""))</f>
        <v>334</v>
      </c>
      <c r="F25" s="78">
        <f>IF(LEFT(CT!D22,3)='SQTM '!$E$2,CT!H22,0)</f>
        <v>0</v>
      </c>
      <c r="G25" s="78">
        <f>IF(LEFT(CT!E22,3)='SQTM '!$E$2,CT!H22,0)</f>
        <v>35000000</v>
      </c>
      <c r="H25" s="78">
        <f>IF(SUM(F25:G25)=0,0,$H$6+SUM($F$8:F25)-SUM($G$8:G25))</f>
        <v>374900000</v>
      </c>
    </row>
    <row r="26" spans="1:8" x14ac:dyDescent="0.3">
      <c r="A26" s="63">
        <f>IF(OR(LEFT(CT!D23,3)='SQTM '!$E$2,LEFT(CT!E23,3)='SQTM '!$E$2),CT!A23,"")</f>
        <v>45306</v>
      </c>
      <c r="B26" s="23" t="str">
        <f>IF(LEFT(CT!D23,3)='SQTM '!$E$2,CT!B23,"")</f>
        <v/>
      </c>
      <c r="C26" s="23" t="str">
        <f>IF(LEFT(CT!E23,3)='SQTM '!$E$2,CT!B23,"")</f>
        <v>03/PC</v>
      </c>
      <c r="D26" s="23" t="str">
        <f>IF(OR(LEFT(CT!D23,3)='SQTM '!$E$2,LEFT(CT!E23,3)='SQTM '!$E$2),CT!C23,"")</f>
        <v>Chi lương cho CNSX GTV</v>
      </c>
      <c r="E26" s="23" t="str">
        <f>IF(LEFT(CT!D23,3)='SQTM '!$E$2,LEFT(CT!E23,3),IF(LEFT(CT!E23,3)='SQTM '!$E$2,LEFT(CT!D23,3),""))</f>
        <v>334</v>
      </c>
      <c r="F26" s="78">
        <f>IF(LEFT(CT!D23,3)='SQTM '!$E$2,CT!H23,0)</f>
        <v>0</v>
      </c>
      <c r="G26" s="78">
        <f>IF(LEFT(CT!E23,3)='SQTM '!$E$2,CT!H23,0)</f>
        <v>40000000</v>
      </c>
      <c r="H26" s="78">
        <f>IF(SUM(F26:G26)=0,0,$H$6+SUM($F$8:F26)-SUM($G$8:G26))</f>
        <v>334900000</v>
      </c>
    </row>
    <row r="27" spans="1:8" x14ac:dyDescent="0.3">
      <c r="A27" s="63">
        <f>IF(OR(LEFT(CT!D24,3)='SQTM '!$E$2,LEFT(CT!E24,3)='SQTM '!$E$2),CT!A24,"")</f>
        <v>45306</v>
      </c>
      <c r="B27" s="23" t="str">
        <f>IF(LEFT(CT!D24,3)='SQTM '!$E$2,CT!B24,"")</f>
        <v/>
      </c>
      <c r="C27" s="23" t="str">
        <f>IF(LEFT(CT!E24,3)='SQTM '!$E$2,CT!B24,"")</f>
        <v>03/PC</v>
      </c>
      <c r="D27" s="23" t="str">
        <f>IF(OR(LEFT(CT!D24,3)='SQTM '!$E$2,LEFT(CT!E24,3)='SQTM '!$E$2),CT!C24,"")</f>
        <v>Chi lương cho CNSX GKT</v>
      </c>
      <c r="E27" s="23" t="str">
        <f>IF(LEFT(CT!D24,3)='SQTM '!$E$2,LEFT(CT!E24,3),IF(LEFT(CT!E24,3)='SQTM '!$E$2,LEFT(CT!D24,3),""))</f>
        <v>334</v>
      </c>
      <c r="F27" s="78">
        <f>IF(LEFT(CT!D24,3)='SQTM '!$E$2,CT!H24,0)</f>
        <v>0</v>
      </c>
      <c r="G27" s="78">
        <f>IF(LEFT(CT!E24,3)='SQTM '!$E$2,CT!H24,0)</f>
        <v>40000000</v>
      </c>
      <c r="H27" s="78">
        <f>IF(SUM(F27:G27)=0,0,$H$6+SUM($F$8:F27)-SUM($G$8:G27))</f>
        <v>294900000</v>
      </c>
    </row>
    <row r="28" spans="1:8" x14ac:dyDescent="0.3">
      <c r="A28" s="63">
        <f>IF(OR(LEFT(CT!D25,3)='SQTM '!$E$2,LEFT(CT!E25,3)='SQTM '!$E$2),CT!A25,"")</f>
        <v>45306</v>
      </c>
      <c r="B28" s="23" t="str">
        <f>IF(LEFT(CT!D25,3)='SQTM '!$E$2,CT!B25,"")</f>
        <v/>
      </c>
      <c r="C28" s="23" t="str">
        <f>IF(LEFT(CT!E25,3)='SQTM '!$E$2,CT!B25,"")</f>
        <v>03/PC</v>
      </c>
      <c r="D28" s="23" t="str">
        <f>IF(OR(LEFT(CT!D25,3)='SQTM '!$E$2,LEFT(CT!E25,3)='SQTM '!$E$2),CT!C25,"")</f>
        <v>Chi lương cho CNSX GTV</v>
      </c>
      <c r="E28" s="23" t="str">
        <f>IF(LEFT(CT!D25,3)='SQTM '!$E$2,LEFT(CT!E25,3),IF(LEFT(CT!E25,3)='SQTM '!$E$2,LEFT(CT!D25,3),""))</f>
        <v>334</v>
      </c>
      <c r="F28" s="78">
        <f>IF(LEFT(CT!D25,3)='SQTM '!$E$2,CT!H25,0)</f>
        <v>0</v>
      </c>
      <c r="G28" s="78">
        <f>IF(LEFT(CT!E25,3)='SQTM '!$E$2,CT!H25,0)</f>
        <v>40000000</v>
      </c>
      <c r="H28" s="78">
        <f>IF(SUM(F28:G28)=0,0,$H$6+SUM($F$8:F28)-SUM($G$8:G28))</f>
        <v>254900000</v>
      </c>
    </row>
    <row r="29" spans="1:8" x14ac:dyDescent="0.3">
      <c r="A29" s="63">
        <f>IF(OR(LEFT(CT!D26,3)='SQTM '!$E$2,LEFT(CT!E26,3)='SQTM '!$E$2),CT!A26,"")</f>
        <v>45306</v>
      </c>
      <c r="B29" s="23" t="str">
        <f>IF(LEFT(CT!D26,3)='SQTM '!$E$2,CT!B26,"")</f>
        <v/>
      </c>
      <c r="C29" s="23" t="str">
        <f>IF(LEFT(CT!E26,3)='SQTM '!$E$2,CT!B26,"")</f>
        <v>03/PC</v>
      </c>
      <c r="D29" s="23" t="str">
        <f>IF(OR(LEFT(CT!D26,3)='SQTM '!$E$2,LEFT(CT!E26,3)='SQTM '!$E$2),CT!C26,"")</f>
        <v>Chi lương cho CNSX BT</v>
      </c>
      <c r="E29" s="23" t="str">
        <f>IF(LEFT(CT!D26,3)='SQTM '!$E$2,LEFT(CT!E26,3),IF(LEFT(CT!E26,3)='SQTM '!$E$2,LEFT(CT!D26,3),""))</f>
        <v>334</v>
      </c>
      <c r="F29" s="78">
        <f>IF(LEFT(CT!D26,3)='SQTM '!$E$2,CT!H26,0)</f>
        <v>0</v>
      </c>
      <c r="G29" s="78">
        <f>IF(LEFT(CT!E26,3)='SQTM '!$E$2,CT!H26,0)</f>
        <v>40000000</v>
      </c>
      <c r="H29" s="78">
        <f>IF(SUM(F29:G29)=0,0,$H$6+SUM($F$8:F29)-SUM($G$8:G29))</f>
        <v>214900000</v>
      </c>
    </row>
    <row r="30" spans="1:8" x14ac:dyDescent="0.3">
      <c r="A30" s="63">
        <f>IF(OR(LEFT(CT!D27,3)='SQTM '!$E$2,LEFT(CT!E27,3)='SQTM '!$E$2),CT!A27,"")</f>
        <v>45306</v>
      </c>
      <c r="B30" s="23" t="str">
        <f>IF(LEFT(CT!D27,3)='SQTM '!$E$2,CT!B27,"")</f>
        <v/>
      </c>
      <c r="C30" s="23" t="str">
        <f>IF(LEFT(CT!E27,3)='SQTM '!$E$2,CT!B27,"")</f>
        <v>03/PC</v>
      </c>
      <c r="D30" s="23" t="str">
        <f>IF(OR(LEFT(CT!D27,3)='SQTM '!$E$2,LEFT(CT!E27,3)='SQTM '!$E$2),CT!C27,"")</f>
        <v>Chi lương cho CNSX BO</v>
      </c>
      <c r="E30" s="23" t="str">
        <f>IF(LEFT(CT!D27,3)='SQTM '!$E$2,LEFT(CT!E27,3),IF(LEFT(CT!E27,3)='SQTM '!$E$2,LEFT(CT!D27,3),""))</f>
        <v>334</v>
      </c>
      <c r="F30" s="78">
        <f>IF(LEFT(CT!D27,3)='SQTM '!$E$2,CT!H27,0)</f>
        <v>0</v>
      </c>
      <c r="G30" s="78">
        <f>IF(LEFT(CT!E27,3)='SQTM '!$E$2,CT!H27,0)</f>
        <v>40000000</v>
      </c>
      <c r="H30" s="78">
        <f>IF(SUM(F30:G30)=0,0,$H$6+SUM($F$8:F30)-SUM($G$8:G30))</f>
        <v>174900000</v>
      </c>
    </row>
    <row r="31" spans="1:8" hidden="1" x14ac:dyDescent="0.3">
      <c r="A31" s="63" t="str">
        <f>IF(OR(LEFT(CT!D28,3)='SQTM '!$E$2,LEFT(CT!E28,3)='SQTM '!$E$2),CT!A28,"")</f>
        <v/>
      </c>
      <c r="B31" s="23" t="str">
        <f>IF(LEFT(CT!D28,3)='SQTM '!$E$2,CT!B28,"")</f>
        <v/>
      </c>
      <c r="C31" s="23" t="str">
        <f>IF(LEFT(CT!E28,3)='SQTM '!$E$2,CT!B28,"")</f>
        <v/>
      </c>
      <c r="D31" s="23" t="str">
        <f>IF(OR(LEFT(CT!D28,3)='SQTM '!$E$2,LEFT(CT!E28,3)='SQTM '!$E$2),CT!C28,"")</f>
        <v/>
      </c>
      <c r="E31" s="23" t="str">
        <f>IF(LEFT(CT!D28,3)='SQTM '!$E$2,LEFT(CT!E28,3),IF(LEFT(CT!E28,3)='SQTM '!$E$2,LEFT(CT!D28,3),""))</f>
        <v/>
      </c>
      <c r="F31" s="78">
        <f>IF(LEFT(CT!D28,3)='SQTM '!$E$2,CT!H28,0)</f>
        <v>0</v>
      </c>
      <c r="G31" s="78">
        <f>IF(LEFT(CT!E28,3)='SQTM '!$E$2,CT!H28,0)</f>
        <v>0</v>
      </c>
      <c r="H31" s="78">
        <f>IF(SUM(F31:G31)=0,0,$H$6+SUM($F$8:F31)-SUM($G$8:G31))</f>
        <v>0</v>
      </c>
    </row>
    <row r="32" spans="1:8" hidden="1" x14ac:dyDescent="0.3">
      <c r="A32" s="63" t="str">
        <f>IF(OR(LEFT(CT!D29,3)='SQTM '!$E$2,LEFT(CT!E29,3)='SQTM '!$E$2),CT!A29,"")</f>
        <v/>
      </c>
      <c r="B32" s="23" t="str">
        <f>IF(LEFT(CT!D29,3)='SQTM '!$E$2,CT!B29,"")</f>
        <v/>
      </c>
      <c r="C32" s="23" t="str">
        <f>IF(LEFT(CT!E29,3)='SQTM '!$E$2,CT!B29,"")</f>
        <v/>
      </c>
      <c r="D32" s="23" t="str">
        <f>IF(OR(LEFT(CT!D29,3)='SQTM '!$E$2,LEFT(CT!E29,3)='SQTM '!$E$2),CT!C29,"")</f>
        <v/>
      </c>
      <c r="E32" s="23" t="str">
        <f>IF(LEFT(CT!D29,3)='SQTM '!$E$2,LEFT(CT!E29,3),IF(LEFT(CT!E29,3)='SQTM '!$E$2,LEFT(CT!D29,3),""))</f>
        <v/>
      </c>
      <c r="F32" s="78">
        <f>IF(LEFT(CT!D29,3)='SQTM '!$E$2,CT!H29,0)</f>
        <v>0</v>
      </c>
      <c r="G32" s="78">
        <f>IF(LEFT(CT!E29,3)='SQTM '!$E$2,CT!H29,0)</f>
        <v>0</v>
      </c>
      <c r="H32" s="78">
        <f>IF(SUM(F32:G32)=0,0,$H$6+SUM($F$8:F32)-SUM($G$8:G32))</f>
        <v>0</v>
      </c>
    </row>
    <row r="33" spans="1:8" hidden="1" x14ac:dyDescent="0.3">
      <c r="A33" s="63" t="str">
        <f>IF(OR(LEFT(CT!D30,3)='SQTM '!$E$2,LEFT(CT!E30,3)='SQTM '!$E$2),CT!A30,"")</f>
        <v/>
      </c>
      <c r="B33" s="23" t="str">
        <f>IF(LEFT(CT!D30,3)='SQTM '!$E$2,CT!B30,"")</f>
        <v/>
      </c>
      <c r="C33" s="23" t="str">
        <f>IF(LEFT(CT!E30,3)='SQTM '!$E$2,CT!B30,"")</f>
        <v/>
      </c>
      <c r="D33" s="23" t="str">
        <f>IF(OR(LEFT(CT!D30,3)='SQTM '!$E$2,LEFT(CT!E30,3)='SQTM '!$E$2),CT!C30,"")</f>
        <v/>
      </c>
      <c r="E33" s="23" t="str">
        <f>IF(LEFT(CT!D30,3)='SQTM '!$E$2,LEFT(CT!E30,3),IF(LEFT(CT!E30,3)='SQTM '!$E$2,LEFT(CT!D30,3),""))</f>
        <v/>
      </c>
      <c r="F33" s="78">
        <f>IF(LEFT(CT!D30,3)='SQTM '!$E$2,CT!H30,0)</f>
        <v>0</v>
      </c>
      <c r="G33" s="78">
        <f>IF(LEFT(CT!E30,3)='SQTM '!$E$2,CT!H30,0)</f>
        <v>0</v>
      </c>
      <c r="H33" s="78">
        <f>IF(SUM(F33:G33)=0,0,$H$6+SUM($F$8:F33)-SUM($G$8:G33))</f>
        <v>0</v>
      </c>
    </row>
    <row r="34" spans="1:8" hidden="1" x14ac:dyDescent="0.3">
      <c r="A34" s="63" t="str">
        <f>IF(OR(LEFT(CT!D31,3)='SQTM '!$E$2,LEFT(CT!E31,3)='SQTM '!$E$2),CT!A31,"")</f>
        <v/>
      </c>
      <c r="B34" s="23" t="str">
        <f>IF(LEFT(CT!D31,3)='SQTM '!$E$2,CT!B31,"")</f>
        <v/>
      </c>
      <c r="C34" s="23" t="str">
        <f>IF(LEFT(CT!E31,3)='SQTM '!$E$2,CT!B31,"")</f>
        <v/>
      </c>
      <c r="D34" s="23" t="str">
        <f>IF(OR(LEFT(CT!D31,3)='SQTM '!$E$2,LEFT(CT!E31,3)='SQTM '!$E$2),CT!C31,"")</f>
        <v/>
      </c>
      <c r="E34" s="23" t="str">
        <f>IF(LEFT(CT!D31,3)='SQTM '!$E$2,LEFT(CT!E31,3),IF(LEFT(CT!E31,3)='SQTM '!$E$2,LEFT(CT!D31,3),""))</f>
        <v/>
      </c>
      <c r="F34" s="78">
        <f>IF(LEFT(CT!D31,3)='SQTM '!$E$2,CT!H31,0)</f>
        <v>0</v>
      </c>
      <c r="G34" s="78">
        <f>IF(LEFT(CT!E31,3)='SQTM '!$E$2,CT!H31,0)</f>
        <v>0</v>
      </c>
      <c r="H34" s="78">
        <f>IF(SUM(F34:G34)=0,0,$H$6+SUM($F$8:F34)-SUM($G$8:G34))</f>
        <v>0</v>
      </c>
    </row>
    <row r="35" spans="1:8" hidden="1" x14ac:dyDescent="0.3">
      <c r="A35" s="63" t="str">
        <f>IF(OR(LEFT(CT!D32,3)='SQTM '!$E$2,LEFT(CT!E32,3)='SQTM '!$E$2),CT!A32,"")</f>
        <v/>
      </c>
      <c r="B35" s="23" t="str">
        <f>IF(LEFT(CT!D32,3)='SQTM '!$E$2,CT!B32,"")</f>
        <v/>
      </c>
      <c r="C35" s="23" t="str">
        <f>IF(LEFT(CT!E32,3)='SQTM '!$E$2,CT!B32,"")</f>
        <v/>
      </c>
      <c r="D35" s="23" t="str">
        <f>IF(OR(LEFT(CT!D32,3)='SQTM '!$E$2,LEFT(CT!E32,3)='SQTM '!$E$2),CT!C32,"")</f>
        <v/>
      </c>
      <c r="E35" s="23" t="str">
        <f>IF(LEFT(CT!D32,3)='SQTM '!$E$2,LEFT(CT!E32,3),IF(LEFT(CT!E32,3)='SQTM '!$E$2,LEFT(CT!D32,3),""))</f>
        <v/>
      </c>
      <c r="F35" s="78">
        <f>IF(LEFT(CT!D32,3)='SQTM '!$E$2,CT!H32,0)</f>
        <v>0</v>
      </c>
      <c r="G35" s="78">
        <f>IF(LEFT(CT!E32,3)='SQTM '!$E$2,CT!H32,0)</f>
        <v>0</v>
      </c>
      <c r="H35" s="78">
        <f>IF(SUM(F35:G35)=0,0,$H$6+SUM($F$8:F35)-SUM($G$8:G35))</f>
        <v>0</v>
      </c>
    </row>
    <row r="36" spans="1:8" hidden="1" x14ac:dyDescent="0.3">
      <c r="A36" s="63" t="str">
        <f>IF(OR(LEFT(CT!D33,3)='SQTM '!$E$2,LEFT(CT!E33,3)='SQTM '!$E$2),CT!A33,"")</f>
        <v/>
      </c>
      <c r="B36" s="23" t="str">
        <f>IF(LEFT(CT!D33,3)='SQTM '!$E$2,CT!B33,"")</f>
        <v/>
      </c>
      <c r="C36" s="23" t="str">
        <f>IF(LEFT(CT!E33,3)='SQTM '!$E$2,CT!B33,"")</f>
        <v/>
      </c>
      <c r="D36" s="23" t="str">
        <f>IF(OR(LEFT(CT!D33,3)='SQTM '!$E$2,LEFT(CT!E33,3)='SQTM '!$E$2),CT!C33,"")</f>
        <v/>
      </c>
      <c r="E36" s="23" t="str">
        <f>IF(LEFT(CT!D33,3)='SQTM '!$E$2,LEFT(CT!E33,3),IF(LEFT(CT!E33,3)='SQTM '!$E$2,LEFT(CT!D33,3),""))</f>
        <v/>
      </c>
      <c r="F36" s="78">
        <f>IF(LEFT(CT!D33,3)='SQTM '!$E$2,CT!H33,0)</f>
        <v>0</v>
      </c>
      <c r="G36" s="78">
        <f>IF(LEFT(CT!E33,3)='SQTM '!$E$2,CT!H33,0)</f>
        <v>0</v>
      </c>
      <c r="H36" s="78">
        <f>IF(SUM(F36:G36)=0,0,$H$6+SUM($F$8:F36)-SUM($G$8:G36))</f>
        <v>0</v>
      </c>
    </row>
    <row r="37" spans="1:8" hidden="1" x14ac:dyDescent="0.3">
      <c r="A37" s="63" t="str">
        <f>IF(OR(LEFT(CT!D34,3)='SQTM '!$E$2,LEFT(CT!E34,3)='SQTM '!$E$2),CT!A34,"")</f>
        <v/>
      </c>
      <c r="B37" s="23" t="str">
        <f>IF(LEFT(CT!D34,3)='SQTM '!$E$2,CT!B34,"")</f>
        <v/>
      </c>
      <c r="C37" s="23" t="str">
        <f>IF(LEFT(CT!E34,3)='SQTM '!$E$2,CT!B34,"")</f>
        <v/>
      </c>
      <c r="D37" s="23" t="str">
        <f>IF(OR(LEFT(CT!D34,3)='SQTM '!$E$2,LEFT(CT!E34,3)='SQTM '!$E$2),CT!C34,"")</f>
        <v/>
      </c>
      <c r="E37" s="23" t="str">
        <f>IF(LEFT(CT!D34,3)='SQTM '!$E$2,LEFT(CT!E34,3),IF(LEFT(CT!E34,3)='SQTM '!$E$2,LEFT(CT!D34,3),""))</f>
        <v/>
      </c>
      <c r="F37" s="78">
        <f>IF(LEFT(CT!D34,3)='SQTM '!$E$2,CT!H34,0)</f>
        <v>0</v>
      </c>
      <c r="G37" s="78">
        <f>IF(LEFT(CT!E34,3)='SQTM '!$E$2,CT!H34,0)</f>
        <v>0</v>
      </c>
      <c r="H37" s="78">
        <f>IF(SUM(F37:G37)=0,0,$H$6+SUM($F$8:F37)-SUM($G$8:G37))</f>
        <v>0</v>
      </c>
    </row>
    <row r="38" spans="1:8" hidden="1" x14ac:dyDescent="0.3">
      <c r="A38" s="63" t="str">
        <f>IF(OR(LEFT(CT!D35,3)='SQTM '!$E$2,LEFT(CT!E35,3)='SQTM '!$E$2),CT!A35,"")</f>
        <v/>
      </c>
      <c r="B38" s="23" t="str">
        <f>IF(LEFT(CT!D35,3)='SQTM '!$E$2,CT!B35,"")</f>
        <v/>
      </c>
      <c r="C38" s="23" t="str">
        <f>IF(LEFT(CT!E35,3)='SQTM '!$E$2,CT!B35,"")</f>
        <v/>
      </c>
      <c r="D38" s="23" t="str">
        <f>IF(OR(LEFT(CT!D35,3)='SQTM '!$E$2,LEFT(CT!E35,3)='SQTM '!$E$2),CT!C35,"")</f>
        <v/>
      </c>
      <c r="E38" s="23" t="str">
        <f>IF(LEFT(CT!D35,3)='SQTM '!$E$2,LEFT(CT!E35,3),IF(LEFT(CT!E35,3)='SQTM '!$E$2,LEFT(CT!D35,3),""))</f>
        <v/>
      </c>
      <c r="F38" s="78">
        <f>IF(LEFT(CT!D35,3)='SQTM '!$E$2,CT!H35,0)</f>
        <v>0</v>
      </c>
      <c r="G38" s="78">
        <f>IF(LEFT(CT!E35,3)='SQTM '!$E$2,CT!H35,0)</f>
        <v>0</v>
      </c>
      <c r="H38" s="78">
        <f>IF(SUM(F38:G38)=0,0,$H$6+SUM($F$8:F38)-SUM($G$8:G38))</f>
        <v>0</v>
      </c>
    </row>
    <row r="39" spans="1:8" hidden="1" x14ac:dyDescent="0.3">
      <c r="A39" s="63" t="str">
        <f>IF(OR(LEFT(CT!D36,3)='SQTM '!$E$2,LEFT(CT!E36,3)='SQTM '!$E$2),CT!A36,"")</f>
        <v/>
      </c>
      <c r="B39" s="23" t="str">
        <f>IF(LEFT(CT!D36,3)='SQTM '!$E$2,CT!B36,"")</f>
        <v/>
      </c>
      <c r="C39" s="23" t="str">
        <f>IF(LEFT(CT!E36,3)='SQTM '!$E$2,CT!B36,"")</f>
        <v/>
      </c>
      <c r="D39" s="23" t="str">
        <f>IF(OR(LEFT(CT!D36,3)='SQTM '!$E$2,LEFT(CT!E36,3)='SQTM '!$E$2),CT!C36,"")</f>
        <v/>
      </c>
      <c r="E39" s="23" t="str">
        <f>IF(LEFT(CT!D36,3)='SQTM '!$E$2,LEFT(CT!E36,3),IF(LEFT(CT!E36,3)='SQTM '!$E$2,LEFT(CT!D36,3),""))</f>
        <v/>
      </c>
      <c r="F39" s="78">
        <f>IF(LEFT(CT!D36,3)='SQTM '!$E$2,CT!H36,0)</f>
        <v>0</v>
      </c>
      <c r="G39" s="78">
        <f>IF(LEFT(CT!E36,3)='SQTM '!$E$2,CT!H36,0)</f>
        <v>0</v>
      </c>
      <c r="H39" s="78">
        <f>IF(SUM(F39:G39)=0,0,$H$6+SUM($F$8:F39)-SUM($G$8:G39))</f>
        <v>0</v>
      </c>
    </row>
    <row r="40" spans="1:8" hidden="1" x14ac:dyDescent="0.3">
      <c r="A40" s="63" t="str">
        <f>IF(OR(LEFT(CT!D37,3)='SQTM '!$E$2,LEFT(CT!E37,3)='SQTM '!$E$2),CT!A37,"")</f>
        <v/>
      </c>
      <c r="B40" s="23" t="str">
        <f>IF(LEFT(CT!D37,3)='SQTM '!$E$2,CT!B37,"")</f>
        <v/>
      </c>
      <c r="C40" s="23" t="str">
        <f>IF(LEFT(CT!E37,3)='SQTM '!$E$2,CT!B37,"")</f>
        <v/>
      </c>
      <c r="D40" s="23" t="str">
        <f>IF(OR(LEFT(CT!D37,3)='SQTM '!$E$2,LEFT(CT!E37,3)='SQTM '!$E$2),CT!C37,"")</f>
        <v/>
      </c>
      <c r="E40" s="23" t="str">
        <f>IF(LEFT(CT!D37,3)='SQTM '!$E$2,LEFT(CT!E37,3),IF(LEFT(CT!E37,3)='SQTM '!$E$2,LEFT(CT!D37,3),""))</f>
        <v/>
      </c>
      <c r="F40" s="78">
        <f>IF(LEFT(CT!D37,3)='SQTM '!$E$2,CT!H37,0)</f>
        <v>0</v>
      </c>
      <c r="G40" s="78">
        <f>IF(LEFT(CT!E37,3)='SQTM '!$E$2,CT!H37,0)</f>
        <v>0</v>
      </c>
      <c r="H40" s="78">
        <f>IF(SUM(F40:G40)=0,0,$H$6+SUM($F$8:F40)-SUM($G$8:G40))</f>
        <v>0</v>
      </c>
    </row>
    <row r="41" spans="1:8" hidden="1" x14ac:dyDescent="0.3">
      <c r="A41" s="63" t="str">
        <f>IF(OR(LEFT(CT!D38,3)='SQTM '!$E$2,LEFT(CT!E38,3)='SQTM '!$E$2),CT!A38,"")</f>
        <v/>
      </c>
      <c r="B41" s="23" t="str">
        <f>IF(LEFT(CT!D38,3)='SQTM '!$E$2,CT!B38,"")</f>
        <v/>
      </c>
      <c r="C41" s="23" t="str">
        <f>IF(LEFT(CT!E38,3)='SQTM '!$E$2,CT!B38,"")</f>
        <v/>
      </c>
      <c r="D41" s="23" t="str">
        <f>IF(OR(LEFT(CT!D38,3)='SQTM '!$E$2,LEFT(CT!E38,3)='SQTM '!$E$2),CT!C38,"")</f>
        <v/>
      </c>
      <c r="E41" s="23" t="str">
        <f>IF(LEFT(CT!D38,3)='SQTM '!$E$2,LEFT(CT!E38,3),IF(LEFT(CT!E38,3)='SQTM '!$E$2,LEFT(CT!D38,3),""))</f>
        <v/>
      </c>
      <c r="F41" s="78">
        <f>IF(LEFT(CT!D38,3)='SQTM '!$E$2,CT!H38,0)</f>
        <v>0</v>
      </c>
      <c r="G41" s="78">
        <f>IF(LEFT(CT!E38,3)='SQTM '!$E$2,CT!H38,0)</f>
        <v>0</v>
      </c>
      <c r="H41" s="78">
        <f>IF(SUM(F41:G41)=0,0,$H$6+SUM($F$8:F41)-SUM($G$8:G41))</f>
        <v>0</v>
      </c>
    </row>
    <row r="42" spans="1:8" hidden="1" x14ac:dyDescent="0.3">
      <c r="A42" s="63" t="str">
        <f>IF(OR(LEFT(CT!D39,3)='SQTM '!$E$2,LEFT(CT!E39,3)='SQTM '!$E$2),CT!A39,"")</f>
        <v/>
      </c>
      <c r="B42" s="23" t="str">
        <f>IF(LEFT(CT!D39,3)='SQTM '!$E$2,CT!B39,"")</f>
        <v/>
      </c>
      <c r="C42" s="23" t="str">
        <f>IF(LEFT(CT!E39,3)='SQTM '!$E$2,CT!B39,"")</f>
        <v/>
      </c>
      <c r="D42" s="23" t="str">
        <f>IF(OR(LEFT(CT!D39,3)='SQTM '!$E$2,LEFT(CT!E39,3)='SQTM '!$E$2),CT!C39,"")</f>
        <v/>
      </c>
      <c r="E42" s="23" t="str">
        <f>IF(LEFT(CT!D39,3)='SQTM '!$E$2,LEFT(CT!E39,3),IF(LEFT(CT!E39,3)='SQTM '!$E$2,LEFT(CT!D39,3),""))</f>
        <v/>
      </c>
      <c r="F42" s="78">
        <f>IF(LEFT(CT!D39,3)='SQTM '!$E$2,CT!H39,0)</f>
        <v>0</v>
      </c>
      <c r="G42" s="78">
        <f>IF(LEFT(CT!E39,3)='SQTM '!$E$2,CT!H39,0)</f>
        <v>0</v>
      </c>
      <c r="H42" s="78">
        <f>IF(SUM(F42:G42)=0,0,$H$6+SUM($F$8:F42)-SUM($G$8:G42))</f>
        <v>0</v>
      </c>
    </row>
    <row r="43" spans="1:8" hidden="1" x14ac:dyDescent="0.3">
      <c r="A43" s="63" t="str">
        <f>IF(OR(LEFT(CT!D40,3)='SQTM '!$E$2,LEFT(CT!E40,3)='SQTM '!$E$2),CT!A40,"")</f>
        <v/>
      </c>
      <c r="B43" s="23" t="str">
        <f>IF(LEFT(CT!D40,3)='SQTM '!$E$2,CT!B40,"")</f>
        <v/>
      </c>
      <c r="C43" s="23" t="str">
        <f>IF(LEFT(CT!E40,3)='SQTM '!$E$2,CT!B40,"")</f>
        <v/>
      </c>
      <c r="D43" s="23" t="str">
        <f>IF(OR(LEFT(CT!D40,3)='SQTM '!$E$2,LEFT(CT!E40,3)='SQTM '!$E$2),CT!C40,"")</f>
        <v/>
      </c>
      <c r="E43" s="23" t="str">
        <f>IF(LEFT(CT!D40,3)='SQTM '!$E$2,LEFT(CT!E40,3),IF(LEFT(CT!E40,3)='SQTM '!$E$2,LEFT(CT!D40,3),""))</f>
        <v/>
      </c>
      <c r="F43" s="78">
        <f>IF(LEFT(CT!D40,3)='SQTM '!$E$2,CT!H40,0)</f>
        <v>0</v>
      </c>
      <c r="G43" s="78">
        <f>IF(LEFT(CT!E40,3)='SQTM '!$E$2,CT!H40,0)</f>
        <v>0</v>
      </c>
      <c r="H43" s="78">
        <f>IF(SUM(F43:G43)=0,0,$H$6+SUM($F$8:F43)-SUM($G$8:G43))</f>
        <v>0</v>
      </c>
    </row>
    <row r="44" spans="1:8" hidden="1" x14ac:dyDescent="0.3">
      <c r="A44" s="63" t="str">
        <f>IF(OR(LEFT(CT!D41,3)='SQTM '!$E$2,LEFT(CT!E41,3)='SQTM '!$E$2),CT!A41,"")</f>
        <v/>
      </c>
      <c r="B44" s="23" t="str">
        <f>IF(LEFT(CT!D41,3)='SQTM '!$E$2,CT!B41,"")</f>
        <v/>
      </c>
      <c r="C44" s="23" t="str">
        <f>IF(LEFT(CT!E41,3)='SQTM '!$E$2,CT!B41,"")</f>
        <v/>
      </c>
      <c r="D44" s="23" t="str">
        <f>IF(OR(LEFT(CT!D41,3)='SQTM '!$E$2,LEFT(CT!E41,3)='SQTM '!$E$2),CT!C41,"")</f>
        <v/>
      </c>
      <c r="E44" s="23" t="str">
        <f>IF(LEFT(CT!D41,3)='SQTM '!$E$2,LEFT(CT!E41,3),IF(LEFT(CT!E41,3)='SQTM '!$E$2,LEFT(CT!D41,3),""))</f>
        <v/>
      </c>
      <c r="F44" s="78">
        <f>IF(LEFT(CT!D41,3)='SQTM '!$E$2,CT!H41,0)</f>
        <v>0</v>
      </c>
      <c r="G44" s="78">
        <f>IF(LEFT(CT!E41,3)='SQTM '!$E$2,CT!H41,0)</f>
        <v>0</v>
      </c>
      <c r="H44" s="78">
        <f>IF(SUM(F44:G44)=0,0,$H$6+SUM($F$8:F44)-SUM($G$8:G44))</f>
        <v>0</v>
      </c>
    </row>
    <row r="45" spans="1:8" hidden="1" x14ac:dyDescent="0.3">
      <c r="A45" s="63" t="str">
        <f>IF(OR(LEFT(CT!D42,3)='SQTM '!$E$2,LEFT(CT!E42,3)='SQTM '!$E$2),CT!A42,"")</f>
        <v/>
      </c>
      <c r="B45" s="23" t="str">
        <f>IF(LEFT(CT!D42,3)='SQTM '!$E$2,CT!B42,"")</f>
        <v/>
      </c>
      <c r="C45" s="23" t="str">
        <f>IF(LEFT(CT!E42,3)='SQTM '!$E$2,CT!B42,"")</f>
        <v/>
      </c>
      <c r="D45" s="23" t="str">
        <f>IF(OR(LEFT(CT!D42,3)='SQTM '!$E$2,LEFT(CT!E42,3)='SQTM '!$E$2),CT!C42,"")</f>
        <v/>
      </c>
      <c r="E45" s="23" t="str">
        <f>IF(LEFT(CT!D42,3)='SQTM '!$E$2,LEFT(CT!E42,3),IF(LEFT(CT!E42,3)='SQTM '!$E$2,LEFT(CT!D42,3),""))</f>
        <v/>
      </c>
      <c r="F45" s="78">
        <f>IF(LEFT(CT!D42,3)='SQTM '!$E$2,CT!H42,0)</f>
        <v>0</v>
      </c>
      <c r="G45" s="78">
        <f>IF(LEFT(CT!E42,3)='SQTM '!$E$2,CT!H42,0)</f>
        <v>0</v>
      </c>
      <c r="H45" s="78">
        <f>IF(SUM(F45:G45)=0,0,$H$6+SUM($F$8:F45)-SUM($G$8:G45))</f>
        <v>0</v>
      </c>
    </row>
    <row r="46" spans="1:8" hidden="1" x14ac:dyDescent="0.3">
      <c r="A46" s="63" t="str">
        <f>IF(OR(LEFT(CT!D43,3)='SQTM '!$E$2,LEFT(CT!E43,3)='SQTM '!$E$2),CT!A43,"")</f>
        <v/>
      </c>
      <c r="B46" s="23" t="str">
        <f>IF(LEFT(CT!D43,3)='SQTM '!$E$2,CT!B43,"")</f>
        <v/>
      </c>
      <c r="C46" s="23" t="str">
        <f>IF(LEFT(CT!E43,3)='SQTM '!$E$2,CT!B43,"")</f>
        <v/>
      </c>
      <c r="D46" s="23" t="str">
        <f>IF(OR(LEFT(CT!D43,3)='SQTM '!$E$2,LEFT(CT!E43,3)='SQTM '!$E$2),CT!C43,"")</f>
        <v/>
      </c>
      <c r="E46" s="23" t="str">
        <f>IF(LEFT(CT!D43,3)='SQTM '!$E$2,LEFT(CT!E43,3),IF(LEFT(CT!E43,3)='SQTM '!$E$2,LEFT(CT!D43,3),""))</f>
        <v/>
      </c>
      <c r="F46" s="78">
        <f>IF(LEFT(CT!D43,3)='SQTM '!$E$2,CT!H43,0)</f>
        <v>0</v>
      </c>
      <c r="G46" s="78">
        <f>IF(LEFT(CT!E43,3)='SQTM '!$E$2,CT!H43,0)</f>
        <v>0</v>
      </c>
      <c r="H46" s="78">
        <f>IF(SUM(F46:G46)=0,0,$H$6+SUM($F$8:F46)-SUM($G$8:G46))</f>
        <v>0</v>
      </c>
    </row>
    <row r="47" spans="1:8" hidden="1" x14ac:dyDescent="0.3">
      <c r="A47" s="63" t="str">
        <f>IF(OR(LEFT(CT!D44,3)='SQTM '!$E$2,LEFT(CT!E44,3)='SQTM '!$E$2),CT!A44,"")</f>
        <v/>
      </c>
      <c r="B47" s="23" t="str">
        <f>IF(LEFT(CT!D44,3)='SQTM '!$E$2,CT!B44,"")</f>
        <v/>
      </c>
      <c r="C47" s="23" t="str">
        <f>IF(LEFT(CT!E44,3)='SQTM '!$E$2,CT!B44,"")</f>
        <v/>
      </c>
      <c r="D47" s="23" t="str">
        <f>IF(OR(LEFT(CT!D44,3)='SQTM '!$E$2,LEFT(CT!E44,3)='SQTM '!$E$2),CT!C44,"")</f>
        <v/>
      </c>
      <c r="E47" s="23" t="str">
        <f>IF(LEFT(CT!D44,3)='SQTM '!$E$2,LEFT(CT!E44,3),IF(LEFT(CT!E44,3)='SQTM '!$E$2,LEFT(CT!D44,3),""))</f>
        <v/>
      </c>
      <c r="F47" s="78">
        <f>IF(LEFT(CT!D44,3)='SQTM '!$E$2,CT!H44,0)</f>
        <v>0</v>
      </c>
      <c r="G47" s="78">
        <f>IF(LEFT(CT!E44,3)='SQTM '!$E$2,CT!H44,0)</f>
        <v>0</v>
      </c>
      <c r="H47" s="78">
        <f>IF(SUM(F47:G47)=0,0,$H$6+SUM($F$8:F47)-SUM($G$8:G47))</f>
        <v>0</v>
      </c>
    </row>
    <row r="48" spans="1:8" hidden="1" x14ac:dyDescent="0.3">
      <c r="A48" s="63" t="str">
        <f>IF(OR(LEFT(CT!D45,3)='SQTM '!$E$2,LEFT(CT!E45,3)='SQTM '!$E$2),CT!A45,"")</f>
        <v/>
      </c>
      <c r="B48" s="23" t="str">
        <f>IF(LEFT(CT!D45,3)='SQTM '!$E$2,CT!B45,"")</f>
        <v/>
      </c>
      <c r="C48" s="23" t="str">
        <f>IF(LEFT(CT!E45,3)='SQTM '!$E$2,CT!B45,"")</f>
        <v/>
      </c>
      <c r="D48" s="23" t="str">
        <f>IF(OR(LEFT(CT!D45,3)='SQTM '!$E$2,LEFT(CT!E45,3)='SQTM '!$E$2),CT!C45,"")</f>
        <v/>
      </c>
      <c r="E48" s="23" t="str">
        <f>IF(LEFT(CT!D45,3)='SQTM '!$E$2,LEFT(CT!E45,3),IF(LEFT(CT!E45,3)='SQTM '!$E$2,LEFT(CT!D45,3),""))</f>
        <v/>
      </c>
      <c r="F48" s="78">
        <f>IF(LEFT(CT!D45,3)='SQTM '!$E$2,CT!H45,0)</f>
        <v>0</v>
      </c>
      <c r="G48" s="78">
        <f>IF(LEFT(CT!E45,3)='SQTM '!$E$2,CT!H45,0)</f>
        <v>0</v>
      </c>
      <c r="H48" s="78">
        <f>IF(SUM(F48:G48)=0,0,$H$6+SUM($F$8:F48)-SUM($G$8:G48))</f>
        <v>0</v>
      </c>
    </row>
    <row r="49" spans="1:8" hidden="1" x14ac:dyDescent="0.3">
      <c r="A49" s="63" t="str">
        <f>IF(OR(LEFT(CT!D46,3)='SQTM '!$E$2,LEFT(CT!E46,3)='SQTM '!$E$2),CT!A46,"")</f>
        <v/>
      </c>
      <c r="B49" s="23" t="str">
        <f>IF(LEFT(CT!D46,3)='SQTM '!$E$2,CT!B46,"")</f>
        <v/>
      </c>
      <c r="C49" s="23" t="str">
        <f>IF(LEFT(CT!E46,3)='SQTM '!$E$2,CT!B46,"")</f>
        <v/>
      </c>
      <c r="D49" s="23" t="str">
        <f>IF(OR(LEFT(CT!D46,3)='SQTM '!$E$2,LEFT(CT!E46,3)='SQTM '!$E$2),CT!C46,"")</f>
        <v/>
      </c>
      <c r="E49" s="23" t="str">
        <f>IF(LEFT(CT!D46,3)='SQTM '!$E$2,LEFT(CT!E46,3),IF(LEFT(CT!E46,3)='SQTM '!$E$2,LEFT(CT!D46,3),""))</f>
        <v/>
      </c>
      <c r="F49" s="78">
        <f>IF(LEFT(CT!D46,3)='SQTM '!$E$2,CT!H46,0)</f>
        <v>0</v>
      </c>
      <c r="G49" s="78">
        <f>IF(LEFT(CT!E46,3)='SQTM '!$E$2,CT!H46,0)</f>
        <v>0</v>
      </c>
      <c r="H49" s="78">
        <f>IF(SUM(F49:G49)=0,0,$H$6+SUM($F$8:F49)-SUM($G$8:G49))</f>
        <v>0</v>
      </c>
    </row>
    <row r="50" spans="1:8" hidden="1" x14ac:dyDescent="0.3">
      <c r="A50" s="63" t="str">
        <f>IF(OR(LEFT(CT!D47,3)='SQTM '!$E$2,LEFT(CT!E47,3)='SQTM '!$E$2),CT!A47,"")</f>
        <v/>
      </c>
      <c r="B50" s="23" t="str">
        <f>IF(LEFT(CT!D47,3)='SQTM '!$E$2,CT!B47,"")</f>
        <v/>
      </c>
      <c r="C50" s="23" t="str">
        <f>IF(LEFT(CT!E47,3)='SQTM '!$E$2,CT!B47,"")</f>
        <v/>
      </c>
      <c r="D50" s="23" t="str">
        <f>IF(OR(LEFT(CT!D47,3)='SQTM '!$E$2,LEFT(CT!E47,3)='SQTM '!$E$2),CT!C47,"")</f>
        <v/>
      </c>
      <c r="E50" s="23" t="str">
        <f>IF(LEFT(CT!D47,3)='SQTM '!$E$2,LEFT(CT!E47,3),IF(LEFT(CT!E47,3)='SQTM '!$E$2,LEFT(CT!D47,3),""))</f>
        <v/>
      </c>
      <c r="F50" s="78">
        <f>IF(LEFT(CT!D47,3)='SQTM '!$E$2,CT!H47,0)</f>
        <v>0</v>
      </c>
      <c r="G50" s="78">
        <f>IF(LEFT(CT!E47,3)='SQTM '!$E$2,CT!H47,0)</f>
        <v>0</v>
      </c>
      <c r="H50" s="78">
        <f>IF(SUM(F50:G50)=0,0,$H$6+SUM($F$8:F50)-SUM($G$8:G50))</f>
        <v>0</v>
      </c>
    </row>
    <row r="51" spans="1:8" hidden="1" x14ac:dyDescent="0.3">
      <c r="A51" s="63" t="str">
        <f>IF(OR(LEFT(CT!D48,3)='SQTM '!$E$2,LEFT(CT!E48,3)='SQTM '!$E$2),CT!A48,"")</f>
        <v/>
      </c>
      <c r="B51" s="23" t="str">
        <f>IF(LEFT(CT!D48,3)='SQTM '!$E$2,CT!B48,"")</f>
        <v/>
      </c>
      <c r="C51" s="23" t="str">
        <f>IF(LEFT(CT!E48,3)='SQTM '!$E$2,CT!B48,"")</f>
        <v/>
      </c>
      <c r="D51" s="23" t="str">
        <f>IF(OR(LEFT(CT!D48,3)='SQTM '!$E$2,LEFT(CT!E48,3)='SQTM '!$E$2),CT!C48,"")</f>
        <v/>
      </c>
      <c r="E51" s="23" t="str">
        <f>IF(LEFT(CT!D48,3)='SQTM '!$E$2,LEFT(CT!E48,3),IF(LEFT(CT!E48,3)='SQTM '!$E$2,LEFT(CT!D48,3),""))</f>
        <v/>
      </c>
      <c r="F51" s="78">
        <f>IF(LEFT(CT!D48,3)='SQTM '!$E$2,CT!H48,0)</f>
        <v>0</v>
      </c>
      <c r="G51" s="78">
        <f>IF(LEFT(CT!E48,3)='SQTM '!$E$2,CT!H48,0)</f>
        <v>0</v>
      </c>
      <c r="H51" s="78">
        <f>IF(SUM(F51:G51)=0,0,$H$6+SUM($F$8:F51)-SUM($G$8:G51))</f>
        <v>0</v>
      </c>
    </row>
    <row r="52" spans="1:8" hidden="1" x14ac:dyDescent="0.3">
      <c r="A52" s="63" t="str">
        <f>IF(OR(LEFT(CT!D49,3)='SQTM '!$E$2,LEFT(CT!E49,3)='SQTM '!$E$2),CT!A49,"")</f>
        <v/>
      </c>
      <c r="B52" s="23" t="str">
        <f>IF(LEFT(CT!D49,3)='SQTM '!$E$2,CT!B49,"")</f>
        <v/>
      </c>
      <c r="C52" s="23" t="str">
        <f>IF(LEFT(CT!E49,3)='SQTM '!$E$2,CT!B49,"")</f>
        <v/>
      </c>
      <c r="D52" s="23" t="str">
        <f>IF(OR(LEFT(CT!D49,3)='SQTM '!$E$2,LEFT(CT!E49,3)='SQTM '!$E$2),CT!C49,"")</f>
        <v/>
      </c>
      <c r="E52" s="23" t="str">
        <f>IF(LEFT(CT!D49,3)='SQTM '!$E$2,LEFT(CT!E49,3),IF(LEFT(CT!E49,3)='SQTM '!$E$2,LEFT(CT!D49,3),""))</f>
        <v/>
      </c>
      <c r="F52" s="78">
        <f>IF(LEFT(CT!D49,3)='SQTM '!$E$2,CT!H49,0)</f>
        <v>0</v>
      </c>
      <c r="G52" s="78">
        <f>IF(LEFT(CT!E49,3)='SQTM '!$E$2,CT!H49,0)</f>
        <v>0</v>
      </c>
      <c r="H52" s="78">
        <f>IF(SUM(F52:G52)=0,0,$H$6+SUM($F$8:F52)-SUM($G$8:G52))</f>
        <v>0</v>
      </c>
    </row>
    <row r="53" spans="1:8" hidden="1" x14ac:dyDescent="0.3">
      <c r="A53" s="63" t="str">
        <f>IF(OR(LEFT(CT!D50,3)='SQTM '!$E$2,LEFT(CT!E50,3)='SQTM '!$E$2),CT!A50,"")</f>
        <v/>
      </c>
      <c r="B53" s="23" t="str">
        <f>IF(LEFT(CT!D50,3)='SQTM '!$E$2,CT!B50,"")</f>
        <v/>
      </c>
      <c r="C53" s="23" t="str">
        <f>IF(LEFT(CT!E50,3)='SQTM '!$E$2,CT!B50,"")</f>
        <v/>
      </c>
      <c r="D53" s="23" t="str">
        <f>IF(OR(LEFT(CT!D50,3)='SQTM '!$E$2,LEFT(CT!E50,3)='SQTM '!$E$2),CT!C50,"")</f>
        <v/>
      </c>
      <c r="E53" s="23" t="str">
        <f>IF(LEFT(CT!D50,3)='SQTM '!$E$2,LEFT(CT!E50,3),IF(LEFT(CT!E50,3)='SQTM '!$E$2,LEFT(CT!D50,3),""))</f>
        <v/>
      </c>
      <c r="F53" s="78">
        <f>IF(LEFT(CT!D50,3)='SQTM '!$E$2,CT!H50,0)</f>
        <v>0</v>
      </c>
      <c r="G53" s="78">
        <f>IF(LEFT(CT!E50,3)='SQTM '!$E$2,CT!H50,0)</f>
        <v>0</v>
      </c>
      <c r="H53" s="78">
        <f>IF(SUM(F53:G53)=0,0,$H$6+SUM($F$8:F53)-SUM($G$8:G53))</f>
        <v>0</v>
      </c>
    </row>
    <row r="54" spans="1:8" x14ac:dyDescent="0.3">
      <c r="A54" s="63">
        <f>IF(OR(LEFT(CT!D51,3)='SQTM '!$E$2,LEFT(CT!E51,3)='SQTM '!$E$2),CT!A51,"")</f>
        <v>45319</v>
      </c>
      <c r="B54" s="23" t="str">
        <f>IF(LEFT(CT!D51,3)='SQTM '!$E$2,CT!B51,"")</f>
        <v>01/TU</v>
      </c>
      <c r="C54" s="23" t="str">
        <f>IF(LEFT(CT!E51,3)='SQTM '!$E$2,CT!B51,"")</f>
        <v/>
      </c>
      <c r="D54" s="23" t="str">
        <f>IF(OR(LEFT(CT!D51,3)='SQTM '!$E$2,LEFT(CT!E51,3)='SQTM '!$E$2),CT!C51,"")</f>
        <v>Thanh toán tạm ứng Hồ Sĩ Nhật</v>
      </c>
      <c r="E54" s="23" t="str">
        <f>IF(LEFT(CT!D51,3)='SQTM '!$E$2,LEFT(CT!E51,3),IF(LEFT(CT!E51,3)='SQTM '!$E$2,LEFT(CT!D51,3),""))</f>
        <v>141</v>
      </c>
      <c r="F54" s="78">
        <f>IF(LEFT(CT!D51,3)='SQTM '!$E$2,CT!H51,0)</f>
        <v>200000</v>
      </c>
      <c r="G54" s="78">
        <f>IF(LEFT(CT!E51,3)='SQTM '!$E$2,CT!H51,0)</f>
        <v>0</v>
      </c>
      <c r="H54" s="78">
        <f>IF(SUM(F54:G54)=0,0,$H$6+SUM($F$8:F54)-SUM($G$8:G54))</f>
        <v>175100000</v>
      </c>
    </row>
    <row r="55" spans="1:8" hidden="1" x14ac:dyDescent="0.3">
      <c r="A55" s="63" t="str">
        <f>IF(OR(LEFT(CT!D52,3)='SQTM '!$E$2,LEFT(CT!E52,3)='SQTM '!$E$2),CT!A52,"")</f>
        <v/>
      </c>
      <c r="B55" s="23" t="str">
        <f>IF(LEFT(CT!D52,3)='SQTM '!$E$2,CT!B52,"")</f>
        <v/>
      </c>
      <c r="C55" s="23" t="str">
        <f>IF(LEFT(CT!E52,3)='SQTM '!$E$2,CT!B52,"")</f>
        <v/>
      </c>
      <c r="D55" s="23" t="str">
        <f>IF(OR(LEFT(CT!D52,3)='SQTM '!$E$2,LEFT(CT!E52,3)='SQTM '!$E$2),CT!C52,"")</f>
        <v/>
      </c>
      <c r="E55" s="23" t="str">
        <f>IF(LEFT(CT!D52,3)='SQTM '!$E$2,LEFT(CT!E52,3),IF(LEFT(CT!E52,3)='SQTM '!$E$2,LEFT(CT!D52,3),""))</f>
        <v/>
      </c>
      <c r="F55" s="78">
        <f>IF(LEFT(CT!D52,3)='SQTM '!$E$2,CT!H52,0)</f>
        <v>0</v>
      </c>
      <c r="G55" s="78">
        <f>IF(LEFT(CT!E52,3)='SQTM '!$E$2,CT!H52,0)</f>
        <v>0</v>
      </c>
      <c r="H55" s="78">
        <f>IF(SUM(F55:G55)=0,0,$H$6+SUM($F$8:F55)-SUM($G$8:G55))</f>
        <v>0</v>
      </c>
    </row>
    <row r="56" spans="1:8" x14ac:dyDescent="0.3">
      <c r="A56" s="63">
        <f>IF(OR(LEFT(CT!D53,3)='SQTM '!$E$2,LEFT(CT!E53,3)='SQTM '!$E$2),CT!A53,"")</f>
        <v>45319</v>
      </c>
      <c r="B56" s="23" t="str">
        <f>IF(LEFT(CT!D53,3)='SQTM '!$E$2,CT!B53,"")</f>
        <v/>
      </c>
      <c r="C56" s="23" t="str">
        <f>IF(LEFT(CT!E53,3)='SQTM '!$E$2,CT!B53,"")</f>
        <v>04/PC</v>
      </c>
      <c r="D56" s="23" t="str">
        <f>IF(OR(LEFT(CT!D53,3)='SQTM '!$E$2,LEFT(CT!E53,3)='SQTM '!$E$2),CT!C53,"")</f>
        <v>Thuế GTGT mua máy xẻ gỗ</v>
      </c>
      <c r="E56" s="23" t="str">
        <f>IF(LEFT(CT!D53,3)='SQTM '!$E$2,LEFT(CT!E53,3),IF(LEFT(CT!E53,3)='SQTM '!$E$2,LEFT(CT!D53,3),""))</f>
        <v>133</v>
      </c>
      <c r="F56" s="78">
        <f>IF(LEFT(CT!D53,3)='SQTM '!$E$2,CT!H53,0)</f>
        <v>0</v>
      </c>
      <c r="G56" s="78">
        <f>IF(LEFT(CT!E53,3)='SQTM '!$E$2,CT!H53,0)</f>
        <v>14000000</v>
      </c>
      <c r="H56" s="78">
        <f>IF(SUM(F56:G56)=0,0,$H$6+SUM($F$8:F56)-SUM($G$8:G56))</f>
        <v>161100000</v>
      </c>
    </row>
    <row r="57" spans="1:8" x14ac:dyDescent="0.3">
      <c r="A57" s="63">
        <f>IF(OR(LEFT(CT!D54,3)='SQTM '!$E$2,LEFT(CT!E54,3)='SQTM '!$E$2),CT!A54,"")</f>
        <v>45319</v>
      </c>
      <c r="B57" s="23" t="str">
        <f>IF(LEFT(CT!D54,3)='SQTM '!$E$2,CT!B54,"")</f>
        <v/>
      </c>
      <c r="C57" s="23" t="str">
        <f>IF(LEFT(CT!E54,3)='SQTM '!$E$2,CT!B54,"")</f>
        <v>04/PC</v>
      </c>
      <c r="D57" s="23" t="str">
        <f>IF(OR(LEFT(CT!D54,3)='SQTM '!$E$2,LEFT(CT!E54,3)='SQTM '!$E$2),CT!C54,"")</f>
        <v>Mua máy xẻ gỗ</v>
      </c>
      <c r="E57" s="23" t="str">
        <f>IF(LEFT(CT!D54,3)='SQTM '!$E$2,LEFT(CT!E54,3),IF(LEFT(CT!E54,3)='SQTM '!$E$2,LEFT(CT!D54,3),""))</f>
        <v>211</v>
      </c>
      <c r="F57" s="78">
        <f>IF(LEFT(CT!D54,3)='SQTM '!$E$2,CT!H54,0)</f>
        <v>0</v>
      </c>
      <c r="G57" s="78">
        <f>IF(LEFT(CT!E54,3)='SQTM '!$E$2,CT!H54,0)</f>
        <v>140000000</v>
      </c>
      <c r="H57" s="78">
        <f>IF(SUM(F57:G57)=0,0,$H$6+SUM($F$8:F57)-SUM($G$8:G57))</f>
        <v>21100000</v>
      </c>
    </row>
    <row r="58" spans="1:8" hidden="1" x14ac:dyDescent="0.3">
      <c r="A58" s="63" t="str">
        <f>IF(OR(LEFT(CT!D55,3)='SQTM '!$E$2,LEFT(CT!E55,3)='SQTM '!$E$2),CT!A55,"")</f>
        <v/>
      </c>
      <c r="B58" s="23" t="str">
        <f>IF(LEFT(CT!D55,3)='SQTM '!$E$2,CT!B55,"")</f>
        <v/>
      </c>
      <c r="C58" s="23" t="str">
        <f>IF(LEFT(CT!E55,3)='SQTM '!$E$2,CT!B55,"")</f>
        <v/>
      </c>
      <c r="D58" s="23" t="str">
        <f>IF(OR(LEFT(CT!D55,3)='SQTM '!$E$2,LEFT(CT!E55,3)='SQTM '!$E$2),CT!C55,"")</f>
        <v/>
      </c>
      <c r="E58" s="23" t="str">
        <f>IF(LEFT(CT!D55,3)='SQTM '!$E$2,LEFT(CT!E55,3),IF(LEFT(CT!E55,3)='SQTM '!$E$2,LEFT(CT!D55,3),""))</f>
        <v/>
      </c>
      <c r="F58" s="78">
        <f>IF(LEFT(CT!D55,3)='SQTM '!$E$2,CT!H55,0)</f>
        <v>0</v>
      </c>
      <c r="G58" s="78">
        <f>IF(LEFT(CT!E55,3)='SQTM '!$E$2,CT!H55,0)</f>
        <v>0</v>
      </c>
      <c r="H58" s="78">
        <f>IF(SUM(F58:G58)=0,0,$H$6+SUM($F$8:F58)-SUM($G$8:G58))</f>
        <v>0</v>
      </c>
    </row>
    <row r="59" spans="1:8" hidden="1" x14ac:dyDescent="0.3">
      <c r="A59" s="63" t="str">
        <f>IF(OR(LEFT(CT!D56,3)='SQTM '!$E$2,LEFT(CT!E56,3)='SQTM '!$E$2),CT!A56,"")</f>
        <v/>
      </c>
      <c r="B59" s="23" t="str">
        <f>IF(LEFT(CT!D56,3)='SQTM '!$E$2,CT!B56,"")</f>
        <v/>
      </c>
      <c r="C59" s="23" t="str">
        <f>IF(LEFT(CT!E56,3)='SQTM '!$E$2,CT!B56,"")</f>
        <v/>
      </c>
      <c r="D59" s="23" t="str">
        <f>IF(OR(LEFT(CT!D56,3)='SQTM '!$E$2,LEFT(CT!E56,3)='SQTM '!$E$2),CT!C56,"")</f>
        <v/>
      </c>
      <c r="E59" s="23" t="str">
        <f>IF(LEFT(CT!D56,3)='SQTM '!$E$2,LEFT(CT!E56,3),IF(LEFT(CT!E56,3)='SQTM '!$E$2,LEFT(CT!D56,3),""))</f>
        <v/>
      </c>
      <c r="F59" s="78">
        <f>IF(LEFT(CT!D56,3)='SQTM '!$E$2,CT!H56,0)</f>
        <v>0</v>
      </c>
      <c r="G59" s="78">
        <f>IF(LEFT(CT!E56,3)='SQTM '!$E$2,CT!H56,0)</f>
        <v>0</v>
      </c>
      <c r="H59" s="78">
        <f>IF(SUM(F59:G59)=0,0,$H$6+SUM($F$8:F59)-SUM($G$8:G59))</f>
        <v>0</v>
      </c>
    </row>
    <row r="60" spans="1:8" hidden="1" x14ac:dyDescent="0.3">
      <c r="A60" s="63" t="str">
        <f>IF(OR(LEFT(CT!D57,3)='SQTM '!$E$2,LEFT(CT!E57,3)='SQTM '!$E$2),CT!A57,"")</f>
        <v/>
      </c>
      <c r="B60" s="23" t="str">
        <f>IF(LEFT(CT!D57,3)='SQTM '!$E$2,CT!B57,"")</f>
        <v/>
      </c>
      <c r="C60" s="23" t="str">
        <f>IF(LEFT(CT!E57,3)='SQTM '!$E$2,CT!B57,"")</f>
        <v/>
      </c>
      <c r="D60" s="23" t="str">
        <f>IF(OR(LEFT(CT!D57,3)='SQTM '!$E$2,LEFT(CT!E57,3)='SQTM '!$E$2),CT!C57,"")</f>
        <v/>
      </c>
      <c r="E60" s="23" t="str">
        <f>IF(LEFT(CT!D57,3)='SQTM '!$E$2,LEFT(CT!E57,3),IF(LEFT(CT!E57,3)='SQTM '!$E$2,LEFT(CT!D57,3),""))</f>
        <v/>
      </c>
      <c r="F60" s="78">
        <f>IF(LEFT(CT!D57,3)='SQTM '!$E$2,CT!H57,0)</f>
        <v>0</v>
      </c>
      <c r="G60" s="78">
        <f>IF(LEFT(CT!E57,3)='SQTM '!$E$2,CT!H57,0)</f>
        <v>0</v>
      </c>
      <c r="H60" s="78">
        <f>IF(SUM(F60:G60)=0,0,$H$6+SUM($F$8:F60)-SUM($G$8:G60))</f>
        <v>0</v>
      </c>
    </row>
    <row r="61" spans="1:8" hidden="1" x14ac:dyDescent="0.3">
      <c r="A61" s="63" t="str">
        <f>IF(OR(LEFT(CT!D58,3)='SQTM '!$E$2,LEFT(CT!E58,3)='SQTM '!$E$2),CT!A58,"")</f>
        <v/>
      </c>
      <c r="B61" s="23" t="str">
        <f>IF(LEFT(CT!D58,3)='SQTM '!$E$2,CT!B58,"")</f>
        <v/>
      </c>
      <c r="C61" s="23" t="str">
        <f>IF(LEFT(CT!E58,3)='SQTM '!$E$2,CT!B58,"")</f>
        <v/>
      </c>
      <c r="D61" s="23" t="str">
        <f>IF(OR(LEFT(CT!D58,3)='SQTM '!$E$2,LEFT(CT!E58,3)='SQTM '!$E$2),CT!C58,"")</f>
        <v/>
      </c>
      <c r="E61" s="23" t="str">
        <f>IF(LEFT(CT!D58,3)='SQTM '!$E$2,LEFT(CT!E58,3),IF(LEFT(CT!E58,3)='SQTM '!$E$2,LEFT(CT!D58,3),""))</f>
        <v/>
      </c>
      <c r="F61" s="78">
        <f>IF(LEFT(CT!D58,3)='SQTM '!$E$2,CT!H58,0)</f>
        <v>0</v>
      </c>
      <c r="G61" s="78">
        <f>IF(LEFT(CT!E58,3)='SQTM '!$E$2,CT!H58,0)</f>
        <v>0</v>
      </c>
      <c r="H61" s="78">
        <f>IF(SUM(F61:G61)=0,0,$H$6+SUM($F$8:F61)-SUM($G$8:G61))</f>
        <v>0</v>
      </c>
    </row>
    <row r="62" spans="1:8" hidden="1" x14ac:dyDescent="0.3">
      <c r="A62" s="63" t="str">
        <f>IF(OR(LEFT(CT!D59,3)='SQTM '!$E$2,LEFT(CT!E59,3)='SQTM '!$E$2),CT!A59,"")</f>
        <v/>
      </c>
      <c r="B62" s="23" t="str">
        <f>IF(LEFT(CT!D59,3)='SQTM '!$E$2,CT!B59,"")</f>
        <v/>
      </c>
      <c r="C62" s="23" t="str">
        <f>IF(LEFT(CT!E59,3)='SQTM '!$E$2,CT!B59,"")</f>
        <v/>
      </c>
      <c r="D62" s="23" t="str">
        <f>IF(OR(LEFT(CT!D59,3)='SQTM '!$E$2,LEFT(CT!E59,3)='SQTM '!$E$2),CT!C59,"")</f>
        <v/>
      </c>
      <c r="E62" s="23" t="str">
        <f>IF(LEFT(CT!D59,3)='SQTM '!$E$2,LEFT(CT!E59,3),IF(LEFT(CT!E59,3)='SQTM '!$E$2,LEFT(CT!D59,3),""))</f>
        <v/>
      </c>
      <c r="F62" s="78">
        <f>IF(LEFT(CT!D59,3)='SQTM '!$E$2,CT!H59,0)</f>
        <v>0</v>
      </c>
      <c r="G62" s="78">
        <f>IF(LEFT(CT!E59,3)='SQTM '!$E$2,CT!H59,0)</f>
        <v>0</v>
      </c>
      <c r="H62" s="78">
        <f>IF(SUM(F62:G62)=0,0,$H$6+SUM($F$8:F62)-SUM($G$8:G62))</f>
        <v>0</v>
      </c>
    </row>
    <row r="63" spans="1:8" hidden="1" x14ac:dyDescent="0.3">
      <c r="A63" s="63" t="str">
        <f>IF(OR(LEFT(CT!D60,3)='SQTM '!$E$2,LEFT(CT!E60,3)='SQTM '!$E$2),CT!A60,"")</f>
        <v/>
      </c>
      <c r="B63" s="23" t="str">
        <f>IF(LEFT(CT!D60,3)='SQTM '!$E$2,CT!B60,"")</f>
        <v/>
      </c>
      <c r="C63" s="23" t="str">
        <f>IF(LEFT(CT!E60,3)='SQTM '!$E$2,CT!B60,"")</f>
        <v/>
      </c>
      <c r="D63" s="23" t="str">
        <f>IF(OR(LEFT(CT!D60,3)='SQTM '!$E$2,LEFT(CT!E60,3)='SQTM '!$E$2),CT!C60,"")</f>
        <v/>
      </c>
      <c r="E63" s="23" t="str">
        <f>IF(LEFT(CT!D60,3)='SQTM '!$E$2,LEFT(CT!E60,3),IF(LEFT(CT!E60,3)='SQTM '!$E$2,LEFT(CT!D60,3),""))</f>
        <v/>
      </c>
      <c r="F63" s="78">
        <f>IF(LEFT(CT!D60,3)='SQTM '!$E$2,CT!H60,0)</f>
        <v>0</v>
      </c>
      <c r="G63" s="78">
        <f>IF(LEFT(CT!E60,3)='SQTM '!$E$2,CT!H60,0)</f>
        <v>0</v>
      </c>
      <c r="H63" s="78">
        <f>IF(SUM(F63:G63)=0,0,$H$6+SUM($F$8:F63)-SUM($G$8:G63))</f>
        <v>0</v>
      </c>
    </row>
    <row r="64" spans="1:8" hidden="1" x14ac:dyDescent="0.3">
      <c r="A64" s="63" t="str">
        <f>IF(OR(LEFT(CT!D61,3)='SQTM '!$E$2,LEFT(CT!E61,3)='SQTM '!$E$2),CT!A61,"")</f>
        <v/>
      </c>
      <c r="B64" s="23" t="str">
        <f>IF(LEFT(CT!D61,3)='SQTM '!$E$2,CT!B61,"")</f>
        <v/>
      </c>
      <c r="C64" s="23" t="str">
        <f>IF(LEFT(CT!E61,3)='SQTM '!$E$2,CT!B61,"")</f>
        <v/>
      </c>
      <c r="D64" s="23" t="str">
        <f>IF(OR(LEFT(CT!D61,3)='SQTM '!$E$2,LEFT(CT!E61,3)='SQTM '!$E$2),CT!C61,"")</f>
        <v/>
      </c>
      <c r="E64" s="23" t="str">
        <f>IF(LEFT(CT!D61,3)='SQTM '!$E$2,LEFT(CT!E61,3),IF(LEFT(CT!E61,3)='SQTM '!$E$2,LEFT(CT!D61,3),""))</f>
        <v/>
      </c>
      <c r="F64" s="78">
        <f>IF(LEFT(CT!D61,3)='SQTM '!$E$2,CT!H61,0)</f>
        <v>0</v>
      </c>
      <c r="G64" s="78">
        <f>IF(LEFT(CT!E61,3)='SQTM '!$E$2,CT!H61,0)</f>
        <v>0</v>
      </c>
      <c r="H64" s="78">
        <f>IF(SUM(F64:G64)=0,0,$H$6+SUM($F$8:F64)-SUM($G$8:G64))</f>
        <v>0</v>
      </c>
    </row>
    <row r="65" spans="1:8" hidden="1" x14ac:dyDescent="0.3">
      <c r="A65" s="63" t="str">
        <f>IF(OR(LEFT(CT!D62,3)='SQTM '!$E$2,LEFT(CT!E62,3)='SQTM '!$E$2),CT!A62,"")</f>
        <v/>
      </c>
      <c r="B65" s="23" t="str">
        <f>IF(LEFT(CT!D62,3)='SQTM '!$E$2,CT!B62,"")</f>
        <v/>
      </c>
      <c r="C65" s="23" t="str">
        <f>IF(LEFT(CT!E62,3)='SQTM '!$E$2,CT!B62,"")</f>
        <v/>
      </c>
      <c r="D65" s="23" t="str">
        <f>IF(OR(LEFT(CT!D62,3)='SQTM '!$E$2,LEFT(CT!E62,3)='SQTM '!$E$2),CT!C62,"")</f>
        <v/>
      </c>
      <c r="E65" s="23" t="str">
        <f>IF(LEFT(CT!D62,3)='SQTM '!$E$2,LEFT(CT!E62,3),IF(LEFT(CT!E62,3)='SQTM '!$E$2,LEFT(CT!D62,3),""))</f>
        <v/>
      </c>
      <c r="F65" s="78">
        <f>IF(LEFT(CT!D62,3)='SQTM '!$E$2,CT!H62,0)</f>
        <v>0</v>
      </c>
      <c r="G65" s="78">
        <f>IF(LEFT(CT!E62,3)='SQTM '!$E$2,CT!H62,0)</f>
        <v>0</v>
      </c>
      <c r="H65" s="78">
        <f>IF(SUM(F65:G65)=0,0,$H$6+SUM($F$8:F65)-SUM($G$8:G65))</f>
        <v>0</v>
      </c>
    </row>
    <row r="66" spans="1:8" hidden="1" x14ac:dyDescent="0.3">
      <c r="A66" s="63" t="str">
        <f>IF(OR(LEFT(CT!D63,3)='SQTM '!$E$2,LEFT(CT!E63,3)='SQTM '!$E$2),CT!A63,"")</f>
        <v/>
      </c>
      <c r="B66" s="23" t="str">
        <f>IF(LEFT(CT!D63,3)='SQTM '!$E$2,CT!B63,"")</f>
        <v/>
      </c>
      <c r="C66" s="23" t="str">
        <f>IF(LEFT(CT!E63,3)='SQTM '!$E$2,CT!B63,"")</f>
        <v/>
      </c>
      <c r="D66" s="23" t="str">
        <f>IF(OR(LEFT(CT!D63,3)='SQTM '!$E$2,LEFT(CT!E63,3)='SQTM '!$E$2),CT!C63,"")</f>
        <v/>
      </c>
      <c r="E66" s="23" t="str">
        <f>IF(LEFT(CT!D63,3)='SQTM '!$E$2,LEFT(CT!E63,3),IF(LEFT(CT!E63,3)='SQTM '!$E$2,LEFT(CT!D63,3),""))</f>
        <v/>
      </c>
      <c r="F66" s="78">
        <f>IF(LEFT(CT!D63,3)='SQTM '!$E$2,CT!H63,0)</f>
        <v>0</v>
      </c>
      <c r="G66" s="78">
        <f>IF(LEFT(CT!E63,3)='SQTM '!$E$2,CT!H63,0)</f>
        <v>0</v>
      </c>
      <c r="H66" s="78">
        <f>IF(SUM(F66:G66)=0,0,$H$6+SUM($F$8:F66)-SUM($G$8:G66))</f>
        <v>0</v>
      </c>
    </row>
    <row r="67" spans="1:8" hidden="1" x14ac:dyDescent="0.3">
      <c r="A67" s="63" t="str">
        <f>IF(OR(LEFT(CT!D64,3)='SQTM '!$E$2,LEFT(CT!E64,3)='SQTM '!$E$2),CT!A64,"")</f>
        <v/>
      </c>
      <c r="B67" s="23" t="str">
        <f>IF(LEFT(CT!D64,3)='SQTM '!$E$2,CT!B64,"")</f>
        <v/>
      </c>
      <c r="C67" s="23" t="str">
        <f>IF(LEFT(CT!E64,3)='SQTM '!$E$2,CT!B64,"")</f>
        <v/>
      </c>
      <c r="D67" s="23" t="str">
        <f>IF(OR(LEFT(CT!D64,3)='SQTM '!$E$2,LEFT(CT!E64,3)='SQTM '!$E$2),CT!C64,"")</f>
        <v/>
      </c>
      <c r="E67" s="23" t="str">
        <f>IF(LEFT(CT!D64,3)='SQTM '!$E$2,LEFT(CT!E64,3),IF(LEFT(CT!E64,3)='SQTM '!$E$2,LEFT(CT!D64,3),""))</f>
        <v/>
      </c>
      <c r="F67" s="78">
        <f>IF(LEFT(CT!D64,3)='SQTM '!$E$2,CT!H64,0)</f>
        <v>0</v>
      </c>
      <c r="G67" s="78">
        <f>IF(LEFT(CT!E64,3)='SQTM '!$E$2,CT!H64,0)</f>
        <v>0</v>
      </c>
      <c r="H67" s="78">
        <f>IF(SUM(F67:G67)=0,0,$H$6+SUM($F$8:F67)-SUM($G$8:G67))</f>
        <v>0</v>
      </c>
    </row>
    <row r="68" spans="1:8" hidden="1" x14ac:dyDescent="0.3">
      <c r="A68" s="63" t="str">
        <f>IF(OR(LEFT(CT!D65,3)='SQTM '!$E$2,LEFT(CT!E65,3)='SQTM '!$E$2),CT!A65,"")</f>
        <v/>
      </c>
      <c r="B68" s="23" t="str">
        <f>IF(LEFT(CT!D65,3)='SQTM '!$E$2,CT!B65,"")</f>
        <v/>
      </c>
      <c r="C68" s="23" t="str">
        <f>IF(LEFT(CT!E65,3)='SQTM '!$E$2,CT!B65,"")</f>
        <v/>
      </c>
      <c r="D68" s="23" t="str">
        <f>IF(OR(LEFT(CT!D65,3)='SQTM '!$E$2,LEFT(CT!E65,3)='SQTM '!$E$2),CT!C65,"")</f>
        <v/>
      </c>
      <c r="E68" s="23" t="str">
        <f>IF(LEFT(CT!D65,3)='SQTM '!$E$2,LEFT(CT!E65,3),IF(LEFT(CT!E65,3)='SQTM '!$E$2,LEFT(CT!D65,3),""))</f>
        <v/>
      </c>
      <c r="F68" s="78">
        <f>IF(LEFT(CT!D65,3)='SQTM '!$E$2,CT!H65,0)</f>
        <v>0</v>
      </c>
      <c r="G68" s="78">
        <f>IF(LEFT(CT!E65,3)='SQTM '!$E$2,CT!H65,0)</f>
        <v>0</v>
      </c>
      <c r="H68" s="78">
        <f>IF(SUM(F68:G68)=0,0,$H$6+SUM($F$8:F68)-SUM($G$8:G68))</f>
        <v>0</v>
      </c>
    </row>
    <row r="69" spans="1:8" hidden="1" x14ac:dyDescent="0.3">
      <c r="A69" s="63" t="str">
        <f>IF(OR(LEFT(CT!D66,3)='SQTM '!$E$2,LEFT(CT!E66,3)='SQTM '!$E$2),CT!A66,"")</f>
        <v/>
      </c>
      <c r="B69" s="23" t="str">
        <f>IF(LEFT(CT!D66,3)='SQTM '!$E$2,CT!B66,"")</f>
        <v/>
      </c>
      <c r="C69" s="23" t="str">
        <f>IF(LEFT(CT!E66,3)='SQTM '!$E$2,CT!B66,"")</f>
        <v/>
      </c>
      <c r="D69" s="23" t="str">
        <f>IF(OR(LEFT(CT!D66,3)='SQTM '!$E$2,LEFT(CT!E66,3)='SQTM '!$E$2),CT!C66,"")</f>
        <v/>
      </c>
      <c r="E69" s="23" t="str">
        <f>IF(LEFT(CT!D66,3)='SQTM '!$E$2,LEFT(CT!E66,3),IF(LEFT(CT!E66,3)='SQTM '!$E$2,LEFT(CT!D66,3),""))</f>
        <v/>
      </c>
      <c r="F69" s="78">
        <f>IF(LEFT(CT!D66,3)='SQTM '!$E$2,CT!H66,0)</f>
        <v>0</v>
      </c>
      <c r="G69" s="78">
        <f>IF(LEFT(CT!E66,3)='SQTM '!$E$2,CT!H66,0)</f>
        <v>0</v>
      </c>
      <c r="H69" s="78">
        <f>IF(SUM(F69:G69)=0,0,$H$6+SUM($F$8:F69)-SUM($G$8:G69))</f>
        <v>0</v>
      </c>
    </row>
    <row r="70" spans="1:8" hidden="1" x14ac:dyDescent="0.3">
      <c r="A70" s="63" t="str">
        <f>IF(OR(LEFT(CT!D67,3)='SQTM '!$E$2,LEFT(CT!E67,3)='SQTM '!$E$2),CT!A67,"")</f>
        <v/>
      </c>
      <c r="B70" s="23" t="str">
        <f>IF(LEFT(CT!D67,3)='SQTM '!$E$2,CT!B67,"")</f>
        <v/>
      </c>
      <c r="C70" s="23" t="str">
        <f>IF(LEFT(CT!E67,3)='SQTM '!$E$2,CT!B67,"")</f>
        <v/>
      </c>
      <c r="D70" s="23" t="str">
        <f>IF(OR(LEFT(CT!D67,3)='SQTM '!$E$2,LEFT(CT!E67,3)='SQTM '!$E$2),CT!C67,"")</f>
        <v/>
      </c>
      <c r="E70" s="23" t="str">
        <f>IF(LEFT(CT!D67,3)='SQTM '!$E$2,LEFT(CT!E67,3),IF(LEFT(CT!E67,3)='SQTM '!$E$2,LEFT(CT!D67,3),""))</f>
        <v/>
      </c>
      <c r="F70" s="78">
        <f>IF(LEFT(CT!D67,3)='SQTM '!$E$2,CT!H67,0)</f>
        <v>0</v>
      </c>
      <c r="G70" s="78">
        <f>IF(LEFT(CT!E67,3)='SQTM '!$E$2,CT!H67,0)</f>
        <v>0</v>
      </c>
      <c r="H70" s="78">
        <f>IF(SUM(F70:G70)=0,0,$H$6+SUM($F$8:F70)-SUM($G$8:G70))</f>
        <v>0</v>
      </c>
    </row>
    <row r="71" spans="1:8" hidden="1" x14ac:dyDescent="0.3">
      <c r="A71" s="63" t="str">
        <f>IF(OR(LEFT(CT!D68,3)='SQTM '!$E$2,LEFT(CT!E68,3)='SQTM '!$E$2),CT!A68,"")</f>
        <v/>
      </c>
      <c r="B71" s="23" t="str">
        <f>IF(LEFT(CT!D68,3)='SQTM '!$E$2,CT!B68,"")</f>
        <v/>
      </c>
      <c r="C71" s="23" t="str">
        <f>IF(LEFT(CT!E68,3)='SQTM '!$E$2,CT!B68,"")</f>
        <v/>
      </c>
      <c r="D71" s="23" t="str">
        <f>IF(OR(LEFT(CT!D68,3)='SQTM '!$E$2,LEFT(CT!E68,3)='SQTM '!$E$2),CT!C68,"")</f>
        <v/>
      </c>
      <c r="E71" s="23" t="str">
        <f>IF(LEFT(CT!D68,3)='SQTM '!$E$2,LEFT(CT!E68,3),IF(LEFT(CT!E68,3)='SQTM '!$E$2,LEFT(CT!D68,3),""))</f>
        <v/>
      </c>
      <c r="F71" s="78">
        <f>IF(LEFT(CT!D68,3)='SQTM '!$E$2,CT!H68,0)</f>
        <v>0</v>
      </c>
      <c r="G71" s="78">
        <f>IF(LEFT(CT!E68,3)='SQTM '!$E$2,CT!H68,0)</f>
        <v>0</v>
      </c>
      <c r="H71" s="78">
        <f>IF(SUM(F71:G71)=0,0,$H$6+SUM($F$8:F71)-SUM($G$8:G71))</f>
        <v>0</v>
      </c>
    </row>
    <row r="72" spans="1:8" hidden="1" x14ac:dyDescent="0.3">
      <c r="A72" s="63" t="str">
        <f>IF(OR(LEFT(CT!D69,3)='SQTM '!$E$2,LEFT(CT!E69,3)='SQTM '!$E$2),CT!A69,"")</f>
        <v/>
      </c>
      <c r="B72" s="23" t="str">
        <f>IF(LEFT(CT!D69,3)='SQTM '!$E$2,CT!B69,"")</f>
        <v/>
      </c>
      <c r="C72" s="23" t="str">
        <f>IF(LEFT(CT!E69,3)='SQTM '!$E$2,CT!B69,"")</f>
        <v/>
      </c>
      <c r="D72" s="23" t="str">
        <f>IF(OR(LEFT(CT!D69,3)='SQTM '!$E$2,LEFT(CT!E69,3)='SQTM '!$E$2),CT!C69,"")</f>
        <v/>
      </c>
      <c r="E72" s="23" t="str">
        <f>IF(LEFT(CT!D69,3)='SQTM '!$E$2,LEFT(CT!E69,3),IF(LEFT(CT!E69,3)='SQTM '!$E$2,LEFT(CT!D69,3),""))</f>
        <v/>
      </c>
      <c r="F72" s="78">
        <f>IF(LEFT(CT!D69,3)='SQTM '!$E$2,CT!H69,0)</f>
        <v>0</v>
      </c>
      <c r="G72" s="78">
        <f>IF(LEFT(CT!E69,3)='SQTM '!$E$2,CT!H69,0)</f>
        <v>0</v>
      </c>
      <c r="H72" s="78">
        <f>IF(SUM(F72:G72)=0,0,$H$6+SUM($F$8:F72)-SUM($G$8:G72))</f>
        <v>0</v>
      </c>
    </row>
    <row r="73" spans="1:8" hidden="1" x14ac:dyDescent="0.3">
      <c r="A73" s="63" t="str">
        <f>IF(OR(LEFT(CT!D70,3)='SQTM '!$E$2,LEFT(CT!E70,3)='SQTM '!$E$2),CT!A70,"")</f>
        <v/>
      </c>
      <c r="B73" s="23" t="str">
        <f>IF(LEFT(CT!D70,3)='SQTM '!$E$2,CT!B70,"")</f>
        <v/>
      </c>
      <c r="C73" s="23" t="str">
        <f>IF(LEFT(CT!E70,3)='SQTM '!$E$2,CT!B70,"")</f>
        <v/>
      </c>
      <c r="D73" s="23" t="str">
        <f>IF(OR(LEFT(CT!D70,3)='SQTM '!$E$2,LEFT(CT!E70,3)='SQTM '!$E$2),CT!C70,"")</f>
        <v/>
      </c>
      <c r="E73" s="23" t="str">
        <f>IF(LEFT(CT!D70,3)='SQTM '!$E$2,LEFT(CT!E70,3),IF(LEFT(CT!E70,3)='SQTM '!$E$2,LEFT(CT!D70,3),""))</f>
        <v/>
      </c>
      <c r="F73" s="78">
        <f>IF(LEFT(CT!D70,3)='SQTM '!$E$2,CT!H70,0)</f>
        <v>0</v>
      </c>
      <c r="G73" s="78">
        <f>IF(LEFT(CT!E70,3)='SQTM '!$E$2,CT!H70,0)</f>
        <v>0</v>
      </c>
      <c r="H73" s="78">
        <f>IF(SUM(F73:G73)=0,0,$H$6+SUM($F$8:F73)-SUM($G$8:G73))</f>
        <v>0</v>
      </c>
    </row>
    <row r="74" spans="1:8" hidden="1" x14ac:dyDescent="0.3">
      <c r="A74" s="63" t="str">
        <f>IF(OR(LEFT(CT!D71,3)='SQTM '!$E$2,LEFT(CT!E71,3)='SQTM '!$E$2),CT!A71,"")</f>
        <v/>
      </c>
      <c r="B74" s="23" t="str">
        <f>IF(LEFT(CT!D71,3)='SQTM '!$E$2,CT!B71,"")</f>
        <v/>
      </c>
      <c r="C74" s="23" t="str">
        <f>IF(LEFT(CT!E71,3)='SQTM '!$E$2,CT!B71,"")</f>
        <v/>
      </c>
      <c r="D74" s="23" t="str">
        <f>IF(OR(LEFT(CT!D71,3)='SQTM '!$E$2,LEFT(CT!E71,3)='SQTM '!$E$2),CT!C71,"")</f>
        <v/>
      </c>
      <c r="E74" s="23" t="str">
        <f>IF(LEFT(CT!D71,3)='SQTM '!$E$2,LEFT(CT!E71,3),IF(LEFT(CT!E71,3)='SQTM '!$E$2,LEFT(CT!D71,3),""))</f>
        <v/>
      </c>
      <c r="F74" s="78">
        <f>IF(LEFT(CT!D71,3)='SQTM '!$E$2,CT!H71,0)</f>
        <v>0</v>
      </c>
      <c r="G74" s="78">
        <f>IF(LEFT(CT!E71,3)='SQTM '!$E$2,CT!H71,0)</f>
        <v>0</v>
      </c>
      <c r="H74" s="78">
        <f>IF(SUM(F74:G74)=0,0,$H$6+SUM($F$8:F74)-SUM($G$8:G74))</f>
        <v>0</v>
      </c>
    </row>
    <row r="75" spans="1:8" hidden="1" x14ac:dyDescent="0.3">
      <c r="A75" s="63" t="str">
        <f>IF(OR(LEFT(CT!D72,3)='SQTM '!$E$2,LEFT(CT!E72,3)='SQTM '!$E$2),CT!A72,"")</f>
        <v/>
      </c>
      <c r="B75" s="23" t="str">
        <f>IF(LEFT(CT!D72,3)='SQTM '!$E$2,CT!B72,"")</f>
        <v/>
      </c>
      <c r="C75" s="23" t="str">
        <f>IF(LEFT(CT!E72,3)='SQTM '!$E$2,CT!B72,"")</f>
        <v/>
      </c>
      <c r="D75" s="23" t="str">
        <f>IF(OR(LEFT(CT!D72,3)='SQTM '!$E$2,LEFT(CT!E72,3)='SQTM '!$E$2),CT!C72,"")</f>
        <v/>
      </c>
      <c r="E75" s="23" t="str">
        <f>IF(LEFT(CT!D72,3)='SQTM '!$E$2,LEFT(CT!E72,3),IF(LEFT(CT!E72,3)='SQTM '!$E$2,LEFT(CT!D72,3),""))</f>
        <v/>
      </c>
      <c r="F75" s="78">
        <f>IF(LEFT(CT!D72,3)='SQTM '!$E$2,CT!H72,0)</f>
        <v>0</v>
      </c>
      <c r="G75" s="78">
        <f>IF(LEFT(CT!E72,3)='SQTM '!$E$2,CT!H72,0)</f>
        <v>0</v>
      </c>
      <c r="H75" s="78">
        <f>IF(SUM(F75:G75)=0,0,$H$6+SUM($F$8:F75)-SUM($G$8:G75))</f>
        <v>0</v>
      </c>
    </row>
    <row r="76" spans="1:8" hidden="1" x14ac:dyDescent="0.3">
      <c r="A76" s="63" t="str">
        <f>IF(OR(LEFT(CT!D73,3)='SQTM '!$E$2,LEFT(CT!E73,3)='SQTM '!$E$2),CT!A73,"")</f>
        <v/>
      </c>
      <c r="B76" s="23" t="str">
        <f>IF(LEFT(CT!D73,3)='SQTM '!$E$2,CT!B73,"")</f>
        <v/>
      </c>
      <c r="C76" s="23" t="str">
        <f>IF(LEFT(CT!E73,3)='SQTM '!$E$2,CT!B73,"")</f>
        <v/>
      </c>
      <c r="D76" s="23" t="str">
        <f>IF(OR(LEFT(CT!D73,3)='SQTM '!$E$2,LEFT(CT!E73,3)='SQTM '!$E$2),CT!C73,"")</f>
        <v/>
      </c>
      <c r="E76" s="23" t="str">
        <f>IF(LEFT(CT!D73,3)='SQTM '!$E$2,LEFT(CT!E73,3),IF(LEFT(CT!E73,3)='SQTM '!$E$2,LEFT(CT!D73,3),""))</f>
        <v/>
      </c>
      <c r="F76" s="78">
        <f>IF(LEFT(CT!D73,3)='SQTM '!$E$2,CT!H73,0)</f>
        <v>0</v>
      </c>
      <c r="G76" s="78">
        <f>IF(LEFT(CT!E73,3)='SQTM '!$E$2,CT!H73,0)</f>
        <v>0</v>
      </c>
      <c r="H76" s="78">
        <f>IF(SUM(F76:G76)=0,0,$H$6+SUM($F$8:F76)-SUM($G$8:G76))</f>
        <v>0</v>
      </c>
    </row>
    <row r="77" spans="1:8" hidden="1" x14ac:dyDescent="0.3">
      <c r="A77" s="63" t="str">
        <f>IF(OR(LEFT(CT!D74,3)='SQTM '!$E$2,LEFT(CT!E74,3)='SQTM '!$E$2),CT!A74,"")</f>
        <v/>
      </c>
      <c r="B77" s="23" t="str">
        <f>IF(LEFT(CT!D74,3)='SQTM '!$E$2,CT!B74,"")</f>
        <v/>
      </c>
      <c r="C77" s="23" t="str">
        <f>IF(LEFT(CT!E74,3)='SQTM '!$E$2,CT!B74,"")</f>
        <v/>
      </c>
      <c r="D77" s="23" t="str">
        <f>IF(OR(LEFT(CT!D74,3)='SQTM '!$E$2,LEFT(CT!E74,3)='SQTM '!$E$2),CT!C74,"")</f>
        <v/>
      </c>
      <c r="E77" s="23" t="str">
        <f>IF(LEFT(CT!D74,3)='SQTM '!$E$2,LEFT(CT!E74,3),IF(LEFT(CT!E74,3)='SQTM '!$E$2,LEFT(CT!D74,3),""))</f>
        <v/>
      </c>
      <c r="F77" s="78">
        <f>IF(LEFT(CT!D74,3)='SQTM '!$E$2,CT!H74,0)</f>
        <v>0</v>
      </c>
      <c r="G77" s="78">
        <f>IF(LEFT(CT!E74,3)='SQTM '!$E$2,CT!H74,0)</f>
        <v>0</v>
      </c>
      <c r="H77" s="78">
        <f>IF(SUM(F77:G77)=0,0,$H$6+SUM($F$8:F77)-SUM($G$8:G77))</f>
        <v>0</v>
      </c>
    </row>
    <row r="78" spans="1:8" hidden="1" x14ac:dyDescent="0.3">
      <c r="A78" s="63" t="str">
        <f>IF(OR(LEFT(CT!D75,3)='SQTM '!$E$2,LEFT(CT!E75,3)='SQTM '!$E$2),CT!A75,"")</f>
        <v/>
      </c>
      <c r="B78" s="23" t="str">
        <f>IF(LEFT(CT!D75,3)='SQTM '!$E$2,CT!B75,"")</f>
        <v/>
      </c>
      <c r="C78" s="23" t="str">
        <f>IF(LEFT(CT!E75,3)='SQTM '!$E$2,CT!B75,"")</f>
        <v/>
      </c>
      <c r="D78" s="23" t="str">
        <f>IF(OR(LEFT(CT!D75,3)='SQTM '!$E$2,LEFT(CT!E75,3)='SQTM '!$E$2),CT!C75,"")</f>
        <v/>
      </c>
      <c r="E78" s="23" t="str">
        <f>IF(LEFT(CT!D75,3)='SQTM '!$E$2,LEFT(CT!E75,3),IF(LEFT(CT!E75,3)='SQTM '!$E$2,LEFT(CT!D75,3),""))</f>
        <v/>
      </c>
      <c r="F78" s="78">
        <f>IF(LEFT(CT!D75,3)='SQTM '!$E$2,CT!H75,0)</f>
        <v>0</v>
      </c>
      <c r="G78" s="78">
        <f>IF(LEFT(CT!E75,3)='SQTM '!$E$2,CT!H75,0)</f>
        <v>0</v>
      </c>
      <c r="H78" s="78">
        <f>IF(SUM(F78:G78)=0,0,$H$6+SUM($F$8:F78)-SUM($G$8:G78))</f>
        <v>0</v>
      </c>
    </row>
    <row r="79" spans="1:8" hidden="1" x14ac:dyDescent="0.3">
      <c r="A79" s="63" t="str">
        <f>IF(OR(LEFT(CT!D76,3)='SQTM '!$E$2,LEFT(CT!E76,3)='SQTM '!$E$2),CT!A76,"")</f>
        <v/>
      </c>
      <c r="B79" s="23" t="str">
        <f>IF(LEFT(CT!D76,3)='SQTM '!$E$2,CT!B76,"")</f>
        <v/>
      </c>
      <c r="C79" s="23" t="str">
        <f>IF(LEFT(CT!E76,3)='SQTM '!$E$2,CT!B76,"")</f>
        <v/>
      </c>
      <c r="D79" s="23" t="str">
        <f>IF(OR(LEFT(CT!D76,3)='SQTM '!$E$2,LEFT(CT!E76,3)='SQTM '!$E$2),CT!C76,"")</f>
        <v/>
      </c>
      <c r="E79" s="23" t="str">
        <f>IF(LEFT(CT!D76,3)='SQTM '!$E$2,LEFT(CT!E76,3),IF(LEFT(CT!E76,3)='SQTM '!$E$2,LEFT(CT!D76,3),""))</f>
        <v/>
      </c>
      <c r="F79" s="78">
        <f>IF(LEFT(CT!D76,3)='SQTM '!$E$2,CT!H76,0)</f>
        <v>0</v>
      </c>
      <c r="G79" s="78">
        <f>IF(LEFT(CT!E76,3)='SQTM '!$E$2,CT!H76,0)</f>
        <v>0</v>
      </c>
      <c r="H79" s="78">
        <f>IF(SUM(F79:G79)=0,0,$H$6+SUM($F$8:F79)-SUM($G$8:G79))</f>
        <v>0</v>
      </c>
    </row>
    <row r="80" spans="1:8" hidden="1" x14ac:dyDescent="0.3">
      <c r="A80" s="63" t="str">
        <f>IF(OR(LEFT(CT!D77,3)='SQTM '!$E$2,LEFT(CT!E77,3)='SQTM '!$E$2),CT!A77,"")</f>
        <v/>
      </c>
      <c r="B80" s="23" t="str">
        <f>IF(LEFT(CT!D77,3)='SQTM '!$E$2,CT!B77,"")</f>
        <v/>
      </c>
      <c r="C80" s="23" t="str">
        <f>IF(LEFT(CT!E77,3)='SQTM '!$E$2,CT!B77,"")</f>
        <v/>
      </c>
      <c r="D80" s="23" t="str">
        <f>IF(OR(LEFT(CT!D77,3)='SQTM '!$E$2,LEFT(CT!E77,3)='SQTM '!$E$2),CT!C77,"")</f>
        <v/>
      </c>
      <c r="E80" s="23" t="str">
        <f>IF(LEFT(CT!D77,3)='SQTM '!$E$2,LEFT(CT!E77,3),IF(LEFT(CT!E77,3)='SQTM '!$E$2,LEFT(CT!D77,3),""))</f>
        <v/>
      </c>
      <c r="F80" s="78">
        <f>IF(LEFT(CT!D77,3)='SQTM '!$E$2,CT!H77,0)</f>
        <v>0</v>
      </c>
      <c r="G80" s="78">
        <f>IF(LEFT(CT!E77,3)='SQTM '!$E$2,CT!H77,0)</f>
        <v>0</v>
      </c>
      <c r="H80" s="78">
        <f>IF(SUM(F80:G80)=0,0,$H$6+SUM($F$8:F80)-SUM($G$8:G80))</f>
        <v>0</v>
      </c>
    </row>
    <row r="81" spans="1:8" hidden="1" x14ac:dyDescent="0.3">
      <c r="A81" s="63" t="str">
        <f>IF(OR(LEFT(CT!D78,3)='SQTM '!$E$2,LEFT(CT!E78,3)='SQTM '!$E$2),CT!A78,"")</f>
        <v/>
      </c>
      <c r="B81" s="23" t="str">
        <f>IF(LEFT(CT!D78,3)='SQTM '!$E$2,CT!B78,"")</f>
        <v/>
      </c>
      <c r="C81" s="23" t="str">
        <f>IF(LEFT(CT!E78,3)='SQTM '!$E$2,CT!B78,"")</f>
        <v/>
      </c>
      <c r="D81" s="23" t="str">
        <f>IF(OR(LEFT(CT!D78,3)='SQTM '!$E$2,LEFT(CT!E78,3)='SQTM '!$E$2),CT!C78,"")</f>
        <v/>
      </c>
      <c r="E81" s="23" t="str">
        <f>IF(LEFT(CT!D78,3)='SQTM '!$E$2,LEFT(CT!E78,3),IF(LEFT(CT!E78,3)='SQTM '!$E$2,LEFT(CT!D78,3),""))</f>
        <v/>
      </c>
      <c r="F81" s="78">
        <f>IF(LEFT(CT!D78,3)='SQTM '!$E$2,CT!H78,0)</f>
        <v>0</v>
      </c>
      <c r="G81" s="78">
        <f>IF(LEFT(CT!E78,3)='SQTM '!$E$2,CT!H78,0)</f>
        <v>0</v>
      </c>
      <c r="H81" s="78">
        <f>IF(SUM(F81:G81)=0,0,$H$6+SUM($F$8:F81)-SUM($G$8:G81))</f>
        <v>0</v>
      </c>
    </row>
    <row r="82" spans="1:8" hidden="1" x14ac:dyDescent="0.3">
      <c r="A82" s="63" t="str">
        <f>IF(OR(LEFT(CT!D79,3)='SQTM '!$E$2,LEFT(CT!E79,3)='SQTM '!$E$2),CT!A79,"")</f>
        <v/>
      </c>
      <c r="B82" s="23" t="str">
        <f>IF(LEFT(CT!D79,3)='SQTM '!$E$2,CT!B79,"")</f>
        <v/>
      </c>
      <c r="C82" s="23" t="str">
        <f>IF(LEFT(CT!E79,3)='SQTM '!$E$2,CT!B79,"")</f>
        <v/>
      </c>
      <c r="D82" s="23" t="str">
        <f>IF(OR(LEFT(CT!D79,3)='SQTM '!$E$2,LEFT(CT!E79,3)='SQTM '!$E$2),CT!C79,"")</f>
        <v/>
      </c>
      <c r="E82" s="23" t="str">
        <f>IF(LEFT(CT!D79,3)='SQTM '!$E$2,LEFT(CT!E79,3),IF(LEFT(CT!E79,3)='SQTM '!$E$2,LEFT(CT!D79,3),""))</f>
        <v/>
      </c>
      <c r="F82" s="78">
        <f>IF(LEFT(CT!D79,3)='SQTM '!$E$2,CT!H79,0)</f>
        <v>0</v>
      </c>
      <c r="G82" s="78">
        <f>IF(LEFT(CT!E79,3)='SQTM '!$E$2,CT!H79,0)</f>
        <v>0</v>
      </c>
      <c r="H82" s="78">
        <f>IF(SUM(F82:G82)=0,0,$H$6+SUM($F$8:F82)-SUM($G$8:G82))</f>
        <v>0</v>
      </c>
    </row>
    <row r="83" spans="1:8" hidden="1" x14ac:dyDescent="0.3">
      <c r="A83" s="63" t="str">
        <f>IF(OR(LEFT(CT!D80,3)='SQTM '!$E$2,LEFT(CT!E80,3)='SQTM '!$E$2),CT!A80,"")</f>
        <v/>
      </c>
      <c r="B83" s="23" t="str">
        <f>IF(LEFT(CT!D80,3)='SQTM '!$E$2,CT!B80,"")</f>
        <v/>
      </c>
      <c r="C83" s="23" t="str">
        <f>IF(LEFT(CT!E80,3)='SQTM '!$E$2,CT!B80,"")</f>
        <v/>
      </c>
      <c r="D83" s="23" t="str">
        <f>IF(OR(LEFT(CT!D80,3)='SQTM '!$E$2,LEFT(CT!E80,3)='SQTM '!$E$2),CT!C80,"")</f>
        <v/>
      </c>
      <c r="E83" s="23" t="str">
        <f>IF(LEFT(CT!D80,3)='SQTM '!$E$2,LEFT(CT!E80,3),IF(LEFT(CT!E80,3)='SQTM '!$E$2,LEFT(CT!D80,3),""))</f>
        <v/>
      </c>
      <c r="F83" s="78">
        <f>IF(LEFT(CT!D80,3)='SQTM '!$E$2,CT!H80,0)</f>
        <v>0</v>
      </c>
      <c r="G83" s="78">
        <f>IF(LEFT(CT!E80,3)='SQTM '!$E$2,CT!H80,0)</f>
        <v>0</v>
      </c>
      <c r="H83" s="78">
        <f>IF(SUM(F83:G83)=0,0,$H$6+SUM($F$8:F83)-SUM($G$8:G83))</f>
        <v>0</v>
      </c>
    </row>
    <row r="84" spans="1:8" hidden="1" x14ac:dyDescent="0.3">
      <c r="A84" s="63" t="str">
        <f>IF(OR(LEFT(CT!D81,3)='SQTM '!$E$2,LEFT(CT!E81,3)='SQTM '!$E$2),CT!A81,"")</f>
        <v/>
      </c>
      <c r="B84" s="23" t="str">
        <f>IF(LEFT(CT!D81,3)='SQTM '!$E$2,CT!B81,"")</f>
        <v/>
      </c>
      <c r="C84" s="23" t="str">
        <f>IF(LEFT(CT!E81,3)='SQTM '!$E$2,CT!B81,"")</f>
        <v/>
      </c>
      <c r="D84" s="23" t="str">
        <f>IF(OR(LEFT(CT!D81,3)='SQTM '!$E$2,LEFT(CT!E81,3)='SQTM '!$E$2),CT!C81,"")</f>
        <v/>
      </c>
      <c r="E84" s="23" t="str">
        <f>IF(LEFT(CT!D81,3)='SQTM '!$E$2,LEFT(CT!E81,3),IF(LEFT(CT!E81,3)='SQTM '!$E$2,LEFT(CT!D81,3),""))</f>
        <v/>
      </c>
      <c r="F84" s="78">
        <f>IF(LEFT(CT!D81,3)='SQTM '!$E$2,CT!H81,0)</f>
        <v>0</v>
      </c>
      <c r="G84" s="78">
        <f>IF(LEFT(CT!E81,3)='SQTM '!$E$2,CT!H81,0)</f>
        <v>0</v>
      </c>
      <c r="H84" s="78">
        <f>IF(SUM(F84:G84)=0,0,$H$6+SUM($F$8:F84)-SUM($G$8:G84))</f>
        <v>0</v>
      </c>
    </row>
    <row r="85" spans="1:8" hidden="1" x14ac:dyDescent="0.3">
      <c r="A85" s="63" t="str">
        <f>IF(OR(LEFT(CT!D82,3)='SQTM '!$E$2,LEFT(CT!E82,3)='SQTM '!$E$2),CT!A82,"")</f>
        <v/>
      </c>
      <c r="B85" s="23" t="str">
        <f>IF(LEFT(CT!D82,3)='SQTM '!$E$2,CT!B82,"")</f>
        <v/>
      </c>
      <c r="C85" s="23" t="str">
        <f>IF(LEFT(CT!E82,3)='SQTM '!$E$2,CT!B82,"")</f>
        <v/>
      </c>
      <c r="D85" s="23" t="str">
        <f>IF(OR(LEFT(CT!D82,3)='SQTM '!$E$2,LEFT(CT!E82,3)='SQTM '!$E$2),CT!C82,"")</f>
        <v/>
      </c>
      <c r="E85" s="23" t="str">
        <f>IF(LEFT(CT!D82,3)='SQTM '!$E$2,LEFT(CT!E82,3),IF(LEFT(CT!E82,3)='SQTM '!$E$2,LEFT(CT!D82,3),""))</f>
        <v/>
      </c>
      <c r="F85" s="78">
        <f>IF(LEFT(CT!D82,3)='SQTM '!$E$2,CT!H82,0)</f>
        <v>0</v>
      </c>
      <c r="G85" s="78">
        <f>IF(LEFT(CT!E82,3)='SQTM '!$E$2,CT!H82,0)</f>
        <v>0</v>
      </c>
      <c r="H85" s="78">
        <f>IF(SUM(F85:G85)=0,0,$H$6+SUM($F$8:F85)-SUM($G$8:G85))</f>
        <v>0</v>
      </c>
    </row>
    <row r="86" spans="1:8" hidden="1" x14ac:dyDescent="0.3">
      <c r="A86" s="63" t="str">
        <f>IF(OR(LEFT(CT!D83,3)='SQTM '!$E$2,LEFT(CT!E83,3)='SQTM '!$E$2),CT!A83,"")</f>
        <v/>
      </c>
      <c r="B86" s="23" t="str">
        <f>IF(LEFT(CT!D83,3)='SQTM '!$E$2,CT!B83,"")</f>
        <v/>
      </c>
      <c r="C86" s="23" t="str">
        <f>IF(LEFT(CT!E83,3)='SQTM '!$E$2,CT!B83,"")</f>
        <v/>
      </c>
      <c r="D86" s="23" t="str">
        <f>IF(OR(LEFT(CT!D83,3)='SQTM '!$E$2,LEFT(CT!E83,3)='SQTM '!$E$2),CT!C83,"")</f>
        <v/>
      </c>
      <c r="E86" s="23" t="str">
        <f>IF(LEFT(CT!D83,3)='SQTM '!$E$2,LEFT(CT!E83,3),IF(LEFT(CT!E83,3)='SQTM '!$E$2,LEFT(CT!D83,3),""))</f>
        <v/>
      </c>
      <c r="F86" s="78">
        <f>IF(LEFT(CT!D83,3)='SQTM '!$E$2,CT!H83,0)</f>
        <v>0</v>
      </c>
      <c r="G86" s="78">
        <f>IF(LEFT(CT!E83,3)='SQTM '!$E$2,CT!H83,0)</f>
        <v>0</v>
      </c>
      <c r="H86" s="78">
        <f>IF(SUM(F86:G86)=0,0,$H$6+SUM($F$8:F86)-SUM($G$8:G86))</f>
        <v>0</v>
      </c>
    </row>
    <row r="87" spans="1:8" hidden="1" x14ac:dyDescent="0.3">
      <c r="A87" s="63" t="str">
        <f>IF(OR(LEFT(CT!D84,3)='SQTM '!$E$2,LEFT(CT!E84,3)='SQTM '!$E$2),CT!A84,"")</f>
        <v/>
      </c>
      <c r="B87" s="23" t="str">
        <f>IF(LEFT(CT!D84,3)='SQTM '!$E$2,CT!B84,"")</f>
        <v/>
      </c>
      <c r="C87" s="23" t="str">
        <f>IF(LEFT(CT!E84,3)='SQTM '!$E$2,CT!B84,"")</f>
        <v/>
      </c>
      <c r="D87" s="23" t="str">
        <f>IF(OR(LEFT(CT!D84,3)='SQTM '!$E$2,LEFT(CT!E84,3)='SQTM '!$E$2),CT!C84,"")</f>
        <v/>
      </c>
      <c r="E87" s="23" t="str">
        <f>IF(LEFT(CT!D84,3)='SQTM '!$E$2,LEFT(CT!E84,3),IF(LEFT(CT!E84,3)='SQTM '!$E$2,LEFT(CT!D84,3),""))</f>
        <v/>
      </c>
      <c r="F87" s="78">
        <f>IF(LEFT(CT!D84,3)='SQTM '!$E$2,CT!H84,0)</f>
        <v>0</v>
      </c>
      <c r="G87" s="78">
        <f>IF(LEFT(CT!E84,3)='SQTM '!$E$2,CT!H84,0)</f>
        <v>0</v>
      </c>
      <c r="H87" s="78">
        <f>IF(SUM(F87:G87)=0,0,$H$6+SUM($F$8:F87)-SUM($G$8:G87))</f>
        <v>0</v>
      </c>
    </row>
    <row r="88" spans="1:8" hidden="1" x14ac:dyDescent="0.3">
      <c r="A88" s="63" t="str">
        <f>IF(OR(LEFT(CT!D85,3)='SQTM '!$E$2,LEFT(CT!E85,3)='SQTM '!$E$2),CT!A85,"")</f>
        <v/>
      </c>
      <c r="B88" s="23" t="str">
        <f>IF(LEFT(CT!D85,3)='SQTM '!$E$2,CT!B85,"")</f>
        <v/>
      </c>
      <c r="C88" s="23" t="str">
        <f>IF(LEFT(CT!E85,3)='SQTM '!$E$2,CT!B85,"")</f>
        <v/>
      </c>
      <c r="D88" s="23" t="str">
        <f>IF(OR(LEFT(CT!D85,3)='SQTM '!$E$2,LEFT(CT!E85,3)='SQTM '!$E$2),CT!C85,"")</f>
        <v/>
      </c>
      <c r="E88" s="23" t="str">
        <f>IF(LEFT(CT!D85,3)='SQTM '!$E$2,LEFT(CT!E85,3),IF(LEFT(CT!E85,3)='SQTM '!$E$2,LEFT(CT!D85,3),""))</f>
        <v/>
      </c>
      <c r="F88" s="78">
        <f>IF(LEFT(CT!D85,3)='SQTM '!$E$2,CT!H85,0)</f>
        <v>0</v>
      </c>
      <c r="G88" s="78">
        <f>IF(LEFT(CT!E85,3)='SQTM '!$E$2,CT!H85,0)</f>
        <v>0</v>
      </c>
      <c r="H88" s="78">
        <f>IF(SUM(F88:G88)=0,0,$H$6+SUM($F$8:F88)-SUM($G$8:G88))</f>
        <v>0</v>
      </c>
    </row>
    <row r="89" spans="1:8" hidden="1" x14ac:dyDescent="0.3">
      <c r="A89" s="63" t="str">
        <f>IF(OR(LEFT(CT!D86,3)='SQTM '!$E$2,LEFT(CT!E86,3)='SQTM '!$E$2),CT!A86,"")</f>
        <v/>
      </c>
      <c r="B89" s="23" t="str">
        <f>IF(LEFT(CT!D86,3)='SQTM '!$E$2,CT!B86,"")</f>
        <v/>
      </c>
      <c r="C89" s="23" t="str">
        <f>IF(LEFT(CT!E86,3)='SQTM '!$E$2,CT!B86,"")</f>
        <v/>
      </c>
      <c r="D89" s="23" t="str">
        <f>IF(OR(LEFT(CT!D86,3)='SQTM '!$E$2,LEFT(CT!E86,3)='SQTM '!$E$2),CT!C86,"")</f>
        <v/>
      </c>
      <c r="E89" s="23" t="str">
        <f>IF(LEFT(CT!D86,3)='SQTM '!$E$2,LEFT(CT!E86,3),IF(LEFT(CT!E86,3)='SQTM '!$E$2,LEFT(CT!D86,3),""))</f>
        <v/>
      </c>
      <c r="F89" s="78">
        <f>IF(LEFT(CT!D86,3)='SQTM '!$E$2,CT!H86,0)</f>
        <v>0</v>
      </c>
      <c r="G89" s="78">
        <f>IF(LEFT(CT!E86,3)='SQTM '!$E$2,CT!H86,0)</f>
        <v>0</v>
      </c>
      <c r="H89" s="78">
        <f>IF(SUM(F89:G89)=0,0,$H$6+SUM($F$8:F89)-SUM($G$8:G89))</f>
        <v>0</v>
      </c>
    </row>
    <row r="90" spans="1:8" hidden="1" x14ac:dyDescent="0.3">
      <c r="A90" s="63" t="str">
        <f>IF(OR(LEFT(CT!D87,3)='SQTM '!$E$2,LEFT(CT!E87,3)='SQTM '!$E$2),CT!A87,"")</f>
        <v/>
      </c>
      <c r="B90" s="23" t="str">
        <f>IF(LEFT(CT!D87,3)='SQTM '!$E$2,CT!B87,"")</f>
        <v/>
      </c>
      <c r="C90" s="23" t="str">
        <f>IF(LEFT(CT!E87,3)='SQTM '!$E$2,CT!B87,"")</f>
        <v/>
      </c>
      <c r="D90" s="23" t="str">
        <f>IF(OR(LEFT(CT!D87,3)='SQTM '!$E$2,LEFT(CT!E87,3)='SQTM '!$E$2),CT!C87,"")</f>
        <v/>
      </c>
      <c r="E90" s="23" t="str">
        <f>IF(LEFT(CT!D87,3)='SQTM '!$E$2,LEFT(CT!E87,3),IF(LEFT(CT!E87,3)='SQTM '!$E$2,LEFT(CT!D87,3),""))</f>
        <v/>
      </c>
      <c r="F90" s="78">
        <f>IF(LEFT(CT!D87,3)='SQTM '!$E$2,CT!H87,0)</f>
        <v>0</v>
      </c>
      <c r="G90" s="78">
        <f>IF(LEFT(CT!E87,3)='SQTM '!$E$2,CT!H87,0)</f>
        <v>0</v>
      </c>
      <c r="H90" s="78">
        <f>IF(SUM(F90:G90)=0,0,$H$6+SUM($F$8:F90)-SUM($G$8:G90))</f>
        <v>0</v>
      </c>
    </row>
    <row r="91" spans="1:8" hidden="1" x14ac:dyDescent="0.3">
      <c r="A91" s="63" t="str">
        <f>IF(OR(LEFT(CT!D88,3)='SQTM '!$E$2,LEFT(CT!E88,3)='SQTM '!$E$2),CT!A88,"")</f>
        <v/>
      </c>
      <c r="B91" s="23" t="str">
        <f>IF(LEFT(CT!D88,3)='SQTM '!$E$2,CT!B88,"")</f>
        <v/>
      </c>
      <c r="C91" s="23" t="str">
        <f>IF(LEFT(CT!E88,3)='SQTM '!$E$2,CT!B88,"")</f>
        <v/>
      </c>
      <c r="D91" s="23" t="str">
        <f>IF(OR(LEFT(CT!D88,3)='SQTM '!$E$2,LEFT(CT!E88,3)='SQTM '!$E$2),CT!C88,"")</f>
        <v/>
      </c>
      <c r="E91" s="23" t="str">
        <f>IF(LEFT(CT!D88,3)='SQTM '!$E$2,LEFT(CT!E88,3),IF(LEFT(CT!E88,3)='SQTM '!$E$2,LEFT(CT!D88,3),""))</f>
        <v/>
      </c>
      <c r="F91" s="78">
        <f>IF(LEFT(CT!D88,3)='SQTM '!$E$2,CT!H88,0)</f>
        <v>0</v>
      </c>
      <c r="G91" s="78">
        <f>IF(LEFT(CT!E88,3)='SQTM '!$E$2,CT!H88,0)</f>
        <v>0</v>
      </c>
      <c r="H91" s="78">
        <f>IF(SUM(F91:G91)=0,0,$H$6+SUM($F$8:F91)-SUM($G$8:G91))</f>
        <v>0</v>
      </c>
    </row>
    <row r="92" spans="1:8" hidden="1" x14ac:dyDescent="0.3">
      <c r="A92" s="63" t="str">
        <f>IF(OR(LEFT(CT!D89,3)='SQTM '!$E$2,LEFT(CT!E89,3)='SQTM '!$E$2),CT!A89,"")</f>
        <v/>
      </c>
      <c r="B92" s="23" t="str">
        <f>IF(LEFT(CT!D89,3)='SQTM '!$E$2,CT!B89,"")</f>
        <v/>
      </c>
      <c r="C92" s="23" t="str">
        <f>IF(LEFT(CT!E89,3)='SQTM '!$E$2,CT!B89,"")</f>
        <v/>
      </c>
      <c r="D92" s="23" t="str">
        <f>IF(OR(LEFT(CT!D89,3)='SQTM '!$E$2,LEFT(CT!E89,3)='SQTM '!$E$2),CT!C89,"")</f>
        <v/>
      </c>
      <c r="E92" s="23" t="str">
        <f>IF(LEFT(CT!D89,3)='SQTM '!$E$2,LEFT(CT!E89,3),IF(LEFT(CT!E89,3)='SQTM '!$E$2,LEFT(CT!D89,3),""))</f>
        <v/>
      </c>
      <c r="F92" s="78">
        <f>IF(LEFT(CT!D89,3)='SQTM '!$E$2,CT!H89,0)</f>
        <v>0</v>
      </c>
      <c r="G92" s="78">
        <f>IF(LEFT(CT!E89,3)='SQTM '!$E$2,CT!H89,0)</f>
        <v>0</v>
      </c>
      <c r="H92" s="78">
        <f>IF(SUM(F92:G92)=0,0,$H$6+SUM($F$8:F92)-SUM($G$8:G92))</f>
        <v>0</v>
      </c>
    </row>
    <row r="93" spans="1:8" hidden="1" x14ac:dyDescent="0.3">
      <c r="A93" s="63" t="str">
        <f>IF(OR(LEFT(CT!D90,3)='SQTM '!$E$2,LEFT(CT!E90,3)='SQTM '!$E$2),CT!A90,"")</f>
        <v/>
      </c>
      <c r="B93" s="23" t="str">
        <f>IF(LEFT(CT!D90,3)='SQTM '!$E$2,CT!B90,"")</f>
        <v/>
      </c>
      <c r="C93" s="23" t="str">
        <f>IF(LEFT(CT!E90,3)='SQTM '!$E$2,CT!B90,"")</f>
        <v/>
      </c>
      <c r="D93" s="23" t="str">
        <f>IF(OR(LEFT(CT!D90,3)='SQTM '!$E$2,LEFT(CT!E90,3)='SQTM '!$E$2),CT!C90,"")</f>
        <v/>
      </c>
      <c r="E93" s="23" t="str">
        <f>IF(LEFT(CT!D90,3)='SQTM '!$E$2,LEFT(CT!E90,3),IF(LEFT(CT!E90,3)='SQTM '!$E$2,LEFT(CT!D90,3),""))</f>
        <v/>
      </c>
      <c r="F93" s="78">
        <f>IF(LEFT(CT!D90,3)='SQTM '!$E$2,CT!H90,0)</f>
        <v>0</v>
      </c>
      <c r="G93" s="78">
        <f>IF(LEFT(CT!E90,3)='SQTM '!$E$2,CT!H90,0)</f>
        <v>0</v>
      </c>
      <c r="H93" s="78">
        <f>IF(SUM(F93:G93)=0,0,$H$6+SUM($F$8:F93)-SUM($G$8:G93))</f>
        <v>0</v>
      </c>
    </row>
    <row r="94" spans="1:8" hidden="1" x14ac:dyDescent="0.3">
      <c r="A94" s="63" t="str">
        <f>IF(OR(LEFT(CT!D91,3)='SQTM '!$E$2,LEFT(CT!E91,3)='SQTM '!$E$2),CT!A91,"")</f>
        <v/>
      </c>
      <c r="B94" s="23" t="str">
        <f>IF(LEFT(CT!D91,3)='SQTM '!$E$2,CT!B91,"")</f>
        <v/>
      </c>
      <c r="C94" s="23" t="str">
        <f>IF(LEFT(CT!E91,3)='SQTM '!$E$2,CT!B91,"")</f>
        <v/>
      </c>
      <c r="D94" s="23" t="str">
        <f>IF(OR(LEFT(CT!D91,3)='SQTM '!$E$2,LEFT(CT!E91,3)='SQTM '!$E$2),CT!C91,"")</f>
        <v/>
      </c>
      <c r="E94" s="23" t="str">
        <f>IF(LEFT(CT!D91,3)='SQTM '!$E$2,LEFT(CT!E91,3),IF(LEFT(CT!E91,3)='SQTM '!$E$2,LEFT(CT!D91,3),""))</f>
        <v/>
      </c>
      <c r="F94" s="78">
        <f>IF(LEFT(CT!D91,3)='SQTM '!$E$2,CT!H91,0)</f>
        <v>0</v>
      </c>
      <c r="G94" s="78">
        <f>IF(LEFT(CT!E91,3)='SQTM '!$E$2,CT!H91,0)</f>
        <v>0</v>
      </c>
      <c r="H94" s="78">
        <f>IF(SUM(F94:G94)=0,0,$H$6+SUM($F$8:F94)-SUM($G$8:G94))</f>
        <v>0</v>
      </c>
    </row>
    <row r="95" spans="1:8" hidden="1" x14ac:dyDescent="0.3">
      <c r="A95" s="63" t="str">
        <f>IF(OR(LEFT(CT!D92,3)='SQTM '!$E$2,LEFT(CT!E92,3)='SQTM '!$E$2),CT!A92,"")</f>
        <v/>
      </c>
      <c r="B95" s="23" t="str">
        <f>IF(LEFT(CT!D92,3)='SQTM '!$E$2,CT!B92,"")</f>
        <v/>
      </c>
      <c r="C95" s="23" t="str">
        <f>IF(LEFT(CT!E92,3)='SQTM '!$E$2,CT!B92,"")</f>
        <v/>
      </c>
      <c r="D95" s="23" t="str">
        <f>IF(OR(LEFT(CT!D92,3)='SQTM '!$E$2,LEFT(CT!E92,3)='SQTM '!$E$2),CT!C92,"")</f>
        <v/>
      </c>
      <c r="E95" s="23" t="str">
        <f>IF(LEFT(CT!D92,3)='SQTM '!$E$2,LEFT(CT!E92,3),IF(LEFT(CT!E92,3)='SQTM '!$E$2,LEFT(CT!D92,3),""))</f>
        <v/>
      </c>
      <c r="F95" s="78">
        <f>IF(LEFT(CT!D92,3)='SQTM '!$E$2,CT!H92,0)</f>
        <v>0</v>
      </c>
      <c r="G95" s="78">
        <f>IF(LEFT(CT!E92,3)='SQTM '!$E$2,CT!H92,0)</f>
        <v>0</v>
      </c>
      <c r="H95" s="78">
        <f>IF(SUM(F95:G95)=0,0,$H$6+SUM($F$8:F95)-SUM($G$8:G95))</f>
        <v>0</v>
      </c>
    </row>
    <row r="96" spans="1:8" hidden="1" x14ac:dyDescent="0.3">
      <c r="A96" s="63" t="str">
        <f>IF(OR(LEFT(CT!D93,3)='SQTM '!$E$2,LEFT(CT!E93,3)='SQTM '!$E$2),CT!A93,"")</f>
        <v/>
      </c>
      <c r="B96" s="23" t="str">
        <f>IF(LEFT(CT!D93,3)='SQTM '!$E$2,CT!B93,"")</f>
        <v/>
      </c>
      <c r="C96" s="23" t="str">
        <f>IF(LEFT(CT!E93,3)='SQTM '!$E$2,CT!B93,"")</f>
        <v/>
      </c>
      <c r="D96" s="23" t="str">
        <f>IF(OR(LEFT(CT!D93,3)='SQTM '!$E$2,LEFT(CT!E93,3)='SQTM '!$E$2),CT!C93,"")</f>
        <v/>
      </c>
      <c r="E96" s="23" t="str">
        <f>IF(LEFT(CT!D93,3)='SQTM '!$E$2,LEFT(CT!E93,3),IF(LEFT(CT!E93,3)='SQTM '!$E$2,LEFT(CT!D93,3),""))</f>
        <v/>
      </c>
      <c r="F96" s="78">
        <f>IF(LEFT(CT!D93,3)='SQTM '!$E$2,CT!H93,0)</f>
        <v>0</v>
      </c>
      <c r="G96" s="78">
        <f>IF(LEFT(CT!E93,3)='SQTM '!$E$2,CT!H93,0)</f>
        <v>0</v>
      </c>
      <c r="H96" s="78">
        <f>IF(SUM(F96:G96)=0,0,$H$6+SUM($F$8:F96)-SUM($G$8:G96))</f>
        <v>0</v>
      </c>
    </row>
    <row r="97" spans="1:8" hidden="1" x14ac:dyDescent="0.3">
      <c r="A97" s="63" t="str">
        <f>IF(OR(LEFT(CT!D94,3)='SQTM '!$E$2,LEFT(CT!E94,3)='SQTM '!$E$2),CT!A94,"")</f>
        <v/>
      </c>
      <c r="B97" s="23" t="str">
        <f>IF(LEFT(CT!D94,3)='SQTM '!$E$2,CT!B94,"")</f>
        <v/>
      </c>
      <c r="C97" s="23" t="str">
        <f>IF(LEFT(CT!E94,3)='SQTM '!$E$2,CT!B94,"")</f>
        <v/>
      </c>
      <c r="D97" s="23" t="str">
        <f>IF(OR(LEFT(CT!D94,3)='SQTM '!$E$2,LEFT(CT!E94,3)='SQTM '!$E$2),CT!C94,"")</f>
        <v/>
      </c>
      <c r="E97" s="23" t="str">
        <f>IF(LEFT(CT!D94,3)='SQTM '!$E$2,LEFT(CT!E94,3),IF(LEFT(CT!E94,3)='SQTM '!$E$2,LEFT(CT!D94,3),""))</f>
        <v/>
      </c>
      <c r="F97" s="78">
        <f>IF(LEFT(CT!D94,3)='SQTM '!$E$2,CT!H94,0)</f>
        <v>0</v>
      </c>
      <c r="G97" s="78">
        <f>IF(LEFT(CT!E94,3)='SQTM '!$E$2,CT!H94,0)</f>
        <v>0</v>
      </c>
      <c r="H97" s="78">
        <f>IF(SUM(F97:G97)=0,0,$H$6+SUM($F$8:F97)-SUM($G$8:G97))</f>
        <v>0</v>
      </c>
    </row>
    <row r="98" spans="1:8" hidden="1" x14ac:dyDescent="0.3">
      <c r="A98" s="63" t="str">
        <f>IF(OR(LEFT(CT!D95,3)='SQTM '!$E$2,LEFT(CT!E95,3)='SQTM '!$E$2),CT!A95,"")</f>
        <v/>
      </c>
      <c r="B98" s="23" t="str">
        <f>IF(LEFT(CT!D95,3)='SQTM '!$E$2,CT!B95,"")</f>
        <v/>
      </c>
      <c r="C98" s="23" t="str">
        <f>IF(LEFT(CT!E95,3)='SQTM '!$E$2,CT!B95,"")</f>
        <v/>
      </c>
      <c r="D98" s="23" t="str">
        <f>IF(OR(LEFT(CT!D95,3)='SQTM '!$E$2,LEFT(CT!E95,3)='SQTM '!$E$2),CT!C95,"")</f>
        <v/>
      </c>
      <c r="E98" s="23" t="str">
        <f>IF(LEFT(CT!D95,3)='SQTM '!$E$2,LEFT(CT!E95,3),IF(LEFT(CT!E95,3)='SQTM '!$E$2,LEFT(CT!D95,3),""))</f>
        <v/>
      </c>
      <c r="F98" s="78">
        <f>IF(LEFT(CT!D95,3)='SQTM '!$E$2,CT!H95,0)</f>
        <v>0</v>
      </c>
      <c r="G98" s="78">
        <f>IF(LEFT(CT!E95,3)='SQTM '!$E$2,CT!H95,0)</f>
        <v>0</v>
      </c>
      <c r="H98" s="78">
        <f>IF(SUM(F98:G98)=0,0,$H$6+SUM($F$8:F98)-SUM($G$8:G98))</f>
        <v>0</v>
      </c>
    </row>
    <row r="99" spans="1:8" hidden="1" x14ac:dyDescent="0.3">
      <c r="A99" s="63" t="str">
        <f>IF(OR(LEFT(CT!D96,3)='SQTM '!$E$2,LEFT(CT!E96,3)='SQTM '!$E$2),CT!A96,"")</f>
        <v/>
      </c>
      <c r="B99" s="23" t="str">
        <f>IF(LEFT(CT!D96,3)='SQTM '!$E$2,CT!B96,"")</f>
        <v/>
      </c>
      <c r="C99" s="23" t="str">
        <f>IF(LEFT(CT!E96,3)='SQTM '!$E$2,CT!B96,"")</f>
        <v/>
      </c>
      <c r="D99" s="23" t="str">
        <f>IF(OR(LEFT(CT!D96,3)='SQTM '!$E$2,LEFT(CT!E96,3)='SQTM '!$E$2),CT!C96,"")</f>
        <v/>
      </c>
      <c r="E99" s="23" t="str">
        <f>IF(LEFT(CT!D96,3)='SQTM '!$E$2,LEFT(CT!E96,3),IF(LEFT(CT!E96,3)='SQTM '!$E$2,LEFT(CT!D96,3),""))</f>
        <v/>
      </c>
      <c r="F99" s="78">
        <f>IF(LEFT(CT!D96,3)='SQTM '!$E$2,CT!H96,0)</f>
        <v>0</v>
      </c>
      <c r="G99" s="78">
        <f>IF(LEFT(CT!E96,3)='SQTM '!$E$2,CT!H96,0)</f>
        <v>0</v>
      </c>
      <c r="H99" s="78">
        <f>IF(SUM(F99:G99)=0,0,$H$6+SUM($F$8:F99)-SUM($G$8:G99))</f>
        <v>0</v>
      </c>
    </row>
    <row r="100" spans="1:8" hidden="1" x14ac:dyDescent="0.3">
      <c r="A100" s="63" t="str">
        <f>IF(OR(LEFT(CT!D97,3)='SQTM '!$E$2,LEFT(CT!E97,3)='SQTM '!$E$2),CT!A97,"")</f>
        <v/>
      </c>
      <c r="B100" s="23" t="str">
        <f>IF(LEFT(CT!D97,3)='SQTM '!$E$2,CT!B97,"")</f>
        <v/>
      </c>
      <c r="C100" s="23" t="str">
        <f>IF(LEFT(CT!E97,3)='SQTM '!$E$2,CT!B97,"")</f>
        <v/>
      </c>
      <c r="D100" s="23" t="str">
        <f>IF(OR(LEFT(CT!D97,3)='SQTM '!$E$2,LEFT(CT!E97,3)='SQTM '!$E$2),CT!C97,"")</f>
        <v/>
      </c>
      <c r="E100" s="23" t="str">
        <f>IF(LEFT(CT!D97,3)='SQTM '!$E$2,LEFT(CT!E97,3),IF(LEFT(CT!E97,3)='SQTM '!$E$2,LEFT(CT!D97,3),""))</f>
        <v/>
      </c>
      <c r="F100" s="78">
        <f>IF(LEFT(CT!D97,3)='SQTM '!$E$2,CT!H97,0)</f>
        <v>0</v>
      </c>
      <c r="G100" s="78">
        <f>IF(LEFT(CT!E97,3)='SQTM '!$E$2,CT!H97,0)</f>
        <v>0</v>
      </c>
      <c r="H100" s="78">
        <f>IF(SUM(F100:G100)=0,0,$H$6+SUM($F$8:F100)-SUM($G$8:G100))</f>
        <v>0</v>
      </c>
    </row>
    <row r="101" spans="1:8" hidden="1" x14ac:dyDescent="0.3">
      <c r="A101" s="63" t="str">
        <f>IF(OR(LEFT(CT!D98,3)='SQTM '!$E$2,LEFT(CT!E98,3)='SQTM '!$E$2),CT!A98,"")</f>
        <v/>
      </c>
      <c r="B101" s="23" t="str">
        <f>IF(LEFT(CT!D98,3)='SQTM '!$E$2,CT!B98,"")</f>
        <v/>
      </c>
      <c r="C101" s="23" t="str">
        <f>IF(LEFT(CT!E98,3)='SQTM '!$E$2,CT!B98,"")</f>
        <v/>
      </c>
      <c r="D101" s="23" t="str">
        <f>IF(OR(LEFT(CT!D98,3)='SQTM '!$E$2,LEFT(CT!E98,3)='SQTM '!$E$2),CT!C98,"")</f>
        <v/>
      </c>
      <c r="E101" s="23" t="str">
        <f>IF(LEFT(CT!D98,3)='SQTM '!$E$2,LEFT(CT!E98,3),IF(LEFT(CT!E98,3)='SQTM '!$E$2,LEFT(CT!D98,3),""))</f>
        <v/>
      </c>
      <c r="F101" s="78">
        <f>IF(LEFT(CT!D98,3)='SQTM '!$E$2,CT!H98,0)</f>
        <v>0</v>
      </c>
      <c r="G101" s="78">
        <f>IF(LEFT(CT!E98,3)='SQTM '!$E$2,CT!H98,0)</f>
        <v>0</v>
      </c>
      <c r="H101" s="78">
        <f>IF(SUM(F101:G101)=0,0,$H$6+SUM($F$8:F101)-SUM($G$8:G101))</f>
        <v>0</v>
      </c>
    </row>
    <row r="102" spans="1:8" hidden="1" x14ac:dyDescent="0.3">
      <c r="A102" s="63" t="str">
        <f>IF(OR(LEFT(CT!D99,3)='SQTM '!$E$2,LEFT(CT!E99,3)='SQTM '!$E$2),CT!A99,"")</f>
        <v/>
      </c>
      <c r="B102" s="23" t="str">
        <f>IF(LEFT(CT!D99,3)='SQTM '!$E$2,CT!B99,"")</f>
        <v/>
      </c>
      <c r="C102" s="23" t="str">
        <f>IF(LEFT(CT!E99,3)='SQTM '!$E$2,CT!B99,"")</f>
        <v/>
      </c>
      <c r="D102" s="23" t="str">
        <f>IF(OR(LEFT(CT!D99,3)='SQTM '!$E$2,LEFT(CT!E99,3)='SQTM '!$E$2),CT!C99,"")</f>
        <v/>
      </c>
      <c r="E102" s="23" t="str">
        <f>IF(LEFT(CT!D99,3)='SQTM '!$E$2,LEFT(CT!E99,3),IF(LEFT(CT!E99,3)='SQTM '!$E$2,LEFT(CT!D99,3),""))</f>
        <v/>
      </c>
      <c r="F102" s="78">
        <f>IF(LEFT(CT!D99,3)='SQTM '!$E$2,CT!H99,0)</f>
        <v>0</v>
      </c>
      <c r="G102" s="78">
        <f>IF(LEFT(CT!E99,3)='SQTM '!$E$2,CT!H99,0)</f>
        <v>0</v>
      </c>
      <c r="H102" s="78">
        <f>IF(SUM(F102:G102)=0,0,$H$6+SUM($F$8:F102)-SUM($G$8:G102))</f>
        <v>0</v>
      </c>
    </row>
    <row r="103" spans="1:8" hidden="1" x14ac:dyDescent="0.3">
      <c r="A103" s="63" t="str">
        <f>IF(OR(LEFT(CT!D100,3)='SQTM '!$E$2,LEFT(CT!E100,3)='SQTM '!$E$2),CT!A100,"")</f>
        <v/>
      </c>
      <c r="B103" s="23" t="str">
        <f>IF(LEFT(CT!D100,3)='SQTM '!$E$2,CT!B100,"")</f>
        <v/>
      </c>
      <c r="C103" s="23" t="str">
        <f>IF(LEFT(CT!E100,3)='SQTM '!$E$2,CT!B100,"")</f>
        <v/>
      </c>
      <c r="D103" s="23" t="str">
        <f>IF(OR(LEFT(CT!D100,3)='SQTM '!$E$2,LEFT(CT!E100,3)='SQTM '!$E$2),CT!C100,"")</f>
        <v/>
      </c>
      <c r="E103" s="23" t="str">
        <f>IF(LEFT(CT!D100,3)='SQTM '!$E$2,LEFT(CT!E100,3),IF(LEFT(CT!E100,3)='SQTM '!$E$2,LEFT(CT!D100,3),""))</f>
        <v/>
      </c>
      <c r="F103" s="78">
        <f>IF(LEFT(CT!D100,3)='SQTM '!$E$2,CT!H100,0)</f>
        <v>0</v>
      </c>
      <c r="G103" s="78">
        <f>IF(LEFT(CT!E100,3)='SQTM '!$E$2,CT!H100,0)</f>
        <v>0</v>
      </c>
      <c r="H103" s="78">
        <f>IF(SUM(F103:G103)=0,0,$H$6+SUM($F$8:F103)-SUM($G$8:G103))</f>
        <v>0</v>
      </c>
    </row>
    <row r="104" spans="1:8" hidden="1" x14ac:dyDescent="0.3">
      <c r="A104" s="63" t="str">
        <f>IF(OR(LEFT(CT!D101,3)='SQTM '!$E$2,LEFT(CT!E101,3)='SQTM '!$E$2),CT!A101,"")</f>
        <v/>
      </c>
      <c r="B104" s="23" t="str">
        <f>IF(LEFT(CT!D101,3)='SQTM '!$E$2,CT!B101,"")</f>
        <v/>
      </c>
      <c r="C104" s="23" t="str">
        <f>IF(LEFT(CT!E101,3)='SQTM '!$E$2,CT!B101,"")</f>
        <v/>
      </c>
      <c r="D104" s="23" t="str">
        <f>IF(OR(LEFT(CT!D101,3)='SQTM '!$E$2,LEFT(CT!E101,3)='SQTM '!$E$2),CT!C101,"")</f>
        <v/>
      </c>
      <c r="E104" s="23" t="str">
        <f>IF(LEFT(CT!D101,3)='SQTM '!$E$2,LEFT(CT!E101,3),IF(LEFT(CT!E101,3)='SQTM '!$E$2,LEFT(CT!D101,3),""))</f>
        <v/>
      </c>
      <c r="F104" s="78">
        <f>IF(LEFT(CT!D101,3)='SQTM '!$E$2,CT!H101,0)</f>
        <v>0</v>
      </c>
      <c r="G104" s="78">
        <f>IF(LEFT(CT!E101,3)='SQTM '!$E$2,CT!H101,0)</f>
        <v>0</v>
      </c>
      <c r="H104" s="78">
        <f>IF(SUM(F104:G104)=0,0,$H$6+SUM($F$8:F104)-SUM($G$8:G104))</f>
        <v>0</v>
      </c>
    </row>
    <row r="105" spans="1:8" hidden="1" x14ac:dyDescent="0.3">
      <c r="A105" s="63" t="str">
        <f>IF(OR(LEFT(CT!D102,3)='SQTM '!$E$2,LEFT(CT!E102,3)='SQTM '!$E$2),CT!A102,"")</f>
        <v/>
      </c>
      <c r="B105" s="23" t="str">
        <f>IF(LEFT(CT!D102,3)='SQTM '!$E$2,CT!B102,"")</f>
        <v/>
      </c>
      <c r="C105" s="23" t="str">
        <f>IF(LEFT(CT!E102,3)='SQTM '!$E$2,CT!B102,"")</f>
        <v/>
      </c>
      <c r="D105" s="23" t="str">
        <f>IF(OR(LEFT(CT!D102,3)='SQTM '!$E$2,LEFT(CT!E102,3)='SQTM '!$E$2),CT!C102,"")</f>
        <v/>
      </c>
      <c r="E105" s="23" t="str">
        <f>IF(LEFT(CT!D102,3)='SQTM '!$E$2,LEFT(CT!E102,3),IF(LEFT(CT!E102,3)='SQTM '!$E$2,LEFT(CT!D102,3),""))</f>
        <v/>
      </c>
      <c r="F105" s="78">
        <f>IF(LEFT(CT!D102,3)='SQTM '!$E$2,CT!H102,0)</f>
        <v>0</v>
      </c>
      <c r="G105" s="78">
        <f>IF(LEFT(CT!E102,3)='SQTM '!$E$2,CT!H102,0)</f>
        <v>0</v>
      </c>
      <c r="H105" s="78">
        <f>IF(SUM(F105:G105)=0,0,$H$6+SUM($F$8:F105)-SUM($G$8:G105))</f>
        <v>0</v>
      </c>
    </row>
    <row r="106" spans="1:8" hidden="1" x14ac:dyDescent="0.3">
      <c r="A106" s="63" t="str">
        <f>IF(OR(LEFT(CT!D103,3)='SQTM '!$E$2,LEFT(CT!E103,3)='SQTM '!$E$2),CT!A103,"")</f>
        <v/>
      </c>
      <c r="B106" s="23" t="str">
        <f>IF(LEFT(CT!D103,3)='SQTM '!$E$2,CT!B103,"")</f>
        <v/>
      </c>
      <c r="C106" s="23" t="str">
        <f>IF(LEFT(CT!E103,3)='SQTM '!$E$2,CT!B103,"")</f>
        <v/>
      </c>
      <c r="D106" s="23" t="str">
        <f>IF(OR(LEFT(CT!D103,3)='SQTM '!$E$2,LEFT(CT!E103,3)='SQTM '!$E$2),CT!C103,"")</f>
        <v/>
      </c>
      <c r="E106" s="23" t="str">
        <f>IF(LEFT(CT!D103,3)='SQTM '!$E$2,LEFT(CT!E103,3),IF(LEFT(CT!E103,3)='SQTM '!$E$2,LEFT(CT!D103,3),""))</f>
        <v/>
      </c>
      <c r="F106" s="78">
        <f>IF(LEFT(CT!D103,3)='SQTM '!$E$2,CT!H103,0)</f>
        <v>0</v>
      </c>
      <c r="G106" s="78">
        <f>IF(LEFT(CT!E103,3)='SQTM '!$E$2,CT!H103,0)</f>
        <v>0</v>
      </c>
      <c r="H106" s="78">
        <f>IF(SUM(F106:G106)=0,0,$H$6+SUM($F$8:F106)-SUM($G$8:G106))</f>
        <v>0</v>
      </c>
    </row>
    <row r="107" spans="1:8" hidden="1" x14ac:dyDescent="0.3">
      <c r="A107" s="63" t="str">
        <f>IF(OR(LEFT(CT!D104,3)='SQTM '!$E$2,LEFT(CT!E104,3)='SQTM '!$E$2),CT!A104,"")</f>
        <v/>
      </c>
      <c r="B107" s="23" t="str">
        <f>IF(LEFT(CT!D104,3)='SQTM '!$E$2,CT!B104,"")</f>
        <v/>
      </c>
      <c r="C107" s="23" t="str">
        <f>IF(LEFT(CT!E104,3)='SQTM '!$E$2,CT!B104,"")</f>
        <v/>
      </c>
      <c r="D107" s="23" t="str">
        <f>IF(OR(LEFT(CT!D104,3)='SQTM '!$E$2,LEFT(CT!E104,3)='SQTM '!$E$2),CT!C104,"")</f>
        <v/>
      </c>
      <c r="E107" s="23" t="str">
        <f>IF(LEFT(CT!D104,3)='SQTM '!$E$2,LEFT(CT!E104,3),IF(LEFT(CT!E104,3)='SQTM '!$E$2,LEFT(CT!D104,3),""))</f>
        <v/>
      </c>
      <c r="F107" s="78">
        <f>IF(LEFT(CT!D104,3)='SQTM '!$E$2,CT!H104,0)</f>
        <v>0</v>
      </c>
      <c r="G107" s="78">
        <f>IF(LEFT(CT!E104,3)='SQTM '!$E$2,CT!H104,0)</f>
        <v>0</v>
      </c>
      <c r="H107" s="78">
        <f>IF(SUM(F107:G107)=0,0,$H$6+SUM($F$8:F107)-SUM($G$8:G107))</f>
        <v>0</v>
      </c>
    </row>
    <row r="108" spans="1:8" hidden="1" x14ac:dyDescent="0.3">
      <c r="A108" s="63" t="str">
        <f>IF(OR(LEFT(CT!D105,3)='SQTM '!$E$2,LEFT(CT!E105,3)='SQTM '!$E$2),CT!A105,"")</f>
        <v/>
      </c>
      <c r="B108" s="23" t="str">
        <f>IF(LEFT(CT!D105,3)='SQTM '!$E$2,CT!B105,"")</f>
        <v/>
      </c>
      <c r="C108" s="23" t="str">
        <f>IF(LEFT(CT!E105,3)='SQTM '!$E$2,CT!B105,"")</f>
        <v/>
      </c>
      <c r="D108" s="23" t="str">
        <f>IF(OR(LEFT(CT!D105,3)='SQTM '!$E$2,LEFT(CT!E105,3)='SQTM '!$E$2),CT!C105,"")</f>
        <v/>
      </c>
      <c r="E108" s="23" t="str">
        <f>IF(LEFT(CT!D105,3)='SQTM '!$E$2,LEFT(CT!E105,3),IF(LEFT(CT!E105,3)='SQTM '!$E$2,LEFT(CT!D105,3),""))</f>
        <v/>
      </c>
      <c r="F108" s="78">
        <f>IF(LEFT(CT!D105,3)='SQTM '!$E$2,CT!H105,0)</f>
        <v>0</v>
      </c>
      <c r="G108" s="78">
        <f>IF(LEFT(CT!E105,3)='SQTM '!$E$2,CT!H105,0)</f>
        <v>0</v>
      </c>
      <c r="H108" s="78">
        <f>IF(SUM(F108:G108)=0,0,$H$6+SUM($F$8:F108)-SUM($G$8:G108))</f>
        <v>0</v>
      </c>
    </row>
    <row r="109" spans="1:8" hidden="1" x14ac:dyDescent="0.3">
      <c r="A109" s="63" t="str">
        <f>IF(OR(LEFT(CT!D106,3)='SQTM '!$E$2,LEFT(CT!E106,3)='SQTM '!$E$2),CT!A106,"")</f>
        <v/>
      </c>
      <c r="B109" s="23" t="str">
        <f>IF(LEFT(CT!D106,3)='SQTM '!$E$2,CT!B106,"")</f>
        <v/>
      </c>
      <c r="C109" s="23" t="str">
        <f>IF(LEFT(CT!E106,3)='SQTM '!$E$2,CT!B106,"")</f>
        <v/>
      </c>
      <c r="D109" s="23" t="str">
        <f>IF(OR(LEFT(CT!D106,3)='SQTM '!$E$2,LEFT(CT!E106,3)='SQTM '!$E$2),CT!C106,"")</f>
        <v/>
      </c>
      <c r="E109" s="23" t="str">
        <f>IF(LEFT(CT!D106,3)='SQTM '!$E$2,LEFT(CT!E106,3),IF(LEFT(CT!E106,3)='SQTM '!$E$2,LEFT(CT!D106,3),""))</f>
        <v/>
      </c>
      <c r="F109" s="78">
        <f>IF(LEFT(CT!D106,3)='SQTM '!$E$2,CT!H106,0)</f>
        <v>0</v>
      </c>
      <c r="G109" s="78">
        <f>IF(LEFT(CT!E106,3)='SQTM '!$E$2,CT!H106,0)</f>
        <v>0</v>
      </c>
      <c r="H109" s="78">
        <f>IF(SUM(F109:G109)=0,0,$H$6+SUM($F$8:F109)-SUM($G$8:G109))</f>
        <v>0</v>
      </c>
    </row>
    <row r="110" spans="1:8" hidden="1" x14ac:dyDescent="0.3">
      <c r="A110" s="63" t="str">
        <f>IF(OR(LEFT(CT!D107,3)='SQTM '!$E$2,LEFT(CT!E107,3)='SQTM '!$E$2),CT!A107,"")</f>
        <v/>
      </c>
      <c r="B110" s="23" t="str">
        <f>IF(LEFT(CT!D107,3)='SQTM '!$E$2,CT!B107,"")</f>
        <v/>
      </c>
      <c r="C110" s="23" t="str">
        <f>IF(LEFT(CT!E107,3)='SQTM '!$E$2,CT!B107,"")</f>
        <v/>
      </c>
      <c r="D110" s="23" t="str">
        <f>IF(OR(LEFT(CT!D107,3)='SQTM '!$E$2,LEFT(CT!E107,3)='SQTM '!$E$2),CT!C107,"")</f>
        <v/>
      </c>
      <c r="E110" s="23" t="str">
        <f>IF(LEFT(CT!D107,3)='SQTM '!$E$2,LEFT(CT!E107,3),IF(LEFT(CT!E107,3)='SQTM '!$E$2,LEFT(CT!D107,3),""))</f>
        <v/>
      </c>
      <c r="F110" s="78">
        <f>IF(LEFT(CT!D107,3)='SQTM '!$E$2,CT!H107,0)</f>
        <v>0</v>
      </c>
      <c r="G110" s="78">
        <f>IF(LEFT(CT!E107,3)='SQTM '!$E$2,CT!H107,0)</f>
        <v>0</v>
      </c>
      <c r="H110" s="78">
        <f>IF(SUM(F110:G110)=0,0,$H$6+SUM($F$8:F110)-SUM($G$8:G110))</f>
        <v>0</v>
      </c>
    </row>
    <row r="111" spans="1:8" hidden="1" x14ac:dyDescent="0.3">
      <c r="A111" s="63" t="str">
        <f>IF(OR(LEFT(CT!D108,3)='SQTM '!$E$2,LEFT(CT!E108,3)='SQTM '!$E$2),CT!A108,"")</f>
        <v/>
      </c>
      <c r="B111" s="23" t="str">
        <f>IF(LEFT(CT!D108,3)='SQTM '!$E$2,CT!B108,"")</f>
        <v/>
      </c>
      <c r="C111" s="23" t="str">
        <f>IF(LEFT(CT!E108,3)='SQTM '!$E$2,CT!B108,"")</f>
        <v/>
      </c>
      <c r="D111" s="23" t="str">
        <f>IF(OR(LEFT(CT!D108,3)='SQTM '!$E$2,LEFT(CT!E108,3)='SQTM '!$E$2),CT!C108,"")</f>
        <v/>
      </c>
      <c r="E111" s="23" t="str">
        <f>IF(LEFT(CT!D108,3)='SQTM '!$E$2,LEFT(CT!E108,3),IF(LEFT(CT!E108,3)='SQTM '!$E$2,LEFT(CT!D108,3),""))</f>
        <v/>
      </c>
      <c r="F111" s="78">
        <f>IF(LEFT(CT!D108,3)='SQTM '!$E$2,CT!H108,0)</f>
        <v>0</v>
      </c>
      <c r="G111" s="78">
        <f>IF(LEFT(CT!E108,3)='SQTM '!$E$2,CT!H108,0)</f>
        <v>0</v>
      </c>
      <c r="H111" s="78">
        <f>IF(SUM(F111:G111)=0,0,$H$6+SUM($F$8:F111)-SUM($G$8:G111))</f>
        <v>0</v>
      </c>
    </row>
    <row r="112" spans="1:8" hidden="1" x14ac:dyDescent="0.3">
      <c r="A112" s="63" t="str">
        <f>IF(OR(LEFT(CT!D109,3)='SQTM '!$E$2,LEFT(CT!E109,3)='SQTM '!$E$2),CT!A109,"")</f>
        <v/>
      </c>
      <c r="B112" s="23" t="str">
        <f>IF(LEFT(CT!D109,3)='SQTM '!$E$2,CT!B109,"")</f>
        <v/>
      </c>
      <c r="C112" s="23" t="str">
        <f>IF(LEFT(CT!E109,3)='SQTM '!$E$2,CT!B109,"")</f>
        <v/>
      </c>
      <c r="D112" s="23" t="str">
        <f>IF(OR(LEFT(CT!D109,3)='SQTM '!$E$2,LEFT(CT!E109,3)='SQTM '!$E$2),CT!C109,"")</f>
        <v/>
      </c>
      <c r="E112" s="23" t="str">
        <f>IF(LEFT(CT!D109,3)='SQTM '!$E$2,LEFT(CT!E109,3),IF(LEFT(CT!E109,3)='SQTM '!$E$2,LEFT(CT!D109,3),""))</f>
        <v/>
      </c>
      <c r="F112" s="78">
        <f>IF(LEFT(CT!D109,3)='SQTM '!$E$2,CT!H109,0)</f>
        <v>0</v>
      </c>
      <c r="G112" s="78">
        <f>IF(LEFT(CT!E109,3)='SQTM '!$E$2,CT!H109,0)</f>
        <v>0</v>
      </c>
      <c r="H112" s="78">
        <f>IF(SUM(F112:G112)=0,0,$H$6+SUM($F$8:F112)-SUM($G$8:G112))</f>
        <v>0</v>
      </c>
    </row>
    <row r="113" spans="1:8" hidden="1" x14ac:dyDescent="0.3">
      <c r="A113" s="63" t="str">
        <f>IF(OR(LEFT(CT!D110,3)='SQTM '!$E$2,LEFT(CT!E110,3)='SQTM '!$E$2),CT!A110,"")</f>
        <v/>
      </c>
      <c r="B113" s="23" t="str">
        <f>IF(LEFT(CT!D110,3)='SQTM '!$E$2,CT!B110,"")</f>
        <v/>
      </c>
      <c r="C113" s="23" t="str">
        <f>IF(LEFT(CT!E110,3)='SQTM '!$E$2,CT!B110,"")</f>
        <v/>
      </c>
      <c r="D113" s="23" t="str">
        <f>IF(OR(LEFT(CT!D110,3)='SQTM '!$E$2,LEFT(CT!E110,3)='SQTM '!$E$2),CT!C110,"")</f>
        <v/>
      </c>
      <c r="E113" s="23" t="str">
        <f>IF(LEFT(CT!D110,3)='SQTM '!$E$2,LEFT(CT!E110,3),IF(LEFT(CT!E110,3)='SQTM '!$E$2,LEFT(CT!D110,3),""))</f>
        <v/>
      </c>
      <c r="F113" s="78">
        <f>IF(LEFT(CT!D110,3)='SQTM '!$E$2,CT!H110,0)</f>
        <v>0</v>
      </c>
      <c r="G113" s="78">
        <f>IF(LEFT(CT!E110,3)='SQTM '!$E$2,CT!H110,0)</f>
        <v>0</v>
      </c>
      <c r="H113" s="78">
        <f>IF(SUM(F113:G113)=0,0,$H$6+SUM($F$8:F113)-SUM($G$8:G113))</f>
        <v>0</v>
      </c>
    </row>
    <row r="114" spans="1:8" hidden="1" x14ac:dyDescent="0.3">
      <c r="A114" s="63" t="str">
        <f>IF(OR(LEFT(CT!D111,3)='SQTM '!$E$2,LEFT(CT!E111,3)='SQTM '!$E$2),CT!A111,"")</f>
        <v/>
      </c>
      <c r="B114" s="23" t="str">
        <f>IF(LEFT(CT!D111,3)='SQTM '!$E$2,CT!B111,"")</f>
        <v/>
      </c>
      <c r="C114" s="23" t="str">
        <f>IF(LEFT(CT!E111,3)='SQTM '!$E$2,CT!B111,"")</f>
        <v/>
      </c>
      <c r="D114" s="23" t="str">
        <f>IF(OR(LEFT(CT!D111,3)='SQTM '!$E$2,LEFT(CT!E111,3)='SQTM '!$E$2),CT!C111,"")</f>
        <v/>
      </c>
      <c r="E114" s="23" t="str">
        <f>IF(LEFT(CT!D111,3)='SQTM '!$E$2,LEFT(CT!E111,3),IF(LEFT(CT!E111,3)='SQTM '!$E$2,LEFT(CT!D111,3),""))</f>
        <v/>
      </c>
      <c r="F114" s="78">
        <f>IF(LEFT(CT!D111,3)='SQTM '!$E$2,CT!H111,0)</f>
        <v>0</v>
      </c>
      <c r="G114" s="78">
        <f>IF(LEFT(CT!E111,3)='SQTM '!$E$2,CT!H111,0)</f>
        <v>0</v>
      </c>
      <c r="H114" s="78">
        <f>IF(SUM(F114:G114)=0,0,$H$6+SUM($F$8:F114)-SUM($G$8:G114))</f>
        <v>0</v>
      </c>
    </row>
    <row r="115" spans="1:8" hidden="1" x14ac:dyDescent="0.3">
      <c r="A115" s="63" t="str">
        <f>IF(OR(LEFT(CT!D112,3)='SQTM '!$E$2,LEFT(CT!E112,3)='SQTM '!$E$2),CT!A112,"")</f>
        <v/>
      </c>
      <c r="B115" s="23" t="str">
        <f>IF(LEFT(CT!D112,3)='SQTM '!$E$2,CT!B112,"")</f>
        <v/>
      </c>
      <c r="C115" s="23" t="str">
        <f>IF(LEFT(CT!E112,3)='SQTM '!$E$2,CT!B112,"")</f>
        <v/>
      </c>
      <c r="D115" s="23" t="str">
        <f>IF(OR(LEFT(CT!D112,3)='SQTM '!$E$2,LEFT(CT!E112,3)='SQTM '!$E$2),CT!C112,"")</f>
        <v/>
      </c>
      <c r="E115" s="23" t="str">
        <f>IF(LEFT(CT!D112,3)='SQTM '!$E$2,LEFT(CT!E112,3),IF(LEFT(CT!E112,3)='SQTM '!$E$2,LEFT(CT!D112,3),""))</f>
        <v/>
      </c>
      <c r="F115" s="78">
        <f>IF(LEFT(CT!D112,3)='SQTM '!$E$2,CT!H112,0)</f>
        <v>0</v>
      </c>
      <c r="G115" s="78">
        <f>IF(LEFT(CT!E112,3)='SQTM '!$E$2,CT!H112,0)</f>
        <v>0</v>
      </c>
      <c r="H115" s="78">
        <f>IF(SUM(F115:G115)=0,0,$H$6+SUM($F$8:F115)-SUM($G$8:G115))</f>
        <v>0</v>
      </c>
    </row>
    <row r="116" spans="1:8" hidden="1" x14ac:dyDescent="0.3">
      <c r="A116" s="63" t="str">
        <f>IF(OR(LEFT(CT!D113,3)='SQTM '!$E$2,LEFT(CT!E113,3)='SQTM '!$E$2),CT!A113,"")</f>
        <v/>
      </c>
      <c r="B116" s="23" t="str">
        <f>IF(LEFT(CT!D113,3)='SQTM '!$E$2,CT!B113,"")</f>
        <v/>
      </c>
      <c r="C116" s="23" t="str">
        <f>IF(LEFT(CT!E113,3)='SQTM '!$E$2,CT!B113,"")</f>
        <v/>
      </c>
      <c r="D116" s="23" t="str">
        <f>IF(OR(LEFT(CT!D113,3)='SQTM '!$E$2,LEFT(CT!E113,3)='SQTM '!$E$2),CT!C113,"")</f>
        <v/>
      </c>
      <c r="E116" s="23" t="str">
        <f>IF(LEFT(CT!D113,3)='SQTM '!$E$2,LEFT(CT!E113,3),IF(LEFT(CT!E113,3)='SQTM '!$E$2,LEFT(CT!D113,3),""))</f>
        <v/>
      </c>
      <c r="F116" s="78">
        <f>IF(LEFT(CT!D113,3)='SQTM '!$E$2,CT!H113,0)</f>
        <v>0</v>
      </c>
      <c r="G116" s="78">
        <f>IF(LEFT(CT!E113,3)='SQTM '!$E$2,CT!H113,0)</f>
        <v>0</v>
      </c>
      <c r="H116" s="78">
        <f>IF(SUM(F116:G116)=0,0,$H$6+SUM($F$8:F116)-SUM($G$8:G116))</f>
        <v>0</v>
      </c>
    </row>
    <row r="117" spans="1:8" hidden="1" x14ac:dyDescent="0.3">
      <c r="A117" s="63" t="str">
        <f>IF(OR(LEFT(CT!D114,3)='SQTM '!$E$2,LEFT(CT!E114,3)='SQTM '!$E$2),CT!A114,"")</f>
        <v/>
      </c>
      <c r="B117" s="23" t="str">
        <f>IF(LEFT(CT!D114,3)='SQTM '!$E$2,CT!B114,"")</f>
        <v/>
      </c>
      <c r="C117" s="23" t="str">
        <f>IF(LEFT(CT!E114,3)='SQTM '!$E$2,CT!B114,"")</f>
        <v/>
      </c>
      <c r="D117" s="23" t="str">
        <f>IF(OR(LEFT(CT!D114,3)='SQTM '!$E$2,LEFT(CT!E114,3)='SQTM '!$E$2),CT!C114,"")</f>
        <v/>
      </c>
      <c r="E117" s="23" t="str">
        <f>IF(LEFT(CT!D114,3)='SQTM '!$E$2,LEFT(CT!E114,3),IF(LEFT(CT!E114,3)='SQTM '!$E$2,LEFT(CT!D114,3),""))</f>
        <v/>
      </c>
      <c r="F117" s="78">
        <f>IF(LEFT(CT!D114,3)='SQTM '!$E$2,CT!H114,0)</f>
        <v>0</v>
      </c>
      <c r="G117" s="78">
        <f>IF(LEFT(CT!E114,3)='SQTM '!$E$2,CT!H114,0)</f>
        <v>0</v>
      </c>
      <c r="H117" s="78">
        <f>IF(SUM(F117:G117)=0,0,$H$6+SUM($F$8:F117)-SUM($G$8:G117))</f>
        <v>0</v>
      </c>
    </row>
    <row r="118" spans="1:8" hidden="1" x14ac:dyDescent="0.3">
      <c r="A118" s="63" t="str">
        <f>IF(OR(LEFT(CT!D115,3)='SQTM '!$E$2,LEFT(CT!E115,3)='SQTM '!$E$2),CT!A115,"")</f>
        <v/>
      </c>
      <c r="B118" s="23" t="str">
        <f>IF(LEFT(CT!D115,3)='SQTM '!$E$2,CT!B115,"")</f>
        <v/>
      </c>
      <c r="C118" s="23" t="str">
        <f>IF(LEFT(CT!E115,3)='SQTM '!$E$2,CT!B115,"")</f>
        <v/>
      </c>
      <c r="D118" s="23" t="str">
        <f>IF(OR(LEFT(CT!D115,3)='SQTM '!$E$2,LEFT(CT!E115,3)='SQTM '!$E$2),CT!C115,"")</f>
        <v/>
      </c>
      <c r="E118" s="23" t="str">
        <f>IF(LEFT(CT!D115,3)='SQTM '!$E$2,LEFT(CT!E115,3),IF(LEFT(CT!E115,3)='SQTM '!$E$2,LEFT(CT!D115,3),""))</f>
        <v/>
      </c>
      <c r="F118" s="78">
        <f>IF(LEFT(CT!D115,3)='SQTM '!$E$2,CT!H115,0)</f>
        <v>0</v>
      </c>
      <c r="G118" s="78">
        <f>IF(LEFT(CT!E115,3)='SQTM '!$E$2,CT!H115,0)</f>
        <v>0</v>
      </c>
      <c r="H118" s="78">
        <f>IF(SUM(F118:G118)=0,0,$H$6+SUM($F$8:F118)-SUM($G$8:G118))</f>
        <v>0</v>
      </c>
    </row>
    <row r="119" spans="1:8" hidden="1" x14ac:dyDescent="0.3">
      <c r="A119" s="63" t="str">
        <f>IF(OR(LEFT(CT!D116,3)='SQTM '!$E$2,LEFT(CT!E116,3)='SQTM '!$E$2),CT!A116,"")</f>
        <v/>
      </c>
      <c r="B119" s="23" t="str">
        <f>IF(LEFT(CT!D116,3)='SQTM '!$E$2,CT!B116,"")</f>
        <v/>
      </c>
      <c r="C119" s="23" t="str">
        <f>IF(LEFT(CT!E116,3)='SQTM '!$E$2,CT!B116,"")</f>
        <v/>
      </c>
      <c r="D119" s="23" t="str">
        <f>IF(OR(LEFT(CT!D116,3)='SQTM '!$E$2,LEFT(CT!E116,3)='SQTM '!$E$2),CT!C116,"")</f>
        <v/>
      </c>
      <c r="E119" s="23" t="str">
        <f>IF(LEFT(CT!D116,3)='SQTM '!$E$2,LEFT(CT!E116,3),IF(LEFT(CT!E116,3)='SQTM '!$E$2,LEFT(CT!D116,3),""))</f>
        <v/>
      </c>
      <c r="F119" s="78">
        <f>IF(LEFT(CT!D116,3)='SQTM '!$E$2,CT!H116,0)</f>
        <v>0</v>
      </c>
      <c r="G119" s="78">
        <f>IF(LEFT(CT!E116,3)='SQTM '!$E$2,CT!H116,0)</f>
        <v>0</v>
      </c>
      <c r="H119" s="78">
        <f>IF(SUM(F119:G119)=0,0,$H$6+SUM($F$8:F119)-SUM($G$8:G119))</f>
        <v>0</v>
      </c>
    </row>
    <row r="120" spans="1:8" hidden="1" x14ac:dyDescent="0.3">
      <c r="A120" s="63" t="str">
        <f>IF(OR(LEFT(CT!D117,3)='SQTM '!$E$2,LEFT(CT!E117,3)='SQTM '!$E$2),CT!A117,"")</f>
        <v/>
      </c>
      <c r="B120" s="23" t="str">
        <f>IF(LEFT(CT!D117,3)='SQTM '!$E$2,CT!B117,"")</f>
        <v/>
      </c>
      <c r="C120" s="23" t="str">
        <f>IF(LEFT(CT!E117,3)='SQTM '!$E$2,CT!B117,"")</f>
        <v/>
      </c>
      <c r="D120" s="23" t="str">
        <f>IF(OR(LEFT(CT!D117,3)='SQTM '!$E$2,LEFT(CT!E117,3)='SQTM '!$E$2),CT!C117,"")</f>
        <v/>
      </c>
      <c r="E120" s="23" t="str">
        <f>IF(LEFT(CT!D117,3)='SQTM '!$E$2,LEFT(CT!E117,3),IF(LEFT(CT!E117,3)='SQTM '!$E$2,LEFT(CT!D117,3),""))</f>
        <v/>
      </c>
      <c r="F120" s="78">
        <f>IF(LEFT(CT!D117,3)='SQTM '!$E$2,CT!H117,0)</f>
        <v>0</v>
      </c>
      <c r="G120" s="78">
        <f>IF(LEFT(CT!E117,3)='SQTM '!$E$2,CT!H117,0)</f>
        <v>0</v>
      </c>
      <c r="H120" s="78">
        <f>IF(SUM(F120:G120)=0,0,$H$6+SUM($F$8:F120)-SUM($G$8:G120))</f>
        <v>0</v>
      </c>
    </row>
    <row r="121" spans="1:8" hidden="1" x14ac:dyDescent="0.3">
      <c r="A121" s="63" t="str">
        <f>IF(OR(LEFT(CT!D118,3)='SQTM '!$E$2,LEFT(CT!E118,3)='SQTM '!$E$2),CT!A118,"")</f>
        <v/>
      </c>
      <c r="B121" s="23" t="str">
        <f>IF(LEFT(CT!D118,3)='SQTM '!$E$2,CT!B118,"")</f>
        <v/>
      </c>
      <c r="C121" s="23" t="str">
        <f>IF(LEFT(CT!E118,3)='SQTM '!$E$2,CT!B118,"")</f>
        <v/>
      </c>
      <c r="D121" s="23" t="str">
        <f>IF(OR(LEFT(CT!D118,3)='SQTM '!$E$2,LEFT(CT!E118,3)='SQTM '!$E$2),CT!C118,"")</f>
        <v/>
      </c>
      <c r="E121" s="23" t="str">
        <f>IF(LEFT(CT!D118,3)='SQTM '!$E$2,LEFT(CT!E118,3),IF(LEFT(CT!E118,3)='SQTM '!$E$2,LEFT(CT!D118,3),""))</f>
        <v/>
      </c>
      <c r="F121" s="78">
        <f>IF(LEFT(CT!D118,3)='SQTM '!$E$2,CT!H118,0)</f>
        <v>0</v>
      </c>
      <c r="G121" s="78">
        <f>IF(LEFT(CT!E118,3)='SQTM '!$E$2,CT!H118,0)</f>
        <v>0</v>
      </c>
      <c r="H121" s="78">
        <f>IF(SUM(F121:G121)=0,0,$H$6+SUM($F$8:F121)-SUM($G$8:G121))</f>
        <v>0</v>
      </c>
    </row>
    <row r="122" spans="1:8" hidden="1" x14ac:dyDescent="0.3">
      <c r="A122" s="63" t="str">
        <f>IF(OR(LEFT(CT!D119,3)='SQTM '!$E$2,LEFT(CT!E119,3)='SQTM '!$E$2),CT!A119,"")</f>
        <v/>
      </c>
      <c r="B122" s="23" t="str">
        <f>IF(LEFT(CT!D119,3)='SQTM '!$E$2,CT!B119,"")</f>
        <v/>
      </c>
      <c r="C122" s="23" t="str">
        <f>IF(LEFT(CT!E119,3)='SQTM '!$E$2,CT!B119,"")</f>
        <v/>
      </c>
      <c r="D122" s="23" t="str">
        <f>IF(OR(LEFT(CT!D119,3)='SQTM '!$E$2,LEFT(CT!E119,3)='SQTM '!$E$2),CT!C119,"")</f>
        <v/>
      </c>
      <c r="E122" s="23" t="str">
        <f>IF(LEFT(CT!D119,3)='SQTM '!$E$2,LEFT(CT!E119,3),IF(LEFT(CT!E119,3)='SQTM '!$E$2,LEFT(CT!D119,3),""))</f>
        <v/>
      </c>
      <c r="F122" s="78">
        <f>IF(LEFT(CT!D119,3)='SQTM '!$E$2,CT!H119,0)</f>
        <v>0</v>
      </c>
      <c r="G122" s="78">
        <f>IF(LEFT(CT!E119,3)='SQTM '!$E$2,CT!H119,0)</f>
        <v>0</v>
      </c>
      <c r="H122" s="78">
        <f>IF(SUM(F122:G122)=0,0,$H$6+SUM($F$8:F122)-SUM($G$8:G122))</f>
        <v>0</v>
      </c>
    </row>
    <row r="123" spans="1:8" hidden="1" x14ac:dyDescent="0.3">
      <c r="A123" s="63" t="str">
        <f>IF(OR(LEFT(CT!D120,3)='SQTM '!$E$2,LEFT(CT!E120,3)='SQTM '!$E$2),CT!A120,"")</f>
        <v/>
      </c>
      <c r="B123" s="23" t="str">
        <f>IF(LEFT(CT!D120,3)='SQTM '!$E$2,CT!B120,"")</f>
        <v/>
      </c>
      <c r="C123" s="23" t="str">
        <f>IF(LEFT(CT!E120,3)='SQTM '!$E$2,CT!B120,"")</f>
        <v/>
      </c>
      <c r="D123" s="23" t="str">
        <f>IF(OR(LEFT(CT!D120,3)='SQTM '!$E$2,LEFT(CT!E120,3)='SQTM '!$E$2),CT!C120,"")</f>
        <v/>
      </c>
      <c r="E123" s="23" t="str">
        <f>IF(LEFT(CT!D120,3)='SQTM '!$E$2,LEFT(CT!E120,3),IF(LEFT(CT!E120,3)='SQTM '!$E$2,LEFT(CT!D120,3),""))</f>
        <v/>
      </c>
      <c r="F123" s="78">
        <f>IF(LEFT(CT!D120,3)='SQTM '!$E$2,CT!H120,0)</f>
        <v>0</v>
      </c>
      <c r="G123" s="78">
        <f>IF(LEFT(CT!E120,3)='SQTM '!$E$2,CT!H120,0)</f>
        <v>0</v>
      </c>
      <c r="H123" s="78">
        <f>IF(SUM(F123:G123)=0,0,$H$6+SUM($F$8:F123)-SUM($G$8:G123))</f>
        <v>0</v>
      </c>
    </row>
    <row r="124" spans="1:8" hidden="1" x14ac:dyDescent="0.3">
      <c r="A124" s="63" t="str">
        <f>IF(OR(LEFT(CT!D121,3)='SQTM '!$E$2,LEFT(CT!E121,3)='SQTM '!$E$2),CT!A121,"")</f>
        <v/>
      </c>
      <c r="B124" s="23" t="str">
        <f>IF(LEFT(CT!D121,3)='SQTM '!$E$2,CT!B121,"")</f>
        <v/>
      </c>
      <c r="C124" s="23" t="str">
        <f>IF(LEFT(CT!E121,3)='SQTM '!$E$2,CT!B121,"")</f>
        <v/>
      </c>
      <c r="D124" s="23" t="str">
        <f>IF(OR(LEFT(CT!D121,3)='SQTM '!$E$2,LEFT(CT!E121,3)='SQTM '!$E$2),CT!C121,"")</f>
        <v/>
      </c>
      <c r="E124" s="23" t="str">
        <f>IF(LEFT(CT!D121,3)='SQTM '!$E$2,LEFT(CT!E121,3),IF(LEFT(CT!E121,3)='SQTM '!$E$2,LEFT(CT!D121,3),""))</f>
        <v/>
      </c>
      <c r="F124" s="78">
        <f>IF(LEFT(CT!D121,3)='SQTM '!$E$2,CT!H121,0)</f>
        <v>0</v>
      </c>
      <c r="G124" s="78">
        <f>IF(LEFT(CT!E121,3)='SQTM '!$E$2,CT!H121,0)</f>
        <v>0</v>
      </c>
      <c r="H124" s="78">
        <f>IF(SUM(F124:G124)=0,0,$H$6+SUM($F$8:F124)-SUM($G$8:G124))</f>
        <v>0</v>
      </c>
    </row>
    <row r="125" spans="1:8" hidden="1" x14ac:dyDescent="0.3">
      <c r="A125" s="63" t="str">
        <f>IF(OR(LEFT(CT!D122,3)='SQTM '!$E$2,LEFT(CT!E122,3)='SQTM '!$E$2),CT!A122,"")</f>
        <v/>
      </c>
      <c r="B125" s="23" t="str">
        <f>IF(LEFT(CT!D122,3)='SQTM '!$E$2,CT!B122,"")</f>
        <v/>
      </c>
      <c r="C125" s="23" t="str">
        <f>IF(LEFT(CT!E122,3)='SQTM '!$E$2,CT!B122,"")</f>
        <v/>
      </c>
      <c r="D125" s="23" t="str">
        <f>IF(OR(LEFT(CT!D122,3)='SQTM '!$E$2,LEFT(CT!E122,3)='SQTM '!$E$2),CT!C122,"")</f>
        <v/>
      </c>
      <c r="E125" s="23" t="str">
        <f>IF(LEFT(CT!D122,3)='SQTM '!$E$2,LEFT(CT!E122,3),IF(LEFT(CT!E122,3)='SQTM '!$E$2,LEFT(CT!D122,3),""))</f>
        <v/>
      </c>
      <c r="F125" s="78">
        <f>IF(LEFT(CT!D122,3)='SQTM '!$E$2,CT!H122,0)</f>
        <v>0</v>
      </c>
      <c r="G125" s="78">
        <f>IF(LEFT(CT!E122,3)='SQTM '!$E$2,CT!H122,0)</f>
        <v>0</v>
      </c>
      <c r="H125" s="78">
        <f>IF(SUM(F125:G125)=0,0,$H$6+SUM($F$8:F125)-SUM($G$8:G125))</f>
        <v>0</v>
      </c>
    </row>
    <row r="126" spans="1:8" hidden="1" x14ac:dyDescent="0.3">
      <c r="A126" s="63" t="str">
        <f>IF(OR(LEFT(CT!D123,3)='SQTM '!$E$2,LEFT(CT!E123,3)='SQTM '!$E$2),CT!A123,"")</f>
        <v/>
      </c>
      <c r="B126" s="23" t="str">
        <f>IF(LEFT(CT!D123,3)='SQTM '!$E$2,CT!B123,"")</f>
        <v/>
      </c>
      <c r="C126" s="23" t="str">
        <f>IF(LEFT(CT!E123,3)='SQTM '!$E$2,CT!B123,"")</f>
        <v/>
      </c>
      <c r="D126" s="23" t="str">
        <f>IF(OR(LEFT(CT!D123,3)='SQTM '!$E$2,LEFT(CT!E123,3)='SQTM '!$E$2),CT!C123,"")</f>
        <v/>
      </c>
      <c r="E126" s="23" t="str">
        <f>IF(LEFT(CT!D123,3)='SQTM '!$E$2,LEFT(CT!E123,3),IF(LEFT(CT!E123,3)='SQTM '!$E$2,LEFT(CT!D123,3),""))</f>
        <v/>
      </c>
      <c r="F126" s="78">
        <f>IF(LEFT(CT!D123,3)='SQTM '!$E$2,CT!H123,0)</f>
        <v>0</v>
      </c>
      <c r="G126" s="78">
        <f>IF(LEFT(CT!E123,3)='SQTM '!$E$2,CT!H123,0)</f>
        <v>0</v>
      </c>
      <c r="H126" s="78">
        <f>IF(SUM(F126:G126)=0,0,$H$6+SUM($F$8:F126)-SUM($G$8:G126))</f>
        <v>0</v>
      </c>
    </row>
    <row r="127" spans="1:8" hidden="1" x14ac:dyDescent="0.3">
      <c r="A127" s="63" t="str">
        <f>IF(OR(LEFT(CT!D124,3)='SQTM '!$E$2,LEFT(CT!E124,3)='SQTM '!$E$2),CT!A124,"")</f>
        <v/>
      </c>
      <c r="B127" s="23" t="str">
        <f>IF(LEFT(CT!D124,3)='SQTM '!$E$2,CT!B124,"")</f>
        <v/>
      </c>
      <c r="C127" s="23" t="str">
        <f>IF(LEFT(CT!E124,3)='SQTM '!$E$2,CT!B124,"")</f>
        <v/>
      </c>
      <c r="D127" s="23" t="str">
        <f>IF(OR(LEFT(CT!D124,3)='SQTM '!$E$2,LEFT(CT!E124,3)='SQTM '!$E$2),CT!C124,"")</f>
        <v/>
      </c>
      <c r="E127" s="23" t="str">
        <f>IF(LEFT(CT!D124,3)='SQTM '!$E$2,LEFT(CT!E124,3),IF(LEFT(CT!E124,3)='SQTM '!$E$2,LEFT(CT!D124,3),""))</f>
        <v/>
      </c>
      <c r="F127" s="78">
        <f>IF(LEFT(CT!D124,3)='SQTM '!$E$2,CT!H124,0)</f>
        <v>0</v>
      </c>
      <c r="G127" s="78">
        <f>IF(LEFT(CT!E124,3)='SQTM '!$E$2,CT!H124,0)</f>
        <v>0</v>
      </c>
      <c r="H127" s="78">
        <f>IF(SUM(F127:G127)=0,0,$H$6+SUM($F$8:F127)-SUM($G$8:G127))</f>
        <v>0</v>
      </c>
    </row>
    <row r="128" spans="1:8" hidden="1" x14ac:dyDescent="0.3">
      <c r="A128" s="63" t="str">
        <f>IF(OR(LEFT(CT!D125,3)='SQTM '!$E$2,LEFT(CT!E125,3)='SQTM '!$E$2),CT!A125,"")</f>
        <v/>
      </c>
      <c r="B128" s="23" t="str">
        <f>IF(LEFT(CT!D125,3)='SQTM '!$E$2,CT!B125,"")</f>
        <v/>
      </c>
      <c r="C128" s="23" t="str">
        <f>IF(LEFT(CT!E125,3)='SQTM '!$E$2,CT!B125,"")</f>
        <v/>
      </c>
      <c r="D128" s="23" t="str">
        <f>IF(OR(LEFT(CT!D125,3)='SQTM '!$E$2,LEFT(CT!E125,3)='SQTM '!$E$2),CT!C125,"")</f>
        <v/>
      </c>
      <c r="E128" s="23" t="str">
        <f>IF(LEFT(CT!D125,3)='SQTM '!$E$2,LEFT(CT!E125,3),IF(LEFT(CT!E125,3)='SQTM '!$E$2,LEFT(CT!D125,3),""))</f>
        <v/>
      </c>
      <c r="F128" s="78">
        <f>IF(LEFT(CT!D125,3)='SQTM '!$E$2,CT!H125,0)</f>
        <v>0</v>
      </c>
      <c r="G128" s="78">
        <f>IF(LEFT(CT!E125,3)='SQTM '!$E$2,CT!H125,0)</f>
        <v>0</v>
      </c>
      <c r="H128" s="78">
        <f>IF(SUM(F128:G128)=0,0,$H$6+SUM($F$8:F128)-SUM($G$8:G128))</f>
        <v>0</v>
      </c>
    </row>
    <row r="129" spans="1:8" hidden="1" x14ac:dyDescent="0.3">
      <c r="A129" s="63" t="str">
        <f>IF(OR(LEFT(CT!D126,3)='SQTM '!$E$2,LEFT(CT!E126,3)='SQTM '!$E$2),CT!A126,"")</f>
        <v/>
      </c>
      <c r="B129" s="23" t="str">
        <f>IF(LEFT(CT!D126,3)='SQTM '!$E$2,CT!B126,"")</f>
        <v/>
      </c>
      <c r="C129" s="23" t="str">
        <f>IF(LEFT(CT!E126,3)='SQTM '!$E$2,CT!B126,"")</f>
        <v/>
      </c>
      <c r="D129" s="23" t="str">
        <f>IF(OR(LEFT(CT!D126,3)='SQTM '!$E$2,LEFT(CT!E126,3)='SQTM '!$E$2),CT!C126,"")</f>
        <v/>
      </c>
      <c r="E129" s="23" t="str">
        <f>IF(LEFT(CT!D126,3)='SQTM '!$E$2,LEFT(CT!E126,3),IF(LEFT(CT!E126,3)='SQTM '!$E$2,LEFT(CT!D126,3),""))</f>
        <v/>
      </c>
      <c r="F129" s="78">
        <f>IF(LEFT(CT!D126,3)='SQTM '!$E$2,CT!H126,0)</f>
        <v>0</v>
      </c>
      <c r="G129" s="78">
        <f>IF(LEFT(CT!E126,3)='SQTM '!$E$2,CT!H126,0)</f>
        <v>0</v>
      </c>
      <c r="H129" s="78">
        <f>IF(SUM(F129:G129)=0,0,$H$6+SUM($F$8:F129)-SUM($G$8:G129))</f>
        <v>0</v>
      </c>
    </row>
    <row r="130" spans="1:8" hidden="1" x14ac:dyDescent="0.3">
      <c r="A130" s="63" t="str">
        <f>IF(OR(LEFT(CT!D127,3)='SQTM '!$E$2,LEFT(CT!E127,3)='SQTM '!$E$2),CT!A127,"")</f>
        <v/>
      </c>
      <c r="B130" s="23" t="str">
        <f>IF(LEFT(CT!D127,3)='SQTM '!$E$2,CT!B127,"")</f>
        <v/>
      </c>
      <c r="C130" s="23" t="str">
        <f>IF(LEFT(CT!E127,3)='SQTM '!$E$2,CT!B127,"")</f>
        <v/>
      </c>
      <c r="D130" s="23" t="str">
        <f>IF(OR(LEFT(CT!D127,3)='SQTM '!$E$2,LEFT(CT!E127,3)='SQTM '!$E$2),CT!C127,"")</f>
        <v/>
      </c>
      <c r="E130" s="23" t="str">
        <f>IF(LEFT(CT!D127,3)='SQTM '!$E$2,LEFT(CT!E127,3),IF(LEFT(CT!E127,3)='SQTM '!$E$2,LEFT(CT!D127,3),""))</f>
        <v/>
      </c>
      <c r="F130" s="78">
        <f>IF(LEFT(CT!D127,3)='SQTM '!$E$2,CT!H127,0)</f>
        <v>0</v>
      </c>
      <c r="G130" s="78">
        <f>IF(LEFT(CT!E127,3)='SQTM '!$E$2,CT!H127,0)</f>
        <v>0</v>
      </c>
      <c r="H130" s="78">
        <f>IF(SUM(F130:G130)=0,0,$H$6+SUM($F$8:F130)-SUM($G$8:G130))</f>
        <v>0</v>
      </c>
    </row>
    <row r="131" spans="1:8" hidden="1" x14ac:dyDescent="0.3">
      <c r="A131" s="63" t="str">
        <f>IF(OR(LEFT(CT!D128,3)='SQTM '!$E$2,LEFT(CT!E128,3)='SQTM '!$E$2),CT!A128,"")</f>
        <v/>
      </c>
      <c r="B131" s="23" t="str">
        <f>IF(LEFT(CT!D128,3)='SQTM '!$E$2,CT!B128,"")</f>
        <v/>
      </c>
      <c r="C131" s="23" t="str">
        <f>IF(LEFT(CT!E128,3)='SQTM '!$E$2,CT!B128,"")</f>
        <v/>
      </c>
      <c r="D131" s="23" t="str">
        <f>IF(OR(LEFT(CT!D128,3)='SQTM '!$E$2,LEFT(CT!E128,3)='SQTM '!$E$2),CT!C128,"")</f>
        <v/>
      </c>
      <c r="E131" s="23" t="str">
        <f>IF(LEFT(CT!D128,3)='SQTM '!$E$2,LEFT(CT!E128,3),IF(LEFT(CT!E128,3)='SQTM '!$E$2,LEFT(CT!D128,3),""))</f>
        <v/>
      </c>
      <c r="F131" s="78">
        <f>IF(LEFT(CT!D128,3)='SQTM '!$E$2,CT!H128,0)</f>
        <v>0</v>
      </c>
      <c r="G131" s="78">
        <f>IF(LEFT(CT!E128,3)='SQTM '!$E$2,CT!H128,0)</f>
        <v>0</v>
      </c>
      <c r="H131" s="78">
        <f>IF(SUM(F131:G131)=0,0,$H$6+SUM($F$8:F131)-SUM($G$8:G131))</f>
        <v>0</v>
      </c>
    </row>
    <row r="132" spans="1:8" hidden="1" x14ac:dyDescent="0.3">
      <c r="A132" s="63" t="str">
        <f>IF(OR(LEFT(CT!D129,3)='SQTM '!$E$2,LEFT(CT!E129,3)='SQTM '!$E$2),CT!A129,"")</f>
        <v/>
      </c>
      <c r="B132" s="23" t="str">
        <f>IF(LEFT(CT!D129,3)='SQTM '!$E$2,CT!B129,"")</f>
        <v/>
      </c>
      <c r="C132" s="23" t="str">
        <f>IF(LEFT(CT!E129,3)='SQTM '!$E$2,CT!B129,"")</f>
        <v/>
      </c>
      <c r="D132" s="23" t="str">
        <f>IF(OR(LEFT(CT!D129,3)='SQTM '!$E$2,LEFT(CT!E129,3)='SQTM '!$E$2),CT!C129,"")</f>
        <v/>
      </c>
      <c r="E132" s="23" t="str">
        <f>IF(LEFT(CT!D129,3)='SQTM '!$E$2,LEFT(CT!E129,3),IF(LEFT(CT!E129,3)='SQTM '!$E$2,LEFT(CT!D129,3),""))</f>
        <v/>
      </c>
      <c r="F132" s="78">
        <f>IF(LEFT(CT!D129,3)='SQTM '!$E$2,CT!H129,0)</f>
        <v>0</v>
      </c>
      <c r="G132" s="78">
        <f>IF(LEFT(CT!E129,3)='SQTM '!$E$2,CT!H129,0)</f>
        <v>0</v>
      </c>
      <c r="H132" s="78">
        <f>IF(SUM(F132:G132)=0,0,$H$6+SUM($F$8:F132)-SUM($G$8:G132))</f>
        <v>0</v>
      </c>
    </row>
    <row r="133" spans="1:8" hidden="1" x14ac:dyDescent="0.3">
      <c r="A133" s="63" t="str">
        <f>IF(OR(LEFT(CT!D130,3)='SQTM '!$E$2,LEFT(CT!E130,3)='SQTM '!$E$2),CT!A130,"")</f>
        <v/>
      </c>
      <c r="B133" s="23" t="str">
        <f>IF(LEFT(CT!D130,3)='SQTM '!$E$2,CT!B130,"")</f>
        <v/>
      </c>
      <c r="C133" s="23" t="str">
        <f>IF(LEFT(CT!E130,3)='SQTM '!$E$2,CT!B130,"")</f>
        <v/>
      </c>
      <c r="D133" s="23" t="str">
        <f>IF(OR(LEFT(CT!D130,3)='SQTM '!$E$2,LEFT(CT!E130,3)='SQTM '!$E$2),CT!C130,"")</f>
        <v/>
      </c>
      <c r="E133" s="23" t="str">
        <f>IF(LEFT(CT!D130,3)='SQTM '!$E$2,LEFT(CT!E130,3),IF(LEFT(CT!E130,3)='SQTM '!$E$2,LEFT(CT!D130,3),""))</f>
        <v/>
      </c>
      <c r="F133" s="78">
        <f>IF(LEFT(CT!D130,3)='SQTM '!$E$2,CT!H130,0)</f>
        <v>0</v>
      </c>
      <c r="G133" s="78">
        <f>IF(LEFT(CT!E130,3)='SQTM '!$E$2,CT!H130,0)</f>
        <v>0</v>
      </c>
      <c r="H133" s="78">
        <f>IF(SUM(F133:G133)=0,0,$H$6+SUM($F$8:F133)-SUM($G$8:G133))</f>
        <v>0</v>
      </c>
    </row>
    <row r="134" spans="1:8" hidden="1" x14ac:dyDescent="0.3">
      <c r="A134" s="63" t="str">
        <f>IF(OR(LEFT(CT!D131,3)='SQTM '!$E$2,LEFT(CT!E131,3)='SQTM '!$E$2),CT!A131,"")</f>
        <v/>
      </c>
      <c r="B134" s="23" t="str">
        <f>IF(LEFT(CT!D131,3)='SQTM '!$E$2,CT!B131,"")</f>
        <v/>
      </c>
      <c r="C134" s="23" t="str">
        <f>IF(LEFT(CT!E131,3)='SQTM '!$E$2,CT!B131,"")</f>
        <v/>
      </c>
      <c r="D134" s="23" t="str">
        <f>IF(OR(LEFT(CT!D131,3)='SQTM '!$E$2,LEFT(CT!E131,3)='SQTM '!$E$2),CT!C131,"")</f>
        <v/>
      </c>
      <c r="E134" s="23" t="str">
        <f>IF(LEFT(CT!D131,3)='SQTM '!$E$2,LEFT(CT!E131,3),IF(LEFT(CT!E131,3)='SQTM '!$E$2,LEFT(CT!D131,3),""))</f>
        <v/>
      </c>
      <c r="F134" s="78">
        <f>IF(LEFT(CT!D131,3)='SQTM '!$E$2,CT!H131,0)</f>
        <v>0</v>
      </c>
      <c r="G134" s="78">
        <f>IF(LEFT(CT!E131,3)='SQTM '!$E$2,CT!H131,0)</f>
        <v>0</v>
      </c>
      <c r="H134" s="78">
        <f>IF(SUM(F134:G134)=0,0,$H$6+SUM($F$8:F134)-SUM($G$8:G134))</f>
        <v>0</v>
      </c>
    </row>
    <row r="135" spans="1:8" hidden="1" x14ac:dyDescent="0.3">
      <c r="A135" s="63" t="str">
        <f>IF(OR(LEFT(CT!D132,3)='SQTM '!$E$2,LEFT(CT!E132,3)='SQTM '!$E$2),CT!A132,"")</f>
        <v/>
      </c>
      <c r="B135" s="23" t="str">
        <f>IF(LEFT(CT!D132,3)='SQTM '!$E$2,CT!B132,"")</f>
        <v/>
      </c>
      <c r="C135" s="23" t="str">
        <f>IF(LEFT(CT!E132,3)='SQTM '!$E$2,CT!B132,"")</f>
        <v/>
      </c>
      <c r="D135" s="23" t="str">
        <f>IF(OR(LEFT(CT!D132,3)='SQTM '!$E$2,LEFT(CT!E132,3)='SQTM '!$E$2),CT!C132,"")</f>
        <v/>
      </c>
      <c r="E135" s="23" t="str">
        <f>IF(LEFT(CT!D132,3)='SQTM '!$E$2,LEFT(CT!E132,3),IF(LEFT(CT!E132,3)='SQTM '!$E$2,LEFT(CT!D132,3),""))</f>
        <v/>
      </c>
      <c r="F135" s="78">
        <f>IF(LEFT(CT!D132,3)='SQTM '!$E$2,CT!H132,0)</f>
        <v>0</v>
      </c>
      <c r="G135" s="78">
        <f>IF(LEFT(CT!E132,3)='SQTM '!$E$2,CT!H132,0)</f>
        <v>0</v>
      </c>
      <c r="H135" s="78">
        <f>IF(SUM(F135:G135)=0,0,$H$6+SUM($F$8:F135)-SUM($G$8:G135))</f>
        <v>0</v>
      </c>
    </row>
    <row r="136" spans="1:8" hidden="1" x14ac:dyDescent="0.3">
      <c r="A136" s="63" t="str">
        <f>IF(OR(LEFT(CT!D133,3)='SQTM '!$E$2,LEFT(CT!E133,3)='SQTM '!$E$2),CT!A133,"")</f>
        <v/>
      </c>
      <c r="B136" s="23" t="str">
        <f>IF(LEFT(CT!D133,3)='SQTM '!$E$2,CT!B133,"")</f>
        <v/>
      </c>
      <c r="C136" s="23" t="str">
        <f>IF(LEFT(CT!E133,3)='SQTM '!$E$2,CT!B133,"")</f>
        <v/>
      </c>
      <c r="D136" s="23" t="str">
        <f>IF(OR(LEFT(CT!D133,3)='SQTM '!$E$2,LEFT(CT!E133,3)='SQTM '!$E$2),CT!C133,"")</f>
        <v/>
      </c>
      <c r="E136" s="23" t="str">
        <f>IF(LEFT(CT!D133,3)='SQTM '!$E$2,LEFT(CT!E133,3),IF(LEFT(CT!E133,3)='SQTM '!$E$2,LEFT(CT!D133,3),""))</f>
        <v/>
      </c>
      <c r="F136" s="78">
        <f>IF(LEFT(CT!D133,3)='SQTM '!$E$2,CT!H133,0)</f>
        <v>0</v>
      </c>
      <c r="G136" s="78">
        <f>IF(LEFT(CT!E133,3)='SQTM '!$E$2,CT!H133,0)</f>
        <v>0</v>
      </c>
      <c r="H136" s="78">
        <f>IF(SUM(F136:G136)=0,0,$H$6+SUM($F$8:F136)-SUM($G$8:G136))</f>
        <v>0</v>
      </c>
    </row>
    <row r="137" spans="1:8" hidden="1" x14ac:dyDescent="0.3">
      <c r="A137" s="63" t="str">
        <f>IF(OR(LEFT(CT!D134,3)='SQTM '!$E$2,LEFT(CT!E134,3)='SQTM '!$E$2),CT!A134,"")</f>
        <v/>
      </c>
      <c r="B137" s="23" t="str">
        <f>IF(LEFT(CT!D134,3)='SQTM '!$E$2,CT!B134,"")</f>
        <v/>
      </c>
      <c r="C137" s="23" t="str">
        <f>IF(LEFT(CT!E134,3)='SQTM '!$E$2,CT!B134,"")</f>
        <v/>
      </c>
      <c r="D137" s="23" t="str">
        <f>IF(OR(LEFT(CT!D134,3)='SQTM '!$E$2,LEFT(CT!E134,3)='SQTM '!$E$2),CT!C134,"")</f>
        <v/>
      </c>
      <c r="E137" s="23" t="str">
        <f>IF(LEFT(CT!D134,3)='SQTM '!$E$2,LEFT(CT!E134,3),IF(LEFT(CT!E134,3)='SQTM '!$E$2,LEFT(CT!D134,3),""))</f>
        <v/>
      </c>
      <c r="F137" s="78">
        <f>IF(LEFT(CT!D134,3)='SQTM '!$E$2,CT!H134,0)</f>
        <v>0</v>
      </c>
      <c r="G137" s="78">
        <f>IF(LEFT(CT!E134,3)='SQTM '!$E$2,CT!H134,0)</f>
        <v>0</v>
      </c>
      <c r="H137" s="78">
        <f>IF(SUM(F137:G137)=0,0,$H$6+SUM($F$8:F137)-SUM($G$8:G137))</f>
        <v>0</v>
      </c>
    </row>
    <row r="138" spans="1:8" hidden="1" x14ac:dyDescent="0.3">
      <c r="A138" s="63" t="str">
        <f>IF(OR(LEFT(CT!D135,3)='SQTM '!$E$2,LEFT(CT!E135,3)='SQTM '!$E$2),CT!A135,"")</f>
        <v/>
      </c>
      <c r="B138" s="23" t="str">
        <f>IF(LEFT(CT!D135,3)='SQTM '!$E$2,CT!B135,"")</f>
        <v/>
      </c>
      <c r="C138" s="23" t="str">
        <f>IF(LEFT(CT!E135,3)='SQTM '!$E$2,CT!B135,"")</f>
        <v/>
      </c>
      <c r="D138" s="23" t="str">
        <f>IF(OR(LEFT(CT!D135,3)='SQTM '!$E$2,LEFT(CT!E135,3)='SQTM '!$E$2),CT!C135,"")</f>
        <v/>
      </c>
      <c r="E138" s="23" t="str">
        <f>IF(LEFT(CT!D135,3)='SQTM '!$E$2,LEFT(CT!E135,3),IF(LEFT(CT!E135,3)='SQTM '!$E$2,LEFT(CT!D135,3),""))</f>
        <v/>
      </c>
      <c r="F138" s="78">
        <f>IF(LEFT(CT!D135,3)='SQTM '!$E$2,CT!H135,0)</f>
        <v>0</v>
      </c>
      <c r="G138" s="78">
        <f>IF(LEFT(CT!E135,3)='SQTM '!$E$2,CT!H135,0)</f>
        <v>0</v>
      </c>
      <c r="H138" s="78">
        <f>IF(SUM(F138:G138)=0,0,$H$6+SUM($F$8:F138)-SUM($G$8:G138))</f>
        <v>0</v>
      </c>
    </row>
    <row r="139" spans="1:8" hidden="1" x14ac:dyDescent="0.3">
      <c r="A139" s="63" t="str">
        <f>IF(OR(LEFT(CT!D136,3)='SQTM '!$E$2,LEFT(CT!E136,3)='SQTM '!$E$2),CT!A136,"")</f>
        <v/>
      </c>
      <c r="B139" s="23" t="str">
        <f>IF(LEFT(CT!D136,3)='SQTM '!$E$2,CT!B136,"")</f>
        <v/>
      </c>
      <c r="C139" s="23" t="str">
        <f>IF(LEFT(CT!E136,3)='SQTM '!$E$2,CT!B136,"")</f>
        <v/>
      </c>
      <c r="D139" s="23" t="str">
        <f>IF(OR(LEFT(CT!D136,3)='SQTM '!$E$2,LEFT(CT!E136,3)='SQTM '!$E$2),CT!C136,"")</f>
        <v/>
      </c>
      <c r="E139" s="23" t="str">
        <f>IF(LEFT(CT!D136,3)='SQTM '!$E$2,LEFT(CT!E136,3),IF(LEFT(CT!E136,3)='SQTM '!$E$2,LEFT(CT!D136,3),""))</f>
        <v/>
      </c>
      <c r="F139" s="78">
        <f>IF(LEFT(CT!D136,3)='SQTM '!$E$2,CT!H136,0)</f>
        <v>0</v>
      </c>
      <c r="G139" s="78">
        <f>IF(LEFT(CT!E136,3)='SQTM '!$E$2,CT!H136,0)</f>
        <v>0</v>
      </c>
      <c r="H139" s="78">
        <f>IF(SUM(F139:G139)=0,0,$H$6+SUM($F$8:F139)-SUM($G$8:G139))</f>
        <v>0</v>
      </c>
    </row>
    <row r="140" spans="1:8" hidden="1" x14ac:dyDescent="0.3">
      <c r="A140" s="63" t="str">
        <f>IF(OR(LEFT(CT!D137,3)='SQTM '!$E$2,LEFT(CT!E137,3)='SQTM '!$E$2),CT!A137,"")</f>
        <v/>
      </c>
      <c r="B140" s="23" t="str">
        <f>IF(LEFT(CT!D137,3)='SQTM '!$E$2,CT!B137,"")</f>
        <v/>
      </c>
      <c r="C140" s="23" t="str">
        <f>IF(LEFT(CT!E137,3)='SQTM '!$E$2,CT!B137,"")</f>
        <v/>
      </c>
      <c r="D140" s="23" t="str">
        <f>IF(OR(LEFT(CT!D137,3)='SQTM '!$E$2,LEFT(CT!E137,3)='SQTM '!$E$2),CT!C137,"")</f>
        <v/>
      </c>
      <c r="E140" s="23" t="str">
        <f>IF(LEFT(CT!D137,3)='SQTM '!$E$2,LEFT(CT!E137,3),IF(LEFT(CT!E137,3)='SQTM '!$E$2,LEFT(CT!D137,3),""))</f>
        <v/>
      </c>
      <c r="F140" s="78">
        <f>IF(LEFT(CT!D137,3)='SQTM '!$E$2,CT!H137,0)</f>
        <v>0</v>
      </c>
      <c r="G140" s="78">
        <f>IF(LEFT(CT!E137,3)='SQTM '!$E$2,CT!H137,0)</f>
        <v>0</v>
      </c>
      <c r="H140" s="78">
        <f>IF(SUM(F140:G140)=0,0,$H$6+SUM($F$8:F140)-SUM($G$8:G140))</f>
        <v>0</v>
      </c>
    </row>
    <row r="141" spans="1:8" hidden="1" x14ac:dyDescent="0.3">
      <c r="A141" s="63" t="str">
        <f>IF(OR(LEFT(CT!D138,3)='SQTM '!$E$2,LEFT(CT!E138,3)='SQTM '!$E$2),CT!A138,"")</f>
        <v/>
      </c>
      <c r="B141" s="23" t="str">
        <f>IF(LEFT(CT!D138,3)='SQTM '!$E$2,CT!B138,"")</f>
        <v/>
      </c>
      <c r="C141" s="23" t="str">
        <f>IF(LEFT(CT!E138,3)='SQTM '!$E$2,CT!B138,"")</f>
        <v/>
      </c>
      <c r="D141" s="23" t="str">
        <f>IF(OR(LEFT(CT!D138,3)='SQTM '!$E$2,LEFT(CT!E138,3)='SQTM '!$E$2),CT!C138,"")</f>
        <v/>
      </c>
      <c r="E141" s="23" t="str">
        <f>IF(LEFT(CT!D138,3)='SQTM '!$E$2,LEFT(CT!E138,3),IF(LEFT(CT!E138,3)='SQTM '!$E$2,LEFT(CT!D138,3),""))</f>
        <v/>
      </c>
      <c r="F141" s="78">
        <f>IF(LEFT(CT!D138,3)='SQTM '!$E$2,CT!H138,0)</f>
        <v>0</v>
      </c>
      <c r="G141" s="78">
        <f>IF(LEFT(CT!E138,3)='SQTM '!$E$2,CT!H138,0)</f>
        <v>0</v>
      </c>
      <c r="H141" s="78">
        <f>IF(SUM(F141:G141)=0,0,$H$6+SUM($F$8:F141)-SUM($G$8:G141))</f>
        <v>0</v>
      </c>
    </row>
    <row r="142" spans="1:8" hidden="1" x14ac:dyDescent="0.3">
      <c r="A142" s="63" t="str">
        <f>IF(OR(LEFT(CT!D139,3)='SQTM '!$E$2,LEFT(CT!E139,3)='SQTM '!$E$2),CT!A139,"")</f>
        <v/>
      </c>
      <c r="B142" s="23" t="str">
        <f>IF(LEFT(CT!D139,3)='SQTM '!$E$2,CT!B139,"")</f>
        <v/>
      </c>
      <c r="C142" s="23" t="str">
        <f>IF(LEFT(CT!E139,3)='SQTM '!$E$2,CT!B139,"")</f>
        <v/>
      </c>
      <c r="D142" s="23" t="str">
        <f>IF(OR(LEFT(CT!D139,3)='SQTM '!$E$2,LEFT(CT!E139,3)='SQTM '!$E$2),CT!C139,"")</f>
        <v/>
      </c>
      <c r="E142" s="23" t="str">
        <f>IF(LEFT(CT!D139,3)='SQTM '!$E$2,LEFT(CT!E139,3),IF(LEFT(CT!E139,3)='SQTM '!$E$2,LEFT(CT!D139,3),""))</f>
        <v/>
      </c>
      <c r="F142" s="78">
        <f>IF(LEFT(CT!D139,3)='SQTM '!$E$2,CT!H139,0)</f>
        <v>0</v>
      </c>
      <c r="G142" s="78">
        <f>IF(LEFT(CT!E139,3)='SQTM '!$E$2,CT!H139,0)</f>
        <v>0</v>
      </c>
      <c r="H142" s="78">
        <f>IF(SUM(F142:G142)=0,0,$H$6+SUM($F$8:F142)-SUM($G$8:G142))</f>
        <v>0</v>
      </c>
    </row>
    <row r="143" spans="1:8" hidden="1" x14ac:dyDescent="0.3">
      <c r="A143" s="63" t="str">
        <f>IF(OR(LEFT(CT!D140,3)='SQTM '!$E$2,LEFT(CT!E140,3)='SQTM '!$E$2),CT!A140,"")</f>
        <v/>
      </c>
      <c r="B143" s="23" t="str">
        <f>IF(LEFT(CT!D140,3)='SQTM '!$E$2,CT!B140,"")</f>
        <v/>
      </c>
      <c r="C143" s="23" t="str">
        <f>IF(LEFT(CT!E140,3)='SQTM '!$E$2,CT!B140,"")</f>
        <v/>
      </c>
      <c r="D143" s="23" t="str">
        <f>IF(OR(LEFT(CT!D140,3)='SQTM '!$E$2,LEFT(CT!E140,3)='SQTM '!$E$2),CT!C140,"")</f>
        <v/>
      </c>
      <c r="E143" s="23" t="str">
        <f>IF(LEFT(CT!D140,3)='SQTM '!$E$2,LEFT(CT!E140,3),IF(LEFT(CT!E140,3)='SQTM '!$E$2,LEFT(CT!D140,3),""))</f>
        <v/>
      </c>
      <c r="F143" s="78">
        <f>IF(LEFT(CT!D140,3)='SQTM '!$E$2,CT!H140,0)</f>
        <v>0</v>
      </c>
      <c r="G143" s="78">
        <f>IF(LEFT(CT!E140,3)='SQTM '!$E$2,CT!H140,0)</f>
        <v>0</v>
      </c>
      <c r="H143" s="78">
        <f>IF(SUM(F143:G143)=0,0,$H$6+SUM($F$8:F143)-SUM($G$8:G143))</f>
        <v>0</v>
      </c>
    </row>
    <row r="144" spans="1:8" hidden="1" x14ac:dyDescent="0.3">
      <c r="A144" s="63" t="str">
        <f>IF(OR(LEFT(CT!D141,3)='SQTM '!$E$2,LEFT(CT!E141,3)='SQTM '!$E$2),CT!A141,"")</f>
        <v/>
      </c>
      <c r="B144" s="23" t="str">
        <f>IF(LEFT(CT!D141,3)='SQTM '!$E$2,CT!B141,"")</f>
        <v/>
      </c>
      <c r="C144" s="23" t="str">
        <f>IF(LEFT(CT!E141,3)='SQTM '!$E$2,CT!B141,"")</f>
        <v/>
      </c>
      <c r="D144" s="23" t="str">
        <f>IF(OR(LEFT(CT!D141,3)='SQTM '!$E$2,LEFT(CT!E141,3)='SQTM '!$E$2),CT!C141,"")</f>
        <v/>
      </c>
      <c r="E144" s="23" t="str">
        <f>IF(LEFT(CT!D141,3)='SQTM '!$E$2,LEFT(CT!E141,3),IF(LEFT(CT!E141,3)='SQTM '!$E$2,LEFT(CT!D141,3),""))</f>
        <v/>
      </c>
      <c r="F144" s="78">
        <f>IF(LEFT(CT!D141,3)='SQTM '!$E$2,CT!H141,0)</f>
        <v>0</v>
      </c>
      <c r="G144" s="78">
        <f>IF(LEFT(CT!E141,3)='SQTM '!$E$2,CT!H141,0)</f>
        <v>0</v>
      </c>
      <c r="H144" s="78">
        <f>IF(SUM(F144:G144)=0,0,$H$6+SUM($F$8:F144)-SUM($G$8:G144))</f>
        <v>0</v>
      </c>
    </row>
    <row r="145" spans="1:8" hidden="1" x14ac:dyDescent="0.3">
      <c r="A145" s="63" t="str">
        <f>IF(OR(LEFT(CT!D142,3)='SQTM '!$E$2,LEFT(CT!E142,3)='SQTM '!$E$2),CT!A142,"")</f>
        <v/>
      </c>
      <c r="B145" s="23" t="str">
        <f>IF(LEFT(CT!D142,3)='SQTM '!$E$2,CT!B142,"")</f>
        <v/>
      </c>
      <c r="C145" s="23" t="str">
        <f>IF(LEFT(CT!E142,3)='SQTM '!$E$2,CT!B142,"")</f>
        <v/>
      </c>
      <c r="D145" s="23" t="str">
        <f>IF(OR(LEFT(CT!D142,3)='SQTM '!$E$2,LEFT(CT!E142,3)='SQTM '!$E$2),CT!C142,"")</f>
        <v/>
      </c>
      <c r="E145" s="23" t="str">
        <f>IF(LEFT(CT!D142,3)='SQTM '!$E$2,LEFT(CT!E142,3),IF(LEFT(CT!E142,3)='SQTM '!$E$2,LEFT(CT!D142,3),""))</f>
        <v/>
      </c>
      <c r="F145" s="78">
        <f>IF(LEFT(CT!D142,3)='SQTM '!$E$2,CT!H142,0)</f>
        <v>0</v>
      </c>
      <c r="G145" s="78">
        <f>IF(LEFT(CT!E142,3)='SQTM '!$E$2,CT!H142,0)</f>
        <v>0</v>
      </c>
      <c r="H145" s="78">
        <f>IF(SUM(F145:G145)=0,0,$H$6+SUM($F$8:F145)-SUM($G$8:G145))</f>
        <v>0</v>
      </c>
    </row>
    <row r="146" spans="1:8" hidden="1" x14ac:dyDescent="0.3">
      <c r="A146" s="138" t="str">
        <f>IF(OR(LEFT(CT!D143,3)='SQTM '!$E$2,LEFT(CT!E143,3)='SQTM '!$E$2),CT!A143,"")</f>
        <v/>
      </c>
      <c r="B146" s="139" t="str">
        <f>IF(LEFT(CT!D143,3)='SQTM '!$E$2,CT!B143,"")</f>
        <v/>
      </c>
      <c r="C146" s="139" t="str">
        <f>IF(LEFT(CT!E143,3)='SQTM '!$E$2,CT!B143,"")</f>
        <v/>
      </c>
      <c r="D146" s="139" t="str">
        <f>IF(OR(LEFT(CT!D143,3)='SQTM '!$E$2,LEFT(CT!E143,3)='SQTM '!$E$2),CT!C143,"")</f>
        <v/>
      </c>
      <c r="E146" s="139" t="str">
        <f>IF(LEFT(CT!D143,3)='SQTM '!$E$2,LEFT(CT!E143,3),IF(LEFT(CT!E143,3)='SQTM '!$E$2,LEFT(CT!D143,3),""))</f>
        <v/>
      </c>
      <c r="F146" s="140">
        <f>IF(LEFT(CT!D143,3)='SQTM '!$E$2,CT!H143,0)</f>
        <v>0</v>
      </c>
      <c r="G146" s="140">
        <f>IF(LEFT(CT!E143,3)='SQTM '!$E$2,CT!H143,0)</f>
        <v>0</v>
      </c>
      <c r="H146" s="140">
        <f>IF(SUM(F146:G146)=0,0,$H$6+SUM($F$8:F146)-SUM($G$8:G146))</f>
        <v>0</v>
      </c>
    </row>
    <row r="147" spans="1:8" x14ac:dyDescent="0.3">
      <c r="D147" s="35" t="s">
        <v>864</v>
      </c>
      <c r="E147" s="35"/>
      <c r="F147" s="103">
        <f>SUM(F8:F146)</f>
        <v>25200000</v>
      </c>
      <c r="G147" s="103">
        <f>SUM(G8:G146)</f>
        <v>404100000</v>
      </c>
      <c r="H147" s="35"/>
    </row>
    <row r="148" spans="1:8" x14ac:dyDescent="0.3">
      <c r="D148" s="35" t="s">
        <v>879</v>
      </c>
      <c r="E148" s="35"/>
      <c r="F148" s="35"/>
      <c r="G148" s="35"/>
      <c r="H148" s="103">
        <f>H6+F147-G147</f>
        <v>21100000</v>
      </c>
    </row>
  </sheetData>
  <autoFilter ref="D7:D148" xr:uid="{227F3637-6634-4961-A353-4CA073C5353C}">
    <filterColumn colId="0">
      <customFilters>
        <customFilter operator="notEqual" val=" "/>
      </customFilters>
    </filterColumn>
  </autoFilter>
  <mergeCells count="6">
    <mergeCell ref="A1:H1"/>
    <mergeCell ref="A4:A5"/>
    <mergeCell ref="B4:C4"/>
    <mergeCell ref="D4:D5"/>
    <mergeCell ref="E4:E5"/>
    <mergeCell ref="F4:H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D9E2F6-DAE4-4CB9-8280-6322FF54FB5D}">
          <x14:formula1>
            <xm:f>HTTK1!$A$5:$A$80</xm:f>
          </x14:formula1>
          <xm:sqref>E2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B962-5850-4F15-A710-58CEBF2C0CAB}">
  <sheetPr filterMode="1">
    <tabColor rgb="FFFFC000"/>
  </sheetPr>
  <dimension ref="A1:I150"/>
  <sheetViews>
    <sheetView workbookViewId="0">
      <selection activeCell="G149" sqref="G149"/>
    </sheetView>
  </sheetViews>
  <sheetFormatPr defaultRowHeight="13.2" x14ac:dyDescent="0.25"/>
  <cols>
    <col min="1" max="1" width="15.6640625" bestFit="1" customWidth="1"/>
    <col min="3" max="3" width="19.6640625" customWidth="1"/>
    <col min="4" max="4" width="34.6640625" customWidth="1"/>
    <col min="5" max="5" width="21.44140625" customWidth="1"/>
    <col min="6" max="6" width="17" customWidth="1"/>
    <col min="7" max="7" width="16.44140625" customWidth="1"/>
    <col min="8" max="8" width="18.33203125" customWidth="1"/>
    <col min="9" max="9" width="19.77734375" customWidth="1"/>
  </cols>
  <sheetData>
    <row r="1" spans="1:9" ht="20.399999999999999" x14ac:dyDescent="0.35">
      <c r="A1" s="155" t="s">
        <v>874</v>
      </c>
      <c r="B1" s="155"/>
      <c r="C1" s="155"/>
      <c r="D1" s="155"/>
      <c r="E1" s="155"/>
      <c r="F1" s="155"/>
      <c r="G1" s="155"/>
      <c r="H1" s="155"/>
    </row>
    <row r="2" spans="1:9" ht="15.6" x14ac:dyDescent="0.3">
      <c r="A2" s="3"/>
      <c r="B2" s="3"/>
      <c r="C2" s="35"/>
      <c r="D2" s="35" t="s">
        <v>840</v>
      </c>
      <c r="E2" s="109" t="s">
        <v>723</v>
      </c>
      <c r="F2" s="3"/>
      <c r="G2" s="3"/>
      <c r="H2" s="3"/>
    </row>
    <row r="3" spans="1:9" ht="15.6" x14ac:dyDescent="0.3">
      <c r="A3" s="3"/>
      <c r="B3" s="3"/>
      <c r="C3" s="35" t="s">
        <v>866</v>
      </c>
      <c r="D3" s="108">
        <v>45306</v>
      </c>
      <c r="E3" s="107" t="s">
        <v>867</v>
      </c>
      <c r="F3" s="108">
        <v>45322</v>
      </c>
      <c r="G3" s="3"/>
      <c r="H3" s="3"/>
    </row>
    <row r="4" spans="1:9" ht="15.6" x14ac:dyDescent="0.25">
      <c r="A4" s="165" t="s">
        <v>832</v>
      </c>
      <c r="B4" s="165" t="s">
        <v>828</v>
      </c>
      <c r="C4" s="165"/>
      <c r="D4" s="165" t="s">
        <v>829</v>
      </c>
      <c r="E4" s="165" t="s">
        <v>862</v>
      </c>
      <c r="F4" s="165" t="s">
        <v>835</v>
      </c>
      <c r="G4" s="165"/>
      <c r="H4" s="165"/>
      <c r="I4" s="172" t="s">
        <v>859</v>
      </c>
    </row>
    <row r="5" spans="1:9" ht="15.6" x14ac:dyDescent="0.25">
      <c r="A5" s="165"/>
      <c r="B5" s="76" t="s">
        <v>875</v>
      </c>
      <c r="C5" s="76" t="s">
        <v>876</v>
      </c>
      <c r="D5" s="165"/>
      <c r="E5" s="165"/>
      <c r="F5" s="76" t="s">
        <v>875</v>
      </c>
      <c r="G5" s="76" t="s">
        <v>876</v>
      </c>
      <c r="H5" s="76" t="s">
        <v>877</v>
      </c>
      <c r="I5" s="172"/>
    </row>
    <row r="6" spans="1:9" ht="15.6" x14ac:dyDescent="0.3">
      <c r="A6" s="173"/>
      <c r="B6" s="173"/>
      <c r="C6" s="173"/>
      <c r="D6" s="106" t="s">
        <v>878</v>
      </c>
      <c r="E6" s="23"/>
      <c r="F6" s="78"/>
      <c r="G6" s="78"/>
      <c r="H6" s="105">
        <f>SUMIFS(DMTK!$F$5:$F$263, DMTK!$B$5:$B$263,'SQTM &amp; TGNH NGÀY'!E2&amp;"*")</f>
        <v>400000000</v>
      </c>
      <c r="I6" s="172"/>
    </row>
    <row r="7" spans="1:9" ht="15.6" x14ac:dyDescent="0.3">
      <c r="A7" s="173"/>
      <c r="B7" s="173"/>
      <c r="C7" s="173"/>
      <c r="D7" s="106" t="s">
        <v>869</v>
      </c>
      <c r="E7" s="23"/>
      <c r="F7" s="105">
        <f>SUMIFS(CT!$H$5:$H$143,CT!$A$5:$A$143,"&lt;"&amp;D3,CT!$D$5:$D$143,$E$2&amp;"*")</f>
        <v>25000000</v>
      </c>
      <c r="G7" s="105">
        <f>SUMIFS(CT!$H$5:$H$143,CT!$A$5:$A$143,"&lt;"&amp;D3,CT!$E$5:$E$143,$E$2&amp;"*")</f>
        <v>3100000</v>
      </c>
      <c r="H7" s="105"/>
      <c r="I7" s="172"/>
    </row>
    <row r="8" spans="1:9" ht="15.6" x14ac:dyDescent="0.3">
      <c r="A8" s="173"/>
      <c r="B8" s="173"/>
      <c r="C8" s="173"/>
      <c r="D8" s="110" t="s">
        <v>880</v>
      </c>
      <c r="E8" s="23"/>
      <c r="F8" s="105"/>
      <c r="G8" s="105"/>
      <c r="H8" s="105">
        <f>MAX(H6+F7-G7)</f>
        <v>421900000</v>
      </c>
      <c r="I8" s="172"/>
    </row>
    <row r="9" spans="1:9" ht="15.6" x14ac:dyDescent="0.3">
      <c r="A9" s="147">
        <v>1</v>
      </c>
      <c r="B9" s="147">
        <v>2</v>
      </c>
      <c r="C9" s="147">
        <v>3</v>
      </c>
      <c r="D9" s="147">
        <v>4</v>
      </c>
      <c r="E9" s="147">
        <v>5</v>
      </c>
      <c r="F9" s="147">
        <v>6</v>
      </c>
      <c r="G9" s="147">
        <v>7</v>
      </c>
      <c r="H9" s="147">
        <v>8</v>
      </c>
      <c r="I9" s="147">
        <v>9</v>
      </c>
    </row>
    <row r="10" spans="1:9" ht="15.6" hidden="1" x14ac:dyDescent="0.3">
      <c r="A10" s="63">
        <f>IF(OR(LEFT(CT!D5,3)=$E$2,LEFT(CT!E5,3)=$E$2),CT!A5,"")</f>
        <v>45293</v>
      </c>
      <c r="B10" s="23" t="str">
        <f>IF(LEFT(CT!D5,3)='SQTM &amp; TGNH NGÀY'!$E$2,CT!B5,"")</f>
        <v>01/PT</v>
      </c>
      <c r="C10" s="23" t="str">
        <f>IF(LEFT(CT!E5,3)='SQTM &amp; TGNH NGÀY'!$E$2,CT!B5,"")</f>
        <v/>
      </c>
      <c r="D10" s="23" t="str">
        <f>IF(OR(LEFT(CT!D5,3)='SQTM &amp; TGNH NGÀY'!$E$2,LEFT(CT!E5,3)='SQTM &amp; TGNH NGÀY'!$E$2),CT!C5,"")</f>
        <v>Thu nợ lô hàng 200</v>
      </c>
      <c r="E10" s="23" t="str">
        <f>IF(LEFT(CT!D5,3)='SQTM &amp; TGNH NGÀY'!$E$2,LEFT(CT!E5,3),IF(LEFT(CT!E5,3)='SQTM &amp; TGNH NGÀY'!$E$2,LEFT(CT!D5,3),""))</f>
        <v>131</v>
      </c>
      <c r="F10" s="78">
        <f>IF(LEFT(CT!D5,3)='SQTM &amp; TGNH NGÀY'!$E$2,CT!H5,0)</f>
        <v>5000000</v>
      </c>
      <c r="G10" s="78">
        <f>IF(LEFT(CT!E5,3)='SQTM &amp; TGNH NGÀY'!$E$2,CT!H5,0)</f>
        <v>0</v>
      </c>
      <c r="H10" s="78">
        <f>IF(SUM(F10:G10)=0,0,$H$8+SUBTOTAL(9,$F$10:F10)-SUBTOTAL(9,$G$10:G10))</f>
        <v>421900000</v>
      </c>
      <c r="I10" s="65" t="b">
        <f>AND(A10&gt;=$D$3,A10&lt;=$F$3)</f>
        <v>0</v>
      </c>
    </row>
    <row r="11" spans="1:9" ht="15.6" hidden="1" x14ac:dyDescent="0.3">
      <c r="A11" s="63">
        <f>IF(OR(LEFT(CT!D6,3)=$E$2,LEFT(CT!E6,3)=$E$2),CT!A6,"")</f>
        <v>45293</v>
      </c>
      <c r="B11" s="23" t="str">
        <f>IF(LEFT(CT!D6,3)='SQTM &amp; TGNH NGÀY'!$E$2,CT!B6,"")</f>
        <v>02/PT</v>
      </c>
      <c r="C11" s="23" t="str">
        <f>IF(LEFT(CT!E6,3)='SQTM &amp; TGNH NGÀY'!$E$2,CT!B6,"")</f>
        <v/>
      </c>
      <c r="D11" s="23" t="str">
        <f>IF(OR(LEFT(CT!D6,3)='SQTM &amp; TGNH NGÀY'!$E$2,LEFT(CT!E6,3)='SQTM &amp; TGNH NGÀY'!$E$2),CT!C6,"")</f>
        <v>Thu nợ lô hàng 212</v>
      </c>
      <c r="E11" s="23" t="str">
        <f>IF(LEFT(CT!D6,3)='SQTM &amp; TGNH NGÀY'!$E$2,LEFT(CT!E6,3),IF(LEFT(CT!E6,3)='SQTM &amp; TGNH NGÀY'!$E$2,LEFT(CT!D6,3),""))</f>
        <v>131</v>
      </c>
      <c r="F11" s="78">
        <f>IF(LEFT(CT!D6,3)='SQTM &amp; TGNH NGÀY'!$E$2,CT!H6,0)</f>
        <v>20000000</v>
      </c>
      <c r="G11" s="78">
        <f>IF(LEFT(CT!E6,3)='SQTM &amp; TGNH NGÀY'!$E$2,CT!H6,0)</f>
        <v>0</v>
      </c>
      <c r="H11" s="78">
        <f>IF(SUM(F11:G11)=0,0,$H$8+SUBTOTAL(9,$F$10:F11)-SUBTOTAL(9,$G$10:G11))</f>
        <v>421900000</v>
      </c>
      <c r="I11" s="65" t="b">
        <f t="shared" ref="I11:I74" si="0">AND(A11&gt;=$D$3,A11&lt;=$F$3)</f>
        <v>0</v>
      </c>
    </row>
    <row r="12" spans="1:9" ht="15.6" hidden="1" x14ac:dyDescent="0.3">
      <c r="A12" s="63">
        <f>IF(OR(LEFT(CT!D7,3)=$E$2,LEFT(CT!E7,3)=$E$2),CT!A7,"")</f>
        <v>45295</v>
      </c>
      <c r="B12" s="23" t="str">
        <f>IF(LEFT(CT!D7,3)='SQTM &amp; TGNH NGÀY'!$E$2,CT!B7,"")</f>
        <v/>
      </c>
      <c r="C12" s="23" t="str">
        <f>IF(LEFT(CT!E7,3)='SQTM &amp; TGNH NGÀY'!$E$2,CT!B7,"")</f>
        <v>01/PC</v>
      </c>
      <c r="D12" s="23" t="str">
        <f>IF(OR(LEFT(CT!D7,3)='SQTM &amp; TGNH NGÀY'!$E$2,LEFT(CT!E7,3)='SQTM &amp; TGNH NGÀY'!$E$2),CT!C7,"")</f>
        <v>Chi tạm ứng cho Hồ Sĩ Nhật</v>
      </c>
      <c r="E12" s="23" t="str">
        <f>IF(LEFT(CT!D7,3)='SQTM &amp; TGNH NGÀY'!$E$2,LEFT(CT!E7,3),IF(LEFT(CT!E7,3)='SQTM &amp; TGNH NGÀY'!$E$2,LEFT(CT!D7,3),""))</f>
        <v>141</v>
      </c>
      <c r="F12" s="78">
        <f>IF(LEFT(CT!D7,3)='SQTM &amp; TGNH NGÀY'!$E$2,CT!H7,0)</f>
        <v>0</v>
      </c>
      <c r="G12" s="78">
        <f>IF(LEFT(CT!E7,3)='SQTM &amp; TGNH NGÀY'!$E$2,CT!H7,0)</f>
        <v>2000000</v>
      </c>
      <c r="H12" s="78">
        <f>IF(SUM(F12:G12)=0,0,$H$8+SUBTOTAL(9,$F$10:F12)-SUBTOTAL(9,$G$10:G12))</f>
        <v>421900000</v>
      </c>
      <c r="I12" s="65" t="b">
        <f t="shared" si="0"/>
        <v>0</v>
      </c>
    </row>
    <row r="13" spans="1:9" ht="15.6" hidden="1" x14ac:dyDescent="0.3">
      <c r="A13" s="63" t="str">
        <f>IF(OR(LEFT(CT!D8,3)=$E$2,LEFT(CT!E8,3)=$E$2),CT!A8,"")</f>
        <v/>
      </c>
      <c r="B13" s="23" t="str">
        <f>IF(LEFT(CT!D8,3)='SQTM &amp; TGNH NGÀY'!$E$2,CT!B8,"")</f>
        <v/>
      </c>
      <c r="C13" s="23" t="str">
        <f>IF(LEFT(CT!E8,3)='SQTM &amp; TGNH NGÀY'!$E$2,CT!B8,"")</f>
        <v/>
      </c>
      <c r="D13" s="23" t="str">
        <f>IF(OR(LEFT(CT!D8,3)='SQTM &amp; TGNH NGÀY'!$E$2,LEFT(CT!E8,3)='SQTM &amp; TGNH NGÀY'!$E$2),CT!C8,"")</f>
        <v/>
      </c>
      <c r="E13" s="23" t="str">
        <f>IF(LEFT(CT!D8,3)='SQTM &amp; TGNH NGÀY'!$E$2,LEFT(CT!E8,3),IF(LEFT(CT!E8,3)='SQTM &amp; TGNH NGÀY'!$E$2,LEFT(CT!D8,3),""))</f>
        <v/>
      </c>
      <c r="F13" s="78">
        <f>IF(LEFT(CT!D8,3)='SQTM &amp; TGNH NGÀY'!$E$2,CT!H8,0)</f>
        <v>0</v>
      </c>
      <c r="G13" s="78">
        <f>IF(LEFT(CT!E8,3)='SQTM &amp; TGNH NGÀY'!$E$2,CT!H8,0)</f>
        <v>0</v>
      </c>
      <c r="H13" s="78">
        <f>IF(SUM(F13:G13)=0,0,$H$8+SUBTOTAL(9,$F$10:F13)-SUBTOTAL(9,$G$10:G13))</f>
        <v>0</v>
      </c>
      <c r="I13" s="65" t="b">
        <f t="shared" si="0"/>
        <v>0</v>
      </c>
    </row>
    <row r="14" spans="1:9" ht="15.6" hidden="1" x14ac:dyDescent="0.3">
      <c r="A14" s="63" t="str">
        <f>IF(OR(LEFT(CT!D9,3)=$E$2,LEFT(CT!E9,3)=$E$2),CT!A9,"")</f>
        <v/>
      </c>
      <c r="B14" s="23" t="str">
        <f>IF(LEFT(CT!D9,3)='SQTM &amp; TGNH NGÀY'!$E$2,CT!B9,"")</f>
        <v/>
      </c>
      <c r="C14" s="23" t="str">
        <f>IF(LEFT(CT!E9,3)='SQTM &amp; TGNH NGÀY'!$E$2,CT!B9,"")</f>
        <v/>
      </c>
      <c r="D14" s="23" t="str">
        <f>IF(OR(LEFT(CT!D9,3)='SQTM &amp; TGNH NGÀY'!$E$2,LEFT(CT!E9,3)='SQTM &amp; TGNH NGÀY'!$E$2),CT!C9,"")</f>
        <v/>
      </c>
      <c r="E14" s="23" t="str">
        <f>IF(LEFT(CT!D9,3)='SQTM &amp; TGNH NGÀY'!$E$2,LEFT(CT!E9,3),IF(LEFT(CT!E9,3)='SQTM &amp; TGNH NGÀY'!$E$2,LEFT(CT!D9,3),""))</f>
        <v/>
      </c>
      <c r="F14" s="78">
        <f>IF(LEFT(CT!D9,3)='SQTM &amp; TGNH NGÀY'!$E$2,CT!H9,0)</f>
        <v>0</v>
      </c>
      <c r="G14" s="78">
        <f>IF(LEFT(CT!E9,3)='SQTM &amp; TGNH NGÀY'!$E$2,CT!H9,0)</f>
        <v>0</v>
      </c>
      <c r="H14" s="78">
        <f>IF(SUM(F14:G14)=0,0,$H$8+SUBTOTAL(9,$F$10:F14)-SUBTOTAL(9,$G$10:G14))</f>
        <v>0</v>
      </c>
      <c r="I14" s="65" t="b">
        <f t="shared" si="0"/>
        <v>0</v>
      </c>
    </row>
    <row r="15" spans="1:9" ht="15.6" hidden="1" x14ac:dyDescent="0.3">
      <c r="A15" s="63">
        <f>IF(OR(LEFT(CT!D10,3)=$E$2,LEFT(CT!E10,3)=$E$2),CT!A10,"")</f>
        <v>45296</v>
      </c>
      <c r="B15" s="23" t="str">
        <f>IF(LEFT(CT!D10,3)='SQTM &amp; TGNH NGÀY'!$E$2,CT!B10,"")</f>
        <v/>
      </c>
      <c r="C15" s="23" t="str">
        <f>IF(LEFT(CT!E10,3)='SQTM &amp; TGNH NGÀY'!$E$2,CT!B10,"")</f>
        <v>02/PC</v>
      </c>
      <c r="D15" s="23" t="str">
        <f>IF(OR(LEFT(CT!D10,3)='SQTM &amp; TGNH NGÀY'!$E$2,LEFT(CT!E10,3)='SQTM &amp; TGNH NGÀY'!$E$2),CT!C10,"")</f>
        <v>Thuế GTGT mua VPP</v>
      </c>
      <c r="E15" s="23" t="str">
        <f>IF(LEFT(CT!D10,3)='SQTM &amp; TGNH NGÀY'!$E$2,LEFT(CT!E10,3),IF(LEFT(CT!E10,3)='SQTM &amp; TGNH NGÀY'!$E$2,LEFT(CT!D10,3),""))</f>
        <v>133</v>
      </c>
      <c r="F15" s="78">
        <f>IF(LEFT(CT!D10,3)='SQTM &amp; TGNH NGÀY'!$E$2,CT!H10,0)</f>
        <v>0</v>
      </c>
      <c r="G15" s="78">
        <f>IF(LEFT(CT!E10,3)='SQTM &amp; TGNH NGÀY'!$E$2,CT!H10,0)</f>
        <v>100000</v>
      </c>
      <c r="H15" s="78">
        <f>IF(SUM(F15:G15)=0,0,$H$8+SUBTOTAL(9,$F$10:F15)-SUBTOTAL(9,$G$10:G15))</f>
        <v>421900000</v>
      </c>
      <c r="I15" s="65" t="b">
        <f t="shared" si="0"/>
        <v>0</v>
      </c>
    </row>
    <row r="16" spans="1:9" ht="15.6" hidden="1" x14ac:dyDescent="0.3">
      <c r="A16" s="63">
        <f>IF(OR(LEFT(CT!D11,3)=$E$2,LEFT(CT!E11,3)=$E$2),CT!A11,"")</f>
        <v>45296</v>
      </c>
      <c r="B16" s="23" t="str">
        <f>IF(LEFT(CT!D11,3)='SQTM &amp; TGNH NGÀY'!$E$2,CT!B11,"")</f>
        <v/>
      </c>
      <c r="C16" s="23" t="str">
        <f>IF(LEFT(CT!E11,3)='SQTM &amp; TGNH NGÀY'!$E$2,CT!B11,"")</f>
        <v>02/PC</v>
      </c>
      <c r="D16" s="23" t="str">
        <f>IF(OR(LEFT(CT!D11,3)='SQTM &amp; TGNH NGÀY'!$E$2,LEFT(CT!E11,3)='SQTM &amp; TGNH NGÀY'!$E$2),CT!C11,"")</f>
        <v>Mua VPP cho BPVP</v>
      </c>
      <c r="E16" s="23" t="str">
        <f>IF(LEFT(CT!D11,3)='SQTM &amp; TGNH NGÀY'!$E$2,LEFT(CT!E11,3),IF(LEFT(CT!E11,3)='SQTM &amp; TGNH NGÀY'!$E$2,LEFT(CT!D11,3),""))</f>
        <v>642</v>
      </c>
      <c r="F16" s="78">
        <f>IF(LEFT(CT!D11,3)='SQTM &amp; TGNH NGÀY'!$E$2,CT!H11,0)</f>
        <v>0</v>
      </c>
      <c r="G16" s="78">
        <f>IF(LEFT(CT!E11,3)='SQTM &amp; TGNH NGÀY'!$E$2,CT!H11,0)</f>
        <v>1000000</v>
      </c>
      <c r="H16" s="78">
        <f>IF(SUM(F16:G16)=0,0,$H$8+SUBTOTAL(9,$F$10:F16)-SUBTOTAL(9,$G$10:G16))</f>
        <v>421900000</v>
      </c>
      <c r="I16" s="65" t="b">
        <f t="shared" si="0"/>
        <v>0</v>
      </c>
    </row>
    <row r="17" spans="1:9" ht="15.6" hidden="1" x14ac:dyDescent="0.3">
      <c r="A17" s="63" t="str">
        <f>IF(OR(LEFT(CT!D12,3)=$E$2,LEFT(CT!E12,3)=$E$2),CT!A12,"")</f>
        <v/>
      </c>
      <c r="B17" s="23" t="str">
        <f>IF(LEFT(CT!D12,3)='SQTM &amp; TGNH NGÀY'!$E$2,CT!B12,"")</f>
        <v/>
      </c>
      <c r="C17" s="23" t="str">
        <f>IF(LEFT(CT!E12,3)='SQTM &amp; TGNH NGÀY'!$E$2,CT!B12,"")</f>
        <v/>
      </c>
      <c r="D17" s="23" t="str">
        <f>IF(OR(LEFT(CT!D12,3)='SQTM &amp; TGNH NGÀY'!$E$2,LEFT(CT!E12,3)='SQTM &amp; TGNH NGÀY'!$E$2),CT!C12,"")</f>
        <v/>
      </c>
      <c r="E17" s="23" t="str">
        <f>IF(LEFT(CT!D12,3)='SQTM &amp; TGNH NGÀY'!$E$2,LEFT(CT!E12,3),IF(LEFT(CT!E12,3)='SQTM &amp; TGNH NGÀY'!$E$2,LEFT(CT!D12,3),""))</f>
        <v/>
      </c>
      <c r="F17" s="78">
        <f>IF(LEFT(CT!D12,3)='SQTM &amp; TGNH NGÀY'!$E$2,CT!H12,0)</f>
        <v>0</v>
      </c>
      <c r="G17" s="78">
        <f>IF(LEFT(CT!E12,3)='SQTM &amp; TGNH NGÀY'!$E$2,CT!H12,0)</f>
        <v>0</v>
      </c>
      <c r="H17" s="78">
        <f>IF(SUM(F17:G17)=0,0,$H$8+SUBTOTAL(9,$F$10:F17)-SUBTOTAL(9,$G$10:G17))</f>
        <v>0</v>
      </c>
      <c r="I17" s="65" t="b">
        <f t="shared" si="0"/>
        <v>0</v>
      </c>
    </row>
    <row r="18" spans="1:9" ht="15.6" hidden="1" x14ac:dyDescent="0.3">
      <c r="A18" s="63" t="str">
        <f>IF(OR(LEFT(CT!D13,3)=$E$2,LEFT(CT!E13,3)=$E$2),CT!A13,"")</f>
        <v/>
      </c>
      <c r="B18" s="23" t="str">
        <f>IF(LEFT(CT!D13,3)='SQTM &amp; TGNH NGÀY'!$E$2,CT!B13,"")</f>
        <v/>
      </c>
      <c r="C18" s="23" t="str">
        <f>IF(LEFT(CT!E13,3)='SQTM &amp; TGNH NGÀY'!$E$2,CT!B13,"")</f>
        <v/>
      </c>
      <c r="D18" s="23" t="str">
        <f>IF(OR(LEFT(CT!D13,3)='SQTM &amp; TGNH NGÀY'!$E$2,LEFT(CT!E13,3)='SQTM &amp; TGNH NGÀY'!$E$2),CT!C13,"")</f>
        <v/>
      </c>
      <c r="E18" s="23" t="str">
        <f>IF(LEFT(CT!D13,3)='SQTM &amp; TGNH NGÀY'!$E$2,LEFT(CT!E13,3),IF(LEFT(CT!E13,3)='SQTM &amp; TGNH NGÀY'!$E$2,LEFT(CT!D13,3),""))</f>
        <v/>
      </c>
      <c r="F18" s="78">
        <f>IF(LEFT(CT!D13,3)='SQTM &amp; TGNH NGÀY'!$E$2,CT!H13,0)</f>
        <v>0</v>
      </c>
      <c r="G18" s="78">
        <f>IF(LEFT(CT!E13,3)='SQTM &amp; TGNH NGÀY'!$E$2,CT!H13,0)</f>
        <v>0</v>
      </c>
      <c r="H18" s="78">
        <f>IF(SUM(F18:G18)=0,0,$H$8+SUBTOTAL(9,$F$10:F18)-SUBTOTAL(9,$G$10:G18))</f>
        <v>0</v>
      </c>
      <c r="I18" s="65" t="b">
        <f t="shared" si="0"/>
        <v>0</v>
      </c>
    </row>
    <row r="19" spans="1:9" ht="15.6" hidden="1" x14ac:dyDescent="0.3">
      <c r="A19" s="63" t="str">
        <f>IF(OR(LEFT(CT!D14,3)=$E$2,LEFT(CT!E14,3)=$E$2),CT!A14,"")</f>
        <v/>
      </c>
      <c r="B19" s="23" t="str">
        <f>IF(LEFT(CT!D14,3)='SQTM &amp; TGNH NGÀY'!$E$2,CT!B14,"")</f>
        <v/>
      </c>
      <c r="C19" s="23" t="str">
        <f>IF(LEFT(CT!E14,3)='SQTM &amp; TGNH NGÀY'!$E$2,CT!B14,"")</f>
        <v/>
      </c>
      <c r="D19" s="23" t="str">
        <f>IF(OR(LEFT(CT!D14,3)='SQTM &amp; TGNH NGÀY'!$E$2,LEFT(CT!E14,3)='SQTM &amp; TGNH NGÀY'!$E$2),CT!C14,"")</f>
        <v/>
      </c>
      <c r="E19" s="23" t="str">
        <f>IF(LEFT(CT!D14,3)='SQTM &amp; TGNH NGÀY'!$E$2,LEFT(CT!E14,3),IF(LEFT(CT!E14,3)='SQTM &amp; TGNH NGÀY'!$E$2,LEFT(CT!D14,3),""))</f>
        <v/>
      </c>
      <c r="F19" s="78">
        <f>IF(LEFT(CT!D14,3)='SQTM &amp; TGNH NGÀY'!$E$2,CT!H14,0)</f>
        <v>0</v>
      </c>
      <c r="G19" s="78">
        <f>IF(LEFT(CT!E14,3)='SQTM &amp; TGNH NGÀY'!$E$2,CT!H14,0)</f>
        <v>0</v>
      </c>
      <c r="H19" s="78">
        <f>IF(SUM(F19:G19)=0,0,$H$8+SUBTOTAL(9,$F$10:F19)-SUBTOTAL(9,$G$10:G19))</f>
        <v>0</v>
      </c>
      <c r="I19" s="65" t="b">
        <f t="shared" si="0"/>
        <v>0</v>
      </c>
    </row>
    <row r="20" spans="1:9" ht="15.6" hidden="1" x14ac:dyDescent="0.3">
      <c r="A20" s="63" t="str">
        <f>IF(OR(LEFT(CT!D15,3)=$E$2,LEFT(CT!E15,3)=$E$2),CT!A15,"")</f>
        <v/>
      </c>
      <c r="B20" s="23" t="str">
        <f>IF(LEFT(CT!D15,3)='SQTM &amp; TGNH NGÀY'!$E$2,CT!B15,"")</f>
        <v/>
      </c>
      <c r="C20" s="23" t="str">
        <f>IF(LEFT(CT!E15,3)='SQTM &amp; TGNH NGÀY'!$E$2,CT!B15,"")</f>
        <v/>
      </c>
      <c r="D20" s="23" t="str">
        <f>IF(OR(LEFT(CT!D15,3)='SQTM &amp; TGNH NGÀY'!$E$2,LEFT(CT!E15,3)='SQTM &amp; TGNH NGÀY'!$E$2),CT!C15,"")</f>
        <v/>
      </c>
      <c r="E20" s="23" t="str">
        <f>IF(LEFT(CT!D15,3)='SQTM &amp; TGNH NGÀY'!$E$2,LEFT(CT!E15,3),IF(LEFT(CT!E15,3)='SQTM &amp; TGNH NGÀY'!$E$2,LEFT(CT!D15,3),""))</f>
        <v/>
      </c>
      <c r="F20" s="78">
        <f>IF(LEFT(CT!D15,3)='SQTM &amp; TGNH NGÀY'!$E$2,CT!H15,0)</f>
        <v>0</v>
      </c>
      <c r="G20" s="78">
        <f>IF(LEFT(CT!E15,3)='SQTM &amp; TGNH NGÀY'!$E$2,CT!H15,0)</f>
        <v>0</v>
      </c>
      <c r="H20" s="78">
        <f>IF(SUM(F20:G20)=0,0,$H$8+SUBTOTAL(9,$F$10:F20)-SUBTOTAL(9,$G$10:G20))</f>
        <v>0</v>
      </c>
      <c r="I20" s="65" t="b">
        <f t="shared" si="0"/>
        <v>0</v>
      </c>
    </row>
    <row r="21" spans="1:9" ht="15.6" hidden="1" x14ac:dyDescent="0.3">
      <c r="A21" s="63" t="str">
        <f>IF(OR(LEFT(CT!D16,3)=$E$2,LEFT(CT!E16,3)=$E$2),CT!A16,"")</f>
        <v/>
      </c>
      <c r="B21" s="23" t="str">
        <f>IF(LEFT(CT!D16,3)='SQTM &amp; TGNH NGÀY'!$E$2,CT!B16,"")</f>
        <v/>
      </c>
      <c r="C21" s="23" t="str">
        <f>IF(LEFT(CT!E16,3)='SQTM &amp; TGNH NGÀY'!$E$2,CT!B16,"")</f>
        <v/>
      </c>
      <c r="D21" s="23" t="str">
        <f>IF(OR(LEFT(CT!D16,3)='SQTM &amp; TGNH NGÀY'!$E$2,LEFT(CT!E16,3)='SQTM &amp; TGNH NGÀY'!$E$2),CT!C16,"")</f>
        <v/>
      </c>
      <c r="E21" s="23" t="str">
        <f>IF(LEFT(CT!D16,3)='SQTM &amp; TGNH NGÀY'!$E$2,LEFT(CT!E16,3),IF(LEFT(CT!E16,3)='SQTM &amp; TGNH NGÀY'!$E$2,LEFT(CT!D16,3),""))</f>
        <v/>
      </c>
      <c r="F21" s="78">
        <f>IF(LEFT(CT!D16,3)='SQTM &amp; TGNH NGÀY'!$E$2,CT!H16,0)</f>
        <v>0</v>
      </c>
      <c r="G21" s="78">
        <f>IF(LEFT(CT!E16,3)='SQTM &amp; TGNH NGÀY'!$E$2,CT!H16,0)</f>
        <v>0</v>
      </c>
      <c r="H21" s="78">
        <f>IF(SUM(F21:G21)=0,0,$H$8+SUBTOTAL(9,$F$10:F21)-SUBTOTAL(9,$G$10:G21))</f>
        <v>0</v>
      </c>
      <c r="I21" s="65" t="b">
        <f t="shared" si="0"/>
        <v>0</v>
      </c>
    </row>
    <row r="22" spans="1:9" ht="15.6" hidden="1" x14ac:dyDescent="0.3">
      <c r="A22" s="63" t="str">
        <f>IF(OR(LEFT(CT!D17,3)=$E$2,LEFT(CT!E17,3)=$E$2),CT!A17,"")</f>
        <v/>
      </c>
      <c r="B22" s="23" t="str">
        <f>IF(LEFT(CT!D17,3)='SQTM &amp; TGNH NGÀY'!$E$2,CT!B17,"")</f>
        <v/>
      </c>
      <c r="C22" s="23" t="str">
        <f>IF(LEFT(CT!E17,3)='SQTM &amp; TGNH NGÀY'!$E$2,CT!B17,"")</f>
        <v/>
      </c>
      <c r="D22" s="23" t="str">
        <f>IF(OR(LEFT(CT!D17,3)='SQTM &amp; TGNH NGÀY'!$E$2,LEFT(CT!E17,3)='SQTM &amp; TGNH NGÀY'!$E$2),CT!C17,"")</f>
        <v/>
      </c>
      <c r="E22" s="23" t="str">
        <f>IF(LEFT(CT!D17,3)='SQTM &amp; TGNH NGÀY'!$E$2,LEFT(CT!E17,3),IF(LEFT(CT!E17,3)='SQTM &amp; TGNH NGÀY'!$E$2,LEFT(CT!D17,3),""))</f>
        <v/>
      </c>
      <c r="F22" s="78">
        <f>IF(LEFT(CT!D17,3)='SQTM &amp; TGNH NGÀY'!$E$2,CT!H17,0)</f>
        <v>0</v>
      </c>
      <c r="G22" s="78">
        <f>IF(LEFT(CT!E17,3)='SQTM &amp; TGNH NGÀY'!$E$2,CT!H17,0)</f>
        <v>0</v>
      </c>
      <c r="H22" s="78">
        <f>IF(SUM(F22:G22)=0,0,$H$8+SUBTOTAL(9,$F$10:F22)-SUBTOTAL(9,$G$10:G22))</f>
        <v>0</v>
      </c>
      <c r="I22" s="65" t="b">
        <f t="shared" si="0"/>
        <v>0</v>
      </c>
    </row>
    <row r="23" spans="1:9" ht="15.6" x14ac:dyDescent="0.3">
      <c r="A23" s="63">
        <f>IF(OR(LEFT(CT!D18,3)=$E$2,LEFT(CT!E18,3)=$E$2),CT!A18,"")</f>
        <v>45306</v>
      </c>
      <c r="B23" s="23" t="str">
        <f>IF(LEFT(CT!D18,3)='SQTM &amp; TGNH NGÀY'!$E$2,CT!B18,"")</f>
        <v/>
      </c>
      <c r="C23" s="23" t="str">
        <f>IF(LEFT(CT!E18,3)='SQTM &amp; TGNH NGÀY'!$E$2,CT!B18,"")</f>
        <v>03/PC</v>
      </c>
      <c r="D23" s="23" t="str">
        <f>IF(OR(LEFT(CT!D18,3)='SQTM &amp; TGNH NGÀY'!$E$2,LEFT(CT!E18,3)='SQTM &amp; TGNH NGÀY'!$E$2),CT!C18,"")</f>
        <v>Chi lương cho NVBH</v>
      </c>
      <c r="E23" s="23" t="str">
        <f>IF(LEFT(CT!D18,3)='SQTM &amp; TGNH NGÀY'!$E$2,LEFT(CT!E18,3),IF(LEFT(CT!E18,3)='SQTM &amp; TGNH NGÀY'!$E$2,LEFT(CT!D18,3),""))</f>
        <v>334</v>
      </c>
      <c r="F23" s="78">
        <f>IF(LEFT(CT!D18,3)='SQTM &amp; TGNH NGÀY'!$E$2,CT!H18,0)</f>
        <v>0</v>
      </c>
      <c r="G23" s="78">
        <f>IF(LEFT(CT!E18,3)='SQTM &amp; TGNH NGÀY'!$E$2,CT!H18,0)</f>
        <v>5000000</v>
      </c>
      <c r="H23" s="78">
        <f>IF(SUM(F23:G23)=0,0,$H$8+SUBTOTAL(9,$F$10:F23)-SUBTOTAL(9,$G$10:G23))</f>
        <v>416900000</v>
      </c>
      <c r="I23" s="65" t="b">
        <f t="shared" si="0"/>
        <v>1</v>
      </c>
    </row>
    <row r="24" spans="1:9" ht="15.6" x14ac:dyDescent="0.3">
      <c r="A24" s="63">
        <f>IF(OR(LEFT(CT!D19,3)=$E$2,LEFT(CT!E19,3)=$E$2),CT!A19,"")</f>
        <v>45306</v>
      </c>
      <c r="B24" s="23" t="str">
        <f>IF(LEFT(CT!D19,3)='SQTM &amp; TGNH NGÀY'!$E$2,CT!B19,"")</f>
        <v/>
      </c>
      <c r="C24" s="23" t="str">
        <f>IF(LEFT(CT!E19,3)='SQTM &amp; TGNH NGÀY'!$E$2,CT!B19,"")</f>
        <v>03/PC</v>
      </c>
      <c r="D24" s="23" t="str">
        <f>IF(OR(LEFT(CT!D19,3)='SQTM &amp; TGNH NGÀY'!$E$2,LEFT(CT!E19,3)='SQTM &amp; TGNH NGÀY'!$E$2),CT!C19,"")</f>
        <v>Chi lương cho CB QLDN</v>
      </c>
      <c r="E24" s="23" t="str">
        <f>IF(LEFT(CT!D19,3)='SQTM &amp; TGNH NGÀY'!$E$2,LEFT(CT!E19,3),IF(LEFT(CT!E19,3)='SQTM &amp; TGNH NGÀY'!$E$2,LEFT(CT!D19,3),""))</f>
        <v>334</v>
      </c>
      <c r="F24" s="78">
        <f>IF(LEFT(CT!D19,3)='SQTM &amp; TGNH NGÀY'!$E$2,CT!H19,0)</f>
        <v>0</v>
      </c>
      <c r="G24" s="78">
        <f>IF(LEFT(CT!E19,3)='SQTM &amp; TGNH NGÀY'!$E$2,CT!H19,0)</f>
        <v>7000000</v>
      </c>
      <c r="H24" s="78">
        <f>IF(SUM(F24:G24)=0,0,$H$8+SUBTOTAL(9,$F$10:F24)-SUBTOTAL(9,$G$10:G24))</f>
        <v>409900000</v>
      </c>
      <c r="I24" s="65" t="b">
        <f t="shared" si="0"/>
        <v>1</v>
      </c>
    </row>
    <row r="25" spans="1:9" ht="15.6" hidden="1" x14ac:dyDescent="0.3">
      <c r="A25" s="63" t="str">
        <f>IF(OR(LEFT(CT!D20,3)=$E$2,LEFT(CT!E20,3)=$E$2),CT!A20,"")</f>
        <v/>
      </c>
      <c r="B25" s="23" t="str">
        <f>IF(LEFT(CT!D20,3)='SQTM &amp; TGNH NGÀY'!$E$2,CT!B20,"")</f>
        <v/>
      </c>
      <c r="C25" s="23" t="str">
        <f>IF(LEFT(CT!E20,3)='SQTM &amp; TGNH NGÀY'!$E$2,CT!B20,"")</f>
        <v/>
      </c>
      <c r="D25" s="23" t="str">
        <f>IF(OR(LEFT(CT!D20,3)='SQTM &amp; TGNH NGÀY'!$E$2,LEFT(CT!E20,3)='SQTM &amp; TGNH NGÀY'!$E$2),CT!C20,"")</f>
        <v/>
      </c>
      <c r="E25" s="23" t="str">
        <f>IF(LEFT(CT!D20,3)='SQTM &amp; TGNH NGÀY'!$E$2,LEFT(CT!E20,3),IF(LEFT(CT!E20,3)='SQTM &amp; TGNH NGÀY'!$E$2,LEFT(CT!D20,3),""))</f>
        <v/>
      </c>
      <c r="F25" s="78">
        <f>IF(LEFT(CT!D20,3)='SQTM &amp; TGNH NGÀY'!$E$2,CT!H20,0)</f>
        <v>0</v>
      </c>
      <c r="G25" s="78">
        <f>IF(LEFT(CT!E20,3)='SQTM &amp; TGNH NGÀY'!$E$2,CT!H20,0)</f>
        <v>0</v>
      </c>
      <c r="H25" s="78">
        <f>IF(SUM(F25:G25)=0,0,$H$8+SUBTOTAL(9,$F$10:F25)-SUBTOTAL(9,$G$10:G25))</f>
        <v>0</v>
      </c>
      <c r="I25" s="65" t="b">
        <f t="shared" si="0"/>
        <v>0</v>
      </c>
    </row>
    <row r="26" spans="1:9" ht="15.6" hidden="1" x14ac:dyDescent="0.3">
      <c r="A26" s="63" t="str">
        <f>IF(OR(LEFT(CT!D21,3)=$E$2,LEFT(CT!E21,3)=$E$2),CT!A21,"")</f>
        <v/>
      </c>
      <c r="B26" s="23" t="str">
        <f>IF(LEFT(CT!D21,3)='SQTM &amp; TGNH NGÀY'!$E$2,CT!B21,"")</f>
        <v/>
      </c>
      <c r="C26" s="23" t="str">
        <f>IF(LEFT(CT!E21,3)='SQTM &amp; TGNH NGÀY'!$E$2,CT!B21,"")</f>
        <v/>
      </c>
      <c r="D26" s="23" t="str">
        <f>IF(OR(LEFT(CT!D21,3)='SQTM &amp; TGNH NGÀY'!$E$2,LEFT(CT!E21,3)='SQTM &amp; TGNH NGÀY'!$E$2),CT!C21,"")</f>
        <v/>
      </c>
      <c r="E26" s="23" t="str">
        <f>IF(LEFT(CT!D21,3)='SQTM &amp; TGNH NGÀY'!$E$2,LEFT(CT!E21,3),IF(LEFT(CT!E21,3)='SQTM &amp; TGNH NGÀY'!$E$2,LEFT(CT!D21,3),""))</f>
        <v/>
      </c>
      <c r="F26" s="78">
        <f>IF(LEFT(CT!D21,3)='SQTM &amp; TGNH NGÀY'!$E$2,CT!H21,0)</f>
        <v>0</v>
      </c>
      <c r="G26" s="78">
        <f>IF(LEFT(CT!E21,3)='SQTM &amp; TGNH NGÀY'!$E$2,CT!H21,0)</f>
        <v>0</v>
      </c>
      <c r="H26" s="78">
        <f>IF(SUM(F26:G26)=0,0,$H$8+SUBTOTAL(9,$F$10:F26)-SUBTOTAL(9,$G$10:G26))</f>
        <v>0</v>
      </c>
      <c r="I26" s="65" t="b">
        <f t="shared" si="0"/>
        <v>0</v>
      </c>
    </row>
    <row r="27" spans="1:9" ht="15.6" x14ac:dyDescent="0.3">
      <c r="A27" s="63">
        <f>IF(OR(LEFT(CT!D22,3)=$E$2,LEFT(CT!E22,3)=$E$2),CT!A22,"")</f>
        <v>45306</v>
      </c>
      <c r="B27" s="23" t="str">
        <f>IF(LEFT(CT!D22,3)='SQTM &amp; TGNH NGÀY'!$E$2,CT!B22,"")</f>
        <v/>
      </c>
      <c r="C27" s="23" t="str">
        <f>IF(LEFT(CT!E22,3)='SQTM &amp; TGNH NGÀY'!$E$2,CT!B22,"")</f>
        <v>03/PC</v>
      </c>
      <c r="D27" s="23" t="str">
        <f>IF(OR(LEFT(CT!D22,3)='SQTM &amp; TGNH NGÀY'!$E$2,LEFT(CT!E22,3)='SQTM &amp; TGNH NGÀY'!$E$2),CT!C22,"")</f>
        <v>Chi lương cho NV QLPX</v>
      </c>
      <c r="E27" s="23" t="str">
        <f>IF(LEFT(CT!D22,3)='SQTM &amp; TGNH NGÀY'!$E$2,LEFT(CT!E22,3),IF(LEFT(CT!E22,3)='SQTM &amp; TGNH NGÀY'!$E$2,LEFT(CT!D22,3),""))</f>
        <v>334</v>
      </c>
      <c r="F27" s="78">
        <f>IF(LEFT(CT!D22,3)='SQTM &amp; TGNH NGÀY'!$E$2,CT!H22,0)</f>
        <v>0</v>
      </c>
      <c r="G27" s="78">
        <f>IF(LEFT(CT!E22,3)='SQTM &amp; TGNH NGÀY'!$E$2,CT!H22,0)</f>
        <v>35000000</v>
      </c>
      <c r="H27" s="78">
        <f>IF(SUM(F27:G27)=0,0,$H$8+SUBTOTAL(9,$F$10:F27)-SUBTOTAL(9,$G$10:G27))</f>
        <v>374900000</v>
      </c>
      <c r="I27" s="65" t="b">
        <f t="shared" si="0"/>
        <v>1</v>
      </c>
    </row>
    <row r="28" spans="1:9" ht="15.6" x14ac:dyDescent="0.3">
      <c r="A28" s="63">
        <f>IF(OR(LEFT(CT!D23,3)=$E$2,LEFT(CT!E23,3)=$E$2),CT!A23,"")</f>
        <v>45306</v>
      </c>
      <c r="B28" s="23" t="str">
        <f>IF(LEFT(CT!D23,3)='SQTM &amp; TGNH NGÀY'!$E$2,CT!B23,"")</f>
        <v/>
      </c>
      <c r="C28" s="23" t="str">
        <f>IF(LEFT(CT!E23,3)='SQTM &amp; TGNH NGÀY'!$E$2,CT!B23,"")</f>
        <v>03/PC</v>
      </c>
      <c r="D28" s="23" t="str">
        <f>IF(OR(LEFT(CT!D23,3)='SQTM &amp; TGNH NGÀY'!$E$2,LEFT(CT!E23,3)='SQTM &amp; TGNH NGÀY'!$E$2),CT!C23,"")</f>
        <v>Chi lương cho CNSX GTV</v>
      </c>
      <c r="E28" s="23" t="str">
        <f>IF(LEFT(CT!D23,3)='SQTM &amp; TGNH NGÀY'!$E$2,LEFT(CT!E23,3),IF(LEFT(CT!E23,3)='SQTM &amp; TGNH NGÀY'!$E$2,LEFT(CT!D23,3),""))</f>
        <v>334</v>
      </c>
      <c r="F28" s="78">
        <f>IF(LEFT(CT!D23,3)='SQTM &amp; TGNH NGÀY'!$E$2,CT!H23,0)</f>
        <v>0</v>
      </c>
      <c r="G28" s="78">
        <f>IF(LEFT(CT!E23,3)='SQTM &amp; TGNH NGÀY'!$E$2,CT!H23,0)</f>
        <v>40000000</v>
      </c>
      <c r="H28" s="78">
        <f>IF(SUM(F28:G28)=0,0,$H$8+SUBTOTAL(9,$F$10:F28)-SUBTOTAL(9,$G$10:G28))</f>
        <v>334900000</v>
      </c>
      <c r="I28" s="65" t="b">
        <f t="shared" si="0"/>
        <v>1</v>
      </c>
    </row>
    <row r="29" spans="1:9" ht="15.6" x14ac:dyDescent="0.3">
      <c r="A29" s="63">
        <f>IF(OR(LEFT(CT!D24,3)=$E$2,LEFT(CT!E24,3)=$E$2),CT!A24,"")</f>
        <v>45306</v>
      </c>
      <c r="B29" s="23" t="str">
        <f>IF(LEFT(CT!D24,3)='SQTM &amp; TGNH NGÀY'!$E$2,CT!B24,"")</f>
        <v/>
      </c>
      <c r="C29" s="23" t="str">
        <f>IF(LEFT(CT!E24,3)='SQTM &amp; TGNH NGÀY'!$E$2,CT!B24,"")</f>
        <v>03/PC</v>
      </c>
      <c r="D29" s="23" t="str">
        <f>IF(OR(LEFT(CT!D24,3)='SQTM &amp; TGNH NGÀY'!$E$2,LEFT(CT!E24,3)='SQTM &amp; TGNH NGÀY'!$E$2),CT!C24,"")</f>
        <v>Chi lương cho CNSX GKT</v>
      </c>
      <c r="E29" s="23" t="str">
        <f>IF(LEFT(CT!D24,3)='SQTM &amp; TGNH NGÀY'!$E$2,LEFT(CT!E24,3),IF(LEFT(CT!E24,3)='SQTM &amp; TGNH NGÀY'!$E$2,LEFT(CT!D24,3),""))</f>
        <v>334</v>
      </c>
      <c r="F29" s="78">
        <f>IF(LEFT(CT!D24,3)='SQTM &amp; TGNH NGÀY'!$E$2,CT!H24,0)</f>
        <v>0</v>
      </c>
      <c r="G29" s="78">
        <f>IF(LEFT(CT!E24,3)='SQTM &amp; TGNH NGÀY'!$E$2,CT!H24,0)</f>
        <v>40000000</v>
      </c>
      <c r="H29" s="78">
        <f>IF(SUM(F29:G29)=0,0,$H$8+SUBTOTAL(9,$F$10:F29)-SUBTOTAL(9,$G$10:G29))</f>
        <v>294900000</v>
      </c>
      <c r="I29" s="65" t="b">
        <f t="shared" si="0"/>
        <v>1</v>
      </c>
    </row>
    <row r="30" spans="1:9" ht="15.6" x14ac:dyDescent="0.3">
      <c r="A30" s="63">
        <f>IF(OR(LEFT(CT!D25,3)=$E$2,LEFT(CT!E25,3)=$E$2),CT!A25,"")</f>
        <v>45306</v>
      </c>
      <c r="B30" s="23" t="str">
        <f>IF(LEFT(CT!D25,3)='SQTM &amp; TGNH NGÀY'!$E$2,CT!B25,"")</f>
        <v/>
      </c>
      <c r="C30" s="23" t="str">
        <f>IF(LEFT(CT!E25,3)='SQTM &amp; TGNH NGÀY'!$E$2,CT!B25,"")</f>
        <v>03/PC</v>
      </c>
      <c r="D30" s="23" t="str">
        <f>IF(OR(LEFT(CT!D25,3)='SQTM &amp; TGNH NGÀY'!$E$2,LEFT(CT!E25,3)='SQTM &amp; TGNH NGÀY'!$E$2),CT!C25,"")</f>
        <v>Chi lương cho CNSX GTV</v>
      </c>
      <c r="E30" s="23" t="str">
        <f>IF(LEFT(CT!D25,3)='SQTM &amp; TGNH NGÀY'!$E$2,LEFT(CT!E25,3),IF(LEFT(CT!E25,3)='SQTM &amp; TGNH NGÀY'!$E$2,LEFT(CT!D25,3),""))</f>
        <v>334</v>
      </c>
      <c r="F30" s="78">
        <f>IF(LEFT(CT!D25,3)='SQTM &amp; TGNH NGÀY'!$E$2,CT!H25,0)</f>
        <v>0</v>
      </c>
      <c r="G30" s="78">
        <f>IF(LEFT(CT!E25,3)='SQTM &amp; TGNH NGÀY'!$E$2,CT!H25,0)</f>
        <v>40000000</v>
      </c>
      <c r="H30" s="78">
        <f>IF(SUM(F30:G30)=0,0,$H$8+SUBTOTAL(9,$F$10:F30)-SUBTOTAL(9,$G$10:G30))</f>
        <v>254900000</v>
      </c>
      <c r="I30" s="65" t="b">
        <f t="shared" si="0"/>
        <v>1</v>
      </c>
    </row>
    <row r="31" spans="1:9" ht="15.6" x14ac:dyDescent="0.3">
      <c r="A31" s="63">
        <f>IF(OR(LEFT(CT!D26,3)=$E$2,LEFT(CT!E26,3)=$E$2),CT!A26,"")</f>
        <v>45306</v>
      </c>
      <c r="B31" s="23" t="str">
        <f>IF(LEFT(CT!D26,3)='SQTM &amp; TGNH NGÀY'!$E$2,CT!B26,"")</f>
        <v/>
      </c>
      <c r="C31" s="23" t="str">
        <f>IF(LEFT(CT!E26,3)='SQTM &amp; TGNH NGÀY'!$E$2,CT!B26,"")</f>
        <v>03/PC</v>
      </c>
      <c r="D31" s="23" t="str">
        <f>IF(OR(LEFT(CT!D26,3)='SQTM &amp; TGNH NGÀY'!$E$2,LEFT(CT!E26,3)='SQTM &amp; TGNH NGÀY'!$E$2),CT!C26,"")</f>
        <v>Chi lương cho CNSX BT</v>
      </c>
      <c r="E31" s="23" t="str">
        <f>IF(LEFT(CT!D26,3)='SQTM &amp; TGNH NGÀY'!$E$2,LEFT(CT!E26,3),IF(LEFT(CT!E26,3)='SQTM &amp; TGNH NGÀY'!$E$2,LEFT(CT!D26,3),""))</f>
        <v>334</v>
      </c>
      <c r="F31" s="78">
        <f>IF(LEFT(CT!D26,3)='SQTM &amp; TGNH NGÀY'!$E$2,CT!H26,0)</f>
        <v>0</v>
      </c>
      <c r="G31" s="78">
        <f>IF(LEFT(CT!E26,3)='SQTM &amp; TGNH NGÀY'!$E$2,CT!H26,0)</f>
        <v>40000000</v>
      </c>
      <c r="H31" s="78">
        <f>IF(SUM(F31:G31)=0,0,$H$8+SUBTOTAL(9,$F$10:F31)-SUBTOTAL(9,$G$10:G31))</f>
        <v>214900000</v>
      </c>
      <c r="I31" s="65" t="b">
        <f t="shared" si="0"/>
        <v>1</v>
      </c>
    </row>
    <row r="32" spans="1:9" ht="15.6" x14ac:dyDescent="0.3">
      <c r="A32" s="63">
        <f>IF(OR(LEFT(CT!D27,3)=$E$2,LEFT(CT!E27,3)=$E$2),CT!A27,"")</f>
        <v>45306</v>
      </c>
      <c r="B32" s="23" t="str">
        <f>IF(LEFT(CT!D27,3)='SQTM &amp; TGNH NGÀY'!$E$2,CT!B27,"")</f>
        <v/>
      </c>
      <c r="C32" s="23" t="str">
        <f>IF(LEFT(CT!E27,3)='SQTM &amp; TGNH NGÀY'!$E$2,CT!B27,"")</f>
        <v>03/PC</v>
      </c>
      <c r="D32" s="23" t="str">
        <f>IF(OR(LEFT(CT!D27,3)='SQTM &amp; TGNH NGÀY'!$E$2,LEFT(CT!E27,3)='SQTM &amp; TGNH NGÀY'!$E$2),CT!C27,"")</f>
        <v>Chi lương cho CNSX BO</v>
      </c>
      <c r="E32" s="23" t="str">
        <f>IF(LEFT(CT!D27,3)='SQTM &amp; TGNH NGÀY'!$E$2,LEFT(CT!E27,3),IF(LEFT(CT!E27,3)='SQTM &amp; TGNH NGÀY'!$E$2,LEFT(CT!D27,3),""))</f>
        <v>334</v>
      </c>
      <c r="F32" s="78">
        <f>IF(LEFT(CT!D27,3)='SQTM &amp; TGNH NGÀY'!$E$2,CT!H27,0)</f>
        <v>0</v>
      </c>
      <c r="G32" s="78">
        <f>IF(LEFT(CT!E27,3)='SQTM &amp; TGNH NGÀY'!$E$2,CT!H27,0)</f>
        <v>40000000</v>
      </c>
      <c r="H32" s="78">
        <f>IF(SUM(F32:G32)=0,0,$H$8+SUBTOTAL(9,$F$10:F32)-SUBTOTAL(9,$G$10:G32))</f>
        <v>174900000</v>
      </c>
      <c r="I32" s="65" t="b">
        <f t="shared" si="0"/>
        <v>1</v>
      </c>
    </row>
    <row r="33" spans="1:9" ht="15.6" hidden="1" x14ac:dyDescent="0.3">
      <c r="A33" s="63" t="str">
        <f>IF(OR(LEFT(CT!D28,3)=$E$2,LEFT(CT!E28,3)=$E$2),CT!A28,"")</f>
        <v/>
      </c>
      <c r="B33" s="23" t="str">
        <f>IF(LEFT(CT!D28,3)='SQTM &amp; TGNH NGÀY'!$E$2,CT!B28,"")</f>
        <v/>
      </c>
      <c r="C33" s="23" t="str">
        <f>IF(LEFT(CT!E28,3)='SQTM &amp; TGNH NGÀY'!$E$2,CT!B28,"")</f>
        <v/>
      </c>
      <c r="D33" s="23" t="str">
        <f>IF(OR(LEFT(CT!D28,3)='SQTM &amp; TGNH NGÀY'!$E$2,LEFT(CT!E28,3)='SQTM &amp; TGNH NGÀY'!$E$2),CT!C28,"")</f>
        <v/>
      </c>
      <c r="E33" s="23" t="str">
        <f>IF(LEFT(CT!D28,3)='SQTM &amp; TGNH NGÀY'!$E$2,LEFT(CT!E28,3),IF(LEFT(CT!E28,3)='SQTM &amp; TGNH NGÀY'!$E$2,LEFT(CT!D28,3),""))</f>
        <v/>
      </c>
      <c r="F33" s="78">
        <f>IF(LEFT(CT!D28,3)='SQTM &amp; TGNH NGÀY'!$E$2,CT!H28,0)</f>
        <v>0</v>
      </c>
      <c r="G33" s="78">
        <f>IF(LEFT(CT!E28,3)='SQTM &amp; TGNH NGÀY'!$E$2,CT!H28,0)</f>
        <v>0</v>
      </c>
      <c r="H33" s="78">
        <f>IF(SUM(F33:G33)=0,0,$H$8+SUBTOTAL(9,$F$10:F33)-SUBTOTAL(9,$G$10:G33))</f>
        <v>0</v>
      </c>
      <c r="I33" s="65" t="b">
        <f t="shared" si="0"/>
        <v>0</v>
      </c>
    </row>
    <row r="34" spans="1:9" ht="15.6" hidden="1" x14ac:dyDescent="0.3">
      <c r="A34" s="63" t="str">
        <f>IF(OR(LEFT(CT!D29,3)=$E$2,LEFT(CT!E29,3)=$E$2),CT!A29,"")</f>
        <v/>
      </c>
      <c r="B34" s="23" t="str">
        <f>IF(LEFT(CT!D29,3)='SQTM &amp; TGNH NGÀY'!$E$2,CT!B29,"")</f>
        <v/>
      </c>
      <c r="C34" s="23" t="str">
        <f>IF(LEFT(CT!E29,3)='SQTM &amp; TGNH NGÀY'!$E$2,CT!B29,"")</f>
        <v/>
      </c>
      <c r="D34" s="23" t="str">
        <f>IF(OR(LEFT(CT!D29,3)='SQTM &amp; TGNH NGÀY'!$E$2,LEFT(CT!E29,3)='SQTM &amp; TGNH NGÀY'!$E$2),CT!C29,"")</f>
        <v/>
      </c>
      <c r="E34" s="23" t="str">
        <f>IF(LEFT(CT!D29,3)='SQTM &amp; TGNH NGÀY'!$E$2,LEFT(CT!E29,3),IF(LEFT(CT!E29,3)='SQTM &amp; TGNH NGÀY'!$E$2,LEFT(CT!D29,3),""))</f>
        <v/>
      </c>
      <c r="F34" s="78">
        <f>IF(LEFT(CT!D29,3)='SQTM &amp; TGNH NGÀY'!$E$2,CT!H29,0)</f>
        <v>0</v>
      </c>
      <c r="G34" s="78">
        <f>IF(LEFT(CT!E29,3)='SQTM &amp; TGNH NGÀY'!$E$2,CT!H29,0)</f>
        <v>0</v>
      </c>
      <c r="H34" s="78">
        <f>IF(SUM(F34:G34)=0,0,$H$8+SUBTOTAL(9,$F$10:F34)-SUBTOTAL(9,$G$10:G34))</f>
        <v>0</v>
      </c>
      <c r="I34" s="65" t="b">
        <f t="shared" si="0"/>
        <v>0</v>
      </c>
    </row>
    <row r="35" spans="1:9" ht="15.6" hidden="1" x14ac:dyDescent="0.3">
      <c r="A35" s="63" t="str">
        <f>IF(OR(LEFT(CT!D30,3)=$E$2,LEFT(CT!E30,3)=$E$2),CT!A30,"")</f>
        <v/>
      </c>
      <c r="B35" s="23" t="str">
        <f>IF(LEFT(CT!D30,3)='SQTM &amp; TGNH NGÀY'!$E$2,CT!B30,"")</f>
        <v/>
      </c>
      <c r="C35" s="23" t="str">
        <f>IF(LEFT(CT!E30,3)='SQTM &amp; TGNH NGÀY'!$E$2,CT!B30,"")</f>
        <v/>
      </c>
      <c r="D35" s="23" t="str">
        <f>IF(OR(LEFT(CT!D30,3)='SQTM &amp; TGNH NGÀY'!$E$2,LEFT(CT!E30,3)='SQTM &amp; TGNH NGÀY'!$E$2),CT!C30,"")</f>
        <v/>
      </c>
      <c r="E35" s="23" t="str">
        <f>IF(LEFT(CT!D30,3)='SQTM &amp; TGNH NGÀY'!$E$2,LEFT(CT!E30,3),IF(LEFT(CT!E30,3)='SQTM &amp; TGNH NGÀY'!$E$2,LEFT(CT!D30,3),""))</f>
        <v/>
      </c>
      <c r="F35" s="78">
        <f>IF(LEFT(CT!D30,3)='SQTM &amp; TGNH NGÀY'!$E$2,CT!H30,0)</f>
        <v>0</v>
      </c>
      <c r="G35" s="78">
        <f>IF(LEFT(CT!E30,3)='SQTM &amp; TGNH NGÀY'!$E$2,CT!H30,0)</f>
        <v>0</v>
      </c>
      <c r="H35" s="78">
        <f>IF(SUM(F35:G35)=0,0,$H$8+SUBTOTAL(9,$F$10:F35)-SUBTOTAL(9,$G$10:G35))</f>
        <v>0</v>
      </c>
      <c r="I35" s="65" t="b">
        <f t="shared" si="0"/>
        <v>0</v>
      </c>
    </row>
    <row r="36" spans="1:9" ht="15.6" hidden="1" x14ac:dyDescent="0.3">
      <c r="A36" s="63" t="str">
        <f>IF(OR(LEFT(CT!D31,3)=$E$2,LEFT(CT!E31,3)=$E$2),CT!A31,"")</f>
        <v/>
      </c>
      <c r="B36" s="23" t="str">
        <f>IF(LEFT(CT!D31,3)='SQTM &amp; TGNH NGÀY'!$E$2,CT!B31,"")</f>
        <v/>
      </c>
      <c r="C36" s="23" t="str">
        <f>IF(LEFT(CT!E31,3)='SQTM &amp; TGNH NGÀY'!$E$2,CT!B31,"")</f>
        <v/>
      </c>
      <c r="D36" s="23" t="str">
        <f>IF(OR(LEFT(CT!D31,3)='SQTM &amp; TGNH NGÀY'!$E$2,LEFT(CT!E31,3)='SQTM &amp; TGNH NGÀY'!$E$2),CT!C31,"")</f>
        <v/>
      </c>
      <c r="E36" s="23" t="str">
        <f>IF(LEFT(CT!D31,3)='SQTM &amp; TGNH NGÀY'!$E$2,LEFT(CT!E31,3),IF(LEFT(CT!E31,3)='SQTM &amp; TGNH NGÀY'!$E$2,LEFT(CT!D31,3),""))</f>
        <v/>
      </c>
      <c r="F36" s="78">
        <f>IF(LEFT(CT!D31,3)='SQTM &amp; TGNH NGÀY'!$E$2,CT!H31,0)</f>
        <v>0</v>
      </c>
      <c r="G36" s="78">
        <f>IF(LEFT(CT!E31,3)='SQTM &amp; TGNH NGÀY'!$E$2,CT!H31,0)</f>
        <v>0</v>
      </c>
      <c r="H36" s="78">
        <f>IF(SUM(F36:G36)=0,0,$H$8+SUBTOTAL(9,$F$10:F36)-SUBTOTAL(9,$G$10:G36))</f>
        <v>0</v>
      </c>
      <c r="I36" s="65" t="b">
        <f t="shared" si="0"/>
        <v>0</v>
      </c>
    </row>
    <row r="37" spans="1:9" ht="15.6" hidden="1" x14ac:dyDescent="0.3">
      <c r="A37" s="63" t="str">
        <f>IF(OR(LEFT(CT!D32,3)=$E$2,LEFT(CT!E32,3)=$E$2),CT!A32,"")</f>
        <v/>
      </c>
      <c r="B37" s="23" t="str">
        <f>IF(LEFT(CT!D32,3)='SQTM &amp; TGNH NGÀY'!$E$2,CT!B32,"")</f>
        <v/>
      </c>
      <c r="C37" s="23" t="str">
        <f>IF(LEFT(CT!E32,3)='SQTM &amp; TGNH NGÀY'!$E$2,CT!B32,"")</f>
        <v/>
      </c>
      <c r="D37" s="23" t="str">
        <f>IF(OR(LEFT(CT!D32,3)='SQTM &amp; TGNH NGÀY'!$E$2,LEFT(CT!E32,3)='SQTM &amp; TGNH NGÀY'!$E$2),CT!C32,"")</f>
        <v/>
      </c>
      <c r="E37" s="23" t="str">
        <f>IF(LEFT(CT!D32,3)='SQTM &amp; TGNH NGÀY'!$E$2,LEFT(CT!E32,3),IF(LEFT(CT!E32,3)='SQTM &amp; TGNH NGÀY'!$E$2,LEFT(CT!D32,3),""))</f>
        <v/>
      </c>
      <c r="F37" s="78">
        <f>IF(LEFT(CT!D32,3)='SQTM &amp; TGNH NGÀY'!$E$2,CT!H32,0)</f>
        <v>0</v>
      </c>
      <c r="G37" s="78">
        <f>IF(LEFT(CT!E32,3)='SQTM &amp; TGNH NGÀY'!$E$2,CT!H32,0)</f>
        <v>0</v>
      </c>
      <c r="H37" s="78">
        <f>IF(SUM(F37:G37)=0,0,$H$8+SUBTOTAL(9,$F$10:F37)-SUBTOTAL(9,$G$10:G37))</f>
        <v>0</v>
      </c>
      <c r="I37" s="65" t="b">
        <f t="shared" si="0"/>
        <v>0</v>
      </c>
    </row>
    <row r="38" spans="1:9" ht="15.6" hidden="1" x14ac:dyDescent="0.3">
      <c r="A38" s="63" t="str">
        <f>IF(OR(LEFT(CT!D33,3)=$E$2,LEFT(CT!E33,3)=$E$2),CT!A33,"")</f>
        <v/>
      </c>
      <c r="B38" s="23" t="str">
        <f>IF(LEFT(CT!D33,3)='SQTM &amp; TGNH NGÀY'!$E$2,CT!B33,"")</f>
        <v/>
      </c>
      <c r="C38" s="23" t="str">
        <f>IF(LEFT(CT!E33,3)='SQTM &amp; TGNH NGÀY'!$E$2,CT!B33,"")</f>
        <v/>
      </c>
      <c r="D38" s="23" t="str">
        <f>IF(OR(LEFT(CT!D33,3)='SQTM &amp; TGNH NGÀY'!$E$2,LEFT(CT!E33,3)='SQTM &amp; TGNH NGÀY'!$E$2),CT!C33,"")</f>
        <v/>
      </c>
      <c r="E38" s="23" t="str">
        <f>IF(LEFT(CT!D33,3)='SQTM &amp; TGNH NGÀY'!$E$2,LEFT(CT!E33,3),IF(LEFT(CT!E33,3)='SQTM &amp; TGNH NGÀY'!$E$2,LEFT(CT!D33,3),""))</f>
        <v/>
      </c>
      <c r="F38" s="78">
        <f>IF(LEFT(CT!D33,3)='SQTM &amp; TGNH NGÀY'!$E$2,CT!H33,0)</f>
        <v>0</v>
      </c>
      <c r="G38" s="78">
        <f>IF(LEFT(CT!E33,3)='SQTM &amp; TGNH NGÀY'!$E$2,CT!H33,0)</f>
        <v>0</v>
      </c>
      <c r="H38" s="78">
        <f>IF(SUM(F38:G38)=0,0,$H$8+SUBTOTAL(9,$F$10:F38)-SUBTOTAL(9,$G$10:G38))</f>
        <v>0</v>
      </c>
      <c r="I38" s="65" t="b">
        <f t="shared" si="0"/>
        <v>0</v>
      </c>
    </row>
    <row r="39" spans="1:9" ht="15.6" hidden="1" x14ac:dyDescent="0.3">
      <c r="A39" s="63" t="str">
        <f>IF(OR(LEFT(CT!D34,3)=$E$2,LEFT(CT!E34,3)=$E$2),CT!A34,"")</f>
        <v/>
      </c>
      <c r="B39" s="23" t="str">
        <f>IF(LEFT(CT!D34,3)='SQTM &amp; TGNH NGÀY'!$E$2,CT!B34,"")</f>
        <v/>
      </c>
      <c r="C39" s="23" t="str">
        <f>IF(LEFT(CT!E34,3)='SQTM &amp; TGNH NGÀY'!$E$2,CT!B34,"")</f>
        <v/>
      </c>
      <c r="D39" s="23" t="str">
        <f>IF(OR(LEFT(CT!D34,3)='SQTM &amp; TGNH NGÀY'!$E$2,LEFT(CT!E34,3)='SQTM &amp; TGNH NGÀY'!$E$2),CT!C34,"")</f>
        <v/>
      </c>
      <c r="E39" s="23" t="str">
        <f>IF(LEFT(CT!D34,3)='SQTM &amp; TGNH NGÀY'!$E$2,LEFT(CT!E34,3),IF(LEFT(CT!E34,3)='SQTM &amp; TGNH NGÀY'!$E$2,LEFT(CT!D34,3),""))</f>
        <v/>
      </c>
      <c r="F39" s="78">
        <f>IF(LEFT(CT!D34,3)='SQTM &amp; TGNH NGÀY'!$E$2,CT!H34,0)</f>
        <v>0</v>
      </c>
      <c r="G39" s="78">
        <f>IF(LEFT(CT!E34,3)='SQTM &amp; TGNH NGÀY'!$E$2,CT!H34,0)</f>
        <v>0</v>
      </c>
      <c r="H39" s="78">
        <f>IF(SUM(F39:G39)=0,0,$H$8+SUBTOTAL(9,$F$10:F39)-SUBTOTAL(9,$G$10:G39))</f>
        <v>0</v>
      </c>
      <c r="I39" s="65" t="b">
        <f t="shared" si="0"/>
        <v>0</v>
      </c>
    </row>
    <row r="40" spans="1:9" ht="15.6" hidden="1" x14ac:dyDescent="0.3">
      <c r="A40" s="63" t="str">
        <f>IF(OR(LEFT(CT!D35,3)=$E$2,LEFT(CT!E35,3)=$E$2),CT!A35,"")</f>
        <v/>
      </c>
      <c r="B40" s="23" t="str">
        <f>IF(LEFT(CT!D35,3)='SQTM &amp; TGNH NGÀY'!$E$2,CT!B35,"")</f>
        <v/>
      </c>
      <c r="C40" s="23" t="str">
        <f>IF(LEFT(CT!E35,3)='SQTM &amp; TGNH NGÀY'!$E$2,CT!B35,"")</f>
        <v/>
      </c>
      <c r="D40" s="23" t="str">
        <f>IF(OR(LEFT(CT!D35,3)='SQTM &amp; TGNH NGÀY'!$E$2,LEFT(CT!E35,3)='SQTM &amp; TGNH NGÀY'!$E$2),CT!C35,"")</f>
        <v/>
      </c>
      <c r="E40" s="23" t="str">
        <f>IF(LEFT(CT!D35,3)='SQTM &amp; TGNH NGÀY'!$E$2,LEFT(CT!E35,3),IF(LEFT(CT!E35,3)='SQTM &amp; TGNH NGÀY'!$E$2,LEFT(CT!D35,3),""))</f>
        <v/>
      </c>
      <c r="F40" s="78">
        <f>IF(LEFT(CT!D35,3)='SQTM &amp; TGNH NGÀY'!$E$2,CT!H35,0)</f>
        <v>0</v>
      </c>
      <c r="G40" s="78">
        <f>IF(LEFT(CT!E35,3)='SQTM &amp; TGNH NGÀY'!$E$2,CT!H35,0)</f>
        <v>0</v>
      </c>
      <c r="H40" s="78">
        <f>IF(SUM(F40:G40)=0,0,$H$8+SUBTOTAL(9,$F$10:F40)-SUBTOTAL(9,$G$10:G40))</f>
        <v>0</v>
      </c>
      <c r="I40" s="65" t="b">
        <f t="shared" si="0"/>
        <v>0</v>
      </c>
    </row>
    <row r="41" spans="1:9" ht="15.6" hidden="1" x14ac:dyDescent="0.3">
      <c r="A41" s="63" t="str">
        <f>IF(OR(LEFT(CT!D36,3)=$E$2,LEFT(CT!E36,3)=$E$2),CT!A36,"")</f>
        <v/>
      </c>
      <c r="B41" s="23" t="str">
        <f>IF(LEFT(CT!D36,3)='SQTM &amp; TGNH NGÀY'!$E$2,CT!B36,"")</f>
        <v/>
      </c>
      <c r="C41" s="23" t="str">
        <f>IF(LEFT(CT!E36,3)='SQTM &amp; TGNH NGÀY'!$E$2,CT!B36,"")</f>
        <v/>
      </c>
      <c r="D41" s="23" t="str">
        <f>IF(OR(LEFT(CT!D36,3)='SQTM &amp; TGNH NGÀY'!$E$2,LEFT(CT!E36,3)='SQTM &amp; TGNH NGÀY'!$E$2),CT!C36,"")</f>
        <v/>
      </c>
      <c r="E41" s="23" t="str">
        <f>IF(LEFT(CT!D36,3)='SQTM &amp; TGNH NGÀY'!$E$2,LEFT(CT!E36,3),IF(LEFT(CT!E36,3)='SQTM &amp; TGNH NGÀY'!$E$2,LEFT(CT!D36,3),""))</f>
        <v/>
      </c>
      <c r="F41" s="78">
        <f>IF(LEFT(CT!D36,3)='SQTM &amp; TGNH NGÀY'!$E$2,CT!H36,0)</f>
        <v>0</v>
      </c>
      <c r="G41" s="78">
        <f>IF(LEFT(CT!E36,3)='SQTM &amp; TGNH NGÀY'!$E$2,CT!H36,0)</f>
        <v>0</v>
      </c>
      <c r="H41" s="78">
        <f>IF(SUM(F41:G41)=0,0,$H$8+SUBTOTAL(9,$F$10:F41)-SUBTOTAL(9,$G$10:G41))</f>
        <v>0</v>
      </c>
      <c r="I41" s="65" t="b">
        <f t="shared" si="0"/>
        <v>0</v>
      </c>
    </row>
    <row r="42" spans="1:9" ht="15.6" hidden="1" x14ac:dyDescent="0.3">
      <c r="A42" s="63" t="str">
        <f>IF(OR(LEFT(CT!D37,3)=$E$2,LEFT(CT!E37,3)=$E$2),CT!A37,"")</f>
        <v/>
      </c>
      <c r="B42" s="23" t="str">
        <f>IF(LEFT(CT!D37,3)='SQTM &amp; TGNH NGÀY'!$E$2,CT!B37,"")</f>
        <v/>
      </c>
      <c r="C42" s="23" t="str">
        <f>IF(LEFT(CT!E37,3)='SQTM &amp; TGNH NGÀY'!$E$2,CT!B37,"")</f>
        <v/>
      </c>
      <c r="D42" s="23" t="str">
        <f>IF(OR(LEFT(CT!D37,3)='SQTM &amp; TGNH NGÀY'!$E$2,LEFT(CT!E37,3)='SQTM &amp; TGNH NGÀY'!$E$2),CT!C37,"")</f>
        <v/>
      </c>
      <c r="E42" s="23" t="str">
        <f>IF(LEFT(CT!D37,3)='SQTM &amp; TGNH NGÀY'!$E$2,LEFT(CT!E37,3),IF(LEFT(CT!E37,3)='SQTM &amp; TGNH NGÀY'!$E$2,LEFT(CT!D37,3),""))</f>
        <v/>
      </c>
      <c r="F42" s="78">
        <f>IF(LEFT(CT!D37,3)='SQTM &amp; TGNH NGÀY'!$E$2,CT!H37,0)</f>
        <v>0</v>
      </c>
      <c r="G42" s="78">
        <f>IF(LEFT(CT!E37,3)='SQTM &amp; TGNH NGÀY'!$E$2,CT!H37,0)</f>
        <v>0</v>
      </c>
      <c r="H42" s="78">
        <f>IF(SUM(F42:G42)=0,0,$H$8+SUBTOTAL(9,$F$10:F42)-SUBTOTAL(9,$G$10:G42))</f>
        <v>0</v>
      </c>
      <c r="I42" s="65" t="b">
        <f t="shared" si="0"/>
        <v>0</v>
      </c>
    </row>
    <row r="43" spans="1:9" ht="15.6" hidden="1" x14ac:dyDescent="0.3">
      <c r="A43" s="63" t="str">
        <f>IF(OR(LEFT(CT!D38,3)=$E$2,LEFT(CT!E38,3)=$E$2),CT!A38,"")</f>
        <v/>
      </c>
      <c r="B43" s="23" t="str">
        <f>IF(LEFT(CT!D38,3)='SQTM &amp; TGNH NGÀY'!$E$2,CT!B38,"")</f>
        <v/>
      </c>
      <c r="C43" s="23" t="str">
        <f>IF(LEFT(CT!E38,3)='SQTM &amp; TGNH NGÀY'!$E$2,CT!B38,"")</f>
        <v/>
      </c>
      <c r="D43" s="23" t="str">
        <f>IF(OR(LEFT(CT!D38,3)='SQTM &amp; TGNH NGÀY'!$E$2,LEFT(CT!E38,3)='SQTM &amp; TGNH NGÀY'!$E$2),CT!C38,"")</f>
        <v/>
      </c>
      <c r="E43" s="23" t="str">
        <f>IF(LEFT(CT!D38,3)='SQTM &amp; TGNH NGÀY'!$E$2,LEFT(CT!E38,3),IF(LEFT(CT!E38,3)='SQTM &amp; TGNH NGÀY'!$E$2,LEFT(CT!D38,3),""))</f>
        <v/>
      </c>
      <c r="F43" s="78">
        <f>IF(LEFT(CT!D38,3)='SQTM &amp; TGNH NGÀY'!$E$2,CT!H38,0)</f>
        <v>0</v>
      </c>
      <c r="G43" s="78">
        <f>IF(LEFT(CT!E38,3)='SQTM &amp; TGNH NGÀY'!$E$2,CT!H38,0)</f>
        <v>0</v>
      </c>
      <c r="H43" s="78">
        <f>IF(SUM(F43:G43)=0,0,$H$8+SUBTOTAL(9,$F$10:F43)-SUBTOTAL(9,$G$10:G43))</f>
        <v>0</v>
      </c>
      <c r="I43" s="65" t="b">
        <f t="shared" si="0"/>
        <v>0</v>
      </c>
    </row>
    <row r="44" spans="1:9" ht="15.6" hidden="1" x14ac:dyDescent="0.3">
      <c r="A44" s="63" t="str">
        <f>IF(OR(LEFT(CT!D39,3)=$E$2,LEFT(CT!E39,3)=$E$2),CT!A39,"")</f>
        <v/>
      </c>
      <c r="B44" s="23" t="str">
        <f>IF(LEFT(CT!D39,3)='SQTM &amp; TGNH NGÀY'!$E$2,CT!B39,"")</f>
        <v/>
      </c>
      <c r="C44" s="23" t="str">
        <f>IF(LEFT(CT!E39,3)='SQTM &amp; TGNH NGÀY'!$E$2,CT!B39,"")</f>
        <v/>
      </c>
      <c r="D44" s="23" t="str">
        <f>IF(OR(LEFT(CT!D39,3)='SQTM &amp; TGNH NGÀY'!$E$2,LEFT(CT!E39,3)='SQTM &amp; TGNH NGÀY'!$E$2),CT!C39,"")</f>
        <v/>
      </c>
      <c r="E44" s="23" t="str">
        <f>IF(LEFT(CT!D39,3)='SQTM &amp; TGNH NGÀY'!$E$2,LEFT(CT!E39,3),IF(LEFT(CT!E39,3)='SQTM &amp; TGNH NGÀY'!$E$2,LEFT(CT!D39,3),""))</f>
        <v/>
      </c>
      <c r="F44" s="78">
        <f>IF(LEFT(CT!D39,3)='SQTM &amp; TGNH NGÀY'!$E$2,CT!H39,0)</f>
        <v>0</v>
      </c>
      <c r="G44" s="78">
        <f>IF(LEFT(CT!E39,3)='SQTM &amp; TGNH NGÀY'!$E$2,CT!H39,0)</f>
        <v>0</v>
      </c>
      <c r="H44" s="78">
        <f>IF(SUM(F44:G44)=0,0,$H$8+SUBTOTAL(9,$F$10:F44)-SUBTOTAL(9,$G$10:G44))</f>
        <v>0</v>
      </c>
      <c r="I44" s="65" t="b">
        <f t="shared" si="0"/>
        <v>0</v>
      </c>
    </row>
    <row r="45" spans="1:9" ht="15.6" hidden="1" x14ac:dyDescent="0.3">
      <c r="A45" s="63" t="str">
        <f>IF(OR(LEFT(CT!D40,3)=$E$2,LEFT(CT!E40,3)=$E$2),CT!A40,"")</f>
        <v/>
      </c>
      <c r="B45" s="23" t="str">
        <f>IF(LEFT(CT!D40,3)='SQTM &amp; TGNH NGÀY'!$E$2,CT!B40,"")</f>
        <v/>
      </c>
      <c r="C45" s="23" t="str">
        <f>IF(LEFT(CT!E40,3)='SQTM &amp; TGNH NGÀY'!$E$2,CT!B40,"")</f>
        <v/>
      </c>
      <c r="D45" s="23" t="str">
        <f>IF(OR(LEFT(CT!D40,3)='SQTM &amp; TGNH NGÀY'!$E$2,LEFT(CT!E40,3)='SQTM &amp; TGNH NGÀY'!$E$2),CT!C40,"")</f>
        <v/>
      </c>
      <c r="E45" s="23" t="str">
        <f>IF(LEFT(CT!D40,3)='SQTM &amp; TGNH NGÀY'!$E$2,LEFT(CT!E40,3),IF(LEFT(CT!E40,3)='SQTM &amp; TGNH NGÀY'!$E$2,LEFT(CT!D40,3),""))</f>
        <v/>
      </c>
      <c r="F45" s="78">
        <f>IF(LEFT(CT!D40,3)='SQTM &amp; TGNH NGÀY'!$E$2,CT!H40,0)</f>
        <v>0</v>
      </c>
      <c r="G45" s="78">
        <f>IF(LEFT(CT!E40,3)='SQTM &amp; TGNH NGÀY'!$E$2,CT!H40,0)</f>
        <v>0</v>
      </c>
      <c r="H45" s="78">
        <f>IF(SUM(F45:G45)=0,0,$H$8+SUBTOTAL(9,$F$10:F45)-SUBTOTAL(9,$G$10:G45))</f>
        <v>0</v>
      </c>
      <c r="I45" s="65" t="b">
        <f t="shared" si="0"/>
        <v>0</v>
      </c>
    </row>
    <row r="46" spans="1:9" ht="15.6" hidden="1" x14ac:dyDescent="0.3">
      <c r="A46" s="63" t="str">
        <f>IF(OR(LEFT(CT!D41,3)=$E$2,LEFT(CT!E41,3)=$E$2),CT!A41,"")</f>
        <v/>
      </c>
      <c r="B46" s="23" t="str">
        <f>IF(LEFT(CT!D41,3)='SQTM &amp; TGNH NGÀY'!$E$2,CT!B41,"")</f>
        <v/>
      </c>
      <c r="C46" s="23" t="str">
        <f>IF(LEFT(CT!E41,3)='SQTM &amp; TGNH NGÀY'!$E$2,CT!B41,"")</f>
        <v/>
      </c>
      <c r="D46" s="23" t="str">
        <f>IF(OR(LEFT(CT!D41,3)='SQTM &amp; TGNH NGÀY'!$E$2,LEFT(CT!E41,3)='SQTM &amp; TGNH NGÀY'!$E$2),CT!C41,"")</f>
        <v/>
      </c>
      <c r="E46" s="23" t="str">
        <f>IF(LEFT(CT!D41,3)='SQTM &amp; TGNH NGÀY'!$E$2,LEFT(CT!E41,3),IF(LEFT(CT!E41,3)='SQTM &amp; TGNH NGÀY'!$E$2,LEFT(CT!D41,3),""))</f>
        <v/>
      </c>
      <c r="F46" s="78">
        <f>IF(LEFT(CT!D41,3)='SQTM &amp; TGNH NGÀY'!$E$2,CT!H41,0)</f>
        <v>0</v>
      </c>
      <c r="G46" s="78">
        <f>IF(LEFT(CT!E41,3)='SQTM &amp; TGNH NGÀY'!$E$2,CT!H41,0)</f>
        <v>0</v>
      </c>
      <c r="H46" s="78">
        <f>IF(SUM(F46:G46)=0,0,$H$8+SUBTOTAL(9,$F$10:F46)-SUBTOTAL(9,$G$10:G46))</f>
        <v>0</v>
      </c>
      <c r="I46" s="65" t="b">
        <f t="shared" si="0"/>
        <v>0</v>
      </c>
    </row>
    <row r="47" spans="1:9" ht="15.6" hidden="1" x14ac:dyDescent="0.3">
      <c r="A47" s="63" t="str">
        <f>IF(OR(LEFT(CT!D42,3)=$E$2,LEFT(CT!E42,3)=$E$2),CT!A42,"")</f>
        <v/>
      </c>
      <c r="B47" s="23" t="str">
        <f>IF(LEFT(CT!D42,3)='SQTM &amp; TGNH NGÀY'!$E$2,CT!B42,"")</f>
        <v/>
      </c>
      <c r="C47" s="23" t="str">
        <f>IF(LEFT(CT!E42,3)='SQTM &amp; TGNH NGÀY'!$E$2,CT!B42,"")</f>
        <v/>
      </c>
      <c r="D47" s="23" t="str">
        <f>IF(OR(LEFT(CT!D42,3)='SQTM &amp; TGNH NGÀY'!$E$2,LEFT(CT!E42,3)='SQTM &amp; TGNH NGÀY'!$E$2),CT!C42,"")</f>
        <v/>
      </c>
      <c r="E47" s="23" t="str">
        <f>IF(LEFT(CT!D42,3)='SQTM &amp; TGNH NGÀY'!$E$2,LEFT(CT!E42,3),IF(LEFT(CT!E42,3)='SQTM &amp; TGNH NGÀY'!$E$2,LEFT(CT!D42,3),""))</f>
        <v/>
      </c>
      <c r="F47" s="78">
        <f>IF(LEFT(CT!D42,3)='SQTM &amp; TGNH NGÀY'!$E$2,CT!H42,0)</f>
        <v>0</v>
      </c>
      <c r="G47" s="78">
        <f>IF(LEFT(CT!E42,3)='SQTM &amp; TGNH NGÀY'!$E$2,CT!H42,0)</f>
        <v>0</v>
      </c>
      <c r="H47" s="78">
        <f>IF(SUM(F47:G47)=0,0,$H$8+SUBTOTAL(9,$F$10:F47)-SUBTOTAL(9,$G$10:G47))</f>
        <v>0</v>
      </c>
      <c r="I47" s="65" t="b">
        <f t="shared" si="0"/>
        <v>0</v>
      </c>
    </row>
    <row r="48" spans="1:9" ht="15.6" hidden="1" x14ac:dyDescent="0.3">
      <c r="A48" s="63" t="str">
        <f>IF(OR(LEFT(CT!D43,3)=$E$2,LEFT(CT!E43,3)=$E$2),CT!A43,"")</f>
        <v/>
      </c>
      <c r="B48" s="23" t="str">
        <f>IF(LEFT(CT!D43,3)='SQTM &amp; TGNH NGÀY'!$E$2,CT!B43,"")</f>
        <v/>
      </c>
      <c r="C48" s="23" t="str">
        <f>IF(LEFT(CT!E43,3)='SQTM &amp; TGNH NGÀY'!$E$2,CT!B43,"")</f>
        <v/>
      </c>
      <c r="D48" s="23" t="str">
        <f>IF(OR(LEFT(CT!D43,3)='SQTM &amp; TGNH NGÀY'!$E$2,LEFT(CT!E43,3)='SQTM &amp; TGNH NGÀY'!$E$2),CT!C43,"")</f>
        <v/>
      </c>
      <c r="E48" s="23" t="str">
        <f>IF(LEFT(CT!D43,3)='SQTM &amp; TGNH NGÀY'!$E$2,LEFT(CT!E43,3),IF(LEFT(CT!E43,3)='SQTM &amp; TGNH NGÀY'!$E$2,LEFT(CT!D43,3),""))</f>
        <v/>
      </c>
      <c r="F48" s="78">
        <f>IF(LEFT(CT!D43,3)='SQTM &amp; TGNH NGÀY'!$E$2,CT!H43,0)</f>
        <v>0</v>
      </c>
      <c r="G48" s="78">
        <f>IF(LEFT(CT!E43,3)='SQTM &amp; TGNH NGÀY'!$E$2,CT!H43,0)</f>
        <v>0</v>
      </c>
      <c r="H48" s="78">
        <f>IF(SUM(F48:G48)=0,0,$H$8+SUBTOTAL(9,$F$10:F48)-SUBTOTAL(9,$G$10:G48))</f>
        <v>0</v>
      </c>
      <c r="I48" s="65" t="b">
        <f t="shared" si="0"/>
        <v>0</v>
      </c>
    </row>
    <row r="49" spans="1:9" ht="15.6" hidden="1" x14ac:dyDescent="0.3">
      <c r="A49" s="63" t="str">
        <f>IF(OR(LEFT(CT!D44,3)=$E$2,LEFT(CT!E44,3)=$E$2),CT!A44,"")</f>
        <v/>
      </c>
      <c r="B49" s="23" t="str">
        <f>IF(LEFT(CT!D44,3)='SQTM &amp; TGNH NGÀY'!$E$2,CT!B44,"")</f>
        <v/>
      </c>
      <c r="C49" s="23" t="str">
        <f>IF(LEFT(CT!E44,3)='SQTM &amp; TGNH NGÀY'!$E$2,CT!B44,"")</f>
        <v/>
      </c>
      <c r="D49" s="23" t="str">
        <f>IF(OR(LEFT(CT!D44,3)='SQTM &amp; TGNH NGÀY'!$E$2,LEFT(CT!E44,3)='SQTM &amp; TGNH NGÀY'!$E$2),CT!C44,"")</f>
        <v/>
      </c>
      <c r="E49" s="23" t="str">
        <f>IF(LEFT(CT!D44,3)='SQTM &amp; TGNH NGÀY'!$E$2,LEFT(CT!E44,3),IF(LEFT(CT!E44,3)='SQTM &amp; TGNH NGÀY'!$E$2,LEFT(CT!D44,3),""))</f>
        <v/>
      </c>
      <c r="F49" s="78">
        <f>IF(LEFT(CT!D44,3)='SQTM &amp; TGNH NGÀY'!$E$2,CT!H44,0)</f>
        <v>0</v>
      </c>
      <c r="G49" s="78">
        <f>IF(LEFT(CT!E44,3)='SQTM &amp; TGNH NGÀY'!$E$2,CT!H44,0)</f>
        <v>0</v>
      </c>
      <c r="H49" s="78">
        <f>IF(SUM(F49:G49)=0,0,$H$8+SUBTOTAL(9,$F$10:F49)-SUBTOTAL(9,$G$10:G49))</f>
        <v>0</v>
      </c>
      <c r="I49" s="65" t="b">
        <f t="shared" si="0"/>
        <v>0</v>
      </c>
    </row>
    <row r="50" spans="1:9" ht="15.6" hidden="1" x14ac:dyDescent="0.3">
      <c r="A50" s="63" t="str">
        <f>IF(OR(LEFT(CT!D45,3)=$E$2,LEFT(CT!E45,3)=$E$2),CT!A45,"")</f>
        <v/>
      </c>
      <c r="B50" s="23" t="str">
        <f>IF(LEFT(CT!D45,3)='SQTM &amp; TGNH NGÀY'!$E$2,CT!B45,"")</f>
        <v/>
      </c>
      <c r="C50" s="23" t="str">
        <f>IF(LEFT(CT!E45,3)='SQTM &amp; TGNH NGÀY'!$E$2,CT!B45,"")</f>
        <v/>
      </c>
      <c r="D50" s="23" t="str">
        <f>IF(OR(LEFT(CT!D45,3)='SQTM &amp; TGNH NGÀY'!$E$2,LEFT(CT!E45,3)='SQTM &amp; TGNH NGÀY'!$E$2),CT!C45,"")</f>
        <v/>
      </c>
      <c r="E50" s="23" t="str">
        <f>IF(LEFT(CT!D45,3)='SQTM &amp; TGNH NGÀY'!$E$2,LEFT(CT!E45,3),IF(LEFT(CT!E45,3)='SQTM &amp; TGNH NGÀY'!$E$2,LEFT(CT!D45,3),""))</f>
        <v/>
      </c>
      <c r="F50" s="78">
        <f>IF(LEFT(CT!D45,3)='SQTM &amp; TGNH NGÀY'!$E$2,CT!H45,0)</f>
        <v>0</v>
      </c>
      <c r="G50" s="78">
        <f>IF(LEFT(CT!E45,3)='SQTM &amp; TGNH NGÀY'!$E$2,CT!H45,0)</f>
        <v>0</v>
      </c>
      <c r="H50" s="78">
        <f>IF(SUM(F50:G50)=0,0,$H$8+SUBTOTAL(9,$F$10:F50)-SUBTOTAL(9,$G$10:G50))</f>
        <v>0</v>
      </c>
      <c r="I50" s="65" t="b">
        <f t="shared" si="0"/>
        <v>0</v>
      </c>
    </row>
    <row r="51" spans="1:9" ht="15.6" hidden="1" x14ac:dyDescent="0.3">
      <c r="A51" s="63" t="str">
        <f>IF(OR(LEFT(CT!D46,3)=$E$2,LEFT(CT!E46,3)=$E$2),CT!A46,"")</f>
        <v/>
      </c>
      <c r="B51" s="23" t="str">
        <f>IF(LEFT(CT!D46,3)='SQTM &amp; TGNH NGÀY'!$E$2,CT!B46,"")</f>
        <v/>
      </c>
      <c r="C51" s="23" t="str">
        <f>IF(LEFT(CT!E46,3)='SQTM &amp; TGNH NGÀY'!$E$2,CT!B46,"")</f>
        <v/>
      </c>
      <c r="D51" s="23" t="str">
        <f>IF(OR(LEFT(CT!D46,3)='SQTM &amp; TGNH NGÀY'!$E$2,LEFT(CT!E46,3)='SQTM &amp; TGNH NGÀY'!$E$2),CT!C46,"")</f>
        <v/>
      </c>
      <c r="E51" s="23" t="str">
        <f>IF(LEFT(CT!D46,3)='SQTM &amp; TGNH NGÀY'!$E$2,LEFT(CT!E46,3),IF(LEFT(CT!E46,3)='SQTM &amp; TGNH NGÀY'!$E$2,LEFT(CT!D46,3),""))</f>
        <v/>
      </c>
      <c r="F51" s="78">
        <f>IF(LEFT(CT!D46,3)='SQTM &amp; TGNH NGÀY'!$E$2,CT!H46,0)</f>
        <v>0</v>
      </c>
      <c r="G51" s="78">
        <f>IF(LEFT(CT!E46,3)='SQTM &amp; TGNH NGÀY'!$E$2,CT!H46,0)</f>
        <v>0</v>
      </c>
      <c r="H51" s="78">
        <f>IF(SUM(F51:G51)=0,0,$H$8+SUBTOTAL(9,$F$10:F51)-SUBTOTAL(9,$G$10:G51))</f>
        <v>0</v>
      </c>
      <c r="I51" s="65" t="b">
        <f t="shared" si="0"/>
        <v>0</v>
      </c>
    </row>
    <row r="52" spans="1:9" ht="15.6" hidden="1" x14ac:dyDescent="0.3">
      <c r="A52" s="63" t="str">
        <f>IF(OR(LEFT(CT!D47,3)=$E$2,LEFT(CT!E47,3)=$E$2),CT!A47,"")</f>
        <v/>
      </c>
      <c r="B52" s="23" t="str">
        <f>IF(LEFT(CT!D47,3)='SQTM &amp; TGNH NGÀY'!$E$2,CT!B47,"")</f>
        <v/>
      </c>
      <c r="C52" s="23" t="str">
        <f>IF(LEFT(CT!E47,3)='SQTM &amp; TGNH NGÀY'!$E$2,CT!B47,"")</f>
        <v/>
      </c>
      <c r="D52" s="23" t="str">
        <f>IF(OR(LEFT(CT!D47,3)='SQTM &amp; TGNH NGÀY'!$E$2,LEFT(CT!E47,3)='SQTM &amp; TGNH NGÀY'!$E$2),CT!C47,"")</f>
        <v/>
      </c>
      <c r="E52" s="23" t="str">
        <f>IF(LEFT(CT!D47,3)='SQTM &amp; TGNH NGÀY'!$E$2,LEFT(CT!E47,3),IF(LEFT(CT!E47,3)='SQTM &amp; TGNH NGÀY'!$E$2,LEFT(CT!D47,3),""))</f>
        <v/>
      </c>
      <c r="F52" s="78">
        <f>IF(LEFT(CT!D47,3)='SQTM &amp; TGNH NGÀY'!$E$2,CT!H47,0)</f>
        <v>0</v>
      </c>
      <c r="G52" s="78">
        <f>IF(LEFT(CT!E47,3)='SQTM &amp; TGNH NGÀY'!$E$2,CT!H47,0)</f>
        <v>0</v>
      </c>
      <c r="H52" s="78">
        <f>IF(SUM(F52:G52)=0,0,$H$8+SUBTOTAL(9,$F$10:F52)-SUBTOTAL(9,$G$10:G52))</f>
        <v>0</v>
      </c>
      <c r="I52" s="65" t="b">
        <f t="shared" si="0"/>
        <v>0</v>
      </c>
    </row>
    <row r="53" spans="1:9" ht="15.6" hidden="1" x14ac:dyDescent="0.3">
      <c r="A53" s="63" t="str">
        <f>IF(OR(LEFT(CT!D48,3)=$E$2,LEFT(CT!E48,3)=$E$2),CT!A48,"")</f>
        <v/>
      </c>
      <c r="B53" s="23" t="str">
        <f>IF(LEFT(CT!D48,3)='SQTM &amp; TGNH NGÀY'!$E$2,CT!B48,"")</f>
        <v/>
      </c>
      <c r="C53" s="23" t="str">
        <f>IF(LEFT(CT!E48,3)='SQTM &amp; TGNH NGÀY'!$E$2,CT!B48,"")</f>
        <v/>
      </c>
      <c r="D53" s="23" t="str">
        <f>IF(OR(LEFT(CT!D48,3)='SQTM &amp; TGNH NGÀY'!$E$2,LEFT(CT!E48,3)='SQTM &amp; TGNH NGÀY'!$E$2),CT!C48,"")</f>
        <v/>
      </c>
      <c r="E53" s="23" t="str">
        <f>IF(LEFT(CT!D48,3)='SQTM &amp; TGNH NGÀY'!$E$2,LEFT(CT!E48,3),IF(LEFT(CT!E48,3)='SQTM &amp; TGNH NGÀY'!$E$2,LEFT(CT!D48,3),""))</f>
        <v/>
      </c>
      <c r="F53" s="78">
        <f>IF(LEFT(CT!D48,3)='SQTM &amp; TGNH NGÀY'!$E$2,CT!H48,0)</f>
        <v>0</v>
      </c>
      <c r="G53" s="78">
        <f>IF(LEFT(CT!E48,3)='SQTM &amp; TGNH NGÀY'!$E$2,CT!H48,0)</f>
        <v>0</v>
      </c>
      <c r="H53" s="78">
        <f>IF(SUM(F53:G53)=0,0,$H$8+SUBTOTAL(9,$F$10:F53)-SUBTOTAL(9,$G$10:G53))</f>
        <v>0</v>
      </c>
      <c r="I53" s="65" t="b">
        <f t="shared" si="0"/>
        <v>0</v>
      </c>
    </row>
    <row r="54" spans="1:9" ht="15.6" hidden="1" x14ac:dyDescent="0.3">
      <c r="A54" s="63" t="str">
        <f>IF(OR(LEFT(CT!D49,3)=$E$2,LEFT(CT!E49,3)=$E$2),CT!A49,"")</f>
        <v/>
      </c>
      <c r="B54" s="23" t="str">
        <f>IF(LEFT(CT!D49,3)='SQTM &amp; TGNH NGÀY'!$E$2,CT!B49,"")</f>
        <v/>
      </c>
      <c r="C54" s="23" t="str">
        <f>IF(LEFT(CT!E49,3)='SQTM &amp; TGNH NGÀY'!$E$2,CT!B49,"")</f>
        <v/>
      </c>
      <c r="D54" s="23" t="str">
        <f>IF(OR(LEFT(CT!D49,3)='SQTM &amp; TGNH NGÀY'!$E$2,LEFT(CT!E49,3)='SQTM &amp; TGNH NGÀY'!$E$2),CT!C49,"")</f>
        <v/>
      </c>
      <c r="E54" s="23" t="str">
        <f>IF(LEFT(CT!D49,3)='SQTM &amp; TGNH NGÀY'!$E$2,LEFT(CT!E49,3),IF(LEFT(CT!E49,3)='SQTM &amp; TGNH NGÀY'!$E$2,LEFT(CT!D49,3),""))</f>
        <v/>
      </c>
      <c r="F54" s="78">
        <f>IF(LEFT(CT!D49,3)='SQTM &amp; TGNH NGÀY'!$E$2,CT!H49,0)</f>
        <v>0</v>
      </c>
      <c r="G54" s="78">
        <f>IF(LEFT(CT!E49,3)='SQTM &amp; TGNH NGÀY'!$E$2,CT!H49,0)</f>
        <v>0</v>
      </c>
      <c r="H54" s="78">
        <f>IF(SUM(F54:G54)=0,0,$H$8+SUBTOTAL(9,$F$10:F54)-SUBTOTAL(9,$G$10:G54))</f>
        <v>0</v>
      </c>
      <c r="I54" s="65" t="b">
        <f t="shared" si="0"/>
        <v>0</v>
      </c>
    </row>
    <row r="55" spans="1:9" ht="15.6" hidden="1" x14ac:dyDescent="0.3">
      <c r="A55" s="63" t="str">
        <f>IF(OR(LEFT(CT!D50,3)=$E$2,LEFT(CT!E50,3)=$E$2),CT!A50,"")</f>
        <v/>
      </c>
      <c r="B55" s="23" t="str">
        <f>IF(LEFT(CT!D50,3)='SQTM &amp; TGNH NGÀY'!$E$2,CT!B50,"")</f>
        <v/>
      </c>
      <c r="C55" s="23" t="str">
        <f>IF(LEFT(CT!E50,3)='SQTM &amp; TGNH NGÀY'!$E$2,CT!B50,"")</f>
        <v/>
      </c>
      <c r="D55" s="23" t="str">
        <f>IF(OR(LEFT(CT!D50,3)='SQTM &amp; TGNH NGÀY'!$E$2,LEFT(CT!E50,3)='SQTM &amp; TGNH NGÀY'!$E$2),CT!C50,"")</f>
        <v/>
      </c>
      <c r="E55" s="23" t="str">
        <f>IF(LEFT(CT!D50,3)='SQTM &amp; TGNH NGÀY'!$E$2,LEFT(CT!E50,3),IF(LEFT(CT!E50,3)='SQTM &amp; TGNH NGÀY'!$E$2,LEFT(CT!D50,3),""))</f>
        <v/>
      </c>
      <c r="F55" s="78">
        <f>IF(LEFT(CT!D50,3)='SQTM &amp; TGNH NGÀY'!$E$2,CT!H50,0)</f>
        <v>0</v>
      </c>
      <c r="G55" s="78">
        <f>IF(LEFT(CT!E50,3)='SQTM &amp; TGNH NGÀY'!$E$2,CT!H50,0)</f>
        <v>0</v>
      </c>
      <c r="H55" s="78">
        <f>IF(SUM(F55:G55)=0,0,$H$8+SUBTOTAL(9,$F$10:F55)-SUBTOTAL(9,$G$10:G55))</f>
        <v>0</v>
      </c>
      <c r="I55" s="65" t="b">
        <f t="shared" si="0"/>
        <v>0</v>
      </c>
    </row>
    <row r="56" spans="1:9" ht="15.6" x14ac:dyDescent="0.3">
      <c r="A56" s="63">
        <f>IF(OR(LEFT(CT!D51,3)=$E$2,LEFT(CT!E51,3)=$E$2),CT!A51,"")</f>
        <v>45319</v>
      </c>
      <c r="B56" s="23" t="str">
        <f>IF(LEFT(CT!D51,3)='SQTM &amp; TGNH NGÀY'!$E$2,CT!B51,"")</f>
        <v>01/TU</v>
      </c>
      <c r="C56" s="23" t="str">
        <f>IF(LEFT(CT!E51,3)='SQTM &amp; TGNH NGÀY'!$E$2,CT!B51,"")</f>
        <v/>
      </c>
      <c r="D56" s="23" t="str">
        <f>IF(OR(LEFT(CT!D51,3)='SQTM &amp; TGNH NGÀY'!$E$2,LEFT(CT!E51,3)='SQTM &amp; TGNH NGÀY'!$E$2),CT!C51,"")</f>
        <v>Thanh toán tạm ứng Hồ Sĩ Nhật</v>
      </c>
      <c r="E56" s="23" t="str">
        <f>IF(LEFT(CT!D51,3)='SQTM &amp; TGNH NGÀY'!$E$2,LEFT(CT!E51,3),IF(LEFT(CT!E51,3)='SQTM &amp; TGNH NGÀY'!$E$2,LEFT(CT!D51,3),""))</f>
        <v>141</v>
      </c>
      <c r="F56" s="78">
        <f>IF(LEFT(CT!D51,3)='SQTM &amp; TGNH NGÀY'!$E$2,CT!H51,0)</f>
        <v>200000</v>
      </c>
      <c r="G56" s="78">
        <f>IF(LEFT(CT!E51,3)='SQTM &amp; TGNH NGÀY'!$E$2,CT!H51,0)</f>
        <v>0</v>
      </c>
      <c r="H56" s="78">
        <f>IF(SUM(F56:G56)=0,0,$H$8+SUBTOTAL(9,$F$10:F56)-SUBTOTAL(9,$G$10:G56))</f>
        <v>175100000</v>
      </c>
      <c r="I56" s="65" t="b">
        <f t="shared" si="0"/>
        <v>1</v>
      </c>
    </row>
    <row r="57" spans="1:9" ht="15.6" hidden="1" x14ac:dyDescent="0.3">
      <c r="A57" s="63" t="str">
        <f>IF(OR(LEFT(CT!D52,3)=$E$2,LEFT(CT!E52,3)=$E$2),CT!A52,"")</f>
        <v/>
      </c>
      <c r="B57" s="23" t="str">
        <f>IF(LEFT(CT!D52,3)='SQTM &amp; TGNH NGÀY'!$E$2,CT!B52,"")</f>
        <v/>
      </c>
      <c r="C57" s="23" t="str">
        <f>IF(LEFT(CT!E52,3)='SQTM &amp; TGNH NGÀY'!$E$2,CT!B52,"")</f>
        <v/>
      </c>
      <c r="D57" s="23" t="str">
        <f>IF(OR(LEFT(CT!D52,3)='SQTM &amp; TGNH NGÀY'!$E$2,LEFT(CT!E52,3)='SQTM &amp; TGNH NGÀY'!$E$2),CT!C52,"")</f>
        <v/>
      </c>
      <c r="E57" s="23" t="str">
        <f>IF(LEFT(CT!D52,3)='SQTM &amp; TGNH NGÀY'!$E$2,LEFT(CT!E52,3),IF(LEFT(CT!E52,3)='SQTM &amp; TGNH NGÀY'!$E$2,LEFT(CT!D52,3),""))</f>
        <v/>
      </c>
      <c r="F57" s="78">
        <f>IF(LEFT(CT!D52,3)='SQTM &amp; TGNH NGÀY'!$E$2,CT!H52,0)</f>
        <v>0</v>
      </c>
      <c r="G57" s="78">
        <f>IF(LEFT(CT!E52,3)='SQTM &amp; TGNH NGÀY'!$E$2,CT!H52,0)</f>
        <v>0</v>
      </c>
      <c r="H57" s="78">
        <f>IF(SUM(F57:G57)=0,0,$H$8+SUBTOTAL(9,$F$10:F57)-SUBTOTAL(9,$G$10:G57))</f>
        <v>0</v>
      </c>
      <c r="I57" s="65" t="b">
        <f t="shared" si="0"/>
        <v>0</v>
      </c>
    </row>
    <row r="58" spans="1:9" ht="15.6" x14ac:dyDescent="0.3">
      <c r="A58" s="63">
        <f>IF(OR(LEFT(CT!D53,3)=$E$2,LEFT(CT!E53,3)=$E$2),CT!A53,"")</f>
        <v>45319</v>
      </c>
      <c r="B58" s="23" t="str">
        <f>IF(LEFT(CT!D53,3)='SQTM &amp; TGNH NGÀY'!$E$2,CT!B53,"")</f>
        <v/>
      </c>
      <c r="C58" s="23" t="str">
        <f>IF(LEFT(CT!E53,3)='SQTM &amp; TGNH NGÀY'!$E$2,CT!B53,"")</f>
        <v>04/PC</v>
      </c>
      <c r="D58" s="23" t="str">
        <f>IF(OR(LEFT(CT!D53,3)='SQTM &amp; TGNH NGÀY'!$E$2,LEFT(CT!E53,3)='SQTM &amp; TGNH NGÀY'!$E$2),CT!C53,"")</f>
        <v>Thuế GTGT mua máy xẻ gỗ</v>
      </c>
      <c r="E58" s="23" t="str">
        <f>IF(LEFT(CT!D53,3)='SQTM &amp; TGNH NGÀY'!$E$2,LEFT(CT!E53,3),IF(LEFT(CT!E53,3)='SQTM &amp; TGNH NGÀY'!$E$2,LEFT(CT!D53,3),""))</f>
        <v>133</v>
      </c>
      <c r="F58" s="78">
        <f>IF(LEFT(CT!D53,3)='SQTM &amp; TGNH NGÀY'!$E$2,CT!H53,0)</f>
        <v>0</v>
      </c>
      <c r="G58" s="78">
        <f>IF(LEFT(CT!E53,3)='SQTM &amp; TGNH NGÀY'!$E$2,CT!H53,0)</f>
        <v>14000000</v>
      </c>
      <c r="H58" s="78">
        <f>IF(SUM(F58:G58)=0,0,$H$8+SUBTOTAL(9,$F$10:F58)-SUBTOTAL(9,$G$10:G58))</f>
        <v>161100000</v>
      </c>
      <c r="I58" s="65" t="b">
        <f t="shared" si="0"/>
        <v>1</v>
      </c>
    </row>
    <row r="59" spans="1:9" ht="15.6" x14ac:dyDescent="0.3">
      <c r="A59" s="63">
        <f>IF(OR(LEFT(CT!D54,3)=$E$2,LEFT(CT!E54,3)=$E$2),CT!A54,"")</f>
        <v>45319</v>
      </c>
      <c r="B59" s="23" t="str">
        <f>IF(LEFT(CT!D54,3)='SQTM &amp; TGNH NGÀY'!$E$2,CT!B54,"")</f>
        <v/>
      </c>
      <c r="C59" s="23" t="str">
        <f>IF(LEFT(CT!E54,3)='SQTM &amp; TGNH NGÀY'!$E$2,CT!B54,"")</f>
        <v>04/PC</v>
      </c>
      <c r="D59" s="23" t="str">
        <f>IF(OR(LEFT(CT!D54,3)='SQTM &amp; TGNH NGÀY'!$E$2,LEFT(CT!E54,3)='SQTM &amp; TGNH NGÀY'!$E$2),CT!C54,"")</f>
        <v>Mua máy xẻ gỗ</v>
      </c>
      <c r="E59" s="23" t="str">
        <f>IF(LEFT(CT!D54,3)='SQTM &amp; TGNH NGÀY'!$E$2,LEFT(CT!E54,3),IF(LEFT(CT!E54,3)='SQTM &amp; TGNH NGÀY'!$E$2,LEFT(CT!D54,3),""))</f>
        <v>211</v>
      </c>
      <c r="F59" s="78">
        <f>IF(LEFT(CT!D54,3)='SQTM &amp; TGNH NGÀY'!$E$2,CT!H54,0)</f>
        <v>0</v>
      </c>
      <c r="G59" s="78">
        <f>IF(LEFT(CT!E54,3)='SQTM &amp; TGNH NGÀY'!$E$2,CT!H54,0)</f>
        <v>140000000</v>
      </c>
      <c r="H59" s="78">
        <f>IF(SUM(F59:G59)=0,0,$H$8+SUBTOTAL(9,$F$10:F59)-SUBTOTAL(9,$G$10:G59))</f>
        <v>21100000</v>
      </c>
      <c r="I59" s="65" t="b">
        <f t="shared" si="0"/>
        <v>1</v>
      </c>
    </row>
    <row r="60" spans="1:9" ht="15.6" hidden="1" x14ac:dyDescent="0.3">
      <c r="A60" s="63" t="str">
        <f>IF(OR(LEFT(CT!D55,3)=$E$2,LEFT(CT!E55,3)=$E$2),CT!A55,"")</f>
        <v/>
      </c>
      <c r="B60" s="23" t="str">
        <f>IF(LEFT(CT!D55,3)='SQTM &amp; TGNH NGÀY'!$E$2,CT!B55,"")</f>
        <v/>
      </c>
      <c r="C60" s="23" t="str">
        <f>IF(LEFT(CT!E55,3)='SQTM &amp; TGNH NGÀY'!$E$2,CT!B55,"")</f>
        <v/>
      </c>
      <c r="D60" s="23" t="str">
        <f>IF(OR(LEFT(CT!D55,3)='SQTM &amp; TGNH NGÀY'!$E$2,LEFT(CT!E55,3)='SQTM &amp; TGNH NGÀY'!$E$2),CT!C55,"")</f>
        <v/>
      </c>
      <c r="E60" s="23" t="str">
        <f>IF(LEFT(CT!D55,3)='SQTM &amp; TGNH NGÀY'!$E$2,LEFT(CT!E55,3),IF(LEFT(CT!E55,3)='SQTM &amp; TGNH NGÀY'!$E$2,LEFT(CT!D55,3),""))</f>
        <v/>
      </c>
      <c r="F60" s="78">
        <f>IF(LEFT(CT!D55,3)='SQTM &amp; TGNH NGÀY'!$E$2,CT!H55,0)</f>
        <v>0</v>
      </c>
      <c r="G60" s="78">
        <f>IF(LEFT(CT!E55,3)='SQTM &amp; TGNH NGÀY'!$E$2,CT!H55,0)</f>
        <v>0</v>
      </c>
      <c r="H60" s="78">
        <f>IF(SUM(F60:G60)=0,0,$H$8+SUBTOTAL(9,$F$10:F60)-SUBTOTAL(9,$G$10:G60))</f>
        <v>0</v>
      </c>
      <c r="I60" s="65" t="b">
        <f t="shared" si="0"/>
        <v>0</v>
      </c>
    </row>
    <row r="61" spans="1:9" ht="15.6" hidden="1" x14ac:dyDescent="0.3">
      <c r="A61" s="63" t="str">
        <f>IF(OR(LEFT(CT!D56,3)=$E$2,LEFT(CT!E56,3)=$E$2),CT!A56,"")</f>
        <v/>
      </c>
      <c r="B61" s="23" t="str">
        <f>IF(LEFT(CT!D56,3)='SQTM &amp; TGNH NGÀY'!$E$2,CT!B56,"")</f>
        <v/>
      </c>
      <c r="C61" s="23" t="str">
        <f>IF(LEFT(CT!E56,3)='SQTM &amp; TGNH NGÀY'!$E$2,CT!B56,"")</f>
        <v/>
      </c>
      <c r="D61" s="23" t="str">
        <f>IF(OR(LEFT(CT!D56,3)='SQTM &amp; TGNH NGÀY'!$E$2,LEFT(CT!E56,3)='SQTM &amp; TGNH NGÀY'!$E$2),CT!C56,"")</f>
        <v/>
      </c>
      <c r="E61" s="23" t="str">
        <f>IF(LEFT(CT!D56,3)='SQTM &amp; TGNH NGÀY'!$E$2,LEFT(CT!E56,3),IF(LEFT(CT!E56,3)='SQTM &amp; TGNH NGÀY'!$E$2,LEFT(CT!D56,3),""))</f>
        <v/>
      </c>
      <c r="F61" s="78">
        <f>IF(LEFT(CT!D56,3)='SQTM &amp; TGNH NGÀY'!$E$2,CT!H56,0)</f>
        <v>0</v>
      </c>
      <c r="G61" s="78">
        <f>IF(LEFT(CT!E56,3)='SQTM &amp; TGNH NGÀY'!$E$2,CT!H56,0)</f>
        <v>0</v>
      </c>
      <c r="H61" s="78">
        <f>IF(SUM(F61:G61)=0,0,$H$8+SUBTOTAL(9,$F$10:F61)-SUBTOTAL(9,$G$10:G61))</f>
        <v>0</v>
      </c>
      <c r="I61" s="65" t="b">
        <f t="shared" si="0"/>
        <v>0</v>
      </c>
    </row>
    <row r="62" spans="1:9" ht="15.6" hidden="1" x14ac:dyDescent="0.3">
      <c r="A62" s="63" t="str">
        <f>IF(OR(LEFT(CT!D57,3)=$E$2,LEFT(CT!E57,3)=$E$2),CT!A57,"")</f>
        <v/>
      </c>
      <c r="B62" s="23" t="str">
        <f>IF(LEFT(CT!D57,3)='SQTM &amp; TGNH NGÀY'!$E$2,CT!B57,"")</f>
        <v/>
      </c>
      <c r="C62" s="23" t="str">
        <f>IF(LEFT(CT!E57,3)='SQTM &amp; TGNH NGÀY'!$E$2,CT!B57,"")</f>
        <v/>
      </c>
      <c r="D62" s="23" t="str">
        <f>IF(OR(LEFT(CT!D57,3)='SQTM &amp; TGNH NGÀY'!$E$2,LEFT(CT!E57,3)='SQTM &amp; TGNH NGÀY'!$E$2),CT!C57,"")</f>
        <v/>
      </c>
      <c r="E62" s="23" t="str">
        <f>IF(LEFT(CT!D57,3)='SQTM &amp; TGNH NGÀY'!$E$2,LEFT(CT!E57,3),IF(LEFT(CT!E57,3)='SQTM &amp; TGNH NGÀY'!$E$2,LEFT(CT!D57,3),""))</f>
        <v/>
      </c>
      <c r="F62" s="78">
        <f>IF(LEFT(CT!D57,3)='SQTM &amp; TGNH NGÀY'!$E$2,CT!H57,0)</f>
        <v>0</v>
      </c>
      <c r="G62" s="78">
        <f>IF(LEFT(CT!E57,3)='SQTM &amp; TGNH NGÀY'!$E$2,CT!H57,0)</f>
        <v>0</v>
      </c>
      <c r="H62" s="78">
        <f>IF(SUM(F62:G62)=0,0,$H$8+SUBTOTAL(9,$F$10:F62)-SUBTOTAL(9,$G$10:G62))</f>
        <v>0</v>
      </c>
      <c r="I62" s="65" t="b">
        <f t="shared" si="0"/>
        <v>0</v>
      </c>
    </row>
    <row r="63" spans="1:9" ht="15.6" hidden="1" x14ac:dyDescent="0.3">
      <c r="A63" s="63" t="str">
        <f>IF(OR(LEFT(CT!D58,3)=$E$2,LEFT(CT!E58,3)=$E$2),CT!A58,"")</f>
        <v/>
      </c>
      <c r="B63" s="23" t="str">
        <f>IF(LEFT(CT!D58,3)='SQTM &amp; TGNH NGÀY'!$E$2,CT!B58,"")</f>
        <v/>
      </c>
      <c r="C63" s="23" t="str">
        <f>IF(LEFT(CT!E58,3)='SQTM &amp; TGNH NGÀY'!$E$2,CT!B58,"")</f>
        <v/>
      </c>
      <c r="D63" s="23" t="str">
        <f>IF(OR(LEFT(CT!D58,3)='SQTM &amp; TGNH NGÀY'!$E$2,LEFT(CT!E58,3)='SQTM &amp; TGNH NGÀY'!$E$2),CT!C58,"")</f>
        <v/>
      </c>
      <c r="E63" s="23" t="str">
        <f>IF(LEFT(CT!D58,3)='SQTM &amp; TGNH NGÀY'!$E$2,LEFT(CT!E58,3),IF(LEFT(CT!E58,3)='SQTM &amp; TGNH NGÀY'!$E$2,LEFT(CT!D58,3),""))</f>
        <v/>
      </c>
      <c r="F63" s="78">
        <f>IF(LEFT(CT!D58,3)='SQTM &amp; TGNH NGÀY'!$E$2,CT!H58,0)</f>
        <v>0</v>
      </c>
      <c r="G63" s="78">
        <f>IF(LEFT(CT!E58,3)='SQTM &amp; TGNH NGÀY'!$E$2,CT!H58,0)</f>
        <v>0</v>
      </c>
      <c r="H63" s="78">
        <f>IF(SUM(F63:G63)=0,0,$H$8+SUBTOTAL(9,$F$10:F63)-SUBTOTAL(9,$G$10:G63))</f>
        <v>0</v>
      </c>
      <c r="I63" s="65" t="b">
        <f t="shared" si="0"/>
        <v>0</v>
      </c>
    </row>
    <row r="64" spans="1:9" ht="15.6" hidden="1" x14ac:dyDescent="0.3">
      <c r="A64" s="63" t="str">
        <f>IF(OR(LEFT(CT!D59,3)=$E$2,LEFT(CT!E59,3)=$E$2),CT!A59,"")</f>
        <v/>
      </c>
      <c r="B64" s="23" t="str">
        <f>IF(LEFT(CT!D59,3)='SQTM &amp; TGNH NGÀY'!$E$2,CT!B59,"")</f>
        <v/>
      </c>
      <c r="C64" s="23" t="str">
        <f>IF(LEFT(CT!E59,3)='SQTM &amp; TGNH NGÀY'!$E$2,CT!B59,"")</f>
        <v/>
      </c>
      <c r="D64" s="23" t="str">
        <f>IF(OR(LEFT(CT!D59,3)='SQTM &amp; TGNH NGÀY'!$E$2,LEFT(CT!E59,3)='SQTM &amp; TGNH NGÀY'!$E$2),CT!C59,"")</f>
        <v/>
      </c>
      <c r="E64" s="23" t="str">
        <f>IF(LEFT(CT!D59,3)='SQTM &amp; TGNH NGÀY'!$E$2,LEFT(CT!E59,3),IF(LEFT(CT!E59,3)='SQTM &amp; TGNH NGÀY'!$E$2,LEFT(CT!D59,3),""))</f>
        <v/>
      </c>
      <c r="F64" s="78">
        <f>IF(LEFT(CT!D59,3)='SQTM &amp; TGNH NGÀY'!$E$2,CT!H59,0)</f>
        <v>0</v>
      </c>
      <c r="G64" s="78">
        <f>IF(LEFT(CT!E59,3)='SQTM &amp; TGNH NGÀY'!$E$2,CT!H59,0)</f>
        <v>0</v>
      </c>
      <c r="H64" s="78">
        <f>IF(SUM(F64:G64)=0,0,$H$8+SUBTOTAL(9,$F$10:F64)-SUBTOTAL(9,$G$10:G64))</f>
        <v>0</v>
      </c>
      <c r="I64" s="65" t="b">
        <f t="shared" si="0"/>
        <v>0</v>
      </c>
    </row>
    <row r="65" spans="1:9" ht="15.6" hidden="1" x14ac:dyDescent="0.3">
      <c r="A65" s="63" t="str">
        <f>IF(OR(LEFT(CT!D60,3)=$E$2,LEFT(CT!E60,3)=$E$2),CT!A60,"")</f>
        <v/>
      </c>
      <c r="B65" s="23" t="str">
        <f>IF(LEFT(CT!D60,3)='SQTM &amp; TGNH NGÀY'!$E$2,CT!B60,"")</f>
        <v/>
      </c>
      <c r="C65" s="23" t="str">
        <f>IF(LEFT(CT!E60,3)='SQTM &amp; TGNH NGÀY'!$E$2,CT!B60,"")</f>
        <v/>
      </c>
      <c r="D65" s="23" t="str">
        <f>IF(OR(LEFT(CT!D60,3)='SQTM &amp; TGNH NGÀY'!$E$2,LEFT(CT!E60,3)='SQTM &amp; TGNH NGÀY'!$E$2),CT!C60,"")</f>
        <v/>
      </c>
      <c r="E65" s="23" t="str">
        <f>IF(LEFT(CT!D60,3)='SQTM &amp; TGNH NGÀY'!$E$2,LEFT(CT!E60,3),IF(LEFT(CT!E60,3)='SQTM &amp; TGNH NGÀY'!$E$2,LEFT(CT!D60,3),""))</f>
        <v/>
      </c>
      <c r="F65" s="78">
        <f>IF(LEFT(CT!D60,3)='SQTM &amp; TGNH NGÀY'!$E$2,CT!H60,0)</f>
        <v>0</v>
      </c>
      <c r="G65" s="78">
        <f>IF(LEFT(CT!E60,3)='SQTM &amp; TGNH NGÀY'!$E$2,CT!H60,0)</f>
        <v>0</v>
      </c>
      <c r="H65" s="78">
        <f>IF(SUM(F65:G65)=0,0,$H$8+SUBTOTAL(9,$F$10:F65)-SUBTOTAL(9,$G$10:G65))</f>
        <v>0</v>
      </c>
      <c r="I65" s="65" t="b">
        <f t="shared" si="0"/>
        <v>0</v>
      </c>
    </row>
    <row r="66" spans="1:9" ht="15.6" hidden="1" x14ac:dyDescent="0.3">
      <c r="A66" s="63" t="str">
        <f>IF(OR(LEFT(CT!D61,3)=$E$2,LEFT(CT!E61,3)=$E$2),CT!A61,"")</f>
        <v/>
      </c>
      <c r="B66" s="23" t="str">
        <f>IF(LEFT(CT!D61,3)='SQTM &amp; TGNH NGÀY'!$E$2,CT!B61,"")</f>
        <v/>
      </c>
      <c r="C66" s="23" t="str">
        <f>IF(LEFT(CT!E61,3)='SQTM &amp; TGNH NGÀY'!$E$2,CT!B61,"")</f>
        <v/>
      </c>
      <c r="D66" s="23" t="str">
        <f>IF(OR(LEFT(CT!D61,3)='SQTM &amp; TGNH NGÀY'!$E$2,LEFT(CT!E61,3)='SQTM &amp; TGNH NGÀY'!$E$2),CT!C61,"")</f>
        <v/>
      </c>
      <c r="E66" s="23" t="str">
        <f>IF(LEFT(CT!D61,3)='SQTM &amp; TGNH NGÀY'!$E$2,LEFT(CT!E61,3),IF(LEFT(CT!E61,3)='SQTM &amp; TGNH NGÀY'!$E$2,LEFT(CT!D61,3),""))</f>
        <v/>
      </c>
      <c r="F66" s="78">
        <f>IF(LEFT(CT!D61,3)='SQTM &amp; TGNH NGÀY'!$E$2,CT!H61,0)</f>
        <v>0</v>
      </c>
      <c r="G66" s="78">
        <f>IF(LEFT(CT!E61,3)='SQTM &amp; TGNH NGÀY'!$E$2,CT!H61,0)</f>
        <v>0</v>
      </c>
      <c r="H66" s="78">
        <f>IF(SUM(F66:G66)=0,0,$H$8+SUBTOTAL(9,$F$10:F66)-SUBTOTAL(9,$G$10:G66))</f>
        <v>0</v>
      </c>
      <c r="I66" s="65" t="b">
        <f t="shared" si="0"/>
        <v>0</v>
      </c>
    </row>
    <row r="67" spans="1:9" ht="15.6" hidden="1" x14ac:dyDescent="0.3">
      <c r="A67" s="63" t="str">
        <f>IF(OR(LEFT(CT!D62,3)=$E$2,LEFT(CT!E62,3)=$E$2),CT!A62,"")</f>
        <v/>
      </c>
      <c r="B67" s="23" t="str">
        <f>IF(LEFT(CT!D62,3)='SQTM &amp; TGNH NGÀY'!$E$2,CT!B62,"")</f>
        <v/>
      </c>
      <c r="C67" s="23" t="str">
        <f>IF(LEFT(CT!E62,3)='SQTM &amp; TGNH NGÀY'!$E$2,CT!B62,"")</f>
        <v/>
      </c>
      <c r="D67" s="23" t="str">
        <f>IF(OR(LEFT(CT!D62,3)='SQTM &amp; TGNH NGÀY'!$E$2,LEFT(CT!E62,3)='SQTM &amp; TGNH NGÀY'!$E$2),CT!C62,"")</f>
        <v/>
      </c>
      <c r="E67" s="23" t="str">
        <f>IF(LEFT(CT!D62,3)='SQTM &amp; TGNH NGÀY'!$E$2,LEFT(CT!E62,3),IF(LEFT(CT!E62,3)='SQTM &amp; TGNH NGÀY'!$E$2,LEFT(CT!D62,3),""))</f>
        <v/>
      </c>
      <c r="F67" s="78">
        <f>IF(LEFT(CT!D62,3)='SQTM &amp; TGNH NGÀY'!$E$2,CT!H62,0)</f>
        <v>0</v>
      </c>
      <c r="G67" s="78">
        <f>IF(LEFT(CT!E62,3)='SQTM &amp; TGNH NGÀY'!$E$2,CT!H62,0)</f>
        <v>0</v>
      </c>
      <c r="H67" s="78">
        <f>IF(SUM(F67:G67)=0,0,$H$8+SUBTOTAL(9,$F$10:F67)-SUBTOTAL(9,$G$10:G67))</f>
        <v>0</v>
      </c>
      <c r="I67" s="65" t="b">
        <f t="shared" si="0"/>
        <v>0</v>
      </c>
    </row>
    <row r="68" spans="1:9" ht="15.6" hidden="1" x14ac:dyDescent="0.3">
      <c r="A68" s="63" t="str">
        <f>IF(OR(LEFT(CT!D63,3)=$E$2,LEFT(CT!E63,3)=$E$2),CT!A63,"")</f>
        <v/>
      </c>
      <c r="B68" s="23" t="str">
        <f>IF(LEFT(CT!D63,3)='SQTM &amp; TGNH NGÀY'!$E$2,CT!B63,"")</f>
        <v/>
      </c>
      <c r="C68" s="23" t="str">
        <f>IF(LEFT(CT!E63,3)='SQTM &amp; TGNH NGÀY'!$E$2,CT!B63,"")</f>
        <v/>
      </c>
      <c r="D68" s="23" t="str">
        <f>IF(OR(LEFT(CT!D63,3)='SQTM &amp; TGNH NGÀY'!$E$2,LEFT(CT!E63,3)='SQTM &amp; TGNH NGÀY'!$E$2),CT!C63,"")</f>
        <v/>
      </c>
      <c r="E68" s="23" t="str">
        <f>IF(LEFT(CT!D63,3)='SQTM &amp; TGNH NGÀY'!$E$2,LEFT(CT!E63,3),IF(LEFT(CT!E63,3)='SQTM &amp; TGNH NGÀY'!$E$2,LEFT(CT!D63,3),""))</f>
        <v/>
      </c>
      <c r="F68" s="78">
        <f>IF(LEFT(CT!D63,3)='SQTM &amp; TGNH NGÀY'!$E$2,CT!H63,0)</f>
        <v>0</v>
      </c>
      <c r="G68" s="78">
        <f>IF(LEFT(CT!E63,3)='SQTM &amp; TGNH NGÀY'!$E$2,CT!H63,0)</f>
        <v>0</v>
      </c>
      <c r="H68" s="78">
        <f>IF(SUM(F68:G68)=0,0,$H$8+SUBTOTAL(9,$F$10:F68)-SUBTOTAL(9,$G$10:G68))</f>
        <v>0</v>
      </c>
      <c r="I68" s="65" t="b">
        <f t="shared" si="0"/>
        <v>0</v>
      </c>
    </row>
    <row r="69" spans="1:9" ht="15.6" hidden="1" x14ac:dyDescent="0.3">
      <c r="A69" s="63" t="str">
        <f>IF(OR(LEFT(CT!D64,3)=$E$2,LEFT(CT!E64,3)=$E$2),CT!A64,"")</f>
        <v/>
      </c>
      <c r="B69" s="23" t="str">
        <f>IF(LEFT(CT!D64,3)='SQTM &amp; TGNH NGÀY'!$E$2,CT!B64,"")</f>
        <v/>
      </c>
      <c r="C69" s="23" t="str">
        <f>IF(LEFT(CT!E64,3)='SQTM &amp; TGNH NGÀY'!$E$2,CT!B64,"")</f>
        <v/>
      </c>
      <c r="D69" s="23" t="str">
        <f>IF(OR(LEFT(CT!D64,3)='SQTM &amp; TGNH NGÀY'!$E$2,LEFT(CT!E64,3)='SQTM &amp; TGNH NGÀY'!$E$2),CT!C64,"")</f>
        <v/>
      </c>
      <c r="E69" s="23" t="str">
        <f>IF(LEFT(CT!D64,3)='SQTM &amp; TGNH NGÀY'!$E$2,LEFT(CT!E64,3),IF(LEFT(CT!E64,3)='SQTM &amp; TGNH NGÀY'!$E$2,LEFT(CT!D64,3),""))</f>
        <v/>
      </c>
      <c r="F69" s="78">
        <f>IF(LEFT(CT!D64,3)='SQTM &amp; TGNH NGÀY'!$E$2,CT!H64,0)</f>
        <v>0</v>
      </c>
      <c r="G69" s="78">
        <f>IF(LEFT(CT!E64,3)='SQTM &amp; TGNH NGÀY'!$E$2,CT!H64,0)</f>
        <v>0</v>
      </c>
      <c r="H69" s="78">
        <f>IF(SUM(F69:G69)=0,0,$H$8+SUBTOTAL(9,$F$10:F69)-SUBTOTAL(9,$G$10:G69))</f>
        <v>0</v>
      </c>
      <c r="I69" s="65" t="b">
        <f t="shared" si="0"/>
        <v>0</v>
      </c>
    </row>
    <row r="70" spans="1:9" ht="15.6" hidden="1" x14ac:dyDescent="0.3">
      <c r="A70" s="63" t="str">
        <f>IF(OR(LEFT(CT!D65,3)=$E$2,LEFT(CT!E65,3)=$E$2),CT!A65,"")</f>
        <v/>
      </c>
      <c r="B70" s="23" t="str">
        <f>IF(LEFT(CT!D65,3)='SQTM &amp; TGNH NGÀY'!$E$2,CT!B65,"")</f>
        <v/>
      </c>
      <c r="C70" s="23" t="str">
        <f>IF(LEFT(CT!E65,3)='SQTM &amp; TGNH NGÀY'!$E$2,CT!B65,"")</f>
        <v/>
      </c>
      <c r="D70" s="23" t="str">
        <f>IF(OR(LEFT(CT!D65,3)='SQTM &amp; TGNH NGÀY'!$E$2,LEFT(CT!E65,3)='SQTM &amp; TGNH NGÀY'!$E$2),CT!C65,"")</f>
        <v/>
      </c>
      <c r="E70" s="23" t="str">
        <f>IF(LEFT(CT!D65,3)='SQTM &amp; TGNH NGÀY'!$E$2,LEFT(CT!E65,3),IF(LEFT(CT!E65,3)='SQTM &amp; TGNH NGÀY'!$E$2,LEFT(CT!D65,3),""))</f>
        <v/>
      </c>
      <c r="F70" s="78">
        <f>IF(LEFT(CT!D65,3)='SQTM &amp; TGNH NGÀY'!$E$2,CT!H65,0)</f>
        <v>0</v>
      </c>
      <c r="G70" s="78">
        <f>IF(LEFT(CT!E65,3)='SQTM &amp; TGNH NGÀY'!$E$2,CT!H65,0)</f>
        <v>0</v>
      </c>
      <c r="H70" s="78">
        <f>IF(SUM(F70:G70)=0,0,$H$8+SUBTOTAL(9,$F$10:F70)-SUBTOTAL(9,$G$10:G70))</f>
        <v>0</v>
      </c>
      <c r="I70" s="65" t="b">
        <f t="shared" si="0"/>
        <v>0</v>
      </c>
    </row>
    <row r="71" spans="1:9" ht="15.6" hidden="1" x14ac:dyDescent="0.3">
      <c r="A71" s="63" t="str">
        <f>IF(OR(LEFT(CT!D66,3)=$E$2,LEFT(CT!E66,3)=$E$2),CT!A66,"")</f>
        <v/>
      </c>
      <c r="B71" s="23" t="str">
        <f>IF(LEFT(CT!D66,3)='SQTM &amp; TGNH NGÀY'!$E$2,CT!B66,"")</f>
        <v/>
      </c>
      <c r="C71" s="23" t="str">
        <f>IF(LEFT(CT!E66,3)='SQTM &amp; TGNH NGÀY'!$E$2,CT!B66,"")</f>
        <v/>
      </c>
      <c r="D71" s="23" t="str">
        <f>IF(OR(LEFT(CT!D66,3)='SQTM &amp; TGNH NGÀY'!$E$2,LEFT(CT!E66,3)='SQTM &amp; TGNH NGÀY'!$E$2),CT!C66,"")</f>
        <v/>
      </c>
      <c r="E71" s="23" t="str">
        <f>IF(LEFT(CT!D66,3)='SQTM &amp; TGNH NGÀY'!$E$2,LEFT(CT!E66,3),IF(LEFT(CT!E66,3)='SQTM &amp; TGNH NGÀY'!$E$2,LEFT(CT!D66,3),""))</f>
        <v/>
      </c>
      <c r="F71" s="78">
        <f>IF(LEFT(CT!D66,3)='SQTM &amp; TGNH NGÀY'!$E$2,CT!H66,0)</f>
        <v>0</v>
      </c>
      <c r="G71" s="78">
        <f>IF(LEFT(CT!E66,3)='SQTM &amp; TGNH NGÀY'!$E$2,CT!H66,0)</f>
        <v>0</v>
      </c>
      <c r="H71" s="78">
        <f>IF(SUM(F71:G71)=0,0,$H$8+SUBTOTAL(9,$F$10:F71)-SUBTOTAL(9,$G$10:G71))</f>
        <v>0</v>
      </c>
      <c r="I71" s="65" t="b">
        <f t="shared" si="0"/>
        <v>0</v>
      </c>
    </row>
    <row r="72" spans="1:9" ht="15.6" hidden="1" x14ac:dyDescent="0.3">
      <c r="A72" s="63" t="str">
        <f>IF(OR(LEFT(CT!D67,3)=$E$2,LEFT(CT!E67,3)=$E$2),CT!A67,"")</f>
        <v/>
      </c>
      <c r="B72" s="23" t="str">
        <f>IF(LEFT(CT!D67,3)='SQTM &amp; TGNH NGÀY'!$E$2,CT!B67,"")</f>
        <v/>
      </c>
      <c r="C72" s="23" t="str">
        <f>IF(LEFT(CT!E67,3)='SQTM &amp; TGNH NGÀY'!$E$2,CT!B67,"")</f>
        <v/>
      </c>
      <c r="D72" s="23" t="str">
        <f>IF(OR(LEFT(CT!D67,3)='SQTM &amp; TGNH NGÀY'!$E$2,LEFT(CT!E67,3)='SQTM &amp; TGNH NGÀY'!$E$2),CT!C67,"")</f>
        <v/>
      </c>
      <c r="E72" s="23" t="str">
        <f>IF(LEFT(CT!D67,3)='SQTM &amp; TGNH NGÀY'!$E$2,LEFT(CT!E67,3),IF(LEFT(CT!E67,3)='SQTM &amp; TGNH NGÀY'!$E$2,LEFT(CT!D67,3),""))</f>
        <v/>
      </c>
      <c r="F72" s="78">
        <f>IF(LEFT(CT!D67,3)='SQTM &amp; TGNH NGÀY'!$E$2,CT!H67,0)</f>
        <v>0</v>
      </c>
      <c r="G72" s="78">
        <f>IF(LEFT(CT!E67,3)='SQTM &amp; TGNH NGÀY'!$E$2,CT!H67,0)</f>
        <v>0</v>
      </c>
      <c r="H72" s="78">
        <f>IF(SUM(F72:G72)=0,0,$H$8+SUBTOTAL(9,$F$10:F72)-SUBTOTAL(9,$G$10:G72))</f>
        <v>0</v>
      </c>
      <c r="I72" s="65" t="b">
        <f t="shared" si="0"/>
        <v>0</v>
      </c>
    </row>
    <row r="73" spans="1:9" ht="15.6" hidden="1" x14ac:dyDescent="0.3">
      <c r="A73" s="63" t="str">
        <f>IF(OR(LEFT(CT!D68,3)=$E$2,LEFT(CT!E68,3)=$E$2),CT!A68,"")</f>
        <v/>
      </c>
      <c r="B73" s="23" t="str">
        <f>IF(LEFT(CT!D68,3)='SQTM &amp; TGNH NGÀY'!$E$2,CT!B68,"")</f>
        <v/>
      </c>
      <c r="C73" s="23" t="str">
        <f>IF(LEFT(CT!E68,3)='SQTM &amp; TGNH NGÀY'!$E$2,CT!B68,"")</f>
        <v/>
      </c>
      <c r="D73" s="23" t="str">
        <f>IF(OR(LEFT(CT!D68,3)='SQTM &amp; TGNH NGÀY'!$E$2,LEFT(CT!E68,3)='SQTM &amp; TGNH NGÀY'!$E$2),CT!C68,"")</f>
        <v/>
      </c>
      <c r="E73" s="23" t="str">
        <f>IF(LEFT(CT!D68,3)='SQTM &amp; TGNH NGÀY'!$E$2,LEFT(CT!E68,3),IF(LEFT(CT!E68,3)='SQTM &amp; TGNH NGÀY'!$E$2,LEFT(CT!D68,3),""))</f>
        <v/>
      </c>
      <c r="F73" s="78">
        <f>IF(LEFT(CT!D68,3)='SQTM &amp; TGNH NGÀY'!$E$2,CT!H68,0)</f>
        <v>0</v>
      </c>
      <c r="G73" s="78">
        <f>IF(LEFT(CT!E68,3)='SQTM &amp; TGNH NGÀY'!$E$2,CT!H68,0)</f>
        <v>0</v>
      </c>
      <c r="H73" s="78">
        <f>IF(SUM(F73:G73)=0,0,$H$8+SUBTOTAL(9,$F$10:F73)-SUBTOTAL(9,$G$10:G73))</f>
        <v>0</v>
      </c>
      <c r="I73" s="65" t="b">
        <f t="shared" si="0"/>
        <v>0</v>
      </c>
    </row>
    <row r="74" spans="1:9" ht="15.6" hidden="1" x14ac:dyDescent="0.3">
      <c r="A74" s="63" t="str">
        <f>IF(OR(LEFT(CT!D69,3)=$E$2,LEFT(CT!E69,3)=$E$2),CT!A69,"")</f>
        <v/>
      </c>
      <c r="B74" s="23" t="str">
        <f>IF(LEFT(CT!D69,3)='SQTM &amp; TGNH NGÀY'!$E$2,CT!B69,"")</f>
        <v/>
      </c>
      <c r="C74" s="23" t="str">
        <f>IF(LEFT(CT!E69,3)='SQTM &amp; TGNH NGÀY'!$E$2,CT!B69,"")</f>
        <v/>
      </c>
      <c r="D74" s="23" t="str">
        <f>IF(OR(LEFT(CT!D69,3)='SQTM &amp; TGNH NGÀY'!$E$2,LEFT(CT!E69,3)='SQTM &amp; TGNH NGÀY'!$E$2),CT!C69,"")</f>
        <v/>
      </c>
      <c r="E74" s="23" t="str">
        <f>IF(LEFT(CT!D69,3)='SQTM &amp; TGNH NGÀY'!$E$2,LEFT(CT!E69,3),IF(LEFT(CT!E69,3)='SQTM &amp; TGNH NGÀY'!$E$2,LEFT(CT!D69,3),""))</f>
        <v/>
      </c>
      <c r="F74" s="78">
        <f>IF(LEFT(CT!D69,3)='SQTM &amp; TGNH NGÀY'!$E$2,CT!H69,0)</f>
        <v>0</v>
      </c>
      <c r="G74" s="78">
        <f>IF(LEFT(CT!E69,3)='SQTM &amp; TGNH NGÀY'!$E$2,CT!H69,0)</f>
        <v>0</v>
      </c>
      <c r="H74" s="78">
        <f>IF(SUM(F74:G74)=0,0,$H$8+SUBTOTAL(9,$F$10:F74)-SUBTOTAL(9,$G$10:G74))</f>
        <v>0</v>
      </c>
      <c r="I74" s="65" t="b">
        <f t="shared" si="0"/>
        <v>0</v>
      </c>
    </row>
    <row r="75" spans="1:9" ht="15.6" hidden="1" x14ac:dyDescent="0.3">
      <c r="A75" s="63" t="str">
        <f>IF(OR(LEFT(CT!D70,3)=$E$2,LEFT(CT!E70,3)=$E$2),CT!A70,"")</f>
        <v/>
      </c>
      <c r="B75" s="23" t="str">
        <f>IF(LEFT(CT!D70,3)='SQTM &amp; TGNH NGÀY'!$E$2,CT!B70,"")</f>
        <v/>
      </c>
      <c r="C75" s="23" t="str">
        <f>IF(LEFT(CT!E70,3)='SQTM &amp; TGNH NGÀY'!$E$2,CT!B70,"")</f>
        <v/>
      </c>
      <c r="D75" s="23" t="str">
        <f>IF(OR(LEFT(CT!D70,3)='SQTM &amp; TGNH NGÀY'!$E$2,LEFT(CT!E70,3)='SQTM &amp; TGNH NGÀY'!$E$2),CT!C70,"")</f>
        <v/>
      </c>
      <c r="E75" s="23" t="str">
        <f>IF(LEFT(CT!D70,3)='SQTM &amp; TGNH NGÀY'!$E$2,LEFT(CT!E70,3),IF(LEFT(CT!E70,3)='SQTM &amp; TGNH NGÀY'!$E$2,LEFT(CT!D70,3),""))</f>
        <v/>
      </c>
      <c r="F75" s="78">
        <f>IF(LEFT(CT!D70,3)='SQTM &amp; TGNH NGÀY'!$E$2,CT!H70,0)</f>
        <v>0</v>
      </c>
      <c r="G75" s="78">
        <f>IF(LEFT(CT!E70,3)='SQTM &amp; TGNH NGÀY'!$E$2,CT!H70,0)</f>
        <v>0</v>
      </c>
      <c r="H75" s="78">
        <f>IF(SUM(F75:G75)=0,0,$H$8+SUBTOTAL(9,$F$10:F75)-SUBTOTAL(9,$G$10:G75))</f>
        <v>0</v>
      </c>
      <c r="I75" s="65" t="b">
        <f t="shared" ref="I75:I138" si="1">AND(A75&gt;=$D$3,A75&lt;=$F$3)</f>
        <v>0</v>
      </c>
    </row>
    <row r="76" spans="1:9" ht="15.6" hidden="1" x14ac:dyDescent="0.3">
      <c r="A76" s="63" t="str">
        <f>IF(OR(LEFT(CT!D71,3)=$E$2,LEFT(CT!E71,3)=$E$2),CT!A71,"")</f>
        <v/>
      </c>
      <c r="B76" s="23" t="str">
        <f>IF(LEFT(CT!D71,3)='SQTM &amp; TGNH NGÀY'!$E$2,CT!B71,"")</f>
        <v/>
      </c>
      <c r="C76" s="23" t="str">
        <f>IF(LEFT(CT!E71,3)='SQTM &amp; TGNH NGÀY'!$E$2,CT!B71,"")</f>
        <v/>
      </c>
      <c r="D76" s="23" t="str">
        <f>IF(OR(LEFT(CT!D71,3)='SQTM &amp; TGNH NGÀY'!$E$2,LEFT(CT!E71,3)='SQTM &amp; TGNH NGÀY'!$E$2),CT!C71,"")</f>
        <v/>
      </c>
      <c r="E76" s="23" t="str">
        <f>IF(LEFT(CT!D71,3)='SQTM &amp; TGNH NGÀY'!$E$2,LEFT(CT!E71,3),IF(LEFT(CT!E71,3)='SQTM &amp; TGNH NGÀY'!$E$2,LEFT(CT!D71,3),""))</f>
        <v/>
      </c>
      <c r="F76" s="78">
        <f>IF(LEFT(CT!D71,3)='SQTM &amp; TGNH NGÀY'!$E$2,CT!H71,0)</f>
        <v>0</v>
      </c>
      <c r="G76" s="78">
        <f>IF(LEFT(CT!E71,3)='SQTM &amp; TGNH NGÀY'!$E$2,CT!H71,0)</f>
        <v>0</v>
      </c>
      <c r="H76" s="78">
        <f>IF(SUM(F76:G76)=0,0,$H$8+SUBTOTAL(9,$F$10:F76)-SUBTOTAL(9,$G$10:G76))</f>
        <v>0</v>
      </c>
      <c r="I76" s="65" t="b">
        <f t="shared" si="1"/>
        <v>0</v>
      </c>
    </row>
    <row r="77" spans="1:9" ht="15.6" hidden="1" x14ac:dyDescent="0.3">
      <c r="A77" s="63" t="str">
        <f>IF(OR(LEFT(CT!D72,3)=$E$2,LEFT(CT!E72,3)=$E$2),CT!A72,"")</f>
        <v/>
      </c>
      <c r="B77" s="23" t="str">
        <f>IF(LEFT(CT!D72,3)='SQTM &amp; TGNH NGÀY'!$E$2,CT!B72,"")</f>
        <v/>
      </c>
      <c r="C77" s="23" t="str">
        <f>IF(LEFT(CT!E72,3)='SQTM &amp; TGNH NGÀY'!$E$2,CT!B72,"")</f>
        <v/>
      </c>
      <c r="D77" s="23" t="str">
        <f>IF(OR(LEFT(CT!D72,3)='SQTM &amp; TGNH NGÀY'!$E$2,LEFT(CT!E72,3)='SQTM &amp; TGNH NGÀY'!$E$2),CT!C72,"")</f>
        <v/>
      </c>
      <c r="E77" s="23" t="str">
        <f>IF(LEFT(CT!D72,3)='SQTM &amp; TGNH NGÀY'!$E$2,LEFT(CT!E72,3),IF(LEFT(CT!E72,3)='SQTM &amp; TGNH NGÀY'!$E$2,LEFT(CT!D72,3),""))</f>
        <v/>
      </c>
      <c r="F77" s="78">
        <f>IF(LEFT(CT!D72,3)='SQTM &amp; TGNH NGÀY'!$E$2,CT!H72,0)</f>
        <v>0</v>
      </c>
      <c r="G77" s="78">
        <f>IF(LEFT(CT!E72,3)='SQTM &amp; TGNH NGÀY'!$E$2,CT!H72,0)</f>
        <v>0</v>
      </c>
      <c r="H77" s="78">
        <f>IF(SUM(F77:G77)=0,0,$H$8+SUBTOTAL(9,$F$10:F77)-SUBTOTAL(9,$G$10:G77))</f>
        <v>0</v>
      </c>
      <c r="I77" s="65" t="b">
        <f t="shared" si="1"/>
        <v>0</v>
      </c>
    </row>
    <row r="78" spans="1:9" ht="15.6" hidden="1" x14ac:dyDescent="0.3">
      <c r="A78" s="63" t="str">
        <f>IF(OR(LEFT(CT!D73,3)=$E$2,LEFT(CT!E73,3)=$E$2),CT!A73,"")</f>
        <v/>
      </c>
      <c r="B78" s="23" t="str">
        <f>IF(LEFT(CT!D73,3)='SQTM &amp; TGNH NGÀY'!$E$2,CT!B73,"")</f>
        <v/>
      </c>
      <c r="C78" s="23" t="str">
        <f>IF(LEFT(CT!E73,3)='SQTM &amp; TGNH NGÀY'!$E$2,CT!B73,"")</f>
        <v/>
      </c>
      <c r="D78" s="23" t="str">
        <f>IF(OR(LEFT(CT!D73,3)='SQTM &amp; TGNH NGÀY'!$E$2,LEFT(CT!E73,3)='SQTM &amp; TGNH NGÀY'!$E$2),CT!C73,"")</f>
        <v/>
      </c>
      <c r="E78" s="23" t="str">
        <f>IF(LEFT(CT!D73,3)='SQTM &amp; TGNH NGÀY'!$E$2,LEFT(CT!E73,3),IF(LEFT(CT!E73,3)='SQTM &amp; TGNH NGÀY'!$E$2,LEFT(CT!D73,3),""))</f>
        <v/>
      </c>
      <c r="F78" s="78">
        <f>IF(LEFT(CT!D73,3)='SQTM &amp; TGNH NGÀY'!$E$2,CT!H73,0)</f>
        <v>0</v>
      </c>
      <c r="G78" s="78">
        <f>IF(LEFT(CT!E73,3)='SQTM &amp; TGNH NGÀY'!$E$2,CT!H73,0)</f>
        <v>0</v>
      </c>
      <c r="H78" s="78">
        <f>IF(SUM(F78:G78)=0,0,$H$8+SUBTOTAL(9,$F$10:F78)-SUBTOTAL(9,$G$10:G78))</f>
        <v>0</v>
      </c>
      <c r="I78" s="65" t="b">
        <f t="shared" si="1"/>
        <v>0</v>
      </c>
    </row>
    <row r="79" spans="1:9" ht="15.6" hidden="1" x14ac:dyDescent="0.3">
      <c r="A79" s="63" t="str">
        <f>IF(OR(LEFT(CT!D74,3)=$E$2,LEFT(CT!E74,3)=$E$2),CT!A74,"")</f>
        <v/>
      </c>
      <c r="B79" s="23" t="str">
        <f>IF(LEFT(CT!D74,3)='SQTM &amp; TGNH NGÀY'!$E$2,CT!B74,"")</f>
        <v/>
      </c>
      <c r="C79" s="23" t="str">
        <f>IF(LEFT(CT!E74,3)='SQTM &amp; TGNH NGÀY'!$E$2,CT!B74,"")</f>
        <v/>
      </c>
      <c r="D79" s="23" t="str">
        <f>IF(OR(LEFT(CT!D74,3)='SQTM &amp; TGNH NGÀY'!$E$2,LEFT(CT!E74,3)='SQTM &amp; TGNH NGÀY'!$E$2),CT!C74,"")</f>
        <v/>
      </c>
      <c r="E79" s="23" t="str">
        <f>IF(LEFT(CT!D74,3)='SQTM &amp; TGNH NGÀY'!$E$2,LEFT(CT!E74,3),IF(LEFT(CT!E74,3)='SQTM &amp; TGNH NGÀY'!$E$2,LEFT(CT!D74,3),""))</f>
        <v/>
      </c>
      <c r="F79" s="78">
        <f>IF(LEFT(CT!D74,3)='SQTM &amp; TGNH NGÀY'!$E$2,CT!H74,0)</f>
        <v>0</v>
      </c>
      <c r="G79" s="78">
        <f>IF(LEFT(CT!E74,3)='SQTM &amp; TGNH NGÀY'!$E$2,CT!H74,0)</f>
        <v>0</v>
      </c>
      <c r="H79" s="78">
        <f>IF(SUM(F79:G79)=0,0,$H$8+SUBTOTAL(9,$F$10:F79)-SUBTOTAL(9,$G$10:G79))</f>
        <v>0</v>
      </c>
      <c r="I79" s="65" t="b">
        <f t="shared" si="1"/>
        <v>0</v>
      </c>
    </row>
    <row r="80" spans="1:9" ht="15.6" hidden="1" x14ac:dyDescent="0.3">
      <c r="A80" s="63" t="str">
        <f>IF(OR(LEFT(CT!D75,3)=$E$2,LEFT(CT!E75,3)=$E$2),CT!A75,"")</f>
        <v/>
      </c>
      <c r="B80" s="23" t="str">
        <f>IF(LEFT(CT!D75,3)='SQTM &amp; TGNH NGÀY'!$E$2,CT!B75,"")</f>
        <v/>
      </c>
      <c r="C80" s="23" t="str">
        <f>IF(LEFT(CT!E75,3)='SQTM &amp; TGNH NGÀY'!$E$2,CT!B75,"")</f>
        <v/>
      </c>
      <c r="D80" s="23" t="str">
        <f>IF(OR(LEFT(CT!D75,3)='SQTM &amp; TGNH NGÀY'!$E$2,LEFT(CT!E75,3)='SQTM &amp; TGNH NGÀY'!$E$2),CT!C75,"")</f>
        <v/>
      </c>
      <c r="E80" s="23" t="str">
        <f>IF(LEFT(CT!D75,3)='SQTM &amp; TGNH NGÀY'!$E$2,LEFT(CT!E75,3),IF(LEFT(CT!E75,3)='SQTM &amp; TGNH NGÀY'!$E$2,LEFT(CT!D75,3),""))</f>
        <v/>
      </c>
      <c r="F80" s="78">
        <f>IF(LEFT(CT!D75,3)='SQTM &amp; TGNH NGÀY'!$E$2,CT!H75,0)</f>
        <v>0</v>
      </c>
      <c r="G80" s="78">
        <f>IF(LEFT(CT!E75,3)='SQTM &amp; TGNH NGÀY'!$E$2,CT!H75,0)</f>
        <v>0</v>
      </c>
      <c r="H80" s="78">
        <f>IF(SUM(F80:G80)=0,0,$H$8+SUBTOTAL(9,$F$10:F80)-SUBTOTAL(9,$G$10:G80))</f>
        <v>0</v>
      </c>
      <c r="I80" s="65" t="b">
        <f t="shared" si="1"/>
        <v>0</v>
      </c>
    </row>
    <row r="81" spans="1:9" ht="15.6" hidden="1" x14ac:dyDescent="0.3">
      <c r="A81" s="63" t="str">
        <f>IF(OR(LEFT(CT!D76,3)=$E$2,LEFT(CT!E76,3)=$E$2),CT!A76,"")</f>
        <v/>
      </c>
      <c r="B81" s="23" t="str">
        <f>IF(LEFT(CT!D76,3)='SQTM &amp; TGNH NGÀY'!$E$2,CT!B76,"")</f>
        <v/>
      </c>
      <c r="C81" s="23" t="str">
        <f>IF(LEFT(CT!E76,3)='SQTM &amp; TGNH NGÀY'!$E$2,CT!B76,"")</f>
        <v/>
      </c>
      <c r="D81" s="23" t="str">
        <f>IF(OR(LEFT(CT!D76,3)='SQTM &amp; TGNH NGÀY'!$E$2,LEFT(CT!E76,3)='SQTM &amp; TGNH NGÀY'!$E$2),CT!C76,"")</f>
        <v/>
      </c>
      <c r="E81" s="23" t="str">
        <f>IF(LEFT(CT!D76,3)='SQTM &amp; TGNH NGÀY'!$E$2,LEFT(CT!E76,3),IF(LEFT(CT!E76,3)='SQTM &amp; TGNH NGÀY'!$E$2,LEFT(CT!D76,3),""))</f>
        <v/>
      </c>
      <c r="F81" s="78">
        <f>IF(LEFT(CT!D76,3)='SQTM &amp; TGNH NGÀY'!$E$2,CT!H76,0)</f>
        <v>0</v>
      </c>
      <c r="G81" s="78">
        <f>IF(LEFT(CT!E76,3)='SQTM &amp; TGNH NGÀY'!$E$2,CT!H76,0)</f>
        <v>0</v>
      </c>
      <c r="H81" s="78">
        <f>IF(SUM(F81:G81)=0,0,$H$8+SUBTOTAL(9,$F$10:F81)-SUBTOTAL(9,$G$10:G81))</f>
        <v>0</v>
      </c>
      <c r="I81" s="65" t="b">
        <f t="shared" si="1"/>
        <v>0</v>
      </c>
    </row>
    <row r="82" spans="1:9" ht="15.6" hidden="1" x14ac:dyDescent="0.3">
      <c r="A82" s="63" t="str">
        <f>IF(OR(LEFT(CT!D77,3)=$E$2,LEFT(CT!E77,3)=$E$2),CT!A77,"")</f>
        <v/>
      </c>
      <c r="B82" s="23" t="str">
        <f>IF(LEFT(CT!D77,3)='SQTM &amp; TGNH NGÀY'!$E$2,CT!B77,"")</f>
        <v/>
      </c>
      <c r="C82" s="23" t="str">
        <f>IF(LEFT(CT!E77,3)='SQTM &amp; TGNH NGÀY'!$E$2,CT!B77,"")</f>
        <v/>
      </c>
      <c r="D82" s="23" t="str">
        <f>IF(OR(LEFT(CT!D77,3)='SQTM &amp; TGNH NGÀY'!$E$2,LEFT(CT!E77,3)='SQTM &amp; TGNH NGÀY'!$E$2),CT!C77,"")</f>
        <v/>
      </c>
      <c r="E82" s="23" t="str">
        <f>IF(LEFT(CT!D77,3)='SQTM &amp; TGNH NGÀY'!$E$2,LEFT(CT!E77,3),IF(LEFT(CT!E77,3)='SQTM &amp; TGNH NGÀY'!$E$2,LEFT(CT!D77,3),""))</f>
        <v/>
      </c>
      <c r="F82" s="78">
        <f>IF(LEFT(CT!D77,3)='SQTM &amp; TGNH NGÀY'!$E$2,CT!H77,0)</f>
        <v>0</v>
      </c>
      <c r="G82" s="78">
        <f>IF(LEFT(CT!E77,3)='SQTM &amp; TGNH NGÀY'!$E$2,CT!H77,0)</f>
        <v>0</v>
      </c>
      <c r="H82" s="78">
        <f>IF(SUM(F82:G82)=0,0,$H$8+SUBTOTAL(9,$F$10:F82)-SUBTOTAL(9,$G$10:G82))</f>
        <v>0</v>
      </c>
      <c r="I82" s="65" t="b">
        <f t="shared" si="1"/>
        <v>0</v>
      </c>
    </row>
    <row r="83" spans="1:9" ht="15.6" hidden="1" x14ac:dyDescent="0.3">
      <c r="A83" s="63" t="str">
        <f>IF(OR(LEFT(CT!D78,3)=$E$2,LEFT(CT!E78,3)=$E$2),CT!A78,"")</f>
        <v/>
      </c>
      <c r="B83" s="23" t="str">
        <f>IF(LEFT(CT!D78,3)='SQTM &amp; TGNH NGÀY'!$E$2,CT!B78,"")</f>
        <v/>
      </c>
      <c r="C83" s="23" t="str">
        <f>IF(LEFT(CT!E78,3)='SQTM &amp; TGNH NGÀY'!$E$2,CT!B78,"")</f>
        <v/>
      </c>
      <c r="D83" s="23" t="str">
        <f>IF(OR(LEFT(CT!D78,3)='SQTM &amp; TGNH NGÀY'!$E$2,LEFT(CT!E78,3)='SQTM &amp; TGNH NGÀY'!$E$2),CT!C78,"")</f>
        <v/>
      </c>
      <c r="E83" s="23" t="str">
        <f>IF(LEFT(CT!D78,3)='SQTM &amp; TGNH NGÀY'!$E$2,LEFT(CT!E78,3),IF(LEFT(CT!E78,3)='SQTM &amp; TGNH NGÀY'!$E$2,LEFT(CT!D78,3),""))</f>
        <v/>
      </c>
      <c r="F83" s="78">
        <f>IF(LEFT(CT!D78,3)='SQTM &amp; TGNH NGÀY'!$E$2,CT!H78,0)</f>
        <v>0</v>
      </c>
      <c r="G83" s="78">
        <f>IF(LEFT(CT!E78,3)='SQTM &amp; TGNH NGÀY'!$E$2,CT!H78,0)</f>
        <v>0</v>
      </c>
      <c r="H83" s="78">
        <f>IF(SUM(F83:G83)=0,0,$H$8+SUBTOTAL(9,$F$10:F83)-SUBTOTAL(9,$G$10:G83))</f>
        <v>0</v>
      </c>
      <c r="I83" s="65" t="b">
        <f t="shared" si="1"/>
        <v>0</v>
      </c>
    </row>
    <row r="84" spans="1:9" ht="15.6" hidden="1" x14ac:dyDescent="0.3">
      <c r="A84" s="63" t="str">
        <f>IF(OR(LEFT(CT!D79,3)=$E$2,LEFT(CT!E79,3)=$E$2),CT!A79,"")</f>
        <v/>
      </c>
      <c r="B84" s="23" t="str">
        <f>IF(LEFT(CT!D79,3)='SQTM &amp; TGNH NGÀY'!$E$2,CT!B79,"")</f>
        <v/>
      </c>
      <c r="C84" s="23" t="str">
        <f>IF(LEFT(CT!E79,3)='SQTM &amp; TGNH NGÀY'!$E$2,CT!B79,"")</f>
        <v/>
      </c>
      <c r="D84" s="23" t="str">
        <f>IF(OR(LEFT(CT!D79,3)='SQTM &amp; TGNH NGÀY'!$E$2,LEFT(CT!E79,3)='SQTM &amp; TGNH NGÀY'!$E$2),CT!C79,"")</f>
        <v/>
      </c>
      <c r="E84" s="23" t="str">
        <f>IF(LEFT(CT!D79,3)='SQTM &amp; TGNH NGÀY'!$E$2,LEFT(CT!E79,3),IF(LEFT(CT!E79,3)='SQTM &amp; TGNH NGÀY'!$E$2,LEFT(CT!D79,3),""))</f>
        <v/>
      </c>
      <c r="F84" s="78">
        <f>IF(LEFT(CT!D79,3)='SQTM &amp; TGNH NGÀY'!$E$2,CT!H79,0)</f>
        <v>0</v>
      </c>
      <c r="G84" s="78">
        <f>IF(LEFT(CT!E79,3)='SQTM &amp; TGNH NGÀY'!$E$2,CT!H79,0)</f>
        <v>0</v>
      </c>
      <c r="H84" s="78">
        <f>IF(SUM(F84:G84)=0,0,$H$8+SUBTOTAL(9,$F$10:F84)-SUBTOTAL(9,$G$10:G84))</f>
        <v>0</v>
      </c>
      <c r="I84" s="65" t="b">
        <f t="shared" si="1"/>
        <v>0</v>
      </c>
    </row>
    <row r="85" spans="1:9" ht="15.6" hidden="1" x14ac:dyDescent="0.3">
      <c r="A85" s="63" t="str">
        <f>IF(OR(LEFT(CT!D80,3)=$E$2,LEFT(CT!E80,3)=$E$2),CT!A80,"")</f>
        <v/>
      </c>
      <c r="B85" s="23" t="str">
        <f>IF(LEFT(CT!D80,3)='SQTM &amp; TGNH NGÀY'!$E$2,CT!B80,"")</f>
        <v/>
      </c>
      <c r="C85" s="23" t="str">
        <f>IF(LEFT(CT!E80,3)='SQTM &amp; TGNH NGÀY'!$E$2,CT!B80,"")</f>
        <v/>
      </c>
      <c r="D85" s="23" t="str">
        <f>IF(OR(LEFT(CT!D80,3)='SQTM &amp; TGNH NGÀY'!$E$2,LEFT(CT!E80,3)='SQTM &amp; TGNH NGÀY'!$E$2),CT!C80,"")</f>
        <v/>
      </c>
      <c r="E85" s="23" t="str">
        <f>IF(LEFT(CT!D80,3)='SQTM &amp; TGNH NGÀY'!$E$2,LEFT(CT!E80,3),IF(LEFT(CT!E80,3)='SQTM &amp; TGNH NGÀY'!$E$2,LEFT(CT!D80,3),""))</f>
        <v/>
      </c>
      <c r="F85" s="78">
        <f>IF(LEFT(CT!D80,3)='SQTM &amp; TGNH NGÀY'!$E$2,CT!H80,0)</f>
        <v>0</v>
      </c>
      <c r="G85" s="78">
        <f>IF(LEFT(CT!E80,3)='SQTM &amp; TGNH NGÀY'!$E$2,CT!H80,0)</f>
        <v>0</v>
      </c>
      <c r="H85" s="78">
        <f>IF(SUM(F85:G85)=0,0,$H$8+SUBTOTAL(9,$F$10:F85)-SUBTOTAL(9,$G$10:G85))</f>
        <v>0</v>
      </c>
      <c r="I85" s="65" t="b">
        <f t="shared" si="1"/>
        <v>0</v>
      </c>
    </row>
    <row r="86" spans="1:9" ht="15.6" hidden="1" x14ac:dyDescent="0.3">
      <c r="A86" s="63" t="str">
        <f>IF(OR(LEFT(CT!D81,3)=$E$2,LEFT(CT!E81,3)=$E$2),CT!A81,"")</f>
        <v/>
      </c>
      <c r="B86" s="23" t="str">
        <f>IF(LEFT(CT!D81,3)='SQTM &amp; TGNH NGÀY'!$E$2,CT!B81,"")</f>
        <v/>
      </c>
      <c r="C86" s="23" t="str">
        <f>IF(LEFT(CT!E81,3)='SQTM &amp; TGNH NGÀY'!$E$2,CT!B81,"")</f>
        <v/>
      </c>
      <c r="D86" s="23" t="str">
        <f>IF(OR(LEFT(CT!D81,3)='SQTM &amp; TGNH NGÀY'!$E$2,LEFT(CT!E81,3)='SQTM &amp; TGNH NGÀY'!$E$2),CT!C81,"")</f>
        <v/>
      </c>
      <c r="E86" s="23" t="str">
        <f>IF(LEFT(CT!D81,3)='SQTM &amp; TGNH NGÀY'!$E$2,LEFT(CT!E81,3),IF(LEFT(CT!E81,3)='SQTM &amp; TGNH NGÀY'!$E$2,LEFT(CT!D81,3),""))</f>
        <v/>
      </c>
      <c r="F86" s="78">
        <f>IF(LEFT(CT!D81,3)='SQTM &amp; TGNH NGÀY'!$E$2,CT!H81,0)</f>
        <v>0</v>
      </c>
      <c r="G86" s="78">
        <f>IF(LEFT(CT!E81,3)='SQTM &amp; TGNH NGÀY'!$E$2,CT!H81,0)</f>
        <v>0</v>
      </c>
      <c r="H86" s="78">
        <f>IF(SUM(F86:G86)=0,0,$H$8+SUBTOTAL(9,$F$10:F86)-SUBTOTAL(9,$G$10:G86))</f>
        <v>0</v>
      </c>
      <c r="I86" s="65" t="b">
        <f t="shared" si="1"/>
        <v>0</v>
      </c>
    </row>
    <row r="87" spans="1:9" ht="15.6" hidden="1" x14ac:dyDescent="0.3">
      <c r="A87" s="63" t="str">
        <f>IF(OR(LEFT(CT!D82,3)=$E$2,LEFT(CT!E82,3)=$E$2),CT!A82,"")</f>
        <v/>
      </c>
      <c r="B87" s="23" t="str">
        <f>IF(LEFT(CT!D82,3)='SQTM &amp; TGNH NGÀY'!$E$2,CT!B82,"")</f>
        <v/>
      </c>
      <c r="C87" s="23" t="str">
        <f>IF(LEFT(CT!E82,3)='SQTM &amp; TGNH NGÀY'!$E$2,CT!B82,"")</f>
        <v/>
      </c>
      <c r="D87" s="23" t="str">
        <f>IF(OR(LEFT(CT!D82,3)='SQTM &amp; TGNH NGÀY'!$E$2,LEFT(CT!E82,3)='SQTM &amp; TGNH NGÀY'!$E$2),CT!C82,"")</f>
        <v/>
      </c>
      <c r="E87" s="23" t="str">
        <f>IF(LEFT(CT!D82,3)='SQTM &amp; TGNH NGÀY'!$E$2,LEFT(CT!E82,3),IF(LEFT(CT!E82,3)='SQTM &amp; TGNH NGÀY'!$E$2,LEFT(CT!D82,3),""))</f>
        <v/>
      </c>
      <c r="F87" s="78">
        <f>IF(LEFT(CT!D82,3)='SQTM &amp; TGNH NGÀY'!$E$2,CT!H82,0)</f>
        <v>0</v>
      </c>
      <c r="G87" s="78">
        <f>IF(LEFT(CT!E82,3)='SQTM &amp; TGNH NGÀY'!$E$2,CT!H82,0)</f>
        <v>0</v>
      </c>
      <c r="H87" s="78">
        <f>IF(SUM(F87:G87)=0,0,$H$8+SUBTOTAL(9,$F$10:F87)-SUBTOTAL(9,$G$10:G87))</f>
        <v>0</v>
      </c>
      <c r="I87" s="65" t="b">
        <f t="shared" si="1"/>
        <v>0</v>
      </c>
    </row>
    <row r="88" spans="1:9" ht="15.6" hidden="1" x14ac:dyDescent="0.3">
      <c r="A88" s="63" t="str">
        <f>IF(OR(LEFT(CT!D83,3)=$E$2,LEFT(CT!E83,3)=$E$2),CT!A83,"")</f>
        <v/>
      </c>
      <c r="B88" s="23" t="str">
        <f>IF(LEFT(CT!D83,3)='SQTM &amp; TGNH NGÀY'!$E$2,CT!B83,"")</f>
        <v/>
      </c>
      <c r="C88" s="23" t="str">
        <f>IF(LEFT(CT!E83,3)='SQTM &amp; TGNH NGÀY'!$E$2,CT!B83,"")</f>
        <v/>
      </c>
      <c r="D88" s="23" t="str">
        <f>IF(OR(LEFT(CT!D83,3)='SQTM &amp; TGNH NGÀY'!$E$2,LEFT(CT!E83,3)='SQTM &amp; TGNH NGÀY'!$E$2),CT!C83,"")</f>
        <v/>
      </c>
      <c r="E88" s="23" t="str">
        <f>IF(LEFT(CT!D83,3)='SQTM &amp; TGNH NGÀY'!$E$2,LEFT(CT!E83,3),IF(LEFT(CT!E83,3)='SQTM &amp; TGNH NGÀY'!$E$2,LEFT(CT!D83,3),""))</f>
        <v/>
      </c>
      <c r="F88" s="78">
        <f>IF(LEFT(CT!D83,3)='SQTM &amp; TGNH NGÀY'!$E$2,CT!H83,0)</f>
        <v>0</v>
      </c>
      <c r="G88" s="78">
        <f>IF(LEFT(CT!E83,3)='SQTM &amp; TGNH NGÀY'!$E$2,CT!H83,0)</f>
        <v>0</v>
      </c>
      <c r="H88" s="78">
        <f>IF(SUM(F88:G88)=0,0,$H$8+SUBTOTAL(9,$F$10:F88)-SUBTOTAL(9,$G$10:G88))</f>
        <v>0</v>
      </c>
      <c r="I88" s="65" t="b">
        <f t="shared" si="1"/>
        <v>0</v>
      </c>
    </row>
    <row r="89" spans="1:9" ht="15.6" hidden="1" x14ac:dyDescent="0.3">
      <c r="A89" s="63" t="str">
        <f>IF(OR(LEFT(CT!D84,3)=$E$2,LEFT(CT!E84,3)=$E$2),CT!A84,"")</f>
        <v/>
      </c>
      <c r="B89" s="23" t="str">
        <f>IF(LEFT(CT!D84,3)='SQTM &amp; TGNH NGÀY'!$E$2,CT!B84,"")</f>
        <v/>
      </c>
      <c r="C89" s="23" t="str">
        <f>IF(LEFT(CT!E84,3)='SQTM &amp; TGNH NGÀY'!$E$2,CT!B84,"")</f>
        <v/>
      </c>
      <c r="D89" s="23" t="str">
        <f>IF(OR(LEFT(CT!D84,3)='SQTM &amp; TGNH NGÀY'!$E$2,LEFT(CT!E84,3)='SQTM &amp; TGNH NGÀY'!$E$2),CT!C84,"")</f>
        <v/>
      </c>
      <c r="E89" s="23" t="str">
        <f>IF(LEFT(CT!D84,3)='SQTM &amp; TGNH NGÀY'!$E$2,LEFT(CT!E84,3),IF(LEFT(CT!E84,3)='SQTM &amp; TGNH NGÀY'!$E$2,LEFT(CT!D84,3),""))</f>
        <v/>
      </c>
      <c r="F89" s="78">
        <f>IF(LEFT(CT!D84,3)='SQTM &amp; TGNH NGÀY'!$E$2,CT!H84,0)</f>
        <v>0</v>
      </c>
      <c r="G89" s="78">
        <f>IF(LEFT(CT!E84,3)='SQTM &amp; TGNH NGÀY'!$E$2,CT!H84,0)</f>
        <v>0</v>
      </c>
      <c r="H89" s="78">
        <f>IF(SUM(F89:G89)=0,0,$H$8+SUBTOTAL(9,$F$10:F89)-SUBTOTAL(9,$G$10:G89))</f>
        <v>0</v>
      </c>
      <c r="I89" s="65" t="b">
        <f t="shared" si="1"/>
        <v>0</v>
      </c>
    </row>
    <row r="90" spans="1:9" ht="15.6" hidden="1" x14ac:dyDescent="0.3">
      <c r="A90" s="63" t="str">
        <f>IF(OR(LEFT(CT!D85,3)=$E$2,LEFT(CT!E85,3)=$E$2),CT!A85,"")</f>
        <v/>
      </c>
      <c r="B90" s="23" t="str">
        <f>IF(LEFT(CT!D85,3)='SQTM &amp; TGNH NGÀY'!$E$2,CT!B85,"")</f>
        <v/>
      </c>
      <c r="C90" s="23" t="str">
        <f>IF(LEFT(CT!E85,3)='SQTM &amp; TGNH NGÀY'!$E$2,CT!B85,"")</f>
        <v/>
      </c>
      <c r="D90" s="23" t="str">
        <f>IF(OR(LEFT(CT!D85,3)='SQTM &amp; TGNH NGÀY'!$E$2,LEFT(CT!E85,3)='SQTM &amp; TGNH NGÀY'!$E$2),CT!C85,"")</f>
        <v/>
      </c>
      <c r="E90" s="23" t="str">
        <f>IF(LEFT(CT!D85,3)='SQTM &amp; TGNH NGÀY'!$E$2,LEFT(CT!E85,3),IF(LEFT(CT!E85,3)='SQTM &amp; TGNH NGÀY'!$E$2,LEFT(CT!D85,3),""))</f>
        <v/>
      </c>
      <c r="F90" s="78">
        <f>IF(LEFT(CT!D85,3)='SQTM &amp; TGNH NGÀY'!$E$2,CT!H85,0)</f>
        <v>0</v>
      </c>
      <c r="G90" s="78">
        <f>IF(LEFT(CT!E85,3)='SQTM &amp; TGNH NGÀY'!$E$2,CT!H85,0)</f>
        <v>0</v>
      </c>
      <c r="H90" s="78">
        <f>IF(SUM(F90:G90)=0,0,$H$8+SUBTOTAL(9,$F$10:F90)-SUBTOTAL(9,$G$10:G90))</f>
        <v>0</v>
      </c>
      <c r="I90" s="65" t="b">
        <f t="shared" si="1"/>
        <v>0</v>
      </c>
    </row>
    <row r="91" spans="1:9" ht="15.6" hidden="1" x14ac:dyDescent="0.3">
      <c r="A91" s="63" t="str">
        <f>IF(OR(LEFT(CT!D86,3)=$E$2,LEFT(CT!E86,3)=$E$2),CT!A86,"")</f>
        <v/>
      </c>
      <c r="B91" s="23" t="str">
        <f>IF(LEFT(CT!D86,3)='SQTM &amp; TGNH NGÀY'!$E$2,CT!B86,"")</f>
        <v/>
      </c>
      <c r="C91" s="23" t="str">
        <f>IF(LEFT(CT!E86,3)='SQTM &amp; TGNH NGÀY'!$E$2,CT!B86,"")</f>
        <v/>
      </c>
      <c r="D91" s="23" t="str">
        <f>IF(OR(LEFT(CT!D86,3)='SQTM &amp; TGNH NGÀY'!$E$2,LEFT(CT!E86,3)='SQTM &amp; TGNH NGÀY'!$E$2),CT!C86,"")</f>
        <v/>
      </c>
      <c r="E91" s="23" t="str">
        <f>IF(LEFT(CT!D86,3)='SQTM &amp; TGNH NGÀY'!$E$2,LEFT(CT!E86,3),IF(LEFT(CT!E86,3)='SQTM &amp; TGNH NGÀY'!$E$2,LEFT(CT!D86,3),""))</f>
        <v/>
      </c>
      <c r="F91" s="78">
        <f>IF(LEFT(CT!D86,3)='SQTM &amp; TGNH NGÀY'!$E$2,CT!H86,0)</f>
        <v>0</v>
      </c>
      <c r="G91" s="78">
        <f>IF(LEFT(CT!E86,3)='SQTM &amp; TGNH NGÀY'!$E$2,CT!H86,0)</f>
        <v>0</v>
      </c>
      <c r="H91" s="78">
        <f>IF(SUM(F91:G91)=0,0,$H$8+SUBTOTAL(9,$F$10:F91)-SUBTOTAL(9,$G$10:G91))</f>
        <v>0</v>
      </c>
      <c r="I91" s="65" t="b">
        <f t="shared" si="1"/>
        <v>0</v>
      </c>
    </row>
    <row r="92" spans="1:9" ht="15.6" hidden="1" x14ac:dyDescent="0.3">
      <c r="A92" s="63" t="str">
        <f>IF(OR(LEFT(CT!D87,3)=$E$2,LEFT(CT!E87,3)=$E$2),CT!A87,"")</f>
        <v/>
      </c>
      <c r="B92" s="23" t="str">
        <f>IF(LEFT(CT!D87,3)='SQTM &amp; TGNH NGÀY'!$E$2,CT!B87,"")</f>
        <v/>
      </c>
      <c r="C92" s="23" t="str">
        <f>IF(LEFT(CT!E87,3)='SQTM &amp; TGNH NGÀY'!$E$2,CT!B87,"")</f>
        <v/>
      </c>
      <c r="D92" s="23" t="str">
        <f>IF(OR(LEFT(CT!D87,3)='SQTM &amp; TGNH NGÀY'!$E$2,LEFT(CT!E87,3)='SQTM &amp; TGNH NGÀY'!$E$2),CT!C87,"")</f>
        <v/>
      </c>
      <c r="E92" s="23" t="str">
        <f>IF(LEFT(CT!D87,3)='SQTM &amp; TGNH NGÀY'!$E$2,LEFT(CT!E87,3),IF(LEFT(CT!E87,3)='SQTM &amp; TGNH NGÀY'!$E$2,LEFT(CT!D87,3),""))</f>
        <v/>
      </c>
      <c r="F92" s="78">
        <f>IF(LEFT(CT!D87,3)='SQTM &amp; TGNH NGÀY'!$E$2,CT!H87,0)</f>
        <v>0</v>
      </c>
      <c r="G92" s="78">
        <f>IF(LEFT(CT!E87,3)='SQTM &amp; TGNH NGÀY'!$E$2,CT!H87,0)</f>
        <v>0</v>
      </c>
      <c r="H92" s="78">
        <f>IF(SUM(F92:G92)=0,0,$H$8+SUBTOTAL(9,$F$10:F92)-SUBTOTAL(9,$G$10:G92))</f>
        <v>0</v>
      </c>
      <c r="I92" s="65" t="b">
        <f t="shared" si="1"/>
        <v>0</v>
      </c>
    </row>
    <row r="93" spans="1:9" ht="15.6" hidden="1" x14ac:dyDescent="0.3">
      <c r="A93" s="63" t="str">
        <f>IF(OR(LEFT(CT!D88,3)=$E$2,LEFT(CT!E88,3)=$E$2),CT!A88,"")</f>
        <v/>
      </c>
      <c r="B93" s="23" t="str">
        <f>IF(LEFT(CT!D88,3)='SQTM &amp; TGNH NGÀY'!$E$2,CT!B88,"")</f>
        <v/>
      </c>
      <c r="C93" s="23" t="str">
        <f>IF(LEFT(CT!E88,3)='SQTM &amp; TGNH NGÀY'!$E$2,CT!B88,"")</f>
        <v/>
      </c>
      <c r="D93" s="23" t="str">
        <f>IF(OR(LEFT(CT!D88,3)='SQTM &amp; TGNH NGÀY'!$E$2,LEFT(CT!E88,3)='SQTM &amp; TGNH NGÀY'!$E$2),CT!C88,"")</f>
        <v/>
      </c>
      <c r="E93" s="23" t="str">
        <f>IF(LEFT(CT!D88,3)='SQTM &amp; TGNH NGÀY'!$E$2,LEFT(CT!E88,3),IF(LEFT(CT!E88,3)='SQTM &amp; TGNH NGÀY'!$E$2,LEFT(CT!D88,3),""))</f>
        <v/>
      </c>
      <c r="F93" s="78">
        <f>IF(LEFT(CT!D88,3)='SQTM &amp; TGNH NGÀY'!$E$2,CT!H88,0)</f>
        <v>0</v>
      </c>
      <c r="G93" s="78">
        <f>IF(LEFT(CT!E88,3)='SQTM &amp; TGNH NGÀY'!$E$2,CT!H88,0)</f>
        <v>0</v>
      </c>
      <c r="H93" s="78">
        <f>IF(SUM(F93:G93)=0,0,$H$8+SUBTOTAL(9,$F$10:F93)-SUBTOTAL(9,$G$10:G93))</f>
        <v>0</v>
      </c>
      <c r="I93" s="65" t="b">
        <f t="shared" si="1"/>
        <v>0</v>
      </c>
    </row>
    <row r="94" spans="1:9" ht="15.6" hidden="1" x14ac:dyDescent="0.3">
      <c r="A94" s="63" t="str">
        <f>IF(OR(LEFT(CT!D89,3)=$E$2,LEFT(CT!E89,3)=$E$2),CT!A89,"")</f>
        <v/>
      </c>
      <c r="B94" s="23" t="str">
        <f>IF(LEFT(CT!D89,3)='SQTM &amp; TGNH NGÀY'!$E$2,CT!B89,"")</f>
        <v/>
      </c>
      <c r="C94" s="23" t="str">
        <f>IF(LEFT(CT!E89,3)='SQTM &amp; TGNH NGÀY'!$E$2,CT!B89,"")</f>
        <v/>
      </c>
      <c r="D94" s="23" t="str">
        <f>IF(OR(LEFT(CT!D89,3)='SQTM &amp; TGNH NGÀY'!$E$2,LEFT(CT!E89,3)='SQTM &amp; TGNH NGÀY'!$E$2),CT!C89,"")</f>
        <v/>
      </c>
      <c r="E94" s="23" t="str">
        <f>IF(LEFT(CT!D89,3)='SQTM &amp; TGNH NGÀY'!$E$2,LEFT(CT!E89,3),IF(LEFT(CT!E89,3)='SQTM &amp; TGNH NGÀY'!$E$2,LEFT(CT!D89,3),""))</f>
        <v/>
      </c>
      <c r="F94" s="78">
        <f>IF(LEFT(CT!D89,3)='SQTM &amp; TGNH NGÀY'!$E$2,CT!H89,0)</f>
        <v>0</v>
      </c>
      <c r="G94" s="78">
        <f>IF(LEFT(CT!E89,3)='SQTM &amp; TGNH NGÀY'!$E$2,CT!H89,0)</f>
        <v>0</v>
      </c>
      <c r="H94" s="78">
        <f>IF(SUM(F94:G94)=0,0,$H$8+SUBTOTAL(9,$F$10:F94)-SUBTOTAL(9,$G$10:G94))</f>
        <v>0</v>
      </c>
      <c r="I94" s="65" t="b">
        <f t="shared" si="1"/>
        <v>0</v>
      </c>
    </row>
    <row r="95" spans="1:9" ht="15.6" hidden="1" x14ac:dyDescent="0.3">
      <c r="A95" s="63" t="str">
        <f>IF(OR(LEFT(CT!D90,3)=$E$2,LEFT(CT!E90,3)=$E$2),CT!A90,"")</f>
        <v/>
      </c>
      <c r="B95" s="23" t="str">
        <f>IF(LEFT(CT!D90,3)='SQTM &amp; TGNH NGÀY'!$E$2,CT!B90,"")</f>
        <v/>
      </c>
      <c r="C95" s="23" t="str">
        <f>IF(LEFT(CT!E90,3)='SQTM &amp; TGNH NGÀY'!$E$2,CT!B90,"")</f>
        <v/>
      </c>
      <c r="D95" s="23" t="str">
        <f>IF(OR(LEFT(CT!D90,3)='SQTM &amp; TGNH NGÀY'!$E$2,LEFT(CT!E90,3)='SQTM &amp; TGNH NGÀY'!$E$2),CT!C90,"")</f>
        <v/>
      </c>
      <c r="E95" s="23" t="str">
        <f>IF(LEFT(CT!D90,3)='SQTM &amp; TGNH NGÀY'!$E$2,LEFT(CT!E90,3),IF(LEFT(CT!E90,3)='SQTM &amp; TGNH NGÀY'!$E$2,LEFT(CT!D90,3),""))</f>
        <v/>
      </c>
      <c r="F95" s="78">
        <f>IF(LEFT(CT!D90,3)='SQTM &amp; TGNH NGÀY'!$E$2,CT!H90,0)</f>
        <v>0</v>
      </c>
      <c r="G95" s="78">
        <f>IF(LEFT(CT!E90,3)='SQTM &amp; TGNH NGÀY'!$E$2,CT!H90,0)</f>
        <v>0</v>
      </c>
      <c r="H95" s="78">
        <f>IF(SUM(F95:G95)=0,0,$H$8+SUBTOTAL(9,$F$10:F95)-SUBTOTAL(9,$G$10:G95))</f>
        <v>0</v>
      </c>
      <c r="I95" s="65" t="b">
        <f t="shared" si="1"/>
        <v>0</v>
      </c>
    </row>
    <row r="96" spans="1:9" ht="15.6" hidden="1" x14ac:dyDescent="0.3">
      <c r="A96" s="63" t="str">
        <f>IF(OR(LEFT(CT!D91,3)=$E$2,LEFT(CT!E91,3)=$E$2),CT!A91,"")</f>
        <v/>
      </c>
      <c r="B96" s="23" t="str">
        <f>IF(LEFT(CT!D91,3)='SQTM &amp; TGNH NGÀY'!$E$2,CT!B91,"")</f>
        <v/>
      </c>
      <c r="C96" s="23" t="str">
        <f>IF(LEFT(CT!E91,3)='SQTM &amp; TGNH NGÀY'!$E$2,CT!B91,"")</f>
        <v/>
      </c>
      <c r="D96" s="23" t="str">
        <f>IF(OR(LEFT(CT!D91,3)='SQTM &amp; TGNH NGÀY'!$E$2,LEFT(CT!E91,3)='SQTM &amp; TGNH NGÀY'!$E$2),CT!C91,"")</f>
        <v/>
      </c>
      <c r="E96" s="23" t="str">
        <f>IF(LEFT(CT!D91,3)='SQTM &amp; TGNH NGÀY'!$E$2,LEFT(CT!E91,3),IF(LEFT(CT!E91,3)='SQTM &amp; TGNH NGÀY'!$E$2,LEFT(CT!D91,3),""))</f>
        <v/>
      </c>
      <c r="F96" s="78">
        <f>IF(LEFT(CT!D91,3)='SQTM &amp; TGNH NGÀY'!$E$2,CT!H91,0)</f>
        <v>0</v>
      </c>
      <c r="G96" s="78">
        <f>IF(LEFT(CT!E91,3)='SQTM &amp; TGNH NGÀY'!$E$2,CT!H91,0)</f>
        <v>0</v>
      </c>
      <c r="H96" s="78">
        <f>IF(SUM(F96:G96)=0,0,$H$8+SUBTOTAL(9,$F$10:F96)-SUBTOTAL(9,$G$10:G96))</f>
        <v>0</v>
      </c>
      <c r="I96" s="65" t="b">
        <f t="shared" si="1"/>
        <v>0</v>
      </c>
    </row>
    <row r="97" spans="1:9" ht="15.6" hidden="1" x14ac:dyDescent="0.3">
      <c r="A97" s="63" t="str">
        <f>IF(OR(LEFT(CT!D92,3)=$E$2,LEFT(CT!E92,3)=$E$2),CT!A92,"")</f>
        <v/>
      </c>
      <c r="B97" s="23" t="str">
        <f>IF(LEFT(CT!D92,3)='SQTM &amp; TGNH NGÀY'!$E$2,CT!B92,"")</f>
        <v/>
      </c>
      <c r="C97" s="23" t="str">
        <f>IF(LEFT(CT!E92,3)='SQTM &amp; TGNH NGÀY'!$E$2,CT!B92,"")</f>
        <v/>
      </c>
      <c r="D97" s="23" t="str">
        <f>IF(OR(LEFT(CT!D92,3)='SQTM &amp; TGNH NGÀY'!$E$2,LEFT(CT!E92,3)='SQTM &amp; TGNH NGÀY'!$E$2),CT!C92,"")</f>
        <v/>
      </c>
      <c r="E97" s="23" t="str">
        <f>IF(LEFT(CT!D92,3)='SQTM &amp; TGNH NGÀY'!$E$2,LEFT(CT!E92,3),IF(LEFT(CT!E92,3)='SQTM &amp; TGNH NGÀY'!$E$2,LEFT(CT!D92,3),""))</f>
        <v/>
      </c>
      <c r="F97" s="78">
        <f>IF(LEFT(CT!D92,3)='SQTM &amp; TGNH NGÀY'!$E$2,CT!H92,0)</f>
        <v>0</v>
      </c>
      <c r="G97" s="78">
        <f>IF(LEFT(CT!E92,3)='SQTM &amp; TGNH NGÀY'!$E$2,CT!H92,0)</f>
        <v>0</v>
      </c>
      <c r="H97" s="78">
        <f>IF(SUM(F97:G97)=0,0,$H$8+SUBTOTAL(9,$F$10:F97)-SUBTOTAL(9,$G$10:G97))</f>
        <v>0</v>
      </c>
      <c r="I97" s="65" t="b">
        <f t="shared" si="1"/>
        <v>0</v>
      </c>
    </row>
    <row r="98" spans="1:9" ht="15.6" hidden="1" x14ac:dyDescent="0.3">
      <c r="A98" s="63" t="str">
        <f>IF(OR(LEFT(CT!D93,3)=$E$2,LEFT(CT!E93,3)=$E$2),CT!A93,"")</f>
        <v/>
      </c>
      <c r="B98" s="23" t="str">
        <f>IF(LEFT(CT!D93,3)='SQTM &amp; TGNH NGÀY'!$E$2,CT!B93,"")</f>
        <v/>
      </c>
      <c r="C98" s="23" t="str">
        <f>IF(LEFT(CT!E93,3)='SQTM &amp; TGNH NGÀY'!$E$2,CT!B93,"")</f>
        <v/>
      </c>
      <c r="D98" s="23" t="str">
        <f>IF(OR(LEFT(CT!D93,3)='SQTM &amp; TGNH NGÀY'!$E$2,LEFT(CT!E93,3)='SQTM &amp; TGNH NGÀY'!$E$2),CT!C93,"")</f>
        <v/>
      </c>
      <c r="E98" s="23" t="str">
        <f>IF(LEFT(CT!D93,3)='SQTM &amp; TGNH NGÀY'!$E$2,LEFT(CT!E93,3),IF(LEFT(CT!E93,3)='SQTM &amp; TGNH NGÀY'!$E$2,LEFT(CT!D93,3),""))</f>
        <v/>
      </c>
      <c r="F98" s="78">
        <f>IF(LEFT(CT!D93,3)='SQTM &amp; TGNH NGÀY'!$E$2,CT!H93,0)</f>
        <v>0</v>
      </c>
      <c r="G98" s="78">
        <f>IF(LEFT(CT!E93,3)='SQTM &amp; TGNH NGÀY'!$E$2,CT!H93,0)</f>
        <v>0</v>
      </c>
      <c r="H98" s="78">
        <f>IF(SUM(F98:G98)=0,0,$H$8+SUBTOTAL(9,$F$10:F98)-SUBTOTAL(9,$G$10:G98))</f>
        <v>0</v>
      </c>
      <c r="I98" s="65" t="b">
        <f t="shared" si="1"/>
        <v>0</v>
      </c>
    </row>
    <row r="99" spans="1:9" ht="15.6" hidden="1" x14ac:dyDescent="0.3">
      <c r="A99" s="63" t="str">
        <f>IF(OR(LEFT(CT!D94,3)=$E$2,LEFT(CT!E94,3)=$E$2),CT!A94,"")</f>
        <v/>
      </c>
      <c r="B99" s="23" t="str">
        <f>IF(LEFT(CT!D94,3)='SQTM &amp; TGNH NGÀY'!$E$2,CT!B94,"")</f>
        <v/>
      </c>
      <c r="C99" s="23" t="str">
        <f>IF(LEFT(CT!E94,3)='SQTM &amp; TGNH NGÀY'!$E$2,CT!B94,"")</f>
        <v/>
      </c>
      <c r="D99" s="23" t="str">
        <f>IF(OR(LEFT(CT!D94,3)='SQTM &amp; TGNH NGÀY'!$E$2,LEFT(CT!E94,3)='SQTM &amp; TGNH NGÀY'!$E$2),CT!C94,"")</f>
        <v/>
      </c>
      <c r="E99" s="23" t="str">
        <f>IF(LEFT(CT!D94,3)='SQTM &amp; TGNH NGÀY'!$E$2,LEFT(CT!E94,3),IF(LEFT(CT!E94,3)='SQTM &amp; TGNH NGÀY'!$E$2,LEFT(CT!D94,3),""))</f>
        <v/>
      </c>
      <c r="F99" s="78">
        <f>IF(LEFT(CT!D94,3)='SQTM &amp; TGNH NGÀY'!$E$2,CT!H94,0)</f>
        <v>0</v>
      </c>
      <c r="G99" s="78">
        <f>IF(LEFT(CT!E94,3)='SQTM &amp; TGNH NGÀY'!$E$2,CT!H94,0)</f>
        <v>0</v>
      </c>
      <c r="H99" s="78">
        <f>IF(SUM(F99:G99)=0,0,$H$8+SUBTOTAL(9,$F$10:F99)-SUBTOTAL(9,$G$10:G99))</f>
        <v>0</v>
      </c>
      <c r="I99" s="65" t="b">
        <f t="shared" si="1"/>
        <v>0</v>
      </c>
    </row>
    <row r="100" spans="1:9" ht="15.6" hidden="1" x14ac:dyDescent="0.3">
      <c r="A100" s="63" t="str">
        <f>IF(OR(LEFT(CT!D95,3)=$E$2,LEFT(CT!E95,3)=$E$2),CT!A95,"")</f>
        <v/>
      </c>
      <c r="B100" s="23" t="str">
        <f>IF(LEFT(CT!D95,3)='SQTM &amp; TGNH NGÀY'!$E$2,CT!B95,"")</f>
        <v/>
      </c>
      <c r="C100" s="23" t="str">
        <f>IF(LEFT(CT!E95,3)='SQTM &amp; TGNH NGÀY'!$E$2,CT!B95,"")</f>
        <v/>
      </c>
      <c r="D100" s="23" t="str">
        <f>IF(OR(LEFT(CT!D95,3)='SQTM &amp; TGNH NGÀY'!$E$2,LEFT(CT!E95,3)='SQTM &amp; TGNH NGÀY'!$E$2),CT!C95,"")</f>
        <v/>
      </c>
      <c r="E100" s="23" t="str">
        <f>IF(LEFT(CT!D95,3)='SQTM &amp; TGNH NGÀY'!$E$2,LEFT(CT!E95,3),IF(LEFT(CT!E95,3)='SQTM &amp; TGNH NGÀY'!$E$2,LEFT(CT!D95,3),""))</f>
        <v/>
      </c>
      <c r="F100" s="78">
        <f>IF(LEFT(CT!D95,3)='SQTM &amp; TGNH NGÀY'!$E$2,CT!H95,0)</f>
        <v>0</v>
      </c>
      <c r="G100" s="78">
        <f>IF(LEFT(CT!E95,3)='SQTM &amp; TGNH NGÀY'!$E$2,CT!H95,0)</f>
        <v>0</v>
      </c>
      <c r="H100" s="78">
        <f>IF(SUM(F100:G100)=0,0,$H$8+SUBTOTAL(9,$F$10:F100)-SUBTOTAL(9,$G$10:G100))</f>
        <v>0</v>
      </c>
      <c r="I100" s="65" t="b">
        <f t="shared" si="1"/>
        <v>0</v>
      </c>
    </row>
    <row r="101" spans="1:9" ht="15.6" hidden="1" x14ac:dyDescent="0.3">
      <c r="A101" s="63" t="str">
        <f>IF(OR(LEFT(CT!D96,3)=$E$2,LEFT(CT!E96,3)=$E$2),CT!A96,"")</f>
        <v/>
      </c>
      <c r="B101" s="23" t="str">
        <f>IF(LEFT(CT!D96,3)='SQTM &amp; TGNH NGÀY'!$E$2,CT!B96,"")</f>
        <v/>
      </c>
      <c r="C101" s="23" t="str">
        <f>IF(LEFT(CT!E96,3)='SQTM &amp; TGNH NGÀY'!$E$2,CT!B96,"")</f>
        <v/>
      </c>
      <c r="D101" s="23" t="str">
        <f>IF(OR(LEFT(CT!D96,3)='SQTM &amp; TGNH NGÀY'!$E$2,LEFT(CT!E96,3)='SQTM &amp; TGNH NGÀY'!$E$2),CT!C96,"")</f>
        <v/>
      </c>
      <c r="E101" s="23" t="str">
        <f>IF(LEFT(CT!D96,3)='SQTM &amp; TGNH NGÀY'!$E$2,LEFT(CT!E96,3),IF(LEFT(CT!E96,3)='SQTM &amp; TGNH NGÀY'!$E$2,LEFT(CT!D96,3),""))</f>
        <v/>
      </c>
      <c r="F101" s="78">
        <f>IF(LEFT(CT!D96,3)='SQTM &amp; TGNH NGÀY'!$E$2,CT!H96,0)</f>
        <v>0</v>
      </c>
      <c r="G101" s="78">
        <f>IF(LEFT(CT!E96,3)='SQTM &amp; TGNH NGÀY'!$E$2,CT!H96,0)</f>
        <v>0</v>
      </c>
      <c r="H101" s="78">
        <f>IF(SUM(F101:G101)=0,0,$H$8+SUBTOTAL(9,$F$10:F101)-SUBTOTAL(9,$G$10:G101))</f>
        <v>0</v>
      </c>
      <c r="I101" s="65" t="b">
        <f t="shared" si="1"/>
        <v>0</v>
      </c>
    </row>
    <row r="102" spans="1:9" ht="15.6" hidden="1" x14ac:dyDescent="0.3">
      <c r="A102" s="63" t="str">
        <f>IF(OR(LEFT(CT!D97,3)=$E$2,LEFT(CT!E97,3)=$E$2),CT!A97,"")</f>
        <v/>
      </c>
      <c r="B102" s="23" t="str">
        <f>IF(LEFT(CT!D97,3)='SQTM &amp; TGNH NGÀY'!$E$2,CT!B97,"")</f>
        <v/>
      </c>
      <c r="C102" s="23" t="str">
        <f>IF(LEFT(CT!E97,3)='SQTM &amp; TGNH NGÀY'!$E$2,CT!B97,"")</f>
        <v/>
      </c>
      <c r="D102" s="23" t="str">
        <f>IF(OR(LEFT(CT!D97,3)='SQTM &amp; TGNH NGÀY'!$E$2,LEFT(CT!E97,3)='SQTM &amp; TGNH NGÀY'!$E$2),CT!C97,"")</f>
        <v/>
      </c>
      <c r="E102" s="23" t="str">
        <f>IF(LEFT(CT!D97,3)='SQTM &amp; TGNH NGÀY'!$E$2,LEFT(CT!E97,3),IF(LEFT(CT!E97,3)='SQTM &amp; TGNH NGÀY'!$E$2,LEFT(CT!D97,3),""))</f>
        <v/>
      </c>
      <c r="F102" s="78">
        <f>IF(LEFT(CT!D97,3)='SQTM &amp; TGNH NGÀY'!$E$2,CT!H97,0)</f>
        <v>0</v>
      </c>
      <c r="G102" s="78">
        <f>IF(LEFT(CT!E97,3)='SQTM &amp; TGNH NGÀY'!$E$2,CT!H97,0)</f>
        <v>0</v>
      </c>
      <c r="H102" s="78">
        <f>IF(SUM(F102:G102)=0,0,$H$8+SUBTOTAL(9,$F$10:F102)-SUBTOTAL(9,$G$10:G102))</f>
        <v>0</v>
      </c>
      <c r="I102" s="65" t="b">
        <f t="shared" si="1"/>
        <v>0</v>
      </c>
    </row>
    <row r="103" spans="1:9" ht="15.6" hidden="1" x14ac:dyDescent="0.3">
      <c r="A103" s="63" t="str">
        <f>IF(OR(LEFT(CT!D98,3)=$E$2,LEFT(CT!E98,3)=$E$2),CT!A98,"")</f>
        <v/>
      </c>
      <c r="B103" s="23" t="str">
        <f>IF(LEFT(CT!D98,3)='SQTM &amp; TGNH NGÀY'!$E$2,CT!B98,"")</f>
        <v/>
      </c>
      <c r="C103" s="23" t="str">
        <f>IF(LEFT(CT!E98,3)='SQTM &amp; TGNH NGÀY'!$E$2,CT!B98,"")</f>
        <v/>
      </c>
      <c r="D103" s="23" t="str">
        <f>IF(OR(LEFT(CT!D98,3)='SQTM &amp; TGNH NGÀY'!$E$2,LEFT(CT!E98,3)='SQTM &amp; TGNH NGÀY'!$E$2),CT!C98,"")</f>
        <v/>
      </c>
      <c r="E103" s="23" t="str">
        <f>IF(LEFT(CT!D98,3)='SQTM &amp; TGNH NGÀY'!$E$2,LEFT(CT!E98,3),IF(LEFT(CT!E98,3)='SQTM &amp; TGNH NGÀY'!$E$2,LEFT(CT!D98,3),""))</f>
        <v/>
      </c>
      <c r="F103" s="78">
        <f>IF(LEFT(CT!D98,3)='SQTM &amp; TGNH NGÀY'!$E$2,CT!H98,0)</f>
        <v>0</v>
      </c>
      <c r="G103" s="78">
        <f>IF(LEFT(CT!E98,3)='SQTM &amp; TGNH NGÀY'!$E$2,CT!H98,0)</f>
        <v>0</v>
      </c>
      <c r="H103" s="78">
        <f>IF(SUM(F103:G103)=0,0,$H$8+SUBTOTAL(9,$F$10:F103)-SUBTOTAL(9,$G$10:G103))</f>
        <v>0</v>
      </c>
      <c r="I103" s="65" t="b">
        <f t="shared" si="1"/>
        <v>0</v>
      </c>
    </row>
    <row r="104" spans="1:9" ht="15.6" hidden="1" x14ac:dyDescent="0.3">
      <c r="A104" s="63" t="str">
        <f>IF(OR(LEFT(CT!D99,3)=$E$2,LEFT(CT!E99,3)=$E$2),CT!A99,"")</f>
        <v/>
      </c>
      <c r="B104" s="23" t="str">
        <f>IF(LEFT(CT!D99,3)='SQTM &amp; TGNH NGÀY'!$E$2,CT!B99,"")</f>
        <v/>
      </c>
      <c r="C104" s="23" t="str">
        <f>IF(LEFT(CT!E99,3)='SQTM &amp; TGNH NGÀY'!$E$2,CT!B99,"")</f>
        <v/>
      </c>
      <c r="D104" s="23" t="str">
        <f>IF(OR(LEFT(CT!D99,3)='SQTM &amp; TGNH NGÀY'!$E$2,LEFT(CT!E99,3)='SQTM &amp; TGNH NGÀY'!$E$2),CT!C99,"")</f>
        <v/>
      </c>
      <c r="E104" s="23" t="str">
        <f>IF(LEFT(CT!D99,3)='SQTM &amp; TGNH NGÀY'!$E$2,LEFT(CT!E99,3),IF(LEFT(CT!E99,3)='SQTM &amp; TGNH NGÀY'!$E$2,LEFT(CT!D99,3),""))</f>
        <v/>
      </c>
      <c r="F104" s="78">
        <f>IF(LEFT(CT!D99,3)='SQTM &amp; TGNH NGÀY'!$E$2,CT!H99,0)</f>
        <v>0</v>
      </c>
      <c r="G104" s="78">
        <f>IF(LEFT(CT!E99,3)='SQTM &amp; TGNH NGÀY'!$E$2,CT!H99,0)</f>
        <v>0</v>
      </c>
      <c r="H104" s="78">
        <f>IF(SUM(F104:G104)=0,0,$H$8+SUBTOTAL(9,$F$10:F104)-SUBTOTAL(9,$G$10:G104))</f>
        <v>0</v>
      </c>
      <c r="I104" s="65" t="b">
        <f t="shared" si="1"/>
        <v>0</v>
      </c>
    </row>
    <row r="105" spans="1:9" ht="15.6" hidden="1" x14ac:dyDescent="0.3">
      <c r="A105" s="63" t="str">
        <f>IF(OR(LEFT(CT!D100,3)=$E$2,LEFT(CT!E100,3)=$E$2),CT!A100,"")</f>
        <v/>
      </c>
      <c r="B105" s="23" t="str">
        <f>IF(LEFT(CT!D100,3)='SQTM &amp; TGNH NGÀY'!$E$2,CT!B100,"")</f>
        <v/>
      </c>
      <c r="C105" s="23" t="str">
        <f>IF(LEFT(CT!E100,3)='SQTM &amp; TGNH NGÀY'!$E$2,CT!B100,"")</f>
        <v/>
      </c>
      <c r="D105" s="23" t="str">
        <f>IF(OR(LEFT(CT!D100,3)='SQTM &amp; TGNH NGÀY'!$E$2,LEFT(CT!E100,3)='SQTM &amp; TGNH NGÀY'!$E$2),CT!C100,"")</f>
        <v/>
      </c>
      <c r="E105" s="23" t="str">
        <f>IF(LEFT(CT!D100,3)='SQTM &amp; TGNH NGÀY'!$E$2,LEFT(CT!E100,3),IF(LEFT(CT!E100,3)='SQTM &amp; TGNH NGÀY'!$E$2,LEFT(CT!D100,3),""))</f>
        <v/>
      </c>
      <c r="F105" s="78">
        <f>IF(LEFT(CT!D100,3)='SQTM &amp; TGNH NGÀY'!$E$2,CT!H100,0)</f>
        <v>0</v>
      </c>
      <c r="G105" s="78">
        <f>IF(LEFT(CT!E100,3)='SQTM &amp; TGNH NGÀY'!$E$2,CT!H100,0)</f>
        <v>0</v>
      </c>
      <c r="H105" s="78">
        <f>IF(SUM(F105:G105)=0,0,$H$8+SUBTOTAL(9,$F$10:F105)-SUBTOTAL(9,$G$10:G105))</f>
        <v>0</v>
      </c>
      <c r="I105" s="65" t="b">
        <f t="shared" si="1"/>
        <v>0</v>
      </c>
    </row>
    <row r="106" spans="1:9" ht="15.6" hidden="1" x14ac:dyDescent="0.3">
      <c r="A106" s="63" t="str">
        <f>IF(OR(LEFT(CT!D101,3)=$E$2,LEFT(CT!E101,3)=$E$2),CT!A101,"")</f>
        <v/>
      </c>
      <c r="B106" s="23" t="str">
        <f>IF(LEFT(CT!D101,3)='SQTM &amp; TGNH NGÀY'!$E$2,CT!B101,"")</f>
        <v/>
      </c>
      <c r="C106" s="23" t="str">
        <f>IF(LEFT(CT!E101,3)='SQTM &amp; TGNH NGÀY'!$E$2,CT!B101,"")</f>
        <v/>
      </c>
      <c r="D106" s="23" t="str">
        <f>IF(OR(LEFT(CT!D101,3)='SQTM &amp; TGNH NGÀY'!$E$2,LEFT(CT!E101,3)='SQTM &amp; TGNH NGÀY'!$E$2),CT!C101,"")</f>
        <v/>
      </c>
      <c r="E106" s="23" t="str">
        <f>IF(LEFT(CT!D101,3)='SQTM &amp; TGNH NGÀY'!$E$2,LEFT(CT!E101,3),IF(LEFT(CT!E101,3)='SQTM &amp; TGNH NGÀY'!$E$2,LEFT(CT!D101,3),""))</f>
        <v/>
      </c>
      <c r="F106" s="78">
        <f>IF(LEFT(CT!D101,3)='SQTM &amp; TGNH NGÀY'!$E$2,CT!H101,0)</f>
        <v>0</v>
      </c>
      <c r="G106" s="78">
        <f>IF(LEFT(CT!E101,3)='SQTM &amp; TGNH NGÀY'!$E$2,CT!H101,0)</f>
        <v>0</v>
      </c>
      <c r="H106" s="78">
        <f>IF(SUM(F106:G106)=0,0,$H$8+SUBTOTAL(9,$F$10:F106)-SUBTOTAL(9,$G$10:G106))</f>
        <v>0</v>
      </c>
      <c r="I106" s="65" t="b">
        <f t="shared" si="1"/>
        <v>0</v>
      </c>
    </row>
    <row r="107" spans="1:9" ht="15.6" hidden="1" x14ac:dyDescent="0.3">
      <c r="A107" s="63" t="str">
        <f>IF(OR(LEFT(CT!D102,3)=$E$2,LEFT(CT!E102,3)=$E$2),CT!A102,"")</f>
        <v/>
      </c>
      <c r="B107" s="23" t="str">
        <f>IF(LEFT(CT!D102,3)='SQTM &amp; TGNH NGÀY'!$E$2,CT!B102,"")</f>
        <v/>
      </c>
      <c r="C107" s="23" t="str">
        <f>IF(LEFT(CT!E102,3)='SQTM &amp; TGNH NGÀY'!$E$2,CT!B102,"")</f>
        <v/>
      </c>
      <c r="D107" s="23" t="str">
        <f>IF(OR(LEFT(CT!D102,3)='SQTM &amp; TGNH NGÀY'!$E$2,LEFT(CT!E102,3)='SQTM &amp; TGNH NGÀY'!$E$2),CT!C102,"")</f>
        <v/>
      </c>
      <c r="E107" s="23" t="str">
        <f>IF(LEFT(CT!D102,3)='SQTM &amp; TGNH NGÀY'!$E$2,LEFT(CT!E102,3),IF(LEFT(CT!E102,3)='SQTM &amp; TGNH NGÀY'!$E$2,LEFT(CT!D102,3),""))</f>
        <v/>
      </c>
      <c r="F107" s="78">
        <f>IF(LEFT(CT!D102,3)='SQTM &amp; TGNH NGÀY'!$E$2,CT!H102,0)</f>
        <v>0</v>
      </c>
      <c r="G107" s="78">
        <f>IF(LEFT(CT!E102,3)='SQTM &amp; TGNH NGÀY'!$E$2,CT!H102,0)</f>
        <v>0</v>
      </c>
      <c r="H107" s="78">
        <f>IF(SUM(F107:G107)=0,0,$H$8+SUBTOTAL(9,$F$10:F107)-SUBTOTAL(9,$G$10:G107))</f>
        <v>0</v>
      </c>
      <c r="I107" s="65" t="b">
        <f t="shared" si="1"/>
        <v>0</v>
      </c>
    </row>
    <row r="108" spans="1:9" ht="15.6" hidden="1" x14ac:dyDescent="0.3">
      <c r="A108" s="63" t="str">
        <f>IF(OR(LEFT(CT!D103,3)=$E$2,LEFT(CT!E103,3)=$E$2),CT!A103,"")</f>
        <v/>
      </c>
      <c r="B108" s="23" t="str">
        <f>IF(LEFT(CT!D103,3)='SQTM &amp; TGNH NGÀY'!$E$2,CT!B103,"")</f>
        <v/>
      </c>
      <c r="C108" s="23" t="str">
        <f>IF(LEFT(CT!E103,3)='SQTM &amp; TGNH NGÀY'!$E$2,CT!B103,"")</f>
        <v/>
      </c>
      <c r="D108" s="23" t="str">
        <f>IF(OR(LEFT(CT!D103,3)='SQTM &amp; TGNH NGÀY'!$E$2,LEFT(CT!E103,3)='SQTM &amp; TGNH NGÀY'!$E$2),CT!C103,"")</f>
        <v/>
      </c>
      <c r="E108" s="23" t="str">
        <f>IF(LEFT(CT!D103,3)='SQTM &amp; TGNH NGÀY'!$E$2,LEFT(CT!E103,3),IF(LEFT(CT!E103,3)='SQTM &amp; TGNH NGÀY'!$E$2,LEFT(CT!D103,3),""))</f>
        <v/>
      </c>
      <c r="F108" s="78">
        <f>IF(LEFT(CT!D103,3)='SQTM &amp; TGNH NGÀY'!$E$2,CT!H103,0)</f>
        <v>0</v>
      </c>
      <c r="G108" s="78">
        <f>IF(LEFT(CT!E103,3)='SQTM &amp; TGNH NGÀY'!$E$2,CT!H103,0)</f>
        <v>0</v>
      </c>
      <c r="H108" s="78">
        <f>IF(SUM(F108:G108)=0,0,$H$8+SUBTOTAL(9,$F$10:F108)-SUBTOTAL(9,$G$10:G108))</f>
        <v>0</v>
      </c>
      <c r="I108" s="65" t="b">
        <f t="shared" si="1"/>
        <v>0</v>
      </c>
    </row>
    <row r="109" spans="1:9" ht="15.6" hidden="1" x14ac:dyDescent="0.3">
      <c r="A109" s="63" t="str">
        <f>IF(OR(LEFT(CT!D104,3)=$E$2,LEFT(CT!E104,3)=$E$2),CT!A104,"")</f>
        <v/>
      </c>
      <c r="B109" s="23" t="str">
        <f>IF(LEFT(CT!D104,3)='SQTM &amp; TGNH NGÀY'!$E$2,CT!B104,"")</f>
        <v/>
      </c>
      <c r="C109" s="23" t="str">
        <f>IF(LEFT(CT!E104,3)='SQTM &amp; TGNH NGÀY'!$E$2,CT!B104,"")</f>
        <v/>
      </c>
      <c r="D109" s="23" t="str">
        <f>IF(OR(LEFT(CT!D104,3)='SQTM &amp; TGNH NGÀY'!$E$2,LEFT(CT!E104,3)='SQTM &amp; TGNH NGÀY'!$E$2),CT!C104,"")</f>
        <v/>
      </c>
      <c r="E109" s="23" t="str">
        <f>IF(LEFT(CT!D104,3)='SQTM &amp; TGNH NGÀY'!$E$2,LEFT(CT!E104,3),IF(LEFT(CT!E104,3)='SQTM &amp; TGNH NGÀY'!$E$2,LEFT(CT!D104,3),""))</f>
        <v/>
      </c>
      <c r="F109" s="78">
        <f>IF(LEFT(CT!D104,3)='SQTM &amp; TGNH NGÀY'!$E$2,CT!H104,0)</f>
        <v>0</v>
      </c>
      <c r="G109" s="78">
        <f>IF(LEFT(CT!E104,3)='SQTM &amp; TGNH NGÀY'!$E$2,CT!H104,0)</f>
        <v>0</v>
      </c>
      <c r="H109" s="78">
        <f>IF(SUM(F109:G109)=0,0,$H$8+SUBTOTAL(9,$F$10:F109)-SUBTOTAL(9,$G$10:G109))</f>
        <v>0</v>
      </c>
      <c r="I109" s="65" t="b">
        <f t="shared" si="1"/>
        <v>0</v>
      </c>
    </row>
    <row r="110" spans="1:9" ht="15.6" hidden="1" x14ac:dyDescent="0.3">
      <c r="A110" s="63" t="str">
        <f>IF(OR(LEFT(CT!D105,3)=$E$2,LEFT(CT!E105,3)=$E$2),CT!A105,"")</f>
        <v/>
      </c>
      <c r="B110" s="23" t="str">
        <f>IF(LEFT(CT!D105,3)='SQTM &amp; TGNH NGÀY'!$E$2,CT!B105,"")</f>
        <v/>
      </c>
      <c r="C110" s="23" t="str">
        <f>IF(LEFT(CT!E105,3)='SQTM &amp; TGNH NGÀY'!$E$2,CT!B105,"")</f>
        <v/>
      </c>
      <c r="D110" s="23" t="str">
        <f>IF(OR(LEFT(CT!D105,3)='SQTM &amp; TGNH NGÀY'!$E$2,LEFT(CT!E105,3)='SQTM &amp; TGNH NGÀY'!$E$2),CT!C105,"")</f>
        <v/>
      </c>
      <c r="E110" s="23" t="str">
        <f>IF(LEFT(CT!D105,3)='SQTM &amp; TGNH NGÀY'!$E$2,LEFT(CT!E105,3),IF(LEFT(CT!E105,3)='SQTM &amp; TGNH NGÀY'!$E$2,LEFT(CT!D105,3),""))</f>
        <v/>
      </c>
      <c r="F110" s="78">
        <f>IF(LEFT(CT!D105,3)='SQTM &amp; TGNH NGÀY'!$E$2,CT!H105,0)</f>
        <v>0</v>
      </c>
      <c r="G110" s="78">
        <f>IF(LEFT(CT!E105,3)='SQTM &amp; TGNH NGÀY'!$E$2,CT!H105,0)</f>
        <v>0</v>
      </c>
      <c r="H110" s="78">
        <f>IF(SUM(F110:G110)=0,0,$H$8+SUBTOTAL(9,$F$10:F110)-SUBTOTAL(9,$G$10:G110))</f>
        <v>0</v>
      </c>
      <c r="I110" s="65" t="b">
        <f t="shared" si="1"/>
        <v>0</v>
      </c>
    </row>
    <row r="111" spans="1:9" ht="15.6" hidden="1" x14ac:dyDescent="0.3">
      <c r="A111" s="63" t="str">
        <f>IF(OR(LEFT(CT!D106,3)=$E$2,LEFT(CT!E106,3)=$E$2),CT!A106,"")</f>
        <v/>
      </c>
      <c r="B111" s="23" t="str">
        <f>IF(LEFT(CT!D106,3)='SQTM &amp; TGNH NGÀY'!$E$2,CT!B106,"")</f>
        <v/>
      </c>
      <c r="C111" s="23" t="str">
        <f>IF(LEFT(CT!E106,3)='SQTM &amp; TGNH NGÀY'!$E$2,CT!B106,"")</f>
        <v/>
      </c>
      <c r="D111" s="23" t="str">
        <f>IF(OR(LEFT(CT!D106,3)='SQTM &amp; TGNH NGÀY'!$E$2,LEFT(CT!E106,3)='SQTM &amp; TGNH NGÀY'!$E$2),CT!C106,"")</f>
        <v/>
      </c>
      <c r="E111" s="23" t="str">
        <f>IF(LEFT(CT!D106,3)='SQTM &amp; TGNH NGÀY'!$E$2,LEFT(CT!E106,3),IF(LEFT(CT!E106,3)='SQTM &amp; TGNH NGÀY'!$E$2,LEFT(CT!D106,3),""))</f>
        <v/>
      </c>
      <c r="F111" s="78">
        <f>IF(LEFT(CT!D106,3)='SQTM &amp; TGNH NGÀY'!$E$2,CT!H106,0)</f>
        <v>0</v>
      </c>
      <c r="G111" s="78">
        <f>IF(LEFT(CT!E106,3)='SQTM &amp; TGNH NGÀY'!$E$2,CT!H106,0)</f>
        <v>0</v>
      </c>
      <c r="H111" s="78">
        <f>IF(SUM(F111:G111)=0,0,$H$8+SUBTOTAL(9,$F$10:F111)-SUBTOTAL(9,$G$10:G111))</f>
        <v>0</v>
      </c>
      <c r="I111" s="65" t="b">
        <f t="shared" si="1"/>
        <v>0</v>
      </c>
    </row>
    <row r="112" spans="1:9" ht="15.6" hidden="1" x14ac:dyDescent="0.3">
      <c r="A112" s="63" t="str">
        <f>IF(OR(LEFT(CT!D107,3)=$E$2,LEFT(CT!E107,3)=$E$2),CT!A107,"")</f>
        <v/>
      </c>
      <c r="B112" s="23" t="str">
        <f>IF(LEFT(CT!D107,3)='SQTM &amp; TGNH NGÀY'!$E$2,CT!B107,"")</f>
        <v/>
      </c>
      <c r="C112" s="23" t="str">
        <f>IF(LEFT(CT!E107,3)='SQTM &amp; TGNH NGÀY'!$E$2,CT!B107,"")</f>
        <v/>
      </c>
      <c r="D112" s="23" t="str">
        <f>IF(OR(LEFT(CT!D107,3)='SQTM &amp; TGNH NGÀY'!$E$2,LEFT(CT!E107,3)='SQTM &amp; TGNH NGÀY'!$E$2),CT!C107,"")</f>
        <v/>
      </c>
      <c r="E112" s="23" t="str">
        <f>IF(LEFT(CT!D107,3)='SQTM &amp; TGNH NGÀY'!$E$2,LEFT(CT!E107,3),IF(LEFT(CT!E107,3)='SQTM &amp; TGNH NGÀY'!$E$2,LEFT(CT!D107,3),""))</f>
        <v/>
      </c>
      <c r="F112" s="78">
        <f>IF(LEFT(CT!D107,3)='SQTM &amp; TGNH NGÀY'!$E$2,CT!H107,0)</f>
        <v>0</v>
      </c>
      <c r="G112" s="78">
        <f>IF(LEFT(CT!E107,3)='SQTM &amp; TGNH NGÀY'!$E$2,CT!H107,0)</f>
        <v>0</v>
      </c>
      <c r="H112" s="78">
        <f>IF(SUM(F112:G112)=0,0,$H$8+SUBTOTAL(9,$F$10:F112)-SUBTOTAL(9,$G$10:G112))</f>
        <v>0</v>
      </c>
      <c r="I112" s="65" t="b">
        <f t="shared" si="1"/>
        <v>0</v>
      </c>
    </row>
    <row r="113" spans="1:9" ht="15.6" hidden="1" x14ac:dyDescent="0.3">
      <c r="A113" s="63" t="str">
        <f>IF(OR(LEFT(CT!D108,3)=$E$2,LEFT(CT!E108,3)=$E$2),CT!A108,"")</f>
        <v/>
      </c>
      <c r="B113" s="23" t="str">
        <f>IF(LEFT(CT!D108,3)='SQTM &amp; TGNH NGÀY'!$E$2,CT!B108,"")</f>
        <v/>
      </c>
      <c r="C113" s="23" t="str">
        <f>IF(LEFT(CT!E108,3)='SQTM &amp; TGNH NGÀY'!$E$2,CT!B108,"")</f>
        <v/>
      </c>
      <c r="D113" s="23" t="str">
        <f>IF(OR(LEFT(CT!D108,3)='SQTM &amp; TGNH NGÀY'!$E$2,LEFT(CT!E108,3)='SQTM &amp; TGNH NGÀY'!$E$2),CT!C108,"")</f>
        <v/>
      </c>
      <c r="E113" s="23" t="str">
        <f>IF(LEFT(CT!D108,3)='SQTM &amp; TGNH NGÀY'!$E$2,LEFT(CT!E108,3),IF(LEFT(CT!E108,3)='SQTM &amp; TGNH NGÀY'!$E$2,LEFT(CT!D108,3),""))</f>
        <v/>
      </c>
      <c r="F113" s="78">
        <f>IF(LEFT(CT!D108,3)='SQTM &amp; TGNH NGÀY'!$E$2,CT!H108,0)</f>
        <v>0</v>
      </c>
      <c r="G113" s="78">
        <f>IF(LEFT(CT!E108,3)='SQTM &amp; TGNH NGÀY'!$E$2,CT!H108,0)</f>
        <v>0</v>
      </c>
      <c r="H113" s="78">
        <f>IF(SUM(F113:G113)=0,0,$H$8+SUBTOTAL(9,$F$10:F113)-SUBTOTAL(9,$G$10:G113))</f>
        <v>0</v>
      </c>
      <c r="I113" s="65" t="b">
        <f t="shared" si="1"/>
        <v>0</v>
      </c>
    </row>
    <row r="114" spans="1:9" ht="15.6" hidden="1" x14ac:dyDescent="0.3">
      <c r="A114" s="63" t="str">
        <f>IF(OR(LEFT(CT!D109,3)=$E$2,LEFT(CT!E109,3)=$E$2),CT!A109,"")</f>
        <v/>
      </c>
      <c r="B114" s="23" t="str">
        <f>IF(LEFT(CT!D109,3)='SQTM &amp; TGNH NGÀY'!$E$2,CT!B109,"")</f>
        <v/>
      </c>
      <c r="C114" s="23" t="str">
        <f>IF(LEFT(CT!E109,3)='SQTM &amp; TGNH NGÀY'!$E$2,CT!B109,"")</f>
        <v/>
      </c>
      <c r="D114" s="23" t="str">
        <f>IF(OR(LEFT(CT!D109,3)='SQTM &amp; TGNH NGÀY'!$E$2,LEFT(CT!E109,3)='SQTM &amp; TGNH NGÀY'!$E$2),CT!C109,"")</f>
        <v/>
      </c>
      <c r="E114" s="23" t="str">
        <f>IF(LEFT(CT!D109,3)='SQTM &amp; TGNH NGÀY'!$E$2,LEFT(CT!E109,3),IF(LEFT(CT!E109,3)='SQTM &amp; TGNH NGÀY'!$E$2,LEFT(CT!D109,3),""))</f>
        <v/>
      </c>
      <c r="F114" s="78">
        <f>IF(LEFT(CT!D109,3)='SQTM &amp; TGNH NGÀY'!$E$2,CT!H109,0)</f>
        <v>0</v>
      </c>
      <c r="G114" s="78">
        <f>IF(LEFT(CT!E109,3)='SQTM &amp; TGNH NGÀY'!$E$2,CT!H109,0)</f>
        <v>0</v>
      </c>
      <c r="H114" s="78">
        <f>IF(SUM(F114:G114)=0,0,$H$8+SUBTOTAL(9,$F$10:F114)-SUBTOTAL(9,$G$10:G114))</f>
        <v>0</v>
      </c>
      <c r="I114" s="65" t="b">
        <f t="shared" si="1"/>
        <v>0</v>
      </c>
    </row>
    <row r="115" spans="1:9" ht="15.6" hidden="1" x14ac:dyDescent="0.3">
      <c r="A115" s="63" t="str">
        <f>IF(OR(LEFT(CT!D110,3)=$E$2,LEFT(CT!E110,3)=$E$2),CT!A110,"")</f>
        <v/>
      </c>
      <c r="B115" s="23" t="str">
        <f>IF(LEFT(CT!D110,3)='SQTM &amp; TGNH NGÀY'!$E$2,CT!B110,"")</f>
        <v/>
      </c>
      <c r="C115" s="23" t="str">
        <f>IF(LEFT(CT!E110,3)='SQTM &amp; TGNH NGÀY'!$E$2,CT!B110,"")</f>
        <v/>
      </c>
      <c r="D115" s="23" t="str">
        <f>IF(OR(LEFT(CT!D110,3)='SQTM &amp; TGNH NGÀY'!$E$2,LEFT(CT!E110,3)='SQTM &amp; TGNH NGÀY'!$E$2),CT!C110,"")</f>
        <v/>
      </c>
      <c r="E115" s="23" t="str">
        <f>IF(LEFT(CT!D110,3)='SQTM &amp; TGNH NGÀY'!$E$2,LEFT(CT!E110,3),IF(LEFT(CT!E110,3)='SQTM &amp; TGNH NGÀY'!$E$2,LEFT(CT!D110,3),""))</f>
        <v/>
      </c>
      <c r="F115" s="78">
        <f>IF(LEFT(CT!D110,3)='SQTM &amp; TGNH NGÀY'!$E$2,CT!H110,0)</f>
        <v>0</v>
      </c>
      <c r="G115" s="78">
        <f>IF(LEFT(CT!E110,3)='SQTM &amp; TGNH NGÀY'!$E$2,CT!H110,0)</f>
        <v>0</v>
      </c>
      <c r="H115" s="78">
        <f>IF(SUM(F115:G115)=0,0,$H$8+SUBTOTAL(9,$F$10:F115)-SUBTOTAL(9,$G$10:G115))</f>
        <v>0</v>
      </c>
      <c r="I115" s="65" t="b">
        <f t="shared" si="1"/>
        <v>0</v>
      </c>
    </row>
    <row r="116" spans="1:9" ht="15.6" hidden="1" x14ac:dyDescent="0.3">
      <c r="A116" s="63" t="str">
        <f>IF(OR(LEFT(CT!D111,3)=$E$2,LEFT(CT!E111,3)=$E$2),CT!A111,"")</f>
        <v/>
      </c>
      <c r="B116" s="23" t="str">
        <f>IF(LEFT(CT!D111,3)='SQTM &amp; TGNH NGÀY'!$E$2,CT!B111,"")</f>
        <v/>
      </c>
      <c r="C116" s="23" t="str">
        <f>IF(LEFT(CT!E111,3)='SQTM &amp; TGNH NGÀY'!$E$2,CT!B111,"")</f>
        <v/>
      </c>
      <c r="D116" s="23" t="str">
        <f>IF(OR(LEFT(CT!D111,3)='SQTM &amp; TGNH NGÀY'!$E$2,LEFT(CT!E111,3)='SQTM &amp; TGNH NGÀY'!$E$2),CT!C111,"")</f>
        <v/>
      </c>
      <c r="E116" s="23" t="str">
        <f>IF(LEFT(CT!D111,3)='SQTM &amp; TGNH NGÀY'!$E$2,LEFT(CT!E111,3),IF(LEFT(CT!E111,3)='SQTM &amp; TGNH NGÀY'!$E$2,LEFT(CT!D111,3),""))</f>
        <v/>
      </c>
      <c r="F116" s="78">
        <f>IF(LEFT(CT!D111,3)='SQTM &amp; TGNH NGÀY'!$E$2,CT!H111,0)</f>
        <v>0</v>
      </c>
      <c r="G116" s="78">
        <f>IF(LEFT(CT!E111,3)='SQTM &amp; TGNH NGÀY'!$E$2,CT!H111,0)</f>
        <v>0</v>
      </c>
      <c r="H116" s="78">
        <f>IF(SUM(F116:G116)=0,0,$H$8+SUBTOTAL(9,$F$10:F116)-SUBTOTAL(9,$G$10:G116))</f>
        <v>0</v>
      </c>
      <c r="I116" s="65" t="b">
        <f t="shared" si="1"/>
        <v>0</v>
      </c>
    </row>
    <row r="117" spans="1:9" ht="15.6" hidden="1" x14ac:dyDescent="0.3">
      <c r="A117" s="63" t="str">
        <f>IF(OR(LEFT(CT!D112,3)=$E$2,LEFT(CT!E112,3)=$E$2),CT!A112,"")</f>
        <v/>
      </c>
      <c r="B117" s="23" t="str">
        <f>IF(LEFT(CT!D112,3)='SQTM &amp; TGNH NGÀY'!$E$2,CT!B112,"")</f>
        <v/>
      </c>
      <c r="C117" s="23" t="str">
        <f>IF(LEFT(CT!E112,3)='SQTM &amp; TGNH NGÀY'!$E$2,CT!B112,"")</f>
        <v/>
      </c>
      <c r="D117" s="23" t="str">
        <f>IF(OR(LEFT(CT!D112,3)='SQTM &amp; TGNH NGÀY'!$E$2,LEFT(CT!E112,3)='SQTM &amp; TGNH NGÀY'!$E$2),CT!C112,"")</f>
        <v/>
      </c>
      <c r="E117" s="23" t="str">
        <f>IF(LEFT(CT!D112,3)='SQTM &amp; TGNH NGÀY'!$E$2,LEFT(CT!E112,3),IF(LEFT(CT!E112,3)='SQTM &amp; TGNH NGÀY'!$E$2,LEFT(CT!D112,3),""))</f>
        <v/>
      </c>
      <c r="F117" s="78">
        <f>IF(LEFT(CT!D112,3)='SQTM &amp; TGNH NGÀY'!$E$2,CT!H112,0)</f>
        <v>0</v>
      </c>
      <c r="G117" s="78">
        <f>IF(LEFT(CT!E112,3)='SQTM &amp; TGNH NGÀY'!$E$2,CT!H112,0)</f>
        <v>0</v>
      </c>
      <c r="H117" s="78">
        <f>IF(SUM(F117:G117)=0,0,$H$8+SUBTOTAL(9,$F$10:F117)-SUBTOTAL(9,$G$10:G117))</f>
        <v>0</v>
      </c>
      <c r="I117" s="65" t="b">
        <f t="shared" si="1"/>
        <v>0</v>
      </c>
    </row>
    <row r="118" spans="1:9" ht="15.6" hidden="1" x14ac:dyDescent="0.3">
      <c r="A118" s="63" t="str">
        <f>IF(OR(LEFT(CT!D113,3)=$E$2,LEFT(CT!E113,3)=$E$2),CT!A113,"")</f>
        <v/>
      </c>
      <c r="B118" s="23" t="str">
        <f>IF(LEFT(CT!D113,3)='SQTM &amp; TGNH NGÀY'!$E$2,CT!B113,"")</f>
        <v/>
      </c>
      <c r="C118" s="23" t="str">
        <f>IF(LEFT(CT!E113,3)='SQTM &amp; TGNH NGÀY'!$E$2,CT!B113,"")</f>
        <v/>
      </c>
      <c r="D118" s="23" t="str">
        <f>IF(OR(LEFT(CT!D113,3)='SQTM &amp; TGNH NGÀY'!$E$2,LEFT(CT!E113,3)='SQTM &amp; TGNH NGÀY'!$E$2),CT!C113,"")</f>
        <v/>
      </c>
      <c r="E118" s="23" t="str">
        <f>IF(LEFT(CT!D113,3)='SQTM &amp; TGNH NGÀY'!$E$2,LEFT(CT!E113,3),IF(LEFT(CT!E113,3)='SQTM &amp; TGNH NGÀY'!$E$2,LEFT(CT!D113,3),""))</f>
        <v/>
      </c>
      <c r="F118" s="78">
        <f>IF(LEFT(CT!D113,3)='SQTM &amp; TGNH NGÀY'!$E$2,CT!H113,0)</f>
        <v>0</v>
      </c>
      <c r="G118" s="78">
        <f>IF(LEFT(CT!E113,3)='SQTM &amp; TGNH NGÀY'!$E$2,CT!H113,0)</f>
        <v>0</v>
      </c>
      <c r="H118" s="78">
        <f>IF(SUM(F118:G118)=0,0,$H$8+SUBTOTAL(9,$F$10:F118)-SUBTOTAL(9,$G$10:G118))</f>
        <v>0</v>
      </c>
      <c r="I118" s="65" t="b">
        <f t="shared" si="1"/>
        <v>0</v>
      </c>
    </row>
    <row r="119" spans="1:9" ht="15.6" hidden="1" x14ac:dyDescent="0.3">
      <c r="A119" s="63" t="str">
        <f>IF(OR(LEFT(CT!D114,3)=$E$2,LEFT(CT!E114,3)=$E$2),CT!A114,"")</f>
        <v/>
      </c>
      <c r="B119" s="23" t="str">
        <f>IF(LEFT(CT!D114,3)='SQTM &amp; TGNH NGÀY'!$E$2,CT!B114,"")</f>
        <v/>
      </c>
      <c r="C119" s="23" t="str">
        <f>IF(LEFT(CT!E114,3)='SQTM &amp; TGNH NGÀY'!$E$2,CT!B114,"")</f>
        <v/>
      </c>
      <c r="D119" s="23" t="str">
        <f>IF(OR(LEFT(CT!D114,3)='SQTM &amp; TGNH NGÀY'!$E$2,LEFT(CT!E114,3)='SQTM &amp; TGNH NGÀY'!$E$2),CT!C114,"")</f>
        <v/>
      </c>
      <c r="E119" s="23" t="str">
        <f>IF(LEFT(CT!D114,3)='SQTM &amp; TGNH NGÀY'!$E$2,LEFT(CT!E114,3),IF(LEFT(CT!E114,3)='SQTM &amp; TGNH NGÀY'!$E$2,LEFT(CT!D114,3),""))</f>
        <v/>
      </c>
      <c r="F119" s="78">
        <f>IF(LEFT(CT!D114,3)='SQTM &amp; TGNH NGÀY'!$E$2,CT!H114,0)</f>
        <v>0</v>
      </c>
      <c r="G119" s="78">
        <f>IF(LEFT(CT!E114,3)='SQTM &amp; TGNH NGÀY'!$E$2,CT!H114,0)</f>
        <v>0</v>
      </c>
      <c r="H119" s="78">
        <f>IF(SUM(F119:G119)=0,0,$H$8+SUBTOTAL(9,$F$10:F119)-SUBTOTAL(9,$G$10:G119))</f>
        <v>0</v>
      </c>
      <c r="I119" s="65" t="b">
        <f t="shared" si="1"/>
        <v>0</v>
      </c>
    </row>
    <row r="120" spans="1:9" ht="15.6" hidden="1" x14ac:dyDescent="0.3">
      <c r="A120" s="63" t="str">
        <f>IF(OR(LEFT(CT!D115,3)=$E$2,LEFT(CT!E115,3)=$E$2),CT!A115,"")</f>
        <v/>
      </c>
      <c r="B120" s="23" t="str">
        <f>IF(LEFT(CT!D115,3)='SQTM &amp; TGNH NGÀY'!$E$2,CT!B115,"")</f>
        <v/>
      </c>
      <c r="C120" s="23" t="str">
        <f>IF(LEFT(CT!E115,3)='SQTM &amp; TGNH NGÀY'!$E$2,CT!B115,"")</f>
        <v/>
      </c>
      <c r="D120" s="23" t="str">
        <f>IF(OR(LEFT(CT!D115,3)='SQTM &amp; TGNH NGÀY'!$E$2,LEFT(CT!E115,3)='SQTM &amp; TGNH NGÀY'!$E$2),CT!C115,"")</f>
        <v/>
      </c>
      <c r="E120" s="23" t="str">
        <f>IF(LEFT(CT!D115,3)='SQTM &amp; TGNH NGÀY'!$E$2,LEFT(CT!E115,3),IF(LEFT(CT!E115,3)='SQTM &amp; TGNH NGÀY'!$E$2,LEFT(CT!D115,3),""))</f>
        <v/>
      </c>
      <c r="F120" s="78">
        <f>IF(LEFT(CT!D115,3)='SQTM &amp; TGNH NGÀY'!$E$2,CT!H115,0)</f>
        <v>0</v>
      </c>
      <c r="G120" s="78">
        <f>IF(LEFT(CT!E115,3)='SQTM &amp; TGNH NGÀY'!$E$2,CT!H115,0)</f>
        <v>0</v>
      </c>
      <c r="H120" s="78">
        <f>IF(SUM(F120:G120)=0,0,$H$8+SUBTOTAL(9,$F$10:F120)-SUBTOTAL(9,$G$10:G120))</f>
        <v>0</v>
      </c>
      <c r="I120" s="65" t="b">
        <f t="shared" si="1"/>
        <v>0</v>
      </c>
    </row>
    <row r="121" spans="1:9" ht="15.6" hidden="1" x14ac:dyDescent="0.3">
      <c r="A121" s="63" t="str">
        <f>IF(OR(LEFT(CT!D116,3)=$E$2,LEFT(CT!E116,3)=$E$2),CT!A116,"")</f>
        <v/>
      </c>
      <c r="B121" s="23" t="str">
        <f>IF(LEFT(CT!D116,3)='SQTM &amp; TGNH NGÀY'!$E$2,CT!B116,"")</f>
        <v/>
      </c>
      <c r="C121" s="23" t="str">
        <f>IF(LEFT(CT!E116,3)='SQTM &amp; TGNH NGÀY'!$E$2,CT!B116,"")</f>
        <v/>
      </c>
      <c r="D121" s="23" t="str">
        <f>IF(OR(LEFT(CT!D116,3)='SQTM &amp; TGNH NGÀY'!$E$2,LEFT(CT!E116,3)='SQTM &amp; TGNH NGÀY'!$E$2),CT!C116,"")</f>
        <v/>
      </c>
      <c r="E121" s="23" t="str">
        <f>IF(LEFT(CT!D116,3)='SQTM &amp; TGNH NGÀY'!$E$2,LEFT(CT!E116,3),IF(LEFT(CT!E116,3)='SQTM &amp; TGNH NGÀY'!$E$2,LEFT(CT!D116,3),""))</f>
        <v/>
      </c>
      <c r="F121" s="78">
        <f>IF(LEFT(CT!D116,3)='SQTM &amp; TGNH NGÀY'!$E$2,CT!H116,0)</f>
        <v>0</v>
      </c>
      <c r="G121" s="78">
        <f>IF(LEFT(CT!E116,3)='SQTM &amp; TGNH NGÀY'!$E$2,CT!H116,0)</f>
        <v>0</v>
      </c>
      <c r="H121" s="78">
        <f>IF(SUM(F121:G121)=0,0,$H$8+SUBTOTAL(9,$F$10:F121)-SUBTOTAL(9,$G$10:G121))</f>
        <v>0</v>
      </c>
      <c r="I121" s="65" t="b">
        <f t="shared" si="1"/>
        <v>0</v>
      </c>
    </row>
    <row r="122" spans="1:9" ht="15.6" hidden="1" x14ac:dyDescent="0.3">
      <c r="A122" s="63" t="str">
        <f>IF(OR(LEFT(CT!D117,3)=$E$2,LEFT(CT!E117,3)=$E$2),CT!A117,"")</f>
        <v/>
      </c>
      <c r="B122" s="23" t="str">
        <f>IF(LEFT(CT!D117,3)='SQTM &amp; TGNH NGÀY'!$E$2,CT!B117,"")</f>
        <v/>
      </c>
      <c r="C122" s="23" t="str">
        <f>IF(LEFT(CT!E117,3)='SQTM &amp; TGNH NGÀY'!$E$2,CT!B117,"")</f>
        <v/>
      </c>
      <c r="D122" s="23" t="str">
        <f>IF(OR(LEFT(CT!D117,3)='SQTM &amp; TGNH NGÀY'!$E$2,LEFT(CT!E117,3)='SQTM &amp; TGNH NGÀY'!$E$2),CT!C117,"")</f>
        <v/>
      </c>
      <c r="E122" s="23" t="str">
        <f>IF(LEFT(CT!D117,3)='SQTM &amp; TGNH NGÀY'!$E$2,LEFT(CT!E117,3),IF(LEFT(CT!E117,3)='SQTM &amp; TGNH NGÀY'!$E$2,LEFT(CT!D117,3),""))</f>
        <v/>
      </c>
      <c r="F122" s="78">
        <f>IF(LEFT(CT!D117,3)='SQTM &amp; TGNH NGÀY'!$E$2,CT!H117,0)</f>
        <v>0</v>
      </c>
      <c r="G122" s="78">
        <f>IF(LEFT(CT!E117,3)='SQTM &amp; TGNH NGÀY'!$E$2,CT!H117,0)</f>
        <v>0</v>
      </c>
      <c r="H122" s="78">
        <f>IF(SUM(F122:G122)=0,0,$H$8+SUBTOTAL(9,$F$10:F122)-SUBTOTAL(9,$G$10:G122))</f>
        <v>0</v>
      </c>
      <c r="I122" s="65" t="b">
        <f t="shared" si="1"/>
        <v>0</v>
      </c>
    </row>
    <row r="123" spans="1:9" ht="15.6" hidden="1" x14ac:dyDescent="0.3">
      <c r="A123" s="63" t="str">
        <f>IF(OR(LEFT(CT!D118,3)=$E$2,LEFT(CT!E118,3)=$E$2),CT!A118,"")</f>
        <v/>
      </c>
      <c r="B123" s="23" t="str">
        <f>IF(LEFT(CT!D118,3)='SQTM &amp; TGNH NGÀY'!$E$2,CT!B118,"")</f>
        <v/>
      </c>
      <c r="C123" s="23" t="str">
        <f>IF(LEFT(CT!E118,3)='SQTM &amp; TGNH NGÀY'!$E$2,CT!B118,"")</f>
        <v/>
      </c>
      <c r="D123" s="23" t="str">
        <f>IF(OR(LEFT(CT!D118,3)='SQTM &amp; TGNH NGÀY'!$E$2,LEFT(CT!E118,3)='SQTM &amp; TGNH NGÀY'!$E$2),CT!C118,"")</f>
        <v/>
      </c>
      <c r="E123" s="23" t="str">
        <f>IF(LEFT(CT!D118,3)='SQTM &amp; TGNH NGÀY'!$E$2,LEFT(CT!E118,3),IF(LEFT(CT!E118,3)='SQTM &amp; TGNH NGÀY'!$E$2,LEFT(CT!D118,3),""))</f>
        <v/>
      </c>
      <c r="F123" s="78">
        <f>IF(LEFT(CT!D118,3)='SQTM &amp; TGNH NGÀY'!$E$2,CT!H118,0)</f>
        <v>0</v>
      </c>
      <c r="G123" s="78">
        <f>IF(LEFT(CT!E118,3)='SQTM &amp; TGNH NGÀY'!$E$2,CT!H118,0)</f>
        <v>0</v>
      </c>
      <c r="H123" s="78">
        <f>IF(SUM(F123:G123)=0,0,$H$8+SUBTOTAL(9,$F$10:F123)-SUBTOTAL(9,$G$10:G123))</f>
        <v>0</v>
      </c>
      <c r="I123" s="65" t="b">
        <f t="shared" si="1"/>
        <v>0</v>
      </c>
    </row>
    <row r="124" spans="1:9" ht="15.6" hidden="1" x14ac:dyDescent="0.3">
      <c r="A124" s="63" t="str">
        <f>IF(OR(LEFT(CT!D119,3)=$E$2,LEFT(CT!E119,3)=$E$2),CT!A119,"")</f>
        <v/>
      </c>
      <c r="B124" s="23" t="str">
        <f>IF(LEFT(CT!D119,3)='SQTM &amp; TGNH NGÀY'!$E$2,CT!B119,"")</f>
        <v/>
      </c>
      <c r="C124" s="23" t="str">
        <f>IF(LEFT(CT!E119,3)='SQTM &amp; TGNH NGÀY'!$E$2,CT!B119,"")</f>
        <v/>
      </c>
      <c r="D124" s="23" t="str">
        <f>IF(OR(LEFT(CT!D119,3)='SQTM &amp; TGNH NGÀY'!$E$2,LEFT(CT!E119,3)='SQTM &amp; TGNH NGÀY'!$E$2),CT!C119,"")</f>
        <v/>
      </c>
      <c r="E124" s="23" t="str">
        <f>IF(LEFT(CT!D119,3)='SQTM &amp; TGNH NGÀY'!$E$2,LEFT(CT!E119,3),IF(LEFT(CT!E119,3)='SQTM &amp; TGNH NGÀY'!$E$2,LEFT(CT!D119,3),""))</f>
        <v/>
      </c>
      <c r="F124" s="78">
        <f>IF(LEFT(CT!D119,3)='SQTM &amp; TGNH NGÀY'!$E$2,CT!H119,0)</f>
        <v>0</v>
      </c>
      <c r="G124" s="78">
        <f>IF(LEFT(CT!E119,3)='SQTM &amp; TGNH NGÀY'!$E$2,CT!H119,0)</f>
        <v>0</v>
      </c>
      <c r="H124" s="78">
        <f>IF(SUM(F124:G124)=0,0,$H$8+SUBTOTAL(9,$F$10:F124)-SUBTOTAL(9,$G$10:G124))</f>
        <v>0</v>
      </c>
      <c r="I124" s="65" t="b">
        <f t="shared" si="1"/>
        <v>0</v>
      </c>
    </row>
    <row r="125" spans="1:9" ht="15.6" hidden="1" x14ac:dyDescent="0.3">
      <c r="A125" s="63" t="str">
        <f>IF(OR(LEFT(CT!D120,3)=$E$2,LEFT(CT!E120,3)=$E$2),CT!A120,"")</f>
        <v/>
      </c>
      <c r="B125" s="23" t="str">
        <f>IF(LEFT(CT!D120,3)='SQTM &amp; TGNH NGÀY'!$E$2,CT!B120,"")</f>
        <v/>
      </c>
      <c r="C125" s="23" t="str">
        <f>IF(LEFT(CT!E120,3)='SQTM &amp; TGNH NGÀY'!$E$2,CT!B120,"")</f>
        <v/>
      </c>
      <c r="D125" s="23" t="str">
        <f>IF(OR(LEFT(CT!D120,3)='SQTM &amp; TGNH NGÀY'!$E$2,LEFT(CT!E120,3)='SQTM &amp; TGNH NGÀY'!$E$2),CT!C120,"")</f>
        <v/>
      </c>
      <c r="E125" s="23" t="str">
        <f>IF(LEFT(CT!D120,3)='SQTM &amp; TGNH NGÀY'!$E$2,LEFT(CT!E120,3),IF(LEFT(CT!E120,3)='SQTM &amp; TGNH NGÀY'!$E$2,LEFT(CT!D120,3),""))</f>
        <v/>
      </c>
      <c r="F125" s="78">
        <f>IF(LEFT(CT!D120,3)='SQTM &amp; TGNH NGÀY'!$E$2,CT!H120,0)</f>
        <v>0</v>
      </c>
      <c r="G125" s="78">
        <f>IF(LEFT(CT!E120,3)='SQTM &amp; TGNH NGÀY'!$E$2,CT!H120,0)</f>
        <v>0</v>
      </c>
      <c r="H125" s="78">
        <f>IF(SUM(F125:G125)=0,0,$H$8+SUBTOTAL(9,$F$10:F125)-SUBTOTAL(9,$G$10:G125))</f>
        <v>0</v>
      </c>
      <c r="I125" s="65" t="b">
        <f t="shared" si="1"/>
        <v>0</v>
      </c>
    </row>
    <row r="126" spans="1:9" ht="15.6" hidden="1" x14ac:dyDescent="0.3">
      <c r="A126" s="63" t="str">
        <f>IF(OR(LEFT(CT!D121,3)=$E$2,LEFT(CT!E121,3)=$E$2),CT!A121,"")</f>
        <v/>
      </c>
      <c r="B126" s="23" t="str">
        <f>IF(LEFT(CT!D121,3)='SQTM &amp; TGNH NGÀY'!$E$2,CT!B121,"")</f>
        <v/>
      </c>
      <c r="C126" s="23" t="str">
        <f>IF(LEFT(CT!E121,3)='SQTM &amp; TGNH NGÀY'!$E$2,CT!B121,"")</f>
        <v/>
      </c>
      <c r="D126" s="23" t="str">
        <f>IF(OR(LEFT(CT!D121,3)='SQTM &amp; TGNH NGÀY'!$E$2,LEFT(CT!E121,3)='SQTM &amp; TGNH NGÀY'!$E$2),CT!C121,"")</f>
        <v/>
      </c>
      <c r="E126" s="23" t="str">
        <f>IF(LEFT(CT!D121,3)='SQTM &amp; TGNH NGÀY'!$E$2,LEFT(CT!E121,3),IF(LEFT(CT!E121,3)='SQTM &amp; TGNH NGÀY'!$E$2,LEFT(CT!D121,3),""))</f>
        <v/>
      </c>
      <c r="F126" s="78">
        <f>IF(LEFT(CT!D121,3)='SQTM &amp; TGNH NGÀY'!$E$2,CT!H121,0)</f>
        <v>0</v>
      </c>
      <c r="G126" s="78">
        <f>IF(LEFT(CT!E121,3)='SQTM &amp; TGNH NGÀY'!$E$2,CT!H121,0)</f>
        <v>0</v>
      </c>
      <c r="H126" s="78">
        <f>IF(SUM(F126:G126)=0,0,$H$8+SUBTOTAL(9,$F$10:F126)-SUBTOTAL(9,$G$10:G126))</f>
        <v>0</v>
      </c>
      <c r="I126" s="65" t="b">
        <f t="shared" si="1"/>
        <v>0</v>
      </c>
    </row>
    <row r="127" spans="1:9" ht="15.6" hidden="1" x14ac:dyDescent="0.3">
      <c r="A127" s="63" t="str">
        <f>IF(OR(LEFT(CT!D122,3)=$E$2,LEFT(CT!E122,3)=$E$2),CT!A122,"")</f>
        <v/>
      </c>
      <c r="B127" s="23" t="str">
        <f>IF(LEFT(CT!D122,3)='SQTM &amp; TGNH NGÀY'!$E$2,CT!B122,"")</f>
        <v/>
      </c>
      <c r="C127" s="23" t="str">
        <f>IF(LEFT(CT!E122,3)='SQTM &amp; TGNH NGÀY'!$E$2,CT!B122,"")</f>
        <v/>
      </c>
      <c r="D127" s="23" t="str">
        <f>IF(OR(LEFT(CT!D122,3)='SQTM &amp; TGNH NGÀY'!$E$2,LEFT(CT!E122,3)='SQTM &amp; TGNH NGÀY'!$E$2),CT!C122,"")</f>
        <v/>
      </c>
      <c r="E127" s="23" t="str">
        <f>IF(LEFT(CT!D122,3)='SQTM &amp; TGNH NGÀY'!$E$2,LEFT(CT!E122,3),IF(LEFT(CT!E122,3)='SQTM &amp; TGNH NGÀY'!$E$2,LEFT(CT!D122,3),""))</f>
        <v/>
      </c>
      <c r="F127" s="78">
        <f>IF(LEFT(CT!D122,3)='SQTM &amp; TGNH NGÀY'!$E$2,CT!H122,0)</f>
        <v>0</v>
      </c>
      <c r="G127" s="78">
        <f>IF(LEFT(CT!E122,3)='SQTM &amp; TGNH NGÀY'!$E$2,CT!H122,0)</f>
        <v>0</v>
      </c>
      <c r="H127" s="78">
        <f>IF(SUM(F127:G127)=0,0,$H$8+SUBTOTAL(9,$F$10:F127)-SUBTOTAL(9,$G$10:G127))</f>
        <v>0</v>
      </c>
      <c r="I127" s="65" t="b">
        <f t="shared" si="1"/>
        <v>0</v>
      </c>
    </row>
    <row r="128" spans="1:9" ht="15.6" hidden="1" x14ac:dyDescent="0.3">
      <c r="A128" s="63" t="str">
        <f>IF(OR(LEFT(CT!D123,3)=$E$2,LEFT(CT!E123,3)=$E$2),CT!A123,"")</f>
        <v/>
      </c>
      <c r="B128" s="23" t="str">
        <f>IF(LEFT(CT!D123,3)='SQTM &amp; TGNH NGÀY'!$E$2,CT!B123,"")</f>
        <v/>
      </c>
      <c r="C128" s="23" t="str">
        <f>IF(LEFT(CT!E123,3)='SQTM &amp; TGNH NGÀY'!$E$2,CT!B123,"")</f>
        <v/>
      </c>
      <c r="D128" s="23" t="str">
        <f>IF(OR(LEFT(CT!D123,3)='SQTM &amp; TGNH NGÀY'!$E$2,LEFT(CT!E123,3)='SQTM &amp; TGNH NGÀY'!$E$2),CT!C123,"")</f>
        <v/>
      </c>
      <c r="E128" s="23" t="str">
        <f>IF(LEFT(CT!D123,3)='SQTM &amp; TGNH NGÀY'!$E$2,LEFT(CT!E123,3),IF(LEFT(CT!E123,3)='SQTM &amp; TGNH NGÀY'!$E$2,LEFT(CT!D123,3),""))</f>
        <v/>
      </c>
      <c r="F128" s="78">
        <f>IF(LEFT(CT!D123,3)='SQTM &amp; TGNH NGÀY'!$E$2,CT!H123,0)</f>
        <v>0</v>
      </c>
      <c r="G128" s="78">
        <f>IF(LEFT(CT!E123,3)='SQTM &amp; TGNH NGÀY'!$E$2,CT!H123,0)</f>
        <v>0</v>
      </c>
      <c r="H128" s="78">
        <f>IF(SUM(F128:G128)=0,0,$H$8+SUBTOTAL(9,$F$10:F128)-SUBTOTAL(9,$G$10:G128))</f>
        <v>0</v>
      </c>
      <c r="I128" s="65" t="b">
        <f t="shared" si="1"/>
        <v>0</v>
      </c>
    </row>
    <row r="129" spans="1:9" ht="15.6" hidden="1" x14ac:dyDescent="0.3">
      <c r="A129" s="63" t="str">
        <f>IF(OR(LEFT(CT!D124,3)=$E$2,LEFT(CT!E124,3)=$E$2),CT!A124,"")</f>
        <v/>
      </c>
      <c r="B129" s="23" t="str">
        <f>IF(LEFT(CT!D124,3)='SQTM &amp; TGNH NGÀY'!$E$2,CT!B124,"")</f>
        <v/>
      </c>
      <c r="C129" s="23" t="str">
        <f>IF(LEFT(CT!E124,3)='SQTM &amp; TGNH NGÀY'!$E$2,CT!B124,"")</f>
        <v/>
      </c>
      <c r="D129" s="23" t="str">
        <f>IF(OR(LEFT(CT!D124,3)='SQTM &amp; TGNH NGÀY'!$E$2,LEFT(CT!E124,3)='SQTM &amp; TGNH NGÀY'!$E$2),CT!C124,"")</f>
        <v/>
      </c>
      <c r="E129" s="23" t="str">
        <f>IF(LEFT(CT!D124,3)='SQTM &amp; TGNH NGÀY'!$E$2,LEFT(CT!E124,3),IF(LEFT(CT!E124,3)='SQTM &amp; TGNH NGÀY'!$E$2,LEFT(CT!D124,3),""))</f>
        <v/>
      </c>
      <c r="F129" s="78">
        <f>IF(LEFT(CT!D124,3)='SQTM &amp; TGNH NGÀY'!$E$2,CT!H124,0)</f>
        <v>0</v>
      </c>
      <c r="G129" s="78">
        <f>IF(LEFT(CT!E124,3)='SQTM &amp; TGNH NGÀY'!$E$2,CT!H124,0)</f>
        <v>0</v>
      </c>
      <c r="H129" s="78">
        <f>IF(SUM(F129:G129)=0,0,$H$8+SUBTOTAL(9,$F$10:F129)-SUBTOTAL(9,$G$10:G129))</f>
        <v>0</v>
      </c>
      <c r="I129" s="65" t="b">
        <f t="shared" si="1"/>
        <v>0</v>
      </c>
    </row>
    <row r="130" spans="1:9" ht="15.6" hidden="1" x14ac:dyDescent="0.3">
      <c r="A130" s="63" t="str">
        <f>IF(OR(LEFT(CT!D125,3)=$E$2,LEFT(CT!E125,3)=$E$2),CT!A125,"")</f>
        <v/>
      </c>
      <c r="B130" s="23" t="str">
        <f>IF(LEFT(CT!D125,3)='SQTM &amp; TGNH NGÀY'!$E$2,CT!B125,"")</f>
        <v/>
      </c>
      <c r="C130" s="23" t="str">
        <f>IF(LEFT(CT!E125,3)='SQTM &amp; TGNH NGÀY'!$E$2,CT!B125,"")</f>
        <v/>
      </c>
      <c r="D130" s="23" t="str">
        <f>IF(OR(LEFT(CT!D125,3)='SQTM &amp; TGNH NGÀY'!$E$2,LEFT(CT!E125,3)='SQTM &amp; TGNH NGÀY'!$E$2),CT!C125,"")</f>
        <v/>
      </c>
      <c r="E130" s="23" t="str">
        <f>IF(LEFT(CT!D125,3)='SQTM &amp; TGNH NGÀY'!$E$2,LEFT(CT!E125,3),IF(LEFT(CT!E125,3)='SQTM &amp; TGNH NGÀY'!$E$2,LEFT(CT!D125,3),""))</f>
        <v/>
      </c>
      <c r="F130" s="78">
        <f>IF(LEFT(CT!D125,3)='SQTM &amp; TGNH NGÀY'!$E$2,CT!H125,0)</f>
        <v>0</v>
      </c>
      <c r="G130" s="78">
        <f>IF(LEFT(CT!E125,3)='SQTM &amp; TGNH NGÀY'!$E$2,CT!H125,0)</f>
        <v>0</v>
      </c>
      <c r="H130" s="78">
        <f>IF(SUM(F130:G130)=0,0,$H$8+SUBTOTAL(9,$F$10:F130)-SUBTOTAL(9,$G$10:G130))</f>
        <v>0</v>
      </c>
      <c r="I130" s="65" t="b">
        <f t="shared" si="1"/>
        <v>0</v>
      </c>
    </row>
    <row r="131" spans="1:9" ht="15.6" hidden="1" x14ac:dyDescent="0.3">
      <c r="A131" s="63" t="str">
        <f>IF(OR(LEFT(CT!D126,3)=$E$2,LEFT(CT!E126,3)=$E$2),CT!A126,"")</f>
        <v/>
      </c>
      <c r="B131" s="23" t="str">
        <f>IF(LEFT(CT!D126,3)='SQTM &amp; TGNH NGÀY'!$E$2,CT!B126,"")</f>
        <v/>
      </c>
      <c r="C131" s="23" t="str">
        <f>IF(LEFT(CT!E126,3)='SQTM &amp; TGNH NGÀY'!$E$2,CT!B126,"")</f>
        <v/>
      </c>
      <c r="D131" s="23" t="str">
        <f>IF(OR(LEFT(CT!D126,3)='SQTM &amp; TGNH NGÀY'!$E$2,LEFT(CT!E126,3)='SQTM &amp; TGNH NGÀY'!$E$2),CT!C126,"")</f>
        <v/>
      </c>
      <c r="E131" s="23" t="str">
        <f>IF(LEFT(CT!D126,3)='SQTM &amp; TGNH NGÀY'!$E$2,LEFT(CT!E126,3),IF(LEFT(CT!E126,3)='SQTM &amp; TGNH NGÀY'!$E$2,LEFT(CT!D126,3),""))</f>
        <v/>
      </c>
      <c r="F131" s="78">
        <f>IF(LEFT(CT!D126,3)='SQTM &amp; TGNH NGÀY'!$E$2,CT!H126,0)</f>
        <v>0</v>
      </c>
      <c r="G131" s="78">
        <f>IF(LEFT(CT!E126,3)='SQTM &amp; TGNH NGÀY'!$E$2,CT!H126,0)</f>
        <v>0</v>
      </c>
      <c r="H131" s="78">
        <f>IF(SUM(F131:G131)=0,0,$H$8+SUBTOTAL(9,$F$10:F131)-SUBTOTAL(9,$G$10:G131))</f>
        <v>0</v>
      </c>
      <c r="I131" s="65" t="b">
        <f t="shared" si="1"/>
        <v>0</v>
      </c>
    </row>
    <row r="132" spans="1:9" ht="15.6" hidden="1" x14ac:dyDescent="0.3">
      <c r="A132" s="63" t="str">
        <f>IF(OR(LEFT(CT!D127,3)=$E$2,LEFT(CT!E127,3)=$E$2),CT!A127,"")</f>
        <v/>
      </c>
      <c r="B132" s="23" t="str">
        <f>IF(LEFT(CT!D127,3)='SQTM &amp; TGNH NGÀY'!$E$2,CT!B127,"")</f>
        <v/>
      </c>
      <c r="C132" s="23" t="str">
        <f>IF(LEFT(CT!E127,3)='SQTM &amp; TGNH NGÀY'!$E$2,CT!B127,"")</f>
        <v/>
      </c>
      <c r="D132" s="23" t="str">
        <f>IF(OR(LEFT(CT!D127,3)='SQTM &amp; TGNH NGÀY'!$E$2,LEFT(CT!E127,3)='SQTM &amp; TGNH NGÀY'!$E$2),CT!C127,"")</f>
        <v/>
      </c>
      <c r="E132" s="23" t="str">
        <f>IF(LEFT(CT!D127,3)='SQTM &amp; TGNH NGÀY'!$E$2,LEFT(CT!E127,3),IF(LEFT(CT!E127,3)='SQTM &amp; TGNH NGÀY'!$E$2,LEFT(CT!D127,3),""))</f>
        <v/>
      </c>
      <c r="F132" s="78">
        <f>IF(LEFT(CT!D127,3)='SQTM &amp; TGNH NGÀY'!$E$2,CT!H127,0)</f>
        <v>0</v>
      </c>
      <c r="G132" s="78">
        <f>IF(LEFT(CT!E127,3)='SQTM &amp; TGNH NGÀY'!$E$2,CT!H127,0)</f>
        <v>0</v>
      </c>
      <c r="H132" s="78">
        <f>IF(SUM(F132:G132)=0,0,$H$8+SUBTOTAL(9,$F$10:F132)-SUBTOTAL(9,$G$10:G132))</f>
        <v>0</v>
      </c>
      <c r="I132" s="65" t="b">
        <f t="shared" si="1"/>
        <v>0</v>
      </c>
    </row>
    <row r="133" spans="1:9" ht="15.6" hidden="1" x14ac:dyDescent="0.3">
      <c r="A133" s="63" t="str">
        <f>IF(OR(LEFT(CT!D128,3)=$E$2,LEFT(CT!E128,3)=$E$2),CT!A128,"")</f>
        <v/>
      </c>
      <c r="B133" s="23" t="str">
        <f>IF(LEFT(CT!D128,3)='SQTM &amp; TGNH NGÀY'!$E$2,CT!B128,"")</f>
        <v/>
      </c>
      <c r="C133" s="23" t="str">
        <f>IF(LEFT(CT!E128,3)='SQTM &amp; TGNH NGÀY'!$E$2,CT!B128,"")</f>
        <v/>
      </c>
      <c r="D133" s="23" t="str">
        <f>IF(OR(LEFT(CT!D128,3)='SQTM &amp; TGNH NGÀY'!$E$2,LEFT(CT!E128,3)='SQTM &amp; TGNH NGÀY'!$E$2),CT!C128,"")</f>
        <v/>
      </c>
      <c r="E133" s="23" t="str">
        <f>IF(LEFT(CT!D128,3)='SQTM &amp; TGNH NGÀY'!$E$2,LEFT(CT!E128,3),IF(LEFT(CT!E128,3)='SQTM &amp; TGNH NGÀY'!$E$2,LEFT(CT!D128,3),""))</f>
        <v/>
      </c>
      <c r="F133" s="78">
        <f>IF(LEFT(CT!D128,3)='SQTM &amp; TGNH NGÀY'!$E$2,CT!H128,0)</f>
        <v>0</v>
      </c>
      <c r="G133" s="78">
        <f>IF(LEFT(CT!E128,3)='SQTM &amp; TGNH NGÀY'!$E$2,CT!H128,0)</f>
        <v>0</v>
      </c>
      <c r="H133" s="78">
        <f>IF(SUM(F133:G133)=0,0,$H$8+SUBTOTAL(9,$F$10:F133)-SUBTOTAL(9,$G$10:G133))</f>
        <v>0</v>
      </c>
      <c r="I133" s="65" t="b">
        <f t="shared" si="1"/>
        <v>0</v>
      </c>
    </row>
    <row r="134" spans="1:9" ht="15.6" hidden="1" x14ac:dyDescent="0.3">
      <c r="A134" s="63" t="str">
        <f>IF(OR(LEFT(CT!D129,3)=$E$2,LEFT(CT!E129,3)=$E$2),CT!A129,"")</f>
        <v/>
      </c>
      <c r="B134" s="23" t="str">
        <f>IF(LEFT(CT!D129,3)='SQTM &amp; TGNH NGÀY'!$E$2,CT!B129,"")</f>
        <v/>
      </c>
      <c r="C134" s="23" t="str">
        <f>IF(LEFT(CT!E129,3)='SQTM &amp; TGNH NGÀY'!$E$2,CT!B129,"")</f>
        <v/>
      </c>
      <c r="D134" s="23" t="str">
        <f>IF(OR(LEFT(CT!D129,3)='SQTM &amp; TGNH NGÀY'!$E$2,LEFT(CT!E129,3)='SQTM &amp; TGNH NGÀY'!$E$2),CT!C129,"")</f>
        <v/>
      </c>
      <c r="E134" s="23" t="str">
        <f>IF(LEFT(CT!D129,3)='SQTM &amp; TGNH NGÀY'!$E$2,LEFT(CT!E129,3),IF(LEFT(CT!E129,3)='SQTM &amp; TGNH NGÀY'!$E$2,LEFT(CT!D129,3),""))</f>
        <v/>
      </c>
      <c r="F134" s="78">
        <f>IF(LEFT(CT!D129,3)='SQTM &amp; TGNH NGÀY'!$E$2,CT!H129,0)</f>
        <v>0</v>
      </c>
      <c r="G134" s="78">
        <f>IF(LEFT(CT!E129,3)='SQTM &amp; TGNH NGÀY'!$E$2,CT!H129,0)</f>
        <v>0</v>
      </c>
      <c r="H134" s="78">
        <f>IF(SUM(F134:G134)=0,0,$H$8+SUBTOTAL(9,$F$10:F134)-SUBTOTAL(9,$G$10:G134))</f>
        <v>0</v>
      </c>
      <c r="I134" s="65" t="b">
        <f t="shared" si="1"/>
        <v>0</v>
      </c>
    </row>
    <row r="135" spans="1:9" ht="15.6" hidden="1" x14ac:dyDescent="0.3">
      <c r="A135" s="63" t="str">
        <f>IF(OR(LEFT(CT!D130,3)=$E$2,LEFT(CT!E130,3)=$E$2),CT!A130,"")</f>
        <v/>
      </c>
      <c r="B135" s="23" t="str">
        <f>IF(LEFT(CT!D130,3)='SQTM &amp; TGNH NGÀY'!$E$2,CT!B130,"")</f>
        <v/>
      </c>
      <c r="C135" s="23" t="str">
        <f>IF(LEFT(CT!E130,3)='SQTM &amp; TGNH NGÀY'!$E$2,CT!B130,"")</f>
        <v/>
      </c>
      <c r="D135" s="23" t="str">
        <f>IF(OR(LEFT(CT!D130,3)='SQTM &amp; TGNH NGÀY'!$E$2,LEFT(CT!E130,3)='SQTM &amp; TGNH NGÀY'!$E$2),CT!C130,"")</f>
        <v/>
      </c>
      <c r="E135" s="23" t="str">
        <f>IF(LEFT(CT!D130,3)='SQTM &amp; TGNH NGÀY'!$E$2,LEFT(CT!E130,3),IF(LEFT(CT!E130,3)='SQTM &amp; TGNH NGÀY'!$E$2,LEFT(CT!D130,3),""))</f>
        <v/>
      </c>
      <c r="F135" s="78">
        <f>IF(LEFT(CT!D130,3)='SQTM &amp; TGNH NGÀY'!$E$2,CT!H130,0)</f>
        <v>0</v>
      </c>
      <c r="G135" s="78">
        <f>IF(LEFT(CT!E130,3)='SQTM &amp; TGNH NGÀY'!$E$2,CT!H130,0)</f>
        <v>0</v>
      </c>
      <c r="H135" s="78">
        <f>IF(SUM(F135:G135)=0,0,$H$8+SUBTOTAL(9,$F$10:F135)-SUBTOTAL(9,$G$10:G135))</f>
        <v>0</v>
      </c>
      <c r="I135" s="65" t="b">
        <f t="shared" si="1"/>
        <v>0</v>
      </c>
    </row>
    <row r="136" spans="1:9" ht="15.6" hidden="1" x14ac:dyDescent="0.3">
      <c r="A136" s="63" t="str">
        <f>IF(OR(LEFT(CT!D131,3)=$E$2,LEFT(CT!E131,3)=$E$2),CT!A131,"")</f>
        <v/>
      </c>
      <c r="B136" s="23" t="str">
        <f>IF(LEFT(CT!D131,3)='SQTM &amp; TGNH NGÀY'!$E$2,CT!B131,"")</f>
        <v/>
      </c>
      <c r="C136" s="23" t="str">
        <f>IF(LEFT(CT!E131,3)='SQTM &amp; TGNH NGÀY'!$E$2,CT!B131,"")</f>
        <v/>
      </c>
      <c r="D136" s="23" t="str">
        <f>IF(OR(LEFT(CT!D131,3)='SQTM &amp; TGNH NGÀY'!$E$2,LEFT(CT!E131,3)='SQTM &amp; TGNH NGÀY'!$E$2),CT!C131,"")</f>
        <v/>
      </c>
      <c r="E136" s="23" t="str">
        <f>IF(LEFT(CT!D131,3)='SQTM &amp; TGNH NGÀY'!$E$2,LEFT(CT!E131,3),IF(LEFT(CT!E131,3)='SQTM &amp; TGNH NGÀY'!$E$2,LEFT(CT!D131,3),""))</f>
        <v/>
      </c>
      <c r="F136" s="78">
        <f>IF(LEFT(CT!D131,3)='SQTM &amp; TGNH NGÀY'!$E$2,CT!H131,0)</f>
        <v>0</v>
      </c>
      <c r="G136" s="78">
        <f>IF(LEFT(CT!E131,3)='SQTM &amp; TGNH NGÀY'!$E$2,CT!H131,0)</f>
        <v>0</v>
      </c>
      <c r="H136" s="78">
        <f>IF(SUM(F136:G136)=0,0,$H$8+SUBTOTAL(9,$F$10:F136)-SUBTOTAL(9,$G$10:G136))</f>
        <v>0</v>
      </c>
      <c r="I136" s="65" t="b">
        <f t="shared" si="1"/>
        <v>0</v>
      </c>
    </row>
    <row r="137" spans="1:9" ht="15.6" hidden="1" x14ac:dyDescent="0.3">
      <c r="A137" s="63" t="str">
        <f>IF(OR(LEFT(CT!D132,3)=$E$2,LEFT(CT!E132,3)=$E$2),CT!A132,"")</f>
        <v/>
      </c>
      <c r="B137" s="23" t="str">
        <f>IF(LEFT(CT!D132,3)='SQTM &amp; TGNH NGÀY'!$E$2,CT!B132,"")</f>
        <v/>
      </c>
      <c r="C137" s="23" t="str">
        <f>IF(LEFT(CT!E132,3)='SQTM &amp; TGNH NGÀY'!$E$2,CT!B132,"")</f>
        <v/>
      </c>
      <c r="D137" s="23" t="str">
        <f>IF(OR(LEFT(CT!D132,3)='SQTM &amp; TGNH NGÀY'!$E$2,LEFT(CT!E132,3)='SQTM &amp; TGNH NGÀY'!$E$2),CT!C132,"")</f>
        <v/>
      </c>
      <c r="E137" s="23" t="str">
        <f>IF(LEFT(CT!D132,3)='SQTM &amp; TGNH NGÀY'!$E$2,LEFT(CT!E132,3),IF(LEFT(CT!E132,3)='SQTM &amp; TGNH NGÀY'!$E$2,LEFT(CT!D132,3),""))</f>
        <v/>
      </c>
      <c r="F137" s="78">
        <f>IF(LEFT(CT!D132,3)='SQTM &amp; TGNH NGÀY'!$E$2,CT!H132,0)</f>
        <v>0</v>
      </c>
      <c r="G137" s="78">
        <f>IF(LEFT(CT!E132,3)='SQTM &amp; TGNH NGÀY'!$E$2,CT!H132,0)</f>
        <v>0</v>
      </c>
      <c r="H137" s="78">
        <f>IF(SUM(F137:G137)=0,0,$H$8+SUBTOTAL(9,$F$10:F137)-SUBTOTAL(9,$G$10:G137))</f>
        <v>0</v>
      </c>
      <c r="I137" s="65" t="b">
        <f t="shared" si="1"/>
        <v>0</v>
      </c>
    </row>
    <row r="138" spans="1:9" ht="15.6" hidden="1" x14ac:dyDescent="0.3">
      <c r="A138" s="63" t="str">
        <f>IF(OR(LEFT(CT!D133,3)=$E$2,LEFT(CT!E133,3)=$E$2),CT!A133,"")</f>
        <v/>
      </c>
      <c r="B138" s="23" t="str">
        <f>IF(LEFT(CT!D133,3)='SQTM &amp; TGNH NGÀY'!$E$2,CT!B133,"")</f>
        <v/>
      </c>
      <c r="C138" s="23" t="str">
        <f>IF(LEFT(CT!E133,3)='SQTM &amp; TGNH NGÀY'!$E$2,CT!B133,"")</f>
        <v/>
      </c>
      <c r="D138" s="23" t="str">
        <f>IF(OR(LEFT(CT!D133,3)='SQTM &amp; TGNH NGÀY'!$E$2,LEFT(CT!E133,3)='SQTM &amp; TGNH NGÀY'!$E$2),CT!C133,"")</f>
        <v/>
      </c>
      <c r="E138" s="23" t="str">
        <f>IF(LEFT(CT!D133,3)='SQTM &amp; TGNH NGÀY'!$E$2,LEFT(CT!E133,3),IF(LEFT(CT!E133,3)='SQTM &amp; TGNH NGÀY'!$E$2,LEFT(CT!D133,3),""))</f>
        <v/>
      </c>
      <c r="F138" s="78">
        <f>IF(LEFT(CT!D133,3)='SQTM &amp; TGNH NGÀY'!$E$2,CT!H133,0)</f>
        <v>0</v>
      </c>
      <c r="G138" s="78">
        <f>IF(LEFT(CT!E133,3)='SQTM &amp; TGNH NGÀY'!$E$2,CT!H133,0)</f>
        <v>0</v>
      </c>
      <c r="H138" s="78">
        <f>IF(SUM(F138:G138)=0,0,$H$8+SUBTOTAL(9,$F$10:F138)-SUBTOTAL(9,$G$10:G138))</f>
        <v>0</v>
      </c>
      <c r="I138" s="65" t="b">
        <f t="shared" si="1"/>
        <v>0</v>
      </c>
    </row>
    <row r="139" spans="1:9" ht="15.6" hidden="1" x14ac:dyDescent="0.3">
      <c r="A139" s="63" t="str">
        <f>IF(OR(LEFT(CT!D134,3)=$E$2,LEFT(CT!E134,3)=$E$2),CT!A134,"")</f>
        <v/>
      </c>
      <c r="B139" s="23" t="str">
        <f>IF(LEFT(CT!D134,3)='SQTM &amp; TGNH NGÀY'!$E$2,CT!B134,"")</f>
        <v/>
      </c>
      <c r="C139" s="23" t="str">
        <f>IF(LEFT(CT!E134,3)='SQTM &amp; TGNH NGÀY'!$E$2,CT!B134,"")</f>
        <v/>
      </c>
      <c r="D139" s="23" t="str">
        <f>IF(OR(LEFT(CT!D134,3)='SQTM &amp; TGNH NGÀY'!$E$2,LEFT(CT!E134,3)='SQTM &amp; TGNH NGÀY'!$E$2),CT!C134,"")</f>
        <v/>
      </c>
      <c r="E139" s="23" t="str">
        <f>IF(LEFT(CT!D134,3)='SQTM &amp; TGNH NGÀY'!$E$2,LEFT(CT!E134,3),IF(LEFT(CT!E134,3)='SQTM &amp; TGNH NGÀY'!$E$2,LEFT(CT!D134,3),""))</f>
        <v/>
      </c>
      <c r="F139" s="78">
        <f>IF(LEFT(CT!D134,3)='SQTM &amp; TGNH NGÀY'!$E$2,CT!H134,0)</f>
        <v>0</v>
      </c>
      <c r="G139" s="78">
        <f>IF(LEFT(CT!E134,3)='SQTM &amp; TGNH NGÀY'!$E$2,CT!H134,0)</f>
        <v>0</v>
      </c>
      <c r="H139" s="78">
        <f>IF(SUM(F139:G139)=0,0,$H$8+SUBTOTAL(9,$F$10:F139)-SUBTOTAL(9,$G$10:G139))</f>
        <v>0</v>
      </c>
      <c r="I139" s="65" t="b">
        <f t="shared" ref="I139:I148" si="2">AND(A139&gt;=$D$3,A139&lt;=$F$3)</f>
        <v>0</v>
      </c>
    </row>
    <row r="140" spans="1:9" ht="15.6" hidden="1" x14ac:dyDescent="0.3">
      <c r="A140" s="63" t="str">
        <f>IF(OR(LEFT(CT!D135,3)=$E$2,LEFT(CT!E135,3)=$E$2),CT!A135,"")</f>
        <v/>
      </c>
      <c r="B140" s="23" t="str">
        <f>IF(LEFT(CT!D135,3)='SQTM &amp; TGNH NGÀY'!$E$2,CT!B135,"")</f>
        <v/>
      </c>
      <c r="C140" s="23" t="str">
        <f>IF(LEFT(CT!E135,3)='SQTM &amp; TGNH NGÀY'!$E$2,CT!B135,"")</f>
        <v/>
      </c>
      <c r="D140" s="23" t="str">
        <f>IF(OR(LEFT(CT!D135,3)='SQTM &amp; TGNH NGÀY'!$E$2,LEFT(CT!E135,3)='SQTM &amp; TGNH NGÀY'!$E$2),CT!C135,"")</f>
        <v/>
      </c>
      <c r="E140" s="23" t="str">
        <f>IF(LEFT(CT!D135,3)='SQTM &amp; TGNH NGÀY'!$E$2,LEFT(CT!E135,3),IF(LEFT(CT!E135,3)='SQTM &amp; TGNH NGÀY'!$E$2,LEFT(CT!D135,3),""))</f>
        <v/>
      </c>
      <c r="F140" s="78">
        <f>IF(LEFT(CT!D135,3)='SQTM &amp; TGNH NGÀY'!$E$2,CT!H135,0)</f>
        <v>0</v>
      </c>
      <c r="G140" s="78">
        <f>IF(LEFT(CT!E135,3)='SQTM &amp; TGNH NGÀY'!$E$2,CT!H135,0)</f>
        <v>0</v>
      </c>
      <c r="H140" s="78">
        <f>IF(SUM(F140:G140)=0,0,$H$8+SUBTOTAL(9,$F$10:F140)-SUBTOTAL(9,$G$10:G140))</f>
        <v>0</v>
      </c>
      <c r="I140" s="65" t="b">
        <f t="shared" si="2"/>
        <v>0</v>
      </c>
    </row>
    <row r="141" spans="1:9" ht="15.6" hidden="1" x14ac:dyDescent="0.3">
      <c r="A141" s="63" t="str">
        <f>IF(OR(LEFT(CT!D136,3)=$E$2,LEFT(CT!E136,3)=$E$2),CT!A136,"")</f>
        <v/>
      </c>
      <c r="B141" s="23" t="str">
        <f>IF(LEFT(CT!D136,3)='SQTM &amp; TGNH NGÀY'!$E$2,CT!B136,"")</f>
        <v/>
      </c>
      <c r="C141" s="23" t="str">
        <f>IF(LEFT(CT!E136,3)='SQTM &amp; TGNH NGÀY'!$E$2,CT!B136,"")</f>
        <v/>
      </c>
      <c r="D141" s="23" t="str">
        <f>IF(OR(LEFT(CT!D136,3)='SQTM &amp; TGNH NGÀY'!$E$2,LEFT(CT!E136,3)='SQTM &amp; TGNH NGÀY'!$E$2),CT!C136,"")</f>
        <v/>
      </c>
      <c r="E141" s="23" t="str">
        <f>IF(LEFT(CT!D136,3)='SQTM &amp; TGNH NGÀY'!$E$2,LEFT(CT!E136,3),IF(LEFT(CT!E136,3)='SQTM &amp; TGNH NGÀY'!$E$2,LEFT(CT!D136,3),""))</f>
        <v/>
      </c>
      <c r="F141" s="78">
        <f>IF(LEFT(CT!D136,3)='SQTM &amp; TGNH NGÀY'!$E$2,CT!H136,0)</f>
        <v>0</v>
      </c>
      <c r="G141" s="78">
        <f>IF(LEFT(CT!E136,3)='SQTM &amp; TGNH NGÀY'!$E$2,CT!H136,0)</f>
        <v>0</v>
      </c>
      <c r="H141" s="78">
        <f>IF(SUM(F141:G141)=0,0,$H$8+SUBTOTAL(9,$F$10:F141)-SUBTOTAL(9,$G$10:G141))</f>
        <v>0</v>
      </c>
      <c r="I141" s="65" t="b">
        <f t="shared" si="2"/>
        <v>0</v>
      </c>
    </row>
    <row r="142" spans="1:9" ht="15.6" hidden="1" x14ac:dyDescent="0.3">
      <c r="A142" s="63" t="str">
        <f>IF(OR(LEFT(CT!D137,3)=$E$2,LEFT(CT!E137,3)=$E$2),CT!A137,"")</f>
        <v/>
      </c>
      <c r="B142" s="23" t="str">
        <f>IF(LEFT(CT!D137,3)='SQTM &amp; TGNH NGÀY'!$E$2,CT!B137,"")</f>
        <v/>
      </c>
      <c r="C142" s="23" t="str">
        <f>IF(LEFT(CT!E137,3)='SQTM &amp; TGNH NGÀY'!$E$2,CT!B137,"")</f>
        <v/>
      </c>
      <c r="D142" s="23" t="str">
        <f>IF(OR(LEFT(CT!D137,3)='SQTM &amp; TGNH NGÀY'!$E$2,LEFT(CT!E137,3)='SQTM &amp; TGNH NGÀY'!$E$2),CT!C137,"")</f>
        <v/>
      </c>
      <c r="E142" s="23" t="str">
        <f>IF(LEFT(CT!D137,3)='SQTM &amp; TGNH NGÀY'!$E$2,LEFT(CT!E137,3),IF(LEFT(CT!E137,3)='SQTM &amp; TGNH NGÀY'!$E$2,LEFT(CT!D137,3),""))</f>
        <v/>
      </c>
      <c r="F142" s="78">
        <f>IF(LEFT(CT!D137,3)='SQTM &amp; TGNH NGÀY'!$E$2,CT!H137,0)</f>
        <v>0</v>
      </c>
      <c r="G142" s="78">
        <f>IF(LEFT(CT!E137,3)='SQTM &amp; TGNH NGÀY'!$E$2,CT!H137,0)</f>
        <v>0</v>
      </c>
      <c r="H142" s="78">
        <f>IF(SUM(F142:G142)=0,0,$H$8+SUBTOTAL(9,$F$10:F142)-SUBTOTAL(9,$G$10:G142))</f>
        <v>0</v>
      </c>
      <c r="I142" s="65" t="b">
        <f t="shared" si="2"/>
        <v>0</v>
      </c>
    </row>
    <row r="143" spans="1:9" ht="15.6" hidden="1" x14ac:dyDescent="0.3">
      <c r="A143" s="63" t="str">
        <f>IF(OR(LEFT(CT!D138,3)=$E$2,LEFT(CT!E138,3)=$E$2),CT!A138,"")</f>
        <v/>
      </c>
      <c r="B143" s="23" t="str">
        <f>IF(LEFT(CT!D138,3)='SQTM &amp; TGNH NGÀY'!$E$2,CT!B138,"")</f>
        <v/>
      </c>
      <c r="C143" s="23" t="str">
        <f>IF(LEFT(CT!E138,3)='SQTM &amp; TGNH NGÀY'!$E$2,CT!B138,"")</f>
        <v/>
      </c>
      <c r="D143" s="23" t="str">
        <f>IF(OR(LEFT(CT!D138,3)='SQTM &amp; TGNH NGÀY'!$E$2,LEFT(CT!E138,3)='SQTM &amp; TGNH NGÀY'!$E$2),CT!C138,"")</f>
        <v/>
      </c>
      <c r="E143" s="23" t="str">
        <f>IF(LEFT(CT!D138,3)='SQTM &amp; TGNH NGÀY'!$E$2,LEFT(CT!E138,3),IF(LEFT(CT!E138,3)='SQTM &amp; TGNH NGÀY'!$E$2,LEFT(CT!D138,3),""))</f>
        <v/>
      </c>
      <c r="F143" s="78">
        <f>IF(LEFT(CT!D138,3)='SQTM &amp; TGNH NGÀY'!$E$2,CT!H138,0)</f>
        <v>0</v>
      </c>
      <c r="G143" s="78">
        <f>IF(LEFT(CT!E138,3)='SQTM &amp; TGNH NGÀY'!$E$2,CT!H138,0)</f>
        <v>0</v>
      </c>
      <c r="H143" s="78">
        <f>IF(SUM(F143:G143)=0,0,$H$8+SUBTOTAL(9,$F$10:F143)-SUBTOTAL(9,$G$10:G143))</f>
        <v>0</v>
      </c>
      <c r="I143" s="65" t="b">
        <f t="shared" si="2"/>
        <v>0</v>
      </c>
    </row>
    <row r="144" spans="1:9" ht="15.6" hidden="1" x14ac:dyDescent="0.3">
      <c r="A144" s="63" t="str">
        <f>IF(OR(LEFT(CT!D139,3)=$E$2,LEFT(CT!E139,3)=$E$2),CT!A139,"")</f>
        <v/>
      </c>
      <c r="B144" s="23" t="str">
        <f>IF(LEFT(CT!D139,3)='SQTM &amp; TGNH NGÀY'!$E$2,CT!B139,"")</f>
        <v/>
      </c>
      <c r="C144" s="23" t="str">
        <f>IF(LEFT(CT!E139,3)='SQTM &amp; TGNH NGÀY'!$E$2,CT!B139,"")</f>
        <v/>
      </c>
      <c r="D144" s="23" t="str">
        <f>IF(OR(LEFT(CT!D139,3)='SQTM &amp; TGNH NGÀY'!$E$2,LEFT(CT!E139,3)='SQTM &amp; TGNH NGÀY'!$E$2),CT!C139,"")</f>
        <v/>
      </c>
      <c r="E144" s="23" t="str">
        <f>IF(LEFT(CT!D139,3)='SQTM &amp; TGNH NGÀY'!$E$2,LEFT(CT!E139,3),IF(LEFT(CT!E139,3)='SQTM &amp; TGNH NGÀY'!$E$2,LEFT(CT!D139,3),""))</f>
        <v/>
      </c>
      <c r="F144" s="78">
        <f>IF(LEFT(CT!D139,3)='SQTM &amp; TGNH NGÀY'!$E$2,CT!H139,0)</f>
        <v>0</v>
      </c>
      <c r="G144" s="78">
        <f>IF(LEFT(CT!E139,3)='SQTM &amp; TGNH NGÀY'!$E$2,CT!H139,0)</f>
        <v>0</v>
      </c>
      <c r="H144" s="78">
        <f>IF(SUM(F144:G144)=0,0,$H$8+SUBTOTAL(9,$F$10:F144)-SUBTOTAL(9,$G$10:G144))</f>
        <v>0</v>
      </c>
      <c r="I144" s="65" t="b">
        <f t="shared" si="2"/>
        <v>0</v>
      </c>
    </row>
    <row r="145" spans="1:9" ht="15.6" hidden="1" x14ac:dyDescent="0.3">
      <c r="A145" s="63" t="str">
        <f>IF(OR(LEFT(CT!D140,3)=$E$2,LEFT(CT!E140,3)=$E$2),CT!A140,"")</f>
        <v/>
      </c>
      <c r="B145" s="23" t="str">
        <f>IF(LEFT(CT!D140,3)='SQTM &amp; TGNH NGÀY'!$E$2,CT!B140,"")</f>
        <v/>
      </c>
      <c r="C145" s="23" t="str">
        <f>IF(LEFT(CT!E140,3)='SQTM &amp; TGNH NGÀY'!$E$2,CT!B140,"")</f>
        <v/>
      </c>
      <c r="D145" s="23" t="str">
        <f>IF(OR(LEFT(CT!D140,3)='SQTM &amp; TGNH NGÀY'!$E$2,LEFT(CT!E140,3)='SQTM &amp; TGNH NGÀY'!$E$2),CT!C140,"")</f>
        <v/>
      </c>
      <c r="E145" s="23" t="str">
        <f>IF(LEFT(CT!D140,3)='SQTM &amp; TGNH NGÀY'!$E$2,LEFT(CT!E140,3),IF(LEFT(CT!E140,3)='SQTM &amp; TGNH NGÀY'!$E$2,LEFT(CT!D140,3),""))</f>
        <v/>
      </c>
      <c r="F145" s="78">
        <f>IF(LEFT(CT!D140,3)='SQTM &amp; TGNH NGÀY'!$E$2,CT!H140,0)</f>
        <v>0</v>
      </c>
      <c r="G145" s="78">
        <f>IF(LEFT(CT!E140,3)='SQTM &amp; TGNH NGÀY'!$E$2,CT!H140,0)</f>
        <v>0</v>
      </c>
      <c r="H145" s="78">
        <f>IF(SUM(F145:G145)=0,0,$H$8+SUBTOTAL(9,$F$10:F145)-SUBTOTAL(9,$G$10:G145))</f>
        <v>0</v>
      </c>
      <c r="I145" s="65" t="b">
        <f t="shared" si="2"/>
        <v>0</v>
      </c>
    </row>
    <row r="146" spans="1:9" ht="15.6" hidden="1" x14ac:dyDescent="0.3">
      <c r="A146" s="63" t="str">
        <f>IF(OR(LEFT(CT!D141,3)=$E$2,LEFT(CT!E141,3)=$E$2),CT!A141,"")</f>
        <v/>
      </c>
      <c r="B146" s="23" t="str">
        <f>IF(LEFT(CT!D141,3)='SQTM &amp; TGNH NGÀY'!$E$2,CT!B141,"")</f>
        <v/>
      </c>
      <c r="C146" s="23" t="str">
        <f>IF(LEFT(CT!E141,3)='SQTM &amp; TGNH NGÀY'!$E$2,CT!B141,"")</f>
        <v/>
      </c>
      <c r="D146" s="23" t="str">
        <f>IF(OR(LEFT(CT!D141,3)='SQTM &amp; TGNH NGÀY'!$E$2,LEFT(CT!E141,3)='SQTM &amp; TGNH NGÀY'!$E$2),CT!C141,"")</f>
        <v/>
      </c>
      <c r="E146" s="23" t="str">
        <f>IF(LEFT(CT!D141,3)='SQTM &amp; TGNH NGÀY'!$E$2,LEFT(CT!E141,3),IF(LEFT(CT!E141,3)='SQTM &amp; TGNH NGÀY'!$E$2,LEFT(CT!D141,3),""))</f>
        <v/>
      </c>
      <c r="F146" s="78">
        <f>IF(LEFT(CT!D141,3)='SQTM &amp; TGNH NGÀY'!$E$2,CT!H141,0)</f>
        <v>0</v>
      </c>
      <c r="G146" s="78">
        <f>IF(LEFT(CT!E141,3)='SQTM &amp; TGNH NGÀY'!$E$2,CT!H141,0)</f>
        <v>0</v>
      </c>
      <c r="H146" s="78">
        <f>IF(SUM(F146:G146)=0,0,$H$8+SUBTOTAL(9,$F$10:F146)-SUBTOTAL(9,$G$10:G146))</f>
        <v>0</v>
      </c>
      <c r="I146" s="65" t="b">
        <f t="shared" si="2"/>
        <v>0</v>
      </c>
    </row>
    <row r="147" spans="1:9" ht="15.6" hidden="1" x14ac:dyDescent="0.3">
      <c r="A147" s="63" t="str">
        <f>IF(OR(LEFT(CT!D142,3)=$E$2,LEFT(CT!E142,3)=$E$2),CT!A142,"")</f>
        <v/>
      </c>
      <c r="B147" s="23" t="str">
        <f>IF(LEFT(CT!D142,3)='SQTM &amp; TGNH NGÀY'!$E$2,CT!B142,"")</f>
        <v/>
      </c>
      <c r="C147" s="23" t="str">
        <f>IF(LEFT(CT!E142,3)='SQTM &amp; TGNH NGÀY'!$E$2,CT!B142,"")</f>
        <v/>
      </c>
      <c r="D147" s="23" t="str">
        <f>IF(OR(LEFT(CT!D142,3)='SQTM &amp; TGNH NGÀY'!$E$2,LEFT(CT!E142,3)='SQTM &amp; TGNH NGÀY'!$E$2),CT!C142,"")</f>
        <v/>
      </c>
      <c r="E147" s="23" t="str">
        <f>IF(LEFT(CT!D142,3)='SQTM &amp; TGNH NGÀY'!$E$2,LEFT(CT!E142,3),IF(LEFT(CT!E142,3)='SQTM &amp; TGNH NGÀY'!$E$2,LEFT(CT!D142,3),""))</f>
        <v/>
      </c>
      <c r="F147" s="78">
        <f>IF(LEFT(CT!D142,3)='SQTM &amp; TGNH NGÀY'!$E$2,CT!H142,0)</f>
        <v>0</v>
      </c>
      <c r="G147" s="78">
        <f>IF(LEFT(CT!E142,3)='SQTM &amp; TGNH NGÀY'!$E$2,CT!H142,0)</f>
        <v>0</v>
      </c>
      <c r="H147" s="78">
        <f>IF(SUM(F147:G147)=0,0,$H$8+SUBTOTAL(9,$F$10:F147)-SUBTOTAL(9,$G$10:G147))</f>
        <v>0</v>
      </c>
      <c r="I147" s="65" t="b">
        <f t="shared" si="2"/>
        <v>0</v>
      </c>
    </row>
    <row r="148" spans="1:9" ht="15.6" hidden="1" x14ac:dyDescent="0.3">
      <c r="A148" s="138" t="str">
        <f>IF(OR(LEFT(CT!D143,3)=$E$2,LEFT(CT!E143,3)=$E$2),CT!A143,"")</f>
        <v/>
      </c>
      <c r="B148" s="139" t="str">
        <f>IF(LEFT(CT!D143,3)='SQTM &amp; TGNH NGÀY'!$E$2,CT!B143,"")</f>
        <v/>
      </c>
      <c r="C148" s="139" t="str">
        <f>IF(LEFT(CT!E143,3)='SQTM &amp; TGNH NGÀY'!$E$2,CT!B143,"")</f>
        <v/>
      </c>
      <c r="D148" s="139" t="str">
        <f>IF(OR(LEFT(CT!D143,3)='SQTM &amp; TGNH NGÀY'!$E$2,LEFT(CT!E143,3)='SQTM &amp; TGNH NGÀY'!$E$2),CT!C143,"")</f>
        <v/>
      </c>
      <c r="E148" s="139" t="str">
        <f>IF(LEFT(CT!D143,3)='SQTM &amp; TGNH NGÀY'!$E$2,LEFT(CT!E143,3),IF(LEFT(CT!E143,3)='SQTM &amp; TGNH NGÀY'!$E$2,LEFT(CT!D143,3),""))</f>
        <v/>
      </c>
      <c r="F148" s="140">
        <f>IF(LEFT(CT!D143,3)='SQTM &amp; TGNH NGÀY'!$E$2,CT!H143,0)</f>
        <v>0</v>
      </c>
      <c r="G148" s="140">
        <f>IF(LEFT(CT!E143,3)='SQTM &amp; TGNH NGÀY'!$E$2,CT!H143,0)</f>
        <v>0</v>
      </c>
      <c r="H148" s="140">
        <f>IF(SUM(F148:G148)=0,0,$H$8+SUBTOTAL(9,$F$10:F148)-SUBTOTAL(9,$G$10:G148))</f>
        <v>0</v>
      </c>
      <c r="I148" s="136" t="b">
        <f t="shared" si="2"/>
        <v>0</v>
      </c>
    </row>
    <row r="149" spans="1:9" ht="15.6" x14ac:dyDescent="0.3">
      <c r="D149" s="35" t="s">
        <v>864</v>
      </c>
      <c r="E149" s="35"/>
      <c r="F149" s="103">
        <f>SUBTOTAL(9,F10:F148)</f>
        <v>200000</v>
      </c>
      <c r="G149" s="103">
        <f>SUBTOTAL(9,G10:G148)</f>
        <v>401000000</v>
      </c>
      <c r="H149" s="103"/>
      <c r="I149" t="b">
        <v>1</v>
      </c>
    </row>
    <row r="150" spans="1:9" ht="15.6" x14ac:dyDescent="0.3">
      <c r="D150" s="35" t="s">
        <v>879</v>
      </c>
      <c r="E150" s="35"/>
      <c r="F150" s="103"/>
      <c r="G150" s="103"/>
      <c r="H150" s="103">
        <f>H8+F149-G149</f>
        <v>21100000</v>
      </c>
      <c r="I150" t="b">
        <v>1</v>
      </c>
    </row>
  </sheetData>
  <autoFilter ref="I9:I150" xr:uid="{0852D73B-7D1D-4E30-BE08-FD5F08873A1D}">
    <filterColumn colId="0">
      <filters>
        <filter val="TRUE"/>
      </filters>
    </filterColumn>
  </autoFilter>
  <mergeCells count="8">
    <mergeCell ref="I4:I8"/>
    <mergeCell ref="A6:C8"/>
    <mergeCell ref="A1:H1"/>
    <mergeCell ref="A4:A5"/>
    <mergeCell ref="B4:C4"/>
    <mergeCell ref="D4:D5"/>
    <mergeCell ref="E4:E5"/>
    <mergeCell ref="F4:H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0506EE-B3D4-4E5D-849E-638E91CFCAEB}">
          <x14:formula1>
            <xm:f>HTTK1!$A$5:$A$80</xm:f>
          </x14:formula1>
          <xm:sqref>E2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7E0E-D19E-4D6B-B6F6-7009457D37F5}">
  <sheetPr filterMode="1">
    <tabColor rgb="FFFFFF00"/>
  </sheetPr>
  <dimension ref="A1:K148"/>
  <sheetViews>
    <sheetView workbookViewId="0">
      <selection activeCell="A7" sqref="A7:XFD7"/>
    </sheetView>
  </sheetViews>
  <sheetFormatPr defaultRowHeight="13.2" x14ac:dyDescent="0.25"/>
  <cols>
    <col min="1" max="1" width="11.6640625" customWidth="1"/>
    <col min="2" max="2" width="13.109375" customWidth="1"/>
    <col min="3" max="3" width="23.77734375" customWidth="1"/>
    <col min="4" max="4" width="24" customWidth="1"/>
    <col min="5" max="5" width="15" customWidth="1"/>
    <col min="6" max="6" width="23.77734375" customWidth="1"/>
    <col min="7" max="7" width="16.33203125" customWidth="1"/>
    <col min="8" max="8" width="19" customWidth="1"/>
    <col min="9" max="9" width="14.109375" customWidth="1"/>
    <col min="10" max="10" width="13" customWidth="1"/>
    <col min="11" max="11" width="15.77734375" customWidth="1"/>
  </cols>
  <sheetData>
    <row r="1" spans="1:11" ht="20.399999999999999" x14ac:dyDescent="0.35">
      <c r="A1" s="155" t="s">
        <v>881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</row>
    <row r="2" spans="1:11" ht="16.8" x14ac:dyDescent="0.3">
      <c r="A2" s="99"/>
      <c r="B2" s="99"/>
      <c r="C2" s="99"/>
      <c r="D2" s="99"/>
      <c r="E2" s="99"/>
      <c r="F2" s="87" t="s">
        <v>853</v>
      </c>
      <c r="G2" s="87" t="s">
        <v>66</v>
      </c>
      <c r="H2" s="87" t="s">
        <v>861</v>
      </c>
      <c r="I2" s="87" t="str">
        <f>VLOOKUP(G2,DMTK!$B$5:$Q$263,3,0)</f>
        <v>Gỗ cao su</v>
      </c>
      <c r="J2" s="99"/>
      <c r="K2" s="99"/>
    </row>
    <row r="3" spans="1:11" ht="16.8" x14ac:dyDescent="0.3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</row>
    <row r="4" spans="1:11" ht="16.8" x14ac:dyDescent="0.3">
      <c r="A4" s="171" t="s">
        <v>828</v>
      </c>
      <c r="B4" s="171"/>
      <c r="C4" s="171" t="s">
        <v>829</v>
      </c>
      <c r="D4" s="171" t="s">
        <v>862</v>
      </c>
      <c r="E4" s="171" t="s">
        <v>882</v>
      </c>
      <c r="F4" s="171" t="s">
        <v>883</v>
      </c>
      <c r="G4" s="171"/>
      <c r="H4" s="171" t="s">
        <v>884</v>
      </c>
      <c r="I4" s="171"/>
      <c r="J4" s="171" t="s">
        <v>877</v>
      </c>
      <c r="K4" s="171"/>
    </row>
    <row r="5" spans="1:11" ht="16.8" x14ac:dyDescent="0.3">
      <c r="A5" s="170" t="s">
        <v>832</v>
      </c>
      <c r="B5" s="170" t="s">
        <v>833</v>
      </c>
      <c r="C5" s="171"/>
      <c r="D5" s="171"/>
      <c r="E5" s="171"/>
      <c r="F5" s="88" t="s">
        <v>885</v>
      </c>
      <c r="G5" s="88" t="s">
        <v>886</v>
      </c>
      <c r="H5" s="88" t="s">
        <v>885</v>
      </c>
      <c r="I5" s="88" t="s">
        <v>886</v>
      </c>
      <c r="J5" s="88" t="s">
        <v>885</v>
      </c>
      <c r="K5" s="88" t="s">
        <v>886</v>
      </c>
    </row>
    <row r="6" spans="1:11" ht="12.75" customHeight="1" x14ac:dyDescent="0.25">
      <c r="A6" s="170"/>
      <c r="B6" s="170"/>
      <c r="C6" s="117" t="s">
        <v>887</v>
      </c>
      <c r="D6" s="71"/>
      <c r="E6" s="85">
        <f>IF(J6&lt;&gt;0,K6/J6,0)</f>
        <v>3300000</v>
      </c>
      <c r="F6" s="71"/>
      <c r="G6" s="71"/>
      <c r="H6" s="71"/>
      <c r="I6" s="71"/>
      <c r="J6" s="71">
        <f>VLOOKUP(G2,DMTK!$B$5:$Q$263,4,0)</f>
        <v>10</v>
      </c>
      <c r="K6" s="85">
        <f>VLOOKUP(G2,DMTK!$B$5:$Q$263,5,0)</f>
        <v>33000000</v>
      </c>
    </row>
    <row r="7" spans="1:11" ht="12.75" customHeight="1" x14ac:dyDescent="0.25">
      <c r="A7" s="79">
        <v>1</v>
      </c>
      <c r="B7" s="79">
        <v>2</v>
      </c>
      <c r="C7" s="79">
        <v>3</v>
      </c>
      <c r="D7" s="79">
        <v>4</v>
      </c>
      <c r="E7" s="79">
        <v>5</v>
      </c>
      <c r="F7" s="79">
        <v>6</v>
      </c>
      <c r="G7" s="79">
        <v>7</v>
      </c>
      <c r="H7" s="79">
        <v>8</v>
      </c>
      <c r="I7" s="79">
        <v>9</v>
      </c>
      <c r="J7" s="79">
        <v>10</v>
      </c>
      <c r="K7" s="79">
        <v>11</v>
      </c>
    </row>
    <row r="8" spans="1:11" hidden="1" x14ac:dyDescent="0.25">
      <c r="A8" s="84" t="str">
        <f>IF(OR(CT!D5=SCTVTHH!$G$2,CT!E5=SCTVTHH!$G$2),CT!A5,"")</f>
        <v/>
      </c>
      <c r="B8" s="65" t="str">
        <f>IF(OR(CT!E5=SCTVTHH!$G$2,CT!E5=SCTVTHH!$G$2),CT!B5,"")</f>
        <v/>
      </c>
      <c r="C8" s="65" t="str">
        <f>IF(OR(CT!F5=SCTVTHH!$G$2,CT!E5=SCTVTHH!$G$2),CT!C5,"")</f>
        <v/>
      </c>
      <c r="D8" s="65" t="str">
        <f>IF(CT!D5=SCTVTHH!$G$2,CT!E5,IF(CT!E5=SCTVTHH!$G$2,CT!D5,""))</f>
        <v/>
      </c>
      <c r="E8" s="69">
        <f>IF(OR(CT!D5=SCTVTHH!$G$2,CT!E5=SCTVTHH!$G$2),CT!G5,0)</f>
        <v>0</v>
      </c>
      <c r="F8" s="69">
        <f>IF(CT!D5=SCTVTHH!$G$2,CT!F5,0)</f>
        <v>0</v>
      </c>
      <c r="G8" s="69">
        <f>IF(CT!D5=SCTVTHH!$G$2,CT!H5,0)</f>
        <v>0</v>
      </c>
      <c r="H8" s="69">
        <f>IF(CT!E5=SCTVTHH!$G$2,CT!F5,0)</f>
        <v>0</v>
      </c>
      <c r="I8" s="69">
        <f>IF(CT!E5=SCTVTHH!$G$2,CT!H5,0)</f>
        <v>0</v>
      </c>
      <c r="J8" s="69">
        <f>IF(SUM(F8,H8)=0,0,$J$6+SUM($F$8:F8)-SUM($H$8:H8))</f>
        <v>0</v>
      </c>
      <c r="K8" s="69">
        <f>IF(SUM(G8,I8)=0,0,$K$6+SUM($H$8:H8)-SUM($J$8:J8))</f>
        <v>0</v>
      </c>
    </row>
    <row r="9" spans="1:11" hidden="1" x14ac:dyDescent="0.25">
      <c r="A9" s="84" t="str">
        <f>IF(OR(CT!D6=SCTVTHH!$G$2,CT!E6=SCTVTHH!$G$2),CT!A6,"")</f>
        <v/>
      </c>
      <c r="B9" s="65" t="str">
        <f>IF(OR(CT!E6=SCTVTHH!$G$2,CT!E6=SCTVTHH!$G$2),CT!B6,"")</f>
        <v/>
      </c>
      <c r="C9" s="65" t="str">
        <f>IF(OR(CT!F6=SCTVTHH!$G$2,CT!E6=SCTVTHH!$G$2),CT!C6,"")</f>
        <v/>
      </c>
      <c r="D9" s="65" t="str">
        <f>IF(CT!D6=SCTVTHH!$G$2,CT!E6,IF(CT!E6=SCTVTHH!$G$2,CT!D6,""))</f>
        <v/>
      </c>
      <c r="E9" s="69">
        <f>IF(OR(CT!D6=SCTVTHH!$G$2,CT!E6=SCTVTHH!$G$2),CT!G6,0)</f>
        <v>0</v>
      </c>
      <c r="F9" s="69">
        <f>IF(CT!D6=SCTVTHH!$G$2,CT!F6,0)</f>
        <v>0</v>
      </c>
      <c r="G9" s="69">
        <f>IF(CT!D6=SCTVTHH!$G$2,CT!H6,0)</f>
        <v>0</v>
      </c>
      <c r="H9" s="69">
        <f>IF(CT!E6=SCTVTHH!$G$2,CT!F6,0)</f>
        <v>0</v>
      </c>
      <c r="I9" s="69">
        <f>IF(CT!E6=SCTVTHH!$G$2,CT!H6,0)</f>
        <v>0</v>
      </c>
      <c r="J9" s="69">
        <f>IF(SUM(F9,H9)=0,0,$J$6+SUM($F$8:F9)-SUM($H$8:H9))</f>
        <v>0</v>
      </c>
      <c r="K9" s="69">
        <f>IF(SUM(G9,I9)=0,0,$K$6+SUM($H$8:H9)-SUM($J$8:J9))</f>
        <v>0</v>
      </c>
    </row>
    <row r="10" spans="1:11" hidden="1" x14ac:dyDescent="0.25">
      <c r="A10" s="84" t="str">
        <f>IF(OR(CT!D7=SCTVTHH!$G$2,CT!E7=SCTVTHH!$G$2),CT!A7,"")</f>
        <v/>
      </c>
      <c r="B10" s="65" t="str">
        <f>IF(OR(CT!E7=SCTVTHH!$G$2,CT!E7=SCTVTHH!$G$2),CT!B7,"")</f>
        <v/>
      </c>
      <c r="C10" s="65" t="str">
        <f>IF(OR(CT!F7=SCTVTHH!$G$2,CT!E7=SCTVTHH!$G$2),CT!C7,"")</f>
        <v/>
      </c>
      <c r="D10" s="65" t="str">
        <f>IF(CT!D7=SCTVTHH!$G$2,CT!E7,IF(CT!E7=SCTVTHH!$G$2,CT!D7,""))</f>
        <v/>
      </c>
      <c r="E10" s="69">
        <f>IF(OR(CT!D7=SCTVTHH!$G$2,CT!E7=SCTVTHH!$G$2),CT!G7,0)</f>
        <v>0</v>
      </c>
      <c r="F10" s="69">
        <f>IF(CT!D7=SCTVTHH!$G$2,CT!F7,0)</f>
        <v>0</v>
      </c>
      <c r="G10" s="69">
        <f>IF(CT!D7=SCTVTHH!$G$2,CT!H7,0)</f>
        <v>0</v>
      </c>
      <c r="H10" s="69">
        <f>IF(CT!E7=SCTVTHH!$G$2,CT!F7,0)</f>
        <v>0</v>
      </c>
      <c r="I10" s="69">
        <f>IF(CT!E7=SCTVTHH!$G$2,CT!H7,0)</f>
        <v>0</v>
      </c>
      <c r="J10" s="69">
        <f>IF(SUM(F10,H10)=0,0,$J$6+SUM($F$8:F10)-SUM($H$8:H10))</f>
        <v>0</v>
      </c>
      <c r="K10" s="69">
        <f>IF(SUM(G10,I10)=0,0,$K$6+SUM($H$8:H10)-SUM($J$8:J10))</f>
        <v>0</v>
      </c>
    </row>
    <row r="11" spans="1:11" hidden="1" x14ac:dyDescent="0.25">
      <c r="A11" s="84" t="str">
        <f>IF(OR(CT!D8=SCTVTHH!$G$2,CT!E8=SCTVTHH!$G$2),CT!A8,"")</f>
        <v/>
      </c>
      <c r="B11" s="65" t="str">
        <f>IF(OR(CT!E8=SCTVTHH!$G$2,CT!E8=SCTVTHH!$G$2),CT!B8,"")</f>
        <v/>
      </c>
      <c r="C11" s="65" t="str">
        <f>IF(OR(CT!F8=SCTVTHH!$G$2,CT!E8=SCTVTHH!$G$2),CT!C8,"")</f>
        <v/>
      </c>
      <c r="D11" s="65" t="str">
        <f>IF(CT!D8=SCTVTHH!$G$2,CT!E8,IF(CT!E8=SCTVTHH!$G$2,CT!D8,""))</f>
        <v/>
      </c>
      <c r="E11" s="69">
        <f>IF(OR(CT!D8=SCTVTHH!$G$2,CT!E8=SCTVTHH!$G$2),CT!G8,0)</f>
        <v>0</v>
      </c>
      <c r="F11" s="69">
        <f>IF(CT!D8=SCTVTHH!$G$2,CT!F8,0)</f>
        <v>0</v>
      </c>
      <c r="G11" s="69">
        <f>IF(CT!D8=SCTVTHH!$G$2,CT!H8,0)</f>
        <v>0</v>
      </c>
      <c r="H11" s="69">
        <f>IF(CT!E8=SCTVTHH!$G$2,CT!F8,0)</f>
        <v>0</v>
      </c>
      <c r="I11" s="69">
        <f>IF(CT!E8=SCTVTHH!$G$2,CT!H8,0)</f>
        <v>0</v>
      </c>
      <c r="J11" s="69">
        <f>IF(SUM(F11,H11)=0,0,$J$6+SUM($F$8:F11)-SUM($H$8:H11))</f>
        <v>0</v>
      </c>
      <c r="K11" s="69">
        <f>IF(SUM(G11,I11)=0,0,$K$6+SUM($H$8:H11)-SUM($J$8:J11))</f>
        <v>0</v>
      </c>
    </row>
    <row r="12" spans="1:11" hidden="1" x14ac:dyDescent="0.25">
      <c r="A12" s="84" t="str">
        <f>IF(OR(CT!D9=SCTVTHH!$G$2,CT!E9=SCTVTHH!$G$2),CT!A9,"")</f>
        <v/>
      </c>
      <c r="B12" s="65" t="str">
        <f>IF(OR(CT!E9=SCTVTHH!$G$2,CT!E9=SCTVTHH!$G$2),CT!B9,"")</f>
        <v/>
      </c>
      <c r="C12" s="65" t="str">
        <f>IF(OR(CT!F9=SCTVTHH!$G$2,CT!E9=SCTVTHH!$G$2),CT!C9,"")</f>
        <v/>
      </c>
      <c r="D12" s="65" t="str">
        <f>IF(CT!D9=SCTVTHH!$G$2,CT!E9,IF(CT!E9=SCTVTHH!$G$2,CT!D9,""))</f>
        <v/>
      </c>
      <c r="E12" s="69">
        <f>IF(OR(CT!D9=SCTVTHH!$G$2,CT!E9=SCTVTHH!$G$2),CT!G9,0)</f>
        <v>0</v>
      </c>
      <c r="F12" s="69">
        <f>IF(CT!D9=SCTVTHH!$G$2,CT!F9,0)</f>
        <v>0</v>
      </c>
      <c r="G12" s="69">
        <f>IF(CT!D9=SCTVTHH!$G$2,CT!H9,0)</f>
        <v>0</v>
      </c>
      <c r="H12" s="69">
        <f>IF(CT!E9=SCTVTHH!$G$2,CT!F9,0)</f>
        <v>0</v>
      </c>
      <c r="I12" s="69">
        <f>IF(CT!E9=SCTVTHH!$G$2,CT!H9,0)</f>
        <v>0</v>
      </c>
      <c r="J12" s="69">
        <f>IF(SUM(F12,H12)=0,0,$J$6+SUM($F$8:F12)-SUM($H$8:H12))</f>
        <v>0</v>
      </c>
      <c r="K12" s="69">
        <f>IF(SUM(G12,I12)=0,0,$K$6+SUM($H$8:H12)-SUM($J$8:J12))</f>
        <v>0</v>
      </c>
    </row>
    <row r="13" spans="1:11" hidden="1" x14ac:dyDescent="0.25">
      <c r="A13" s="84" t="str">
        <f>IF(OR(CT!D10=SCTVTHH!$G$2,CT!E10=SCTVTHH!$G$2),CT!A10,"")</f>
        <v/>
      </c>
      <c r="B13" s="65" t="str">
        <f>IF(OR(CT!E10=SCTVTHH!$G$2,CT!E10=SCTVTHH!$G$2),CT!B10,"")</f>
        <v/>
      </c>
      <c r="C13" s="65" t="str">
        <f>IF(OR(CT!F10=SCTVTHH!$G$2,CT!E10=SCTVTHH!$G$2),CT!C10,"")</f>
        <v/>
      </c>
      <c r="D13" s="65" t="str">
        <f>IF(CT!D10=SCTVTHH!$G$2,CT!E10,IF(CT!E10=SCTVTHH!$G$2,CT!D10,""))</f>
        <v/>
      </c>
      <c r="E13" s="69">
        <f>IF(OR(CT!D10=SCTVTHH!$G$2,CT!E10=SCTVTHH!$G$2),CT!G10,0)</f>
        <v>0</v>
      </c>
      <c r="F13" s="69">
        <f>IF(CT!D10=SCTVTHH!$G$2,CT!F10,0)</f>
        <v>0</v>
      </c>
      <c r="G13" s="69">
        <f>IF(CT!D10=SCTVTHH!$G$2,CT!H10,0)</f>
        <v>0</v>
      </c>
      <c r="H13" s="69">
        <f>IF(CT!E10=SCTVTHH!$G$2,CT!F10,0)</f>
        <v>0</v>
      </c>
      <c r="I13" s="69">
        <f>IF(CT!E10=SCTVTHH!$G$2,CT!H10,0)</f>
        <v>0</v>
      </c>
      <c r="J13" s="69">
        <f>IF(SUM(F13,H13)=0,0,$J$6+SUM($F$8:F13)-SUM($H$8:H13))</f>
        <v>0</v>
      </c>
      <c r="K13" s="69">
        <f>IF(SUM(G13,I13)=0,0,$K$6+SUM($H$8:H13)-SUM($J$8:J13))</f>
        <v>0</v>
      </c>
    </row>
    <row r="14" spans="1:11" hidden="1" x14ac:dyDescent="0.25">
      <c r="A14" s="84" t="str">
        <f>IF(OR(CT!D11=SCTVTHH!$G$2,CT!E11=SCTVTHH!$G$2),CT!A11,"")</f>
        <v/>
      </c>
      <c r="B14" s="65" t="str">
        <f>IF(OR(CT!E11=SCTVTHH!$G$2,CT!E11=SCTVTHH!$G$2),CT!B11,"")</f>
        <v/>
      </c>
      <c r="C14" s="65" t="str">
        <f>IF(OR(CT!F11=SCTVTHH!$G$2,CT!E11=SCTVTHH!$G$2),CT!C11,"")</f>
        <v/>
      </c>
      <c r="D14" s="65" t="str">
        <f>IF(CT!D11=SCTVTHH!$G$2,CT!E11,IF(CT!E11=SCTVTHH!$G$2,CT!D11,""))</f>
        <v/>
      </c>
      <c r="E14" s="69">
        <f>IF(OR(CT!D11=SCTVTHH!$G$2,CT!E11=SCTVTHH!$G$2),CT!G11,0)</f>
        <v>0</v>
      </c>
      <c r="F14" s="69">
        <f>IF(CT!D11=SCTVTHH!$G$2,CT!F11,0)</f>
        <v>0</v>
      </c>
      <c r="G14" s="69">
        <f>IF(CT!D11=SCTVTHH!$G$2,CT!H11,0)</f>
        <v>0</v>
      </c>
      <c r="H14" s="69">
        <f>IF(CT!E11=SCTVTHH!$G$2,CT!F11,0)</f>
        <v>0</v>
      </c>
      <c r="I14" s="69">
        <f>IF(CT!E11=SCTVTHH!$G$2,CT!H11,0)</f>
        <v>0</v>
      </c>
      <c r="J14" s="69">
        <f>IF(SUM(F14,H14)=0,0,$J$6+SUM($F$8:F14)-SUM($H$8:H14))</f>
        <v>0</v>
      </c>
      <c r="K14" s="69">
        <f>IF(SUM(G14,I14)=0,0,$K$6+SUM($H$8:H14)-SUM($J$8:J14))</f>
        <v>0</v>
      </c>
    </row>
    <row r="15" spans="1:11" hidden="1" x14ac:dyDescent="0.25">
      <c r="A15" s="84" t="str">
        <f>IF(OR(CT!D12=SCTVTHH!$G$2,CT!E12=SCTVTHH!$G$2),CT!A12,"")</f>
        <v/>
      </c>
      <c r="B15" s="65" t="str">
        <f>IF(OR(CT!E12=SCTVTHH!$G$2,CT!E12=SCTVTHH!$G$2),CT!B12,"")</f>
        <v/>
      </c>
      <c r="C15" s="65" t="str">
        <f>IF(OR(CT!F12=SCTVTHH!$G$2,CT!E12=SCTVTHH!$G$2),CT!C12,"")</f>
        <v/>
      </c>
      <c r="D15" s="65" t="str">
        <f>IF(CT!D12=SCTVTHH!$G$2,CT!E12,IF(CT!E12=SCTVTHH!$G$2,CT!D12,""))</f>
        <v/>
      </c>
      <c r="E15" s="69">
        <f>IF(OR(CT!D12=SCTVTHH!$G$2,CT!E12=SCTVTHH!$G$2),CT!G12,0)</f>
        <v>0</v>
      </c>
      <c r="F15" s="69">
        <f>IF(CT!D12=SCTVTHH!$G$2,CT!F12,0)</f>
        <v>0</v>
      </c>
      <c r="G15" s="69">
        <f>IF(CT!D12=SCTVTHH!$G$2,CT!H12,0)</f>
        <v>0</v>
      </c>
      <c r="H15" s="69">
        <f>IF(CT!E12=SCTVTHH!$G$2,CT!F12,0)</f>
        <v>0</v>
      </c>
      <c r="I15" s="69">
        <f>IF(CT!E12=SCTVTHH!$G$2,CT!H12,0)</f>
        <v>0</v>
      </c>
      <c r="J15" s="69">
        <f>IF(SUM(F15,H15)=0,0,$J$6+SUM($F$8:F15)-SUM($H$8:H15))</f>
        <v>0</v>
      </c>
      <c r="K15" s="69">
        <f>IF(SUM(G15,I15)=0,0,$K$6+SUM($H$8:H15)-SUM($J$8:J15))</f>
        <v>0</v>
      </c>
    </row>
    <row r="16" spans="1:11" hidden="1" x14ac:dyDescent="0.25">
      <c r="A16" s="84" t="str">
        <f>IF(OR(CT!D13=SCTVTHH!$G$2,CT!E13=SCTVTHH!$G$2),CT!A13,"")</f>
        <v/>
      </c>
      <c r="B16" s="65" t="str">
        <f>IF(OR(CT!E13=SCTVTHH!$G$2,CT!E13=SCTVTHH!$G$2),CT!B13,"")</f>
        <v/>
      </c>
      <c r="C16" s="65" t="str">
        <f>IF(OR(CT!F13=SCTVTHH!$G$2,CT!E13=SCTVTHH!$G$2),CT!C13,"")</f>
        <v/>
      </c>
      <c r="D16" s="65" t="str">
        <f>IF(CT!D13=SCTVTHH!$G$2,CT!E13,IF(CT!E13=SCTVTHH!$G$2,CT!D13,""))</f>
        <v/>
      </c>
      <c r="E16" s="69">
        <f>IF(OR(CT!D13=SCTVTHH!$G$2,CT!E13=SCTVTHH!$G$2),CT!G13,0)</f>
        <v>0</v>
      </c>
      <c r="F16" s="69">
        <f>IF(CT!D13=SCTVTHH!$G$2,CT!F13,0)</f>
        <v>0</v>
      </c>
      <c r="G16" s="69">
        <f>IF(CT!D13=SCTVTHH!$G$2,CT!H13,0)</f>
        <v>0</v>
      </c>
      <c r="H16" s="69">
        <f>IF(CT!E13=SCTVTHH!$G$2,CT!F13,0)</f>
        <v>0</v>
      </c>
      <c r="I16" s="69">
        <f>IF(CT!E13=SCTVTHH!$G$2,CT!H13,0)</f>
        <v>0</v>
      </c>
      <c r="J16" s="69">
        <f>IF(SUM(F16,H16)=0,0,$J$6+SUM($F$8:F16)-SUM($H$8:H16))</f>
        <v>0</v>
      </c>
      <c r="K16" s="69">
        <f>IF(SUM(G16,I16)=0,0,$K$6+SUM($H$8:H16)-SUM($J$8:J16))</f>
        <v>0</v>
      </c>
    </row>
    <row r="17" spans="1:11" hidden="1" x14ac:dyDescent="0.25">
      <c r="A17" s="84" t="str">
        <f>IF(OR(CT!D14=SCTVTHH!$G$2,CT!E14=SCTVTHH!$G$2),CT!A14,"")</f>
        <v/>
      </c>
      <c r="B17" s="65" t="str">
        <f>IF(OR(CT!E14=SCTVTHH!$G$2,CT!E14=SCTVTHH!$G$2),CT!B14,"")</f>
        <v/>
      </c>
      <c r="C17" s="65" t="str">
        <f>IF(OR(CT!F14=SCTVTHH!$G$2,CT!E14=SCTVTHH!$G$2),CT!C14,"")</f>
        <v/>
      </c>
      <c r="D17" s="65" t="str">
        <f>IF(CT!D14=SCTVTHH!$G$2,CT!E14,IF(CT!E14=SCTVTHH!$G$2,CT!D14,""))</f>
        <v/>
      </c>
      <c r="E17" s="69">
        <f>IF(OR(CT!D14=SCTVTHH!$G$2,CT!E14=SCTVTHH!$G$2),CT!G14,0)</f>
        <v>0</v>
      </c>
      <c r="F17" s="69">
        <f>IF(CT!D14=SCTVTHH!$G$2,CT!F14,0)</f>
        <v>0</v>
      </c>
      <c r="G17" s="69">
        <f>IF(CT!D14=SCTVTHH!$G$2,CT!H14,0)</f>
        <v>0</v>
      </c>
      <c r="H17" s="69">
        <f>IF(CT!E14=SCTVTHH!$G$2,CT!F14,0)</f>
        <v>0</v>
      </c>
      <c r="I17" s="69">
        <f>IF(CT!E14=SCTVTHH!$G$2,CT!H14,0)</f>
        <v>0</v>
      </c>
      <c r="J17" s="69">
        <f>IF(SUM(F17,H17)=0,0,$J$6+SUM($F$8:F17)-SUM($H$8:H17))</f>
        <v>0</v>
      </c>
      <c r="K17" s="69">
        <f>IF(SUM(G17,I17)=0,0,$K$6+SUM($H$8:H17)-SUM($J$8:J17))</f>
        <v>0</v>
      </c>
    </row>
    <row r="18" spans="1:11" hidden="1" x14ac:dyDescent="0.25">
      <c r="A18" s="84" t="str">
        <f>IF(OR(CT!D15=SCTVTHH!$G$2,CT!E15=SCTVTHH!$G$2),CT!A15,"")</f>
        <v/>
      </c>
      <c r="B18" s="65" t="str">
        <f>IF(OR(CT!E15=SCTVTHH!$G$2,CT!E15=SCTVTHH!$G$2),CT!B15,"")</f>
        <v/>
      </c>
      <c r="C18" s="65" t="str">
        <f>IF(OR(CT!F15=SCTVTHH!$G$2,CT!E15=SCTVTHH!$G$2),CT!C15,"")</f>
        <v/>
      </c>
      <c r="D18" s="65" t="str">
        <f>IF(CT!D15=SCTVTHH!$G$2,CT!E15,IF(CT!E15=SCTVTHH!$G$2,CT!D15,""))</f>
        <v/>
      </c>
      <c r="E18" s="69">
        <f>IF(OR(CT!D15=SCTVTHH!$G$2,CT!E15=SCTVTHH!$G$2),CT!G15,0)</f>
        <v>0</v>
      </c>
      <c r="F18" s="69">
        <f>IF(CT!D15=SCTVTHH!$G$2,CT!F15,0)</f>
        <v>0</v>
      </c>
      <c r="G18" s="69">
        <f>IF(CT!D15=SCTVTHH!$G$2,CT!H15,0)</f>
        <v>0</v>
      </c>
      <c r="H18" s="69">
        <f>IF(CT!E15=SCTVTHH!$G$2,CT!F15,0)</f>
        <v>0</v>
      </c>
      <c r="I18" s="69">
        <f>IF(CT!E15=SCTVTHH!$G$2,CT!H15,0)</f>
        <v>0</v>
      </c>
      <c r="J18" s="69">
        <f>IF(SUM(F18,H18)=0,0,$J$6+SUM($F$8:F18)-SUM($H$8:H18))</f>
        <v>0</v>
      </c>
      <c r="K18" s="69">
        <f>IF(SUM(G18,I18)=0,0,$K$6+SUM($H$8:H18)-SUM($J$8:J18))</f>
        <v>0</v>
      </c>
    </row>
    <row r="19" spans="1:11" hidden="1" x14ac:dyDescent="0.25">
      <c r="A19" s="84" t="str">
        <f>IF(OR(CT!D16=SCTVTHH!$G$2,CT!E16=SCTVTHH!$G$2),CT!A16,"")</f>
        <v/>
      </c>
      <c r="B19" s="65" t="str">
        <f>IF(OR(CT!E16=SCTVTHH!$G$2,CT!E16=SCTVTHH!$G$2),CT!B16,"")</f>
        <v/>
      </c>
      <c r="C19" s="65" t="str">
        <f>IF(OR(CT!F16=SCTVTHH!$G$2,CT!E16=SCTVTHH!$G$2),CT!C16,"")</f>
        <v/>
      </c>
      <c r="D19" s="65" t="str">
        <f>IF(CT!D16=SCTVTHH!$G$2,CT!E16,IF(CT!E16=SCTVTHH!$G$2,CT!D16,""))</f>
        <v/>
      </c>
      <c r="E19" s="69">
        <f>IF(OR(CT!D16=SCTVTHH!$G$2,CT!E16=SCTVTHH!$G$2),CT!G16,0)</f>
        <v>0</v>
      </c>
      <c r="F19" s="69">
        <f>IF(CT!D16=SCTVTHH!$G$2,CT!F16,0)</f>
        <v>0</v>
      </c>
      <c r="G19" s="69">
        <f>IF(CT!D16=SCTVTHH!$G$2,CT!H16,0)</f>
        <v>0</v>
      </c>
      <c r="H19" s="69">
        <f>IF(CT!E16=SCTVTHH!$G$2,CT!F16,0)</f>
        <v>0</v>
      </c>
      <c r="I19" s="69">
        <f>IF(CT!E16=SCTVTHH!$G$2,CT!H16,0)</f>
        <v>0</v>
      </c>
      <c r="J19" s="69">
        <f>IF(SUM(F19,H19)=0,0,$J$6+SUM($F$8:F19)-SUM($H$8:H19))</f>
        <v>0</v>
      </c>
      <c r="K19" s="69">
        <f>IF(SUM(G19,I19)=0,0,$K$6+SUM($H$8:H19)-SUM($J$8:J19))</f>
        <v>0</v>
      </c>
    </row>
    <row r="20" spans="1:11" hidden="1" x14ac:dyDescent="0.25">
      <c r="A20" s="84" t="str">
        <f>IF(OR(CT!D17=SCTVTHH!$G$2,CT!E17=SCTVTHH!$G$2),CT!A17,"")</f>
        <v/>
      </c>
      <c r="B20" s="65" t="str">
        <f>IF(OR(CT!E17=SCTVTHH!$G$2,CT!E17=SCTVTHH!$G$2),CT!B17,"")</f>
        <v/>
      </c>
      <c r="C20" s="65" t="str">
        <f>IF(OR(CT!F17=SCTVTHH!$G$2,CT!E17=SCTVTHH!$G$2),CT!C17,"")</f>
        <v/>
      </c>
      <c r="D20" s="65" t="str">
        <f>IF(CT!D17=SCTVTHH!$G$2,CT!E17,IF(CT!E17=SCTVTHH!$G$2,CT!D17,""))</f>
        <v/>
      </c>
      <c r="E20" s="69">
        <f>IF(OR(CT!D17=SCTVTHH!$G$2,CT!E17=SCTVTHH!$G$2),CT!G17,0)</f>
        <v>0</v>
      </c>
      <c r="F20" s="69">
        <f>IF(CT!D17=SCTVTHH!$G$2,CT!F17,0)</f>
        <v>0</v>
      </c>
      <c r="G20" s="69">
        <f>IF(CT!D17=SCTVTHH!$G$2,CT!H17,0)</f>
        <v>0</v>
      </c>
      <c r="H20" s="69">
        <f>IF(CT!E17=SCTVTHH!$G$2,CT!F17,0)</f>
        <v>0</v>
      </c>
      <c r="I20" s="69">
        <f>IF(CT!E17=SCTVTHH!$G$2,CT!H17,0)</f>
        <v>0</v>
      </c>
      <c r="J20" s="69">
        <f>IF(SUM(F20,H20)=0,0,$J$6+SUM($F$8:F20)-SUM($H$8:H20))</f>
        <v>0</v>
      </c>
      <c r="K20" s="69">
        <f>IF(SUM(G20,I20)=0,0,$K$6+SUM($H$8:H20)-SUM($J$8:J20))</f>
        <v>0</v>
      </c>
    </row>
    <row r="21" spans="1:11" hidden="1" x14ac:dyDescent="0.25">
      <c r="A21" s="84" t="str">
        <f>IF(OR(CT!D18=SCTVTHH!$G$2,CT!E18=SCTVTHH!$G$2),CT!A18,"")</f>
        <v/>
      </c>
      <c r="B21" s="65" t="str">
        <f>IF(OR(CT!E18=SCTVTHH!$G$2,CT!E18=SCTVTHH!$G$2),CT!B18,"")</f>
        <v/>
      </c>
      <c r="C21" s="65" t="str">
        <f>IF(OR(CT!F18=SCTVTHH!$G$2,CT!E18=SCTVTHH!$G$2),CT!C18,"")</f>
        <v/>
      </c>
      <c r="D21" s="65" t="str">
        <f>IF(CT!D18=SCTVTHH!$G$2,CT!E18,IF(CT!E18=SCTVTHH!$G$2,CT!D18,""))</f>
        <v/>
      </c>
      <c r="E21" s="69">
        <f>IF(OR(CT!D18=SCTVTHH!$G$2,CT!E18=SCTVTHH!$G$2),CT!G18,0)</f>
        <v>0</v>
      </c>
      <c r="F21" s="69">
        <f>IF(CT!D18=SCTVTHH!$G$2,CT!F18,0)</f>
        <v>0</v>
      </c>
      <c r="G21" s="69">
        <f>IF(CT!D18=SCTVTHH!$G$2,CT!H18,0)</f>
        <v>0</v>
      </c>
      <c r="H21" s="69">
        <f>IF(CT!E18=SCTVTHH!$G$2,CT!F18,0)</f>
        <v>0</v>
      </c>
      <c r="I21" s="69">
        <f>IF(CT!E18=SCTVTHH!$G$2,CT!H18,0)</f>
        <v>0</v>
      </c>
      <c r="J21" s="69">
        <f>IF(SUM(F21,H21)=0,0,$J$6+SUM($F$8:F21)-SUM($H$8:H21))</f>
        <v>0</v>
      </c>
      <c r="K21" s="69">
        <f>IF(SUM(G21,I21)=0,0,$K$6+SUM($H$8:H21)-SUM($J$8:J21))</f>
        <v>0</v>
      </c>
    </row>
    <row r="22" spans="1:11" hidden="1" x14ac:dyDescent="0.25">
      <c r="A22" s="84" t="str">
        <f>IF(OR(CT!D19=SCTVTHH!$G$2,CT!E19=SCTVTHH!$G$2),CT!A19,"")</f>
        <v/>
      </c>
      <c r="B22" s="65" t="str">
        <f>IF(OR(CT!E19=SCTVTHH!$G$2,CT!E19=SCTVTHH!$G$2),CT!B19,"")</f>
        <v/>
      </c>
      <c r="C22" s="65" t="str">
        <f>IF(OR(CT!F19=SCTVTHH!$G$2,CT!E19=SCTVTHH!$G$2),CT!C19,"")</f>
        <v/>
      </c>
      <c r="D22" s="65" t="str">
        <f>IF(CT!D19=SCTVTHH!$G$2,CT!E19,IF(CT!E19=SCTVTHH!$G$2,CT!D19,""))</f>
        <v/>
      </c>
      <c r="E22" s="69">
        <f>IF(OR(CT!D19=SCTVTHH!$G$2,CT!E19=SCTVTHH!$G$2),CT!G19,0)</f>
        <v>0</v>
      </c>
      <c r="F22" s="69">
        <f>IF(CT!D19=SCTVTHH!$G$2,CT!F19,0)</f>
        <v>0</v>
      </c>
      <c r="G22" s="69">
        <f>IF(CT!D19=SCTVTHH!$G$2,CT!H19,0)</f>
        <v>0</v>
      </c>
      <c r="H22" s="69">
        <f>IF(CT!E19=SCTVTHH!$G$2,CT!F19,0)</f>
        <v>0</v>
      </c>
      <c r="I22" s="69">
        <f>IF(CT!E19=SCTVTHH!$G$2,CT!H19,0)</f>
        <v>0</v>
      </c>
      <c r="J22" s="69">
        <f>IF(SUM(F22,H22)=0,0,$J$6+SUM($F$8:F22)-SUM($H$8:H22))</f>
        <v>0</v>
      </c>
      <c r="K22" s="69">
        <f>IF(SUM(G22,I22)=0,0,$K$6+SUM($H$8:H22)-SUM($J$8:J22))</f>
        <v>0</v>
      </c>
    </row>
    <row r="23" spans="1:11" x14ac:dyDescent="0.25">
      <c r="A23" s="84">
        <f>IF(OR(CT!D20=SCTVTHH!$G$2,CT!E20=SCTVTHH!$G$2),CT!A20,"")</f>
        <v>45306</v>
      </c>
      <c r="B23" s="65" t="str">
        <f>IF(OR(CT!E20=SCTVTHH!$G$2,CT!E20=SCTVTHH!$G$2),CT!B20,"")</f>
        <v>01/XVL</v>
      </c>
      <c r="C23" s="65" t="str">
        <f>IF(OR(CT!F20=SCTVTHH!$G$2,CT!E20=SCTVTHH!$G$2),CT!C20,"")</f>
        <v>Xuất gỗ cao su sx GTV</v>
      </c>
      <c r="D23" s="65" t="str">
        <f>IF(CT!D20=SCTVTHH!$G$2,CT!E20,IF(CT!E20=SCTVTHH!$G$2,CT!D20,""))</f>
        <v>6211.01</v>
      </c>
      <c r="E23" s="69">
        <f>IF(OR(CT!D20=SCTVTHH!$G$2,CT!E20=SCTVTHH!$G$2),CT!G20,0)</f>
        <v>3300000</v>
      </c>
      <c r="F23" s="69">
        <f>IF(CT!D20=SCTVTHH!$G$2,CT!F20,0)</f>
        <v>0</v>
      </c>
      <c r="G23" s="69">
        <f>IF(CT!D20=SCTVTHH!$G$2,CT!H20,0)</f>
        <v>0</v>
      </c>
      <c r="H23" s="69">
        <f>IF(CT!E20=SCTVTHH!$G$2,CT!F20,0)</f>
        <v>4</v>
      </c>
      <c r="I23" s="69">
        <f>IF(CT!E20=SCTVTHH!$G$2,CT!H20,0)</f>
        <v>13200000</v>
      </c>
      <c r="J23" s="69">
        <f>IF(SUM(F23,H23)=0,0,$J$6+SUM($F$8:F23)-SUM($H$8:H23))</f>
        <v>6</v>
      </c>
      <c r="K23" s="69">
        <f>IF(SUM(G23,I23)=0,0,$K$6+SUM($H$8:H23)-SUM($J$8:J23))</f>
        <v>32999998</v>
      </c>
    </row>
    <row r="24" spans="1:11" hidden="1" x14ac:dyDescent="0.25">
      <c r="A24" s="84" t="str">
        <f>IF(OR(CT!D21=SCTVTHH!$G$2,CT!E21=SCTVTHH!$G$2),CT!A21,"")</f>
        <v/>
      </c>
      <c r="B24" s="65" t="str">
        <f>IF(OR(CT!E21=SCTVTHH!$G$2,CT!E21=SCTVTHH!$G$2),CT!B21,"")</f>
        <v/>
      </c>
      <c r="C24" s="65" t="str">
        <f>IF(OR(CT!F21=SCTVTHH!$G$2,CT!E21=SCTVTHH!$G$2),CT!C21,"")</f>
        <v/>
      </c>
      <c r="D24" s="65" t="str">
        <f>IF(CT!D21=SCTVTHH!$G$2,CT!E21,IF(CT!E21=SCTVTHH!$G$2,CT!D21,""))</f>
        <v/>
      </c>
      <c r="E24" s="69">
        <f>IF(OR(CT!D21=SCTVTHH!$G$2,CT!E21=SCTVTHH!$G$2),CT!G21,0)</f>
        <v>0</v>
      </c>
      <c r="F24" s="69">
        <f>IF(CT!D21=SCTVTHH!$G$2,CT!F21,0)</f>
        <v>0</v>
      </c>
      <c r="G24" s="69">
        <f>IF(CT!D21=SCTVTHH!$G$2,CT!H21,0)</f>
        <v>0</v>
      </c>
      <c r="H24" s="69">
        <f>IF(CT!E21=SCTVTHH!$G$2,CT!F21,0)</f>
        <v>0</v>
      </c>
      <c r="I24" s="69">
        <f>IF(CT!E21=SCTVTHH!$G$2,CT!H21,0)</f>
        <v>0</v>
      </c>
      <c r="J24" s="69">
        <f>IF(SUM(F24,H24)=0,0,$J$6+SUM($F$8:F24)-SUM($H$8:H24))</f>
        <v>0</v>
      </c>
      <c r="K24" s="69">
        <f>IF(SUM(G24,I24)=0,0,$K$6+SUM($H$8:H24)-SUM($J$8:J24))</f>
        <v>0</v>
      </c>
    </row>
    <row r="25" spans="1:11" hidden="1" x14ac:dyDescent="0.25">
      <c r="A25" s="84" t="str">
        <f>IF(OR(CT!D22=SCTVTHH!$G$2,CT!E22=SCTVTHH!$G$2),CT!A22,"")</f>
        <v/>
      </c>
      <c r="B25" s="65" t="str">
        <f>IF(OR(CT!E22=SCTVTHH!$G$2,CT!E22=SCTVTHH!$G$2),CT!B22,"")</f>
        <v/>
      </c>
      <c r="C25" s="65" t="str">
        <f>IF(OR(CT!F22=SCTVTHH!$G$2,CT!E22=SCTVTHH!$G$2),CT!C22,"")</f>
        <v/>
      </c>
      <c r="D25" s="65" t="str">
        <f>IF(CT!D22=SCTVTHH!$G$2,CT!E22,IF(CT!E22=SCTVTHH!$G$2,CT!D22,""))</f>
        <v/>
      </c>
      <c r="E25" s="69">
        <f>IF(OR(CT!D22=SCTVTHH!$G$2,CT!E22=SCTVTHH!$G$2),CT!G22,0)</f>
        <v>0</v>
      </c>
      <c r="F25" s="69">
        <f>IF(CT!D22=SCTVTHH!$G$2,CT!F22,0)</f>
        <v>0</v>
      </c>
      <c r="G25" s="69">
        <f>IF(CT!D22=SCTVTHH!$G$2,CT!H22,0)</f>
        <v>0</v>
      </c>
      <c r="H25" s="69">
        <f>IF(CT!E22=SCTVTHH!$G$2,CT!F22,0)</f>
        <v>0</v>
      </c>
      <c r="I25" s="69">
        <f>IF(CT!E22=SCTVTHH!$G$2,CT!H22,0)</f>
        <v>0</v>
      </c>
      <c r="J25" s="69">
        <f>IF(SUM(F25,H25)=0,0,$J$6+SUM($F$8:F25)-SUM($H$8:H25))</f>
        <v>0</v>
      </c>
      <c r="K25" s="69">
        <f>IF(SUM(G25,I25)=0,0,$K$6+SUM($H$8:H25)-SUM($J$8:J25))</f>
        <v>0</v>
      </c>
    </row>
    <row r="26" spans="1:11" hidden="1" x14ac:dyDescent="0.25">
      <c r="A26" s="84" t="str">
        <f>IF(OR(CT!D23=SCTVTHH!$G$2,CT!E23=SCTVTHH!$G$2),CT!A23,"")</f>
        <v/>
      </c>
      <c r="B26" s="65" t="str">
        <f>IF(OR(CT!E23=SCTVTHH!$G$2,CT!E23=SCTVTHH!$G$2),CT!B23,"")</f>
        <v/>
      </c>
      <c r="C26" s="65" t="str">
        <f>IF(OR(CT!F23=SCTVTHH!$G$2,CT!E23=SCTVTHH!$G$2),CT!C23,"")</f>
        <v/>
      </c>
      <c r="D26" s="65" t="str">
        <f>IF(CT!D23=SCTVTHH!$G$2,CT!E23,IF(CT!E23=SCTVTHH!$G$2,CT!D23,""))</f>
        <v/>
      </c>
      <c r="E26" s="69">
        <f>IF(OR(CT!D23=SCTVTHH!$G$2,CT!E23=SCTVTHH!$G$2),CT!G23,0)</f>
        <v>0</v>
      </c>
      <c r="F26" s="69">
        <f>IF(CT!D23=SCTVTHH!$G$2,CT!F23,0)</f>
        <v>0</v>
      </c>
      <c r="G26" s="69">
        <f>IF(CT!D23=SCTVTHH!$G$2,CT!H23,0)</f>
        <v>0</v>
      </c>
      <c r="H26" s="69">
        <f>IF(CT!E23=SCTVTHH!$G$2,CT!F23,0)</f>
        <v>0</v>
      </c>
      <c r="I26" s="69">
        <f>IF(CT!E23=SCTVTHH!$G$2,CT!H23,0)</f>
        <v>0</v>
      </c>
      <c r="J26" s="69">
        <f>IF(SUM(F26,H26)=0,0,$J$6+SUM($F$8:F26)-SUM($H$8:H26))</f>
        <v>0</v>
      </c>
      <c r="K26" s="69">
        <f>IF(SUM(G26,I26)=0,0,$K$6+SUM($H$8:H26)-SUM($J$8:J26))</f>
        <v>0</v>
      </c>
    </row>
    <row r="27" spans="1:11" hidden="1" x14ac:dyDescent="0.25">
      <c r="A27" s="84" t="str">
        <f>IF(OR(CT!D24=SCTVTHH!$G$2,CT!E24=SCTVTHH!$G$2),CT!A24,"")</f>
        <v/>
      </c>
      <c r="B27" s="65" t="str">
        <f>IF(OR(CT!E24=SCTVTHH!$G$2,CT!E24=SCTVTHH!$G$2),CT!B24,"")</f>
        <v/>
      </c>
      <c r="C27" s="65" t="str">
        <f>IF(OR(CT!F24=SCTVTHH!$G$2,CT!E24=SCTVTHH!$G$2),CT!C24,"")</f>
        <v/>
      </c>
      <c r="D27" s="65" t="str">
        <f>IF(CT!D24=SCTVTHH!$G$2,CT!E24,IF(CT!E24=SCTVTHH!$G$2,CT!D24,""))</f>
        <v/>
      </c>
      <c r="E27" s="69">
        <f>IF(OR(CT!D24=SCTVTHH!$G$2,CT!E24=SCTVTHH!$G$2),CT!G24,0)</f>
        <v>0</v>
      </c>
      <c r="F27" s="69">
        <f>IF(CT!D24=SCTVTHH!$G$2,CT!F24,0)</f>
        <v>0</v>
      </c>
      <c r="G27" s="69">
        <f>IF(CT!D24=SCTVTHH!$G$2,CT!H24,0)</f>
        <v>0</v>
      </c>
      <c r="H27" s="69">
        <f>IF(CT!E24=SCTVTHH!$G$2,CT!F24,0)</f>
        <v>0</v>
      </c>
      <c r="I27" s="69">
        <f>IF(CT!E24=SCTVTHH!$G$2,CT!H24,0)</f>
        <v>0</v>
      </c>
      <c r="J27" s="69">
        <f>IF(SUM(F27,H27)=0,0,$J$6+SUM($F$8:F27)-SUM($H$8:H27))</f>
        <v>0</v>
      </c>
      <c r="K27" s="69">
        <f>IF(SUM(G27,I27)=0,0,$K$6+SUM($H$8:H27)-SUM($J$8:J27))</f>
        <v>0</v>
      </c>
    </row>
    <row r="28" spans="1:11" hidden="1" x14ac:dyDescent="0.25">
      <c r="A28" s="84" t="str">
        <f>IF(OR(CT!D25=SCTVTHH!$G$2,CT!E25=SCTVTHH!$G$2),CT!A25,"")</f>
        <v/>
      </c>
      <c r="B28" s="65" t="str">
        <f>IF(OR(CT!E25=SCTVTHH!$G$2,CT!E25=SCTVTHH!$G$2),CT!B25,"")</f>
        <v/>
      </c>
      <c r="C28" s="65" t="str">
        <f>IF(OR(CT!F25=SCTVTHH!$G$2,CT!E25=SCTVTHH!$G$2),CT!C25,"")</f>
        <v/>
      </c>
      <c r="D28" s="65" t="str">
        <f>IF(CT!D25=SCTVTHH!$G$2,CT!E25,IF(CT!E25=SCTVTHH!$G$2,CT!D25,""))</f>
        <v/>
      </c>
      <c r="E28" s="69">
        <f>IF(OR(CT!D25=SCTVTHH!$G$2,CT!E25=SCTVTHH!$G$2),CT!G25,0)</f>
        <v>0</v>
      </c>
      <c r="F28" s="69">
        <f>IF(CT!D25=SCTVTHH!$G$2,CT!F25,0)</f>
        <v>0</v>
      </c>
      <c r="G28" s="69">
        <f>IF(CT!D25=SCTVTHH!$G$2,CT!H25,0)</f>
        <v>0</v>
      </c>
      <c r="H28" s="69">
        <f>IF(CT!E25=SCTVTHH!$G$2,CT!F25,0)</f>
        <v>0</v>
      </c>
      <c r="I28" s="69">
        <f>IF(CT!E25=SCTVTHH!$G$2,CT!H25,0)</f>
        <v>0</v>
      </c>
      <c r="J28" s="69">
        <f>IF(SUM(F28,H28)=0,0,$J$6+SUM($F$8:F28)-SUM($H$8:H28))</f>
        <v>0</v>
      </c>
      <c r="K28" s="69">
        <f>IF(SUM(G28,I28)=0,0,$K$6+SUM($H$8:H28)-SUM($J$8:J28))</f>
        <v>0</v>
      </c>
    </row>
    <row r="29" spans="1:11" hidden="1" x14ac:dyDescent="0.25">
      <c r="A29" s="84" t="str">
        <f>IF(OR(CT!D26=SCTVTHH!$G$2,CT!E26=SCTVTHH!$G$2),CT!A26,"")</f>
        <v/>
      </c>
      <c r="B29" s="65" t="str">
        <f>IF(OR(CT!E26=SCTVTHH!$G$2,CT!E26=SCTVTHH!$G$2),CT!B26,"")</f>
        <v/>
      </c>
      <c r="C29" s="65" t="str">
        <f>IF(OR(CT!F26=SCTVTHH!$G$2,CT!E26=SCTVTHH!$G$2),CT!C26,"")</f>
        <v/>
      </c>
      <c r="D29" s="65" t="str">
        <f>IF(CT!D26=SCTVTHH!$G$2,CT!E26,IF(CT!E26=SCTVTHH!$G$2,CT!D26,""))</f>
        <v/>
      </c>
      <c r="E29" s="69">
        <f>IF(OR(CT!D26=SCTVTHH!$G$2,CT!E26=SCTVTHH!$G$2),CT!G26,0)</f>
        <v>0</v>
      </c>
      <c r="F29" s="69">
        <f>IF(CT!D26=SCTVTHH!$G$2,CT!F26,0)</f>
        <v>0</v>
      </c>
      <c r="G29" s="69">
        <f>IF(CT!D26=SCTVTHH!$G$2,CT!H26,0)</f>
        <v>0</v>
      </c>
      <c r="H29" s="69">
        <f>IF(CT!E26=SCTVTHH!$G$2,CT!F26,0)</f>
        <v>0</v>
      </c>
      <c r="I29" s="69">
        <f>IF(CT!E26=SCTVTHH!$G$2,CT!H26,0)</f>
        <v>0</v>
      </c>
      <c r="J29" s="69">
        <f>IF(SUM(F29,H29)=0,0,$J$6+SUM($F$8:F29)-SUM($H$8:H29))</f>
        <v>0</v>
      </c>
      <c r="K29" s="69">
        <f>IF(SUM(G29,I29)=0,0,$K$6+SUM($H$8:H29)-SUM($J$8:J29))</f>
        <v>0</v>
      </c>
    </row>
    <row r="30" spans="1:11" hidden="1" x14ac:dyDescent="0.25">
      <c r="A30" s="84" t="str">
        <f>IF(OR(CT!D27=SCTVTHH!$G$2,CT!E27=SCTVTHH!$G$2),CT!A27,"")</f>
        <v/>
      </c>
      <c r="B30" s="65" t="str">
        <f>IF(OR(CT!E27=SCTVTHH!$G$2,CT!E27=SCTVTHH!$G$2),CT!B27,"")</f>
        <v/>
      </c>
      <c r="C30" s="65" t="str">
        <f>IF(OR(CT!F27=SCTVTHH!$G$2,CT!E27=SCTVTHH!$G$2),CT!C27,"")</f>
        <v/>
      </c>
      <c r="D30" s="65" t="str">
        <f>IF(CT!D27=SCTVTHH!$G$2,CT!E27,IF(CT!E27=SCTVTHH!$G$2,CT!D27,""))</f>
        <v/>
      </c>
      <c r="E30" s="69">
        <f>IF(OR(CT!D27=SCTVTHH!$G$2,CT!E27=SCTVTHH!$G$2),CT!G27,0)</f>
        <v>0</v>
      </c>
      <c r="F30" s="69">
        <f>IF(CT!D27=SCTVTHH!$G$2,CT!F27,0)</f>
        <v>0</v>
      </c>
      <c r="G30" s="69">
        <f>IF(CT!D27=SCTVTHH!$G$2,CT!H27,0)</f>
        <v>0</v>
      </c>
      <c r="H30" s="69">
        <f>IF(CT!E27=SCTVTHH!$G$2,CT!F27,0)</f>
        <v>0</v>
      </c>
      <c r="I30" s="69">
        <f>IF(CT!E27=SCTVTHH!$G$2,CT!H27,0)</f>
        <v>0</v>
      </c>
      <c r="J30" s="69">
        <f>IF(SUM(F30,H30)=0,0,$J$6+SUM($F$8:F30)-SUM($H$8:H30))</f>
        <v>0</v>
      </c>
      <c r="K30" s="69">
        <f>IF(SUM(G30,I30)=0,0,$K$6+SUM($H$8:H30)-SUM($J$8:J30))</f>
        <v>0</v>
      </c>
    </row>
    <row r="31" spans="1:11" hidden="1" x14ac:dyDescent="0.25">
      <c r="A31" s="84" t="str">
        <f>IF(OR(CT!D28=SCTVTHH!$G$2,CT!E28=SCTVTHH!$G$2),CT!A28,"")</f>
        <v/>
      </c>
      <c r="B31" s="65" t="str">
        <f>IF(OR(CT!E28=SCTVTHH!$G$2,CT!E28=SCTVTHH!$G$2),CT!B28,"")</f>
        <v/>
      </c>
      <c r="C31" s="65" t="str">
        <f>IF(OR(CT!F28=SCTVTHH!$G$2,CT!E28=SCTVTHH!$G$2),CT!C28,"")</f>
        <v/>
      </c>
      <c r="D31" s="65" t="str">
        <f>IF(CT!D28=SCTVTHH!$G$2,CT!E28,IF(CT!E28=SCTVTHH!$G$2,CT!D28,""))</f>
        <v/>
      </c>
      <c r="E31" s="69">
        <f>IF(OR(CT!D28=SCTVTHH!$G$2,CT!E28=SCTVTHH!$G$2),CT!G28,0)</f>
        <v>0</v>
      </c>
      <c r="F31" s="69">
        <f>IF(CT!D28=SCTVTHH!$G$2,CT!F28,0)</f>
        <v>0</v>
      </c>
      <c r="G31" s="69">
        <f>IF(CT!D28=SCTVTHH!$G$2,CT!H28,0)</f>
        <v>0</v>
      </c>
      <c r="H31" s="69">
        <f>IF(CT!E28=SCTVTHH!$G$2,CT!F28,0)</f>
        <v>0</v>
      </c>
      <c r="I31" s="69">
        <f>IF(CT!E28=SCTVTHH!$G$2,CT!H28,0)</f>
        <v>0</v>
      </c>
      <c r="J31" s="69">
        <f>IF(SUM(F31,H31)=0,0,$J$6+SUM($F$8:F31)-SUM($H$8:H31))</f>
        <v>0</v>
      </c>
      <c r="K31" s="69">
        <f>IF(SUM(G31,I31)=0,0,$K$6+SUM($H$8:H31)-SUM($J$8:J31))</f>
        <v>0</v>
      </c>
    </row>
    <row r="32" spans="1:11" hidden="1" x14ac:dyDescent="0.25">
      <c r="A32" s="84" t="str">
        <f>IF(OR(CT!D29=SCTVTHH!$G$2,CT!E29=SCTVTHH!$G$2),CT!A29,"")</f>
        <v/>
      </c>
      <c r="B32" s="65" t="str">
        <f>IF(OR(CT!E29=SCTVTHH!$G$2,CT!E29=SCTVTHH!$G$2),CT!B29,"")</f>
        <v/>
      </c>
      <c r="C32" s="65" t="str">
        <f>IF(OR(CT!F29=SCTVTHH!$G$2,CT!E29=SCTVTHH!$G$2),CT!C29,"")</f>
        <v/>
      </c>
      <c r="D32" s="65" t="str">
        <f>IF(CT!D29=SCTVTHH!$G$2,CT!E29,IF(CT!E29=SCTVTHH!$G$2,CT!D29,""))</f>
        <v/>
      </c>
      <c r="E32" s="69">
        <f>IF(OR(CT!D29=SCTVTHH!$G$2,CT!E29=SCTVTHH!$G$2),CT!G29,0)</f>
        <v>0</v>
      </c>
      <c r="F32" s="69">
        <f>IF(CT!D29=SCTVTHH!$G$2,CT!F29,0)</f>
        <v>0</v>
      </c>
      <c r="G32" s="69">
        <f>IF(CT!D29=SCTVTHH!$G$2,CT!H29,0)</f>
        <v>0</v>
      </c>
      <c r="H32" s="69">
        <f>IF(CT!E29=SCTVTHH!$G$2,CT!F29,0)</f>
        <v>0</v>
      </c>
      <c r="I32" s="69">
        <f>IF(CT!E29=SCTVTHH!$G$2,CT!H29,0)</f>
        <v>0</v>
      </c>
      <c r="J32" s="69">
        <f>IF(SUM(F32,H32)=0,0,$J$6+SUM($F$8:F32)-SUM($H$8:H32))</f>
        <v>0</v>
      </c>
      <c r="K32" s="69">
        <f>IF(SUM(G32,I32)=0,0,$K$6+SUM($H$8:H32)-SUM($J$8:J32))</f>
        <v>0</v>
      </c>
    </row>
    <row r="33" spans="1:11" hidden="1" x14ac:dyDescent="0.25">
      <c r="A33" s="84" t="str">
        <f>IF(OR(CT!D30=SCTVTHH!$G$2,CT!E30=SCTVTHH!$G$2),CT!A30,"")</f>
        <v/>
      </c>
      <c r="B33" s="65" t="str">
        <f>IF(OR(CT!E30=SCTVTHH!$G$2,CT!E30=SCTVTHH!$G$2),CT!B30,"")</f>
        <v/>
      </c>
      <c r="C33" s="65" t="str">
        <f>IF(OR(CT!F30=SCTVTHH!$G$2,CT!E30=SCTVTHH!$G$2),CT!C30,"")</f>
        <v/>
      </c>
      <c r="D33" s="65" t="str">
        <f>IF(CT!D30=SCTVTHH!$G$2,CT!E30,IF(CT!E30=SCTVTHH!$G$2,CT!D30,""))</f>
        <v/>
      </c>
      <c r="E33" s="69">
        <f>IF(OR(CT!D30=SCTVTHH!$G$2,CT!E30=SCTVTHH!$G$2),CT!G30,0)</f>
        <v>0</v>
      </c>
      <c r="F33" s="69">
        <f>IF(CT!D30=SCTVTHH!$G$2,CT!F30,0)</f>
        <v>0</v>
      </c>
      <c r="G33" s="69">
        <f>IF(CT!D30=SCTVTHH!$G$2,CT!H30,0)</f>
        <v>0</v>
      </c>
      <c r="H33" s="69">
        <f>IF(CT!E30=SCTVTHH!$G$2,CT!F30,0)</f>
        <v>0</v>
      </c>
      <c r="I33" s="69">
        <f>IF(CT!E30=SCTVTHH!$G$2,CT!H30,0)</f>
        <v>0</v>
      </c>
      <c r="J33" s="69">
        <f>IF(SUM(F33,H33)=0,0,$J$6+SUM($F$8:F33)-SUM($H$8:H33))</f>
        <v>0</v>
      </c>
      <c r="K33" s="69">
        <f>IF(SUM(G33,I33)=0,0,$K$6+SUM($H$8:H33)-SUM($J$8:J33))</f>
        <v>0</v>
      </c>
    </row>
    <row r="34" spans="1:11" hidden="1" x14ac:dyDescent="0.25">
      <c r="A34" s="84" t="str">
        <f>IF(OR(CT!D31=SCTVTHH!$G$2,CT!E31=SCTVTHH!$G$2),CT!A31,"")</f>
        <v/>
      </c>
      <c r="B34" s="65" t="str">
        <f>IF(OR(CT!E31=SCTVTHH!$G$2,CT!E31=SCTVTHH!$G$2),CT!B31,"")</f>
        <v/>
      </c>
      <c r="C34" s="65" t="str">
        <f>IF(OR(CT!F31=SCTVTHH!$G$2,CT!E31=SCTVTHH!$G$2),CT!C31,"")</f>
        <v/>
      </c>
      <c r="D34" s="65" t="str">
        <f>IF(CT!D31=SCTVTHH!$G$2,CT!E31,IF(CT!E31=SCTVTHH!$G$2,CT!D31,""))</f>
        <v/>
      </c>
      <c r="E34" s="69">
        <f>IF(OR(CT!D31=SCTVTHH!$G$2,CT!E31=SCTVTHH!$G$2),CT!G31,0)</f>
        <v>0</v>
      </c>
      <c r="F34" s="69">
        <f>IF(CT!D31=SCTVTHH!$G$2,CT!F31,0)</f>
        <v>0</v>
      </c>
      <c r="G34" s="69">
        <f>IF(CT!D31=SCTVTHH!$G$2,CT!H31,0)</f>
        <v>0</v>
      </c>
      <c r="H34" s="69">
        <f>IF(CT!E31=SCTVTHH!$G$2,CT!F31,0)</f>
        <v>0</v>
      </c>
      <c r="I34" s="69">
        <f>IF(CT!E31=SCTVTHH!$G$2,CT!H31,0)</f>
        <v>0</v>
      </c>
      <c r="J34" s="69">
        <f>IF(SUM(F34,H34)=0,0,$J$6+SUM($F$8:F34)-SUM($H$8:H34))</f>
        <v>0</v>
      </c>
      <c r="K34" s="69">
        <f>IF(SUM(G34,I34)=0,0,$K$6+SUM($H$8:H34)-SUM($J$8:J34))</f>
        <v>0</v>
      </c>
    </row>
    <row r="35" spans="1:11" hidden="1" x14ac:dyDescent="0.25">
      <c r="A35" s="84" t="str">
        <f>IF(OR(CT!D32=SCTVTHH!$G$2,CT!E32=SCTVTHH!$G$2),CT!A32,"")</f>
        <v/>
      </c>
      <c r="B35" s="65" t="str">
        <f>IF(OR(CT!E32=SCTVTHH!$G$2,CT!E32=SCTVTHH!$G$2),CT!B32,"")</f>
        <v/>
      </c>
      <c r="C35" s="65" t="str">
        <f>IF(OR(CT!F32=SCTVTHH!$G$2,CT!E32=SCTVTHH!$G$2),CT!C32,"")</f>
        <v/>
      </c>
      <c r="D35" s="65" t="str">
        <f>IF(CT!D32=SCTVTHH!$G$2,CT!E32,IF(CT!E32=SCTVTHH!$G$2,CT!D32,""))</f>
        <v/>
      </c>
      <c r="E35" s="69">
        <f>IF(OR(CT!D32=SCTVTHH!$G$2,CT!E32=SCTVTHH!$G$2),CT!G32,0)</f>
        <v>0</v>
      </c>
      <c r="F35" s="69">
        <f>IF(CT!D32=SCTVTHH!$G$2,CT!F32,0)</f>
        <v>0</v>
      </c>
      <c r="G35" s="69">
        <f>IF(CT!D32=SCTVTHH!$G$2,CT!H32,0)</f>
        <v>0</v>
      </c>
      <c r="H35" s="69">
        <f>IF(CT!E32=SCTVTHH!$G$2,CT!F32,0)</f>
        <v>0</v>
      </c>
      <c r="I35" s="69">
        <f>IF(CT!E32=SCTVTHH!$G$2,CT!H32,0)</f>
        <v>0</v>
      </c>
      <c r="J35" s="69">
        <f>IF(SUM(F35,H35)=0,0,$J$6+SUM($F$8:F35)-SUM($H$8:H35))</f>
        <v>0</v>
      </c>
      <c r="K35" s="69">
        <f>IF(SUM(G35,I35)=0,0,$K$6+SUM($H$8:H35)-SUM($J$8:J35))</f>
        <v>0</v>
      </c>
    </row>
    <row r="36" spans="1:11" hidden="1" x14ac:dyDescent="0.25">
      <c r="A36" s="84" t="str">
        <f>IF(OR(CT!D33=SCTVTHH!$G$2,CT!E33=SCTVTHH!$G$2),CT!A33,"")</f>
        <v/>
      </c>
      <c r="B36" s="65" t="str">
        <f>IF(OR(CT!E33=SCTVTHH!$G$2,CT!E33=SCTVTHH!$G$2),CT!B33,"")</f>
        <v/>
      </c>
      <c r="C36" s="65" t="str">
        <f>IF(OR(CT!F33=SCTVTHH!$G$2,CT!E33=SCTVTHH!$G$2),CT!C33,"")</f>
        <v/>
      </c>
      <c r="D36" s="65" t="str">
        <f>IF(CT!D33=SCTVTHH!$G$2,CT!E33,IF(CT!E33=SCTVTHH!$G$2,CT!D33,""))</f>
        <v/>
      </c>
      <c r="E36" s="69">
        <f>IF(OR(CT!D33=SCTVTHH!$G$2,CT!E33=SCTVTHH!$G$2),CT!G33,0)</f>
        <v>0</v>
      </c>
      <c r="F36" s="69">
        <f>IF(CT!D33=SCTVTHH!$G$2,CT!F33,0)</f>
        <v>0</v>
      </c>
      <c r="G36" s="69">
        <f>IF(CT!D33=SCTVTHH!$G$2,CT!H33,0)</f>
        <v>0</v>
      </c>
      <c r="H36" s="69">
        <f>IF(CT!E33=SCTVTHH!$G$2,CT!F33,0)</f>
        <v>0</v>
      </c>
      <c r="I36" s="69">
        <f>IF(CT!E33=SCTVTHH!$G$2,CT!H33,0)</f>
        <v>0</v>
      </c>
      <c r="J36" s="69">
        <f>IF(SUM(F36,H36)=0,0,$J$6+SUM($F$8:F36)-SUM($H$8:H36))</f>
        <v>0</v>
      </c>
      <c r="K36" s="69">
        <f>IF(SUM(G36,I36)=0,0,$K$6+SUM($H$8:H36)-SUM($J$8:J36))</f>
        <v>0</v>
      </c>
    </row>
    <row r="37" spans="1:11" hidden="1" x14ac:dyDescent="0.25">
      <c r="A37" s="84" t="str">
        <f>IF(OR(CT!D34=SCTVTHH!$G$2,CT!E34=SCTVTHH!$G$2),CT!A34,"")</f>
        <v/>
      </c>
      <c r="B37" s="65" t="str">
        <f>IF(OR(CT!E34=SCTVTHH!$G$2,CT!E34=SCTVTHH!$G$2),CT!B34,"")</f>
        <v/>
      </c>
      <c r="C37" s="65" t="str">
        <f>IF(OR(CT!F34=SCTVTHH!$G$2,CT!E34=SCTVTHH!$G$2),CT!C34,"")</f>
        <v/>
      </c>
      <c r="D37" s="65" t="str">
        <f>IF(CT!D34=SCTVTHH!$G$2,CT!E34,IF(CT!E34=SCTVTHH!$G$2,CT!D34,""))</f>
        <v/>
      </c>
      <c r="E37" s="69">
        <f>IF(OR(CT!D34=SCTVTHH!$G$2,CT!E34=SCTVTHH!$G$2),CT!G34,0)</f>
        <v>0</v>
      </c>
      <c r="F37" s="69">
        <f>IF(CT!D34=SCTVTHH!$G$2,CT!F34,0)</f>
        <v>0</v>
      </c>
      <c r="G37" s="69">
        <f>IF(CT!D34=SCTVTHH!$G$2,CT!H34,0)</f>
        <v>0</v>
      </c>
      <c r="H37" s="69">
        <f>IF(CT!E34=SCTVTHH!$G$2,CT!F34,0)</f>
        <v>0</v>
      </c>
      <c r="I37" s="69">
        <f>IF(CT!E34=SCTVTHH!$G$2,CT!H34,0)</f>
        <v>0</v>
      </c>
      <c r="J37" s="69">
        <f>IF(SUM(F37,H37)=0,0,$J$6+SUM($F$8:F37)-SUM($H$8:H37))</f>
        <v>0</v>
      </c>
      <c r="K37" s="69">
        <f>IF(SUM(G37,I37)=0,0,$K$6+SUM($H$8:H37)-SUM($J$8:J37))</f>
        <v>0</v>
      </c>
    </row>
    <row r="38" spans="1:11" hidden="1" x14ac:dyDescent="0.25">
      <c r="A38" s="84" t="str">
        <f>IF(OR(CT!D35=SCTVTHH!$G$2,CT!E35=SCTVTHH!$G$2),CT!A35,"")</f>
        <v/>
      </c>
      <c r="B38" s="65" t="str">
        <f>IF(OR(CT!E35=SCTVTHH!$G$2,CT!E35=SCTVTHH!$G$2),CT!B35,"")</f>
        <v/>
      </c>
      <c r="C38" s="65" t="str">
        <f>IF(OR(CT!F35=SCTVTHH!$G$2,CT!E35=SCTVTHH!$G$2),CT!C35,"")</f>
        <v/>
      </c>
      <c r="D38" s="65" t="str">
        <f>IF(CT!D35=SCTVTHH!$G$2,CT!E35,IF(CT!E35=SCTVTHH!$G$2,CT!D35,""))</f>
        <v/>
      </c>
      <c r="E38" s="69">
        <f>IF(OR(CT!D35=SCTVTHH!$G$2,CT!E35=SCTVTHH!$G$2),CT!G35,0)</f>
        <v>0</v>
      </c>
      <c r="F38" s="69">
        <f>IF(CT!D35=SCTVTHH!$G$2,CT!F35,0)</f>
        <v>0</v>
      </c>
      <c r="G38" s="69">
        <f>IF(CT!D35=SCTVTHH!$G$2,CT!H35,0)</f>
        <v>0</v>
      </c>
      <c r="H38" s="69">
        <f>IF(CT!E35=SCTVTHH!$G$2,CT!F35,0)</f>
        <v>0</v>
      </c>
      <c r="I38" s="69">
        <f>IF(CT!E35=SCTVTHH!$G$2,CT!H35,0)</f>
        <v>0</v>
      </c>
      <c r="J38" s="69">
        <f>IF(SUM(F38,H38)=0,0,$J$6+SUM($F$8:F38)-SUM($H$8:H38))</f>
        <v>0</v>
      </c>
      <c r="K38" s="69">
        <f>IF(SUM(G38,I38)=0,0,$K$6+SUM($H$8:H38)-SUM($J$8:J38))</f>
        <v>0</v>
      </c>
    </row>
    <row r="39" spans="1:11" hidden="1" x14ac:dyDescent="0.25">
      <c r="A39" s="84" t="str">
        <f>IF(OR(CT!D36=SCTVTHH!$G$2,CT!E36=SCTVTHH!$G$2),CT!A36,"")</f>
        <v/>
      </c>
      <c r="B39" s="65" t="str">
        <f>IF(OR(CT!E36=SCTVTHH!$G$2,CT!E36=SCTVTHH!$G$2),CT!B36,"")</f>
        <v/>
      </c>
      <c r="C39" s="65" t="str">
        <f>IF(OR(CT!F36=SCTVTHH!$G$2,CT!E36=SCTVTHH!$G$2),CT!C36,"")</f>
        <v/>
      </c>
      <c r="D39" s="65" t="str">
        <f>IF(CT!D36=SCTVTHH!$G$2,CT!E36,IF(CT!E36=SCTVTHH!$G$2,CT!D36,""))</f>
        <v/>
      </c>
      <c r="E39" s="69">
        <f>IF(OR(CT!D36=SCTVTHH!$G$2,CT!E36=SCTVTHH!$G$2),CT!G36,0)</f>
        <v>0</v>
      </c>
      <c r="F39" s="69">
        <f>IF(CT!D36=SCTVTHH!$G$2,CT!F36,0)</f>
        <v>0</v>
      </c>
      <c r="G39" s="69">
        <f>IF(CT!D36=SCTVTHH!$G$2,CT!H36,0)</f>
        <v>0</v>
      </c>
      <c r="H39" s="69">
        <f>IF(CT!E36=SCTVTHH!$G$2,CT!F36,0)</f>
        <v>0</v>
      </c>
      <c r="I39" s="69">
        <f>IF(CT!E36=SCTVTHH!$G$2,CT!H36,0)</f>
        <v>0</v>
      </c>
      <c r="J39" s="69">
        <f>IF(SUM(F39,H39)=0,0,$J$6+SUM($F$8:F39)-SUM($H$8:H39))</f>
        <v>0</v>
      </c>
      <c r="K39" s="69">
        <f>IF(SUM(G39,I39)=0,0,$K$6+SUM($H$8:H39)-SUM($J$8:J39))</f>
        <v>0</v>
      </c>
    </row>
    <row r="40" spans="1:11" hidden="1" x14ac:dyDescent="0.25">
      <c r="A40" s="84" t="str">
        <f>IF(OR(CT!D37=SCTVTHH!$G$2,CT!E37=SCTVTHH!$G$2),CT!A37,"")</f>
        <v/>
      </c>
      <c r="B40" s="65" t="str">
        <f>IF(OR(CT!E37=SCTVTHH!$G$2,CT!E37=SCTVTHH!$G$2),CT!B37,"")</f>
        <v/>
      </c>
      <c r="C40" s="65" t="str">
        <f>IF(OR(CT!F37=SCTVTHH!$G$2,CT!E37=SCTVTHH!$G$2),CT!C37,"")</f>
        <v/>
      </c>
      <c r="D40" s="65" t="str">
        <f>IF(CT!D37=SCTVTHH!$G$2,CT!E37,IF(CT!E37=SCTVTHH!$G$2,CT!D37,""))</f>
        <v/>
      </c>
      <c r="E40" s="69">
        <f>IF(OR(CT!D37=SCTVTHH!$G$2,CT!E37=SCTVTHH!$G$2),CT!G37,0)</f>
        <v>0</v>
      </c>
      <c r="F40" s="69">
        <f>IF(CT!D37=SCTVTHH!$G$2,CT!F37,0)</f>
        <v>0</v>
      </c>
      <c r="G40" s="69">
        <f>IF(CT!D37=SCTVTHH!$G$2,CT!H37,0)</f>
        <v>0</v>
      </c>
      <c r="H40" s="69">
        <f>IF(CT!E37=SCTVTHH!$G$2,CT!F37,0)</f>
        <v>0</v>
      </c>
      <c r="I40" s="69">
        <f>IF(CT!E37=SCTVTHH!$G$2,CT!H37,0)</f>
        <v>0</v>
      </c>
      <c r="J40" s="69">
        <f>IF(SUM(F40,H40)=0,0,$J$6+SUM($F$8:F40)-SUM($H$8:H40))</f>
        <v>0</v>
      </c>
      <c r="K40" s="69">
        <f>IF(SUM(G40,I40)=0,0,$K$6+SUM($H$8:H40)-SUM($J$8:J40))</f>
        <v>0</v>
      </c>
    </row>
    <row r="41" spans="1:11" hidden="1" x14ac:dyDescent="0.25">
      <c r="A41" s="84" t="str">
        <f>IF(OR(CT!D38=SCTVTHH!$G$2,CT!E38=SCTVTHH!$G$2),CT!A38,"")</f>
        <v/>
      </c>
      <c r="B41" s="65" t="str">
        <f>IF(OR(CT!E38=SCTVTHH!$G$2,CT!E38=SCTVTHH!$G$2),CT!B38,"")</f>
        <v/>
      </c>
      <c r="C41" s="65" t="str">
        <f>IF(OR(CT!F38=SCTVTHH!$G$2,CT!E38=SCTVTHH!$G$2),CT!C38,"")</f>
        <v/>
      </c>
      <c r="D41" s="65" t="str">
        <f>IF(CT!D38=SCTVTHH!$G$2,CT!E38,IF(CT!E38=SCTVTHH!$G$2,CT!D38,""))</f>
        <v/>
      </c>
      <c r="E41" s="69">
        <f>IF(OR(CT!D38=SCTVTHH!$G$2,CT!E38=SCTVTHH!$G$2),CT!G38,0)</f>
        <v>0</v>
      </c>
      <c r="F41" s="69">
        <f>IF(CT!D38=SCTVTHH!$G$2,CT!F38,0)</f>
        <v>0</v>
      </c>
      <c r="G41" s="69">
        <f>IF(CT!D38=SCTVTHH!$G$2,CT!H38,0)</f>
        <v>0</v>
      </c>
      <c r="H41" s="69">
        <f>IF(CT!E38=SCTVTHH!$G$2,CT!F38,0)</f>
        <v>0</v>
      </c>
      <c r="I41" s="69">
        <f>IF(CT!E38=SCTVTHH!$G$2,CT!H38,0)</f>
        <v>0</v>
      </c>
      <c r="J41" s="69">
        <f>IF(SUM(F41,H41)=0,0,$J$6+SUM($F$8:F41)-SUM($H$8:H41))</f>
        <v>0</v>
      </c>
      <c r="K41" s="69">
        <f>IF(SUM(G41,I41)=0,0,$K$6+SUM($H$8:H41)-SUM($J$8:J41))</f>
        <v>0</v>
      </c>
    </row>
    <row r="42" spans="1:11" hidden="1" x14ac:dyDescent="0.25">
      <c r="A42" s="84" t="str">
        <f>IF(OR(CT!D39=SCTVTHH!$G$2,CT!E39=SCTVTHH!$G$2),CT!A39,"")</f>
        <v/>
      </c>
      <c r="B42" s="65" t="str">
        <f>IF(OR(CT!E39=SCTVTHH!$G$2,CT!E39=SCTVTHH!$G$2),CT!B39,"")</f>
        <v/>
      </c>
      <c r="C42" s="65" t="str">
        <f>IF(OR(CT!F39=SCTVTHH!$G$2,CT!E39=SCTVTHH!$G$2),CT!C39,"")</f>
        <v/>
      </c>
      <c r="D42" s="65" t="str">
        <f>IF(CT!D39=SCTVTHH!$G$2,CT!E39,IF(CT!E39=SCTVTHH!$G$2,CT!D39,""))</f>
        <v/>
      </c>
      <c r="E42" s="69">
        <f>IF(OR(CT!D39=SCTVTHH!$G$2,CT!E39=SCTVTHH!$G$2),CT!G39,0)</f>
        <v>0</v>
      </c>
      <c r="F42" s="69">
        <f>IF(CT!D39=SCTVTHH!$G$2,CT!F39,0)</f>
        <v>0</v>
      </c>
      <c r="G42" s="69">
        <f>IF(CT!D39=SCTVTHH!$G$2,CT!H39,0)</f>
        <v>0</v>
      </c>
      <c r="H42" s="69">
        <f>IF(CT!E39=SCTVTHH!$G$2,CT!F39,0)</f>
        <v>0</v>
      </c>
      <c r="I42" s="69">
        <f>IF(CT!E39=SCTVTHH!$G$2,CT!H39,0)</f>
        <v>0</v>
      </c>
      <c r="J42" s="69">
        <f>IF(SUM(F42,H42)=0,0,$J$6+SUM($F$8:F42)-SUM($H$8:H42))</f>
        <v>0</v>
      </c>
      <c r="K42" s="69">
        <f>IF(SUM(G42,I42)=0,0,$K$6+SUM($H$8:H42)-SUM($J$8:J42))</f>
        <v>0</v>
      </c>
    </row>
    <row r="43" spans="1:11" hidden="1" x14ac:dyDescent="0.25">
      <c r="A43" s="84" t="str">
        <f>IF(OR(CT!D40=SCTVTHH!$G$2,CT!E40=SCTVTHH!$G$2),CT!A40,"")</f>
        <v/>
      </c>
      <c r="B43" s="65" t="str">
        <f>IF(OR(CT!E40=SCTVTHH!$G$2,CT!E40=SCTVTHH!$G$2),CT!B40,"")</f>
        <v/>
      </c>
      <c r="C43" s="65" t="str">
        <f>IF(OR(CT!F40=SCTVTHH!$G$2,CT!E40=SCTVTHH!$G$2),CT!C40,"")</f>
        <v/>
      </c>
      <c r="D43" s="65" t="str">
        <f>IF(CT!D40=SCTVTHH!$G$2,CT!E40,IF(CT!E40=SCTVTHH!$G$2,CT!D40,""))</f>
        <v/>
      </c>
      <c r="E43" s="69">
        <f>IF(OR(CT!D40=SCTVTHH!$G$2,CT!E40=SCTVTHH!$G$2),CT!G40,0)</f>
        <v>0</v>
      </c>
      <c r="F43" s="69">
        <f>IF(CT!D40=SCTVTHH!$G$2,CT!F40,0)</f>
        <v>0</v>
      </c>
      <c r="G43" s="69">
        <f>IF(CT!D40=SCTVTHH!$G$2,CT!H40,0)</f>
        <v>0</v>
      </c>
      <c r="H43" s="69">
        <f>IF(CT!E40=SCTVTHH!$G$2,CT!F40,0)</f>
        <v>0</v>
      </c>
      <c r="I43" s="69">
        <f>IF(CT!E40=SCTVTHH!$G$2,CT!H40,0)</f>
        <v>0</v>
      </c>
      <c r="J43" s="69">
        <f>IF(SUM(F43,H43)=0,0,$J$6+SUM($F$8:F43)-SUM($H$8:H43))</f>
        <v>0</v>
      </c>
      <c r="K43" s="69">
        <f>IF(SUM(G43,I43)=0,0,$K$6+SUM($H$8:H43)-SUM($J$8:J43))</f>
        <v>0</v>
      </c>
    </row>
    <row r="44" spans="1:11" hidden="1" x14ac:dyDescent="0.25">
      <c r="A44" s="84" t="str">
        <f>IF(OR(CT!D41=SCTVTHH!$G$2,CT!E41=SCTVTHH!$G$2),CT!A41,"")</f>
        <v/>
      </c>
      <c r="B44" s="65" t="str">
        <f>IF(OR(CT!E41=SCTVTHH!$G$2,CT!E41=SCTVTHH!$G$2),CT!B41,"")</f>
        <v/>
      </c>
      <c r="C44" s="65" t="str">
        <f>IF(OR(CT!F41=SCTVTHH!$G$2,CT!E41=SCTVTHH!$G$2),CT!C41,"")</f>
        <v/>
      </c>
      <c r="D44" s="65" t="str">
        <f>IF(CT!D41=SCTVTHH!$G$2,CT!E41,IF(CT!E41=SCTVTHH!$G$2,CT!D41,""))</f>
        <v/>
      </c>
      <c r="E44" s="69">
        <f>IF(OR(CT!D41=SCTVTHH!$G$2,CT!E41=SCTVTHH!$G$2),CT!G41,0)</f>
        <v>0</v>
      </c>
      <c r="F44" s="69">
        <f>IF(CT!D41=SCTVTHH!$G$2,CT!F41,0)</f>
        <v>0</v>
      </c>
      <c r="G44" s="69">
        <f>IF(CT!D41=SCTVTHH!$G$2,CT!H41,0)</f>
        <v>0</v>
      </c>
      <c r="H44" s="69">
        <f>IF(CT!E41=SCTVTHH!$G$2,CT!F41,0)</f>
        <v>0</v>
      </c>
      <c r="I44" s="69">
        <f>IF(CT!E41=SCTVTHH!$G$2,CT!H41,0)</f>
        <v>0</v>
      </c>
      <c r="J44" s="69">
        <f>IF(SUM(F44,H44)=0,0,$J$6+SUM($F$8:F44)-SUM($H$8:H44))</f>
        <v>0</v>
      </c>
      <c r="K44" s="69">
        <f>IF(SUM(G44,I44)=0,0,$K$6+SUM($H$8:H44)-SUM($J$8:J44))</f>
        <v>0</v>
      </c>
    </row>
    <row r="45" spans="1:11" hidden="1" x14ac:dyDescent="0.25">
      <c r="A45" s="84" t="str">
        <f>IF(OR(CT!D42=SCTVTHH!$G$2,CT!E42=SCTVTHH!$G$2),CT!A42,"")</f>
        <v/>
      </c>
      <c r="B45" s="65" t="str">
        <f>IF(OR(CT!E42=SCTVTHH!$G$2,CT!E42=SCTVTHH!$G$2),CT!B42,"")</f>
        <v/>
      </c>
      <c r="C45" s="65" t="str">
        <f>IF(OR(CT!F42=SCTVTHH!$G$2,CT!E42=SCTVTHH!$G$2),CT!C42,"")</f>
        <v/>
      </c>
      <c r="D45" s="65" t="str">
        <f>IF(CT!D42=SCTVTHH!$G$2,CT!E42,IF(CT!E42=SCTVTHH!$G$2,CT!D42,""))</f>
        <v/>
      </c>
      <c r="E45" s="69">
        <f>IF(OR(CT!D42=SCTVTHH!$G$2,CT!E42=SCTVTHH!$G$2),CT!G42,0)</f>
        <v>0</v>
      </c>
      <c r="F45" s="69">
        <f>IF(CT!D42=SCTVTHH!$G$2,CT!F42,0)</f>
        <v>0</v>
      </c>
      <c r="G45" s="69">
        <f>IF(CT!D42=SCTVTHH!$G$2,CT!H42,0)</f>
        <v>0</v>
      </c>
      <c r="H45" s="69">
        <f>IF(CT!E42=SCTVTHH!$G$2,CT!F42,0)</f>
        <v>0</v>
      </c>
      <c r="I45" s="69">
        <f>IF(CT!E42=SCTVTHH!$G$2,CT!H42,0)</f>
        <v>0</v>
      </c>
      <c r="J45" s="69">
        <f>IF(SUM(F45,H45)=0,0,$J$6+SUM($F$8:F45)-SUM($H$8:H45))</f>
        <v>0</v>
      </c>
      <c r="K45" s="69">
        <f>IF(SUM(G45,I45)=0,0,$K$6+SUM($H$8:H45)-SUM($J$8:J45))</f>
        <v>0</v>
      </c>
    </row>
    <row r="46" spans="1:11" hidden="1" x14ac:dyDescent="0.25">
      <c r="A46" s="84" t="str">
        <f>IF(OR(CT!D43=SCTVTHH!$G$2,CT!E43=SCTVTHH!$G$2),CT!A43,"")</f>
        <v/>
      </c>
      <c r="B46" s="65" t="str">
        <f>IF(OR(CT!E43=SCTVTHH!$G$2,CT!E43=SCTVTHH!$G$2),CT!B43,"")</f>
        <v/>
      </c>
      <c r="C46" s="65" t="str">
        <f>IF(OR(CT!F43=SCTVTHH!$G$2,CT!E43=SCTVTHH!$G$2),CT!C43,"")</f>
        <v/>
      </c>
      <c r="D46" s="65" t="str">
        <f>IF(CT!D43=SCTVTHH!$G$2,CT!E43,IF(CT!E43=SCTVTHH!$G$2,CT!D43,""))</f>
        <v/>
      </c>
      <c r="E46" s="69">
        <f>IF(OR(CT!D43=SCTVTHH!$G$2,CT!E43=SCTVTHH!$G$2),CT!G43,0)</f>
        <v>0</v>
      </c>
      <c r="F46" s="69">
        <f>IF(CT!D43=SCTVTHH!$G$2,CT!F43,0)</f>
        <v>0</v>
      </c>
      <c r="G46" s="69">
        <f>IF(CT!D43=SCTVTHH!$G$2,CT!H43,0)</f>
        <v>0</v>
      </c>
      <c r="H46" s="69">
        <f>IF(CT!E43=SCTVTHH!$G$2,CT!F43,0)</f>
        <v>0</v>
      </c>
      <c r="I46" s="69">
        <f>IF(CT!E43=SCTVTHH!$G$2,CT!H43,0)</f>
        <v>0</v>
      </c>
      <c r="J46" s="69">
        <f>IF(SUM(F46,H46)=0,0,$J$6+SUM($F$8:F46)-SUM($H$8:H46))</f>
        <v>0</v>
      </c>
      <c r="K46" s="69">
        <f>IF(SUM(G46,I46)=0,0,$K$6+SUM($H$8:H46)-SUM($J$8:J46))</f>
        <v>0</v>
      </c>
    </row>
    <row r="47" spans="1:11" hidden="1" x14ac:dyDescent="0.25">
      <c r="A47" s="84" t="str">
        <f>IF(OR(CT!D44=SCTVTHH!$G$2,CT!E44=SCTVTHH!$G$2),CT!A44,"")</f>
        <v/>
      </c>
      <c r="B47" s="65" t="str">
        <f>IF(OR(CT!E44=SCTVTHH!$G$2,CT!E44=SCTVTHH!$G$2),CT!B44,"")</f>
        <v/>
      </c>
      <c r="C47" s="65" t="str">
        <f>IF(OR(CT!F44=SCTVTHH!$G$2,CT!E44=SCTVTHH!$G$2),CT!C44,"")</f>
        <v/>
      </c>
      <c r="D47" s="65" t="str">
        <f>IF(CT!D44=SCTVTHH!$G$2,CT!E44,IF(CT!E44=SCTVTHH!$G$2,CT!D44,""))</f>
        <v/>
      </c>
      <c r="E47" s="69">
        <f>IF(OR(CT!D44=SCTVTHH!$G$2,CT!E44=SCTVTHH!$G$2),CT!G44,0)</f>
        <v>0</v>
      </c>
      <c r="F47" s="69">
        <f>IF(CT!D44=SCTVTHH!$G$2,CT!F44,0)</f>
        <v>0</v>
      </c>
      <c r="G47" s="69">
        <f>IF(CT!D44=SCTVTHH!$G$2,CT!H44,0)</f>
        <v>0</v>
      </c>
      <c r="H47" s="69">
        <f>IF(CT!E44=SCTVTHH!$G$2,CT!F44,0)</f>
        <v>0</v>
      </c>
      <c r="I47" s="69">
        <f>IF(CT!E44=SCTVTHH!$G$2,CT!H44,0)</f>
        <v>0</v>
      </c>
      <c r="J47" s="69">
        <f>IF(SUM(F47,H47)=0,0,$J$6+SUM($F$8:F47)-SUM($H$8:H47))</f>
        <v>0</v>
      </c>
      <c r="K47" s="69">
        <f>IF(SUM(G47,I47)=0,0,$K$6+SUM($H$8:H47)-SUM($J$8:J47))</f>
        <v>0</v>
      </c>
    </row>
    <row r="48" spans="1:11" hidden="1" x14ac:dyDescent="0.25">
      <c r="A48" s="84" t="str">
        <f>IF(OR(CT!D45=SCTVTHH!$G$2,CT!E45=SCTVTHH!$G$2),CT!A45,"")</f>
        <v/>
      </c>
      <c r="B48" s="65" t="str">
        <f>IF(OR(CT!E45=SCTVTHH!$G$2,CT!E45=SCTVTHH!$G$2),CT!B45,"")</f>
        <v/>
      </c>
      <c r="C48" s="65" t="str">
        <f>IF(OR(CT!F45=SCTVTHH!$G$2,CT!E45=SCTVTHH!$G$2),CT!C45,"")</f>
        <v/>
      </c>
      <c r="D48" s="65" t="str">
        <f>IF(CT!D45=SCTVTHH!$G$2,CT!E45,IF(CT!E45=SCTVTHH!$G$2,CT!D45,""))</f>
        <v/>
      </c>
      <c r="E48" s="69">
        <f>IF(OR(CT!D45=SCTVTHH!$G$2,CT!E45=SCTVTHH!$G$2),CT!G45,0)</f>
        <v>0</v>
      </c>
      <c r="F48" s="69">
        <f>IF(CT!D45=SCTVTHH!$G$2,CT!F45,0)</f>
        <v>0</v>
      </c>
      <c r="G48" s="69">
        <f>IF(CT!D45=SCTVTHH!$G$2,CT!H45,0)</f>
        <v>0</v>
      </c>
      <c r="H48" s="69">
        <f>IF(CT!E45=SCTVTHH!$G$2,CT!F45,0)</f>
        <v>0</v>
      </c>
      <c r="I48" s="69">
        <f>IF(CT!E45=SCTVTHH!$G$2,CT!H45,0)</f>
        <v>0</v>
      </c>
      <c r="J48" s="69">
        <f>IF(SUM(F48,H48)=0,0,$J$6+SUM($F$8:F48)-SUM($H$8:H48))</f>
        <v>0</v>
      </c>
      <c r="K48" s="69">
        <f>IF(SUM(G48,I48)=0,0,$K$6+SUM($H$8:H48)-SUM($J$8:J48))</f>
        <v>0</v>
      </c>
    </row>
    <row r="49" spans="1:11" hidden="1" x14ac:dyDescent="0.25">
      <c r="A49" s="84" t="str">
        <f>IF(OR(CT!D46=SCTVTHH!$G$2,CT!E46=SCTVTHH!$G$2),CT!A46,"")</f>
        <v/>
      </c>
      <c r="B49" s="65" t="str">
        <f>IF(OR(CT!E46=SCTVTHH!$G$2,CT!E46=SCTVTHH!$G$2),CT!B46,"")</f>
        <v/>
      </c>
      <c r="C49" s="65" t="str">
        <f>IF(OR(CT!F46=SCTVTHH!$G$2,CT!E46=SCTVTHH!$G$2),CT!C46,"")</f>
        <v/>
      </c>
      <c r="D49" s="65" t="str">
        <f>IF(CT!D46=SCTVTHH!$G$2,CT!E46,IF(CT!E46=SCTVTHH!$G$2,CT!D46,""))</f>
        <v/>
      </c>
      <c r="E49" s="69">
        <f>IF(OR(CT!D46=SCTVTHH!$G$2,CT!E46=SCTVTHH!$G$2),CT!G46,0)</f>
        <v>0</v>
      </c>
      <c r="F49" s="69">
        <f>IF(CT!D46=SCTVTHH!$G$2,CT!F46,0)</f>
        <v>0</v>
      </c>
      <c r="G49" s="69">
        <f>IF(CT!D46=SCTVTHH!$G$2,CT!H46,0)</f>
        <v>0</v>
      </c>
      <c r="H49" s="69">
        <f>IF(CT!E46=SCTVTHH!$G$2,CT!F46,0)</f>
        <v>0</v>
      </c>
      <c r="I49" s="69">
        <f>IF(CT!E46=SCTVTHH!$G$2,CT!H46,0)</f>
        <v>0</v>
      </c>
      <c r="J49" s="69">
        <f>IF(SUM(F49,H49)=0,0,$J$6+SUM($F$8:F49)-SUM($H$8:H49))</f>
        <v>0</v>
      </c>
      <c r="K49" s="69">
        <f>IF(SUM(G49,I49)=0,0,$K$6+SUM($H$8:H49)-SUM($J$8:J49))</f>
        <v>0</v>
      </c>
    </row>
    <row r="50" spans="1:11" hidden="1" x14ac:dyDescent="0.25">
      <c r="A50" s="84" t="str">
        <f>IF(OR(CT!D47=SCTVTHH!$G$2,CT!E47=SCTVTHH!$G$2),CT!A47,"")</f>
        <v/>
      </c>
      <c r="B50" s="65" t="str">
        <f>IF(OR(CT!E47=SCTVTHH!$G$2,CT!E47=SCTVTHH!$G$2),CT!B47,"")</f>
        <v/>
      </c>
      <c r="C50" s="65" t="str">
        <f>IF(OR(CT!F47=SCTVTHH!$G$2,CT!E47=SCTVTHH!$G$2),CT!C47,"")</f>
        <v/>
      </c>
      <c r="D50" s="65" t="str">
        <f>IF(CT!D47=SCTVTHH!$G$2,CT!E47,IF(CT!E47=SCTVTHH!$G$2,CT!D47,""))</f>
        <v/>
      </c>
      <c r="E50" s="69">
        <f>IF(OR(CT!D47=SCTVTHH!$G$2,CT!E47=SCTVTHH!$G$2),CT!G47,0)</f>
        <v>0</v>
      </c>
      <c r="F50" s="69">
        <f>IF(CT!D47=SCTVTHH!$G$2,CT!F47,0)</f>
        <v>0</v>
      </c>
      <c r="G50" s="69">
        <f>IF(CT!D47=SCTVTHH!$G$2,CT!H47,0)</f>
        <v>0</v>
      </c>
      <c r="H50" s="69">
        <f>IF(CT!E47=SCTVTHH!$G$2,CT!F47,0)</f>
        <v>0</v>
      </c>
      <c r="I50" s="69">
        <f>IF(CT!E47=SCTVTHH!$G$2,CT!H47,0)</f>
        <v>0</v>
      </c>
      <c r="J50" s="69">
        <f>IF(SUM(F50,H50)=0,0,$J$6+SUM($F$8:F50)-SUM($H$8:H50))</f>
        <v>0</v>
      </c>
      <c r="K50" s="69">
        <f>IF(SUM(G50,I50)=0,0,$K$6+SUM($H$8:H50)-SUM($J$8:J50))</f>
        <v>0</v>
      </c>
    </row>
    <row r="51" spans="1:11" hidden="1" x14ac:dyDescent="0.25">
      <c r="A51" s="84" t="str">
        <f>IF(OR(CT!D48=SCTVTHH!$G$2,CT!E48=SCTVTHH!$G$2),CT!A48,"")</f>
        <v/>
      </c>
      <c r="B51" s="65" t="str">
        <f>IF(OR(CT!E48=SCTVTHH!$G$2,CT!E48=SCTVTHH!$G$2),CT!B48,"")</f>
        <v/>
      </c>
      <c r="C51" s="65" t="str">
        <f>IF(OR(CT!F48=SCTVTHH!$G$2,CT!E48=SCTVTHH!$G$2),CT!C48,"")</f>
        <v/>
      </c>
      <c r="D51" s="65" t="str">
        <f>IF(CT!D48=SCTVTHH!$G$2,CT!E48,IF(CT!E48=SCTVTHH!$G$2,CT!D48,""))</f>
        <v/>
      </c>
      <c r="E51" s="69">
        <f>IF(OR(CT!D48=SCTVTHH!$G$2,CT!E48=SCTVTHH!$G$2),CT!G48,0)</f>
        <v>0</v>
      </c>
      <c r="F51" s="69">
        <f>IF(CT!D48=SCTVTHH!$G$2,CT!F48,0)</f>
        <v>0</v>
      </c>
      <c r="G51" s="69">
        <f>IF(CT!D48=SCTVTHH!$G$2,CT!H48,0)</f>
        <v>0</v>
      </c>
      <c r="H51" s="69">
        <f>IF(CT!E48=SCTVTHH!$G$2,CT!F48,0)</f>
        <v>0</v>
      </c>
      <c r="I51" s="69">
        <f>IF(CT!E48=SCTVTHH!$G$2,CT!H48,0)</f>
        <v>0</v>
      </c>
      <c r="J51" s="69">
        <f>IF(SUM(F51,H51)=0,0,$J$6+SUM($F$8:F51)-SUM($H$8:H51))</f>
        <v>0</v>
      </c>
      <c r="K51" s="69">
        <f>IF(SUM(G51,I51)=0,0,$K$6+SUM($H$8:H51)-SUM($J$8:J51))</f>
        <v>0</v>
      </c>
    </row>
    <row r="52" spans="1:11" hidden="1" x14ac:dyDescent="0.25">
      <c r="A52" s="84" t="str">
        <f>IF(OR(CT!D49=SCTVTHH!$G$2,CT!E49=SCTVTHH!$G$2),CT!A49,"")</f>
        <v/>
      </c>
      <c r="B52" s="65" t="str">
        <f>IF(OR(CT!E49=SCTVTHH!$G$2,CT!E49=SCTVTHH!$G$2),CT!B49,"")</f>
        <v/>
      </c>
      <c r="C52" s="65" t="str">
        <f>IF(OR(CT!F49=SCTVTHH!$G$2,CT!E49=SCTVTHH!$G$2),CT!C49,"")</f>
        <v/>
      </c>
      <c r="D52" s="65" t="str">
        <f>IF(CT!D49=SCTVTHH!$G$2,CT!E49,IF(CT!E49=SCTVTHH!$G$2,CT!D49,""))</f>
        <v/>
      </c>
      <c r="E52" s="69">
        <f>IF(OR(CT!D49=SCTVTHH!$G$2,CT!E49=SCTVTHH!$G$2),CT!G49,0)</f>
        <v>0</v>
      </c>
      <c r="F52" s="69">
        <f>IF(CT!D49=SCTVTHH!$G$2,CT!F49,0)</f>
        <v>0</v>
      </c>
      <c r="G52" s="69">
        <f>IF(CT!D49=SCTVTHH!$G$2,CT!H49,0)</f>
        <v>0</v>
      </c>
      <c r="H52" s="69">
        <f>IF(CT!E49=SCTVTHH!$G$2,CT!F49,0)</f>
        <v>0</v>
      </c>
      <c r="I52" s="69">
        <f>IF(CT!E49=SCTVTHH!$G$2,CT!H49,0)</f>
        <v>0</v>
      </c>
      <c r="J52" s="69">
        <f>IF(SUM(F52,H52)=0,0,$J$6+SUM($F$8:F52)-SUM($H$8:H52))</f>
        <v>0</v>
      </c>
      <c r="K52" s="69">
        <f>IF(SUM(G52,I52)=0,0,$K$6+SUM($H$8:H52)-SUM($J$8:J52))</f>
        <v>0</v>
      </c>
    </row>
    <row r="53" spans="1:11" hidden="1" x14ac:dyDescent="0.25">
      <c r="A53" s="84" t="str">
        <f>IF(OR(CT!D50=SCTVTHH!$G$2,CT!E50=SCTVTHH!$G$2),CT!A50,"")</f>
        <v/>
      </c>
      <c r="B53" s="65" t="str">
        <f>IF(OR(CT!E50=SCTVTHH!$G$2,CT!E50=SCTVTHH!$G$2),CT!B50,"")</f>
        <v/>
      </c>
      <c r="C53" s="65" t="str">
        <f>IF(OR(CT!F50=SCTVTHH!$G$2,CT!E50=SCTVTHH!$G$2),CT!C50,"")</f>
        <v/>
      </c>
      <c r="D53" s="65" t="str">
        <f>IF(CT!D50=SCTVTHH!$G$2,CT!E50,IF(CT!E50=SCTVTHH!$G$2,CT!D50,""))</f>
        <v/>
      </c>
      <c r="E53" s="69">
        <f>IF(OR(CT!D50=SCTVTHH!$G$2,CT!E50=SCTVTHH!$G$2),CT!G50,0)</f>
        <v>0</v>
      </c>
      <c r="F53" s="69">
        <f>IF(CT!D50=SCTVTHH!$G$2,CT!F50,0)</f>
        <v>0</v>
      </c>
      <c r="G53" s="69">
        <f>IF(CT!D50=SCTVTHH!$G$2,CT!H50,0)</f>
        <v>0</v>
      </c>
      <c r="H53" s="69">
        <f>IF(CT!E50=SCTVTHH!$G$2,CT!F50,0)</f>
        <v>0</v>
      </c>
      <c r="I53" s="69">
        <f>IF(CT!E50=SCTVTHH!$G$2,CT!H50,0)</f>
        <v>0</v>
      </c>
      <c r="J53" s="69">
        <f>IF(SUM(F53,H53)=0,0,$J$6+SUM($F$8:F53)-SUM($H$8:H53))</f>
        <v>0</v>
      </c>
      <c r="K53" s="69">
        <f>IF(SUM(G53,I53)=0,0,$K$6+SUM($H$8:H53)-SUM($J$8:J53))</f>
        <v>0</v>
      </c>
    </row>
    <row r="54" spans="1:11" hidden="1" x14ac:dyDescent="0.25">
      <c r="A54" s="84" t="str">
        <f>IF(OR(CT!D51=SCTVTHH!$G$2,CT!E51=SCTVTHH!$G$2),CT!A51,"")</f>
        <v/>
      </c>
      <c r="B54" s="65" t="str">
        <f>IF(OR(CT!E51=SCTVTHH!$G$2,CT!E51=SCTVTHH!$G$2),CT!B51,"")</f>
        <v/>
      </c>
      <c r="C54" s="65" t="str">
        <f>IF(OR(CT!F51=SCTVTHH!$G$2,CT!E51=SCTVTHH!$G$2),CT!C51,"")</f>
        <v/>
      </c>
      <c r="D54" s="65" t="str">
        <f>IF(CT!D51=SCTVTHH!$G$2,CT!E51,IF(CT!E51=SCTVTHH!$G$2,CT!D51,""))</f>
        <v/>
      </c>
      <c r="E54" s="69">
        <f>IF(OR(CT!D51=SCTVTHH!$G$2,CT!E51=SCTVTHH!$G$2),CT!G51,0)</f>
        <v>0</v>
      </c>
      <c r="F54" s="69">
        <f>IF(CT!D51=SCTVTHH!$G$2,CT!F51,0)</f>
        <v>0</v>
      </c>
      <c r="G54" s="69">
        <f>IF(CT!D51=SCTVTHH!$G$2,CT!H51,0)</f>
        <v>0</v>
      </c>
      <c r="H54" s="69">
        <f>IF(CT!E51=SCTVTHH!$G$2,CT!F51,0)</f>
        <v>0</v>
      </c>
      <c r="I54" s="69">
        <f>IF(CT!E51=SCTVTHH!$G$2,CT!H51,0)</f>
        <v>0</v>
      </c>
      <c r="J54" s="69">
        <f>IF(SUM(F54,H54)=0,0,$J$6+SUM($F$8:F54)-SUM($H$8:H54))</f>
        <v>0</v>
      </c>
      <c r="K54" s="69">
        <f>IF(SUM(G54,I54)=0,0,$K$6+SUM($H$8:H54)-SUM($J$8:J54))</f>
        <v>0</v>
      </c>
    </row>
    <row r="55" spans="1:11" hidden="1" x14ac:dyDescent="0.25">
      <c r="A55" s="84" t="str">
        <f>IF(OR(CT!D52=SCTVTHH!$G$2,CT!E52=SCTVTHH!$G$2),CT!A52,"")</f>
        <v/>
      </c>
      <c r="B55" s="65" t="str">
        <f>IF(OR(CT!E52=SCTVTHH!$G$2,CT!E52=SCTVTHH!$G$2),CT!B52,"")</f>
        <v/>
      </c>
      <c r="C55" s="65" t="str">
        <f>IF(OR(CT!F52=SCTVTHH!$G$2,CT!E52=SCTVTHH!$G$2),CT!C52,"")</f>
        <v/>
      </c>
      <c r="D55" s="65" t="str">
        <f>IF(CT!D52=SCTVTHH!$G$2,CT!E52,IF(CT!E52=SCTVTHH!$G$2,CT!D52,""))</f>
        <v/>
      </c>
      <c r="E55" s="69">
        <f>IF(OR(CT!D52=SCTVTHH!$G$2,CT!E52=SCTVTHH!$G$2),CT!G52,0)</f>
        <v>0</v>
      </c>
      <c r="F55" s="69">
        <f>IF(CT!D52=SCTVTHH!$G$2,CT!F52,0)</f>
        <v>0</v>
      </c>
      <c r="G55" s="69">
        <f>IF(CT!D52=SCTVTHH!$G$2,CT!H52,0)</f>
        <v>0</v>
      </c>
      <c r="H55" s="69">
        <f>IF(CT!E52=SCTVTHH!$G$2,CT!F52,0)</f>
        <v>0</v>
      </c>
      <c r="I55" s="69">
        <f>IF(CT!E52=SCTVTHH!$G$2,CT!H52,0)</f>
        <v>0</v>
      </c>
      <c r="J55" s="69">
        <f>IF(SUM(F55,H55)=0,0,$J$6+SUM($F$8:F55)-SUM($H$8:H55))</f>
        <v>0</v>
      </c>
      <c r="K55" s="69">
        <f>IF(SUM(G55,I55)=0,0,$K$6+SUM($H$8:H55)-SUM($J$8:J55))</f>
        <v>0</v>
      </c>
    </row>
    <row r="56" spans="1:11" hidden="1" x14ac:dyDescent="0.25">
      <c r="A56" s="84" t="str">
        <f>IF(OR(CT!D53=SCTVTHH!$G$2,CT!E53=SCTVTHH!$G$2),CT!A53,"")</f>
        <v/>
      </c>
      <c r="B56" s="65" t="str">
        <f>IF(OR(CT!E53=SCTVTHH!$G$2,CT!E53=SCTVTHH!$G$2),CT!B53,"")</f>
        <v/>
      </c>
      <c r="C56" s="65" t="str">
        <f>IF(OR(CT!F53=SCTVTHH!$G$2,CT!E53=SCTVTHH!$G$2),CT!C53,"")</f>
        <v/>
      </c>
      <c r="D56" s="65" t="str">
        <f>IF(CT!D53=SCTVTHH!$G$2,CT!E53,IF(CT!E53=SCTVTHH!$G$2,CT!D53,""))</f>
        <v/>
      </c>
      <c r="E56" s="69">
        <f>IF(OR(CT!D53=SCTVTHH!$G$2,CT!E53=SCTVTHH!$G$2),CT!G53,0)</f>
        <v>0</v>
      </c>
      <c r="F56" s="69">
        <f>IF(CT!D53=SCTVTHH!$G$2,CT!F53,0)</f>
        <v>0</v>
      </c>
      <c r="G56" s="69">
        <f>IF(CT!D53=SCTVTHH!$G$2,CT!H53,0)</f>
        <v>0</v>
      </c>
      <c r="H56" s="69">
        <f>IF(CT!E53=SCTVTHH!$G$2,CT!F53,0)</f>
        <v>0</v>
      </c>
      <c r="I56" s="69">
        <f>IF(CT!E53=SCTVTHH!$G$2,CT!H53,0)</f>
        <v>0</v>
      </c>
      <c r="J56" s="69">
        <f>IF(SUM(F56,H56)=0,0,$J$6+SUM($F$8:F56)-SUM($H$8:H56))</f>
        <v>0</v>
      </c>
      <c r="K56" s="69">
        <f>IF(SUM(G56,I56)=0,0,$K$6+SUM($H$8:H56)-SUM($J$8:J56))</f>
        <v>0</v>
      </c>
    </row>
    <row r="57" spans="1:11" hidden="1" x14ac:dyDescent="0.25">
      <c r="A57" s="84" t="str">
        <f>IF(OR(CT!D54=SCTVTHH!$G$2,CT!E54=SCTVTHH!$G$2),CT!A54,"")</f>
        <v/>
      </c>
      <c r="B57" s="65" t="str">
        <f>IF(OR(CT!E54=SCTVTHH!$G$2,CT!E54=SCTVTHH!$G$2),CT!B54,"")</f>
        <v/>
      </c>
      <c r="C57" s="65" t="str">
        <f>IF(OR(CT!F54=SCTVTHH!$G$2,CT!E54=SCTVTHH!$G$2),CT!C54,"")</f>
        <v/>
      </c>
      <c r="D57" s="65" t="str">
        <f>IF(CT!D54=SCTVTHH!$G$2,CT!E54,IF(CT!E54=SCTVTHH!$G$2,CT!D54,""))</f>
        <v/>
      </c>
      <c r="E57" s="69">
        <f>IF(OR(CT!D54=SCTVTHH!$G$2,CT!E54=SCTVTHH!$G$2),CT!G54,0)</f>
        <v>0</v>
      </c>
      <c r="F57" s="69">
        <f>IF(CT!D54=SCTVTHH!$G$2,CT!F54,0)</f>
        <v>0</v>
      </c>
      <c r="G57" s="69">
        <f>IF(CT!D54=SCTVTHH!$G$2,CT!H54,0)</f>
        <v>0</v>
      </c>
      <c r="H57" s="69">
        <f>IF(CT!E54=SCTVTHH!$G$2,CT!F54,0)</f>
        <v>0</v>
      </c>
      <c r="I57" s="69">
        <f>IF(CT!E54=SCTVTHH!$G$2,CT!H54,0)</f>
        <v>0</v>
      </c>
      <c r="J57" s="69">
        <f>IF(SUM(F57,H57)=0,0,$J$6+SUM($F$8:F57)-SUM($H$8:H57))</f>
        <v>0</v>
      </c>
      <c r="K57" s="69">
        <f>IF(SUM(G57,I57)=0,0,$K$6+SUM($H$8:H57)-SUM($J$8:J57))</f>
        <v>0</v>
      </c>
    </row>
    <row r="58" spans="1:11" hidden="1" x14ac:dyDescent="0.25">
      <c r="A58" s="84" t="str">
        <f>IF(OR(CT!D55=SCTVTHH!$G$2,CT!E55=SCTVTHH!$G$2),CT!A55,"")</f>
        <v/>
      </c>
      <c r="B58" s="65" t="str">
        <f>IF(OR(CT!E55=SCTVTHH!$G$2,CT!E55=SCTVTHH!$G$2),CT!B55,"")</f>
        <v/>
      </c>
      <c r="C58" s="65" t="str">
        <f>IF(OR(CT!F55=SCTVTHH!$G$2,CT!E55=SCTVTHH!$G$2),CT!C55,"")</f>
        <v/>
      </c>
      <c r="D58" s="65" t="str">
        <f>IF(CT!D55=SCTVTHH!$G$2,CT!E55,IF(CT!E55=SCTVTHH!$G$2,CT!D55,""))</f>
        <v/>
      </c>
      <c r="E58" s="69">
        <f>IF(OR(CT!D55=SCTVTHH!$G$2,CT!E55=SCTVTHH!$G$2),CT!G55,0)</f>
        <v>0</v>
      </c>
      <c r="F58" s="69">
        <f>IF(CT!D55=SCTVTHH!$G$2,CT!F55,0)</f>
        <v>0</v>
      </c>
      <c r="G58" s="69">
        <f>IF(CT!D55=SCTVTHH!$G$2,CT!H55,0)</f>
        <v>0</v>
      </c>
      <c r="H58" s="69">
        <f>IF(CT!E55=SCTVTHH!$G$2,CT!F55,0)</f>
        <v>0</v>
      </c>
      <c r="I58" s="69">
        <f>IF(CT!E55=SCTVTHH!$G$2,CT!H55,0)</f>
        <v>0</v>
      </c>
      <c r="J58" s="69">
        <f>IF(SUM(F58,H58)=0,0,$J$6+SUM($F$8:F58)-SUM($H$8:H58))</f>
        <v>0</v>
      </c>
      <c r="K58" s="69">
        <f>IF(SUM(G58,I58)=0,0,$K$6+SUM($H$8:H58)-SUM($J$8:J58))</f>
        <v>0</v>
      </c>
    </row>
    <row r="59" spans="1:11" hidden="1" x14ac:dyDescent="0.25">
      <c r="A59" s="84" t="str">
        <f>IF(OR(CT!D56=SCTVTHH!$G$2,CT!E56=SCTVTHH!$G$2),CT!A56,"")</f>
        <v/>
      </c>
      <c r="B59" s="65" t="str">
        <f>IF(OR(CT!E56=SCTVTHH!$G$2,CT!E56=SCTVTHH!$G$2),CT!B56,"")</f>
        <v/>
      </c>
      <c r="C59" s="65" t="str">
        <f>IF(OR(CT!F56=SCTVTHH!$G$2,CT!E56=SCTVTHH!$G$2),CT!C56,"")</f>
        <v/>
      </c>
      <c r="D59" s="65" t="str">
        <f>IF(CT!D56=SCTVTHH!$G$2,CT!E56,IF(CT!E56=SCTVTHH!$G$2,CT!D56,""))</f>
        <v/>
      </c>
      <c r="E59" s="69">
        <f>IF(OR(CT!D56=SCTVTHH!$G$2,CT!E56=SCTVTHH!$G$2),CT!G56,0)</f>
        <v>0</v>
      </c>
      <c r="F59" s="69">
        <f>IF(CT!D56=SCTVTHH!$G$2,CT!F56,0)</f>
        <v>0</v>
      </c>
      <c r="G59" s="69">
        <f>IF(CT!D56=SCTVTHH!$G$2,CT!H56,0)</f>
        <v>0</v>
      </c>
      <c r="H59" s="69">
        <f>IF(CT!E56=SCTVTHH!$G$2,CT!F56,0)</f>
        <v>0</v>
      </c>
      <c r="I59" s="69">
        <f>IF(CT!E56=SCTVTHH!$G$2,CT!H56,0)</f>
        <v>0</v>
      </c>
      <c r="J59" s="69">
        <f>IF(SUM(F59,H59)=0,0,$J$6+SUM($F$8:F59)-SUM($H$8:H59))</f>
        <v>0</v>
      </c>
      <c r="K59" s="69">
        <f>IF(SUM(G59,I59)=0,0,$K$6+SUM($H$8:H59)-SUM($J$8:J59))</f>
        <v>0</v>
      </c>
    </row>
    <row r="60" spans="1:11" hidden="1" x14ac:dyDescent="0.25">
      <c r="A60" s="84" t="str">
        <f>IF(OR(CT!D57=SCTVTHH!$G$2,CT!E57=SCTVTHH!$G$2),CT!A57,"")</f>
        <v/>
      </c>
      <c r="B60" s="65" t="str">
        <f>IF(OR(CT!E57=SCTVTHH!$G$2,CT!E57=SCTVTHH!$G$2),CT!B57,"")</f>
        <v/>
      </c>
      <c r="C60" s="65" t="str">
        <f>IF(OR(CT!F57=SCTVTHH!$G$2,CT!E57=SCTVTHH!$G$2),CT!C57,"")</f>
        <v/>
      </c>
      <c r="D60" s="65" t="str">
        <f>IF(CT!D57=SCTVTHH!$G$2,CT!E57,IF(CT!E57=SCTVTHH!$G$2,CT!D57,""))</f>
        <v/>
      </c>
      <c r="E60" s="69">
        <f>IF(OR(CT!D57=SCTVTHH!$G$2,CT!E57=SCTVTHH!$G$2),CT!G57,0)</f>
        <v>0</v>
      </c>
      <c r="F60" s="69">
        <f>IF(CT!D57=SCTVTHH!$G$2,CT!F57,0)</f>
        <v>0</v>
      </c>
      <c r="G60" s="69">
        <f>IF(CT!D57=SCTVTHH!$G$2,CT!H57,0)</f>
        <v>0</v>
      </c>
      <c r="H60" s="69">
        <f>IF(CT!E57=SCTVTHH!$G$2,CT!F57,0)</f>
        <v>0</v>
      </c>
      <c r="I60" s="69">
        <f>IF(CT!E57=SCTVTHH!$G$2,CT!H57,0)</f>
        <v>0</v>
      </c>
      <c r="J60" s="69">
        <f>IF(SUM(F60,H60)=0,0,$J$6+SUM($F$8:F60)-SUM($H$8:H60))</f>
        <v>0</v>
      </c>
      <c r="K60" s="69">
        <f>IF(SUM(G60,I60)=0,0,$K$6+SUM($H$8:H60)-SUM($J$8:J60))</f>
        <v>0</v>
      </c>
    </row>
    <row r="61" spans="1:11" hidden="1" x14ac:dyDescent="0.25">
      <c r="A61" s="84" t="str">
        <f>IF(OR(CT!D58=SCTVTHH!$G$2,CT!E58=SCTVTHH!$G$2),CT!A58,"")</f>
        <v/>
      </c>
      <c r="B61" s="65" t="str">
        <f>IF(OR(CT!E58=SCTVTHH!$G$2,CT!E58=SCTVTHH!$G$2),CT!B58,"")</f>
        <v/>
      </c>
      <c r="C61" s="65" t="str">
        <f>IF(OR(CT!F58=SCTVTHH!$G$2,CT!E58=SCTVTHH!$G$2),CT!C58,"")</f>
        <v/>
      </c>
      <c r="D61" s="65" t="str">
        <f>IF(CT!D58=SCTVTHH!$G$2,CT!E58,IF(CT!E58=SCTVTHH!$G$2,CT!D58,""))</f>
        <v/>
      </c>
      <c r="E61" s="69">
        <f>IF(OR(CT!D58=SCTVTHH!$G$2,CT!E58=SCTVTHH!$G$2),CT!G58,0)</f>
        <v>0</v>
      </c>
      <c r="F61" s="69">
        <f>IF(CT!D58=SCTVTHH!$G$2,CT!F58,0)</f>
        <v>0</v>
      </c>
      <c r="G61" s="69">
        <f>IF(CT!D58=SCTVTHH!$G$2,CT!H58,0)</f>
        <v>0</v>
      </c>
      <c r="H61" s="69">
        <f>IF(CT!E58=SCTVTHH!$G$2,CT!F58,0)</f>
        <v>0</v>
      </c>
      <c r="I61" s="69">
        <f>IF(CT!E58=SCTVTHH!$G$2,CT!H58,0)</f>
        <v>0</v>
      </c>
      <c r="J61" s="69">
        <f>IF(SUM(F61,H61)=0,0,$J$6+SUM($F$8:F61)-SUM($H$8:H61))</f>
        <v>0</v>
      </c>
      <c r="K61" s="69">
        <f>IF(SUM(G61,I61)=0,0,$K$6+SUM($H$8:H61)-SUM($J$8:J61))</f>
        <v>0</v>
      </c>
    </row>
    <row r="62" spans="1:11" hidden="1" x14ac:dyDescent="0.25">
      <c r="A62" s="84" t="str">
        <f>IF(OR(CT!D59=SCTVTHH!$G$2,CT!E59=SCTVTHH!$G$2),CT!A59,"")</f>
        <v/>
      </c>
      <c r="B62" s="65" t="str">
        <f>IF(OR(CT!E59=SCTVTHH!$G$2,CT!E59=SCTVTHH!$G$2),CT!B59,"")</f>
        <v/>
      </c>
      <c r="C62" s="65" t="str">
        <f>IF(OR(CT!F59=SCTVTHH!$G$2,CT!E59=SCTVTHH!$G$2),CT!C59,"")</f>
        <v/>
      </c>
      <c r="D62" s="65" t="str">
        <f>IF(CT!D59=SCTVTHH!$G$2,CT!E59,IF(CT!E59=SCTVTHH!$G$2,CT!D59,""))</f>
        <v/>
      </c>
      <c r="E62" s="69">
        <f>IF(OR(CT!D59=SCTVTHH!$G$2,CT!E59=SCTVTHH!$G$2),CT!G59,0)</f>
        <v>0</v>
      </c>
      <c r="F62" s="69">
        <f>IF(CT!D59=SCTVTHH!$G$2,CT!F59,0)</f>
        <v>0</v>
      </c>
      <c r="G62" s="69">
        <f>IF(CT!D59=SCTVTHH!$G$2,CT!H59,0)</f>
        <v>0</v>
      </c>
      <c r="H62" s="69">
        <f>IF(CT!E59=SCTVTHH!$G$2,CT!F59,0)</f>
        <v>0</v>
      </c>
      <c r="I62" s="69">
        <f>IF(CT!E59=SCTVTHH!$G$2,CT!H59,0)</f>
        <v>0</v>
      </c>
      <c r="J62" s="69">
        <f>IF(SUM(F62,H62)=0,0,$J$6+SUM($F$8:F62)-SUM($H$8:H62))</f>
        <v>0</v>
      </c>
      <c r="K62" s="69">
        <f>IF(SUM(G62,I62)=0,0,$K$6+SUM($H$8:H62)-SUM($J$8:J62))</f>
        <v>0</v>
      </c>
    </row>
    <row r="63" spans="1:11" hidden="1" x14ac:dyDescent="0.25">
      <c r="A63" s="84" t="str">
        <f>IF(OR(CT!D60=SCTVTHH!$G$2,CT!E60=SCTVTHH!$G$2),CT!A60,"")</f>
        <v/>
      </c>
      <c r="B63" s="65" t="str">
        <f>IF(OR(CT!E60=SCTVTHH!$G$2,CT!E60=SCTVTHH!$G$2),CT!B60,"")</f>
        <v/>
      </c>
      <c r="C63" s="65" t="str">
        <f>IF(OR(CT!F60=SCTVTHH!$G$2,CT!E60=SCTVTHH!$G$2),CT!C60,"")</f>
        <v/>
      </c>
      <c r="D63" s="65" t="str">
        <f>IF(CT!D60=SCTVTHH!$G$2,CT!E60,IF(CT!E60=SCTVTHH!$G$2,CT!D60,""))</f>
        <v/>
      </c>
      <c r="E63" s="69">
        <f>IF(OR(CT!D60=SCTVTHH!$G$2,CT!E60=SCTVTHH!$G$2),CT!G60,0)</f>
        <v>0</v>
      </c>
      <c r="F63" s="69">
        <f>IF(CT!D60=SCTVTHH!$G$2,CT!F60,0)</f>
        <v>0</v>
      </c>
      <c r="G63" s="69">
        <f>IF(CT!D60=SCTVTHH!$G$2,CT!H60,0)</f>
        <v>0</v>
      </c>
      <c r="H63" s="69">
        <f>IF(CT!E60=SCTVTHH!$G$2,CT!F60,0)</f>
        <v>0</v>
      </c>
      <c r="I63" s="69">
        <f>IF(CT!E60=SCTVTHH!$G$2,CT!H60,0)</f>
        <v>0</v>
      </c>
      <c r="J63" s="69">
        <f>IF(SUM(F63,H63)=0,0,$J$6+SUM($F$8:F63)-SUM($H$8:H63))</f>
        <v>0</v>
      </c>
      <c r="K63" s="69">
        <f>IF(SUM(G63,I63)=0,0,$K$6+SUM($H$8:H63)-SUM($J$8:J63))</f>
        <v>0</v>
      </c>
    </row>
    <row r="64" spans="1:11" hidden="1" x14ac:dyDescent="0.25">
      <c r="A64" s="84" t="str">
        <f>IF(OR(CT!D61=SCTVTHH!$G$2,CT!E61=SCTVTHH!$G$2),CT!A61,"")</f>
        <v/>
      </c>
      <c r="B64" s="65" t="str">
        <f>IF(OR(CT!E61=SCTVTHH!$G$2,CT!E61=SCTVTHH!$G$2),CT!B61,"")</f>
        <v/>
      </c>
      <c r="C64" s="65" t="str">
        <f>IF(OR(CT!F61=SCTVTHH!$G$2,CT!E61=SCTVTHH!$G$2),CT!C61,"")</f>
        <v/>
      </c>
      <c r="D64" s="65" t="str">
        <f>IF(CT!D61=SCTVTHH!$G$2,CT!E61,IF(CT!E61=SCTVTHH!$G$2,CT!D61,""))</f>
        <v/>
      </c>
      <c r="E64" s="69">
        <f>IF(OR(CT!D61=SCTVTHH!$G$2,CT!E61=SCTVTHH!$G$2),CT!G61,0)</f>
        <v>0</v>
      </c>
      <c r="F64" s="69">
        <f>IF(CT!D61=SCTVTHH!$G$2,CT!F61,0)</f>
        <v>0</v>
      </c>
      <c r="G64" s="69">
        <f>IF(CT!D61=SCTVTHH!$G$2,CT!H61,0)</f>
        <v>0</v>
      </c>
      <c r="H64" s="69">
        <f>IF(CT!E61=SCTVTHH!$G$2,CT!F61,0)</f>
        <v>0</v>
      </c>
      <c r="I64" s="69">
        <f>IF(CT!E61=SCTVTHH!$G$2,CT!H61,0)</f>
        <v>0</v>
      </c>
      <c r="J64" s="69">
        <f>IF(SUM(F64,H64)=0,0,$J$6+SUM($F$8:F64)-SUM($H$8:H64))</f>
        <v>0</v>
      </c>
      <c r="K64" s="69">
        <f>IF(SUM(G64,I64)=0,0,$K$6+SUM($H$8:H64)-SUM($J$8:J64))</f>
        <v>0</v>
      </c>
    </row>
    <row r="65" spans="1:11" hidden="1" x14ac:dyDescent="0.25">
      <c r="A65" s="84" t="str">
        <f>IF(OR(CT!D62=SCTVTHH!$G$2,CT!E62=SCTVTHH!$G$2),CT!A62,"")</f>
        <v/>
      </c>
      <c r="B65" s="65" t="str">
        <f>IF(OR(CT!E62=SCTVTHH!$G$2,CT!E62=SCTVTHH!$G$2),CT!B62,"")</f>
        <v/>
      </c>
      <c r="C65" s="65" t="str">
        <f>IF(OR(CT!F62=SCTVTHH!$G$2,CT!E62=SCTVTHH!$G$2),CT!C62,"")</f>
        <v/>
      </c>
      <c r="D65" s="65" t="str">
        <f>IF(CT!D62=SCTVTHH!$G$2,CT!E62,IF(CT!E62=SCTVTHH!$G$2,CT!D62,""))</f>
        <v/>
      </c>
      <c r="E65" s="69">
        <f>IF(OR(CT!D62=SCTVTHH!$G$2,CT!E62=SCTVTHH!$G$2),CT!G62,0)</f>
        <v>0</v>
      </c>
      <c r="F65" s="69">
        <f>IF(CT!D62=SCTVTHH!$G$2,CT!F62,0)</f>
        <v>0</v>
      </c>
      <c r="G65" s="69">
        <f>IF(CT!D62=SCTVTHH!$G$2,CT!H62,0)</f>
        <v>0</v>
      </c>
      <c r="H65" s="69">
        <f>IF(CT!E62=SCTVTHH!$G$2,CT!F62,0)</f>
        <v>0</v>
      </c>
      <c r="I65" s="69">
        <f>IF(CT!E62=SCTVTHH!$G$2,CT!H62,0)</f>
        <v>0</v>
      </c>
      <c r="J65" s="69">
        <f>IF(SUM(F65,H65)=0,0,$J$6+SUM($F$8:F65)-SUM($H$8:H65))</f>
        <v>0</v>
      </c>
      <c r="K65" s="69">
        <f>IF(SUM(G65,I65)=0,0,$K$6+SUM($H$8:H65)-SUM($J$8:J65))</f>
        <v>0</v>
      </c>
    </row>
    <row r="66" spans="1:11" hidden="1" x14ac:dyDescent="0.25">
      <c r="A66" s="84" t="str">
        <f>IF(OR(CT!D63=SCTVTHH!$G$2,CT!E63=SCTVTHH!$G$2),CT!A63,"")</f>
        <v/>
      </c>
      <c r="B66" s="65" t="str">
        <f>IF(OR(CT!E63=SCTVTHH!$G$2,CT!E63=SCTVTHH!$G$2),CT!B63,"")</f>
        <v/>
      </c>
      <c r="C66" s="65" t="str">
        <f>IF(OR(CT!F63=SCTVTHH!$G$2,CT!E63=SCTVTHH!$G$2),CT!C63,"")</f>
        <v/>
      </c>
      <c r="D66" s="65" t="str">
        <f>IF(CT!D63=SCTVTHH!$G$2,CT!E63,IF(CT!E63=SCTVTHH!$G$2,CT!D63,""))</f>
        <v/>
      </c>
      <c r="E66" s="69">
        <f>IF(OR(CT!D63=SCTVTHH!$G$2,CT!E63=SCTVTHH!$G$2),CT!G63,0)</f>
        <v>0</v>
      </c>
      <c r="F66" s="69">
        <f>IF(CT!D63=SCTVTHH!$G$2,CT!F63,0)</f>
        <v>0</v>
      </c>
      <c r="G66" s="69">
        <f>IF(CT!D63=SCTVTHH!$G$2,CT!H63,0)</f>
        <v>0</v>
      </c>
      <c r="H66" s="69">
        <f>IF(CT!E63=SCTVTHH!$G$2,CT!F63,0)</f>
        <v>0</v>
      </c>
      <c r="I66" s="69">
        <f>IF(CT!E63=SCTVTHH!$G$2,CT!H63,0)</f>
        <v>0</v>
      </c>
      <c r="J66" s="69">
        <f>IF(SUM(F66,H66)=0,0,$J$6+SUM($F$8:F66)-SUM($H$8:H66))</f>
        <v>0</v>
      </c>
      <c r="K66" s="69">
        <f>IF(SUM(G66,I66)=0,0,$K$6+SUM($H$8:H66)-SUM($J$8:J66))</f>
        <v>0</v>
      </c>
    </row>
    <row r="67" spans="1:11" hidden="1" x14ac:dyDescent="0.25">
      <c r="A67" s="84" t="str">
        <f>IF(OR(CT!D64=SCTVTHH!$G$2,CT!E64=SCTVTHH!$G$2),CT!A64,"")</f>
        <v/>
      </c>
      <c r="B67" s="65" t="str">
        <f>IF(OR(CT!E64=SCTVTHH!$G$2,CT!E64=SCTVTHH!$G$2),CT!B64,"")</f>
        <v/>
      </c>
      <c r="C67" s="65" t="str">
        <f>IF(OR(CT!F64=SCTVTHH!$G$2,CT!E64=SCTVTHH!$G$2),CT!C64,"")</f>
        <v/>
      </c>
      <c r="D67" s="65" t="str">
        <f>IF(CT!D64=SCTVTHH!$G$2,CT!E64,IF(CT!E64=SCTVTHH!$G$2,CT!D64,""))</f>
        <v/>
      </c>
      <c r="E67" s="69">
        <f>IF(OR(CT!D64=SCTVTHH!$G$2,CT!E64=SCTVTHH!$G$2),CT!G64,0)</f>
        <v>0</v>
      </c>
      <c r="F67" s="69">
        <f>IF(CT!D64=SCTVTHH!$G$2,CT!F64,0)</f>
        <v>0</v>
      </c>
      <c r="G67" s="69">
        <f>IF(CT!D64=SCTVTHH!$G$2,CT!H64,0)</f>
        <v>0</v>
      </c>
      <c r="H67" s="69">
        <f>IF(CT!E64=SCTVTHH!$G$2,CT!F64,0)</f>
        <v>0</v>
      </c>
      <c r="I67" s="69">
        <f>IF(CT!E64=SCTVTHH!$G$2,CT!H64,0)</f>
        <v>0</v>
      </c>
      <c r="J67" s="69">
        <f>IF(SUM(F67,H67)=0,0,$J$6+SUM($F$8:F67)-SUM($H$8:H67))</f>
        <v>0</v>
      </c>
      <c r="K67" s="69">
        <f>IF(SUM(G67,I67)=0,0,$K$6+SUM($H$8:H67)-SUM($J$8:J67))</f>
        <v>0</v>
      </c>
    </row>
    <row r="68" spans="1:11" hidden="1" x14ac:dyDescent="0.25">
      <c r="A68" s="84" t="str">
        <f>IF(OR(CT!D65=SCTVTHH!$G$2,CT!E65=SCTVTHH!$G$2),CT!A65,"")</f>
        <v/>
      </c>
      <c r="B68" s="65" t="str">
        <f>IF(OR(CT!E65=SCTVTHH!$G$2,CT!E65=SCTVTHH!$G$2),CT!B65,"")</f>
        <v/>
      </c>
      <c r="C68" s="65" t="str">
        <f>IF(OR(CT!F65=SCTVTHH!$G$2,CT!E65=SCTVTHH!$G$2),CT!C65,"")</f>
        <v/>
      </c>
      <c r="D68" s="65" t="str">
        <f>IF(CT!D65=SCTVTHH!$G$2,CT!E65,IF(CT!E65=SCTVTHH!$G$2,CT!D65,""))</f>
        <v/>
      </c>
      <c r="E68" s="69">
        <f>IF(OR(CT!D65=SCTVTHH!$G$2,CT!E65=SCTVTHH!$G$2),CT!G65,0)</f>
        <v>0</v>
      </c>
      <c r="F68" s="69">
        <f>IF(CT!D65=SCTVTHH!$G$2,CT!F65,0)</f>
        <v>0</v>
      </c>
      <c r="G68" s="69">
        <f>IF(CT!D65=SCTVTHH!$G$2,CT!H65,0)</f>
        <v>0</v>
      </c>
      <c r="H68" s="69">
        <f>IF(CT!E65=SCTVTHH!$G$2,CT!F65,0)</f>
        <v>0</v>
      </c>
      <c r="I68" s="69">
        <f>IF(CT!E65=SCTVTHH!$G$2,CT!H65,0)</f>
        <v>0</v>
      </c>
      <c r="J68" s="69">
        <f>IF(SUM(F68,H68)=0,0,$J$6+SUM($F$8:F68)-SUM($H$8:H68))</f>
        <v>0</v>
      </c>
      <c r="K68" s="69">
        <f>IF(SUM(G68,I68)=0,0,$K$6+SUM($H$8:H68)-SUM($J$8:J68))</f>
        <v>0</v>
      </c>
    </row>
    <row r="69" spans="1:11" hidden="1" x14ac:dyDescent="0.25">
      <c r="A69" s="84" t="str">
        <f>IF(OR(CT!D66=SCTVTHH!$G$2,CT!E66=SCTVTHH!$G$2),CT!A66,"")</f>
        <v/>
      </c>
      <c r="B69" s="65" t="str">
        <f>IF(OR(CT!E66=SCTVTHH!$G$2,CT!E66=SCTVTHH!$G$2),CT!B66,"")</f>
        <v/>
      </c>
      <c r="C69" s="65" t="str">
        <f>IF(OR(CT!F66=SCTVTHH!$G$2,CT!E66=SCTVTHH!$G$2),CT!C66,"")</f>
        <v/>
      </c>
      <c r="D69" s="65" t="str">
        <f>IF(CT!D66=SCTVTHH!$G$2,CT!E66,IF(CT!E66=SCTVTHH!$G$2,CT!D66,""))</f>
        <v/>
      </c>
      <c r="E69" s="69">
        <f>IF(OR(CT!D66=SCTVTHH!$G$2,CT!E66=SCTVTHH!$G$2),CT!G66,0)</f>
        <v>0</v>
      </c>
      <c r="F69" s="69">
        <f>IF(CT!D66=SCTVTHH!$G$2,CT!F66,0)</f>
        <v>0</v>
      </c>
      <c r="G69" s="69">
        <f>IF(CT!D66=SCTVTHH!$G$2,CT!H66,0)</f>
        <v>0</v>
      </c>
      <c r="H69" s="69">
        <f>IF(CT!E66=SCTVTHH!$G$2,CT!F66,0)</f>
        <v>0</v>
      </c>
      <c r="I69" s="69">
        <f>IF(CT!E66=SCTVTHH!$G$2,CT!H66,0)</f>
        <v>0</v>
      </c>
      <c r="J69" s="69">
        <f>IF(SUM(F69,H69)=0,0,$J$6+SUM($F$8:F69)-SUM($H$8:H69))</f>
        <v>0</v>
      </c>
      <c r="K69" s="69">
        <f>IF(SUM(G69,I69)=0,0,$K$6+SUM($H$8:H69)-SUM($J$8:J69))</f>
        <v>0</v>
      </c>
    </row>
    <row r="70" spans="1:11" hidden="1" x14ac:dyDescent="0.25">
      <c r="A70" s="84" t="str">
        <f>IF(OR(CT!D67=SCTVTHH!$G$2,CT!E67=SCTVTHH!$G$2),CT!A67,"")</f>
        <v/>
      </c>
      <c r="B70" s="65" t="str">
        <f>IF(OR(CT!E67=SCTVTHH!$G$2,CT!E67=SCTVTHH!$G$2),CT!B67,"")</f>
        <v/>
      </c>
      <c r="C70" s="65" t="str">
        <f>IF(OR(CT!F67=SCTVTHH!$G$2,CT!E67=SCTVTHH!$G$2),CT!C67,"")</f>
        <v/>
      </c>
      <c r="D70" s="65" t="str">
        <f>IF(CT!D67=SCTVTHH!$G$2,CT!E67,IF(CT!E67=SCTVTHH!$G$2,CT!D67,""))</f>
        <v/>
      </c>
      <c r="E70" s="69">
        <f>IF(OR(CT!D67=SCTVTHH!$G$2,CT!E67=SCTVTHH!$G$2),CT!G67,0)</f>
        <v>0</v>
      </c>
      <c r="F70" s="69">
        <f>IF(CT!D67=SCTVTHH!$G$2,CT!F67,0)</f>
        <v>0</v>
      </c>
      <c r="G70" s="69">
        <f>IF(CT!D67=SCTVTHH!$G$2,CT!H67,0)</f>
        <v>0</v>
      </c>
      <c r="H70" s="69">
        <f>IF(CT!E67=SCTVTHH!$G$2,CT!F67,0)</f>
        <v>0</v>
      </c>
      <c r="I70" s="69">
        <f>IF(CT!E67=SCTVTHH!$G$2,CT!H67,0)</f>
        <v>0</v>
      </c>
      <c r="J70" s="69">
        <f>IF(SUM(F70,H70)=0,0,$J$6+SUM($F$8:F70)-SUM($H$8:H70))</f>
        <v>0</v>
      </c>
      <c r="K70" s="69">
        <f>IF(SUM(G70,I70)=0,0,$K$6+SUM($H$8:H70)-SUM($J$8:J70))</f>
        <v>0</v>
      </c>
    </row>
    <row r="71" spans="1:11" hidden="1" x14ac:dyDescent="0.25">
      <c r="A71" s="84" t="str">
        <f>IF(OR(CT!D68=SCTVTHH!$G$2,CT!E68=SCTVTHH!$G$2),CT!A68,"")</f>
        <v/>
      </c>
      <c r="B71" s="65" t="str">
        <f>IF(OR(CT!E68=SCTVTHH!$G$2,CT!E68=SCTVTHH!$G$2),CT!B68,"")</f>
        <v/>
      </c>
      <c r="C71" s="65" t="str">
        <f>IF(OR(CT!F68=SCTVTHH!$G$2,CT!E68=SCTVTHH!$G$2),CT!C68,"")</f>
        <v/>
      </c>
      <c r="D71" s="65" t="str">
        <f>IF(CT!D68=SCTVTHH!$G$2,CT!E68,IF(CT!E68=SCTVTHH!$G$2,CT!D68,""))</f>
        <v/>
      </c>
      <c r="E71" s="69">
        <f>IF(OR(CT!D68=SCTVTHH!$G$2,CT!E68=SCTVTHH!$G$2),CT!G68,0)</f>
        <v>0</v>
      </c>
      <c r="F71" s="69">
        <f>IF(CT!D68=SCTVTHH!$G$2,CT!F68,0)</f>
        <v>0</v>
      </c>
      <c r="G71" s="69">
        <f>IF(CT!D68=SCTVTHH!$G$2,CT!H68,0)</f>
        <v>0</v>
      </c>
      <c r="H71" s="69">
        <f>IF(CT!E68=SCTVTHH!$G$2,CT!F68,0)</f>
        <v>0</v>
      </c>
      <c r="I71" s="69">
        <f>IF(CT!E68=SCTVTHH!$G$2,CT!H68,0)</f>
        <v>0</v>
      </c>
      <c r="J71" s="69">
        <f>IF(SUM(F71,H71)=0,0,$J$6+SUM($F$8:F71)-SUM($H$8:H71))</f>
        <v>0</v>
      </c>
      <c r="K71" s="69">
        <f>IF(SUM(G71,I71)=0,0,$K$6+SUM($H$8:H71)-SUM($J$8:J71))</f>
        <v>0</v>
      </c>
    </row>
    <row r="72" spans="1:11" hidden="1" x14ac:dyDescent="0.25">
      <c r="A72" s="84" t="str">
        <f>IF(OR(CT!D69=SCTVTHH!$G$2,CT!E69=SCTVTHH!$G$2),CT!A69,"")</f>
        <v/>
      </c>
      <c r="B72" s="65" t="str">
        <f>IF(OR(CT!E69=SCTVTHH!$G$2,CT!E69=SCTVTHH!$G$2),CT!B69,"")</f>
        <v/>
      </c>
      <c r="C72" s="65" t="str">
        <f>IF(OR(CT!F69=SCTVTHH!$G$2,CT!E69=SCTVTHH!$G$2),CT!C69,"")</f>
        <v/>
      </c>
      <c r="D72" s="65" t="str">
        <f>IF(CT!D69=SCTVTHH!$G$2,CT!E69,IF(CT!E69=SCTVTHH!$G$2,CT!D69,""))</f>
        <v/>
      </c>
      <c r="E72" s="69">
        <f>IF(OR(CT!D69=SCTVTHH!$G$2,CT!E69=SCTVTHH!$G$2),CT!G69,0)</f>
        <v>0</v>
      </c>
      <c r="F72" s="69">
        <f>IF(CT!D69=SCTVTHH!$G$2,CT!F69,0)</f>
        <v>0</v>
      </c>
      <c r="G72" s="69">
        <f>IF(CT!D69=SCTVTHH!$G$2,CT!H69,0)</f>
        <v>0</v>
      </c>
      <c r="H72" s="69">
        <f>IF(CT!E69=SCTVTHH!$G$2,CT!F69,0)</f>
        <v>0</v>
      </c>
      <c r="I72" s="69">
        <f>IF(CT!E69=SCTVTHH!$G$2,CT!H69,0)</f>
        <v>0</v>
      </c>
      <c r="J72" s="69">
        <f>IF(SUM(F72,H72)=0,0,$J$6+SUM($F$8:F72)-SUM($H$8:H72))</f>
        <v>0</v>
      </c>
      <c r="K72" s="69">
        <f>IF(SUM(G72,I72)=0,0,$K$6+SUM($H$8:H72)-SUM($J$8:J72))</f>
        <v>0</v>
      </c>
    </row>
    <row r="73" spans="1:11" hidden="1" x14ac:dyDescent="0.25">
      <c r="A73" s="84" t="str">
        <f>IF(OR(CT!D70=SCTVTHH!$G$2,CT!E70=SCTVTHH!$G$2),CT!A70,"")</f>
        <v/>
      </c>
      <c r="B73" s="65" t="str">
        <f>IF(OR(CT!E70=SCTVTHH!$G$2,CT!E70=SCTVTHH!$G$2),CT!B70,"")</f>
        <v/>
      </c>
      <c r="C73" s="65" t="str">
        <f>IF(OR(CT!F70=SCTVTHH!$G$2,CT!E70=SCTVTHH!$G$2),CT!C70,"")</f>
        <v/>
      </c>
      <c r="D73" s="65" t="str">
        <f>IF(CT!D70=SCTVTHH!$G$2,CT!E70,IF(CT!E70=SCTVTHH!$G$2,CT!D70,""))</f>
        <v/>
      </c>
      <c r="E73" s="69">
        <f>IF(OR(CT!D70=SCTVTHH!$G$2,CT!E70=SCTVTHH!$G$2),CT!G70,0)</f>
        <v>0</v>
      </c>
      <c r="F73" s="69">
        <f>IF(CT!D70=SCTVTHH!$G$2,CT!F70,0)</f>
        <v>0</v>
      </c>
      <c r="G73" s="69">
        <f>IF(CT!D70=SCTVTHH!$G$2,CT!H70,0)</f>
        <v>0</v>
      </c>
      <c r="H73" s="69">
        <f>IF(CT!E70=SCTVTHH!$G$2,CT!F70,0)</f>
        <v>0</v>
      </c>
      <c r="I73" s="69">
        <f>IF(CT!E70=SCTVTHH!$G$2,CT!H70,0)</f>
        <v>0</v>
      </c>
      <c r="J73" s="69">
        <f>IF(SUM(F73,H73)=0,0,$J$6+SUM($F$8:F73)-SUM($H$8:H73))</f>
        <v>0</v>
      </c>
      <c r="K73" s="69">
        <f>IF(SUM(G73,I73)=0,0,$K$6+SUM($H$8:H73)-SUM($J$8:J73))</f>
        <v>0</v>
      </c>
    </row>
    <row r="74" spans="1:11" hidden="1" x14ac:dyDescent="0.25">
      <c r="A74" s="84" t="str">
        <f>IF(OR(CT!D71=SCTVTHH!$G$2,CT!E71=SCTVTHH!$G$2),CT!A71,"")</f>
        <v/>
      </c>
      <c r="B74" s="65" t="str">
        <f>IF(OR(CT!E71=SCTVTHH!$G$2,CT!E71=SCTVTHH!$G$2),CT!B71,"")</f>
        <v/>
      </c>
      <c r="C74" s="65" t="str">
        <f>IF(OR(CT!F71=SCTVTHH!$G$2,CT!E71=SCTVTHH!$G$2),CT!C71,"")</f>
        <v/>
      </c>
      <c r="D74" s="65" t="str">
        <f>IF(CT!D71=SCTVTHH!$G$2,CT!E71,IF(CT!E71=SCTVTHH!$G$2,CT!D71,""))</f>
        <v/>
      </c>
      <c r="E74" s="69">
        <f>IF(OR(CT!D71=SCTVTHH!$G$2,CT!E71=SCTVTHH!$G$2),CT!G71,0)</f>
        <v>0</v>
      </c>
      <c r="F74" s="69">
        <f>IF(CT!D71=SCTVTHH!$G$2,CT!F71,0)</f>
        <v>0</v>
      </c>
      <c r="G74" s="69">
        <f>IF(CT!D71=SCTVTHH!$G$2,CT!H71,0)</f>
        <v>0</v>
      </c>
      <c r="H74" s="69">
        <f>IF(CT!E71=SCTVTHH!$G$2,CT!F71,0)</f>
        <v>0</v>
      </c>
      <c r="I74" s="69">
        <f>IF(CT!E71=SCTVTHH!$G$2,CT!H71,0)</f>
        <v>0</v>
      </c>
      <c r="J74" s="69">
        <f>IF(SUM(F74,H74)=0,0,$J$6+SUM($F$8:F74)-SUM($H$8:H74))</f>
        <v>0</v>
      </c>
      <c r="K74" s="69">
        <f>IF(SUM(G74,I74)=0,0,$K$6+SUM($H$8:H74)-SUM($J$8:J74))</f>
        <v>0</v>
      </c>
    </row>
    <row r="75" spans="1:11" hidden="1" x14ac:dyDescent="0.25">
      <c r="A75" s="84" t="str">
        <f>IF(OR(CT!D72=SCTVTHH!$G$2,CT!E72=SCTVTHH!$G$2),CT!A72,"")</f>
        <v/>
      </c>
      <c r="B75" s="65" t="str">
        <f>IF(OR(CT!E72=SCTVTHH!$G$2,CT!E72=SCTVTHH!$G$2),CT!B72,"")</f>
        <v/>
      </c>
      <c r="C75" s="65" t="str">
        <f>IF(OR(CT!F72=SCTVTHH!$G$2,CT!E72=SCTVTHH!$G$2),CT!C72,"")</f>
        <v/>
      </c>
      <c r="D75" s="65" t="str">
        <f>IF(CT!D72=SCTVTHH!$G$2,CT!E72,IF(CT!E72=SCTVTHH!$G$2,CT!D72,""))</f>
        <v/>
      </c>
      <c r="E75" s="69">
        <f>IF(OR(CT!D72=SCTVTHH!$G$2,CT!E72=SCTVTHH!$G$2),CT!G72,0)</f>
        <v>0</v>
      </c>
      <c r="F75" s="69">
        <f>IF(CT!D72=SCTVTHH!$G$2,CT!F72,0)</f>
        <v>0</v>
      </c>
      <c r="G75" s="69">
        <f>IF(CT!D72=SCTVTHH!$G$2,CT!H72,0)</f>
        <v>0</v>
      </c>
      <c r="H75" s="69">
        <f>IF(CT!E72=SCTVTHH!$G$2,CT!F72,0)</f>
        <v>0</v>
      </c>
      <c r="I75" s="69">
        <f>IF(CT!E72=SCTVTHH!$G$2,CT!H72,0)</f>
        <v>0</v>
      </c>
      <c r="J75" s="69">
        <f>IF(SUM(F75,H75)=0,0,$J$6+SUM($F$8:F75)-SUM($H$8:H75))</f>
        <v>0</v>
      </c>
      <c r="K75" s="69">
        <f>IF(SUM(G75,I75)=0,0,$K$6+SUM($H$8:H75)-SUM($J$8:J75))</f>
        <v>0</v>
      </c>
    </row>
    <row r="76" spans="1:11" hidden="1" x14ac:dyDescent="0.25">
      <c r="A76" s="84" t="str">
        <f>IF(OR(CT!D73=SCTVTHH!$G$2,CT!E73=SCTVTHH!$G$2),CT!A73,"")</f>
        <v/>
      </c>
      <c r="B76" s="65" t="str">
        <f>IF(OR(CT!E73=SCTVTHH!$G$2,CT!E73=SCTVTHH!$G$2),CT!B73,"")</f>
        <v/>
      </c>
      <c r="C76" s="65" t="str">
        <f>IF(OR(CT!F73=SCTVTHH!$G$2,CT!E73=SCTVTHH!$G$2),CT!C73,"")</f>
        <v/>
      </c>
      <c r="D76" s="65" t="str">
        <f>IF(CT!D73=SCTVTHH!$G$2,CT!E73,IF(CT!E73=SCTVTHH!$G$2,CT!D73,""))</f>
        <v/>
      </c>
      <c r="E76" s="69">
        <f>IF(OR(CT!D73=SCTVTHH!$G$2,CT!E73=SCTVTHH!$G$2),CT!G73,0)</f>
        <v>0</v>
      </c>
      <c r="F76" s="69">
        <f>IF(CT!D73=SCTVTHH!$G$2,CT!F73,0)</f>
        <v>0</v>
      </c>
      <c r="G76" s="69">
        <f>IF(CT!D73=SCTVTHH!$G$2,CT!H73,0)</f>
        <v>0</v>
      </c>
      <c r="H76" s="69">
        <f>IF(CT!E73=SCTVTHH!$G$2,CT!F73,0)</f>
        <v>0</v>
      </c>
      <c r="I76" s="69">
        <f>IF(CT!E73=SCTVTHH!$G$2,CT!H73,0)</f>
        <v>0</v>
      </c>
      <c r="J76" s="69">
        <f>IF(SUM(F76,H76)=0,0,$J$6+SUM($F$8:F76)-SUM($H$8:H76))</f>
        <v>0</v>
      </c>
      <c r="K76" s="69">
        <f>IF(SUM(G76,I76)=0,0,$K$6+SUM($H$8:H76)-SUM($J$8:J76))</f>
        <v>0</v>
      </c>
    </row>
    <row r="77" spans="1:11" hidden="1" x14ac:dyDescent="0.25">
      <c r="A77" s="84" t="str">
        <f>IF(OR(CT!D74=SCTVTHH!$G$2,CT!E74=SCTVTHH!$G$2),CT!A74,"")</f>
        <v/>
      </c>
      <c r="B77" s="65" t="str">
        <f>IF(OR(CT!E74=SCTVTHH!$G$2,CT!E74=SCTVTHH!$G$2),CT!B74,"")</f>
        <v/>
      </c>
      <c r="C77" s="65" t="str">
        <f>IF(OR(CT!F74=SCTVTHH!$G$2,CT!E74=SCTVTHH!$G$2),CT!C74,"")</f>
        <v/>
      </c>
      <c r="D77" s="65" t="str">
        <f>IF(CT!D74=SCTVTHH!$G$2,CT!E74,IF(CT!E74=SCTVTHH!$G$2,CT!D74,""))</f>
        <v/>
      </c>
      <c r="E77" s="69">
        <f>IF(OR(CT!D74=SCTVTHH!$G$2,CT!E74=SCTVTHH!$G$2),CT!G74,0)</f>
        <v>0</v>
      </c>
      <c r="F77" s="69">
        <f>IF(CT!D74=SCTVTHH!$G$2,CT!F74,0)</f>
        <v>0</v>
      </c>
      <c r="G77" s="69">
        <f>IF(CT!D74=SCTVTHH!$G$2,CT!H74,0)</f>
        <v>0</v>
      </c>
      <c r="H77" s="69">
        <f>IF(CT!E74=SCTVTHH!$G$2,CT!F74,0)</f>
        <v>0</v>
      </c>
      <c r="I77" s="69">
        <f>IF(CT!E74=SCTVTHH!$G$2,CT!H74,0)</f>
        <v>0</v>
      </c>
      <c r="J77" s="69">
        <f>IF(SUM(F77,H77)=0,0,$J$6+SUM($F$8:F77)-SUM($H$8:H77))</f>
        <v>0</v>
      </c>
      <c r="K77" s="69">
        <f>IF(SUM(G77,I77)=0,0,$K$6+SUM($H$8:H77)-SUM($J$8:J77))</f>
        <v>0</v>
      </c>
    </row>
    <row r="78" spans="1:11" hidden="1" x14ac:dyDescent="0.25">
      <c r="A78" s="84" t="str">
        <f>IF(OR(CT!D75=SCTVTHH!$G$2,CT!E75=SCTVTHH!$G$2),CT!A75,"")</f>
        <v/>
      </c>
      <c r="B78" s="65" t="str">
        <f>IF(OR(CT!E75=SCTVTHH!$G$2,CT!E75=SCTVTHH!$G$2),CT!B75,"")</f>
        <v/>
      </c>
      <c r="C78" s="65" t="str">
        <f>IF(OR(CT!F75=SCTVTHH!$G$2,CT!E75=SCTVTHH!$G$2),CT!C75,"")</f>
        <v/>
      </c>
      <c r="D78" s="65" t="str">
        <f>IF(CT!D75=SCTVTHH!$G$2,CT!E75,IF(CT!E75=SCTVTHH!$G$2,CT!D75,""))</f>
        <v/>
      </c>
      <c r="E78" s="69">
        <f>IF(OR(CT!D75=SCTVTHH!$G$2,CT!E75=SCTVTHH!$G$2),CT!G75,0)</f>
        <v>0</v>
      </c>
      <c r="F78" s="69">
        <f>IF(CT!D75=SCTVTHH!$G$2,CT!F75,0)</f>
        <v>0</v>
      </c>
      <c r="G78" s="69">
        <f>IF(CT!D75=SCTVTHH!$G$2,CT!H75,0)</f>
        <v>0</v>
      </c>
      <c r="H78" s="69">
        <f>IF(CT!E75=SCTVTHH!$G$2,CT!F75,0)</f>
        <v>0</v>
      </c>
      <c r="I78" s="69">
        <f>IF(CT!E75=SCTVTHH!$G$2,CT!H75,0)</f>
        <v>0</v>
      </c>
      <c r="J78" s="69">
        <f>IF(SUM(F78,H78)=0,0,$J$6+SUM($F$8:F78)-SUM($H$8:H78))</f>
        <v>0</v>
      </c>
      <c r="K78" s="69">
        <f>IF(SUM(G78,I78)=0,0,$K$6+SUM($H$8:H78)-SUM($J$8:J78))</f>
        <v>0</v>
      </c>
    </row>
    <row r="79" spans="1:11" hidden="1" x14ac:dyDescent="0.25">
      <c r="A79" s="84" t="str">
        <f>IF(OR(CT!D76=SCTVTHH!$G$2,CT!E76=SCTVTHH!$G$2),CT!A76,"")</f>
        <v/>
      </c>
      <c r="B79" s="65" t="str">
        <f>IF(OR(CT!E76=SCTVTHH!$G$2,CT!E76=SCTVTHH!$G$2),CT!B76,"")</f>
        <v/>
      </c>
      <c r="C79" s="65" t="str">
        <f>IF(OR(CT!F76=SCTVTHH!$G$2,CT!E76=SCTVTHH!$G$2),CT!C76,"")</f>
        <v/>
      </c>
      <c r="D79" s="65" t="str">
        <f>IF(CT!D76=SCTVTHH!$G$2,CT!E76,IF(CT!E76=SCTVTHH!$G$2,CT!D76,""))</f>
        <v/>
      </c>
      <c r="E79" s="69">
        <f>IF(OR(CT!D76=SCTVTHH!$G$2,CT!E76=SCTVTHH!$G$2),CT!G76,0)</f>
        <v>0</v>
      </c>
      <c r="F79" s="69">
        <f>IF(CT!D76=SCTVTHH!$G$2,CT!F76,0)</f>
        <v>0</v>
      </c>
      <c r="G79" s="69">
        <f>IF(CT!D76=SCTVTHH!$G$2,CT!H76,0)</f>
        <v>0</v>
      </c>
      <c r="H79" s="69">
        <f>IF(CT!E76=SCTVTHH!$G$2,CT!F76,0)</f>
        <v>0</v>
      </c>
      <c r="I79" s="69">
        <f>IF(CT!E76=SCTVTHH!$G$2,CT!H76,0)</f>
        <v>0</v>
      </c>
      <c r="J79" s="69">
        <f>IF(SUM(F79,H79)=0,0,$J$6+SUM($F$8:F79)-SUM($H$8:H79))</f>
        <v>0</v>
      </c>
      <c r="K79" s="69">
        <f>IF(SUM(G79,I79)=0,0,$K$6+SUM($H$8:H79)-SUM($J$8:J79))</f>
        <v>0</v>
      </c>
    </row>
    <row r="80" spans="1:11" hidden="1" x14ac:dyDescent="0.25">
      <c r="A80" s="84" t="str">
        <f>IF(OR(CT!D77=SCTVTHH!$G$2,CT!E77=SCTVTHH!$G$2),CT!A77,"")</f>
        <v/>
      </c>
      <c r="B80" s="65" t="str">
        <f>IF(OR(CT!E77=SCTVTHH!$G$2,CT!E77=SCTVTHH!$G$2),CT!B77,"")</f>
        <v/>
      </c>
      <c r="C80" s="65" t="str">
        <f>IF(OR(CT!F77=SCTVTHH!$G$2,CT!E77=SCTVTHH!$G$2),CT!C77,"")</f>
        <v/>
      </c>
      <c r="D80" s="65" t="str">
        <f>IF(CT!D77=SCTVTHH!$G$2,CT!E77,IF(CT!E77=SCTVTHH!$G$2,CT!D77,""))</f>
        <v/>
      </c>
      <c r="E80" s="69">
        <f>IF(OR(CT!D77=SCTVTHH!$G$2,CT!E77=SCTVTHH!$G$2),CT!G77,0)</f>
        <v>0</v>
      </c>
      <c r="F80" s="69">
        <f>IF(CT!D77=SCTVTHH!$G$2,CT!F77,0)</f>
        <v>0</v>
      </c>
      <c r="G80" s="69">
        <f>IF(CT!D77=SCTVTHH!$G$2,CT!H77,0)</f>
        <v>0</v>
      </c>
      <c r="H80" s="69">
        <f>IF(CT!E77=SCTVTHH!$G$2,CT!F77,0)</f>
        <v>0</v>
      </c>
      <c r="I80" s="69">
        <f>IF(CT!E77=SCTVTHH!$G$2,CT!H77,0)</f>
        <v>0</v>
      </c>
      <c r="J80" s="69">
        <f>IF(SUM(F80,H80)=0,0,$J$6+SUM($F$8:F80)-SUM($H$8:H80))</f>
        <v>0</v>
      </c>
      <c r="K80" s="69">
        <f>IF(SUM(G80,I80)=0,0,$K$6+SUM($H$8:H80)-SUM($J$8:J80))</f>
        <v>0</v>
      </c>
    </row>
    <row r="81" spans="1:11" hidden="1" x14ac:dyDescent="0.25">
      <c r="A81" s="84" t="str">
        <f>IF(OR(CT!D78=SCTVTHH!$G$2,CT!E78=SCTVTHH!$G$2),CT!A78,"")</f>
        <v/>
      </c>
      <c r="B81" s="65" t="str">
        <f>IF(OR(CT!E78=SCTVTHH!$G$2,CT!E78=SCTVTHH!$G$2),CT!B78,"")</f>
        <v/>
      </c>
      <c r="C81" s="65" t="str">
        <f>IF(OR(CT!F78=SCTVTHH!$G$2,CT!E78=SCTVTHH!$G$2),CT!C78,"")</f>
        <v/>
      </c>
      <c r="D81" s="65" t="str">
        <f>IF(CT!D78=SCTVTHH!$G$2,CT!E78,IF(CT!E78=SCTVTHH!$G$2,CT!D78,""))</f>
        <v/>
      </c>
      <c r="E81" s="69">
        <f>IF(OR(CT!D78=SCTVTHH!$G$2,CT!E78=SCTVTHH!$G$2),CT!G78,0)</f>
        <v>0</v>
      </c>
      <c r="F81" s="69">
        <f>IF(CT!D78=SCTVTHH!$G$2,CT!F78,0)</f>
        <v>0</v>
      </c>
      <c r="G81" s="69">
        <f>IF(CT!D78=SCTVTHH!$G$2,CT!H78,0)</f>
        <v>0</v>
      </c>
      <c r="H81" s="69">
        <f>IF(CT!E78=SCTVTHH!$G$2,CT!F78,0)</f>
        <v>0</v>
      </c>
      <c r="I81" s="69">
        <f>IF(CT!E78=SCTVTHH!$G$2,CT!H78,0)</f>
        <v>0</v>
      </c>
      <c r="J81" s="69">
        <f>IF(SUM(F81,H81)=0,0,$J$6+SUM($F$8:F81)-SUM($H$8:H81))</f>
        <v>0</v>
      </c>
      <c r="K81" s="69">
        <f>IF(SUM(G81,I81)=0,0,$K$6+SUM($H$8:H81)-SUM($J$8:J81))</f>
        <v>0</v>
      </c>
    </row>
    <row r="82" spans="1:11" hidden="1" x14ac:dyDescent="0.25">
      <c r="A82" s="84" t="str">
        <f>IF(OR(CT!D79=SCTVTHH!$G$2,CT!E79=SCTVTHH!$G$2),CT!A79,"")</f>
        <v/>
      </c>
      <c r="B82" s="65" t="str">
        <f>IF(OR(CT!E79=SCTVTHH!$G$2,CT!E79=SCTVTHH!$G$2),CT!B79,"")</f>
        <v/>
      </c>
      <c r="C82" s="65" t="str">
        <f>IF(OR(CT!F79=SCTVTHH!$G$2,CT!E79=SCTVTHH!$G$2),CT!C79,"")</f>
        <v/>
      </c>
      <c r="D82" s="65" t="str">
        <f>IF(CT!D79=SCTVTHH!$G$2,CT!E79,IF(CT!E79=SCTVTHH!$G$2,CT!D79,""))</f>
        <v/>
      </c>
      <c r="E82" s="69">
        <f>IF(OR(CT!D79=SCTVTHH!$G$2,CT!E79=SCTVTHH!$G$2),CT!G79,0)</f>
        <v>0</v>
      </c>
      <c r="F82" s="69">
        <f>IF(CT!D79=SCTVTHH!$G$2,CT!F79,0)</f>
        <v>0</v>
      </c>
      <c r="G82" s="69">
        <f>IF(CT!D79=SCTVTHH!$G$2,CT!H79,0)</f>
        <v>0</v>
      </c>
      <c r="H82" s="69">
        <f>IF(CT!E79=SCTVTHH!$G$2,CT!F79,0)</f>
        <v>0</v>
      </c>
      <c r="I82" s="69">
        <f>IF(CT!E79=SCTVTHH!$G$2,CT!H79,0)</f>
        <v>0</v>
      </c>
      <c r="J82" s="69">
        <f>IF(SUM(F82,H82)=0,0,$J$6+SUM($F$8:F82)-SUM($H$8:H82))</f>
        <v>0</v>
      </c>
      <c r="K82" s="69">
        <f>IF(SUM(G82,I82)=0,0,$K$6+SUM($H$8:H82)-SUM($J$8:J82))</f>
        <v>0</v>
      </c>
    </row>
    <row r="83" spans="1:11" hidden="1" x14ac:dyDescent="0.25">
      <c r="A83" s="84" t="str">
        <f>IF(OR(CT!D80=SCTVTHH!$G$2,CT!E80=SCTVTHH!$G$2),CT!A80,"")</f>
        <v/>
      </c>
      <c r="B83" s="65" t="str">
        <f>IF(OR(CT!E80=SCTVTHH!$G$2,CT!E80=SCTVTHH!$G$2),CT!B80,"")</f>
        <v/>
      </c>
      <c r="C83" s="65" t="str">
        <f>IF(OR(CT!F80=SCTVTHH!$G$2,CT!E80=SCTVTHH!$G$2),CT!C80,"")</f>
        <v/>
      </c>
      <c r="D83" s="65" t="str">
        <f>IF(CT!D80=SCTVTHH!$G$2,CT!E80,IF(CT!E80=SCTVTHH!$G$2,CT!D80,""))</f>
        <v/>
      </c>
      <c r="E83" s="69">
        <f>IF(OR(CT!D80=SCTVTHH!$G$2,CT!E80=SCTVTHH!$G$2),CT!G80,0)</f>
        <v>0</v>
      </c>
      <c r="F83" s="69">
        <f>IF(CT!D80=SCTVTHH!$G$2,CT!F80,0)</f>
        <v>0</v>
      </c>
      <c r="G83" s="69">
        <f>IF(CT!D80=SCTVTHH!$G$2,CT!H80,0)</f>
        <v>0</v>
      </c>
      <c r="H83" s="69">
        <f>IF(CT!E80=SCTVTHH!$G$2,CT!F80,0)</f>
        <v>0</v>
      </c>
      <c r="I83" s="69">
        <f>IF(CT!E80=SCTVTHH!$G$2,CT!H80,0)</f>
        <v>0</v>
      </c>
      <c r="J83" s="69">
        <f>IF(SUM(F83,H83)=0,0,$J$6+SUM($F$8:F83)-SUM($H$8:H83))</f>
        <v>0</v>
      </c>
      <c r="K83" s="69">
        <f>IF(SUM(G83,I83)=0,0,$K$6+SUM($H$8:H83)-SUM($J$8:J83))</f>
        <v>0</v>
      </c>
    </row>
    <row r="84" spans="1:11" hidden="1" x14ac:dyDescent="0.25">
      <c r="A84" s="84" t="str">
        <f>IF(OR(CT!D81=SCTVTHH!$G$2,CT!E81=SCTVTHH!$G$2),CT!A81,"")</f>
        <v/>
      </c>
      <c r="B84" s="65" t="str">
        <f>IF(OR(CT!E81=SCTVTHH!$G$2,CT!E81=SCTVTHH!$G$2),CT!B81,"")</f>
        <v/>
      </c>
      <c r="C84" s="65" t="str">
        <f>IF(OR(CT!F81=SCTVTHH!$G$2,CT!E81=SCTVTHH!$G$2),CT!C81,"")</f>
        <v/>
      </c>
      <c r="D84" s="65" t="str">
        <f>IF(CT!D81=SCTVTHH!$G$2,CT!E81,IF(CT!E81=SCTVTHH!$G$2,CT!D81,""))</f>
        <v/>
      </c>
      <c r="E84" s="69">
        <f>IF(OR(CT!D81=SCTVTHH!$G$2,CT!E81=SCTVTHH!$G$2),CT!G81,0)</f>
        <v>0</v>
      </c>
      <c r="F84" s="69">
        <f>IF(CT!D81=SCTVTHH!$G$2,CT!F81,0)</f>
        <v>0</v>
      </c>
      <c r="G84" s="69">
        <f>IF(CT!D81=SCTVTHH!$G$2,CT!H81,0)</f>
        <v>0</v>
      </c>
      <c r="H84" s="69">
        <f>IF(CT!E81=SCTVTHH!$G$2,CT!F81,0)</f>
        <v>0</v>
      </c>
      <c r="I84" s="69">
        <f>IF(CT!E81=SCTVTHH!$G$2,CT!H81,0)</f>
        <v>0</v>
      </c>
      <c r="J84" s="69">
        <f>IF(SUM(F84,H84)=0,0,$J$6+SUM($F$8:F84)-SUM($H$8:H84))</f>
        <v>0</v>
      </c>
      <c r="K84" s="69">
        <f>IF(SUM(G84,I84)=0,0,$K$6+SUM($H$8:H84)-SUM($J$8:J84))</f>
        <v>0</v>
      </c>
    </row>
    <row r="85" spans="1:11" hidden="1" x14ac:dyDescent="0.25">
      <c r="A85" s="84" t="str">
        <f>IF(OR(CT!D82=SCTVTHH!$G$2,CT!E82=SCTVTHH!$G$2),CT!A82,"")</f>
        <v/>
      </c>
      <c r="B85" s="65" t="str">
        <f>IF(OR(CT!E82=SCTVTHH!$G$2,CT!E82=SCTVTHH!$G$2),CT!B82,"")</f>
        <v/>
      </c>
      <c r="C85" s="65" t="str">
        <f>IF(OR(CT!F82=SCTVTHH!$G$2,CT!E82=SCTVTHH!$G$2),CT!C82,"")</f>
        <v/>
      </c>
      <c r="D85" s="65" t="str">
        <f>IF(CT!D82=SCTVTHH!$G$2,CT!E82,IF(CT!E82=SCTVTHH!$G$2,CT!D82,""))</f>
        <v/>
      </c>
      <c r="E85" s="69">
        <f>IF(OR(CT!D82=SCTVTHH!$G$2,CT!E82=SCTVTHH!$G$2),CT!G82,0)</f>
        <v>0</v>
      </c>
      <c r="F85" s="69">
        <f>IF(CT!D82=SCTVTHH!$G$2,CT!F82,0)</f>
        <v>0</v>
      </c>
      <c r="G85" s="69">
        <f>IF(CT!D82=SCTVTHH!$G$2,CT!H82,0)</f>
        <v>0</v>
      </c>
      <c r="H85" s="69">
        <f>IF(CT!E82=SCTVTHH!$G$2,CT!F82,0)</f>
        <v>0</v>
      </c>
      <c r="I85" s="69">
        <f>IF(CT!E82=SCTVTHH!$G$2,CT!H82,0)</f>
        <v>0</v>
      </c>
      <c r="J85" s="69">
        <f>IF(SUM(F85,H85)=0,0,$J$6+SUM($F$8:F85)-SUM($H$8:H85))</f>
        <v>0</v>
      </c>
      <c r="K85" s="69">
        <f>IF(SUM(G85,I85)=0,0,$K$6+SUM($H$8:H85)-SUM($J$8:J85))</f>
        <v>0</v>
      </c>
    </row>
    <row r="86" spans="1:11" hidden="1" x14ac:dyDescent="0.25">
      <c r="A86" s="84" t="str">
        <f>IF(OR(CT!D83=SCTVTHH!$G$2,CT!E83=SCTVTHH!$G$2),CT!A83,"")</f>
        <v/>
      </c>
      <c r="B86" s="65" t="str">
        <f>IF(OR(CT!E83=SCTVTHH!$G$2,CT!E83=SCTVTHH!$G$2),CT!B83,"")</f>
        <v/>
      </c>
      <c r="C86" s="65" t="str">
        <f>IF(OR(CT!F83=SCTVTHH!$G$2,CT!E83=SCTVTHH!$G$2),CT!C83,"")</f>
        <v/>
      </c>
      <c r="D86" s="65" t="str">
        <f>IF(CT!D83=SCTVTHH!$G$2,CT!E83,IF(CT!E83=SCTVTHH!$G$2,CT!D83,""))</f>
        <v/>
      </c>
      <c r="E86" s="69">
        <f>IF(OR(CT!D83=SCTVTHH!$G$2,CT!E83=SCTVTHH!$G$2),CT!G83,0)</f>
        <v>0</v>
      </c>
      <c r="F86" s="69">
        <f>IF(CT!D83=SCTVTHH!$G$2,CT!F83,0)</f>
        <v>0</v>
      </c>
      <c r="G86" s="69">
        <f>IF(CT!D83=SCTVTHH!$G$2,CT!H83,0)</f>
        <v>0</v>
      </c>
      <c r="H86" s="69">
        <f>IF(CT!E83=SCTVTHH!$G$2,CT!F83,0)</f>
        <v>0</v>
      </c>
      <c r="I86" s="69">
        <f>IF(CT!E83=SCTVTHH!$G$2,CT!H83,0)</f>
        <v>0</v>
      </c>
      <c r="J86" s="69">
        <f>IF(SUM(F86,H86)=0,0,$J$6+SUM($F$8:F86)-SUM($H$8:H86))</f>
        <v>0</v>
      </c>
      <c r="K86" s="69">
        <f>IF(SUM(G86,I86)=0,0,$K$6+SUM($H$8:H86)-SUM($J$8:J86))</f>
        <v>0</v>
      </c>
    </row>
    <row r="87" spans="1:11" hidden="1" x14ac:dyDescent="0.25">
      <c r="A87" s="84" t="str">
        <f>IF(OR(CT!D84=SCTVTHH!$G$2,CT!E84=SCTVTHH!$G$2),CT!A84,"")</f>
        <v/>
      </c>
      <c r="B87" s="65" t="str">
        <f>IF(OR(CT!E84=SCTVTHH!$G$2,CT!E84=SCTVTHH!$G$2),CT!B84,"")</f>
        <v/>
      </c>
      <c r="C87" s="65" t="str">
        <f>IF(OR(CT!F84=SCTVTHH!$G$2,CT!E84=SCTVTHH!$G$2),CT!C84,"")</f>
        <v/>
      </c>
      <c r="D87" s="65" t="str">
        <f>IF(CT!D84=SCTVTHH!$G$2,CT!E84,IF(CT!E84=SCTVTHH!$G$2,CT!D84,""))</f>
        <v/>
      </c>
      <c r="E87" s="69">
        <f>IF(OR(CT!D84=SCTVTHH!$G$2,CT!E84=SCTVTHH!$G$2),CT!G84,0)</f>
        <v>0</v>
      </c>
      <c r="F87" s="69">
        <f>IF(CT!D84=SCTVTHH!$G$2,CT!F84,0)</f>
        <v>0</v>
      </c>
      <c r="G87" s="69">
        <f>IF(CT!D84=SCTVTHH!$G$2,CT!H84,0)</f>
        <v>0</v>
      </c>
      <c r="H87" s="69">
        <f>IF(CT!E84=SCTVTHH!$G$2,CT!F84,0)</f>
        <v>0</v>
      </c>
      <c r="I87" s="69">
        <f>IF(CT!E84=SCTVTHH!$G$2,CT!H84,0)</f>
        <v>0</v>
      </c>
      <c r="J87" s="69">
        <f>IF(SUM(F87,H87)=0,0,$J$6+SUM($F$8:F87)-SUM($H$8:H87))</f>
        <v>0</v>
      </c>
      <c r="K87" s="69">
        <f>IF(SUM(G87,I87)=0,0,$K$6+SUM($H$8:H87)-SUM($J$8:J87))</f>
        <v>0</v>
      </c>
    </row>
    <row r="88" spans="1:11" hidden="1" x14ac:dyDescent="0.25">
      <c r="A88" s="84" t="str">
        <f>IF(OR(CT!D85=SCTVTHH!$G$2,CT!E85=SCTVTHH!$G$2),CT!A85,"")</f>
        <v/>
      </c>
      <c r="B88" s="65" t="str">
        <f>IF(OR(CT!E85=SCTVTHH!$G$2,CT!E85=SCTVTHH!$G$2),CT!B85,"")</f>
        <v/>
      </c>
      <c r="C88" s="65" t="str">
        <f>IF(OR(CT!F85=SCTVTHH!$G$2,CT!E85=SCTVTHH!$G$2),CT!C85,"")</f>
        <v/>
      </c>
      <c r="D88" s="65" t="str">
        <f>IF(CT!D85=SCTVTHH!$G$2,CT!E85,IF(CT!E85=SCTVTHH!$G$2,CT!D85,""))</f>
        <v/>
      </c>
      <c r="E88" s="69">
        <f>IF(OR(CT!D85=SCTVTHH!$G$2,CT!E85=SCTVTHH!$G$2),CT!G85,0)</f>
        <v>0</v>
      </c>
      <c r="F88" s="69">
        <f>IF(CT!D85=SCTVTHH!$G$2,CT!F85,0)</f>
        <v>0</v>
      </c>
      <c r="G88" s="69">
        <f>IF(CT!D85=SCTVTHH!$G$2,CT!H85,0)</f>
        <v>0</v>
      </c>
      <c r="H88" s="69">
        <f>IF(CT!E85=SCTVTHH!$G$2,CT!F85,0)</f>
        <v>0</v>
      </c>
      <c r="I88" s="69">
        <f>IF(CT!E85=SCTVTHH!$G$2,CT!H85,0)</f>
        <v>0</v>
      </c>
      <c r="J88" s="69">
        <f>IF(SUM(F88,H88)=0,0,$J$6+SUM($F$8:F88)-SUM($H$8:H88))</f>
        <v>0</v>
      </c>
      <c r="K88" s="69">
        <f>IF(SUM(G88,I88)=0,0,$K$6+SUM($H$8:H88)-SUM($J$8:J88))</f>
        <v>0</v>
      </c>
    </row>
    <row r="89" spans="1:11" hidden="1" x14ac:dyDescent="0.25">
      <c r="A89" s="84" t="str">
        <f>IF(OR(CT!D86=SCTVTHH!$G$2,CT!E86=SCTVTHH!$G$2),CT!A86,"")</f>
        <v/>
      </c>
      <c r="B89" s="65" t="str">
        <f>IF(OR(CT!E86=SCTVTHH!$G$2,CT!E86=SCTVTHH!$G$2),CT!B86,"")</f>
        <v/>
      </c>
      <c r="C89" s="65" t="str">
        <f>IF(OR(CT!F86=SCTVTHH!$G$2,CT!E86=SCTVTHH!$G$2),CT!C86,"")</f>
        <v/>
      </c>
      <c r="D89" s="65" t="str">
        <f>IF(CT!D86=SCTVTHH!$G$2,CT!E86,IF(CT!E86=SCTVTHH!$G$2,CT!D86,""))</f>
        <v/>
      </c>
      <c r="E89" s="69">
        <f>IF(OR(CT!D86=SCTVTHH!$G$2,CT!E86=SCTVTHH!$G$2),CT!G86,0)</f>
        <v>0</v>
      </c>
      <c r="F89" s="69">
        <f>IF(CT!D86=SCTVTHH!$G$2,CT!F86,0)</f>
        <v>0</v>
      </c>
      <c r="G89" s="69">
        <f>IF(CT!D86=SCTVTHH!$G$2,CT!H86,0)</f>
        <v>0</v>
      </c>
      <c r="H89" s="69">
        <f>IF(CT!E86=SCTVTHH!$G$2,CT!F86,0)</f>
        <v>0</v>
      </c>
      <c r="I89" s="69">
        <f>IF(CT!E86=SCTVTHH!$G$2,CT!H86,0)</f>
        <v>0</v>
      </c>
      <c r="J89" s="69">
        <f>IF(SUM(F89,H89)=0,0,$J$6+SUM($F$8:F89)-SUM($H$8:H89))</f>
        <v>0</v>
      </c>
      <c r="K89" s="69">
        <f>IF(SUM(G89,I89)=0,0,$K$6+SUM($H$8:H89)-SUM($J$8:J89))</f>
        <v>0</v>
      </c>
    </row>
    <row r="90" spans="1:11" hidden="1" x14ac:dyDescent="0.25">
      <c r="A90" s="84" t="str">
        <f>IF(OR(CT!D87=SCTVTHH!$G$2,CT!E87=SCTVTHH!$G$2),CT!A87,"")</f>
        <v/>
      </c>
      <c r="B90" s="65" t="str">
        <f>IF(OR(CT!E87=SCTVTHH!$G$2,CT!E87=SCTVTHH!$G$2),CT!B87,"")</f>
        <v/>
      </c>
      <c r="C90" s="65" t="str">
        <f>IF(OR(CT!F87=SCTVTHH!$G$2,CT!E87=SCTVTHH!$G$2),CT!C87,"")</f>
        <v/>
      </c>
      <c r="D90" s="65" t="str">
        <f>IF(CT!D87=SCTVTHH!$G$2,CT!E87,IF(CT!E87=SCTVTHH!$G$2,CT!D87,""))</f>
        <v/>
      </c>
      <c r="E90" s="69">
        <f>IF(OR(CT!D87=SCTVTHH!$G$2,CT!E87=SCTVTHH!$G$2),CT!G87,0)</f>
        <v>0</v>
      </c>
      <c r="F90" s="69">
        <f>IF(CT!D87=SCTVTHH!$G$2,CT!F87,0)</f>
        <v>0</v>
      </c>
      <c r="G90" s="69">
        <f>IF(CT!D87=SCTVTHH!$G$2,CT!H87,0)</f>
        <v>0</v>
      </c>
      <c r="H90" s="69">
        <f>IF(CT!E87=SCTVTHH!$G$2,CT!F87,0)</f>
        <v>0</v>
      </c>
      <c r="I90" s="69">
        <f>IF(CT!E87=SCTVTHH!$G$2,CT!H87,0)</f>
        <v>0</v>
      </c>
      <c r="J90" s="69">
        <f>IF(SUM(F90,H90)=0,0,$J$6+SUM($F$8:F90)-SUM($H$8:H90))</f>
        <v>0</v>
      </c>
      <c r="K90" s="69">
        <f>IF(SUM(G90,I90)=0,0,$K$6+SUM($H$8:H90)-SUM($J$8:J90))</f>
        <v>0</v>
      </c>
    </row>
    <row r="91" spans="1:11" hidden="1" x14ac:dyDescent="0.25">
      <c r="A91" s="84" t="str">
        <f>IF(OR(CT!D88=SCTVTHH!$G$2,CT!E88=SCTVTHH!$G$2),CT!A88,"")</f>
        <v/>
      </c>
      <c r="B91" s="65" t="str">
        <f>IF(OR(CT!E88=SCTVTHH!$G$2,CT!E88=SCTVTHH!$G$2),CT!B88,"")</f>
        <v/>
      </c>
      <c r="C91" s="65" t="str">
        <f>IF(OR(CT!F88=SCTVTHH!$G$2,CT!E88=SCTVTHH!$G$2),CT!C88,"")</f>
        <v/>
      </c>
      <c r="D91" s="65" t="str">
        <f>IF(CT!D88=SCTVTHH!$G$2,CT!E88,IF(CT!E88=SCTVTHH!$G$2,CT!D88,""))</f>
        <v/>
      </c>
      <c r="E91" s="69">
        <f>IF(OR(CT!D88=SCTVTHH!$G$2,CT!E88=SCTVTHH!$G$2),CT!G88,0)</f>
        <v>0</v>
      </c>
      <c r="F91" s="69">
        <f>IF(CT!D88=SCTVTHH!$G$2,CT!F88,0)</f>
        <v>0</v>
      </c>
      <c r="G91" s="69">
        <f>IF(CT!D88=SCTVTHH!$G$2,CT!H88,0)</f>
        <v>0</v>
      </c>
      <c r="H91" s="69">
        <f>IF(CT!E88=SCTVTHH!$G$2,CT!F88,0)</f>
        <v>0</v>
      </c>
      <c r="I91" s="69">
        <f>IF(CT!E88=SCTVTHH!$G$2,CT!H88,0)</f>
        <v>0</v>
      </c>
      <c r="J91" s="69">
        <f>IF(SUM(F91,H91)=0,0,$J$6+SUM($F$8:F91)-SUM($H$8:H91))</f>
        <v>0</v>
      </c>
      <c r="K91" s="69">
        <f>IF(SUM(G91,I91)=0,0,$K$6+SUM($H$8:H91)-SUM($J$8:J91))</f>
        <v>0</v>
      </c>
    </row>
    <row r="92" spans="1:11" hidden="1" x14ac:dyDescent="0.25">
      <c r="A92" s="84" t="str">
        <f>IF(OR(CT!D89=SCTVTHH!$G$2,CT!E89=SCTVTHH!$G$2),CT!A89,"")</f>
        <v/>
      </c>
      <c r="B92" s="65" t="str">
        <f>IF(OR(CT!E89=SCTVTHH!$G$2,CT!E89=SCTVTHH!$G$2),CT!B89,"")</f>
        <v/>
      </c>
      <c r="C92" s="65" t="str">
        <f>IF(OR(CT!F89=SCTVTHH!$G$2,CT!E89=SCTVTHH!$G$2),CT!C89,"")</f>
        <v/>
      </c>
      <c r="D92" s="65" t="str">
        <f>IF(CT!D89=SCTVTHH!$G$2,CT!E89,IF(CT!E89=SCTVTHH!$G$2,CT!D89,""))</f>
        <v/>
      </c>
      <c r="E92" s="69">
        <f>IF(OR(CT!D89=SCTVTHH!$G$2,CT!E89=SCTVTHH!$G$2),CT!G89,0)</f>
        <v>0</v>
      </c>
      <c r="F92" s="69">
        <f>IF(CT!D89=SCTVTHH!$G$2,CT!F89,0)</f>
        <v>0</v>
      </c>
      <c r="G92" s="69">
        <f>IF(CT!D89=SCTVTHH!$G$2,CT!H89,0)</f>
        <v>0</v>
      </c>
      <c r="H92" s="69">
        <f>IF(CT!E89=SCTVTHH!$G$2,CT!F89,0)</f>
        <v>0</v>
      </c>
      <c r="I92" s="69">
        <f>IF(CT!E89=SCTVTHH!$G$2,CT!H89,0)</f>
        <v>0</v>
      </c>
      <c r="J92" s="69">
        <f>IF(SUM(F92,H92)=0,0,$J$6+SUM($F$8:F92)-SUM($H$8:H92))</f>
        <v>0</v>
      </c>
      <c r="K92" s="69">
        <f>IF(SUM(G92,I92)=0,0,$K$6+SUM($H$8:H92)-SUM($J$8:J92))</f>
        <v>0</v>
      </c>
    </row>
    <row r="93" spans="1:11" hidden="1" x14ac:dyDescent="0.25">
      <c r="A93" s="84" t="str">
        <f>IF(OR(CT!D90=SCTVTHH!$G$2,CT!E90=SCTVTHH!$G$2),CT!A90,"")</f>
        <v/>
      </c>
      <c r="B93" s="65" t="str">
        <f>IF(OR(CT!E90=SCTVTHH!$G$2,CT!E90=SCTVTHH!$G$2),CT!B90,"")</f>
        <v/>
      </c>
      <c r="C93" s="65" t="str">
        <f>IF(OR(CT!F90=SCTVTHH!$G$2,CT!E90=SCTVTHH!$G$2),CT!C90,"")</f>
        <v/>
      </c>
      <c r="D93" s="65" t="str">
        <f>IF(CT!D90=SCTVTHH!$G$2,CT!E90,IF(CT!E90=SCTVTHH!$G$2,CT!D90,""))</f>
        <v/>
      </c>
      <c r="E93" s="69">
        <f>IF(OR(CT!D90=SCTVTHH!$G$2,CT!E90=SCTVTHH!$G$2),CT!G90,0)</f>
        <v>0</v>
      </c>
      <c r="F93" s="69">
        <f>IF(CT!D90=SCTVTHH!$G$2,CT!F90,0)</f>
        <v>0</v>
      </c>
      <c r="G93" s="69">
        <f>IF(CT!D90=SCTVTHH!$G$2,CT!H90,0)</f>
        <v>0</v>
      </c>
      <c r="H93" s="69">
        <f>IF(CT!E90=SCTVTHH!$G$2,CT!F90,0)</f>
        <v>0</v>
      </c>
      <c r="I93" s="69">
        <f>IF(CT!E90=SCTVTHH!$G$2,CT!H90,0)</f>
        <v>0</v>
      </c>
      <c r="J93" s="69">
        <f>IF(SUM(F93,H93)=0,0,$J$6+SUM($F$8:F93)-SUM($H$8:H93))</f>
        <v>0</v>
      </c>
      <c r="K93" s="69">
        <f>IF(SUM(G93,I93)=0,0,$K$6+SUM($H$8:H93)-SUM($J$8:J93))</f>
        <v>0</v>
      </c>
    </row>
    <row r="94" spans="1:11" hidden="1" x14ac:dyDescent="0.25">
      <c r="A94" s="84" t="str">
        <f>IF(OR(CT!D91=SCTVTHH!$G$2,CT!E91=SCTVTHH!$G$2),CT!A91,"")</f>
        <v/>
      </c>
      <c r="B94" s="65" t="str">
        <f>IF(OR(CT!E91=SCTVTHH!$G$2,CT!E91=SCTVTHH!$G$2),CT!B91,"")</f>
        <v/>
      </c>
      <c r="C94" s="65" t="str">
        <f>IF(OR(CT!F91=SCTVTHH!$G$2,CT!E91=SCTVTHH!$G$2),CT!C91,"")</f>
        <v/>
      </c>
      <c r="D94" s="65" t="str">
        <f>IF(CT!D91=SCTVTHH!$G$2,CT!E91,IF(CT!E91=SCTVTHH!$G$2,CT!D91,""))</f>
        <v/>
      </c>
      <c r="E94" s="69">
        <f>IF(OR(CT!D91=SCTVTHH!$G$2,CT!E91=SCTVTHH!$G$2),CT!G91,0)</f>
        <v>0</v>
      </c>
      <c r="F94" s="69">
        <f>IF(CT!D91=SCTVTHH!$G$2,CT!F91,0)</f>
        <v>0</v>
      </c>
      <c r="G94" s="69">
        <f>IF(CT!D91=SCTVTHH!$G$2,CT!H91,0)</f>
        <v>0</v>
      </c>
      <c r="H94" s="69">
        <f>IF(CT!E91=SCTVTHH!$G$2,CT!F91,0)</f>
        <v>0</v>
      </c>
      <c r="I94" s="69">
        <f>IF(CT!E91=SCTVTHH!$G$2,CT!H91,0)</f>
        <v>0</v>
      </c>
      <c r="J94" s="69">
        <f>IF(SUM(F94,H94)=0,0,$J$6+SUM($F$8:F94)-SUM($H$8:H94))</f>
        <v>0</v>
      </c>
      <c r="K94" s="69">
        <f>IF(SUM(G94,I94)=0,0,$K$6+SUM($H$8:H94)-SUM($J$8:J94))</f>
        <v>0</v>
      </c>
    </row>
    <row r="95" spans="1:11" hidden="1" x14ac:dyDescent="0.25">
      <c r="A95" s="84" t="str">
        <f>IF(OR(CT!D92=SCTVTHH!$G$2,CT!E92=SCTVTHH!$G$2),CT!A92,"")</f>
        <v/>
      </c>
      <c r="B95" s="65" t="str">
        <f>IF(OR(CT!E92=SCTVTHH!$G$2,CT!E92=SCTVTHH!$G$2),CT!B92,"")</f>
        <v/>
      </c>
      <c r="C95" s="65" t="str">
        <f>IF(OR(CT!F92=SCTVTHH!$G$2,CT!E92=SCTVTHH!$G$2),CT!C92,"")</f>
        <v/>
      </c>
      <c r="D95" s="65" t="str">
        <f>IF(CT!D92=SCTVTHH!$G$2,CT!E92,IF(CT!E92=SCTVTHH!$G$2,CT!D92,""))</f>
        <v/>
      </c>
      <c r="E95" s="69">
        <f>IF(OR(CT!D92=SCTVTHH!$G$2,CT!E92=SCTVTHH!$G$2),CT!G92,0)</f>
        <v>0</v>
      </c>
      <c r="F95" s="69">
        <f>IF(CT!D92=SCTVTHH!$G$2,CT!F92,0)</f>
        <v>0</v>
      </c>
      <c r="G95" s="69">
        <f>IF(CT!D92=SCTVTHH!$G$2,CT!H92,0)</f>
        <v>0</v>
      </c>
      <c r="H95" s="69">
        <f>IF(CT!E92=SCTVTHH!$G$2,CT!F92,0)</f>
        <v>0</v>
      </c>
      <c r="I95" s="69">
        <f>IF(CT!E92=SCTVTHH!$G$2,CT!H92,0)</f>
        <v>0</v>
      </c>
      <c r="J95" s="69">
        <f>IF(SUM(F95,H95)=0,0,$J$6+SUM($F$8:F95)-SUM($H$8:H95))</f>
        <v>0</v>
      </c>
      <c r="K95" s="69">
        <f>IF(SUM(G95,I95)=0,0,$K$6+SUM($H$8:H95)-SUM($J$8:J95))</f>
        <v>0</v>
      </c>
    </row>
    <row r="96" spans="1:11" hidden="1" x14ac:dyDescent="0.25">
      <c r="A96" s="84" t="str">
        <f>IF(OR(CT!D93=SCTVTHH!$G$2,CT!E93=SCTVTHH!$G$2),CT!A93,"")</f>
        <v/>
      </c>
      <c r="B96" s="65" t="str">
        <f>IF(OR(CT!E93=SCTVTHH!$G$2,CT!E93=SCTVTHH!$G$2),CT!B93,"")</f>
        <v/>
      </c>
      <c r="C96" s="65" t="str">
        <f>IF(OR(CT!F93=SCTVTHH!$G$2,CT!E93=SCTVTHH!$G$2),CT!C93,"")</f>
        <v/>
      </c>
      <c r="D96" s="65" t="str">
        <f>IF(CT!D93=SCTVTHH!$G$2,CT!E93,IF(CT!E93=SCTVTHH!$G$2,CT!D93,""))</f>
        <v/>
      </c>
      <c r="E96" s="69">
        <f>IF(OR(CT!D93=SCTVTHH!$G$2,CT!E93=SCTVTHH!$G$2),CT!G93,0)</f>
        <v>0</v>
      </c>
      <c r="F96" s="69">
        <f>IF(CT!D93=SCTVTHH!$G$2,CT!F93,0)</f>
        <v>0</v>
      </c>
      <c r="G96" s="69">
        <f>IF(CT!D93=SCTVTHH!$G$2,CT!H93,0)</f>
        <v>0</v>
      </c>
      <c r="H96" s="69">
        <f>IF(CT!E93=SCTVTHH!$G$2,CT!F93,0)</f>
        <v>0</v>
      </c>
      <c r="I96" s="69">
        <f>IF(CT!E93=SCTVTHH!$G$2,CT!H93,0)</f>
        <v>0</v>
      </c>
      <c r="J96" s="69">
        <f>IF(SUM(F96,H96)=0,0,$J$6+SUM($F$8:F96)-SUM($H$8:H96))</f>
        <v>0</v>
      </c>
      <c r="K96" s="69">
        <f>IF(SUM(G96,I96)=0,0,$K$6+SUM($H$8:H96)-SUM($J$8:J96))</f>
        <v>0</v>
      </c>
    </row>
    <row r="97" spans="1:11" hidden="1" x14ac:dyDescent="0.25">
      <c r="A97" s="84" t="str">
        <f>IF(OR(CT!D94=SCTVTHH!$G$2,CT!E94=SCTVTHH!$G$2),CT!A94,"")</f>
        <v/>
      </c>
      <c r="B97" s="65" t="str">
        <f>IF(OR(CT!E94=SCTVTHH!$G$2,CT!E94=SCTVTHH!$G$2),CT!B94,"")</f>
        <v/>
      </c>
      <c r="C97" s="65" t="str">
        <f>IF(OR(CT!F94=SCTVTHH!$G$2,CT!E94=SCTVTHH!$G$2),CT!C94,"")</f>
        <v/>
      </c>
      <c r="D97" s="65" t="str">
        <f>IF(CT!D94=SCTVTHH!$G$2,CT!E94,IF(CT!E94=SCTVTHH!$G$2,CT!D94,""))</f>
        <v/>
      </c>
      <c r="E97" s="69">
        <f>IF(OR(CT!D94=SCTVTHH!$G$2,CT!E94=SCTVTHH!$G$2),CT!G94,0)</f>
        <v>0</v>
      </c>
      <c r="F97" s="69">
        <f>IF(CT!D94=SCTVTHH!$G$2,CT!F94,0)</f>
        <v>0</v>
      </c>
      <c r="G97" s="69">
        <f>IF(CT!D94=SCTVTHH!$G$2,CT!H94,0)</f>
        <v>0</v>
      </c>
      <c r="H97" s="69">
        <f>IF(CT!E94=SCTVTHH!$G$2,CT!F94,0)</f>
        <v>0</v>
      </c>
      <c r="I97" s="69">
        <f>IF(CT!E94=SCTVTHH!$G$2,CT!H94,0)</f>
        <v>0</v>
      </c>
      <c r="J97" s="69">
        <f>IF(SUM(F97,H97)=0,0,$J$6+SUM($F$8:F97)-SUM($H$8:H97))</f>
        <v>0</v>
      </c>
      <c r="K97" s="69">
        <f>IF(SUM(G97,I97)=0,0,$K$6+SUM($H$8:H97)-SUM($J$8:J97))</f>
        <v>0</v>
      </c>
    </row>
    <row r="98" spans="1:11" hidden="1" x14ac:dyDescent="0.25">
      <c r="A98" s="84" t="str">
        <f>IF(OR(CT!D95=SCTVTHH!$G$2,CT!E95=SCTVTHH!$G$2),CT!A95,"")</f>
        <v/>
      </c>
      <c r="B98" s="65" t="str">
        <f>IF(OR(CT!E95=SCTVTHH!$G$2,CT!E95=SCTVTHH!$G$2),CT!B95,"")</f>
        <v/>
      </c>
      <c r="C98" s="65" t="str">
        <f>IF(OR(CT!F95=SCTVTHH!$G$2,CT!E95=SCTVTHH!$G$2),CT!C95,"")</f>
        <v/>
      </c>
      <c r="D98" s="65" t="str">
        <f>IF(CT!D95=SCTVTHH!$G$2,CT!E95,IF(CT!E95=SCTVTHH!$G$2,CT!D95,""))</f>
        <v/>
      </c>
      <c r="E98" s="69">
        <f>IF(OR(CT!D95=SCTVTHH!$G$2,CT!E95=SCTVTHH!$G$2),CT!G95,0)</f>
        <v>0</v>
      </c>
      <c r="F98" s="69">
        <f>IF(CT!D95=SCTVTHH!$G$2,CT!F95,0)</f>
        <v>0</v>
      </c>
      <c r="G98" s="69">
        <f>IF(CT!D95=SCTVTHH!$G$2,CT!H95,0)</f>
        <v>0</v>
      </c>
      <c r="H98" s="69">
        <f>IF(CT!E95=SCTVTHH!$G$2,CT!F95,0)</f>
        <v>0</v>
      </c>
      <c r="I98" s="69">
        <f>IF(CT!E95=SCTVTHH!$G$2,CT!H95,0)</f>
        <v>0</v>
      </c>
      <c r="J98" s="69">
        <f>IF(SUM(F98,H98)=0,0,$J$6+SUM($F$8:F98)-SUM($H$8:H98))</f>
        <v>0</v>
      </c>
      <c r="K98" s="69">
        <f>IF(SUM(G98,I98)=0,0,$K$6+SUM($H$8:H98)-SUM($J$8:J98))</f>
        <v>0</v>
      </c>
    </row>
    <row r="99" spans="1:11" hidden="1" x14ac:dyDescent="0.25">
      <c r="A99" s="84" t="str">
        <f>IF(OR(CT!D96=SCTVTHH!$G$2,CT!E96=SCTVTHH!$G$2),CT!A96,"")</f>
        <v/>
      </c>
      <c r="B99" s="65" t="str">
        <f>IF(OR(CT!E96=SCTVTHH!$G$2,CT!E96=SCTVTHH!$G$2),CT!B96,"")</f>
        <v/>
      </c>
      <c r="C99" s="65" t="str">
        <f>IF(OR(CT!F96=SCTVTHH!$G$2,CT!E96=SCTVTHH!$G$2),CT!C96,"")</f>
        <v/>
      </c>
      <c r="D99" s="65" t="str">
        <f>IF(CT!D96=SCTVTHH!$G$2,CT!E96,IF(CT!E96=SCTVTHH!$G$2,CT!D96,""))</f>
        <v/>
      </c>
      <c r="E99" s="69">
        <f>IF(OR(CT!D96=SCTVTHH!$G$2,CT!E96=SCTVTHH!$G$2),CT!G96,0)</f>
        <v>0</v>
      </c>
      <c r="F99" s="69">
        <f>IF(CT!D96=SCTVTHH!$G$2,CT!F96,0)</f>
        <v>0</v>
      </c>
      <c r="G99" s="69">
        <f>IF(CT!D96=SCTVTHH!$G$2,CT!H96,0)</f>
        <v>0</v>
      </c>
      <c r="H99" s="69">
        <f>IF(CT!E96=SCTVTHH!$G$2,CT!F96,0)</f>
        <v>0</v>
      </c>
      <c r="I99" s="69">
        <f>IF(CT!E96=SCTVTHH!$G$2,CT!H96,0)</f>
        <v>0</v>
      </c>
      <c r="J99" s="69">
        <f>IF(SUM(F99,H99)=0,0,$J$6+SUM($F$8:F99)-SUM($H$8:H99))</f>
        <v>0</v>
      </c>
      <c r="K99" s="69">
        <f>IF(SUM(G99,I99)=0,0,$K$6+SUM($H$8:H99)-SUM($J$8:J99))</f>
        <v>0</v>
      </c>
    </row>
    <row r="100" spans="1:11" hidden="1" x14ac:dyDescent="0.25">
      <c r="A100" s="84" t="str">
        <f>IF(OR(CT!D97=SCTVTHH!$G$2,CT!E97=SCTVTHH!$G$2),CT!A97,"")</f>
        <v/>
      </c>
      <c r="B100" s="65" t="str">
        <f>IF(OR(CT!E97=SCTVTHH!$G$2,CT!E97=SCTVTHH!$G$2),CT!B97,"")</f>
        <v/>
      </c>
      <c r="C100" s="65" t="str">
        <f>IF(OR(CT!F97=SCTVTHH!$G$2,CT!E97=SCTVTHH!$G$2),CT!C97,"")</f>
        <v/>
      </c>
      <c r="D100" s="65" t="str">
        <f>IF(CT!D97=SCTVTHH!$G$2,CT!E97,IF(CT!E97=SCTVTHH!$G$2,CT!D97,""))</f>
        <v/>
      </c>
      <c r="E100" s="69">
        <f>IF(OR(CT!D97=SCTVTHH!$G$2,CT!E97=SCTVTHH!$G$2),CT!G97,0)</f>
        <v>0</v>
      </c>
      <c r="F100" s="69">
        <f>IF(CT!D97=SCTVTHH!$G$2,CT!F97,0)</f>
        <v>0</v>
      </c>
      <c r="G100" s="69">
        <f>IF(CT!D97=SCTVTHH!$G$2,CT!H97,0)</f>
        <v>0</v>
      </c>
      <c r="H100" s="69">
        <f>IF(CT!E97=SCTVTHH!$G$2,CT!F97,0)</f>
        <v>0</v>
      </c>
      <c r="I100" s="69">
        <f>IF(CT!E97=SCTVTHH!$G$2,CT!H97,0)</f>
        <v>0</v>
      </c>
      <c r="J100" s="69">
        <f>IF(SUM(F100,H100)=0,0,$J$6+SUM($F$8:F100)-SUM($H$8:H100))</f>
        <v>0</v>
      </c>
      <c r="K100" s="69">
        <f>IF(SUM(G100,I100)=0,0,$K$6+SUM($H$8:H100)-SUM($J$8:J100))</f>
        <v>0</v>
      </c>
    </row>
    <row r="101" spans="1:11" hidden="1" x14ac:dyDescent="0.25">
      <c r="A101" s="84" t="str">
        <f>IF(OR(CT!D98=SCTVTHH!$G$2,CT!E98=SCTVTHH!$G$2),CT!A98,"")</f>
        <v/>
      </c>
      <c r="B101" s="65" t="str">
        <f>IF(OR(CT!E98=SCTVTHH!$G$2,CT!E98=SCTVTHH!$G$2),CT!B98,"")</f>
        <v/>
      </c>
      <c r="C101" s="65" t="str">
        <f>IF(OR(CT!F98=SCTVTHH!$G$2,CT!E98=SCTVTHH!$G$2),CT!C98,"")</f>
        <v/>
      </c>
      <c r="D101" s="65" t="str">
        <f>IF(CT!D98=SCTVTHH!$G$2,CT!E98,IF(CT!E98=SCTVTHH!$G$2,CT!D98,""))</f>
        <v/>
      </c>
      <c r="E101" s="69">
        <f>IF(OR(CT!D98=SCTVTHH!$G$2,CT!E98=SCTVTHH!$G$2),CT!G98,0)</f>
        <v>0</v>
      </c>
      <c r="F101" s="69">
        <f>IF(CT!D98=SCTVTHH!$G$2,CT!F98,0)</f>
        <v>0</v>
      </c>
      <c r="G101" s="69">
        <f>IF(CT!D98=SCTVTHH!$G$2,CT!H98,0)</f>
        <v>0</v>
      </c>
      <c r="H101" s="69">
        <f>IF(CT!E98=SCTVTHH!$G$2,CT!F98,0)</f>
        <v>0</v>
      </c>
      <c r="I101" s="69">
        <f>IF(CT!E98=SCTVTHH!$G$2,CT!H98,0)</f>
        <v>0</v>
      </c>
      <c r="J101" s="69">
        <f>IF(SUM(F101,H101)=0,0,$J$6+SUM($F$8:F101)-SUM($H$8:H101))</f>
        <v>0</v>
      </c>
      <c r="K101" s="69">
        <f>IF(SUM(G101,I101)=0,0,$K$6+SUM($H$8:H101)-SUM($J$8:J101))</f>
        <v>0</v>
      </c>
    </row>
    <row r="102" spans="1:11" hidden="1" x14ac:dyDescent="0.25">
      <c r="A102" s="84" t="str">
        <f>IF(OR(CT!D99=SCTVTHH!$G$2,CT!E99=SCTVTHH!$G$2),CT!A99,"")</f>
        <v/>
      </c>
      <c r="B102" s="65" t="str">
        <f>IF(OR(CT!E99=SCTVTHH!$G$2,CT!E99=SCTVTHH!$G$2),CT!B99,"")</f>
        <v/>
      </c>
      <c r="C102" s="65" t="str">
        <f>IF(OR(CT!F99=SCTVTHH!$G$2,CT!E99=SCTVTHH!$G$2),CT!C99,"")</f>
        <v/>
      </c>
      <c r="D102" s="65" t="str">
        <f>IF(CT!D99=SCTVTHH!$G$2,CT!E99,IF(CT!E99=SCTVTHH!$G$2,CT!D99,""))</f>
        <v/>
      </c>
      <c r="E102" s="69">
        <f>IF(OR(CT!D99=SCTVTHH!$G$2,CT!E99=SCTVTHH!$G$2),CT!G99,0)</f>
        <v>0</v>
      </c>
      <c r="F102" s="69">
        <f>IF(CT!D99=SCTVTHH!$G$2,CT!F99,0)</f>
        <v>0</v>
      </c>
      <c r="G102" s="69">
        <f>IF(CT!D99=SCTVTHH!$G$2,CT!H99,0)</f>
        <v>0</v>
      </c>
      <c r="H102" s="69">
        <f>IF(CT!E99=SCTVTHH!$G$2,CT!F99,0)</f>
        <v>0</v>
      </c>
      <c r="I102" s="69">
        <f>IF(CT!E99=SCTVTHH!$G$2,CT!H99,0)</f>
        <v>0</v>
      </c>
      <c r="J102" s="69">
        <f>IF(SUM(F102,H102)=0,0,$J$6+SUM($F$8:F102)-SUM($H$8:H102))</f>
        <v>0</v>
      </c>
      <c r="K102" s="69">
        <f>IF(SUM(G102,I102)=0,0,$K$6+SUM($H$8:H102)-SUM($J$8:J102))</f>
        <v>0</v>
      </c>
    </row>
    <row r="103" spans="1:11" hidden="1" x14ac:dyDescent="0.25">
      <c r="A103" s="84" t="str">
        <f>IF(OR(CT!D100=SCTVTHH!$G$2,CT!E100=SCTVTHH!$G$2),CT!A100,"")</f>
        <v/>
      </c>
      <c r="B103" s="65" t="str">
        <f>IF(OR(CT!E100=SCTVTHH!$G$2,CT!E100=SCTVTHH!$G$2),CT!B100,"")</f>
        <v/>
      </c>
      <c r="C103" s="65" t="str">
        <f>IF(OR(CT!F100=SCTVTHH!$G$2,CT!E100=SCTVTHH!$G$2),CT!C100,"")</f>
        <v/>
      </c>
      <c r="D103" s="65" t="str">
        <f>IF(CT!D100=SCTVTHH!$G$2,CT!E100,IF(CT!E100=SCTVTHH!$G$2,CT!D100,""))</f>
        <v/>
      </c>
      <c r="E103" s="69">
        <f>IF(OR(CT!D100=SCTVTHH!$G$2,CT!E100=SCTVTHH!$G$2),CT!G100,0)</f>
        <v>0</v>
      </c>
      <c r="F103" s="69">
        <f>IF(CT!D100=SCTVTHH!$G$2,CT!F100,0)</f>
        <v>0</v>
      </c>
      <c r="G103" s="69">
        <f>IF(CT!D100=SCTVTHH!$G$2,CT!H100,0)</f>
        <v>0</v>
      </c>
      <c r="H103" s="69">
        <f>IF(CT!E100=SCTVTHH!$G$2,CT!F100,0)</f>
        <v>0</v>
      </c>
      <c r="I103" s="69">
        <f>IF(CT!E100=SCTVTHH!$G$2,CT!H100,0)</f>
        <v>0</v>
      </c>
      <c r="J103" s="69">
        <f>IF(SUM(F103,H103)=0,0,$J$6+SUM($F$8:F103)-SUM($H$8:H103))</f>
        <v>0</v>
      </c>
      <c r="K103" s="69">
        <f>IF(SUM(G103,I103)=0,0,$K$6+SUM($H$8:H103)-SUM($J$8:J103))</f>
        <v>0</v>
      </c>
    </row>
    <row r="104" spans="1:11" hidden="1" x14ac:dyDescent="0.25">
      <c r="A104" s="84" t="str">
        <f>IF(OR(CT!D101=SCTVTHH!$G$2,CT!E101=SCTVTHH!$G$2),CT!A101,"")</f>
        <v/>
      </c>
      <c r="B104" s="65" t="str">
        <f>IF(OR(CT!E101=SCTVTHH!$G$2,CT!E101=SCTVTHH!$G$2),CT!B101,"")</f>
        <v/>
      </c>
      <c r="C104" s="65" t="str">
        <f>IF(OR(CT!F101=SCTVTHH!$G$2,CT!E101=SCTVTHH!$G$2),CT!C101,"")</f>
        <v/>
      </c>
      <c r="D104" s="65" t="str">
        <f>IF(CT!D101=SCTVTHH!$G$2,CT!E101,IF(CT!E101=SCTVTHH!$G$2,CT!D101,""))</f>
        <v/>
      </c>
      <c r="E104" s="69">
        <f>IF(OR(CT!D101=SCTVTHH!$G$2,CT!E101=SCTVTHH!$G$2),CT!G101,0)</f>
        <v>0</v>
      </c>
      <c r="F104" s="69">
        <f>IF(CT!D101=SCTVTHH!$G$2,CT!F101,0)</f>
        <v>0</v>
      </c>
      <c r="G104" s="69">
        <f>IF(CT!D101=SCTVTHH!$G$2,CT!H101,0)</f>
        <v>0</v>
      </c>
      <c r="H104" s="69">
        <f>IF(CT!E101=SCTVTHH!$G$2,CT!F101,0)</f>
        <v>0</v>
      </c>
      <c r="I104" s="69">
        <f>IF(CT!E101=SCTVTHH!$G$2,CT!H101,0)</f>
        <v>0</v>
      </c>
      <c r="J104" s="69">
        <f>IF(SUM(F104,H104)=0,0,$J$6+SUM($F$8:F104)-SUM($H$8:H104))</f>
        <v>0</v>
      </c>
      <c r="K104" s="69">
        <f>IF(SUM(G104,I104)=0,0,$K$6+SUM($H$8:H104)-SUM($J$8:J104))</f>
        <v>0</v>
      </c>
    </row>
    <row r="105" spans="1:11" hidden="1" x14ac:dyDescent="0.25">
      <c r="A105" s="84" t="str">
        <f>IF(OR(CT!D102=SCTVTHH!$G$2,CT!E102=SCTVTHH!$G$2),CT!A102,"")</f>
        <v/>
      </c>
      <c r="B105" s="65" t="str">
        <f>IF(OR(CT!E102=SCTVTHH!$G$2,CT!E102=SCTVTHH!$G$2),CT!B102,"")</f>
        <v/>
      </c>
      <c r="C105" s="65" t="str">
        <f>IF(OR(CT!F102=SCTVTHH!$G$2,CT!E102=SCTVTHH!$G$2),CT!C102,"")</f>
        <v/>
      </c>
      <c r="D105" s="65" t="str">
        <f>IF(CT!D102=SCTVTHH!$G$2,CT!E102,IF(CT!E102=SCTVTHH!$G$2,CT!D102,""))</f>
        <v/>
      </c>
      <c r="E105" s="69">
        <f>IF(OR(CT!D102=SCTVTHH!$G$2,CT!E102=SCTVTHH!$G$2),CT!G102,0)</f>
        <v>0</v>
      </c>
      <c r="F105" s="69">
        <f>IF(CT!D102=SCTVTHH!$G$2,CT!F102,0)</f>
        <v>0</v>
      </c>
      <c r="G105" s="69">
        <f>IF(CT!D102=SCTVTHH!$G$2,CT!H102,0)</f>
        <v>0</v>
      </c>
      <c r="H105" s="69">
        <f>IF(CT!E102=SCTVTHH!$G$2,CT!F102,0)</f>
        <v>0</v>
      </c>
      <c r="I105" s="69">
        <f>IF(CT!E102=SCTVTHH!$G$2,CT!H102,0)</f>
        <v>0</v>
      </c>
      <c r="J105" s="69">
        <f>IF(SUM(F105,H105)=0,0,$J$6+SUM($F$8:F105)-SUM($H$8:H105))</f>
        <v>0</v>
      </c>
      <c r="K105" s="69">
        <f>IF(SUM(G105,I105)=0,0,$K$6+SUM($H$8:H105)-SUM($J$8:J105))</f>
        <v>0</v>
      </c>
    </row>
    <row r="106" spans="1:11" hidden="1" x14ac:dyDescent="0.25">
      <c r="A106" s="84" t="str">
        <f>IF(OR(CT!D103=SCTVTHH!$G$2,CT!E103=SCTVTHH!$G$2),CT!A103,"")</f>
        <v/>
      </c>
      <c r="B106" s="65" t="str">
        <f>IF(OR(CT!E103=SCTVTHH!$G$2,CT!E103=SCTVTHH!$G$2),CT!B103,"")</f>
        <v/>
      </c>
      <c r="C106" s="65" t="str">
        <f>IF(OR(CT!F103=SCTVTHH!$G$2,CT!E103=SCTVTHH!$G$2),CT!C103,"")</f>
        <v/>
      </c>
      <c r="D106" s="65" t="str">
        <f>IF(CT!D103=SCTVTHH!$G$2,CT!E103,IF(CT!E103=SCTVTHH!$G$2,CT!D103,""))</f>
        <v/>
      </c>
      <c r="E106" s="69">
        <f>IF(OR(CT!D103=SCTVTHH!$G$2,CT!E103=SCTVTHH!$G$2),CT!G103,0)</f>
        <v>0</v>
      </c>
      <c r="F106" s="69">
        <f>IF(CT!D103=SCTVTHH!$G$2,CT!F103,0)</f>
        <v>0</v>
      </c>
      <c r="G106" s="69">
        <f>IF(CT!D103=SCTVTHH!$G$2,CT!H103,0)</f>
        <v>0</v>
      </c>
      <c r="H106" s="69">
        <f>IF(CT!E103=SCTVTHH!$G$2,CT!F103,0)</f>
        <v>0</v>
      </c>
      <c r="I106" s="69">
        <f>IF(CT!E103=SCTVTHH!$G$2,CT!H103,0)</f>
        <v>0</v>
      </c>
      <c r="J106" s="69">
        <f>IF(SUM(F106,H106)=0,0,$J$6+SUM($F$8:F106)-SUM($H$8:H106))</f>
        <v>0</v>
      </c>
      <c r="K106" s="69">
        <f>IF(SUM(G106,I106)=0,0,$K$6+SUM($H$8:H106)-SUM($J$8:J106))</f>
        <v>0</v>
      </c>
    </row>
    <row r="107" spans="1:11" hidden="1" x14ac:dyDescent="0.25">
      <c r="A107" s="84" t="str">
        <f>IF(OR(CT!D104=SCTVTHH!$G$2,CT!E104=SCTVTHH!$G$2),CT!A104,"")</f>
        <v/>
      </c>
      <c r="B107" s="65" t="str">
        <f>IF(OR(CT!E104=SCTVTHH!$G$2,CT!E104=SCTVTHH!$G$2),CT!B104,"")</f>
        <v/>
      </c>
      <c r="C107" s="65" t="str">
        <f>IF(OR(CT!F104=SCTVTHH!$G$2,CT!E104=SCTVTHH!$G$2),CT!C104,"")</f>
        <v/>
      </c>
      <c r="D107" s="65" t="str">
        <f>IF(CT!D104=SCTVTHH!$G$2,CT!E104,IF(CT!E104=SCTVTHH!$G$2,CT!D104,""))</f>
        <v/>
      </c>
      <c r="E107" s="69">
        <f>IF(OR(CT!D104=SCTVTHH!$G$2,CT!E104=SCTVTHH!$G$2),CT!G104,0)</f>
        <v>0</v>
      </c>
      <c r="F107" s="69">
        <f>IF(CT!D104=SCTVTHH!$G$2,CT!F104,0)</f>
        <v>0</v>
      </c>
      <c r="G107" s="69">
        <f>IF(CT!D104=SCTVTHH!$G$2,CT!H104,0)</f>
        <v>0</v>
      </c>
      <c r="H107" s="69">
        <f>IF(CT!E104=SCTVTHH!$G$2,CT!F104,0)</f>
        <v>0</v>
      </c>
      <c r="I107" s="69">
        <f>IF(CT!E104=SCTVTHH!$G$2,CT!H104,0)</f>
        <v>0</v>
      </c>
      <c r="J107" s="69">
        <f>IF(SUM(F107,H107)=0,0,$J$6+SUM($F$8:F107)-SUM($H$8:H107))</f>
        <v>0</v>
      </c>
      <c r="K107" s="69">
        <f>IF(SUM(G107,I107)=0,0,$K$6+SUM($H$8:H107)-SUM($J$8:J107))</f>
        <v>0</v>
      </c>
    </row>
    <row r="108" spans="1:11" hidden="1" x14ac:dyDescent="0.25">
      <c r="A108" s="84" t="str">
        <f>IF(OR(CT!D105=SCTVTHH!$G$2,CT!E105=SCTVTHH!$G$2),CT!A105,"")</f>
        <v/>
      </c>
      <c r="B108" s="65" t="str">
        <f>IF(OR(CT!E105=SCTVTHH!$G$2,CT!E105=SCTVTHH!$G$2),CT!B105,"")</f>
        <v/>
      </c>
      <c r="C108" s="65" t="str">
        <f>IF(OR(CT!F105=SCTVTHH!$G$2,CT!E105=SCTVTHH!$G$2),CT!C105,"")</f>
        <v/>
      </c>
      <c r="D108" s="65" t="str">
        <f>IF(CT!D105=SCTVTHH!$G$2,CT!E105,IF(CT!E105=SCTVTHH!$G$2,CT!D105,""))</f>
        <v/>
      </c>
      <c r="E108" s="69">
        <f>IF(OR(CT!D105=SCTVTHH!$G$2,CT!E105=SCTVTHH!$G$2),CT!G105,0)</f>
        <v>0</v>
      </c>
      <c r="F108" s="69">
        <f>IF(CT!D105=SCTVTHH!$G$2,CT!F105,0)</f>
        <v>0</v>
      </c>
      <c r="G108" s="69">
        <f>IF(CT!D105=SCTVTHH!$G$2,CT!H105,0)</f>
        <v>0</v>
      </c>
      <c r="H108" s="69">
        <f>IF(CT!E105=SCTVTHH!$G$2,CT!F105,0)</f>
        <v>0</v>
      </c>
      <c r="I108" s="69">
        <f>IF(CT!E105=SCTVTHH!$G$2,CT!H105,0)</f>
        <v>0</v>
      </c>
      <c r="J108" s="69">
        <f>IF(SUM(F108,H108)=0,0,$J$6+SUM($F$8:F108)-SUM($H$8:H108))</f>
        <v>0</v>
      </c>
      <c r="K108" s="69">
        <f>IF(SUM(G108,I108)=0,0,$K$6+SUM($H$8:H108)-SUM($J$8:J108))</f>
        <v>0</v>
      </c>
    </row>
    <row r="109" spans="1:11" hidden="1" x14ac:dyDescent="0.25">
      <c r="A109" s="84" t="str">
        <f>IF(OR(CT!D106=SCTVTHH!$G$2,CT!E106=SCTVTHH!$G$2),CT!A106,"")</f>
        <v/>
      </c>
      <c r="B109" s="65" t="str">
        <f>IF(OR(CT!E106=SCTVTHH!$G$2,CT!E106=SCTVTHH!$G$2),CT!B106,"")</f>
        <v/>
      </c>
      <c r="C109" s="65" t="str">
        <f>IF(OR(CT!F106=SCTVTHH!$G$2,CT!E106=SCTVTHH!$G$2),CT!C106,"")</f>
        <v/>
      </c>
      <c r="D109" s="65" t="str">
        <f>IF(CT!D106=SCTVTHH!$G$2,CT!E106,IF(CT!E106=SCTVTHH!$G$2,CT!D106,""))</f>
        <v/>
      </c>
      <c r="E109" s="69">
        <f>IF(OR(CT!D106=SCTVTHH!$G$2,CT!E106=SCTVTHH!$G$2),CT!G106,0)</f>
        <v>0</v>
      </c>
      <c r="F109" s="69">
        <f>IF(CT!D106=SCTVTHH!$G$2,CT!F106,0)</f>
        <v>0</v>
      </c>
      <c r="G109" s="69">
        <f>IF(CT!D106=SCTVTHH!$G$2,CT!H106,0)</f>
        <v>0</v>
      </c>
      <c r="H109" s="69">
        <f>IF(CT!E106=SCTVTHH!$G$2,CT!F106,0)</f>
        <v>0</v>
      </c>
      <c r="I109" s="69">
        <f>IF(CT!E106=SCTVTHH!$G$2,CT!H106,0)</f>
        <v>0</v>
      </c>
      <c r="J109" s="69">
        <f>IF(SUM(F109,H109)=0,0,$J$6+SUM($F$8:F109)-SUM($H$8:H109))</f>
        <v>0</v>
      </c>
      <c r="K109" s="69">
        <f>IF(SUM(G109,I109)=0,0,$K$6+SUM($H$8:H109)-SUM($J$8:J109))</f>
        <v>0</v>
      </c>
    </row>
    <row r="110" spans="1:11" hidden="1" x14ac:dyDescent="0.25">
      <c r="A110" s="84" t="str">
        <f>IF(OR(CT!D107=SCTVTHH!$G$2,CT!E107=SCTVTHH!$G$2),CT!A107,"")</f>
        <v/>
      </c>
      <c r="B110" s="65" t="str">
        <f>IF(OR(CT!E107=SCTVTHH!$G$2,CT!E107=SCTVTHH!$G$2),CT!B107,"")</f>
        <v/>
      </c>
      <c r="C110" s="65" t="str">
        <f>IF(OR(CT!F107=SCTVTHH!$G$2,CT!E107=SCTVTHH!$G$2),CT!C107,"")</f>
        <v/>
      </c>
      <c r="D110" s="65" t="str">
        <f>IF(CT!D107=SCTVTHH!$G$2,CT!E107,IF(CT!E107=SCTVTHH!$G$2,CT!D107,""))</f>
        <v/>
      </c>
      <c r="E110" s="69">
        <f>IF(OR(CT!D107=SCTVTHH!$G$2,CT!E107=SCTVTHH!$G$2),CT!G107,0)</f>
        <v>0</v>
      </c>
      <c r="F110" s="69">
        <f>IF(CT!D107=SCTVTHH!$G$2,CT!F107,0)</f>
        <v>0</v>
      </c>
      <c r="G110" s="69">
        <f>IF(CT!D107=SCTVTHH!$G$2,CT!H107,0)</f>
        <v>0</v>
      </c>
      <c r="H110" s="69">
        <f>IF(CT!E107=SCTVTHH!$G$2,CT!F107,0)</f>
        <v>0</v>
      </c>
      <c r="I110" s="69">
        <f>IF(CT!E107=SCTVTHH!$G$2,CT!H107,0)</f>
        <v>0</v>
      </c>
      <c r="J110" s="69">
        <f>IF(SUM(F110,H110)=0,0,$J$6+SUM($F$8:F110)-SUM($H$8:H110))</f>
        <v>0</v>
      </c>
      <c r="K110" s="69">
        <f>IF(SUM(G110,I110)=0,0,$K$6+SUM($H$8:H110)-SUM($J$8:J110))</f>
        <v>0</v>
      </c>
    </row>
    <row r="111" spans="1:11" hidden="1" x14ac:dyDescent="0.25">
      <c r="A111" s="84" t="str">
        <f>IF(OR(CT!D108=SCTVTHH!$G$2,CT!E108=SCTVTHH!$G$2),CT!A108,"")</f>
        <v/>
      </c>
      <c r="B111" s="65" t="str">
        <f>IF(OR(CT!E108=SCTVTHH!$G$2,CT!E108=SCTVTHH!$G$2),CT!B108,"")</f>
        <v/>
      </c>
      <c r="C111" s="65" t="str">
        <f>IF(OR(CT!F108=SCTVTHH!$G$2,CT!E108=SCTVTHH!$G$2),CT!C108,"")</f>
        <v/>
      </c>
      <c r="D111" s="65" t="str">
        <f>IF(CT!D108=SCTVTHH!$G$2,CT!E108,IF(CT!E108=SCTVTHH!$G$2,CT!D108,""))</f>
        <v/>
      </c>
      <c r="E111" s="69">
        <f>IF(OR(CT!D108=SCTVTHH!$G$2,CT!E108=SCTVTHH!$G$2),CT!G108,0)</f>
        <v>0</v>
      </c>
      <c r="F111" s="69">
        <f>IF(CT!D108=SCTVTHH!$G$2,CT!F108,0)</f>
        <v>0</v>
      </c>
      <c r="G111" s="69">
        <f>IF(CT!D108=SCTVTHH!$G$2,CT!H108,0)</f>
        <v>0</v>
      </c>
      <c r="H111" s="69">
        <f>IF(CT!E108=SCTVTHH!$G$2,CT!F108,0)</f>
        <v>0</v>
      </c>
      <c r="I111" s="69">
        <f>IF(CT!E108=SCTVTHH!$G$2,CT!H108,0)</f>
        <v>0</v>
      </c>
      <c r="J111" s="69">
        <f>IF(SUM(F111,H111)=0,0,$J$6+SUM($F$8:F111)-SUM($H$8:H111))</f>
        <v>0</v>
      </c>
      <c r="K111" s="69">
        <f>IF(SUM(G111,I111)=0,0,$K$6+SUM($H$8:H111)-SUM($J$8:J111))</f>
        <v>0</v>
      </c>
    </row>
    <row r="112" spans="1:11" hidden="1" x14ac:dyDescent="0.25">
      <c r="A112" s="84" t="str">
        <f>IF(OR(CT!D109=SCTVTHH!$G$2,CT!E109=SCTVTHH!$G$2),CT!A109,"")</f>
        <v/>
      </c>
      <c r="B112" s="65" t="str">
        <f>IF(OR(CT!E109=SCTVTHH!$G$2,CT!E109=SCTVTHH!$G$2),CT!B109,"")</f>
        <v/>
      </c>
      <c r="C112" s="65" t="str">
        <f>IF(OR(CT!F109=SCTVTHH!$G$2,CT!E109=SCTVTHH!$G$2),CT!C109,"")</f>
        <v/>
      </c>
      <c r="D112" s="65" t="str">
        <f>IF(CT!D109=SCTVTHH!$G$2,CT!E109,IF(CT!E109=SCTVTHH!$G$2,CT!D109,""))</f>
        <v/>
      </c>
      <c r="E112" s="69">
        <f>IF(OR(CT!D109=SCTVTHH!$G$2,CT!E109=SCTVTHH!$G$2),CT!G109,0)</f>
        <v>0</v>
      </c>
      <c r="F112" s="69">
        <f>IF(CT!D109=SCTVTHH!$G$2,CT!F109,0)</f>
        <v>0</v>
      </c>
      <c r="G112" s="69">
        <f>IF(CT!D109=SCTVTHH!$G$2,CT!H109,0)</f>
        <v>0</v>
      </c>
      <c r="H112" s="69">
        <f>IF(CT!E109=SCTVTHH!$G$2,CT!F109,0)</f>
        <v>0</v>
      </c>
      <c r="I112" s="69">
        <f>IF(CT!E109=SCTVTHH!$G$2,CT!H109,0)</f>
        <v>0</v>
      </c>
      <c r="J112" s="69">
        <f>IF(SUM(F112,H112)=0,0,$J$6+SUM($F$8:F112)-SUM($H$8:H112))</f>
        <v>0</v>
      </c>
      <c r="K112" s="69">
        <f>IF(SUM(G112,I112)=0,0,$K$6+SUM($H$8:H112)-SUM($J$8:J112))</f>
        <v>0</v>
      </c>
    </row>
    <row r="113" spans="1:11" hidden="1" x14ac:dyDescent="0.25">
      <c r="A113" s="84" t="str">
        <f>IF(OR(CT!D110=SCTVTHH!$G$2,CT!E110=SCTVTHH!$G$2),CT!A110,"")</f>
        <v/>
      </c>
      <c r="B113" s="65" t="str">
        <f>IF(OR(CT!E110=SCTVTHH!$G$2,CT!E110=SCTVTHH!$G$2),CT!B110,"")</f>
        <v/>
      </c>
      <c r="C113" s="65" t="str">
        <f>IF(OR(CT!F110=SCTVTHH!$G$2,CT!E110=SCTVTHH!$G$2),CT!C110,"")</f>
        <v/>
      </c>
      <c r="D113" s="65" t="str">
        <f>IF(CT!D110=SCTVTHH!$G$2,CT!E110,IF(CT!E110=SCTVTHH!$G$2,CT!D110,""))</f>
        <v/>
      </c>
      <c r="E113" s="69">
        <f>IF(OR(CT!D110=SCTVTHH!$G$2,CT!E110=SCTVTHH!$G$2),CT!G110,0)</f>
        <v>0</v>
      </c>
      <c r="F113" s="69">
        <f>IF(CT!D110=SCTVTHH!$G$2,CT!F110,0)</f>
        <v>0</v>
      </c>
      <c r="G113" s="69">
        <f>IF(CT!D110=SCTVTHH!$G$2,CT!H110,0)</f>
        <v>0</v>
      </c>
      <c r="H113" s="69">
        <f>IF(CT!E110=SCTVTHH!$G$2,CT!F110,0)</f>
        <v>0</v>
      </c>
      <c r="I113" s="69">
        <f>IF(CT!E110=SCTVTHH!$G$2,CT!H110,0)</f>
        <v>0</v>
      </c>
      <c r="J113" s="69">
        <f>IF(SUM(F113,H113)=0,0,$J$6+SUM($F$8:F113)-SUM($H$8:H113))</f>
        <v>0</v>
      </c>
      <c r="K113" s="69">
        <f>IF(SUM(G113,I113)=0,0,$K$6+SUM($H$8:H113)-SUM($J$8:J113))</f>
        <v>0</v>
      </c>
    </row>
    <row r="114" spans="1:11" hidden="1" x14ac:dyDescent="0.25">
      <c r="A114" s="84" t="str">
        <f>IF(OR(CT!D111=SCTVTHH!$G$2,CT!E111=SCTVTHH!$G$2),CT!A111,"")</f>
        <v/>
      </c>
      <c r="B114" s="65" t="str">
        <f>IF(OR(CT!E111=SCTVTHH!$G$2,CT!E111=SCTVTHH!$G$2),CT!B111,"")</f>
        <v/>
      </c>
      <c r="C114" s="65" t="str">
        <f>IF(OR(CT!F111=SCTVTHH!$G$2,CT!E111=SCTVTHH!$G$2),CT!C111,"")</f>
        <v/>
      </c>
      <c r="D114" s="65" t="str">
        <f>IF(CT!D111=SCTVTHH!$G$2,CT!E111,IF(CT!E111=SCTVTHH!$G$2,CT!D111,""))</f>
        <v/>
      </c>
      <c r="E114" s="69">
        <f>IF(OR(CT!D111=SCTVTHH!$G$2,CT!E111=SCTVTHH!$G$2),CT!G111,0)</f>
        <v>0</v>
      </c>
      <c r="F114" s="69">
        <f>IF(CT!D111=SCTVTHH!$G$2,CT!F111,0)</f>
        <v>0</v>
      </c>
      <c r="G114" s="69">
        <f>IF(CT!D111=SCTVTHH!$G$2,CT!H111,0)</f>
        <v>0</v>
      </c>
      <c r="H114" s="69">
        <f>IF(CT!E111=SCTVTHH!$G$2,CT!F111,0)</f>
        <v>0</v>
      </c>
      <c r="I114" s="69">
        <f>IF(CT!E111=SCTVTHH!$G$2,CT!H111,0)</f>
        <v>0</v>
      </c>
      <c r="J114" s="69">
        <f>IF(SUM(F114,H114)=0,0,$J$6+SUM($F$8:F114)-SUM($H$8:H114))</f>
        <v>0</v>
      </c>
      <c r="K114" s="69">
        <f>IF(SUM(G114,I114)=0,0,$K$6+SUM($H$8:H114)-SUM($J$8:J114))</f>
        <v>0</v>
      </c>
    </row>
    <row r="115" spans="1:11" hidden="1" x14ac:dyDescent="0.25">
      <c r="A115" s="84" t="str">
        <f>IF(OR(CT!D112=SCTVTHH!$G$2,CT!E112=SCTVTHH!$G$2),CT!A112,"")</f>
        <v/>
      </c>
      <c r="B115" s="65" t="str">
        <f>IF(OR(CT!E112=SCTVTHH!$G$2,CT!E112=SCTVTHH!$G$2),CT!B112,"")</f>
        <v/>
      </c>
      <c r="C115" s="65" t="str">
        <f>IF(OR(CT!F112=SCTVTHH!$G$2,CT!E112=SCTVTHH!$G$2),CT!C112,"")</f>
        <v/>
      </c>
      <c r="D115" s="65" t="str">
        <f>IF(CT!D112=SCTVTHH!$G$2,CT!E112,IF(CT!E112=SCTVTHH!$G$2,CT!D112,""))</f>
        <v/>
      </c>
      <c r="E115" s="69">
        <f>IF(OR(CT!D112=SCTVTHH!$G$2,CT!E112=SCTVTHH!$G$2),CT!G112,0)</f>
        <v>0</v>
      </c>
      <c r="F115" s="69">
        <f>IF(CT!D112=SCTVTHH!$G$2,CT!F112,0)</f>
        <v>0</v>
      </c>
      <c r="G115" s="69">
        <f>IF(CT!D112=SCTVTHH!$G$2,CT!H112,0)</f>
        <v>0</v>
      </c>
      <c r="H115" s="69">
        <f>IF(CT!E112=SCTVTHH!$G$2,CT!F112,0)</f>
        <v>0</v>
      </c>
      <c r="I115" s="69">
        <f>IF(CT!E112=SCTVTHH!$G$2,CT!H112,0)</f>
        <v>0</v>
      </c>
      <c r="J115" s="69">
        <f>IF(SUM(F115,H115)=0,0,$J$6+SUM($F$8:F115)-SUM($H$8:H115))</f>
        <v>0</v>
      </c>
      <c r="K115" s="69">
        <f>IF(SUM(G115,I115)=0,0,$K$6+SUM($H$8:H115)-SUM($J$8:J115))</f>
        <v>0</v>
      </c>
    </row>
    <row r="116" spans="1:11" hidden="1" x14ac:dyDescent="0.25">
      <c r="A116" s="84" t="str">
        <f>IF(OR(CT!D113=SCTVTHH!$G$2,CT!E113=SCTVTHH!$G$2),CT!A113,"")</f>
        <v/>
      </c>
      <c r="B116" s="65" t="str">
        <f>IF(OR(CT!E113=SCTVTHH!$G$2,CT!E113=SCTVTHH!$G$2),CT!B113,"")</f>
        <v/>
      </c>
      <c r="C116" s="65" t="str">
        <f>IF(OR(CT!F113=SCTVTHH!$G$2,CT!E113=SCTVTHH!$G$2),CT!C113,"")</f>
        <v/>
      </c>
      <c r="D116" s="65" t="str">
        <f>IF(CT!D113=SCTVTHH!$G$2,CT!E113,IF(CT!E113=SCTVTHH!$G$2,CT!D113,""))</f>
        <v/>
      </c>
      <c r="E116" s="69">
        <f>IF(OR(CT!D113=SCTVTHH!$G$2,CT!E113=SCTVTHH!$G$2),CT!G113,0)</f>
        <v>0</v>
      </c>
      <c r="F116" s="69">
        <f>IF(CT!D113=SCTVTHH!$G$2,CT!F113,0)</f>
        <v>0</v>
      </c>
      <c r="G116" s="69">
        <f>IF(CT!D113=SCTVTHH!$G$2,CT!H113,0)</f>
        <v>0</v>
      </c>
      <c r="H116" s="69">
        <f>IF(CT!E113=SCTVTHH!$G$2,CT!F113,0)</f>
        <v>0</v>
      </c>
      <c r="I116" s="69">
        <f>IF(CT!E113=SCTVTHH!$G$2,CT!H113,0)</f>
        <v>0</v>
      </c>
      <c r="J116" s="69">
        <f>IF(SUM(F116,H116)=0,0,$J$6+SUM($F$8:F116)-SUM($H$8:H116))</f>
        <v>0</v>
      </c>
      <c r="K116" s="69">
        <f>IF(SUM(G116,I116)=0,0,$K$6+SUM($H$8:H116)-SUM($J$8:J116))</f>
        <v>0</v>
      </c>
    </row>
    <row r="117" spans="1:11" hidden="1" x14ac:dyDescent="0.25">
      <c r="A117" s="84" t="str">
        <f>IF(OR(CT!D114=SCTVTHH!$G$2,CT!E114=SCTVTHH!$G$2),CT!A114,"")</f>
        <v/>
      </c>
      <c r="B117" s="65" t="str">
        <f>IF(OR(CT!E114=SCTVTHH!$G$2,CT!E114=SCTVTHH!$G$2),CT!B114,"")</f>
        <v/>
      </c>
      <c r="C117" s="65" t="str">
        <f>IF(OR(CT!F114=SCTVTHH!$G$2,CT!E114=SCTVTHH!$G$2),CT!C114,"")</f>
        <v/>
      </c>
      <c r="D117" s="65" t="str">
        <f>IF(CT!D114=SCTVTHH!$G$2,CT!E114,IF(CT!E114=SCTVTHH!$G$2,CT!D114,""))</f>
        <v/>
      </c>
      <c r="E117" s="69">
        <f>IF(OR(CT!D114=SCTVTHH!$G$2,CT!E114=SCTVTHH!$G$2),CT!G114,0)</f>
        <v>0</v>
      </c>
      <c r="F117" s="69">
        <f>IF(CT!D114=SCTVTHH!$G$2,CT!F114,0)</f>
        <v>0</v>
      </c>
      <c r="G117" s="69">
        <f>IF(CT!D114=SCTVTHH!$G$2,CT!H114,0)</f>
        <v>0</v>
      </c>
      <c r="H117" s="69">
        <f>IF(CT!E114=SCTVTHH!$G$2,CT!F114,0)</f>
        <v>0</v>
      </c>
      <c r="I117" s="69">
        <f>IF(CT!E114=SCTVTHH!$G$2,CT!H114,0)</f>
        <v>0</v>
      </c>
      <c r="J117" s="69">
        <f>IF(SUM(F117,H117)=0,0,$J$6+SUM($F$8:F117)-SUM($H$8:H117))</f>
        <v>0</v>
      </c>
      <c r="K117" s="69">
        <f>IF(SUM(G117,I117)=0,0,$K$6+SUM($H$8:H117)-SUM($J$8:J117))</f>
        <v>0</v>
      </c>
    </row>
    <row r="118" spans="1:11" hidden="1" x14ac:dyDescent="0.25">
      <c r="A118" s="84" t="str">
        <f>IF(OR(CT!D115=SCTVTHH!$G$2,CT!E115=SCTVTHH!$G$2),CT!A115,"")</f>
        <v/>
      </c>
      <c r="B118" s="65" t="str">
        <f>IF(OR(CT!E115=SCTVTHH!$G$2,CT!E115=SCTVTHH!$G$2),CT!B115,"")</f>
        <v/>
      </c>
      <c r="C118" s="65" t="str">
        <f>IF(OR(CT!F115=SCTVTHH!$G$2,CT!E115=SCTVTHH!$G$2),CT!C115,"")</f>
        <v/>
      </c>
      <c r="D118" s="65" t="str">
        <f>IF(CT!D115=SCTVTHH!$G$2,CT!E115,IF(CT!E115=SCTVTHH!$G$2,CT!D115,""))</f>
        <v/>
      </c>
      <c r="E118" s="69">
        <f>IF(OR(CT!D115=SCTVTHH!$G$2,CT!E115=SCTVTHH!$G$2),CT!G115,0)</f>
        <v>0</v>
      </c>
      <c r="F118" s="69">
        <f>IF(CT!D115=SCTVTHH!$G$2,CT!F115,0)</f>
        <v>0</v>
      </c>
      <c r="G118" s="69">
        <f>IF(CT!D115=SCTVTHH!$G$2,CT!H115,0)</f>
        <v>0</v>
      </c>
      <c r="H118" s="69">
        <f>IF(CT!E115=SCTVTHH!$G$2,CT!F115,0)</f>
        <v>0</v>
      </c>
      <c r="I118" s="69">
        <f>IF(CT!E115=SCTVTHH!$G$2,CT!H115,0)</f>
        <v>0</v>
      </c>
      <c r="J118" s="69">
        <f>IF(SUM(F118,H118)=0,0,$J$6+SUM($F$8:F118)-SUM($H$8:H118))</f>
        <v>0</v>
      </c>
      <c r="K118" s="69">
        <f>IF(SUM(G118,I118)=0,0,$K$6+SUM($H$8:H118)-SUM($J$8:J118))</f>
        <v>0</v>
      </c>
    </row>
    <row r="119" spans="1:11" hidden="1" x14ac:dyDescent="0.25">
      <c r="A119" s="84" t="str">
        <f>IF(OR(CT!D116=SCTVTHH!$G$2,CT!E116=SCTVTHH!$G$2),CT!A116,"")</f>
        <v/>
      </c>
      <c r="B119" s="65" t="str">
        <f>IF(OR(CT!E116=SCTVTHH!$G$2,CT!E116=SCTVTHH!$G$2),CT!B116,"")</f>
        <v/>
      </c>
      <c r="C119" s="65" t="str">
        <f>IF(OR(CT!F116=SCTVTHH!$G$2,CT!E116=SCTVTHH!$G$2),CT!C116,"")</f>
        <v/>
      </c>
      <c r="D119" s="65" t="str">
        <f>IF(CT!D116=SCTVTHH!$G$2,CT!E116,IF(CT!E116=SCTVTHH!$G$2,CT!D116,""))</f>
        <v/>
      </c>
      <c r="E119" s="69">
        <f>IF(OR(CT!D116=SCTVTHH!$G$2,CT!E116=SCTVTHH!$G$2),CT!G116,0)</f>
        <v>0</v>
      </c>
      <c r="F119" s="69">
        <f>IF(CT!D116=SCTVTHH!$G$2,CT!F116,0)</f>
        <v>0</v>
      </c>
      <c r="G119" s="69">
        <f>IF(CT!D116=SCTVTHH!$G$2,CT!H116,0)</f>
        <v>0</v>
      </c>
      <c r="H119" s="69">
        <f>IF(CT!E116=SCTVTHH!$G$2,CT!F116,0)</f>
        <v>0</v>
      </c>
      <c r="I119" s="69">
        <f>IF(CT!E116=SCTVTHH!$G$2,CT!H116,0)</f>
        <v>0</v>
      </c>
      <c r="J119" s="69">
        <f>IF(SUM(F119,H119)=0,0,$J$6+SUM($F$8:F119)-SUM($H$8:H119))</f>
        <v>0</v>
      </c>
      <c r="K119" s="69">
        <f>IF(SUM(G119,I119)=0,0,$K$6+SUM($H$8:H119)-SUM($J$8:J119))</f>
        <v>0</v>
      </c>
    </row>
    <row r="120" spans="1:11" hidden="1" x14ac:dyDescent="0.25">
      <c r="A120" s="84" t="str">
        <f>IF(OR(CT!D117=SCTVTHH!$G$2,CT!E117=SCTVTHH!$G$2),CT!A117,"")</f>
        <v/>
      </c>
      <c r="B120" s="65" t="str">
        <f>IF(OR(CT!E117=SCTVTHH!$G$2,CT!E117=SCTVTHH!$G$2),CT!B117,"")</f>
        <v/>
      </c>
      <c r="C120" s="65" t="str">
        <f>IF(OR(CT!F117=SCTVTHH!$G$2,CT!E117=SCTVTHH!$G$2),CT!C117,"")</f>
        <v/>
      </c>
      <c r="D120" s="65" t="str">
        <f>IF(CT!D117=SCTVTHH!$G$2,CT!E117,IF(CT!E117=SCTVTHH!$G$2,CT!D117,""))</f>
        <v/>
      </c>
      <c r="E120" s="69">
        <f>IF(OR(CT!D117=SCTVTHH!$G$2,CT!E117=SCTVTHH!$G$2),CT!G117,0)</f>
        <v>0</v>
      </c>
      <c r="F120" s="69">
        <f>IF(CT!D117=SCTVTHH!$G$2,CT!F117,0)</f>
        <v>0</v>
      </c>
      <c r="G120" s="69">
        <f>IF(CT!D117=SCTVTHH!$G$2,CT!H117,0)</f>
        <v>0</v>
      </c>
      <c r="H120" s="69">
        <f>IF(CT!E117=SCTVTHH!$G$2,CT!F117,0)</f>
        <v>0</v>
      </c>
      <c r="I120" s="69">
        <f>IF(CT!E117=SCTVTHH!$G$2,CT!H117,0)</f>
        <v>0</v>
      </c>
      <c r="J120" s="69">
        <f>IF(SUM(F120,H120)=0,0,$J$6+SUM($F$8:F120)-SUM($H$8:H120))</f>
        <v>0</v>
      </c>
      <c r="K120" s="69">
        <f>IF(SUM(G120,I120)=0,0,$K$6+SUM($H$8:H120)-SUM($J$8:J120))</f>
        <v>0</v>
      </c>
    </row>
    <row r="121" spans="1:11" hidden="1" x14ac:dyDescent="0.25">
      <c r="A121" s="84" t="str">
        <f>IF(OR(CT!D118=SCTVTHH!$G$2,CT!E118=SCTVTHH!$G$2),CT!A118,"")</f>
        <v/>
      </c>
      <c r="B121" s="65" t="str">
        <f>IF(OR(CT!E118=SCTVTHH!$G$2,CT!E118=SCTVTHH!$G$2),CT!B118,"")</f>
        <v/>
      </c>
      <c r="C121" s="65" t="str">
        <f>IF(OR(CT!F118=SCTVTHH!$G$2,CT!E118=SCTVTHH!$G$2),CT!C118,"")</f>
        <v/>
      </c>
      <c r="D121" s="65" t="str">
        <f>IF(CT!D118=SCTVTHH!$G$2,CT!E118,IF(CT!E118=SCTVTHH!$G$2,CT!D118,""))</f>
        <v/>
      </c>
      <c r="E121" s="69">
        <f>IF(OR(CT!D118=SCTVTHH!$G$2,CT!E118=SCTVTHH!$G$2),CT!G118,0)</f>
        <v>0</v>
      </c>
      <c r="F121" s="69">
        <f>IF(CT!D118=SCTVTHH!$G$2,CT!F118,0)</f>
        <v>0</v>
      </c>
      <c r="G121" s="69">
        <f>IF(CT!D118=SCTVTHH!$G$2,CT!H118,0)</f>
        <v>0</v>
      </c>
      <c r="H121" s="69">
        <f>IF(CT!E118=SCTVTHH!$G$2,CT!F118,0)</f>
        <v>0</v>
      </c>
      <c r="I121" s="69">
        <f>IF(CT!E118=SCTVTHH!$G$2,CT!H118,0)</f>
        <v>0</v>
      </c>
      <c r="J121" s="69">
        <f>IF(SUM(F121,H121)=0,0,$J$6+SUM($F$8:F121)-SUM($H$8:H121))</f>
        <v>0</v>
      </c>
      <c r="K121" s="69">
        <f>IF(SUM(G121,I121)=0,0,$K$6+SUM($H$8:H121)-SUM($J$8:J121))</f>
        <v>0</v>
      </c>
    </row>
    <row r="122" spans="1:11" hidden="1" x14ac:dyDescent="0.25">
      <c r="A122" s="84" t="str">
        <f>IF(OR(CT!D119=SCTVTHH!$G$2,CT!E119=SCTVTHH!$G$2),CT!A119,"")</f>
        <v/>
      </c>
      <c r="B122" s="65" t="str">
        <f>IF(OR(CT!E119=SCTVTHH!$G$2,CT!E119=SCTVTHH!$G$2),CT!B119,"")</f>
        <v/>
      </c>
      <c r="C122" s="65" t="str">
        <f>IF(OR(CT!F119=SCTVTHH!$G$2,CT!E119=SCTVTHH!$G$2),CT!C119,"")</f>
        <v/>
      </c>
      <c r="D122" s="65" t="str">
        <f>IF(CT!D119=SCTVTHH!$G$2,CT!E119,IF(CT!E119=SCTVTHH!$G$2,CT!D119,""))</f>
        <v/>
      </c>
      <c r="E122" s="69">
        <f>IF(OR(CT!D119=SCTVTHH!$G$2,CT!E119=SCTVTHH!$G$2),CT!G119,0)</f>
        <v>0</v>
      </c>
      <c r="F122" s="69">
        <f>IF(CT!D119=SCTVTHH!$G$2,CT!F119,0)</f>
        <v>0</v>
      </c>
      <c r="G122" s="69">
        <f>IF(CT!D119=SCTVTHH!$G$2,CT!H119,0)</f>
        <v>0</v>
      </c>
      <c r="H122" s="69">
        <f>IF(CT!E119=SCTVTHH!$G$2,CT!F119,0)</f>
        <v>0</v>
      </c>
      <c r="I122" s="69">
        <f>IF(CT!E119=SCTVTHH!$G$2,CT!H119,0)</f>
        <v>0</v>
      </c>
      <c r="J122" s="69">
        <f>IF(SUM(F122,H122)=0,0,$J$6+SUM($F$8:F122)-SUM($H$8:H122))</f>
        <v>0</v>
      </c>
      <c r="K122" s="69">
        <f>IF(SUM(G122,I122)=0,0,$K$6+SUM($H$8:H122)-SUM($J$8:J122))</f>
        <v>0</v>
      </c>
    </row>
    <row r="123" spans="1:11" hidden="1" x14ac:dyDescent="0.25">
      <c r="A123" s="84" t="str">
        <f>IF(OR(CT!D120=SCTVTHH!$G$2,CT!E120=SCTVTHH!$G$2),CT!A120,"")</f>
        <v/>
      </c>
      <c r="B123" s="65" t="str">
        <f>IF(OR(CT!E120=SCTVTHH!$G$2,CT!E120=SCTVTHH!$G$2),CT!B120,"")</f>
        <v/>
      </c>
      <c r="C123" s="65" t="str">
        <f>IF(OR(CT!F120=SCTVTHH!$G$2,CT!E120=SCTVTHH!$G$2),CT!C120,"")</f>
        <v/>
      </c>
      <c r="D123" s="65" t="str">
        <f>IF(CT!D120=SCTVTHH!$G$2,CT!E120,IF(CT!E120=SCTVTHH!$G$2,CT!D120,""))</f>
        <v/>
      </c>
      <c r="E123" s="69">
        <f>IF(OR(CT!D120=SCTVTHH!$G$2,CT!E120=SCTVTHH!$G$2),CT!G120,0)</f>
        <v>0</v>
      </c>
      <c r="F123" s="69">
        <f>IF(CT!D120=SCTVTHH!$G$2,CT!F120,0)</f>
        <v>0</v>
      </c>
      <c r="G123" s="69">
        <f>IF(CT!D120=SCTVTHH!$G$2,CT!H120,0)</f>
        <v>0</v>
      </c>
      <c r="H123" s="69">
        <f>IF(CT!E120=SCTVTHH!$G$2,CT!F120,0)</f>
        <v>0</v>
      </c>
      <c r="I123" s="69">
        <f>IF(CT!E120=SCTVTHH!$G$2,CT!H120,0)</f>
        <v>0</v>
      </c>
      <c r="J123" s="69">
        <f>IF(SUM(F123,H123)=0,0,$J$6+SUM($F$8:F123)-SUM($H$8:H123))</f>
        <v>0</v>
      </c>
      <c r="K123" s="69">
        <f>IF(SUM(G123,I123)=0,0,$K$6+SUM($H$8:H123)-SUM($J$8:J123))</f>
        <v>0</v>
      </c>
    </row>
    <row r="124" spans="1:11" hidden="1" x14ac:dyDescent="0.25">
      <c r="A124" s="84" t="str">
        <f>IF(OR(CT!D121=SCTVTHH!$G$2,CT!E121=SCTVTHH!$G$2),CT!A121,"")</f>
        <v/>
      </c>
      <c r="B124" s="65" t="str">
        <f>IF(OR(CT!E121=SCTVTHH!$G$2,CT!E121=SCTVTHH!$G$2),CT!B121,"")</f>
        <v/>
      </c>
      <c r="C124" s="65" t="str">
        <f>IF(OR(CT!F121=SCTVTHH!$G$2,CT!E121=SCTVTHH!$G$2),CT!C121,"")</f>
        <v/>
      </c>
      <c r="D124" s="65" t="str">
        <f>IF(CT!D121=SCTVTHH!$G$2,CT!E121,IF(CT!E121=SCTVTHH!$G$2,CT!D121,""))</f>
        <v/>
      </c>
      <c r="E124" s="69">
        <f>IF(OR(CT!D121=SCTVTHH!$G$2,CT!E121=SCTVTHH!$G$2),CT!G121,0)</f>
        <v>0</v>
      </c>
      <c r="F124" s="69">
        <f>IF(CT!D121=SCTVTHH!$G$2,CT!F121,0)</f>
        <v>0</v>
      </c>
      <c r="G124" s="69">
        <f>IF(CT!D121=SCTVTHH!$G$2,CT!H121,0)</f>
        <v>0</v>
      </c>
      <c r="H124" s="69">
        <f>IF(CT!E121=SCTVTHH!$G$2,CT!F121,0)</f>
        <v>0</v>
      </c>
      <c r="I124" s="69">
        <f>IF(CT!E121=SCTVTHH!$G$2,CT!H121,0)</f>
        <v>0</v>
      </c>
      <c r="J124" s="69">
        <f>IF(SUM(F124,H124)=0,0,$J$6+SUM($F$8:F124)-SUM($H$8:H124))</f>
        <v>0</v>
      </c>
      <c r="K124" s="69">
        <f>IF(SUM(G124,I124)=0,0,$K$6+SUM($H$8:H124)-SUM($J$8:J124))</f>
        <v>0</v>
      </c>
    </row>
    <row r="125" spans="1:11" hidden="1" x14ac:dyDescent="0.25">
      <c r="A125" s="84" t="str">
        <f>IF(OR(CT!D122=SCTVTHH!$G$2,CT!E122=SCTVTHH!$G$2),CT!A122,"")</f>
        <v/>
      </c>
      <c r="B125" s="65" t="str">
        <f>IF(OR(CT!E122=SCTVTHH!$G$2,CT!E122=SCTVTHH!$G$2),CT!B122,"")</f>
        <v/>
      </c>
      <c r="C125" s="65" t="str">
        <f>IF(OR(CT!F122=SCTVTHH!$G$2,CT!E122=SCTVTHH!$G$2),CT!C122,"")</f>
        <v/>
      </c>
      <c r="D125" s="65" t="str">
        <f>IF(CT!D122=SCTVTHH!$G$2,CT!E122,IF(CT!E122=SCTVTHH!$G$2,CT!D122,""))</f>
        <v/>
      </c>
      <c r="E125" s="69">
        <f>IF(OR(CT!D122=SCTVTHH!$G$2,CT!E122=SCTVTHH!$G$2),CT!G122,0)</f>
        <v>0</v>
      </c>
      <c r="F125" s="69">
        <f>IF(CT!D122=SCTVTHH!$G$2,CT!F122,0)</f>
        <v>0</v>
      </c>
      <c r="G125" s="69">
        <f>IF(CT!D122=SCTVTHH!$G$2,CT!H122,0)</f>
        <v>0</v>
      </c>
      <c r="H125" s="69">
        <f>IF(CT!E122=SCTVTHH!$G$2,CT!F122,0)</f>
        <v>0</v>
      </c>
      <c r="I125" s="69">
        <f>IF(CT!E122=SCTVTHH!$G$2,CT!H122,0)</f>
        <v>0</v>
      </c>
      <c r="J125" s="69">
        <f>IF(SUM(F125,H125)=0,0,$J$6+SUM($F$8:F125)-SUM($H$8:H125))</f>
        <v>0</v>
      </c>
      <c r="K125" s="69">
        <f>IF(SUM(G125,I125)=0,0,$K$6+SUM($H$8:H125)-SUM($J$8:J125))</f>
        <v>0</v>
      </c>
    </row>
    <row r="126" spans="1:11" hidden="1" x14ac:dyDescent="0.25">
      <c r="A126" s="84" t="str">
        <f>IF(OR(CT!D123=SCTVTHH!$G$2,CT!E123=SCTVTHH!$G$2),CT!A123,"")</f>
        <v/>
      </c>
      <c r="B126" s="65" t="str">
        <f>IF(OR(CT!E123=SCTVTHH!$G$2,CT!E123=SCTVTHH!$G$2),CT!B123,"")</f>
        <v/>
      </c>
      <c r="C126" s="65" t="str">
        <f>IF(OR(CT!F123=SCTVTHH!$G$2,CT!E123=SCTVTHH!$G$2),CT!C123,"")</f>
        <v/>
      </c>
      <c r="D126" s="65" t="str">
        <f>IF(CT!D123=SCTVTHH!$G$2,CT!E123,IF(CT!E123=SCTVTHH!$G$2,CT!D123,""))</f>
        <v/>
      </c>
      <c r="E126" s="69">
        <f>IF(OR(CT!D123=SCTVTHH!$G$2,CT!E123=SCTVTHH!$G$2),CT!G123,0)</f>
        <v>0</v>
      </c>
      <c r="F126" s="69">
        <f>IF(CT!D123=SCTVTHH!$G$2,CT!F123,0)</f>
        <v>0</v>
      </c>
      <c r="G126" s="69">
        <f>IF(CT!D123=SCTVTHH!$G$2,CT!H123,0)</f>
        <v>0</v>
      </c>
      <c r="H126" s="69">
        <f>IF(CT!E123=SCTVTHH!$G$2,CT!F123,0)</f>
        <v>0</v>
      </c>
      <c r="I126" s="69">
        <f>IF(CT!E123=SCTVTHH!$G$2,CT!H123,0)</f>
        <v>0</v>
      </c>
      <c r="J126" s="69">
        <f>IF(SUM(F126,H126)=0,0,$J$6+SUM($F$8:F126)-SUM($H$8:H126))</f>
        <v>0</v>
      </c>
      <c r="K126" s="69">
        <f>IF(SUM(G126,I126)=0,0,$K$6+SUM($H$8:H126)-SUM($J$8:J126))</f>
        <v>0</v>
      </c>
    </row>
    <row r="127" spans="1:11" hidden="1" x14ac:dyDescent="0.25">
      <c r="A127" s="84" t="str">
        <f>IF(OR(CT!D124=SCTVTHH!$G$2,CT!E124=SCTVTHH!$G$2),CT!A124,"")</f>
        <v/>
      </c>
      <c r="B127" s="65" t="str">
        <f>IF(OR(CT!E124=SCTVTHH!$G$2,CT!E124=SCTVTHH!$G$2),CT!B124,"")</f>
        <v/>
      </c>
      <c r="C127" s="65" t="str">
        <f>IF(OR(CT!F124=SCTVTHH!$G$2,CT!E124=SCTVTHH!$G$2),CT!C124,"")</f>
        <v/>
      </c>
      <c r="D127" s="65" t="str">
        <f>IF(CT!D124=SCTVTHH!$G$2,CT!E124,IF(CT!E124=SCTVTHH!$G$2,CT!D124,""))</f>
        <v/>
      </c>
      <c r="E127" s="69">
        <f>IF(OR(CT!D124=SCTVTHH!$G$2,CT!E124=SCTVTHH!$G$2),CT!G124,0)</f>
        <v>0</v>
      </c>
      <c r="F127" s="69">
        <f>IF(CT!D124=SCTVTHH!$G$2,CT!F124,0)</f>
        <v>0</v>
      </c>
      <c r="G127" s="69">
        <f>IF(CT!D124=SCTVTHH!$G$2,CT!H124,0)</f>
        <v>0</v>
      </c>
      <c r="H127" s="69">
        <f>IF(CT!E124=SCTVTHH!$G$2,CT!F124,0)</f>
        <v>0</v>
      </c>
      <c r="I127" s="69">
        <f>IF(CT!E124=SCTVTHH!$G$2,CT!H124,0)</f>
        <v>0</v>
      </c>
      <c r="J127" s="69">
        <f>IF(SUM(F127,H127)=0,0,$J$6+SUM($F$8:F127)-SUM($H$8:H127))</f>
        <v>0</v>
      </c>
      <c r="K127" s="69">
        <f>IF(SUM(G127,I127)=0,0,$K$6+SUM($H$8:H127)-SUM($J$8:J127))</f>
        <v>0</v>
      </c>
    </row>
    <row r="128" spans="1:11" hidden="1" x14ac:dyDescent="0.25">
      <c r="A128" s="84" t="str">
        <f>IF(OR(CT!D125=SCTVTHH!$G$2,CT!E125=SCTVTHH!$G$2),CT!A125,"")</f>
        <v/>
      </c>
      <c r="B128" s="65" t="str">
        <f>IF(OR(CT!E125=SCTVTHH!$G$2,CT!E125=SCTVTHH!$G$2),CT!B125,"")</f>
        <v/>
      </c>
      <c r="C128" s="65" t="str">
        <f>IF(OR(CT!F125=SCTVTHH!$G$2,CT!E125=SCTVTHH!$G$2),CT!C125,"")</f>
        <v/>
      </c>
      <c r="D128" s="65" t="str">
        <f>IF(CT!D125=SCTVTHH!$G$2,CT!E125,IF(CT!E125=SCTVTHH!$G$2,CT!D125,""))</f>
        <v/>
      </c>
      <c r="E128" s="69">
        <f>IF(OR(CT!D125=SCTVTHH!$G$2,CT!E125=SCTVTHH!$G$2),CT!G125,0)</f>
        <v>0</v>
      </c>
      <c r="F128" s="69">
        <f>IF(CT!D125=SCTVTHH!$G$2,CT!F125,0)</f>
        <v>0</v>
      </c>
      <c r="G128" s="69">
        <f>IF(CT!D125=SCTVTHH!$G$2,CT!H125,0)</f>
        <v>0</v>
      </c>
      <c r="H128" s="69">
        <f>IF(CT!E125=SCTVTHH!$G$2,CT!F125,0)</f>
        <v>0</v>
      </c>
      <c r="I128" s="69">
        <f>IF(CT!E125=SCTVTHH!$G$2,CT!H125,0)</f>
        <v>0</v>
      </c>
      <c r="J128" s="69">
        <f>IF(SUM(F128,H128)=0,0,$J$6+SUM($F$8:F128)-SUM($H$8:H128))</f>
        <v>0</v>
      </c>
      <c r="K128" s="69">
        <f>IF(SUM(G128,I128)=0,0,$K$6+SUM($H$8:H128)-SUM($J$8:J128))</f>
        <v>0</v>
      </c>
    </row>
    <row r="129" spans="1:11" hidden="1" x14ac:dyDescent="0.25">
      <c r="A129" s="84" t="str">
        <f>IF(OR(CT!D126=SCTVTHH!$G$2,CT!E126=SCTVTHH!$G$2),CT!A126,"")</f>
        <v/>
      </c>
      <c r="B129" s="65" t="str">
        <f>IF(OR(CT!E126=SCTVTHH!$G$2,CT!E126=SCTVTHH!$G$2),CT!B126,"")</f>
        <v/>
      </c>
      <c r="C129" s="65" t="str">
        <f>IF(OR(CT!F126=SCTVTHH!$G$2,CT!E126=SCTVTHH!$G$2),CT!C126,"")</f>
        <v/>
      </c>
      <c r="D129" s="65" t="str">
        <f>IF(CT!D126=SCTVTHH!$G$2,CT!E126,IF(CT!E126=SCTVTHH!$G$2,CT!D126,""))</f>
        <v/>
      </c>
      <c r="E129" s="69">
        <f>IF(OR(CT!D126=SCTVTHH!$G$2,CT!E126=SCTVTHH!$G$2),CT!G126,0)</f>
        <v>0</v>
      </c>
      <c r="F129" s="69">
        <f>IF(CT!D126=SCTVTHH!$G$2,CT!F126,0)</f>
        <v>0</v>
      </c>
      <c r="G129" s="69">
        <f>IF(CT!D126=SCTVTHH!$G$2,CT!H126,0)</f>
        <v>0</v>
      </c>
      <c r="H129" s="69">
        <f>IF(CT!E126=SCTVTHH!$G$2,CT!F126,0)</f>
        <v>0</v>
      </c>
      <c r="I129" s="69">
        <f>IF(CT!E126=SCTVTHH!$G$2,CT!H126,0)</f>
        <v>0</v>
      </c>
      <c r="J129" s="69">
        <f>IF(SUM(F129,H129)=0,0,$J$6+SUM($F$8:F129)-SUM($H$8:H129))</f>
        <v>0</v>
      </c>
      <c r="K129" s="69">
        <f>IF(SUM(G129,I129)=0,0,$K$6+SUM($H$8:H129)-SUM($J$8:J129))</f>
        <v>0</v>
      </c>
    </row>
    <row r="130" spans="1:11" hidden="1" x14ac:dyDescent="0.25">
      <c r="A130" s="84" t="str">
        <f>IF(OR(CT!D127=SCTVTHH!$G$2,CT!E127=SCTVTHH!$G$2),CT!A127,"")</f>
        <v/>
      </c>
      <c r="B130" s="65" t="str">
        <f>IF(OR(CT!E127=SCTVTHH!$G$2,CT!E127=SCTVTHH!$G$2),CT!B127,"")</f>
        <v/>
      </c>
      <c r="C130" s="65" t="str">
        <f>IF(OR(CT!F127=SCTVTHH!$G$2,CT!E127=SCTVTHH!$G$2),CT!C127,"")</f>
        <v/>
      </c>
      <c r="D130" s="65" t="str">
        <f>IF(CT!D127=SCTVTHH!$G$2,CT!E127,IF(CT!E127=SCTVTHH!$G$2,CT!D127,""))</f>
        <v/>
      </c>
      <c r="E130" s="69">
        <f>IF(OR(CT!D127=SCTVTHH!$G$2,CT!E127=SCTVTHH!$G$2),CT!G127,0)</f>
        <v>0</v>
      </c>
      <c r="F130" s="69">
        <f>IF(CT!D127=SCTVTHH!$G$2,CT!F127,0)</f>
        <v>0</v>
      </c>
      <c r="G130" s="69">
        <f>IF(CT!D127=SCTVTHH!$G$2,CT!H127,0)</f>
        <v>0</v>
      </c>
      <c r="H130" s="69">
        <f>IF(CT!E127=SCTVTHH!$G$2,CT!F127,0)</f>
        <v>0</v>
      </c>
      <c r="I130" s="69">
        <f>IF(CT!E127=SCTVTHH!$G$2,CT!H127,0)</f>
        <v>0</v>
      </c>
      <c r="J130" s="69">
        <f>IF(SUM(F130,H130)=0,0,$J$6+SUM($F$8:F130)-SUM($H$8:H130))</f>
        <v>0</v>
      </c>
      <c r="K130" s="69">
        <f>IF(SUM(G130,I130)=0,0,$K$6+SUM($H$8:H130)-SUM($J$8:J130))</f>
        <v>0</v>
      </c>
    </row>
    <row r="131" spans="1:11" hidden="1" x14ac:dyDescent="0.25">
      <c r="A131" s="84" t="str">
        <f>IF(OR(CT!D128=SCTVTHH!$G$2,CT!E128=SCTVTHH!$G$2),CT!A128,"")</f>
        <v/>
      </c>
      <c r="B131" s="65" t="str">
        <f>IF(OR(CT!E128=SCTVTHH!$G$2,CT!E128=SCTVTHH!$G$2),CT!B128,"")</f>
        <v/>
      </c>
      <c r="C131" s="65" t="str">
        <f>IF(OR(CT!F128=SCTVTHH!$G$2,CT!E128=SCTVTHH!$G$2),CT!C128,"")</f>
        <v/>
      </c>
      <c r="D131" s="65" t="str">
        <f>IF(CT!D128=SCTVTHH!$G$2,CT!E128,IF(CT!E128=SCTVTHH!$G$2,CT!D128,""))</f>
        <v/>
      </c>
      <c r="E131" s="69">
        <f>IF(OR(CT!D128=SCTVTHH!$G$2,CT!E128=SCTVTHH!$G$2),CT!G128,0)</f>
        <v>0</v>
      </c>
      <c r="F131" s="69">
        <f>IF(CT!D128=SCTVTHH!$G$2,CT!F128,0)</f>
        <v>0</v>
      </c>
      <c r="G131" s="69">
        <f>IF(CT!D128=SCTVTHH!$G$2,CT!H128,0)</f>
        <v>0</v>
      </c>
      <c r="H131" s="69">
        <f>IF(CT!E128=SCTVTHH!$G$2,CT!F128,0)</f>
        <v>0</v>
      </c>
      <c r="I131" s="69">
        <f>IF(CT!E128=SCTVTHH!$G$2,CT!H128,0)</f>
        <v>0</v>
      </c>
      <c r="J131" s="69">
        <f>IF(SUM(F131,H131)=0,0,$J$6+SUM($F$8:F131)-SUM($H$8:H131))</f>
        <v>0</v>
      </c>
      <c r="K131" s="69">
        <f>IF(SUM(G131,I131)=0,0,$K$6+SUM($H$8:H131)-SUM($J$8:J131))</f>
        <v>0</v>
      </c>
    </row>
    <row r="132" spans="1:11" hidden="1" x14ac:dyDescent="0.25">
      <c r="A132" s="84" t="str">
        <f>IF(OR(CT!D129=SCTVTHH!$G$2,CT!E129=SCTVTHH!$G$2),CT!A129,"")</f>
        <v/>
      </c>
      <c r="B132" s="65" t="str">
        <f>IF(OR(CT!E129=SCTVTHH!$G$2,CT!E129=SCTVTHH!$G$2),CT!B129,"")</f>
        <v/>
      </c>
      <c r="C132" s="65" t="str">
        <f>IF(OR(CT!F129=SCTVTHH!$G$2,CT!E129=SCTVTHH!$G$2),CT!C129,"")</f>
        <v/>
      </c>
      <c r="D132" s="65" t="str">
        <f>IF(CT!D129=SCTVTHH!$G$2,CT!E129,IF(CT!E129=SCTVTHH!$G$2,CT!D129,""))</f>
        <v/>
      </c>
      <c r="E132" s="69">
        <f>IF(OR(CT!D129=SCTVTHH!$G$2,CT!E129=SCTVTHH!$G$2),CT!G129,0)</f>
        <v>0</v>
      </c>
      <c r="F132" s="69">
        <f>IF(CT!D129=SCTVTHH!$G$2,CT!F129,0)</f>
        <v>0</v>
      </c>
      <c r="G132" s="69">
        <f>IF(CT!D129=SCTVTHH!$G$2,CT!H129,0)</f>
        <v>0</v>
      </c>
      <c r="H132" s="69">
        <f>IF(CT!E129=SCTVTHH!$G$2,CT!F129,0)</f>
        <v>0</v>
      </c>
      <c r="I132" s="69">
        <f>IF(CT!E129=SCTVTHH!$G$2,CT!H129,0)</f>
        <v>0</v>
      </c>
      <c r="J132" s="69">
        <f>IF(SUM(F132,H132)=0,0,$J$6+SUM($F$8:F132)-SUM($H$8:H132))</f>
        <v>0</v>
      </c>
      <c r="K132" s="69">
        <f>IF(SUM(G132,I132)=0,0,$K$6+SUM($H$8:H132)-SUM($J$8:J132))</f>
        <v>0</v>
      </c>
    </row>
    <row r="133" spans="1:11" hidden="1" x14ac:dyDescent="0.25">
      <c r="A133" s="84" t="str">
        <f>IF(OR(CT!D130=SCTVTHH!$G$2,CT!E130=SCTVTHH!$G$2),CT!A130,"")</f>
        <v/>
      </c>
      <c r="B133" s="65" t="str">
        <f>IF(OR(CT!E130=SCTVTHH!$G$2,CT!E130=SCTVTHH!$G$2),CT!B130,"")</f>
        <v/>
      </c>
      <c r="C133" s="65" t="str">
        <f>IF(OR(CT!F130=SCTVTHH!$G$2,CT!E130=SCTVTHH!$G$2),CT!C130,"")</f>
        <v/>
      </c>
      <c r="D133" s="65" t="str">
        <f>IF(CT!D130=SCTVTHH!$G$2,CT!E130,IF(CT!E130=SCTVTHH!$G$2,CT!D130,""))</f>
        <v/>
      </c>
      <c r="E133" s="69">
        <f>IF(OR(CT!D130=SCTVTHH!$G$2,CT!E130=SCTVTHH!$G$2),CT!G130,0)</f>
        <v>0</v>
      </c>
      <c r="F133" s="69">
        <f>IF(CT!D130=SCTVTHH!$G$2,CT!F130,0)</f>
        <v>0</v>
      </c>
      <c r="G133" s="69">
        <f>IF(CT!D130=SCTVTHH!$G$2,CT!H130,0)</f>
        <v>0</v>
      </c>
      <c r="H133" s="69">
        <f>IF(CT!E130=SCTVTHH!$G$2,CT!F130,0)</f>
        <v>0</v>
      </c>
      <c r="I133" s="69">
        <f>IF(CT!E130=SCTVTHH!$G$2,CT!H130,0)</f>
        <v>0</v>
      </c>
      <c r="J133" s="69">
        <f>IF(SUM(F133,H133)=0,0,$J$6+SUM($F$8:F133)-SUM($H$8:H133))</f>
        <v>0</v>
      </c>
      <c r="K133" s="69">
        <f>IF(SUM(G133,I133)=0,0,$K$6+SUM($H$8:H133)-SUM($J$8:J133))</f>
        <v>0</v>
      </c>
    </row>
    <row r="134" spans="1:11" hidden="1" x14ac:dyDescent="0.25">
      <c r="A134" s="84" t="str">
        <f>IF(OR(CT!D131=SCTVTHH!$G$2,CT!E131=SCTVTHH!$G$2),CT!A131,"")</f>
        <v/>
      </c>
      <c r="B134" s="65" t="str">
        <f>IF(OR(CT!E131=SCTVTHH!$G$2,CT!E131=SCTVTHH!$G$2),CT!B131,"")</f>
        <v/>
      </c>
      <c r="C134" s="65" t="str">
        <f>IF(OR(CT!F131=SCTVTHH!$G$2,CT!E131=SCTVTHH!$G$2),CT!C131,"")</f>
        <v/>
      </c>
      <c r="D134" s="65" t="str">
        <f>IF(CT!D131=SCTVTHH!$G$2,CT!E131,IF(CT!E131=SCTVTHH!$G$2,CT!D131,""))</f>
        <v/>
      </c>
      <c r="E134" s="69">
        <f>IF(OR(CT!D131=SCTVTHH!$G$2,CT!E131=SCTVTHH!$G$2),CT!G131,0)</f>
        <v>0</v>
      </c>
      <c r="F134" s="69">
        <f>IF(CT!D131=SCTVTHH!$G$2,CT!F131,0)</f>
        <v>0</v>
      </c>
      <c r="G134" s="69">
        <f>IF(CT!D131=SCTVTHH!$G$2,CT!H131,0)</f>
        <v>0</v>
      </c>
      <c r="H134" s="69">
        <f>IF(CT!E131=SCTVTHH!$G$2,CT!F131,0)</f>
        <v>0</v>
      </c>
      <c r="I134" s="69">
        <f>IF(CT!E131=SCTVTHH!$G$2,CT!H131,0)</f>
        <v>0</v>
      </c>
      <c r="J134" s="69">
        <f>IF(SUM(F134,H134)=0,0,$J$6+SUM($F$8:F134)-SUM($H$8:H134))</f>
        <v>0</v>
      </c>
      <c r="K134" s="69">
        <f>IF(SUM(G134,I134)=0,0,$K$6+SUM($H$8:H134)-SUM($J$8:J134))</f>
        <v>0</v>
      </c>
    </row>
    <row r="135" spans="1:11" hidden="1" x14ac:dyDescent="0.25">
      <c r="A135" s="84" t="str">
        <f>IF(OR(CT!D132=SCTVTHH!$G$2,CT!E132=SCTVTHH!$G$2),CT!A132,"")</f>
        <v/>
      </c>
      <c r="B135" s="65" t="str">
        <f>IF(OR(CT!E132=SCTVTHH!$G$2,CT!E132=SCTVTHH!$G$2),CT!B132,"")</f>
        <v/>
      </c>
      <c r="C135" s="65" t="str">
        <f>IF(OR(CT!F132=SCTVTHH!$G$2,CT!E132=SCTVTHH!$G$2),CT!C132,"")</f>
        <v/>
      </c>
      <c r="D135" s="65" t="str">
        <f>IF(CT!D132=SCTVTHH!$G$2,CT!E132,IF(CT!E132=SCTVTHH!$G$2,CT!D132,""))</f>
        <v/>
      </c>
      <c r="E135" s="69">
        <f>IF(OR(CT!D132=SCTVTHH!$G$2,CT!E132=SCTVTHH!$G$2),CT!G132,0)</f>
        <v>0</v>
      </c>
      <c r="F135" s="69">
        <f>IF(CT!D132=SCTVTHH!$G$2,CT!F132,0)</f>
        <v>0</v>
      </c>
      <c r="G135" s="69">
        <f>IF(CT!D132=SCTVTHH!$G$2,CT!H132,0)</f>
        <v>0</v>
      </c>
      <c r="H135" s="69">
        <f>IF(CT!E132=SCTVTHH!$G$2,CT!F132,0)</f>
        <v>0</v>
      </c>
      <c r="I135" s="69">
        <f>IF(CT!E132=SCTVTHH!$G$2,CT!H132,0)</f>
        <v>0</v>
      </c>
      <c r="J135" s="69">
        <f>IF(SUM(F135,H135)=0,0,$J$6+SUM($F$8:F135)-SUM($H$8:H135))</f>
        <v>0</v>
      </c>
      <c r="K135" s="69">
        <f>IF(SUM(G135,I135)=0,0,$K$6+SUM($H$8:H135)-SUM($J$8:J135))</f>
        <v>0</v>
      </c>
    </row>
    <row r="136" spans="1:11" hidden="1" x14ac:dyDescent="0.25">
      <c r="A136" s="84" t="str">
        <f>IF(OR(CT!D133=SCTVTHH!$G$2,CT!E133=SCTVTHH!$G$2),CT!A133,"")</f>
        <v/>
      </c>
      <c r="B136" s="65" t="str">
        <f>IF(OR(CT!E133=SCTVTHH!$G$2,CT!E133=SCTVTHH!$G$2),CT!B133,"")</f>
        <v/>
      </c>
      <c r="C136" s="65" t="str">
        <f>IF(OR(CT!F133=SCTVTHH!$G$2,CT!E133=SCTVTHH!$G$2),CT!C133,"")</f>
        <v/>
      </c>
      <c r="D136" s="65" t="str">
        <f>IF(CT!D133=SCTVTHH!$G$2,CT!E133,IF(CT!E133=SCTVTHH!$G$2,CT!D133,""))</f>
        <v/>
      </c>
      <c r="E136" s="69">
        <f>IF(OR(CT!D133=SCTVTHH!$G$2,CT!E133=SCTVTHH!$G$2),CT!G133,0)</f>
        <v>0</v>
      </c>
      <c r="F136" s="69">
        <f>IF(CT!D133=SCTVTHH!$G$2,CT!F133,0)</f>
        <v>0</v>
      </c>
      <c r="G136" s="69">
        <f>IF(CT!D133=SCTVTHH!$G$2,CT!H133,0)</f>
        <v>0</v>
      </c>
      <c r="H136" s="69">
        <f>IF(CT!E133=SCTVTHH!$G$2,CT!F133,0)</f>
        <v>0</v>
      </c>
      <c r="I136" s="69">
        <f>IF(CT!E133=SCTVTHH!$G$2,CT!H133,0)</f>
        <v>0</v>
      </c>
      <c r="J136" s="69">
        <f>IF(SUM(F136,H136)=0,0,$J$6+SUM($F$8:F136)-SUM($H$8:H136))</f>
        <v>0</v>
      </c>
      <c r="K136" s="69">
        <f>IF(SUM(G136,I136)=0,0,$K$6+SUM($H$8:H136)-SUM($J$8:J136))</f>
        <v>0</v>
      </c>
    </row>
    <row r="137" spans="1:11" hidden="1" x14ac:dyDescent="0.25">
      <c r="A137" s="84" t="str">
        <f>IF(OR(CT!D134=SCTVTHH!$G$2,CT!E134=SCTVTHH!$G$2),CT!A134,"")</f>
        <v/>
      </c>
      <c r="B137" s="65" t="str">
        <f>IF(OR(CT!E134=SCTVTHH!$G$2,CT!E134=SCTVTHH!$G$2),CT!B134,"")</f>
        <v/>
      </c>
      <c r="C137" s="65" t="str">
        <f>IF(OR(CT!F134=SCTVTHH!$G$2,CT!E134=SCTVTHH!$G$2),CT!C134,"")</f>
        <v/>
      </c>
      <c r="D137" s="65" t="str">
        <f>IF(CT!D134=SCTVTHH!$G$2,CT!E134,IF(CT!E134=SCTVTHH!$G$2,CT!D134,""))</f>
        <v/>
      </c>
      <c r="E137" s="69">
        <f>IF(OR(CT!D134=SCTVTHH!$G$2,CT!E134=SCTVTHH!$G$2),CT!G134,0)</f>
        <v>0</v>
      </c>
      <c r="F137" s="69">
        <f>IF(CT!D134=SCTVTHH!$G$2,CT!F134,0)</f>
        <v>0</v>
      </c>
      <c r="G137" s="69">
        <f>IF(CT!D134=SCTVTHH!$G$2,CT!H134,0)</f>
        <v>0</v>
      </c>
      <c r="H137" s="69">
        <f>IF(CT!E134=SCTVTHH!$G$2,CT!F134,0)</f>
        <v>0</v>
      </c>
      <c r="I137" s="69">
        <f>IF(CT!E134=SCTVTHH!$G$2,CT!H134,0)</f>
        <v>0</v>
      </c>
      <c r="J137" s="69">
        <f>IF(SUM(F137,H137)=0,0,$J$6+SUM($F$8:F137)-SUM($H$8:H137))</f>
        <v>0</v>
      </c>
      <c r="K137" s="69">
        <f>IF(SUM(G137,I137)=0,0,$K$6+SUM($H$8:H137)-SUM($J$8:J137))</f>
        <v>0</v>
      </c>
    </row>
    <row r="138" spans="1:11" hidden="1" x14ac:dyDescent="0.25">
      <c r="A138" s="84" t="str">
        <f>IF(OR(CT!D135=SCTVTHH!$G$2,CT!E135=SCTVTHH!$G$2),CT!A135,"")</f>
        <v/>
      </c>
      <c r="B138" s="65" t="str">
        <f>IF(OR(CT!E135=SCTVTHH!$G$2,CT!E135=SCTVTHH!$G$2),CT!B135,"")</f>
        <v/>
      </c>
      <c r="C138" s="65" t="str">
        <f>IF(OR(CT!F135=SCTVTHH!$G$2,CT!E135=SCTVTHH!$G$2),CT!C135,"")</f>
        <v/>
      </c>
      <c r="D138" s="65" t="str">
        <f>IF(CT!D135=SCTVTHH!$G$2,CT!E135,IF(CT!E135=SCTVTHH!$G$2,CT!D135,""))</f>
        <v/>
      </c>
      <c r="E138" s="69">
        <f>IF(OR(CT!D135=SCTVTHH!$G$2,CT!E135=SCTVTHH!$G$2),CT!G135,0)</f>
        <v>0</v>
      </c>
      <c r="F138" s="69">
        <f>IF(CT!D135=SCTVTHH!$G$2,CT!F135,0)</f>
        <v>0</v>
      </c>
      <c r="G138" s="69">
        <f>IF(CT!D135=SCTVTHH!$G$2,CT!H135,0)</f>
        <v>0</v>
      </c>
      <c r="H138" s="69">
        <f>IF(CT!E135=SCTVTHH!$G$2,CT!F135,0)</f>
        <v>0</v>
      </c>
      <c r="I138" s="69">
        <f>IF(CT!E135=SCTVTHH!$G$2,CT!H135,0)</f>
        <v>0</v>
      </c>
      <c r="J138" s="69">
        <f>IF(SUM(F138,H138)=0,0,$J$6+SUM($F$8:F138)-SUM($H$8:H138))</f>
        <v>0</v>
      </c>
      <c r="K138" s="69">
        <f>IF(SUM(G138,I138)=0,0,$K$6+SUM($H$8:H138)-SUM($J$8:J138))</f>
        <v>0</v>
      </c>
    </row>
    <row r="139" spans="1:11" hidden="1" x14ac:dyDescent="0.25">
      <c r="A139" s="84" t="str">
        <f>IF(OR(CT!D136=SCTVTHH!$G$2,CT!E136=SCTVTHH!$G$2),CT!A136,"")</f>
        <v/>
      </c>
      <c r="B139" s="65" t="str">
        <f>IF(OR(CT!E136=SCTVTHH!$G$2,CT!E136=SCTVTHH!$G$2),CT!B136,"")</f>
        <v/>
      </c>
      <c r="C139" s="65" t="str">
        <f>IF(OR(CT!F136=SCTVTHH!$G$2,CT!E136=SCTVTHH!$G$2),CT!C136,"")</f>
        <v/>
      </c>
      <c r="D139" s="65" t="str">
        <f>IF(CT!D136=SCTVTHH!$G$2,CT!E136,IF(CT!E136=SCTVTHH!$G$2,CT!D136,""))</f>
        <v/>
      </c>
      <c r="E139" s="69">
        <f>IF(OR(CT!D136=SCTVTHH!$G$2,CT!E136=SCTVTHH!$G$2),CT!G136,0)</f>
        <v>0</v>
      </c>
      <c r="F139" s="69">
        <f>IF(CT!D136=SCTVTHH!$G$2,CT!F136,0)</f>
        <v>0</v>
      </c>
      <c r="G139" s="69">
        <f>IF(CT!D136=SCTVTHH!$G$2,CT!H136,0)</f>
        <v>0</v>
      </c>
      <c r="H139" s="69">
        <f>IF(CT!E136=SCTVTHH!$G$2,CT!F136,0)</f>
        <v>0</v>
      </c>
      <c r="I139" s="69">
        <f>IF(CT!E136=SCTVTHH!$G$2,CT!H136,0)</f>
        <v>0</v>
      </c>
      <c r="J139" s="69">
        <f>IF(SUM(F139,H139)=0,0,$J$6+SUM($F$8:F139)-SUM($H$8:H139))</f>
        <v>0</v>
      </c>
      <c r="K139" s="69">
        <f>IF(SUM(G139,I139)=0,0,$K$6+SUM($H$8:H139)-SUM($J$8:J139))</f>
        <v>0</v>
      </c>
    </row>
    <row r="140" spans="1:11" hidden="1" x14ac:dyDescent="0.25">
      <c r="A140" s="84" t="str">
        <f>IF(OR(CT!D137=SCTVTHH!$G$2,CT!E137=SCTVTHH!$G$2),CT!A137,"")</f>
        <v/>
      </c>
      <c r="B140" s="65" t="str">
        <f>IF(OR(CT!E137=SCTVTHH!$G$2,CT!E137=SCTVTHH!$G$2),CT!B137,"")</f>
        <v/>
      </c>
      <c r="C140" s="65" t="str">
        <f>IF(OR(CT!F137=SCTVTHH!$G$2,CT!E137=SCTVTHH!$G$2),CT!C137,"")</f>
        <v/>
      </c>
      <c r="D140" s="65" t="str">
        <f>IF(CT!D137=SCTVTHH!$G$2,CT!E137,IF(CT!E137=SCTVTHH!$G$2,CT!D137,""))</f>
        <v/>
      </c>
      <c r="E140" s="69">
        <f>IF(OR(CT!D137=SCTVTHH!$G$2,CT!E137=SCTVTHH!$G$2),CT!G137,0)</f>
        <v>0</v>
      </c>
      <c r="F140" s="69">
        <f>IF(CT!D137=SCTVTHH!$G$2,CT!F137,0)</f>
        <v>0</v>
      </c>
      <c r="G140" s="69">
        <f>IF(CT!D137=SCTVTHH!$G$2,CT!H137,0)</f>
        <v>0</v>
      </c>
      <c r="H140" s="69">
        <f>IF(CT!E137=SCTVTHH!$G$2,CT!F137,0)</f>
        <v>0</v>
      </c>
      <c r="I140" s="69">
        <f>IF(CT!E137=SCTVTHH!$G$2,CT!H137,0)</f>
        <v>0</v>
      </c>
      <c r="J140" s="69">
        <f>IF(SUM(F140,H140)=0,0,$J$6+SUM($F$8:F140)-SUM($H$8:H140))</f>
        <v>0</v>
      </c>
      <c r="K140" s="69">
        <f>IF(SUM(G140,I140)=0,0,$K$6+SUM($H$8:H140)-SUM($J$8:J140))</f>
        <v>0</v>
      </c>
    </row>
    <row r="141" spans="1:11" hidden="1" x14ac:dyDescent="0.25">
      <c r="A141" s="84" t="str">
        <f>IF(OR(CT!D138=SCTVTHH!$G$2,CT!E138=SCTVTHH!$G$2),CT!A138,"")</f>
        <v/>
      </c>
      <c r="B141" s="65" t="str">
        <f>IF(OR(CT!E138=SCTVTHH!$G$2,CT!E138=SCTVTHH!$G$2),CT!B138,"")</f>
        <v/>
      </c>
      <c r="C141" s="65" t="str">
        <f>IF(OR(CT!F138=SCTVTHH!$G$2,CT!E138=SCTVTHH!$G$2),CT!C138,"")</f>
        <v/>
      </c>
      <c r="D141" s="65" t="str">
        <f>IF(CT!D138=SCTVTHH!$G$2,CT!E138,IF(CT!E138=SCTVTHH!$G$2,CT!D138,""))</f>
        <v/>
      </c>
      <c r="E141" s="69">
        <f>IF(OR(CT!D138=SCTVTHH!$G$2,CT!E138=SCTVTHH!$G$2),CT!G138,0)</f>
        <v>0</v>
      </c>
      <c r="F141" s="69">
        <f>IF(CT!D138=SCTVTHH!$G$2,CT!F138,0)</f>
        <v>0</v>
      </c>
      <c r="G141" s="69">
        <f>IF(CT!D138=SCTVTHH!$G$2,CT!H138,0)</f>
        <v>0</v>
      </c>
      <c r="H141" s="69">
        <f>IF(CT!E138=SCTVTHH!$G$2,CT!F138,0)</f>
        <v>0</v>
      </c>
      <c r="I141" s="69">
        <f>IF(CT!E138=SCTVTHH!$G$2,CT!H138,0)</f>
        <v>0</v>
      </c>
      <c r="J141" s="69">
        <f>IF(SUM(F141,H141)=0,0,$J$6+SUM($F$8:F141)-SUM($H$8:H141))</f>
        <v>0</v>
      </c>
      <c r="K141" s="69">
        <f>IF(SUM(G141,I141)=0,0,$K$6+SUM($H$8:H141)-SUM($J$8:J141))</f>
        <v>0</v>
      </c>
    </row>
    <row r="142" spans="1:11" hidden="1" x14ac:dyDescent="0.25">
      <c r="A142" s="84" t="str">
        <f>IF(OR(CT!D139=SCTVTHH!$G$2,CT!E139=SCTVTHH!$G$2),CT!A139,"")</f>
        <v/>
      </c>
      <c r="B142" s="65" t="str">
        <f>IF(OR(CT!E139=SCTVTHH!$G$2,CT!E139=SCTVTHH!$G$2),CT!B139,"")</f>
        <v/>
      </c>
      <c r="C142" s="65" t="str">
        <f>IF(OR(CT!F139=SCTVTHH!$G$2,CT!E139=SCTVTHH!$G$2),CT!C139,"")</f>
        <v/>
      </c>
      <c r="D142" s="65" t="str">
        <f>IF(CT!D139=SCTVTHH!$G$2,CT!E139,IF(CT!E139=SCTVTHH!$G$2,CT!D139,""))</f>
        <v/>
      </c>
      <c r="E142" s="69">
        <f>IF(OR(CT!D139=SCTVTHH!$G$2,CT!E139=SCTVTHH!$G$2),CT!G139,0)</f>
        <v>0</v>
      </c>
      <c r="F142" s="69">
        <f>IF(CT!D139=SCTVTHH!$G$2,CT!F139,0)</f>
        <v>0</v>
      </c>
      <c r="G142" s="69">
        <f>IF(CT!D139=SCTVTHH!$G$2,CT!H139,0)</f>
        <v>0</v>
      </c>
      <c r="H142" s="69">
        <f>IF(CT!E139=SCTVTHH!$G$2,CT!F139,0)</f>
        <v>0</v>
      </c>
      <c r="I142" s="69">
        <f>IF(CT!E139=SCTVTHH!$G$2,CT!H139,0)</f>
        <v>0</v>
      </c>
      <c r="J142" s="69">
        <f>IF(SUM(F142,H142)=0,0,$J$6+SUM($F$8:F142)-SUM($H$8:H142))</f>
        <v>0</v>
      </c>
      <c r="K142" s="69">
        <f>IF(SUM(G142,I142)=0,0,$K$6+SUM($H$8:H142)-SUM($J$8:J142))</f>
        <v>0</v>
      </c>
    </row>
    <row r="143" spans="1:11" hidden="1" x14ac:dyDescent="0.25">
      <c r="A143" s="84" t="str">
        <f>IF(OR(CT!D140=SCTVTHH!$G$2,CT!E140=SCTVTHH!$G$2),CT!A140,"")</f>
        <v/>
      </c>
      <c r="B143" s="65" t="str">
        <f>IF(OR(CT!E140=SCTVTHH!$G$2,CT!E140=SCTVTHH!$G$2),CT!B140,"")</f>
        <v/>
      </c>
      <c r="C143" s="65" t="str">
        <f>IF(OR(CT!F140=SCTVTHH!$G$2,CT!E140=SCTVTHH!$G$2),CT!C140,"")</f>
        <v/>
      </c>
      <c r="D143" s="65" t="str">
        <f>IF(CT!D140=SCTVTHH!$G$2,CT!E140,IF(CT!E140=SCTVTHH!$G$2,CT!D140,""))</f>
        <v/>
      </c>
      <c r="E143" s="69">
        <f>IF(OR(CT!D140=SCTVTHH!$G$2,CT!E140=SCTVTHH!$G$2),CT!G140,0)</f>
        <v>0</v>
      </c>
      <c r="F143" s="69">
        <f>IF(CT!D140=SCTVTHH!$G$2,CT!F140,0)</f>
        <v>0</v>
      </c>
      <c r="G143" s="69">
        <f>IF(CT!D140=SCTVTHH!$G$2,CT!H140,0)</f>
        <v>0</v>
      </c>
      <c r="H143" s="69">
        <f>IF(CT!E140=SCTVTHH!$G$2,CT!F140,0)</f>
        <v>0</v>
      </c>
      <c r="I143" s="69">
        <f>IF(CT!E140=SCTVTHH!$G$2,CT!H140,0)</f>
        <v>0</v>
      </c>
      <c r="J143" s="69">
        <f>IF(SUM(F143,H143)=0,0,$J$6+SUM($F$8:F143)-SUM($H$8:H143))</f>
        <v>0</v>
      </c>
      <c r="K143" s="69">
        <f>IF(SUM(G143,I143)=0,0,$K$6+SUM($H$8:H143)-SUM($J$8:J143))</f>
        <v>0</v>
      </c>
    </row>
    <row r="144" spans="1:11" hidden="1" x14ac:dyDescent="0.25">
      <c r="A144" s="84" t="str">
        <f>IF(OR(CT!D141=SCTVTHH!$G$2,CT!E141=SCTVTHH!$G$2),CT!A141,"")</f>
        <v/>
      </c>
      <c r="B144" s="65" t="str">
        <f>IF(OR(CT!E141=SCTVTHH!$G$2,CT!E141=SCTVTHH!$G$2),CT!B141,"")</f>
        <v/>
      </c>
      <c r="C144" s="65" t="str">
        <f>IF(OR(CT!F141=SCTVTHH!$G$2,CT!E141=SCTVTHH!$G$2),CT!C141,"")</f>
        <v/>
      </c>
      <c r="D144" s="65" t="str">
        <f>IF(CT!D141=SCTVTHH!$G$2,CT!E141,IF(CT!E141=SCTVTHH!$G$2,CT!D141,""))</f>
        <v/>
      </c>
      <c r="E144" s="69">
        <f>IF(OR(CT!D141=SCTVTHH!$G$2,CT!E141=SCTVTHH!$G$2),CT!G141,0)</f>
        <v>0</v>
      </c>
      <c r="F144" s="69">
        <f>IF(CT!D141=SCTVTHH!$G$2,CT!F141,0)</f>
        <v>0</v>
      </c>
      <c r="G144" s="69">
        <f>IF(CT!D141=SCTVTHH!$G$2,CT!H141,0)</f>
        <v>0</v>
      </c>
      <c r="H144" s="69">
        <f>IF(CT!E141=SCTVTHH!$G$2,CT!F141,0)</f>
        <v>0</v>
      </c>
      <c r="I144" s="69">
        <f>IF(CT!E141=SCTVTHH!$G$2,CT!H141,0)</f>
        <v>0</v>
      </c>
      <c r="J144" s="69">
        <f>IF(SUM(F144,H144)=0,0,$J$6+SUM($F$8:F144)-SUM($H$8:H144))</f>
        <v>0</v>
      </c>
      <c r="K144" s="69">
        <f>IF(SUM(G144,I144)=0,0,$K$6+SUM($H$8:H144)-SUM($J$8:J144))</f>
        <v>0</v>
      </c>
    </row>
    <row r="145" spans="1:11" hidden="1" x14ac:dyDescent="0.25">
      <c r="A145" s="84" t="str">
        <f>IF(OR(CT!D142=SCTVTHH!$G$2,CT!E142=SCTVTHH!$G$2),CT!A142,"")</f>
        <v/>
      </c>
      <c r="B145" s="65" t="str">
        <f>IF(OR(CT!E142=SCTVTHH!$G$2,CT!E142=SCTVTHH!$G$2),CT!B142,"")</f>
        <v/>
      </c>
      <c r="C145" s="65" t="str">
        <f>IF(OR(CT!F142=SCTVTHH!$G$2,CT!E142=SCTVTHH!$G$2),CT!C142,"")</f>
        <v/>
      </c>
      <c r="D145" s="65" t="str">
        <f>IF(CT!D142=SCTVTHH!$G$2,CT!E142,IF(CT!E142=SCTVTHH!$G$2,CT!D142,""))</f>
        <v/>
      </c>
      <c r="E145" s="69">
        <f>IF(OR(CT!D142=SCTVTHH!$G$2,CT!E142=SCTVTHH!$G$2),CT!G142,0)</f>
        <v>0</v>
      </c>
      <c r="F145" s="69">
        <f>IF(CT!D142=SCTVTHH!$G$2,CT!F142,0)</f>
        <v>0</v>
      </c>
      <c r="G145" s="69">
        <f>IF(CT!D142=SCTVTHH!$G$2,CT!H142,0)</f>
        <v>0</v>
      </c>
      <c r="H145" s="69">
        <f>IF(CT!E142=SCTVTHH!$G$2,CT!F142,0)</f>
        <v>0</v>
      </c>
      <c r="I145" s="69">
        <f>IF(CT!E142=SCTVTHH!$G$2,CT!H142,0)</f>
        <v>0</v>
      </c>
      <c r="J145" s="69">
        <f>IF(SUM(F145,H145)=0,0,$J$6+SUM($F$8:F145)-SUM($H$8:H145))</f>
        <v>0</v>
      </c>
      <c r="K145" s="69">
        <f>IF(SUM(G145,I145)=0,0,$K$6+SUM($H$8:H145)-SUM($J$8:J145))</f>
        <v>0</v>
      </c>
    </row>
    <row r="146" spans="1:11" hidden="1" x14ac:dyDescent="0.25">
      <c r="A146" s="135" t="str">
        <f>IF(OR(CT!D143=SCTVTHH!$G$2,CT!E143=SCTVTHH!$G$2),CT!A143,"")</f>
        <v/>
      </c>
      <c r="B146" s="136" t="str">
        <f>IF(OR(CT!E143=SCTVTHH!$G$2,CT!E143=SCTVTHH!$G$2),CT!B143,"")</f>
        <v/>
      </c>
      <c r="C146" s="136" t="str">
        <f>IF(OR(CT!F143=SCTVTHH!$G$2,CT!E143=SCTVTHH!$G$2),CT!C143,"")</f>
        <v/>
      </c>
      <c r="D146" s="136" t="str">
        <f>IF(CT!D143=SCTVTHH!$G$2,CT!E143,IF(CT!E143=SCTVTHH!$G$2,CT!D143,""))</f>
        <v/>
      </c>
      <c r="E146" s="137">
        <f>IF(OR(CT!D143=SCTVTHH!$G$2,CT!E143=SCTVTHH!$G$2),CT!G143,0)</f>
        <v>0</v>
      </c>
      <c r="F146" s="137">
        <f>IF(CT!D143=SCTVTHH!$G$2,CT!F143,0)</f>
        <v>0</v>
      </c>
      <c r="G146" s="137">
        <f>IF(CT!D143=SCTVTHH!$G$2,CT!H143,0)</f>
        <v>0</v>
      </c>
      <c r="H146" s="137">
        <f>IF(CT!E143=SCTVTHH!$G$2,CT!F143,0)</f>
        <v>0</v>
      </c>
      <c r="I146" s="137">
        <f>IF(CT!E143=SCTVTHH!$G$2,CT!H143,0)</f>
        <v>0</v>
      </c>
      <c r="J146" s="137">
        <f>IF(SUM(F146,H146)=0,0,$J$6+SUM($F$8:F146)-SUM($H$8:H146))</f>
        <v>0</v>
      </c>
      <c r="K146" s="137">
        <f>IF(SUM(G146,I146)=0,0,$K$6+SUM($H$8:H146)-SUM($J$8:J146))</f>
        <v>0</v>
      </c>
    </row>
    <row r="147" spans="1:11" x14ac:dyDescent="0.25">
      <c r="C147" s="72" t="s">
        <v>864</v>
      </c>
      <c r="D147" s="72"/>
      <c r="E147" s="72"/>
      <c r="F147" s="81">
        <f>SUBTOTAL(9,F8:F146)</f>
        <v>0</v>
      </c>
      <c r="G147" s="81">
        <f t="shared" ref="G147:I147" si="0">SUBTOTAL(9,G8:G146)</f>
        <v>0</v>
      </c>
      <c r="H147" s="81">
        <f t="shared" si="0"/>
        <v>4</v>
      </c>
      <c r="I147" s="81">
        <f t="shared" si="0"/>
        <v>13200000</v>
      </c>
      <c r="J147" s="72"/>
      <c r="K147" s="72"/>
    </row>
    <row r="148" spans="1:11" x14ac:dyDescent="0.25">
      <c r="C148" s="72" t="s">
        <v>888</v>
      </c>
      <c r="D148" s="72"/>
      <c r="E148" s="81">
        <f>IF(J148&lt;&gt;0,K148/J148,0)</f>
        <v>3300000</v>
      </c>
      <c r="F148" s="72"/>
      <c r="G148" s="72"/>
      <c r="H148" s="72"/>
      <c r="I148" s="72"/>
      <c r="J148" s="81">
        <f>J6+F147-H147</f>
        <v>6</v>
      </c>
      <c r="K148" s="81">
        <f>K6+G147-I147</f>
        <v>19800000</v>
      </c>
    </row>
  </sheetData>
  <autoFilter ref="C7:C148" xr:uid="{3BFB8BA3-228E-4C05-B685-63B0BFA298DE}">
    <filterColumn colId="0">
      <customFilters>
        <customFilter operator="notEqual" val=" "/>
      </customFilters>
    </filterColumn>
  </autoFilter>
  <mergeCells count="10">
    <mergeCell ref="A5:A6"/>
    <mergeCell ref="B5:B6"/>
    <mergeCell ref="A1:K1"/>
    <mergeCell ref="A4:B4"/>
    <mergeCell ref="C4:C5"/>
    <mergeCell ref="D4:D5"/>
    <mergeCell ref="E4:E5"/>
    <mergeCell ref="F4:G4"/>
    <mergeCell ref="H4:I4"/>
    <mergeCell ref="J4:K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B8EF0D-EF93-4531-B7E4-5243DBFBA0FE}">
          <x14:formula1>
            <xm:f>DMTK!$B$48:$B$81</xm:f>
          </x14:formula1>
          <xm:sqref>G2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1C33-2127-40E3-BFE4-0247AE7F2C72}">
  <sheetPr filterMode="1">
    <tabColor rgb="FFFFFF00"/>
  </sheetPr>
  <dimension ref="A1:L150"/>
  <sheetViews>
    <sheetView workbookViewId="0">
      <selection activeCell="A9" sqref="A9:XFD9"/>
    </sheetView>
  </sheetViews>
  <sheetFormatPr defaultRowHeight="13.2" x14ac:dyDescent="0.25"/>
  <cols>
    <col min="1" max="1" width="16" customWidth="1"/>
    <col min="2" max="2" width="13" customWidth="1"/>
    <col min="3" max="3" width="28" customWidth="1"/>
    <col min="4" max="4" width="19" customWidth="1"/>
    <col min="5" max="5" width="14.33203125" customWidth="1"/>
    <col min="6" max="6" width="23.33203125" customWidth="1"/>
    <col min="7" max="7" width="12" customWidth="1"/>
    <col min="8" max="8" width="22.6640625" customWidth="1"/>
    <col min="9" max="9" width="20.6640625" customWidth="1"/>
    <col min="11" max="11" width="15.6640625" customWidth="1"/>
    <col min="12" max="12" width="16.109375" customWidth="1"/>
  </cols>
  <sheetData>
    <row r="1" spans="1:12" ht="20.399999999999999" x14ac:dyDescent="0.25">
      <c r="A1" s="174" t="s">
        <v>881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</row>
    <row r="2" spans="1:12" ht="16.8" x14ac:dyDescent="0.3">
      <c r="A2" s="99"/>
      <c r="B2" s="99"/>
      <c r="C2" s="99"/>
      <c r="D2" s="99"/>
      <c r="E2" s="99"/>
      <c r="F2" s="87" t="s">
        <v>889</v>
      </c>
      <c r="G2" s="87" t="s">
        <v>66</v>
      </c>
      <c r="H2" s="87" t="s">
        <v>890</v>
      </c>
      <c r="I2" s="87" t="str">
        <f>VLOOKUP(G2,DMTK!$B$5:$Q$263,3,0)</f>
        <v>Gỗ cao su</v>
      </c>
      <c r="J2" s="99"/>
      <c r="K2" s="99"/>
      <c r="L2" s="99"/>
    </row>
    <row r="3" spans="1:12" ht="16.8" x14ac:dyDescent="0.3">
      <c r="A3" s="99"/>
      <c r="B3" s="99"/>
      <c r="C3" s="119" t="s">
        <v>866</v>
      </c>
      <c r="D3" s="120">
        <v>45306</v>
      </c>
      <c r="E3" s="119" t="s">
        <v>867</v>
      </c>
      <c r="F3" s="120">
        <v>45321</v>
      </c>
      <c r="G3" s="99"/>
      <c r="H3" s="99"/>
      <c r="I3" s="99"/>
      <c r="J3" s="99"/>
      <c r="K3" s="99"/>
      <c r="L3" s="99"/>
    </row>
    <row r="4" spans="1:12" ht="16.8" x14ac:dyDescent="0.25">
      <c r="A4" s="121" t="s">
        <v>828</v>
      </c>
      <c r="B4" s="121"/>
      <c r="C4" s="175" t="s">
        <v>829</v>
      </c>
      <c r="D4" s="175" t="s">
        <v>862</v>
      </c>
      <c r="E4" s="175" t="s">
        <v>882</v>
      </c>
      <c r="F4" s="121" t="s">
        <v>883</v>
      </c>
      <c r="G4" s="121"/>
      <c r="H4" s="121" t="s">
        <v>884</v>
      </c>
      <c r="I4" s="121"/>
      <c r="J4" s="121" t="s">
        <v>877</v>
      </c>
      <c r="K4" s="121"/>
      <c r="L4" s="170" t="s">
        <v>858</v>
      </c>
    </row>
    <row r="5" spans="1:12" ht="33.6" x14ac:dyDescent="0.25">
      <c r="A5" s="130" t="s">
        <v>891</v>
      </c>
      <c r="B5" s="130" t="s">
        <v>833</v>
      </c>
      <c r="C5" s="175"/>
      <c r="D5" s="175"/>
      <c r="E5" s="175"/>
      <c r="F5" s="130" t="s">
        <v>885</v>
      </c>
      <c r="G5" s="130" t="s">
        <v>886</v>
      </c>
      <c r="H5" s="130" t="s">
        <v>885</v>
      </c>
      <c r="I5" s="130" t="s">
        <v>886</v>
      </c>
      <c r="J5" s="130" t="s">
        <v>885</v>
      </c>
      <c r="K5" s="130" t="s">
        <v>886</v>
      </c>
      <c r="L5" s="170"/>
    </row>
    <row r="6" spans="1:12" ht="16.8" x14ac:dyDescent="0.25">
      <c r="A6" s="130"/>
      <c r="B6" s="130"/>
      <c r="C6" s="122" t="s">
        <v>868</v>
      </c>
      <c r="D6" s="130"/>
      <c r="E6" s="130"/>
      <c r="F6" s="123"/>
      <c r="G6" s="123"/>
      <c r="H6" s="123"/>
      <c r="I6" s="123"/>
      <c r="J6" s="123">
        <f>VLOOKUP(G2,DMTK!$B$5:$Q$263,4,0)</f>
        <v>10</v>
      </c>
      <c r="K6" s="123">
        <f>VLOOKUP(G2,DMTK!$B$5:$Q$263,5,0)</f>
        <v>33000000</v>
      </c>
      <c r="L6" s="170"/>
    </row>
    <row r="7" spans="1:12" ht="16.8" x14ac:dyDescent="0.25">
      <c r="A7" s="130"/>
      <c r="B7" s="130"/>
      <c r="C7" s="122" t="s">
        <v>869</v>
      </c>
      <c r="D7" s="130"/>
      <c r="E7" s="130"/>
      <c r="F7" s="123">
        <f>SUMIFS(CT!$F$5:$F$143,CT!$A$5:$A$143,"&lt;"&amp;F3,CT!$D$5:$D$143,$G$2&amp;"*")</f>
        <v>0</v>
      </c>
      <c r="G7" s="123">
        <f>SUMIFS(CT!$H$5:$H$143,CT!$A$5:$A$143,"&lt;"&amp;F3,CT!$D$5:$D$143,$G$2&amp;"*")</f>
        <v>0</v>
      </c>
      <c r="H7" s="123">
        <f>SUMIFS(CT!$F$5:$F$143,CT!$A$5:$A$143,"&lt;"&amp;F3,CT!$E$5:$E$143,$G$2&amp;"*")</f>
        <v>4</v>
      </c>
      <c r="I7" s="123">
        <f>SUMIFS(CT!$H$5:$H$143,CT!$A$5:$A$143,"&lt;"&amp;F3,CT!$E$5:$E$143,$G$2&amp;"*")</f>
        <v>13200000</v>
      </c>
      <c r="J7" s="123"/>
      <c r="K7" s="123"/>
      <c r="L7" s="170"/>
    </row>
    <row r="8" spans="1:12" ht="16.8" x14ac:dyDescent="0.3">
      <c r="A8" s="118"/>
      <c r="B8" s="118"/>
      <c r="C8" s="116" t="s">
        <v>892</v>
      </c>
      <c r="D8" s="118"/>
      <c r="E8" s="124"/>
      <c r="F8" s="124"/>
      <c r="G8" s="124"/>
      <c r="H8" s="124"/>
      <c r="I8" s="124"/>
      <c r="J8" s="125">
        <f>J6+F7</f>
        <v>10</v>
      </c>
      <c r="K8" s="125">
        <f>K6+G7</f>
        <v>33000000</v>
      </c>
      <c r="L8" s="170"/>
    </row>
    <row r="9" spans="1:12" ht="16.8" x14ac:dyDescent="0.3">
      <c r="A9" s="148">
        <v>1</v>
      </c>
      <c r="B9" s="148">
        <v>2</v>
      </c>
      <c r="C9" s="148">
        <v>3</v>
      </c>
      <c r="D9" s="148">
        <v>4</v>
      </c>
      <c r="E9" s="148">
        <v>5</v>
      </c>
      <c r="F9" s="148">
        <v>6</v>
      </c>
      <c r="G9" s="148">
        <v>7</v>
      </c>
      <c r="H9" s="148">
        <v>8</v>
      </c>
      <c r="I9" s="148">
        <v>9</v>
      </c>
      <c r="J9" s="148">
        <v>10</v>
      </c>
      <c r="K9" s="148">
        <v>11</v>
      </c>
      <c r="L9" s="148">
        <v>12</v>
      </c>
    </row>
    <row r="10" spans="1:12" hidden="1" x14ac:dyDescent="0.25">
      <c r="A10" s="84" t="str">
        <f>IF(OR(CT!D5='SCTVTHH NGÀY'!$G$2,CT!E5='SCTVTHH NGÀY'!$G$2),CT!A5,"")</f>
        <v/>
      </c>
      <c r="B10" s="65" t="str">
        <f>IF(OR(CT!E5='SCTVTHH NGÀY'!$G$2,CT!E5='SCTVTHH NGÀY'!$G$2),CT!B5,"")</f>
        <v/>
      </c>
      <c r="C10" s="65" t="str">
        <f>IF(OR(CT!F5='SCTVTHH NGÀY'!$G$2,CT!E5='SCTVTHH NGÀY'!$G$2),CT!C5,"")</f>
        <v/>
      </c>
      <c r="D10" s="65" t="str">
        <f>IF(CT!D5='SCTVTHH NGÀY'!$G$2,CT!E5,IF(CT!E5='SCTVTHH NGÀY'!$G$2,CT!D5,""))</f>
        <v/>
      </c>
      <c r="E10" s="69">
        <f>IF(OR(CT!D1='SCTVTHH NGÀY'!$G$2,CT!E1='SCTVTHH NGÀY'!$G$2),CT!G1,0)</f>
        <v>0</v>
      </c>
      <c r="F10" s="69">
        <f>IF(CT!D5='SCTVTHH NGÀY'!$G$2,CT!F5,0)</f>
        <v>0</v>
      </c>
      <c r="G10" s="69">
        <f>IF(CT!D5='SCTVTHH NGÀY'!$G$2,CT!H5,0)</f>
        <v>0</v>
      </c>
      <c r="H10" s="69">
        <f>IF(CT!E5='SCTVTHH NGÀY'!$G$2,CT!F5,0)</f>
        <v>0</v>
      </c>
      <c r="I10" s="69">
        <f>IF(CT!E5='SCTVTHH NGÀY'!$G$2,CT!H5,0)</f>
        <v>0</v>
      </c>
      <c r="J10" s="69">
        <f>IF(SUM(F10,H10)=0,0,$J$8+SUBTOTAL(9,$F$10:F10)-SUBTOTAL(9,$H$10:H10))</f>
        <v>0</v>
      </c>
      <c r="K10" s="69">
        <f>IF(SUM(G10,I10)=0,0,$K$8+SUBTOTAL(9,$G$10:G10)-SUBTOTAL(9,$I$10:I10))</f>
        <v>0</v>
      </c>
      <c r="L10" s="65" t="b">
        <f>AND(A10&gt;=$D$3,A10&lt;=$F$3)</f>
        <v>0</v>
      </c>
    </row>
    <row r="11" spans="1:12" hidden="1" x14ac:dyDescent="0.25">
      <c r="A11" s="84" t="str">
        <f>IF(OR(CT!D6='SCTVTHH NGÀY'!$G$2,CT!E6='SCTVTHH NGÀY'!$G$2),CT!A6,"")</f>
        <v/>
      </c>
      <c r="B11" s="65" t="str">
        <f>IF(OR(CT!E6='SCTVTHH NGÀY'!$G$2,CT!E6='SCTVTHH NGÀY'!$G$2),CT!B6,"")</f>
        <v/>
      </c>
      <c r="C11" s="65" t="str">
        <f>IF(OR(CT!F6='SCTVTHH NGÀY'!$G$2,CT!E6='SCTVTHH NGÀY'!$G$2),CT!C6,"")</f>
        <v/>
      </c>
      <c r="D11" s="65" t="str">
        <f>IF(CT!D6='SCTVTHH NGÀY'!$G$2,CT!E6,IF(CT!E6='SCTVTHH NGÀY'!$G$2,CT!D6,""))</f>
        <v/>
      </c>
      <c r="E11" s="69">
        <f>IF(OR(CT!D2='SCTVTHH NGÀY'!$G$2,CT!E2='SCTVTHH NGÀY'!$G$2),CT!G2,0)</f>
        <v>0</v>
      </c>
      <c r="F11" s="69">
        <f>IF(CT!D6='SCTVTHH NGÀY'!$G$2,CT!F6,0)</f>
        <v>0</v>
      </c>
      <c r="G11" s="69">
        <f>IF(CT!D6='SCTVTHH NGÀY'!$G$2,CT!H6,0)</f>
        <v>0</v>
      </c>
      <c r="H11" s="69">
        <f>IF(CT!E6='SCTVTHH NGÀY'!$G$2,CT!F6,0)</f>
        <v>0</v>
      </c>
      <c r="I11" s="69">
        <f>IF(CT!E6='SCTVTHH NGÀY'!$G$2,CT!H6,0)</f>
        <v>0</v>
      </c>
      <c r="J11" s="69">
        <f>IF(SUM(F11,H11)=0,0,$J$8+SUBTOTAL(9,$F$10:F11)-SUBTOTAL(9,$H$10:H11))</f>
        <v>0</v>
      </c>
      <c r="K11" s="69">
        <f>IF(SUM(G11,I11)=0,0,$K$8+SUBTOTAL(9,$G$10:G11)-SUBTOTAL(9,$I$10:I11))</f>
        <v>0</v>
      </c>
      <c r="L11" s="65" t="b">
        <f t="shared" ref="L11:L74" si="0">AND(A11&gt;=$D$3,A11&lt;=$F$3)</f>
        <v>0</v>
      </c>
    </row>
    <row r="12" spans="1:12" hidden="1" x14ac:dyDescent="0.25">
      <c r="A12" s="84" t="str">
        <f>IF(OR(CT!D7='SCTVTHH NGÀY'!$G$2,CT!E7='SCTVTHH NGÀY'!$G$2),CT!A7,"")</f>
        <v/>
      </c>
      <c r="B12" s="65" t="str">
        <f>IF(OR(CT!E7='SCTVTHH NGÀY'!$G$2,CT!E7='SCTVTHH NGÀY'!$G$2),CT!B7,"")</f>
        <v/>
      </c>
      <c r="C12" s="65" t="str">
        <f>IF(OR(CT!F7='SCTVTHH NGÀY'!$G$2,CT!E7='SCTVTHH NGÀY'!$G$2),CT!C7,"")</f>
        <v/>
      </c>
      <c r="D12" s="65" t="str">
        <f>IF(CT!D7='SCTVTHH NGÀY'!$G$2,CT!E7,IF(CT!E7='SCTVTHH NGÀY'!$G$2,CT!D7,""))</f>
        <v/>
      </c>
      <c r="E12" s="69">
        <f>IF(OR(CT!D3='SCTVTHH NGÀY'!$G$2,CT!E3='SCTVTHH NGÀY'!$G$2),CT!G3,0)</f>
        <v>0</v>
      </c>
      <c r="F12" s="69">
        <f>IF(CT!D7='SCTVTHH NGÀY'!$G$2,CT!F7,0)</f>
        <v>0</v>
      </c>
      <c r="G12" s="69">
        <f>IF(CT!D7='SCTVTHH NGÀY'!$G$2,CT!H7,0)</f>
        <v>0</v>
      </c>
      <c r="H12" s="69">
        <f>IF(CT!E7='SCTVTHH NGÀY'!$G$2,CT!F7,0)</f>
        <v>0</v>
      </c>
      <c r="I12" s="69">
        <f>IF(CT!E7='SCTVTHH NGÀY'!$G$2,CT!H7,0)</f>
        <v>0</v>
      </c>
      <c r="J12" s="69">
        <f>IF(SUM(F12,H12)=0,0,$J$8+SUBTOTAL(9,$F$10:F12)-SUBTOTAL(9,$H$10:H12))</f>
        <v>0</v>
      </c>
      <c r="K12" s="69">
        <f>IF(SUM(G12,I12)=0,0,$K$8+SUBTOTAL(9,$G$10:G12)-SUBTOTAL(9,$I$10:I12))</f>
        <v>0</v>
      </c>
      <c r="L12" s="65" t="b">
        <f t="shared" si="0"/>
        <v>0</v>
      </c>
    </row>
    <row r="13" spans="1:12" hidden="1" x14ac:dyDescent="0.25">
      <c r="A13" s="84" t="str">
        <f>IF(OR(CT!D8='SCTVTHH NGÀY'!$G$2,CT!E8='SCTVTHH NGÀY'!$G$2),CT!A8,"")</f>
        <v/>
      </c>
      <c r="B13" s="65" t="str">
        <f>IF(OR(CT!E8='SCTVTHH NGÀY'!$G$2,CT!E8='SCTVTHH NGÀY'!$G$2),CT!B8,"")</f>
        <v/>
      </c>
      <c r="C13" s="65" t="str">
        <f>IF(OR(CT!F8='SCTVTHH NGÀY'!$G$2,CT!E8='SCTVTHH NGÀY'!$G$2),CT!C8,"")</f>
        <v/>
      </c>
      <c r="D13" s="65" t="str">
        <f>IF(CT!D8='SCTVTHH NGÀY'!$G$2,CT!E8,IF(CT!E8='SCTVTHH NGÀY'!$G$2,CT!D8,""))</f>
        <v/>
      </c>
      <c r="E13" s="69">
        <f>IF(OR(CT!D4='SCTVTHH NGÀY'!$G$2,CT!E4='SCTVTHH NGÀY'!$G$2),CT!G4,0)</f>
        <v>0</v>
      </c>
      <c r="F13" s="69">
        <f>IF(CT!D8='SCTVTHH NGÀY'!$G$2,CT!F8,0)</f>
        <v>0</v>
      </c>
      <c r="G13" s="69">
        <f>IF(CT!D8='SCTVTHH NGÀY'!$G$2,CT!H8,0)</f>
        <v>0</v>
      </c>
      <c r="H13" s="69">
        <f>IF(CT!E8='SCTVTHH NGÀY'!$G$2,CT!F8,0)</f>
        <v>0</v>
      </c>
      <c r="I13" s="69">
        <f>IF(CT!E8='SCTVTHH NGÀY'!$G$2,CT!H8,0)</f>
        <v>0</v>
      </c>
      <c r="J13" s="69">
        <f>IF(SUM(F13,H13)=0,0,$J$8+SUBTOTAL(9,$F$10:F13)-SUBTOTAL(9,$H$10:H13))</f>
        <v>0</v>
      </c>
      <c r="K13" s="69">
        <f>IF(SUM(G13,I13)=0,0,$K$8+SUBTOTAL(9,$G$10:G13)-SUBTOTAL(9,$I$10:I13))</f>
        <v>0</v>
      </c>
      <c r="L13" s="65" t="b">
        <f t="shared" si="0"/>
        <v>0</v>
      </c>
    </row>
    <row r="14" spans="1:12" hidden="1" x14ac:dyDescent="0.25">
      <c r="A14" s="84" t="str">
        <f>IF(OR(CT!D9='SCTVTHH NGÀY'!$G$2,CT!E9='SCTVTHH NGÀY'!$G$2),CT!A9,"")</f>
        <v/>
      </c>
      <c r="B14" s="65" t="str">
        <f>IF(OR(CT!E9='SCTVTHH NGÀY'!$G$2,CT!E9='SCTVTHH NGÀY'!$G$2),CT!B9,"")</f>
        <v/>
      </c>
      <c r="C14" s="65" t="str">
        <f>IF(OR(CT!F9='SCTVTHH NGÀY'!$G$2,CT!E9='SCTVTHH NGÀY'!$G$2),CT!C9,"")</f>
        <v/>
      </c>
      <c r="D14" s="65" t="str">
        <f>IF(CT!D9='SCTVTHH NGÀY'!$G$2,CT!E9,IF(CT!E9='SCTVTHH NGÀY'!$G$2,CT!D9,""))</f>
        <v/>
      </c>
      <c r="E14" s="69">
        <f>IF(OR(CT!D5='SCTVTHH NGÀY'!$G$2,CT!E5='SCTVTHH NGÀY'!$G$2),CT!G5,0)</f>
        <v>0</v>
      </c>
      <c r="F14" s="69">
        <f>IF(CT!D9='SCTVTHH NGÀY'!$G$2,CT!F9,0)</f>
        <v>0</v>
      </c>
      <c r="G14" s="69">
        <f>IF(CT!D9='SCTVTHH NGÀY'!$G$2,CT!H9,0)</f>
        <v>0</v>
      </c>
      <c r="H14" s="69">
        <f>IF(CT!E9='SCTVTHH NGÀY'!$G$2,CT!F9,0)</f>
        <v>0</v>
      </c>
      <c r="I14" s="69">
        <f>IF(CT!E9='SCTVTHH NGÀY'!$G$2,CT!H9,0)</f>
        <v>0</v>
      </c>
      <c r="J14" s="69">
        <f>IF(SUM(F14,H14)=0,0,$J$8+SUBTOTAL(9,$F$10:F14)-SUBTOTAL(9,$H$10:H14))</f>
        <v>0</v>
      </c>
      <c r="K14" s="69">
        <f>IF(SUM(G14,I14)=0,0,$K$8+SUBTOTAL(9,$G$10:G14)-SUBTOTAL(9,$I$10:I14))</f>
        <v>0</v>
      </c>
      <c r="L14" s="65" t="b">
        <f t="shared" si="0"/>
        <v>0</v>
      </c>
    </row>
    <row r="15" spans="1:12" hidden="1" x14ac:dyDescent="0.25">
      <c r="A15" s="84" t="str">
        <f>IF(OR(CT!D10='SCTVTHH NGÀY'!$G$2,CT!E10='SCTVTHH NGÀY'!$G$2),CT!A10,"")</f>
        <v/>
      </c>
      <c r="B15" s="65" t="str">
        <f>IF(OR(CT!E10='SCTVTHH NGÀY'!$G$2,CT!E10='SCTVTHH NGÀY'!$G$2),CT!B10,"")</f>
        <v/>
      </c>
      <c r="C15" s="65" t="str">
        <f>IF(OR(CT!F10='SCTVTHH NGÀY'!$G$2,CT!E10='SCTVTHH NGÀY'!$G$2),CT!C10,"")</f>
        <v/>
      </c>
      <c r="D15" s="65" t="str">
        <f>IF(CT!D10='SCTVTHH NGÀY'!$G$2,CT!E10,IF(CT!E10='SCTVTHH NGÀY'!$G$2,CT!D10,""))</f>
        <v/>
      </c>
      <c r="E15" s="69">
        <f>IF(OR(CT!D6='SCTVTHH NGÀY'!$G$2,CT!E6='SCTVTHH NGÀY'!$G$2),CT!G6,0)</f>
        <v>0</v>
      </c>
      <c r="F15" s="69">
        <f>IF(CT!D10='SCTVTHH NGÀY'!$G$2,CT!F10,0)</f>
        <v>0</v>
      </c>
      <c r="G15" s="69">
        <f>IF(CT!D10='SCTVTHH NGÀY'!$G$2,CT!H10,0)</f>
        <v>0</v>
      </c>
      <c r="H15" s="69">
        <f>IF(CT!E10='SCTVTHH NGÀY'!$G$2,CT!F10,0)</f>
        <v>0</v>
      </c>
      <c r="I15" s="69">
        <f>IF(CT!E10='SCTVTHH NGÀY'!$G$2,CT!H10,0)</f>
        <v>0</v>
      </c>
      <c r="J15" s="69">
        <f>IF(SUM(F15,H15)=0,0,$J$8+SUBTOTAL(9,$F$10:F15)-SUBTOTAL(9,$H$10:H15))</f>
        <v>0</v>
      </c>
      <c r="K15" s="69">
        <f>IF(SUM(G15,I15)=0,0,$K$8+SUBTOTAL(9,$G$10:G15)-SUBTOTAL(9,$I$10:I15))</f>
        <v>0</v>
      </c>
      <c r="L15" s="65" t="b">
        <f t="shared" si="0"/>
        <v>0</v>
      </c>
    </row>
    <row r="16" spans="1:12" hidden="1" x14ac:dyDescent="0.25">
      <c r="A16" s="84" t="str">
        <f>IF(OR(CT!D11='SCTVTHH NGÀY'!$G$2,CT!E11='SCTVTHH NGÀY'!$G$2),CT!A11,"")</f>
        <v/>
      </c>
      <c r="B16" s="65" t="str">
        <f>IF(OR(CT!E11='SCTVTHH NGÀY'!$G$2,CT!E11='SCTVTHH NGÀY'!$G$2),CT!B11,"")</f>
        <v/>
      </c>
      <c r="C16" s="65" t="str">
        <f>IF(OR(CT!F11='SCTVTHH NGÀY'!$G$2,CT!E11='SCTVTHH NGÀY'!$G$2),CT!C11,"")</f>
        <v/>
      </c>
      <c r="D16" s="65" t="str">
        <f>IF(CT!D11='SCTVTHH NGÀY'!$G$2,CT!E11,IF(CT!E11='SCTVTHH NGÀY'!$G$2,CT!D11,""))</f>
        <v/>
      </c>
      <c r="E16" s="69">
        <f>IF(OR(CT!D7='SCTVTHH NGÀY'!$G$2,CT!E7='SCTVTHH NGÀY'!$G$2),CT!G7,0)</f>
        <v>0</v>
      </c>
      <c r="F16" s="69">
        <f>IF(CT!D11='SCTVTHH NGÀY'!$G$2,CT!F11,0)</f>
        <v>0</v>
      </c>
      <c r="G16" s="69">
        <f>IF(CT!D11='SCTVTHH NGÀY'!$G$2,CT!H11,0)</f>
        <v>0</v>
      </c>
      <c r="H16" s="69">
        <f>IF(CT!E11='SCTVTHH NGÀY'!$G$2,CT!F11,0)</f>
        <v>0</v>
      </c>
      <c r="I16" s="69">
        <f>IF(CT!E11='SCTVTHH NGÀY'!$G$2,CT!H11,0)</f>
        <v>0</v>
      </c>
      <c r="J16" s="69">
        <f>IF(SUM(F16,H16)=0,0,$J$8+SUBTOTAL(9,$F$10:F16)-SUBTOTAL(9,$H$10:H16))</f>
        <v>0</v>
      </c>
      <c r="K16" s="69">
        <f>IF(SUM(G16,I16)=0,0,$K$8+SUBTOTAL(9,$G$10:G16)-SUBTOTAL(9,$I$10:I16))</f>
        <v>0</v>
      </c>
      <c r="L16" s="65" t="b">
        <f t="shared" si="0"/>
        <v>0</v>
      </c>
    </row>
    <row r="17" spans="1:12" hidden="1" x14ac:dyDescent="0.25">
      <c r="A17" s="84" t="str">
        <f>IF(OR(CT!D12='SCTVTHH NGÀY'!$G$2,CT!E12='SCTVTHH NGÀY'!$G$2),CT!A12,"")</f>
        <v/>
      </c>
      <c r="B17" s="65" t="str">
        <f>IF(OR(CT!E12='SCTVTHH NGÀY'!$G$2,CT!E12='SCTVTHH NGÀY'!$G$2),CT!B12,"")</f>
        <v/>
      </c>
      <c r="C17" s="65" t="str">
        <f>IF(OR(CT!F12='SCTVTHH NGÀY'!$G$2,CT!E12='SCTVTHH NGÀY'!$G$2),CT!C12,"")</f>
        <v/>
      </c>
      <c r="D17" s="65" t="str">
        <f>IF(CT!D12='SCTVTHH NGÀY'!$G$2,CT!E12,IF(CT!E12='SCTVTHH NGÀY'!$G$2,CT!D12,""))</f>
        <v/>
      </c>
      <c r="E17" s="69">
        <f>IF(OR(CT!D8='SCTVTHH NGÀY'!$G$2,CT!E8='SCTVTHH NGÀY'!$G$2),CT!G8,0)</f>
        <v>0</v>
      </c>
      <c r="F17" s="69">
        <f>IF(CT!D12='SCTVTHH NGÀY'!$G$2,CT!F12,0)</f>
        <v>0</v>
      </c>
      <c r="G17" s="69">
        <f>IF(CT!D12='SCTVTHH NGÀY'!$G$2,CT!H12,0)</f>
        <v>0</v>
      </c>
      <c r="H17" s="69">
        <f>IF(CT!E12='SCTVTHH NGÀY'!$G$2,CT!F12,0)</f>
        <v>0</v>
      </c>
      <c r="I17" s="69">
        <f>IF(CT!E12='SCTVTHH NGÀY'!$G$2,CT!H12,0)</f>
        <v>0</v>
      </c>
      <c r="J17" s="69">
        <f>IF(SUM(F17,H17)=0,0,$J$8+SUBTOTAL(9,$F$10:F17)-SUBTOTAL(9,$H$10:H17))</f>
        <v>0</v>
      </c>
      <c r="K17" s="69">
        <f>IF(SUM(G17,I17)=0,0,$K$8+SUBTOTAL(9,$G$10:G17)-SUBTOTAL(9,$I$10:I17))</f>
        <v>0</v>
      </c>
      <c r="L17" s="65" t="b">
        <f t="shared" si="0"/>
        <v>0</v>
      </c>
    </row>
    <row r="18" spans="1:12" hidden="1" x14ac:dyDescent="0.25">
      <c r="A18" s="84" t="str">
        <f>IF(OR(CT!D13='SCTVTHH NGÀY'!$G$2,CT!E13='SCTVTHH NGÀY'!$G$2),CT!A13,"")</f>
        <v/>
      </c>
      <c r="B18" s="65" t="str">
        <f>IF(OR(CT!E13='SCTVTHH NGÀY'!$G$2,CT!E13='SCTVTHH NGÀY'!$G$2),CT!B13,"")</f>
        <v/>
      </c>
      <c r="C18" s="65" t="str">
        <f>IF(OR(CT!F13='SCTVTHH NGÀY'!$G$2,CT!E13='SCTVTHH NGÀY'!$G$2),CT!C13,"")</f>
        <v/>
      </c>
      <c r="D18" s="65" t="str">
        <f>IF(CT!D13='SCTVTHH NGÀY'!$G$2,CT!E13,IF(CT!E13='SCTVTHH NGÀY'!$G$2,CT!D13,""))</f>
        <v/>
      </c>
      <c r="E18" s="69">
        <f>IF(OR(CT!D9='SCTVTHH NGÀY'!$G$2,CT!E9='SCTVTHH NGÀY'!$G$2),CT!G9,0)</f>
        <v>0</v>
      </c>
      <c r="F18" s="69">
        <f>IF(CT!D13='SCTVTHH NGÀY'!$G$2,CT!F13,0)</f>
        <v>0</v>
      </c>
      <c r="G18" s="69">
        <f>IF(CT!D13='SCTVTHH NGÀY'!$G$2,CT!H13,0)</f>
        <v>0</v>
      </c>
      <c r="H18" s="69">
        <f>IF(CT!E13='SCTVTHH NGÀY'!$G$2,CT!F13,0)</f>
        <v>0</v>
      </c>
      <c r="I18" s="69">
        <f>IF(CT!E13='SCTVTHH NGÀY'!$G$2,CT!H13,0)</f>
        <v>0</v>
      </c>
      <c r="J18" s="69">
        <f>IF(SUM(F18,H18)=0,0,$J$8+SUBTOTAL(9,$F$10:F18)-SUBTOTAL(9,$H$10:H18))</f>
        <v>0</v>
      </c>
      <c r="K18" s="69">
        <f>IF(SUM(G18,I18)=0,0,$K$8+SUBTOTAL(9,$G$10:G18)-SUBTOTAL(9,$I$10:I18))</f>
        <v>0</v>
      </c>
      <c r="L18" s="65" t="b">
        <f t="shared" si="0"/>
        <v>0</v>
      </c>
    </row>
    <row r="19" spans="1:12" hidden="1" x14ac:dyDescent="0.25">
      <c r="A19" s="84" t="str">
        <f>IF(OR(CT!D14='SCTVTHH NGÀY'!$G$2,CT!E14='SCTVTHH NGÀY'!$G$2),CT!A14,"")</f>
        <v/>
      </c>
      <c r="B19" s="65" t="str">
        <f>IF(OR(CT!E14='SCTVTHH NGÀY'!$G$2,CT!E14='SCTVTHH NGÀY'!$G$2),CT!B14,"")</f>
        <v/>
      </c>
      <c r="C19" s="65" t="str">
        <f>IF(OR(CT!F14='SCTVTHH NGÀY'!$G$2,CT!E14='SCTVTHH NGÀY'!$G$2),CT!C14,"")</f>
        <v/>
      </c>
      <c r="D19" s="65" t="str">
        <f>IF(CT!D14='SCTVTHH NGÀY'!$G$2,CT!E14,IF(CT!E14='SCTVTHH NGÀY'!$G$2,CT!D14,""))</f>
        <v/>
      </c>
      <c r="E19" s="69">
        <f>IF(OR(CT!D10='SCTVTHH NGÀY'!$G$2,CT!E10='SCTVTHH NGÀY'!$G$2),CT!G10,0)</f>
        <v>0</v>
      </c>
      <c r="F19" s="69">
        <f>IF(CT!D14='SCTVTHH NGÀY'!$G$2,CT!F14,0)</f>
        <v>0</v>
      </c>
      <c r="G19" s="69">
        <f>IF(CT!D14='SCTVTHH NGÀY'!$G$2,CT!H14,0)</f>
        <v>0</v>
      </c>
      <c r="H19" s="69">
        <f>IF(CT!E14='SCTVTHH NGÀY'!$G$2,CT!F14,0)</f>
        <v>0</v>
      </c>
      <c r="I19" s="69">
        <f>IF(CT!E14='SCTVTHH NGÀY'!$G$2,CT!H14,0)</f>
        <v>0</v>
      </c>
      <c r="J19" s="69">
        <f>IF(SUM(F19,H19)=0,0,$J$8+SUBTOTAL(9,$F$10:F19)-SUBTOTAL(9,$H$10:H19))</f>
        <v>0</v>
      </c>
      <c r="K19" s="69">
        <f>IF(SUM(G19,I19)=0,0,$K$8+SUBTOTAL(9,$G$10:G19)-SUBTOTAL(9,$I$10:I19))</f>
        <v>0</v>
      </c>
      <c r="L19" s="65" t="b">
        <f t="shared" si="0"/>
        <v>0</v>
      </c>
    </row>
    <row r="20" spans="1:12" hidden="1" x14ac:dyDescent="0.25">
      <c r="A20" s="84" t="str">
        <f>IF(OR(CT!D15='SCTVTHH NGÀY'!$G$2,CT!E15='SCTVTHH NGÀY'!$G$2),CT!A15,"")</f>
        <v/>
      </c>
      <c r="B20" s="65" t="str">
        <f>IF(OR(CT!E15='SCTVTHH NGÀY'!$G$2,CT!E15='SCTVTHH NGÀY'!$G$2),CT!B15,"")</f>
        <v/>
      </c>
      <c r="C20" s="65" t="str">
        <f>IF(OR(CT!F15='SCTVTHH NGÀY'!$G$2,CT!E15='SCTVTHH NGÀY'!$G$2),CT!C15,"")</f>
        <v/>
      </c>
      <c r="D20" s="65" t="str">
        <f>IF(CT!D15='SCTVTHH NGÀY'!$G$2,CT!E15,IF(CT!E15='SCTVTHH NGÀY'!$G$2,CT!D15,""))</f>
        <v/>
      </c>
      <c r="E20" s="69">
        <f>IF(OR(CT!D11='SCTVTHH NGÀY'!$G$2,CT!E11='SCTVTHH NGÀY'!$G$2),CT!G11,0)</f>
        <v>0</v>
      </c>
      <c r="F20" s="69">
        <f>IF(CT!D15='SCTVTHH NGÀY'!$G$2,CT!F15,0)</f>
        <v>0</v>
      </c>
      <c r="G20" s="69">
        <f>IF(CT!D15='SCTVTHH NGÀY'!$G$2,CT!H15,0)</f>
        <v>0</v>
      </c>
      <c r="H20" s="69">
        <f>IF(CT!E15='SCTVTHH NGÀY'!$G$2,CT!F15,0)</f>
        <v>0</v>
      </c>
      <c r="I20" s="69">
        <f>IF(CT!E15='SCTVTHH NGÀY'!$G$2,CT!H15,0)</f>
        <v>0</v>
      </c>
      <c r="J20" s="69">
        <f>IF(SUM(F20,H20)=0,0,$J$8+SUBTOTAL(9,$F$10:F20)-SUBTOTAL(9,$H$10:H20))</f>
        <v>0</v>
      </c>
      <c r="K20" s="69">
        <f>IF(SUM(G20,I20)=0,0,$K$8+SUBTOTAL(9,$G$10:G20)-SUBTOTAL(9,$I$10:I20))</f>
        <v>0</v>
      </c>
      <c r="L20" s="65" t="b">
        <f t="shared" si="0"/>
        <v>0</v>
      </c>
    </row>
    <row r="21" spans="1:12" hidden="1" x14ac:dyDescent="0.25">
      <c r="A21" s="84" t="str">
        <f>IF(OR(CT!D16='SCTVTHH NGÀY'!$G$2,CT!E16='SCTVTHH NGÀY'!$G$2),CT!A16,"")</f>
        <v/>
      </c>
      <c r="B21" s="65" t="str">
        <f>IF(OR(CT!E16='SCTVTHH NGÀY'!$G$2,CT!E16='SCTVTHH NGÀY'!$G$2),CT!B16,"")</f>
        <v/>
      </c>
      <c r="C21" s="65" t="str">
        <f>IF(OR(CT!F16='SCTVTHH NGÀY'!$G$2,CT!E16='SCTVTHH NGÀY'!$G$2),CT!C16,"")</f>
        <v/>
      </c>
      <c r="D21" s="65" t="str">
        <f>IF(CT!D16='SCTVTHH NGÀY'!$G$2,CT!E16,IF(CT!E16='SCTVTHH NGÀY'!$G$2,CT!D16,""))</f>
        <v/>
      </c>
      <c r="E21" s="69">
        <f>IF(OR(CT!D12='SCTVTHH NGÀY'!$G$2,CT!E12='SCTVTHH NGÀY'!$G$2),CT!G12,0)</f>
        <v>0</v>
      </c>
      <c r="F21" s="69">
        <f>IF(CT!D16='SCTVTHH NGÀY'!$G$2,CT!F16,0)</f>
        <v>0</v>
      </c>
      <c r="G21" s="69">
        <f>IF(CT!D16='SCTVTHH NGÀY'!$G$2,CT!H16,0)</f>
        <v>0</v>
      </c>
      <c r="H21" s="69">
        <f>IF(CT!E16='SCTVTHH NGÀY'!$G$2,CT!F16,0)</f>
        <v>0</v>
      </c>
      <c r="I21" s="69">
        <f>IF(CT!E16='SCTVTHH NGÀY'!$G$2,CT!H16,0)</f>
        <v>0</v>
      </c>
      <c r="J21" s="69">
        <f>IF(SUM(F21,H21)=0,0,$J$8+SUBTOTAL(9,$F$10:F21)-SUBTOTAL(9,$H$10:H21))</f>
        <v>0</v>
      </c>
      <c r="K21" s="69">
        <f>IF(SUM(G21,I21)=0,0,$K$8+SUBTOTAL(9,$G$10:G21)-SUBTOTAL(9,$I$10:I21))</f>
        <v>0</v>
      </c>
      <c r="L21" s="65" t="b">
        <f t="shared" si="0"/>
        <v>0</v>
      </c>
    </row>
    <row r="22" spans="1:12" hidden="1" x14ac:dyDescent="0.25">
      <c r="A22" s="84" t="str">
        <f>IF(OR(CT!D17='SCTVTHH NGÀY'!$G$2,CT!E17='SCTVTHH NGÀY'!$G$2),CT!A17,"")</f>
        <v/>
      </c>
      <c r="B22" s="65" t="str">
        <f>IF(OR(CT!E17='SCTVTHH NGÀY'!$G$2,CT!E17='SCTVTHH NGÀY'!$G$2),CT!B17,"")</f>
        <v/>
      </c>
      <c r="C22" s="65" t="str">
        <f>IF(OR(CT!F17='SCTVTHH NGÀY'!$G$2,CT!E17='SCTVTHH NGÀY'!$G$2),CT!C17,"")</f>
        <v/>
      </c>
      <c r="D22" s="65" t="str">
        <f>IF(CT!D17='SCTVTHH NGÀY'!$G$2,CT!E17,IF(CT!E17='SCTVTHH NGÀY'!$G$2,CT!D17,""))</f>
        <v/>
      </c>
      <c r="E22" s="69">
        <f>IF(OR(CT!D13='SCTVTHH NGÀY'!$G$2,CT!E13='SCTVTHH NGÀY'!$G$2),CT!G13,0)</f>
        <v>0</v>
      </c>
      <c r="F22" s="69">
        <f>IF(CT!D17='SCTVTHH NGÀY'!$G$2,CT!F17,0)</f>
        <v>0</v>
      </c>
      <c r="G22" s="69">
        <f>IF(CT!D17='SCTVTHH NGÀY'!$G$2,CT!H17,0)</f>
        <v>0</v>
      </c>
      <c r="H22" s="69">
        <f>IF(CT!E17='SCTVTHH NGÀY'!$G$2,CT!F17,0)</f>
        <v>0</v>
      </c>
      <c r="I22" s="69">
        <f>IF(CT!E17='SCTVTHH NGÀY'!$G$2,CT!H17,0)</f>
        <v>0</v>
      </c>
      <c r="J22" s="69">
        <f>IF(SUM(F22,H22)=0,0,$J$8+SUBTOTAL(9,$F$10:F22)-SUBTOTAL(9,$H$10:H22))</f>
        <v>0</v>
      </c>
      <c r="K22" s="69">
        <f>IF(SUM(G22,I22)=0,0,$K$8+SUBTOTAL(9,$G$10:G22)-SUBTOTAL(9,$I$10:I22))</f>
        <v>0</v>
      </c>
      <c r="L22" s="65" t="b">
        <f t="shared" si="0"/>
        <v>0</v>
      </c>
    </row>
    <row r="23" spans="1:12" hidden="1" x14ac:dyDescent="0.25">
      <c r="A23" s="84" t="str">
        <f>IF(OR(CT!D18='SCTVTHH NGÀY'!$G$2,CT!E18='SCTVTHH NGÀY'!$G$2),CT!A18,"")</f>
        <v/>
      </c>
      <c r="B23" s="65" t="str">
        <f>IF(OR(CT!E18='SCTVTHH NGÀY'!$G$2,CT!E18='SCTVTHH NGÀY'!$G$2),CT!B18,"")</f>
        <v/>
      </c>
      <c r="C23" s="65" t="str">
        <f>IF(OR(CT!F18='SCTVTHH NGÀY'!$G$2,CT!E18='SCTVTHH NGÀY'!$G$2),CT!C18,"")</f>
        <v/>
      </c>
      <c r="D23" s="65" t="str">
        <f>IF(CT!D18='SCTVTHH NGÀY'!$G$2,CT!E18,IF(CT!E18='SCTVTHH NGÀY'!$G$2,CT!D18,""))</f>
        <v/>
      </c>
      <c r="E23" s="69">
        <f>IF(OR(CT!D14='SCTVTHH NGÀY'!$G$2,CT!E14='SCTVTHH NGÀY'!$G$2),CT!G14,0)</f>
        <v>0</v>
      </c>
      <c r="F23" s="69">
        <f>IF(CT!D18='SCTVTHH NGÀY'!$G$2,CT!F18,0)</f>
        <v>0</v>
      </c>
      <c r="G23" s="69">
        <f>IF(CT!D18='SCTVTHH NGÀY'!$G$2,CT!H18,0)</f>
        <v>0</v>
      </c>
      <c r="H23" s="69">
        <f>IF(CT!E18='SCTVTHH NGÀY'!$G$2,CT!F18,0)</f>
        <v>0</v>
      </c>
      <c r="I23" s="69">
        <f>IF(CT!E18='SCTVTHH NGÀY'!$G$2,CT!H18,0)</f>
        <v>0</v>
      </c>
      <c r="J23" s="69">
        <f>IF(SUM(F23,H23)=0,0,$J$8+SUBTOTAL(9,$F$10:F23)-SUBTOTAL(9,$H$10:H23))</f>
        <v>0</v>
      </c>
      <c r="K23" s="69">
        <f>IF(SUM(G23,I23)=0,0,$K$8+SUBTOTAL(9,$G$10:G23)-SUBTOTAL(9,$I$10:I23))</f>
        <v>0</v>
      </c>
      <c r="L23" s="65" t="b">
        <f t="shared" si="0"/>
        <v>0</v>
      </c>
    </row>
    <row r="24" spans="1:12" hidden="1" x14ac:dyDescent="0.25">
      <c r="A24" s="84" t="str">
        <f>IF(OR(CT!D19='SCTVTHH NGÀY'!$G$2,CT!E19='SCTVTHH NGÀY'!$G$2),CT!A19,"")</f>
        <v/>
      </c>
      <c r="B24" s="65" t="str">
        <f>IF(OR(CT!E19='SCTVTHH NGÀY'!$G$2,CT!E19='SCTVTHH NGÀY'!$G$2),CT!B19,"")</f>
        <v/>
      </c>
      <c r="C24" s="65" t="str">
        <f>IF(OR(CT!F19='SCTVTHH NGÀY'!$G$2,CT!E19='SCTVTHH NGÀY'!$G$2),CT!C19,"")</f>
        <v/>
      </c>
      <c r="D24" s="65" t="str">
        <f>IF(CT!D19='SCTVTHH NGÀY'!$G$2,CT!E19,IF(CT!E19='SCTVTHH NGÀY'!$G$2,CT!D19,""))</f>
        <v/>
      </c>
      <c r="E24" s="69">
        <f>IF(OR(CT!D15='SCTVTHH NGÀY'!$G$2,CT!E15='SCTVTHH NGÀY'!$G$2),CT!G15,0)</f>
        <v>0</v>
      </c>
      <c r="F24" s="69">
        <f>IF(CT!D19='SCTVTHH NGÀY'!$G$2,CT!F19,0)</f>
        <v>0</v>
      </c>
      <c r="G24" s="69">
        <f>IF(CT!D19='SCTVTHH NGÀY'!$G$2,CT!H19,0)</f>
        <v>0</v>
      </c>
      <c r="H24" s="69">
        <f>IF(CT!E19='SCTVTHH NGÀY'!$G$2,CT!F19,0)</f>
        <v>0</v>
      </c>
      <c r="I24" s="69">
        <f>IF(CT!E19='SCTVTHH NGÀY'!$G$2,CT!H19,0)</f>
        <v>0</v>
      </c>
      <c r="J24" s="69">
        <f>IF(SUM(F24,H24)=0,0,$J$8+SUBTOTAL(9,$F$10:F24)-SUBTOTAL(9,$H$10:H24))</f>
        <v>0</v>
      </c>
      <c r="K24" s="69">
        <f>IF(SUM(G24,I24)=0,0,$K$8+SUBTOTAL(9,$G$10:G24)-SUBTOTAL(9,$I$10:I24))</f>
        <v>0</v>
      </c>
      <c r="L24" s="65" t="b">
        <f t="shared" si="0"/>
        <v>0</v>
      </c>
    </row>
    <row r="25" spans="1:12" ht="16.8" x14ac:dyDescent="0.3">
      <c r="A25" s="126">
        <f>IF(OR(CT!D20='SCTVTHH NGÀY'!$G$2,CT!E20='SCTVTHH NGÀY'!$G$2),CT!A20,"")</f>
        <v>45306</v>
      </c>
      <c r="B25" s="118" t="str">
        <f>IF(OR(CT!E20='SCTVTHH NGÀY'!$G$2,CT!E20='SCTVTHH NGÀY'!$G$2),CT!B20,"")</f>
        <v>01/XVL</v>
      </c>
      <c r="C25" s="118" t="str">
        <f>IF(OR(CT!F20='SCTVTHH NGÀY'!$G$2,CT!E20='SCTVTHH NGÀY'!$G$2),CT!C20,"")</f>
        <v>Xuất gỗ cao su sx GTV</v>
      </c>
      <c r="D25" s="118" t="str">
        <f>IF(CT!D20='SCTVTHH NGÀY'!$G$2,CT!E20,IF(CT!E20='SCTVTHH NGÀY'!$G$2,CT!D20,""))</f>
        <v>6211.01</v>
      </c>
      <c r="E25" s="124">
        <f>IF(OR(CT!D16='SCTVTHH NGÀY'!$G$2,CT!E16='SCTVTHH NGÀY'!$G$2),CT!G16,0)</f>
        <v>0</v>
      </c>
      <c r="F25" s="124">
        <f>IF(CT!D20='SCTVTHH NGÀY'!$G$2,CT!F20,0)</f>
        <v>0</v>
      </c>
      <c r="G25" s="124">
        <f>IF(CT!D20='SCTVTHH NGÀY'!$G$2,CT!H20,0)</f>
        <v>0</v>
      </c>
      <c r="H25" s="124">
        <f>IF(CT!E20='SCTVTHH NGÀY'!$G$2,CT!F20,0)</f>
        <v>4</v>
      </c>
      <c r="I25" s="124">
        <f>IF(CT!E20='SCTVTHH NGÀY'!$G$2,CT!H20,0)</f>
        <v>13200000</v>
      </c>
      <c r="J25" s="124">
        <f>IF(SUM(F25,H25)=0,0,$J$8+SUBTOTAL(9,$F$10:F25)-SUBTOTAL(9,$H$10:H25))</f>
        <v>6</v>
      </c>
      <c r="K25" s="124">
        <f>IF(SUM(G25,I25)=0,0,$K$8+SUBTOTAL(9,$G$10:G25)-SUBTOTAL(9,$I$10:I25))</f>
        <v>19800000</v>
      </c>
      <c r="L25" s="118" t="b">
        <f t="shared" si="0"/>
        <v>1</v>
      </c>
    </row>
    <row r="26" spans="1:12" hidden="1" x14ac:dyDescent="0.25">
      <c r="A26" s="84" t="str">
        <f>IF(OR(CT!D21='SCTVTHH NGÀY'!$G$2,CT!E21='SCTVTHH NGÀY'!$G$2),CT!A21,"")</f>
        <v/>
      </c>
      <c r="B26" s="65" t="str">
        <f>IF(OR(CT!E21='SCTVTHH NGÀY'!$G$2,CT!E21='SCTVTHH NGÀY'!$G$2),CT!B21,"")</f>
        <v/>
      </c>
      <c r="C26" s="65" t="str">
        <f>IF(OR(CT!F21='SCTVTHH NGÀY'!$G$2,CT!E21='SCTVTHH NGÀY'!$G$2),CT!C21,"")</f>
        <v/>
      </c>
      <c r="D26" s="65" t="str">
        <f>IF(CT!D21='SCTVTHH NGÀY'!$G$2,CT!E21,IF(CT!E21='SCTVTHH NGÀY'!$G$2,CT!D21,""))</f>
        <v/>
      </c>
      <c r="E26" s="69">
        <f>IF(OR(CT!D17='SCTVTHH NGÀY'!$G$2,CT!E17='SCTVTHH NGÀY'!$G$2),CT!G17,0)</f>
        <v>0</v>
      </c>
      <c r="F26" s="69">
        <f>IF(CT!D21='SCTVTHH NGÀY'!$G$2,CT!F21,0)</f>
        <v>0</v>
      </c>
      <c r="G26" s="69">
        <f>IF(CT!D21='SCTVTHH NGÀY'!$G$2,CT!H21,0)</f>
        <v>0</v>
      </c>
      <c r="H26" s="69">
        <f>IF(CT!E21='SCTVTHH NGÀY'!$G$2,CT!F21,0)</f>
        <v>0</v>
      </c>
      <c r="I26" s="69">
        <f>IF(CT!E21='SCTVTHH NGÀY'!$G$2,CT!H21,0)</f>
        <v>0</v>
      </c>
      <c r="J26" s="69">
        <f>IF(SUM(F26,H26)=0,0,$J$8+SUBTOTAL(9,$F$10:F26)-SUBTOTAL(9,$H$10:H26))</f>
        <v>0</v>
      </c>
      <c r="K26" s="69">
        <f>IF(SUM(G26,I26)=0,0,$K$8+SUBTOTAL(9,$G$10:G26)-SUBTOTAL(9,$I$10:I26))</f>
        <v>0</v>
      </c>
      <c r="L26" s="65" t="b">
        <f t="shared" si="0"/>
        <v>0</v>
      </c>
    </row>
    <row r="27" spans="1:12" hidden="1" x14ac:dyDescent="0.25">
      <c r="A27" s="84" t="str">
        <f>IF(OR(CT!D22='SCTVTHH NGÀY'!$G$2,CT!E22='SCTVTHH NGÀY'!$G$2),CT!A22,"")</f>
        <v/>
      </c>
      <c r="B27" s="65" t="str">
        <f>IF(OR(CT!E22='SCTVTHH NGÀY'!$G$2,CT!E22='SCTVTHH NGÀY'!$G$2),CT!B22,"")</f>
        <v/>
      </c>
      <c r="C27" s="65" t="str">
        <f>IF(OR(CT!F22='SCTVTHH NGÀY'!$G$2,CT!E22='SCTVTHH NGÀY'!$G$2),CT!C22,"")</f>
        <v/>
      </c>
      <c r="D27" s="65" t="str">
        <f>IF(CT!D22='SCTVTHH NGÀY'!$G$2,CT!E22,IF(CT!E22='SCTVTHH NGÀY'!$G$2,CT!D22,""))</f>
        <v/>
      </c>
      <c r="E27" s="69">
        <f>IF(OR(CT!D18='SCTVTHH NGÀY'!$G$2,CT!E18='SCTVTHH NGÀY'!$G$2),CT!G18,0)</f>
        <v>0</v>
      </c>
      <c r="F27" s="69">
        <f>IF(CT!D22='SCTVTHH NGÀY'!$G$2,CT!F22,0)</f>
        <v>0</v>
      </c>
      <c r="G27" s="69">
        <f>IF(CT!D22='SCTVTHH NGÀY'!$G$2,CT!H22,0)</f>
        <v>0</v>
      </c>
      <c r="H27" s="69">
        <f>IF(CT!E22='SCTVTHH NGÀY'!$G$2,CT!F22,0)</f>
        <v>0</v>
      </c>
      <c r="I27" s="69">
        <f>IF(CT!E22='SCTVTHH NGÀY'!$G$2,CT!H22,0)</f>
        <v>0</v>
      </c>
      <c r="J27" s="69">
        <f>IF(SUM(F27,H27)=0,0,$J$8+SUBTOTAL(9,$F$10:F27)-SUBTOTAL(9,$H$10:H27))</f>
        <v>0</v>
      </c>
      <c r="K27" s="69">
        <f>IF(SUM(G27,I27)=0,0,$K$8+SUBTOTAL(9,$G$10:G27)-SUBTOTAL(9,$I$10:I27))</f>
        <v>0</v>
      </c>
      <c r="L27" s="65" t="b">
        <f t="shared" si="0"/>
        <v>0</v>
      </c>
    </row>
    <row r="28" spans="1:12" hidden="1" x14ac:dyDescent="0.25">
      <c r="A28" s="84" t="str">
        <f>IF(OR(CT!D23='SCTVTHH NGÀY'!$G$2,CT!E23='SCTVTHH NGÀY'!$G$2),CT!A23,"")</f>
        <v/>
      </c>
      <c r="B28" s="65" t="str">
        <f>IF(OR(CT!E23='SCTVTHH NGÀY'!$G$2,CT!E23='SCTVTHH NGÀY'!$G$2),CT!B23,"")</f>
        <v/>
      </c>
      <c r="C28" s="65" t="str">
        <f>IF(OR(CT!F23='SCTVTHH NGÀY'!$G$2,CT!E23='SCTVTHH NGÀY'!$G$2),CT!C23,"")</f>
        <v/>
      </c>
      <c r="D28" s="65" t="str">
        <f>IF(CT!D23='SCTVTHH NGÀY'!$G$2,CT!E23,IF(CT!E23='SCTVTHH NGÀY'!$G$2,CT!D23,""))</f>
        <v/>
      </c>
      <c r="E28" s="69">
        <f>IF(OR(CT!D19='SCTVTHH NGÀY'!$G$2,CT!E19='SCTVTHH NGÀY'!$G$2),CT!G19,0)</f>
        <v>0</v>
      </c>
      <c r="F28" s="69">
        <f>IF(CT!D23='SCTVTHH NGÀY'!$G$2,CT!F23,0)</f>
        <v>0</v>
      </c>
      <c r="G28" s="69">
        <f>IF(CT!D23='SCTVTHH NGÀY'!$G$2,CT!H23,0)</f>
        <v>0</v>
      </c>
      <c r="H28" s="69">
        <f>IF(CT!E23='SCTVTHH NGÀY'!$G$2,CT!F23,0)</f>
        <v>0</v>
      </c>
      <c r="I28" s="69">
        <f>IF(CT!E23='SCTVTHH NGÀY'!$G$2,CT!H23,0)</f>
        <v>0</v>
      </c>
      <c r="J28" s="69">
        <f>IF(SUM(F28,H28)=0,0,$J$8+SUBTOTAL(9,$F$10:F28)-SUBTOTAL(9,$H$10:H28))</f>
        <v>0</v>
      </c>
      <c r="K28" s="69">
        <f>IF(SUM(G28,I28)=0,0,$K$8+SUBTOTAL(9,$G$10:G28)-SUBTOTAL(9,$I$10:I28))</f>
        <v>0</v>
      </c>
      <c r="L28" s="65" t="b">
        <f t="shared" si="0"/>
        <v>0</v>
      </c>
    </row>
    <row r="29" spans="1:12" hidden="1" x14ac:dyDescent="0.25">
      <c r="A29" s="84" t="str">
        <f>IF(OR(CT!D24='SCTVTHH NGÀY'!$G$2,CT!E24='SCTVTHH NGÀY'!$G$2),CT!A24,"")</f>
        <v/>
      </c>
      <c r="B29" s="65" t="str">
        <f>IF(OR(CT!E24='SCTVTHH NGÀY'!$G$2,CT!E24='SCTVTHH NGÀY'!$G$2),CT!B24,"")</f>
        <v/>
      </c>
      <c r="C29" s="65" t="str">
        <f>IF(OR(CT!F24='SCTVTHH NGÀY'!$G$2,CT!E24='SCTVTHH NGÀY'!$G$2),CT!C24,"")</f>
        <v/>
      </c>
      <c r="D29" s="65" t="str">
        <f>IF(CT!D24='SCTVTHH NGÀY'!$G$2,CT!E24,IF(CT!E24='SCTVTHH NGÀY'!$G$2,CT!D24,""))</f>
        <v/>
      </c>
      <c r="E29" s="69">
        <f>IF(OR(CT!D20='SCTVTHH NGÀY'!$G$2,CT!E20='SCTVTHH NGÀY'!$G$2),CT!G20,0)</f>
        <v>3300000</v>
      </c>
      <c r="F29" s="69">
        <f>IF(CT!D24='SCTVTHH NGÀY'!$G$2,CT!F24,0)</f>
        <v>0</v>
      </c>
      <c r="G29" s="69">
        <f>IF(CT!D24='SCTVTHH NGÀY'!$G$2,CT!H24,0)</f>
        <v>0</v>
      </c>
      <c r="H29" s="69">
        <f>IF(CT!E24='SCTVTHH NGÀY'!$G$2,CT!F24,0)</f>
        <v>0</v>
      </c>
      <c r="I29" s="69">
        <f>IF(CT!E24='SCTVTHH NGÀY'!$G$2,CT!H24,0)</f>
        <v>0</v>
      </c>
      <c r="J29" s="69">
        <f>IF(SUM(F29,H29)=0,0,$J$8+SUBTOTAL(9,$F$10:F29)-SUBTOTAL(9,$H$10:H29))</f>
        <v>0</v>
      </c>
      <c r="K29" s="69">
        <f>IF(SUM(G29,I29)=0,0,$K$8+SUBTOTAL(9,$G$10:G29)-SUBTOTAL(9,$I$10:I29))</f>
        <v>0</v>
      </c>
      <c r="L29" s="65" t="b">
        <f t="shared" si="0"/>
        <v>0</v>
      </c>
    </row>
    <row r="30" spans="1:12" hidden="1" x14ac:dyDescent="0.25">
      <c r="A30" s="84" t="str">
        <f>IF(OR(CT!D25='SCTVTHH NGÀY'!$G$2,CT!E25='SCTVTHH NGÀY'!$G$2),CT!A25,"")</f>
        <v/>
      </c>
      <c r="B30" s="65" t="str">
        <f>IF(OR(CT!E25='SCTVTHH NGÀY'!$G$2,CT!E25='SCTVTHH NGÀY'!$G$2),CT!B25,"")</f>
        <v/>
      </c>
      <c r="C30" s="65" t="str">
        <f>IF(OR(CT!F25='SCTVTHH NGÀY'!$G$2,CT!E25='SCTVTHH NGÀY'!$G$2),CT!C25,"")</f>
        <v/>
      </c>
      <c r="D30" s="65" t="str">
        <f>IF(CT!D25='SCTVTHH NGÀY'!$G$2,CT!E25,IF(CT!E25='SCTVTHH NGÀY'!$G$2,CT!D25,""))</f>
        <v/>
      </c>
      <c r="E30" s="69">
        <f>IF(OR(CT!D21='SCTVTHH NGÀY'!$G$2,CT!E21='SCTVTHH NGÀY'!$G$2),CT!G21,0)</f>
        <v>0</v>
      </c>
      <c r="F30" s="69">
        <f>IF(CT!D25='SCTVTHH NGÀY'!$G$2,CT!F25,0)</f>
        <v>0</v>
      </c>
      <c r="G30" s="69">
        <f>IF(CT!D25='SCTVTHH NGÀY'!$G$2,CT!H25,0)</f>
        <v>0</v>
      </c>
      <c r="H30" s="69">
        <f>IF(CT!E25='SCTVTHH NGÀY'!$G$2,CT!F25,0)</f>
        <v>0</v>
      </c>
      <c r="I30" s="69">
        <f>IF(CT!E25='SCTVTHH NGÀY'!$G$2,CT!H25,0)</f>
        <v>0</v>
      </c>
      <c r="J30" s="69">
        <f>IF(SUM(F30,H30)=0,0,$J$8+SUBTOTAL(9,$F$10:F30)-SUBTOTAL(9,$H$10:H30))</f>
        <v>0</v>
      </c>
      <c r="K30" s="69">
        <f>IF(SUM(G30,I30)=0,0,$K$8+SUBTOTAL(9,$G$10:G30)-SUBTOTAL(9,$I$10:I30))</f>
        <v>0</v>
      </c>
      <c r="L30" s="65" t="b">
        <f t="shared" si="0"/>
        <v>0</v>
      </c>
    </row>
    <row r="31" spans="1:12" hidden="1" x14ac:dyDescent="0.25">
      <c r="A31" s="84" t="str">
        <f>IF(OR(CT!D26='SCTVTHH NGÀY'!$G$2,CT!E26='SCTVTHH NGÀY'!$G$2),CT!A26,"")</f>
        <v/>
      </c>
      <c r="B31" s="65" t="str">
        <f>IF(OR(CT!E26='SCTVTHH NGÀY'!$G$2,CT!E26='SCTVTHH NGÀY'!$G$2),CT!B26,"")</f>
        <v/>
      </c>
      <c r="C31" s="65" t="str">
        <f>IF(OR(CT!F26='SCTVTHH NGÀY'!$G$2,CT!E26='SCTVTHH NGÀY'!$G$2),CT!C26,"")</f>
        <v/>
      </c>
      <c r="D31" s="65" t="str">
        <f>IF(CT!D26='SCTVTHH NGÀY'!$G$2,CT!E26,IF(CT!E26='SCTVTHH NGÀY'!$G$2,CT!D26,""))</f>
        <v/>
      </c>
      <c r="E31" s="69">
        <f>IF(OR(CT!D22='SCTVTHH NGÀY'!$G$2,CT!E22='SCTVTHH NGÀY'!$G$2),CT!G22,0)</f>
        <v>0</v>
      </c>
      <c r="F31" s="69">
        <f>IF(CT!D26='SCTVTHH NGÀY'!$G$2,CT!F26,0)</f>
        <v>0</v>
      </c>
      <c r="G31" s="69">
        <f>IF(CT!D26='SCTVTHH NGÀY'!$G$2,CT!H26,0)</f>
        <v>0</v>
      </c>
      <c r="H31" s="69">
        <f>IF(CT!E26='SCTVTHH NGÀY'!$G$2,CT!F26,0)</f>
        <v>0</v>
      </c>
      <c r="I31" s="69">
        <f>IF(CT!E26='SCTVTHH NGÀY'!$G$2,CT!H26,0)</f>
        <v>0</v>
      </c>
      <c r="J31" s="69">
        <f>IF(SUM(F31,H31)=0,0,$J$8+SUBTOTAL(9,$F$10:F31)-SUBTOTAL(9,$H$10:H31))</f>
        <v>0</v>
      </c>
      <c r="K31" s="69">
        <f>IF(SUM(G31,I31)=0,0,$K$8+SUBTOTAL(9,$G$10:G31)-SUBTOTAL(9,$I$10:I31))</f>
        <v>0</v>
      </c>
      <c r="L31" s="65" t="b">
        <f t="shared" si="0"/>
        <v>0</v>
      </c>
    </row>
    <row r="32" spans="1:12" hidden="1" x14ac:dyDescent="0.25">
      <c r="A32" s="84" t="str">
        <f>IF(OR(CT!D27='SCTVTHH NGÀY'!$G$2,CT!E27='SCTVTHH NGÀY'!$G$2),CT!A27,"")</f>
        <v/>
      </c>
      <c r="B32" s="65" t="str">
        <f>IF(OR(CT!E27='SCTVTHH NGÀY'!$G$2,CT!E27='SCTVTHH NGÀY'!$G$2),CT!B27,"")</f>
        <v/>
      </c>
      <c r="C32" s="65" t="str">
        <f>IF(OR(CT!F27='SCTVTHH NGÀY'!$G$2,CT!E27='SCTVTHH NGÀY'!$G$2),CT!C27,"")</f>
        <v/>
      </c>
      <c r="D32" s="65" t="str">
        <f>IF(CT!D27='SCTVTHH NGÀY'!$G$2,CT!E27,IF(CT!E27='SCTVTHH NGÀY'!$G$2,CT!D27,""))</f>
        <v/>
      </c>
      <c r="E32" s="69">
        <f>IF(OR(CT!D23='SCTVTHH NGÀY'!$G$2,CT!E23='SCTVTHH NGÀY'!$G$2),CT!G23,0)</f>
        <v>0</v>
      </c>
      <c r="F32" s="69">
        <f>IF(CT!D27='SCTVTHH NGÀY'!$G$2,CT!F27,0)</f>
        <v>0</v>
      </c>
      <c r="G32" s="69">
        <f>IF(CT!D27='SCTVTHH NGÀY'!$G$2,CT!H27,0)</f>
        <v>0</v>
      </c>
      <c r="H32" s="69">
        <f>IF(CT!E27='SCTVTHH NGÀY'!$G$2,CT!F27,0)</f>
        <v>0</v>
      </c>
      <c r="I32" s="69">
        <f>IF(CT!E27='SCTVTHH NGÀY'!$G$2,CT!H27,0)</f>
        <v>0</v>
      </c>
      <c r="J32" s="69">
        <f>IF(SUM(F32,H32)=0,0,$J$8+SUBTOTAL(9,$F$10:F32)-SUBTOTAL(9,$H$10:H32))</f>
        <v>0</v>
      </c>
      <c r="K32" s="69">
        <f>IF(SUM(G32,I32)=0,0,$K$8+SUBTOTAL(9,$G$10:G32)-SUBTOTAL(9,$I$10:I32))</f>
        <v>0</v>
      </c>
      <c r="L32" s="65" t="b">
        <f t="shared" si="0"/>
        <v>0</v>
      </c>
    </row>
    <row r="33" spans="1:12" hidden="1" x14ac:dyDescent="0.25">
      <c r="A33" s="84" t="str">
        <f>IF(OR(CT!D28='SCTVTHH NGÀY'!$G$2,CT!E28='SCTVTHH NGÀY'!$G$2),CT!A28,"")</f>
        <v/>
      </c>
      <c r="B33" s="65" t="str">
        <f>IF(OR(CT!E28='SCTVTHH NGÀY'!$G$2,CT!E28='SCTVTHH NGÀY'!$G$2),CT!B28,"")</f>
        <v/>
      </c>
      <c r="C33" s="65" t="str">
        <f>IF(OR(CT!F28='SCTVTHH NGÀY'!$G$2,CT!E28='SCTVTHH NGÀY'!$G$2),CT!C28,"")</f>
        <v/>
      </c>
      <c r="D33" s="65" t="str">
        <f>IF(CT!D28='SCTVTHH NGÀY'!$G$2,CT!E28,IF(CT!E28='SCTVTHH NGÀY'!$G$2,CT!D28,""))</f>
        <v/>
      </c>
      <c r="E33" s="69">
        <f>IF(OR(CT!D24='SCTVTHH NGÀY'!$G$2,CT!E24='SCTVTHH NGÀY'!$G$2),CT!G24,0)</f>
        <v>0</v>
      </c>
      <c r="F33" s="69">
        <f>IF(CT!D28='SCTVTHH NGÀY'!$G$2,CT!F28,0)</f>
        <v>0</v>
      </c>
      <c r="G33" s="69">
        <f>IF(CT!D28='SCTVTHH NGÀY'!$G$2,CT!H28,0)</f>
        <v>0</v>
      </c>
      <c r="H33" s="69">
        <f>IF(CT!E28='SCTVTHH NGÀY'!$G$2,CT!F28,0)</f>
        <v>0</v>
      </c>
      <c r="I33" s="69">
        <f>IF(CT!E28='SCTVTHH NGÀY'!$G$2,CT!H28,0)</f>
        <v>0</v>
      </c>
      <c r="J33" s="69">
        <f>IF(SUM(F33,H33)=0,0,$J$8+SUBTOTAL(9,$F$10:F33)-SUBTOTAL(9,$H$10:H33))</f>
        <v>0</v>
      </c>
      <c r="K33" s="69">
        <f>IF(SUM(G33,I33)=0,0,$K$8+SUBTOTAL(9,$G$10:G33)-SUBTOTAL(9,$I$10:I33))</f>
        <v>0</v>
      </c>
      <c r="L33" s="65" t="b">
        <f t="shared" si="0"/>
        <v>0</v>
      </c>
    </row>
    <row r="34" spans="1:12" hidden="1" x14ac:dyDescent="0.25">
      <c r="A34" s="84" t="str">
        <f>IF(OR(CT!D29='SCTVTHH NGÀY'!$G$2,CT!E29='SCTVTHH NGÀY'!$G$2),CT!A29,"")</f>
        <v/>
      </c>
      <c r="B34" s="65" t="str">
        <f>IF(OR(CT!E29='SCTVTHH NGÀY'!$G$2,CT!E29='SCTVTHH NGÀY'!$G$2),CT!B29,"")</f>
        <v/>
      </c>
      <c r="C34" s="65" t="str">
        <f>IF(OR(CT!F29='SCTVTHH NGÀY'!$G$2,CT!E29='SCTVTHH NGÀY'!$G$2),CT!C29,"")</f>
        <v/>
      </c>
      <c r="D34" s="65" t="str">
        <f>IF(CT!D29='SCTVTHH NGÀY'!$G$2,CT!E29,IF(CT!E29='SCTVTHH NGÀY'!$G$2,CT!D29,""))</f>
        <v/>
      </c>
      <c r="E34" s="69">
        <f>IF(OR(CT!D25='SCTVTHH NGÀY'!$G$2,CT!E25='SCTVTHH NGÀY'!$G$2),CT!G25,0)</f>
        <v>0</v>
      </c>
      <c r="F34" s="69">
        <f>IF(CT!D29='SCTVTHH NGÀY'!$G$2,CT!F29,0)</f>
        <v>0</v>
      </c>
      <c r="G34" s="69">
        <f>IF(CT!D29='SCTVTHH NGÀY'!$G$2,CT!H29,0)</f>
        <v>0</v>
      </c>
      <c r="H34" s="69">
        <f>IF(CT!E29='SCTVTHH NGÀY'!$G$2,CT!F29,0)</f>
        <v>0</v>
      </c>
      <c r="I34" s="69">
        <f>IF(CT!E29='SCTVTHH NGÀY'!$G$2,CT!H29,0)</f>
        <v>0</v>
      </c>
      <c r="J34" s="69">
        <f>IF(SUM(F34,H34)=0,0,$J$8+SUBTOTAL(9,$F$10:F34)-SUBTOTAL(9,$H$10:H34))</f>
        <v>0</v>
      </c>
      <c r="K34" s="69">
        <f>IF(SUM(G34,I34)=0,0,$K$8+SUBTOTAL(9,$G$10:G34)-SUBTOTAL(9,$I$10:I34))</f>
        <v>0</v>
      </c>
      <c r="L34" s="65" t="b">
        <f t="shared" si="0"/>
        <v>0</v>
      </c>
    </row>
    <row r="35" spans="1:12" hidden="1" x14ac:dyDescent="0.25">
      <c r="A35" s="84" t="str">
        <f>IF(OR(CT!D30='SCTVTHH NGÀY'!$G$2,CT!E30='SCTVTHH NGÀY'!$G$2),CT!A30,"")</f>
        <v/>
      </c>
      <c r="B35" s="65" t="str">
        <f>IF(OR(CT!E30='SCTVTHH NGÀY'!$G$2,CT!E30='SCTVTHH NGÀY'!$G$2),CT!B30,"")</f>
        <v/>
      </c>
      <c r="C35" s="65" t="str">
        <f>IF(OR(CT!F30='SCTVTHH NGÀY'!$G$2,CT!E30='SCTVTHH NGÀY'!$G$2),CT!C30,"")</f>
        <v/>
      </c>
      <c r="D35" s="65" t="str">
        <f>IF(CT!D30='SCTVTHH NGÀY'!$G$2,CT!E30,IF(CT!E30='SCTVTHH NGÀY'!$G$2,CT!D30,""))</f>
        <v/>
      </c>
      <c r="E35" s="69">
        <f>IF(OR(CT!D26='SCTVTHH NGÀY'!$G$2,CT!E26='SCTVTHH NGÀY'!$G$2),CT!G26,0)</f>
        <v>0</v>
      </c>
      <c r="F35" s="69">
        <f>IF(CT!D30='SCTVTHH NGÀY'!$G$2,CT!F30,0)</f>
        <v>0</v>
      </c>
      <c r="G35" s="69">
        <f>IF(CT!D30='SCTVTHH NGÀY'!$G$2,CT!H30,0)</f>
        <v>0</v>
      </c>
      <c r="H35" s="69">
        <f>IF(CT!E30='SCTVTHH NGÀY'!$G$2,CT!F30,0)</f>
        <v>0</v>
      </c>
      <c r="I35" s="69">
        <f>IF(CT!E30='SCTVTHH NGÀY'!$G$2,CT!H30,0)</f>
        <v>0</v>
      </c>
      <c r="J35" s="69">
        <f>IF(SUM(F35,H35)=0,0,$J$8+SUBTOTAL(9,$F$10:F35)-SUBTOTAL(9,$H$10:H35))</f>
        <v>0</v>
      </c>
      <c r="K35" s="69">
        <f>IF(SUM(G35,I35)=0,0,$K$8+SUBTOTAL(9,$G$10:G35)-SUBTOTAL(9,$I$10:I35))</f>
        <v>0</v>
      </c>
      <c r="L35" s="65" t="b">
        <f t="shared" si="0"/>
        <v>0</v>
      </c>
    </row>
    <row r="36" spans="1:12" hidden="1" x14ac:dyDescent="0.25">
      <c r="A36" s="84" t="str">
        <f>IF(OR(CT!D31='SCTVTHH NGÀY'!$G$2,CT!E31='SCTVTHH NGÀY'!$G$2),CT!A31,"")</f>
        <v/>
      </c>
      <c r="B36" s="65" t="str">
        <f>IF(OR(CT!E31='SCTVTHH NGÀY'!$G$2,CT!E31='SCTVTHH NGÀY'!$G$2),CT!B31,"")</f>
        <v/>
      </c>
      <c r="C36" s="65" t="str">
        <f>IF(OR(CT!F31='SCTVTHH NGÀY'!$G$2,CT!E31='SCTVTHH NGÀY'!$G$2),CT!C31,"")</f>
        <v/>
      </c>
      <c r="D36" s="65" t="str">
        <f>IF(CT!D31='SCTVTHH NGÀY'!$G$2,CT!E31,IF(CT!E31='SCTVTHH NGÀY'!$G$2,CT!D31,""))</f>
        <v/>
      </c>
      <c r="E36" s="69">
        <f>IF(OR(CT!D27='SCTVTHH NGÀY'!$G$2,CT!E27='SCTVTHH NGÀY'!$G$2),CT!G27,0)</f>
        <v>0</v>
      </c>
      <c r="F36" s="69">
        <f>IF(CT!D31='SCTVTHH NGÀY'!$G$2,CT!F31,0)</f>
        <v>0</v>
      </c>
      <c r="G36" s="69">
        <f>IF(CT!D31='SCTVTHH NGÀY'!$G$2,CT!H31,0)</f>
        <v>0</v>
      </c>
      <c r="H36" s="69">
        <f>IF(CT!E31='SCTVTHH NGÀY'!$G$2,CT!F31,0)</f>
        <v>0</v>
      </c>
      <c r="I36" s="69">
        <f>IF(CT!E31='SCTVTHH NGÀY'!$G$2,CT!H31,0)</f>
        <v>0</v>
      </c>
      <c r="J36" s="69">
        <f>IF(SUM(F36,H36)=0,0,$J$8+SUBTOTAL(9,$F$10:F36)-SUBTOTAL(9,$H$10:H36))</f>
        <v>0</v>
      </c>
      <c r="K36" s="69">
        <f>IF(SUM(G36,I36)=0,0,$K$8+SUBTOTAL(9,$G$10:G36)-SUBTOTAL(9,$I$10:I36))</f>
        <v>0</v>
      </c>
      <c r="L36" s="65" t="b">
        <f t="shared" si="0"/>
        <v>0</v>
      </c>
    </row>
    <row r="37" spans="1:12" hidden="1" x14ac:dyDescent="0.25">
      <c r="A37" s="84" t="str">
        <f>IF(OR(CT!D32='SCTVTHH NGÀY'!$G$2,CT!E32='SCTVTHH NGÀY'!$G$2),CT!A32,"")</f>
        <v/>
      </c>
      <c r="B37" s="65" t="str">
        <f>IF(OR(CT!E32='SCTVTHH NGÀY'!$G$2,CT!E32='SCTVTHH NGÀY'!$G$2),CT!B32,"")</f>
        <v/>
      </c>
      <c r="C37" s="65" t="str">
        <f>IF(OR(CT!F32='SCTVTHH NGÀY'!$G$2,CT!E32='SCTVTHH NGÀY'!$G$2),CT!C32,"")</f>
        <v/>
      </c>
      <c r="D37" s="65" t="str">
        <f>IF(CT!D32='SCTVTHH NGÀY'!$G$2,CT!E32,IF(CT!E32='SCTVTHH NGÀY'!$G$2,CT!D32,""))</f>
        <v/>
      </c>
      <c r="E37" s="69">
        <f>IF(OR(CT!D28='SCTVTHH NGÀY'!$G$2,CT!E28='SCTVTHH NGÀY'!$G$2),CT!G28,0)</f>
        <v>0</v>
      </c>
      <c r="F37" s="69">
        <f>IF(CT!D32='SCTVTHH NGÀY'!$G$2,CT!F32,0)</f>
        <v>0</v>
      </c>
      <c r="G37" s="69">
        <f>IF(CT!D32='SCTVTHH NGÀY'!$G$2,CT!H32,0)</f>
        <v>0</v>
      </c>
      <c r="H37" s="69">
        <f>IF(CT!E32='SCTVTHH NGÀY'!$G$2,CT!F32,0)</f>
        <v>0</v>
      </c>
      <c r="I37" s="69">
        <f>IF(CT!E32='SCTVTHH NGÀY'!$G$2,CT!H32,0)</f>
        <v>0</v>
      </c>
      <c r="J37" s="69">
        <f>IF(SUM(F37,H37)=0,0,$J$8+SUBTOTAL(9,$F$10:F37)-SUBTOTAL(9,$H$10:H37))</f>
        <v>0</v>
      </c>
      <c r="K37" s="69">
        <f>IF(SUM(G37,I37)=0,0,$K$8+SUBTOTAL(9,$G$10:G37)-SUBTOTAL(9,$I$10:I37))</f>
        <v>0</v>
      </c>
      <c r="L37" s="65" t="b">
        <f t="shared" si="0"/>
        <v>0</v>
      </c>
    </row>
    <row r="38" spans="1:12" hidden="1" x14ac:dyDescent="0.25">
      <c r="A38" s="84" t="str">
        <f>IF(OR(CT!D33='SCTVTHH NGÀY'!$G$2,CT!E33='SCTVTHH NGÀY'!$G$2),CT!A33,"")</f>
        <v/>
      </c>
      <c r="B38" s="65" t="str">
        <f>IF(OR(CT!E33='SCTVTHH NGÀY'!$G$2,CT!E33='SCTVTHH NGÀY'!$G$2),CT!B33,"")</f>
        <v/>
      </c>
      <c r="C38" s="65" t="str">
        <f>IF(OR(CT!F33='SCTVTHH NGÀY'!$G$2,CT!E33='SCTVTHH NGÀY'!$G$2),CT!C33,"")</f>
        <v/>
      </c>
      <c r="D38" s="65" t="str">
        <f>IF(CT!D33='SCTVTHH NGÀY'!$G$2,CT!E33,IF(CT!E33='SCTVTHH NGÀY'!$G$2,CT!D33,""))</f>
        <v/>
      </c>
      <c r="E38" s="69">
        <f>IF(OR(CT!D29='SCTVTHH NGÀY'!$G$2,CT!E29='SCTVTHH NGÀY'!$G$2),CT!G29,0)</f>
        <v>0</v>
      </c>
      <c r="F38" s="69">
        <f>IF(CT!D33='SCTVTHH NGÀY'!$G$2,CT!F33,0)</f>
        <v>0</v>
      </c>
      <c r="G38" s="69">
        <f>IF(CT!D33='SCTVTHH NGÀY'!$G$2,CT!H33,0)</f>
        <v>0</v>
      </c>
      <c r="H38" s="69">
        <f>IF(CT!E33='SCTVTHH NGÀY'!$G$2,CT!F33,0)</f>
        <v>0</v>
      </c>
      <c r="I38" s="69">
        <f>IF(CT!E33='SCTVTHH NGÀY'!$G$2,CT!H33,0)</f>
        <v>0</v>
      </c>
      <c r="J38" s="69">
        <f>IF(SUM(F38,H38)=0,0,$J$8+SUBTOTAL(9,$F$10:F38)-SUBTOTAL(9,$H$10:H38))</f>
        <v>0</v>
      </c>
      <c r="K38" s="69">
        <f>IF(SUM(G38,I38)=0,0,$K$8+SUBTOTAL(9,$G$10:G38)-SUBTOTAL(9,$I$10:I38))</f>
        <v>0</v>
      </c>
      <c r="L38" s="65" t="b">
        <f t="shared" si="0"/>
        <v>0</v>
      </c>
    </row>
    <row r="39" spans="1:12" hidden="1" x14ac:dyDescent="0.25">
      <c r="A39" s="84" t="str">
        <f>IF(OR(CT!D34='SCTVTHH NGÀY'!$G$2,CT!E34='SCTVTHH NGÀY'!$G$2),CT!A34,"")</f>
        <v/>
      </c>
      <c r="B39" s="65" t="str">
        <f>IF(OR(CT!E34='SCTVTHH NGÀY'!$G$2,CT!E34='SCTVTHH NGÀY'!$G$2),CT!B34,"")</f>
        <v/>
      </c>
      <c r="C39" s="65" t="str">
        <f>IF(OR(CT!F34='SCTVTHH NGÀY'!$G$2,CT!E34='SCTVTHH NGÀY'!$G$2),CT!C34,"")</f>
        <v/>
      </c>
      <c r="D39" s="65" t="str">
        <f>IF(CT!D34='SCTVTHH NGÀY'!$G$2,CT!E34,IF(CT!E34='SCTVTHH NGÀY'!$G$2,CT!D34,""))</f>
        <v/>
      </c>
      <c r="E39" s="69">
        <f>IF(OR(CT!D30='SCTVTHH NGÀY'!$G$2,CT!E30='SCTVTHH NGÀY'!$G$2),CT!G30,0)</f>
        <v>0</v>
      </c>
      <c r="F39" s="69">
        <f>IF(CT!D34='SCTVTHH NGÀY'!$G$2,CT!F34,0)</f>
        <v>0</v>
      </c>
      <c r="G39" s="69">
        <f>IF(CT!D34='SCTVTHH NGÀY'!$G$2,CT!H34,0)</f>
        <v>0</v>
      </c>
      <c r="H39" s="69">
        <f>IF(CT!E34='SCTVTHH NGÀY'!$G$2,CT!F34,0)</f>
        <v>0</v>
      </c>
      <c r="I39" s="69">
        <f>IF(CT!E34='SCTVTHH NGÀY'!$G$2,CT!H34,0)</f>
        <v>0</v>
      </c>
      <c r="J39" s="69">
        <f>IF(SUM(F39,H39)=0,0,$J$8+SUBTOTAL(9,$F$10:F39)-SUBTOTAL(9,$H$10:H39))</f>
        <v>0</v>
      </c>
      <c r="K39" s="69">
        <f>IF(SUM(G39,I39)=0,0,$K$8+SUBTOTAL(9,$G$10:G39)-SUBTOTAL(9,$I$10:I39))</f>
        <v>0</v>
      </c>
      <c r="L39" s="65" t="b">
        <f t="shared" si="0"/>
        <v>0</v>
      </c>
    </row>
    <row r="40" spans="1:12" hidden="1" x14ac:dyDescent="0.25">
      <c r="A40" s="84" t="str">
        <f>IF(OR(CT!D35='SCTVTHH NGÀY'!$G$2,CT!E35='SCTVTHH NGÀY'!$G$2),CT!A35,"")</f>
        <v/>
      </c>
      <c r="B40" s="65" t="str">
        <f>IF(OR(CT!E35='SCTVTHH NGÀY'!$G$2,CT!E35='SCTVTHH NGÀY'!$G$2),CT!B35,"")</f>
        <v/>
      </c>
      <c r="C40" s="65" t="str">
        <f>IF(OR(CT!F35='SCTVTHH NGÀY'!$G$2,CT!E35='SCTVTHH NGÀY'!$G$2),CT!C35,"")</f>
        <v/>
      </c>
      <c r="D40" s="65" t="str">
        <f>IF(CT!D35='SCTVTHH NGÀY'!$G$2,CT!E35,IF(CT!E35='SCTVTHH NGÀY'!$G$2,CT!D35,""))</f>
        <v/>
      </c>
      <c r="E40" s="69">
        <f>IF(OR(CT!D31='SCTVTHH NGÀY'!$G$2,CT!E31='SCTVTHH NGÀY'!$G$2),CT!G31,0)</f>
        <v>0</v>
      </c>
      <c r="F40" s="69">
        <f>IF(CT!D35='SCTVTHH NGÀY'!$G$2,CT!F35,0)</f>
        <v>0</v>
      </c>
      <c r="G40" s="69">
        <f>IF(CT!D35='SCTVTHH NGÀY'!$G$2,CT!H35,0)</f>
        <v>0</v>
      </c>
      <c r="H40" s="69">
        <f>IF(CT!E35='SCTVTHH NGÀY'!$G$2,CT!F35,0)</f>
        <v>0</v>
      </c>
      <c r="I40" s="69">
        <f>IF(CT!E35='SCTVTHH NGÀY'!$G$2,CT!H35,0)</f>
        <v>0</v>
      </c>
      <c r="J40" s="69">
        <f>IF(SUM(F40,H40)=0,0,$J$8+SUBTOTAL(9,$F$10:F40)-SUBTOTAL(9,$H$10:H40))</f>
        <v>0</v>
      </c>
      <c r="K40" s="69">
        <f>IF(SUM(G40,I40)=0,0,$K$8+SUBTOTAL(9,$G$10:G40)-SUBTOTAL(9,$I$10:I40))</f>
        <v>0</v>
      </c>
      <c r="L40" s="65" t="b">
        <f t="shared" si="0"/>
        <v>0</v>
      </c>
    </row>
    <row r="41" spans="1:12" hidden="1" x14ac:dyDescent="0.25">
      <c r="A41" s="84" t="str">
        <f>IF(OR(CT!D36='SCTVTHH NGÀY'!$G$2,CT!E36='SCTVTHH NGÀY'!$G$2),CT!A36,"")</f>
        <v/>
      </c>
      <c r="B41" s="65" t="str">
        <f>IF(OR(CT!E36='SCTVTHH NGÀY'!$G$2,CT!E36='SCTVTHH NGÀY'!$G$2),CT!B36,"")</f>
        <v/>
      </c>
      <c r="C41" s="65" t="str">
        <f>IF(OR(CT!F36='SCTVTHH NGÀY'!$G$2,CT!E36='SCTVTHH NGÀY'!$G$2),CT!C36,"")</f>
        <v/>
      </c>
      <c r="D41" s="65" t="str">
        <f>IF(CT!D36='SCTVTHH NGÀY'!$G$2,CT!E36,IF(CT!E36='SCTVTHH NGÀY'!$G$2,CT!D36,""))</f>
        <v/>
      </c>
      <c r="E41" s="69">
        <f>IF(OR(CT!D32='SCTVTHH NGÀY'!$G$2,CT!E32='SCTVTHH NGÀY'!$G$2),CT!G32,0)</f>
        <v>0</v>
      </c>
      <c r="F41" s="69">
        <f>IF(CT!D36='SCTVTHH NGÀY'!$G$2,CT!F36,0)</f>
        <v>0</v>
      </c>
      <c r="G41" s="69">
        <f>IF(CT!D36='SCTVTHH NGÀY'!$G$2,CT!H36,0)</f>
        <v>0</v>
      </c>
      <c r="H41" s="69">
        <f>IF(CT!E36='SCTVTHH NGÀY'!$G$2,CT!F36,0)</f>
        <v>0</v>
      </c>
      <c r="I41" s="69">
        <f>IF(CT!E36='SCTVTHH NGÀY'!$G$2,CT!H36,0)</f>
        <v>0</v>
      </c>
      <c r="J41" s="69">
        <f>IF(SUM(F41,H41)=0,0,$J$8+SUBTOTAL(9,$F$10:F41)-SUBTOTAL(9,$H$10:H41))</f>
        <v>0</v>
      </c>
      <c r="K41" s="69">
        <f>IF(SUM(G41,I41)=0,0,$K$8+SUBTOTAL(9,$G$10:G41)-SUBTOTAL(9,$I$10:I41))</f>
        <v>0</v>
      </c>
      <c r="L41" s="65" t="b">
        <f t="shared" si="0"/>
        <v>0</v>
      </c>
    </row>
    <row r="42" spans="1:12" hidden="1" x14ac:dyDescent="0.25">
      <c r="A42" s="84" t="str">
        <f>IF(OR(CT!D37='SCTVTHH NGÀY'!$G$2,CT!E37='SCTVTHH NGÀY'!$G$2),CT!A37,"")</f>
        <v/>
      </c>
      <c r="B42" s="65" t="str">
        <f>IF(OR(CT!E37='SCTVTHH NGÀY'!$G$2,CT!E37='SCTVTHH NGÀY'!$G$2),CT!B37,"")</f>
        <v/>
      </c>
      <c r="C42" s="65" t="str">
        <f>IF(OR(CT!F37='SCTVTHH NGÀY'!$G$2,CT!E37='SCTVTHH NGÀY'!$G$2),CT!C37,"")</f>
        <v/>
      </c>
      <c r="D42" s="65" t="str">
        <f>IF(CT!D37='SCTVTHH NGÀY'!$G$2,CT!E37,IF(CT!E37='SCTVTHH NGÀY'!$G$2,CT!D37,""))</f>
        <v/>
      </c>
      <c r="E42" s="69">
        <f>IF(OR(CT!D33='SCTVTHH NGÀY'!$G$2,CT!E33='SCTVTHH NGÀY'!$G$2),CT!G33,0)</f>
        <v>0</v>
      </c>
      <c r="F42" s="69">
        <f>IF(CT!D37='SCTVTHH NGÀY'!$G$2,CT!F37,0)</f>
        <v>0</v>
      </c>
      <c r="G42" s="69">
        <f>IF(CT!D37='SCTVTHH NGÀY'!$G$2,CT!H37,0)</f>
        <v>0</v>
      </c>
      <c r="H42" s="69">
        <f>IF(CT!E37='SCTVTHH NGÀY'!$G$2,CT!F37,0)</f>
        <v>0</v>
      </c>
      <c r="I42" s="69">
        <f>IF(CT!E37='SCTVTHH NGÀY'!$G$2,CT!H37,0)</f>
        <v>0</v>
      </c>
      <c r="J42" s="69">
        <f>IF(SUM(F42,H42)=0,0,$J$8+SUBTOTAL(9,$F$10:F42)-SUBTOTAL(9,$H$10:H42))</f>
        <v>0</v>
      </c>
      <c r="K42" s="69">
        <f>IF(SUM(G42,I42)=0,0,$K$8+SUBTOTAL(9,$G$10:G42)-SUBTOTAL(9,$I$10:I42))</f>
        <v>0</v>
      </c>
      <c r="L42" s="65" t="b">
        <f t="shared" si="0"/>
        <v>0</v>
      </c>
    </row>
    <row r="43" spans="1:12" hidden="1" x14ac:dyDescent="0.25">
      <c r="A43" s="84" t="str">
        <f>IF(OR(CT!D38='SCTVTHH NGÀY'!$G$2,CT!E38='SCTVTHH NGÀY'!$G$2),CT!A38,"")</f>
        <v/>
      </c>
      <c r="B43" s="65" t="str">
        <f>IF(OR(CT!E38='SCTVTHH NGÀY'!$G$2,CT!E38='SCTVTHH NGÀY'!$G$2),CT!B38,"")</f>
        <v/>
      </c>
      <c r="C43" s="65" t="str">
        <f>IF(OR(CT!F38='SCTVTHH NGÀY'!$G$2,CT!E38='SCTVTHH NGÀY'!$G$2),CT!C38,"")</f>
        <v/>
      </c>
      <c r="D43" s="65" t="str">
        <f>IF(CT!D38='SCTVTHH NGÀY'!$G$2,CT!E38,IF(CT!E38='SCTVTHH NGÀY'!$G$2,CT!D38,""))</f>
        <v/>
      </c>
      <c r="E43" s="69">
        <f>IF(OR(CT!D34='SCTVTHH NGÀY'!$G$2,CT!E34='SCTVTHH NGÀY'!$G$2),CT!G34,0)</f>
        <v>0</v>
      </c>
      <c r="F43" s="69">
        <f>IF(CT!D38='SCTVTHH NGÀY'!$G$2,CT!F38,0)</f>
        <v>0</v>
      </c>
      <c r="G43" s="69">
        <f>IF(CT!D38='SCTVTHH NGÀY'!$G$2,CT!H38,0)</f>
        <v>0</v>
      </c>
      <c r="H43" s="69">
        <f>IF(CT!E38='SCTVTHH NGÀY'!$G$2,CT!F38,0)</f>
        <v>0</v>
      </c>
      <c r="I43" s="69">
        <f>IF(CT!E38='SCTVTHH NGÀY'!$G$2,CT!H38,0)</f>
        <v>0</v>
      </c>
      <c r="J43" s="69">
        <f>IF(SUM(F43,H43)=0,0,$J$8+SUBTOTAL(9,$F$10:F43)-SUBTOTAL(9,$H$10:H43))</f>
        <v>0</v>
      </c>
      <c r="K43" s="69">
        <f>IF(SUM(G43,I43)=0,0,$K$8+SUBTOTAL(9,$G$10:G43)-SUBTOTAL(9,$I$10:I43))</f>
        <v>0</v>
      </c>
      <c r="L43" s="65" t="b">
        <f t="shared" si="0"/>
        <v>0</v>
      </c>
    </row>
    <row r="44" spans="1:12" hidden="1" x14ac:dyDescent="0.25">
      <c r="A44" s="84" t="str">
        <f>IF(OR(CT!D39='SCTVTHH NGÀY'!$G$2,CT!E39='SCTVTHH NGÀY'!$G$2),CT!A39,"")</f>
        <v/>
      </c>
      <c r="B44" s="65" t="str">
        <f>IF(OR(CT!E39='SCTVTHH NGÀY'!$G$2,CT!E39='SCTVTHH NGÀY'!$G$2),CT!B39,"")</f>
        <v/>
      </c>
      <c r="C44" s="65" t="str">
        <f>IF(OR(CT!F39='SCTVTHH NGÀY'!$G$2,CT!E39='SCTVTHH NGÀY'!$G$2),CT!C39,"")</f>
        <v/>
      </c>
      <c r="D44" s="65" t="str">
        <f>IF(CT!D39='SCTVTHH NGÀY'!$G$2,CT!E39,IF(CT!E39='SCTVTHH NGÀY'!$G$2,CT!D39,""))</f>
        <v/>
      </c>
      <c r="E44" s="69">
        <f>IF(OR(CT!D35='SCTVTHH NGÀY'!$G$2,CT!E35='SCTVTHH NGÀY'!$G$2),CT!G35,0)</f>
        <v>0</v>
      </c>
      <c r="F44" s="69">
        <f>IF(CT!D39='SCTVTHH NGÀY'!$G$2,CT!F39,0)</f>
        <v>0</v>
      </c>
      <c r="G44" s="69">
        <f>IF(CT!D39='SCTVTHH NGÀY'!$G$2,CT!H39,0)</f>
        <v>0</v>
      </c>
      <c r="H44" s="69">
        <f>IF(CT!E39='SCTVTHH NGÀY'!$G$2,CT!F39,0)</f>
        <v>0</v>
      </c>
      <c r="I44" s="69">
        <f>IF(CT!E39='SCTVTHH NGÀY'!$G$2,CT!H39,0)</f>
        <v>0</v>
      </c>
      <c r="J44" s="69">
        <f>IF(SUM(F44,H44)=0,0,$J$8+SUBTOTAL(9,$F$10:F44)-SUBTOTAL(9,$H$10:H44))</f>
        <v>0</v>
      </c>
      <c r="K44" s="69">
        <f>IF(SUM(G44,I44)=0,0,$K$8+SUBTOTAL(9,$G$10:G44)-SUBTOTAL(9,$I$10:I44))</f>
        <v>0</v>
      </c>
      <c r="L44" s="65" t="b">
        <f t="shared" si="0"/>
        <v>0</v>
      </c>
    </row>
    <row r="45" spans="1:12" hidden="1" x14ac:dyDescent="0.25">
      <c r="A45" s="84" t="str">
        <f>IF(OR(CT!D40='SCTVTHH NGÀY'!$G$2,CT!E40='SCTVTHH NGÀY'!$G$2),CT!A40,"")</f>
        <v/>
      </c>
      <c r="B45" s="65" t="str">
        <f>IF(OR(CT!E40='SCTVTHH NGÀY'!$G$2,CT!E40='SCTVTHH NGÀY'!$G$2),CT!B40,"")</f>
        <v/>
      </c>
      <c r="C45" s="65" t="str">
        <f>IF(OR(CT!F40='SCTVTHH NGÀY'!$G$2,CT!E40='SCTVTHH NGÀY'!$G$2),CT!C40,"")</f>
        <v/>
      </c>
      <c r="D45" s="65" t="str">
        <f>IF(CT!D40='SCTVTHH NGÀY'!$G$2,CT!E40,IF(CT!E40='SCTVTHH NGÀY'!$G$2,CT!D40,""))</f>
        <v/>
      </c>
      <c r="E45" s="69">
        <f>IF(OR(CT!D36='SCTVTHH NGÀY'!$G$2,CT!E36='SCTVTHH NGÀY'!$G$2),CT!G36,0)</f>
        <v>0</v>
      </c>
      <c r="F45" s="69">
        <f>IF(CT!D40='SCTVTHH NGÀY'!$G$2,CT!F40,0)</f>
        <v>0</v>
      </c>
      <c r="G45" s="69">
        <f>IF(CT!D40='SCTVTHH NGÀY'!$G$2,CT!H40,0)</f>
        <v>0</v>
      </c>
      <c r="H45" s="69">
        <f>IF(CT!E40='SCTVTHH NGÀY'!$G$2,CT!F40,0)</f>
        <v>0</v>
      </c>
      <c r="I45" s="69">
        <f>IF(CT!E40='SCTVTHH NGÀY'!$G$2,CT!H40,0)</f>
        <v>0</v>
      </c>
      <c r="J45" s="69">
        <f>IF(SUM(F45,H45)=0,0,$J$8+SUBTOTAL(9,$F$10:F45)-SUBTOTAL(9,$H$10:H45))</f>
        <v>0</v>
      </c>
      <c r="K45" s="69">
        <f>IF(SUM(G45,I45)=0,0,$K$8+SUBTOTAL(9,$G$10:G45)-SUBTOTAL(9,$I$10:I45))</f>
        <v>0</v>
      </c>
      <c r="L45" s="65" t="b">
        <f t="shared" si="0"/>
        <v>0</v>
      </c>
    </row>
    <row r="46" spans="1:12" hidden="1" x14ac:dyDescent="0.25">
      <c r="A46" s="84" t="str">
        <f>IF(OR(CT!D41='SCTVTHH NGÀY'!$G$2,CT!E41='SCTVTHH NGÀY'!$G$2),CT!A41,"")</f>
        <v/>
      </c>
      <c r="B46" s="65" t="str">
        <f>IF(OR(CT!E41='SCTVTHH NGÀY'!$G$2,CT!E41='SCTVTHH NGÀY'!$G$2),CT!B41,"")</f>
        <v/>
      </c>
      <c r="C46" s="65" t="str">
        <f>IF(OR(CT!F41='SCTVTHH NGÀY'!$G$2,CT!E41='SCTVTHH NGÀY'!$G$2),CT!C41,"")</f>
        <v/>
      </c>
      <c r="D46" s="65" t="str">
        <f>IF(CT!D41='SCTVTHH NGÀY'!$G$2,CT!E41,IF(CT!E41='SCTVTHH NGÀY'!$G$2,CT!D41,""))</f>
        <v/>
      </c>
      <c r="E46" s="69">
        <f>IF(OR(CT!D37='SCTVTHH NGÀY'!$G$2,CT!E37='SCTVTHH NGÀY'!$G$2),CT!G37,0)</f>
        <v>0</v>
      </c>
      <c r="F46" s="69">
        <f>IF(CT!D41='SCTVTHH NGÀY'!$G$2,CT!F41,0)</f>
        <v>0</v>
      </c>
      <c r="G46" s="69">
        <f>IF(CT!D41='SCTVTHH NGÀY'!$G$2,CT!H41,0)</f>
        <v>0</v>
      </c>
      <c r="H46" s="69">
        <f>IF(CT!E41='SCTVTHH NGÀY'!$G$2,CT!F41,0)</f>
        <v>0</v>
      </c>
      <c r="I46" s="69">
        <f>IF(CT!E41='SCTVTHH NGÀY'!$G$2,CT!H41,0)</f>
        <v>0</v>
      </c>
      <c r="J46" s="69">
        <f>IF(SUM(F46,H46)=0,0,$J$8+SUBTOTAL(9,$F$10:F46)-SUBTOTAL(9,$H$10:H46))</f>
        <v>0</v>
      </c>
      <c r="K46" s="69">
        <f>IF(SUM(G46,I46)=0,0,$K$8+SUBTOTAL(9,$G$10:G46)-SUBTOTAL(9,$I$10:I46))</f>
        <v>0</v>
      </c>
      <c r="L46" s="65" t="b">
        <f t="shared" si="0"/>
        <v>0</v>
      </c>
    </row>
    <row r="47" spans="1:12" hidden="1" x14ac:dyDescent="0.25">
      <c r="A47" s="84" t="str">
        <f>IF(OR(CT!D42='SCTVTHH NGÀY'!$G$2,CT!E42='SCTVTHH NGÀY'!$G$2),CT!A42,"")</f>
        <v/>
      </c>
      <c r="B47" s="65" t="str">
        <f>IF(OR(CT!E42='SCTVTHH NGÀY'!$G$2,CT!E42='SCTVTHH NGÀY'!$G$2),CT!B42,"")</f>
        <v/>
      </c>
      <c r="C47" s="65" t="str">
        <f>IF(OR(CT!F42='SCTVTHH NGÀY'!$G$2,CT!E42='SCTVTHH NGÀY'!$G$2),CT!C42,"")</f>
        <v/>
      </c>
      <c r="D47" s="65" t="str">
        <f>IF(CT!D42='SCTVTHH NGÀY'!$G$2,CT!E42,IF(CT!E42='SCTVTHH NGÀY'!$G$2,CT!D42,""))</f>
        <v/>
      </c>
      <c r="E47" s="69">
        <f>IF(OR(CT!D38='SCTVTHH NGÀY'!$G$2,CT!E38='SCTVTHH NGÀY'!$G$2),CT!G38,0)</f>
        <v>0</v>
      </c>
      <c r="F47" s="69">
        <f>IF(CT!D42='SCTVTHH NGÀY'!$G$2,CT!F42,0)</f>
        <v>0</v>
      </c>
      <c r="G47" s="69">
        <f>IF(CT!D42='SCTVTHH NGÀY'!$G$2,CT!H42,0)</f>
        <v>0</v>
      </c>
      <c r="H47" s="69">
        <f>IF(CT!E42='SCTVTHH NGÀY'!$G$2,CT!F42,0)</f>
        <v>0</v>
      </c>
      <c r="I47" s="69">
        <f>IF(CT!E42='SCTVTHH NGÀY'!$G$2,CT!H42,0)</f>
        <v>0</v>
      </c>
      <c r="J47" s="69">
        <f>IF(SUM(F47,H47)=0,0,$J$8+SUBTOTAL(9,$F$10:F47)-SUBTOTAL(9,$H$10:H47))</f>
        <v>0</v>
      </c>
      <c r="K47" s="69">
        <f>IF(SUM(G47,I47)=0,0,$K$8+SUBTOTAL(9,$G$10:G47)-SUBTOTAL(9,$I$10:I47))</f>
        <v>0</v>
      </c>
      <c r="L47" s="65" t="b">
        <f t="shared" si="0"/>
        <v>0</v>
      </c>
    </row>
    <row r="48" spans="1:12" hidden="1" x14ac:dyDescent="0.25">
      <c r="A48" s="84" t="str">
        <f>IF(OR(CT!D43='SCTVTHH NGÀY'!$G$2,CT!E43='SCTVTHH NGÀY'!$G$2),CT!A43,"")</f>
        <v/>
      </c>
      <c r="B48" s="65" t="str">
        <f>IF(OR(CT!E43='SCTVTHH NGÀY'!$G$2,CT!E43='SCTVTHH NGÀY'!$G$2),CT!B43,"")</f>
        <v/>
      </c>
      <c r="C48" s="65" t="str">
        <f>IF(OR(CT!F43='SCTVTHH NGÀY'!$G$2,CT!E43='SCTVTHH NGÀY'!$G$2),CT!C43,"")</f>
        <v/>
      </c>
      <c r="D48" s="65" t="str">
        <f>IF(CT!D43='SCTVTHH NGÀY'!$G$2,CT!E43,IF(CT!E43='SCTVTHH NGÀY'!$G$2,CT!D43,""))</f>
        <v/>
      </c>
      <c r="E48" s="69">
        <f>IF(OR(CT!D39='SCTVTHH NGÀY'!$G$2,CT!E39='SCTVTHH NGÀY'!$G$2),CT!G39,0)</f>
        <v>0</v>
      </c>
      <c r="F48" s="69">
        <f>IF(CT!D43='SCTVTHH NGÀY'!$G$2,CT!F43,0)</f>
        <v>0</v>
      </c>
      <c r="G48" s="69">
        <f>IF(CT!D43='SCTVTHH NGÀY'!$G$2,CT!H43,0)</f>
        <v>0</v>
      </c>
      <c r="H48" s="69">
        <f>IF(CT!E43='SCTVTHH NGÀY'!$G$2,CT!F43,0)</f>
        <v>0</v>
      </c>
      <c r="I48" s="69">
        <f>IF(CT!E43='SCTVTHH NGÀY'!$G$2,CT!H43,0)</f>
        <v>0</v>
      </c>
      <c r="J48" s="69">
        <f>IF(SUM(F48,H48)=0,0,$J$8+SUBTOTAL(9,$F$10:F48)-SUBTOTAL(9,$H$10:H48))</f>
        <v>0</v>
      </c>
      <c r="K48" s="69">
        <f>IF(SUM(G48,I48)=0,0,$K$8+SUBTOTAL(9,$G$10:G48)-SUBTOTAL(9,$I$10:I48))</f>
        <v>0</v>
      </c>
      <c r="L48" s="65" t="b">
        <f t="shared" si="0"/>
        <v>0</v>
      </c>
    </row>
    <row r="49" spans="1:12" hidden="1" x14ac:dyDescent="0.25">
      <c r="A49" s="84" t="str">
        <f>IF(OR(CT!D44='SCTVTHH NGÀY'!$G$2,CT!E44='SCTVTHH NGÀY'!$G$2),CT!A44,"")</f>
        <v/>
      </c>
      <c r="B49" s="65" t="str">
        <f>IF(OR(CT!E44='SCTVTHH NGÀY'!$G$2,CT!E44='SCTVTHH NGÀY'!$G$2),CT!B44,"")</f>
        <v/>
      </c>
      <c r="C49" s="65" t="str">
        <f>IF(OR(CT!F44='SCTVTHH NGÀY'!$G$2,CT!E44='SCTVTHH NGÀY'!$G$2),CT!C44,"")</f>
        <v/>
      </c>
      <c r="D49" s="65" t="str">
        <f>IF(CT!D44='SCTVTHH NGÀY'!$G$2,CT!E44,IF(CT!E44='SCTVTHH NGÀY'!$G$2,CT!D44,""))</f>
        <v/>
      </c>
      <c r="E49" s="69">
        <f>IF(OR(CT!D40='SCTVTHH NGÀY'!$G$2,CT!E40='SCTVTHH NGÀY'!$G$2),CT!G40,0)</f>
        <v>0</v>
      </c>
      <c r="F49" s="69">
        <f>IF(CT!D44='SCTVTHH NGÀY'!$G$2,CT!F44,0)</f>
        <v>0</v>
      </c>
      <c r="G49" s="69">
        <f>IF(CT!D44='SCTVTHH NGÀY'!$G$2,CT!H44,0)</f>
        <v>0</v>
      </c>
      <c r="H49" s="69">
        <f>IF(CT!E44='SCTVTHH NGÀY'!$G$2,CT!F44,0)</f>
        <v>0</v>
      </c>
      <c r="I49" s="69">
        <f>IF(CT!E44='SCTVTHH NGÀY'!$G$2,CT!H44,0)</f>
        <v>0</v>
      </c>
      <c r="J49" s="69">
        <f>IF(SUM(F49,H49)=0,0,$J$8+SUBTOTAL(9,$F$10:F49)-SUBTOTAL(9,$H$10:H49))</f>
        <v>0</v>
      </c>
      <c r="K49" s="69">
        <f>IF(SUM(G49,I49)=0,0,$K$8+SUBTOTAL(9,$G$10:G49)-SUBTOTAL(9,$I$10:I49))</f>
        <v>0</v>
      </c>
      <c r="L49" s="65" t="b">
        <f t="shared" si="0"/>
        <v>0</v>
      </c>
    </row>
    <row r="50" spans="1:12" hidden="1" x14ac:dyDescent="0.25">
      <c r="A50" s="84" t="str">
        <f>IF(OR(CT!D45='SCTVTHH NGÀY'!$G$2,CT!E45='SCTVTHH NGÀY'!$G$2),CT!A45,"")</f>
        <v/>
      </c>
      <c r="B50" s="65" t="str">
        <f>IF(OR(CT!E45='SCTVTHH NGÀY'!$G$2,CT!E45='SCTVTHH NGÀY'!$G$2),CT!B45,"")</f>
        <v/>
      </c>
      <c r="C50" s="65" t="str">
        <f>IF(OR(CT!F45='SCTVTHH NGÀY'!$G$2,CT!E45='SCTVTHH NGÀY'!$G$2),CT!C45,"")</f>
        <v/>
      </c>
      <c r="D50" s="65" t="str">
        <f>IF(CT!D45='SCTVTHH NGÀY'!$G$2,CT!E45,IF(CT!E45='SCTVTHH NGÀY'!$G$2,CT!D45,""))</f>
        <v/>
      </c>
      <c r="E50" s="69">
        <f>IF(OR(CT!D41='SCTVTHH NGÀY'!$G$2,CT!E41='SCTVTHH NGÀY'!$G$2),CT!G41,0)</f>
        <v>0</v>
      </c>
      <c r="F50" s="69">
        <f>IF(CT!D45='SCTVTHH NGÀY'!$G$2,CT!F45,0)</f>
        <v>0</v>
      </c>
      <c r="G50" s="69">
        <f>IF(CT!D45='SCTVTHH NGÀY'!$G$2,CT!H45,0)</f>
        <v>0</v>
      </c>
      <c r="H50" s="69">
        <f>IF(CT!E45='SCTVTHH NGÀY'!$G$2,CT!F45,0)</f>
        <v>0</v>
      </c>
      <c r="I50" s="69">
        <f>IF(CT!E45='SCTVTHH NGÀY'!$G$2,CT!H45,0)</f>
        <v>0</v>
      </c>
      <c r="J50" s="69">
        <f>IF(SUM(F50,H50)=0,0,$J$8+SUBTOTAL(9,$F$10:F50)-SUBTOTAL(9,$H$10:H50))</f>
        <v>0</v>
      </c>
      <c r="K50" s="69">
        <f>IF(SUM(G50,I50)=0,0,$K$8+SUBTOTAL(9,$G$10:G50)-SUBTOTAL(9,$I$10:I50))</f>
        <v>0</v>
      </c>
      <c r="L50" s="65" t="b">
        <f t="shared" si="0"/>
        <v>0</v>
      </c>
    </row>
    <row r="51" spans="1:12" hidden="1" x14ac:dyDescent="0.25">
      <c r="A51" s="84" t="str">
        <f>IF(OR(CT!D46='SCTVTHH NGÀY'!$G$2,CT!E46='SCTVTHH NGÀY'!$G$2),CT!A46,"")</f>
        <v/>
      </c>
      <c r="B51" s="65" t="str">
        <f>IF(OR(CT!E46='SCTVTHH NGÀY'!$G$2,CT!E46='SCTVTHH NGÀY'!$G$2),CT!B46,"")</f>
        <v/>
      </c>
      <c r="C51" s="65" t="str">
        <f>IF(OR(CT!F46='SCTVTHH NGÀY'!$G$2,CT!E46='SCTVTHH NGÀY'!$G$2),CT!C46,"")</f>
        <v/>
      </c>
      <c r="D51" s="65" t="str">
        <f>IF(CT!D46='SCTVTHH NGÀY'!$G$2,CT!E46,IF(CT!E46='SCTVTHH NGÀY'!$G$2,CT!D46,""))</f>
        <v/>
      </c>
      <c r="E51" s="69">
        <f>IF(OR(CT!D42='SCTVTHH NGÀY'!$G$2,CT!E42='SCTVTHH NGÀY'!$G$2),CT!G42,0)</f>
        <v>0</v>
      </c>
      <c r="F51" s="69">
        <f>IF(CT!D46='SCTVTHH NGÀY'!$G$2,CT!F46,0)</f>
        <v>0</v>
      </c>
      <c r="G51" s="69">
        <f>IF(CT!D46='SCTVTHH NGÀY'!$G$2,CT!H46,0)</f>
        <v>0</v>
      </c>
      <c r="H51" s="69">
        <f>IF(CT!E46='SCTVTHH NGÀY'!$G$2,CT!F46,0)</f>
        <v>0</v>
      </c>
      <c r="I51" s="69">
        <f>IF(CT!E46='SCTVTHH NGÀY'!$G$2,CT!H46,0)</f>
        <v>0</v>
      </c>
      <c r="J51" s="69">
        <f>IF(SUM(F51,H51)=0,0,$J$8+SUBTOTAL(9,$F$10:F51)-SUBTOTAL(9,$H$10:H51))</f>
        <v>0</v>
      </c>
      <c r="K51" s="69">
        <f>IF(SUM(G51,I51)=0,0,$K$8+SUBTOTAL(9,$G$10:G51)-SUBTOTAL(9,$I$10:I51))</f>
        <v>0</v>
      </c>
      <c r="L51" s="65" t="b">
        <f t="shared" si="0"/>
        <v>0</v>
      </c>
    </row>
    <row r="52" spans="1:12" hidden="1" x14ac:dyDescent="0.25">
      <c r="A52" s="84" t="str">
        <f>IF(OR(CT!D47='SCTVTHH NGÀY'!$G$2,CT!E47='SCTVTHH NGÀY'!$G$2),CT!A47,"")</f>
        <v/>
      </c>
      <c r="B52" s="65" t="str">
        <f>IF(OR(CT!E47='SCTVTHH NGÀY'!$G$2,CT!E47='SCTVTHH NGÀY'!$G$2),CT!B47,"")</f>
        <v/>
      </c>
      <c r="C52" s="65" t="str">
        <f>IF(OR(CT!F47='SCTVTHH NGÀY'!$G$2,CT!E47='SCTVTHH NGÀY'!$G$2),CT!C47,"")</f>
        <v/>
      </c>
      <c r="D52" s="65" t="str">
        <f>IF(CT!D47='SCTVTHH NGÀY'!$G$2,CT!E47,IF(CT!E47='SCTVTHH NGÀY'!$G$2,CT!D47,""))</f>
        <v/>
      </c>
      <c r="E52" s="69">
        <f>IF(OR(CT!D43='SCTVTHH NGÀY'!$G$2,CT!E43='SCTVTHH NGÀY'!$G$2),CT!G43,0)</f>
        <v>0</v>
      </c>
      <c r="F52" s="69">
        <f>IF(CT!D47='SCTVTHH NGÀY'!$G$2,CT!F47,0)</f>
        <v>0</v>
      </c>
      <c r="G52" s="69">
        <f>IF(CT!D47='SCTVTHH NGÀY'!$G$2,CT!H47,0)</f>
        <v>0</v>
      </c>
      <c r="H52" s="69">
        <f>IF(CT!E47='SCTVTHH NGÀY'!$G$2,CT!F47,0)</f>
        <v>0</v>
      </c>
      <c r="I52" s="69">
        <f>IF(CT!E47='SCTVTHH NGÀY'!$G$2,CT!H47,0)</f>
        <v>0</v>
      </c>
      <c r="J52" s="69">
        <f>IF(SUM(F52,H52)=0,0,$J$8+SUBTOTAL(9,$F$10:F52)-SUBTOTAL(9,$H$10:H52))</f>
        <v>0</v>
      </c>
      <c r="K52" s="69">
        <f>IF(SUM(G52,I52)=0,0,$K$8+SUBTOTAL(9,$G$10:G52)-SUBTOTAL(9,$I$10:I52))</f>
        <v>0</v>
      </c>
      <c r="L52" s="65" t="b">
        <f t="shared" si="0"/>
        <v>0</v>
      </c>
    </row>
    <row r="53" spans="1:12" hidden="1" x14ac:dyDescent="0.25">
      <c r="A53" s="84" t="str">
        <f>IF(OR(CT!D48='SCTVTHH NGÀY'!$G$2,CT!E48='SCTVTHH NGÀY'!$G$2),CT!A48,"")</f>
        <v/>
      </c>
      <c r="B53" s="65" t="str">
        <f>IF(OR(CT!E48='SCTVTHH NGÀY'!$G$2,CT!E48='SCTVTHH NGÀY'!$G$2),CT!B48,"")</f>
        <v/>
      </c>
      <c r="C53" s="65" t="str">
        <f>IF(OR(CT!F48='SCTVTHH NGÀY'!$G$2,CT!E48='SCTVTHH NGÀY'!$G$2),CT!C48,"")</f>
        <v/>
      </c>
      <c r="D53" s="65" t="str">
        <f>IF(CT!D48='SCTVTHH NGÀY'!$G$2,CT!E48,IF(CT!E48='SCTVTHH NGÀY'!$G$2,CT!D48,""))</f>
        <v/>
      </c>
      <c r="E53" s="69">
        <f>IF(OR(CT!D44='SCTVTHH NGÀY'!$G$2,CT!E44='SCTVTHH NGÀY'!$G$2),CT!G44,0)</f>
        <v>0</v>
      </c>
      <c r="F53" s="69">
        <f>IF(CT!D48='SCTVTHH NGÀY'!$G$2,CT!F48,0)</f>
        <v>0</v>
      </c>
      <c r="G53" s="69">
        <f>IF(CT!D48='SCTVTHH NGÀY'!$G$2,CT!H48,0)</f>
        <v>0</v>
      </c>
      <c r="H53" s="69">
        <f>IF(CT!E48='SCTVTHH NGÀY'!$G$2,CT!F48,0)</f>
        <v>0</v>
      </c>
      <c r="I53" s="69">
        <f>IF(CT!E48='SCTVTHH NGÀY'!$G$2,CT!H48,0)</f>
        <v>0</v>
      </c>
      <c r="J53" s="69">
        <f>IF(SUM(F53,H53)=0,0,$J$8+SUBTOTAL(9,$F$10:F53)-SUBTOTAL(9,$H$10:H53))</f>
        <v>0</v>
      </c>
      <c r="K53" s="69">
        <f>IF(SUM(G53,I53)=0,0,$K$8+SUBTOTAL(9,$G$10:G53)-SUBTOTAL(9,$I$10:I53))</f>
        <v>0</v>
      </c>
      <c r="L53" s="65" t="b">
        <f t="shared" si="0"/>
        <v>0</v>
      </c>
    </row>
    <row r="54" spans="1:12" hidden="1" x14ac:dyDescent="0.25">
      <c r="A54" s="84" t="str">
        <f>IF(OR(CT!D49='SCTVTHH NGÀY'!$G$2,CT!E49='SCTVTHH NGÀY'!$G$2),CT!A49,"")</f>
        <v/>
      </c>
      <c r="B54" s="65" t="str">
        <f>IF(OR(CT!E49='SCTVTHH NGÀY'!$G$2,CT!E49='SCTVTHH NGÀY'!$G$2),CT!B49,"")</f>
        <v/>
      </c>
      <c r="C54" s="65" t="str">
        <f>IF(OR(CT!F49='SCTVTHH NGÀY'!$G$2,CT!E49='SCTVTHH NGÀY'!$G$2),CT!C49,"")</f>
        <v/>
      </c>
      <c r="D54" s="65" t="str">
        <f>IF(CT!D49='SCTVTHH NGÀY'!$G$2,CT!E49,IF(CT!E49='SCTVTHH NGÀY'!$G$2,CT!D49,""))</f>
        <v/>
      </c>
      <c r="E54" s="69">
        <f>IF(OR(CT!D45='SCTVTHH NGÀY'!$G$2,CT!E45='SCTVTHH NGÀY'!$G$2),CT!G45,0)</f>
        <v>0</v>
      </c>
      <c r="F54" s="69">
        <f>IF(CT!D49='SCTVTHH NGÀY'!$G$2,CT!F49,0)</f>
        <v>0</v>
      </c>
      <c r="G54" s="69">
        <f>IF(CT!D49='SCTVTHH NGÀY'!$G$2,CT!H49,0)</f>
        <v>0</v>
      </c>
      <c r="H54" s="69">
        <f>IF(CT!E49='SCTVTHH NGÀY'!$G$2,CT!F49,0)</f>
        <v>0</v>
      </c>
      <c r="I54" s="69">
        <f>IF(CT!E49='SCTVTHH NGÀY'!$G$2,CT!H49,0)</f>
        <v>0</v>
      </c>
      <c r="J54" s="69">
        <f>IF(SUM(F54,H54)=0,0,$J$8+SUBTOTAL(9,$F$10:F54)-SUBTOTAL(9,$H$10:H54))</f>
        <v>0</v>
      </c>
      <c r="K54" s="69">
        <f>IF(SUM(G54,I54)=0,0,$K$8+SUBTOTAL(9,$G$10:G54)-SUBTOTAL(9,$I$10:I54))</f>
        <v>0</v>
      </c>
      <c r="L54" s="65" t="b">
        <f t="shared" si="0"/>
        <v>0</v>
      </c>
    </row>
    <row r="55" spans="1:12" hidden="1" x14ac:dyDescent="0.25">
      <c r="A55" s="84" t="str">
        <f>IF(OR(CT!D50='SCTVTHH NGÀY'!$G$2,CT!E50='SCTVTHH NGÀY'!$G$2),CT!A50,"")</f>
        <v/>
      </c>
      <c r="B55" s="65" t="str">
        <f>IF(OR(CT!E50='SCTVTHH NGÀY'!$G$2,CT!E50='SCTVTHH NGÀY'!$G$2),CT!B50,"")</f>
        <v/>
      </c>
      <c r="C55" s="65" t="str">
        <f>IF(OR(CT!F50='SCTVTHH NGÀY'!$G$2,CT!E50='SCTVTHH NGÀY'!$G$2),CT!C50,"")</f>
        <v/>
      </c>
      <c r="D55" s="65" t="str">
        <f>IF(CT!D50='SCTVTHH NGÀY'!$G$2,CT!E50,IF(CT!E50='SCTVTHH NGÀY'!$G$2,CT!D50,""))</f>
        <v/>
      </c>
      <c r="E55" s="69">
        <f>IF(OR(CT!D46='SCTVTHH NGÀY'!$G$2,CT!E46='SCTVTHH NGÀY'!$G$2),CT!G46,0)</f>
        <v>0</v>
      </c>
      <c r="F55" s="69">
        <f>IF(CT!D50='SCTVTHH NGÀY'!$G$2,CT!F50,0)</f>
        <v>0</v>
      </c>
      <c r="G55" s="69">
        <f>IF(CT!D50='SCTVTHH NGÀY'!$G$2,CT!H50,0)</f>
        <v>0</v>
      </c>
      <c r="H55" s="69">
        <f>IF(CT!E50='SCTVTHH NGÀY'!$G$2,CT!F50,0)</f>
        <v>0</v>
      </c>
      <c r="I55" s="69">
        <f>IF(CT!E50='SCTVTHH NGÀY'!$G$2,CT!H50,0)</f>
        <v>0</v>
      </c>
      <c r="J55" s="69">
        <f>IF(SUM(F55,H55)=0,0,$J$8+SUBTOTAL(9,$F$10:F55)-SUBTOTAL(9,$H$10:H55))</f>
        <v>0</v>
      </c>
      <c r="K55" s="69">
        <f>IF(SUM(G55,I55)=0,0,$K$8+SUBTOTAL(9,$G$10:G55)-SUBTOTAL(9,$I$10:I55))</f>
        <v>0</v>
      </c>
      <c r="L55" s="65" t="b">
        <f t="shared" si="0"/>
        <v>0</v>
      </c>
    </row>
    <row r="56" spans="1:12" hidden="1" x14ac:dyDescent="0.25">
      <c r="A56" s="84" t="str">
        <f>IF(OR(CT!D51='SCTVTHH NGÀY'!$G$2,CT!E51='SCTVTHH NGÀY'!$G$2),CT!A51,"")</f>
        <v/>
      </c>
      <c r="B56" s="65" t="str">
        <f>IF(OR(CT!E51='SCTVTHH NGÀY'!$G$2,CT!E51='SCTVTHH NGÀY'!$G$2),CT!B51,"")</f>
        <v/>
      </c>
      <c r="C56" s="65" t="str">
        <f>IF(OR(CT!F51='SCTVTHH NGÀY'!$G$2,CT!E51='SCTVTHH NGÀY'!$G$2),CT!C51,"")</f>
        <v/>
      </c>
      <c r="D56" s="65" t="str">
        <f>IF(CT!D51='SCTVTHH NGÀY'!$G$2,CT!E51,IF(CT!E51='SCTVTHH NGÀY'!$G$2,CT!D51,""))</f>
        <v/>
      </c>
      <c r="E56" s="69">
        <f>IF(OR(CT!D47='SCTVTHH NGÀY'!$G$2,CT!E47='SCTVTHH NGÀY'!$G$2),CT!G47,0)</f>
        <v>0</v>
      </c>
      <c r="F56" s="69">
        <f>IF(CT!D51='SCTVTHH NGÀY'!$G$2,CT!F51,0)</f>
        <v>0</v>
      </c>
      <c r="G56" s="69">
        <f>IF(CT!D51='SCTVTHH NGÀY'!$G$2,CT!H51,0)</f>
        <v>0</v>
      </c>
      <c r="H56" s="69">
        <f>IF(CT!E51='SCTVTHH NGÀY'!$G$2,CT!F51,0)</f>
        <v>0</v>
      </c>
      <c r="I56" s="69">
        <f>IF(CT!E51='SCTVTHH NGÀY'!$G$2,CT!H51,0)</f>
        <v>0</v>
      </c>
      <c r="J56" s="69">
        <f>IF(SUM(F56,H56)=0,0,$J$8+SUBTOTAL(9,$F$10:F56)-SUBTOTAL(9,$H$10:H56))</f>
        <v>0</v>
      </c>
      <c r="K56" s="69">
        <f>IF(SUM(G56,I56)=0,0,$K$8+SUBTOTAL(9,$G$10:G56)-SUBTOTAL(9,$I$10:I56))</f>
        <v>0</v>
      </c>
      <c r="L56" s="65" t="b">
        <f t="shared" si="0"/>
        <v>0</v>
      </c>
    </row>
    <row r="57" spans="1:12" hidden="1" x14ac:dyDescent="0.25">
      <c r="A57" s="84" t="str">
        <f>IF(OR(CT!D52='SCTVTHH NGÀY'!$G$2,CT!E52='SCTVTHH NGÀY'!$G$2),CT!A52,"")</f>
        <v/>
      </c>
      <c r="B57" s="65" t="str">
        <f>IF(OR(CT!E52='SCTVTHH NGÀY'!$G$2,CT!E52='SCTVTHH NGÀY'!$G$2),CT!B52,"")</f>
        <v/>
      </c>
      <c r="C57" s="65" t="str">
        <f>IF(OR(CT!F52='SCTVTHH NGÀY'!$G$2,CT!E52='SCTVTHH NGÀY'!$G$2),CT!C52,"")</f>
        <v/>
      </c>
      <c r="D57" s="65" t="str">
        <f>IF(CT!D52='SCTVTHH NGÀY'!$G$2,CT!E52,IF(CT!E52='SCTVTHH NGÀY'!$G$2,CT!D52,""))</f>
        <v/>
      </c>
      <c r="E57" s="69">
        <f>IF(OR(CT!D48='SCTVTHH NGÀY'!$G$2,CT!E48='SCTVTHH NGÀY'!$G$2),CT!G48,0)</f>
        <v>0</v>
      </c>
      <c r="F57" s="69">
        <f>IF(CT!D52='SCTVTHH NGÀY'!$G$2,CT!F52,0)</f>
        <v>0</v>
      </c>
      <c r="G57" s="69">
        <f>IF(CT!D52='SCTVTHH NGÀY'!$G$2,CT!H52,0)</f>
        <v>0</v>
      </c>
      <c r="H57" s="69">
        <f>IF(CT!E52='SCTVTHH NGÀY'!$G$2,CT!F52,0)</f>
        <v>0</v>
      </c>
      <c r="I57" s="69">
        <f>IF(CT!E52='SCTVTHH NGÀY'!$G$2,CT!H52,0)</f>
        <v>0</v>
      </c>
      <c r="J57" s="69">
        <f>IF(SUM(F57,H57)=0,0,$J$8+SUBTOTAL(9,$F$10:F57)-SUBTOTAL(9,$H$10:H57))</f>
        <v>0</v>
      </c>
      <c r="K57" s="69">
        <f>IF(SUM(G57,I57)=0,0,$K$8+SUBTOTAL(9,$G$10:G57)-SUBTOTAL(9,$I$10:I57))</f>
        <v>0</v>
      </c>
      <c r="L57" s="65" t="b">
        <f t="shared" si="0"/>
        <v>0</v>
      </c>
    </row>
    <row r="58" spans="1:12" hidden="1" x14ac:dyDescent="0.25">
      <c r="A58" s="84" t="str">
        <f>IF(OR(CT!D53='SCTVTHH NGÀY'!$G$2,CT!E53='SCTVTHH NGÀY'!$G$2),CT!A53,"")</f>
        <v/>
      </c>
      <c r="B58" s="65" t="str">
        <f>IF(OR(CT!E53='SCTVTHH NGÀY'!$G$2,CT!E53='SCTVTHH NGÀY'!$G$2),CT!B53,"")</f>
        <v/>
      </c>
      <c r="C58" s="65" t="str">
        <f>IF(OR(CT!F53='SCTVTHH NGÀY'!$G$2,CT!E53='SCTVTHH NGÀY'!$G$2),CT!C53,"")</f>
        <v/>
      </c>
      <c r="D58" s="65" t="str">
        <f>IF(CT!D53='SCTVTHH NGÀY'!$G$2,CT!E53,IF(CT!E53='SCTVTHH NGÀY'!$G$2,CT!D53,""))</f>
        <v/>
      </c>
      <c r="E58" s="69">
        <f>IF(OR(CT!D49='SCTVTHH NGÀY'!$G$2,CT!E49='SCTVTHH NGÀY'!$G$2),CT!G49,0)</f>
        <v>0</v>
      </c>
      <c r="F58" s="69">
        <f>IF(CT!D53='SCTVTHH NGÀY'!$G$2,CT!F53,0)</f>
        <v>0</v>
      </c>
      <c r="G58" s="69">
        <f>IF(CT!D53='SCTVTHH NGÀY'!$G$2,CT!H53,0)</f>
        <v>0</v>
      </c>
      <c r="H58" s="69">
        <f>IF(CT!E53='SCTVTHH NGÀY'!$G$2,CT!F53,0)</f>
        <v>0</v>
      </c>
      <c r="I58" s="69">
        <f>IF(CT!E53='SCTVTHH NGÀY'!$G$2,CT!H53,0)</f>
        <v>0</v>
      </c>
      <c r="J58" s="69">
        <f>IF(SUM(F58,H58)=0,0,$J$8+SUBTOTAL(9,$F$10:F58)-SUBTOTAL(9,$H$10:H58))</f>
        <v>0</v>
      </c>
      <c r="K58" s="69">
        <f>IF(SUM(G58,I58)=0,0,$K$8+SUBTOTAL(9,$G$10:G58)-SUBTOTAL(9,$I$10:I58))</f>
        <v>0</v>
      </c>
      <c r="L58" s="65" t="b">
        <f t="shared" si="0"/>
        <v>0</v>
      </c>
    </row>
    <row r="59" spans="1:12" hidden="1" x14ac:dyDescent="0.25">
      <c r="A59" s="84" t="str">
        <f>IF(OR(CT!D54='SCTVTHH NGÀY'!$G$2,CT!E54='SCTVTHH NGÀY'!$G$2),CT!A54,"")</f>
        <v/>
      </c>
      <c r="B59" s="65" t="str">
        <f>IF(OR(CT!E54='SCTVTHH NGÀY'!$G$2,CT!E54='SCTVTHH NGÀY'!$G$2),CT!B54,"")</f>
        <v/>
      </c>
      <c r="C59" s="65" t="str">
        <f>IF(OR(CT!F54='SCTVTHH NGÀY'!$G$2,CT!E54='SCTVTHH NGÀY'!$G$2),CT!C54,"")</f>
        <v/>
      </c>
      <c r="D59" s="65" t="str">
        <f>IF(CT!D54='SCTVTHH NGÀY'!$G$2,CT!E54,IF(CT!E54='SCTVTHH NGÀY'!$G$2,CT!D54,""))</f>
        <v/>
      </c>
      <c r="E59" s="69">
        <f>IF(OR(CT!D50='SCTVTHH NGÀY'!$G$2,CT!E50='SCTVTHH NGÀY'!$G$2),CT!G50,0)</f>
        <v>0</v>
      </c>
      <c r="F59" s="69">
        <f>IF(CT!D54='SCTVTHH NGÀY'!$G$2,CT!F54,0)</f>
        <v>0</v>
      </c>
      <c r="G59" s="69">
        <f>IF(CT!D54='SCTVTHH NGÀY'!$G$2,CT!H54,0)</f>
        <v>0</v>
      </c>
      <c r="H59" s="69">
        <f>IF(CT!E54='SCTVTHH NGÀY'!$G$2,CT!F54,0)</f>
        <v>0</v>
      </c>
      <c r="I59" s="69">
        <f>IF(CT!E54='SCTVTHH NGÀY'!$G$2,CT!H54,0)</f>
        <v>0</v>
      </c>
      <c r="J59" s="69">
        <f>IF(SUM(F59,H59)=0,0,$J$8+SUBTOTAL(9,$F$10:F59)-SUBTOTAL(9,$H$10:H59))</f>
        <v>0</v>
      </c>
      <c r="K59" s="69">
        <f>IF(SUM(G59,I59)=0,0,$K$8+SUBTOTAL(9,$G$10:G59)-SUBTOTAL(9,$I$10:I59))</f>
        <v>0</v>
      </c>
      <c r="L59" s="65" t="b">
        <f t="shared" si="0"/>
        <v>0</v>
      </c>
    </row>
    <row r="60" spans="1:12" hidden="1" x14ac:dyDescent="0.25">
      <c r="A60" s="84" t="str">
        <f>IF(OR(CT!D55='SCTVTHH NGÀY'!$G$2,CT!E55='SCTVTHH NGÀY'!$G$2),CT!A55,"")</f>
        <v/>
      </c>
      <c r="B60" s="65" t="str">
        <f>IF(OR(CT!E55='SCTVTHH NGÀY'!$G$2,CT!E55='SCTVTHH NGÀY'!$G$2),CT!B55,"")</f>
        <v/>
      </c>
      <c r="C60" s="65" t="str">
        <f>IF(OR(CT!F55='SCTVTHH NGÀY'!$G$2,CT!E55='SCTVTHH NGÀY'!$G$2),CT!C55,"")</f>
        <v/>
      </c>
      <c r="D60" s="65" t="str">
        <f>IF(CT!D55='SCTVTHH NGÀY'!$G$2,CT!E55,IF(CT!E55='SCTVTHH NGÀY'!$G$2,CT!D55,""))</f>
        <v/>
      </c>
      <c r="E60" s="69">
        <f>IF(OR(CT!D51='SCTVTHH NGÀY'!$G$2,CT!E51='SCTVTHH NGÀY'!$G$2),CT!G51,0)</f>
        <v>0</v>
      </c>
      <c r="F60" s="69">
        <f>IF(CT!D55='SCTVTHH NGÀY'!$G$2,CT!F55,0)</f>
        <v>0</v>
      </c>
      <c r="G60" s="69">
        <f>IF(CT!D55='SCTVTHH NGÀY'!$G$2,CT!H55,0)</f>
        <v>0</v>
      </c>
      <c r="H60" s="69">
        <f>IF(CT!E55='SCTVTHH NGÀY'!$G$2,CT!F55,0)</f>
        <v>0</v>
      </c>
      <c r="I60" s="69">
        <f>IF(CT!E55='SCTVTHH NGÀY'!$G$2,CT!H55,0)</f>
        <v>0</v>
      </c>
      <c r="J60" s="69">
        <f>IF(SUM(F60,H60)=0,0,$J$8+SUBTOTAL(9,$F$10:F60)-SUBTOTAL(9,$H$10:H60))</f>
        <v>0</v>
      </c>
      <c r="K60" s="69">
        <f>IF(SUM(G60,I60)=0,0,$K$8+SUBTOTAL(9,$G$10:G60)-SUBTOTAL(9,$I$10:I60))</f>
        <v>0</v>
      </c>
      <c r="L60" s="65" t="b">
        <f t="shared" si="0"/>
        <v>0</v>
      </c>
    </row>
    <row r="61" spans="1:12" hidden="1" x14ac:dyDescent="0.25">
      <c r="A61" s="84" t="str">
        <f>IF(OR(CT!D56='SCTVTHH NGÀY'!$G$2,CT!E56='SCTVTHH NGÀY'!$G$2),CT!A56,"")</f>
        <v/>
      </c>
      <c r="B61" s="65" t="str">
        <f>IF(OR(CT!E56='SCTVTHH NGÀY'!$G$2,CT!E56='SCTVTHH NGÀY'!$G$2),CT!B56,"")</f>
        <v/>
      </c>
      <c r="C61" s="65" t="str">
        <f>IF(OR(CT!F56='SCTVTHH NGÀY'!$G$2,CT!E56='SCTVTHH NGÀY'!$G$2),CT!C56,"")</f>
        <v/>
      </c>
      <c r="D61" s="65" t="str">
        <f>IF(CT!D56='SCTVTHH NGÀY'!$G$2,CT!E56,IF(CT!E56='SCTVTHH NGÀY'!$G$2,CT!D56,""))</f>
        <v/>
      </c>
      <c r="E61" s="69">
        <f>IF(OR(CT!D52='SCTVTHH NGÀY'!$G$2,CT!E52='SCTVTHH NGÀY'!$G$2),CT!G52,0)</f>
        <v>0</v>
      </c>
      <c r="F61" s="69">
        <f>IF(CT!D56='SCTVTHH NGÀY'!$G$2,CT!F56,0)</f>
        <v>0</v>
      </c>
      <c r="G61" s="69">
        <f>IF(CT!D56='SCTVTHH NGÀY'!$G$2,CT!H56,0)</f>
        <v>0</v>
      </c>
      <c r="H61" s="69">
        <f>IF(CT!E56='SCTVTHH NGÀY'!$G$2,CT!F56,0)</f>
        <v>0</v>
      </c>
      <c r="I61" s="69">
        <f>IF(CT!E56='SCTVTHH NGÀY'!$G$2,CT!H56,0)</f>
        <v>0</v>
      </c>
      <c r="J61" s="69">
        <f>IF(SUM(F61,H61)=0,0,$J$8+SUBTOTAL(9,$F$10:F61)-SUBTOTAL(9,$H$10:H61))</f>
        <v>0</v>
      </c>
      <c r="K61" s="69">
        <f>IF(SUM(G61,I61)=0,0,$K$8+SUBTOTAL(9,$G$10:G61)-SUBTOTAL(9,$I$10:I61))</f>
        <v>0</v>
      </c>
      <c r="L61" s="65" t="b">
        <f t="shared" si="0"/>
        <v>0</v>
      </c>
    </row>
    <row r="62" spans="1:12" hidden="1" x14ac:dyDescent="0.25">
      <c r="A62" s="84" t="str">
        <f>IF(OR(CT!D57='SCTVTHH NGÀY'!$G$2,CT!E57='SCTVTHH NGÀY'!$G$2),CT!A57,"")</f>
        <v/>
      </c>
      <c r="B62" s="65" t="str">
        <f>IF(OR(CT!E57='SCTVTHH NGÀY'!$G$2,CT!E57='SCTVTHH NGÀY'!$G$2),CT!B57,"")</f>
        <v/>
      </c>
      <c r="C62" s="65" t="str">
        <f>IF(OR(CT!F57='SCTVTHH NGÀY'!$G$2,CT!E57='SCTVTHH NGÀY'!$G$2),CT!C57,"")</f>
        <v/>
      </c>
      <c r="D62" s="65" t="str">
        <f>IF(CT!D57='SCTVTHH NGÀY'!$G$2,CT!E57,IF(CT!E57='SCTVTHH NGÀY'!$G$2,CT!D57,""))</f>
        <v/>
      </c>
      <c r="E62" s="69">
        <f>IF(OR(CT!D53='SCTVTHH NGÀY'!$G$2,CT!E53='SCTVTHH NGÀY'!$G$2),CT!G53,0)</f>
        <v>0</v>
      </c>
      <c r="F62" s="69">
        <f>IF(CT!D57='SCTVTHH NGÀY'!$G$2,CT!F57,0)</f>
        <v>0</v>
      </c>
      <c r="G62" s="69">
        <f>IF(CT!D57='SCTVTHH NGÀY'!$G$2,CT!H57,0)</f>
        <v>0</v>
      </c>
      <c r="H62" s="69">
        <f>IF(CT!E57='SCTVTHH NGÀY'!$G$2,CT!F57,0)</f>
        <v>0</v>
      </c>
      <c r="I62" s="69">
        <f>IF(CT!E57='SCTVTHH NGÀY'!$G$2,CT!H57,0)</f>
        <v>0</v>
      </c>
      <c r="J62" s="69">
        <f>IF(SUM(F62,H62)=0,0,$J$8+SUBTOTAL(9,$F$10:F62)-SUBTOTAL(9,$H$10:H62))</f>
        <v>0</v>
      </c>
      <c r="K62" s="69">
        <f>IF(SUM(G62,I62)=0,0,$K$8+SUBTOTAL(9,$G$10:G62)-SUBTOTAL(9,$I$10:I62))</f>
        <v>0</v>
      </c>
      <c r="L62" s="65" t="b">
        <f t="shared" si="0"/>
        <v>0</v>
      </c>
    </row>
    <row r="63" spans="1:12" hidden="1" x14ac:dyDescent="0.25">
      <c r="A63" s="84" t="str">
        <f>IF(OR(CT!D58='SCTVTHH NGÀY'!$G$2,CT!E58='SCTVTHH NGÀY'!$G$2),CT!A58,"")</f>
        <v/>
      </c>
      <c r="B63" s="65" t="str">
        <f>IF(OR(CT!E58='SCTVTHH NGÀY'!$G$2,CT!E58='SCTVTHH NGÀY'!$G$2),CT!B58,"")</f>
        <v/>
      </c>
      <c r="C63" s="65" t="str">
        <f>IF(OR(CT!F58='SCTVTHH NGÀY'!$G$2,CT!E58='SCTVTHH NGÀY'!$G$2),CT!C58,"")</f>
        <v/>
      </c>
      <c r="D63" s="65" t="str">
        <f>IF(CT!D58='SCTVTHH NGÀY'!$G$2,CT!E58,IF(CT!E58='SCTVTHH NGÀY'!$G$2,CT!D58,""))</f>
        <v/>
      </c>
      <c r="E63" s="69">
        <f>IF(OR(CT!D54='SCTVTHH NGÀY'!$G$2,CT!E54='SCTVTHH NGÀY'!$G$2),CT!G54,0)</f>
        <v>0</v>
      </c>
      <c r="F63" s="69">
        <f>IF(CT!D58='SCTVTHH NGÀY'!$G$2,CT!F58,0)</f>
        <v>0</v>
      </c>
      <c r="G63" s="69">
        <f>IF(CT!D58='SCTVTHH NGÀY'!$G$2,CT!H58,0)</f>
        <v>0</v>
      </c>
      <c r="H63" s="69">
        <f>IF(CT!E58='SCTVTHH NGÀY'!$G$2,CT!F58,0)</f>
        <v>0</v>
      </c>
      <c r="I63" s="69">
        <f>IF(CT!E58='SCTVTHH NGÀY'!$G$2,CT!H58,0)</f>
        <v>0</v>
      </c>
      <c r="J63" s="69">
        <f>IF(SUM(F63,H63)=0,0,$J$8+SUBTOTAL(9,$F$10:F63)-SUBTOTAL(9,$H$10:H63))</f>
        <v>0</v>
      </c>
      <c r="K63" s="69">
        <f>IF(SUM(G63,I63)=0,0,$K$8+SUBTOTAL(9,$G$10:G63)-SUBTOTAL(9,$I$10:I63))</f>
        <v>0</v>
      </c>
      <c r="L63" s="65" t="b">
        <f t="shared" si="0"/>
        <v>0</v>
      </c>
    </row>
    <row r="64" spans="1:12" hidden="1" x14ac:dyDescent="0.25">
      <c r="A64" s="84" t="str">
        <f>IF(OR(CT!D59='SCTVTHH NGÀY'!$G$2,CT!E59='SCTVTHH NGÀY'!$G$2),CT!A59,"")</f>
        <v/>
      </c>
      <c r="B64" s="65" t="str">
        <f>IF(OR(CT!E59='SCTVTHH NGÀY'!$G$2,CT!E59='SCTVTHH NGÀY'!$G$2),CT!B59,"")</f>
        <v/>
      </c>
      <c r="C64" s="65" t="str">
        <f>IF(OR(CT!F59='SCTVTHH NGÀY'!$G$2,CT!E59='SCTVTHH NGÀY'!$G$2),CT!C59,"")</f>
        <v/>
      </c>
      <c r="D64" s="65" t="str">
        <f>IF(CT!D59='SCTVTHH NGÀY'!$G$2,CT!E59,IF(CT!E59='SCTVTHH NGÀY'!$G$2,CT!D59,""))</f>
        <v/>
      </c>
      <c r="E64" s="69">
        <f>IF(OR(CT!D55='SCTVTHH NGÀY'!$G$2,CT!E55='SCTVTHH NGÀY'!$G$2),CT!G55,0)</f>
        <v>0</v>
      </c>
      <c r="F64" s="69">
        <f>IF(CT!D59='SCTVTHH NGÀY'!$G$2,CT!F59,0)</f>
        <v>0</v>
      </c>
      <c r="G64" s="69">
        <f>IF(CT!D59='SCTVTHH NGÀY'!$G$2,CT!H59,0)</f>
        <v>0</v>
      </c>
      <c r="H64" s="69">
        <f>IF(CT!E59='SCTVTHH NGÀY'!$G$2,CT!F59,0)</f>
        <v>0</v>
      </c>
      <c r="I64" s="69">
        <f>IF(CT!E59='SCTVTHH NGÀY'!$G$2,CT!H59,0)</f>
        <v>0</v>
      </c>
      <c r="J64" s="69">
        <f>IF(SUM(F64,H64)=0,0,$J$8+SUBTOTAL(9,$F$10:F64)-SUBTOTAL(9,$H$10:H64))</f>
        <v>0</v>
      </c>
      <c r="K64" s="69">
        <f>IF(SUM(G64,I64)=0,0,$K$8+SUBTOTAL(9,$G$10:G64)-SUBTOTAL(9,$I$10:I64))</f>
        <v>0</v>
      </c>
      <c r="L64" s="65" t="b">
        <f t="shared" si="0"/>
        <v>0</v>
      </c>
    </row>
    <row r="65" spans="1:12" hidden="1" x14ac:dyDescent="0.25">
      <c r="A65" s="84" t="str">
        <f>IF(OR(CT!D60='SCTVTHH NGÀY'!$G$2,CT!E60='SCTVTHH NGÀY'!$G$2),CT!A60,"")</f>
        <v/>
      </c>
      <c r="B65" s="65" t="str">
        <f>IF(OR(CT!E60='SCTVTHH NGÀY'!$G$2,CT!E60='SCTVTHH NGÀY'!$G$2),CT!B60,"")</f>
        <v/>
      </c>
      <c r="C65" s="65" t="str">
        <f>IF(OR(CT!F60='SCTVTHH NGÀY'!$G$2,CT!E60='SCTVTHH NGÀY'!$G$2),CT!C60,"")</f>
        <v/>
      </c>
      <c r="D65" s="65" t="str">
        <f>IF(CT!D60='SCTVTHH NGÀY'!$G$2,CT!E60,IF(CT!E60='SCTVTHH NGÀY'!$G$2,CT!D60,""))</f>
        <v/>
      </c>
      <c r="E65" s="69">
        <f>IF(OR(CT!D56='SCTVTHH NGÀY'!$G$2,CT!E56='SCTVTHH NGÀY'!$G$2),CT!G56,0)</f>
        <v>0</v>
      </c>
      <c r="F65" s="69">
        <f>IF(CT!D60='SCTVTHH NGÀY'!$G$2,CT!F60,0)</f>
        <v>0</v>
      </c>
      <c r="G65" s="69">
        <f>IF(CT!D60='SCTVTHH NGÀY'!$G$2,CT!H60,0)</f>
        <v>0</v>
      </c>
      <c r="H65" s="69">
        <f>IF(CT!E60='SCTVTHH NGÀY'!$G$2,CT!F60,0)</f>
        <v>0</v>
      </c>
      <c r="I65" s="69">
        <f>IF(CT!E60='SCTVTHH NGÀY'!$G$2,CT!H60,0)</f>
        <v>0</v>
      </c>
      <c r="J65" s="69">
        <f>IF(SUM(F65,H65)=0,0,$J$8+SUBTOTAL(9,$F$10:F65)-SUBTOTAL(9,$H$10:H65))</f>
        <v>0</v>
      </c>
      <c r="K65" s="69">
        <f>IF(SUM(G65,I65)=0,0,$K$8+SUBTOTAL(9,$G$10:G65)-SUBTOTAL(9,$I$10:I65))</f>
        <v>0</v>
      </c>
      <c r="L65" s="65" t="b">
        <f t="shared" si="0"/>
        <v>0</v>
      </c>
    </row>
    <row r="66" spans="1:12" hidden="1" x14ac:dyDescent="0.25">
      <c r="A66" s="84" t="str">
        <f>IF(OR(CT!D61='SCTVTHH NGÀY'!$G$2,CT!E61='SCTVTHH NGÀY'!$G$2),CT!A61,"")</f>
        <v/>
      </c>
      <c r="B66" s="65" t="str">
        <f>IF(OR(CT!E61='SCTVTHH NGÀY'!$G$2,CT!E61='SCTVTHH NGÀY'!$G$2),CT!B61,"")</f>
        <v/>
      </c>
      <c r="C66" s="65" t="str">
        <f>IF(OR(CT!F61='SCTVTHH NGÀY'!$G$2,CT!E61='SCTVTHH NGÀY'!$G$2),CT!C61,"")</f>
        <v/>
      </c>
      <c r="D66" s="65" t="str">
        <f>IF(CT!D61='SCTVTHH NGÀY'!$G$2,CT!E61,IF(CT!E61='SCTVTHH NGÀY'!$G$2,CT!D61,""))</f>
        <v/>
      </c>
      <c r="E66" s="69">
        <f>IF(OR(CT!D57='SCTVTHH NGÀY'!$G$2,CT!E57='SCTVTHH NGÀY'!$G$2),CT!G57,0)</f>
        <v>0</v>
      </c>
      <c r="F66" s="69">
        <f>IF(CT!D61='SCTVTHH NGÀY'!$G$2,CT!F61,0)</f>
        <v>0</v>
      </c>
      <c r="G66" s="69">
        <f>IF(CT!D61='SCTVTHH NGÀY'!$G$2,CT!H61,0)</f>
        <v>0</v>
      </c>
      <c r="H66" s="69">
        <f>IF(CT!E61='SCTVTHH NGÀY'!$G$2,CT!F61,0)</f>
        <v>0</v>
      </c>
      <c r="I66" s="69">
        <f>IF(CT!E61='SCTVTHH NGÀY'!$G$2,CT!H61,0)</f>
        <v>0</v>
      </c>
      <c r="J66" s="69">
        <f>IF(SUM(F66,H66)=0,0,$J$8+SUBTOTAL(9,$F$10:F66)-SUBTOTAL(9,$H$10:H66))</f>
        <v>0</v>
      </c>
      <c r="K66" s="69">
        <f>IF(SUM(G66,I66)=0,0,$K$8+SUBTOTAL(9,$G$10:G66)-SUBTOTAL(9,$I$10:I66))</f>
        <v>0</v>
      </c>
      <c r="L66" s="65" t="b">
        <f t="shared" si="0"/>
        <v>0</v>
      </c>
    </row>
    <row r="67" spans="1:12" hidden="1" x14ac:dyDescent="0.25">
      <c r="A67" s="84" t="str">
        <f>IF(OR(CT!D62='SCTVTHH NGÀY'!$G$2,CT!E62='SCTVTHH NGÀY'!$G$2),CT!A62,"")</f>
        <v/>
      </c>
      <c r="B67" s="65" t="str">
        <f>IF(OR(CT!E62='SCTVTHH NGÀY'!$G$2,CT!E62='SCTVTHH NGÀY'!$G$2),CT!B62,"")</f>
        <v/>
      </c>
      <c r="C67" s="65" t="str">
        <f>IF(OR(CT!F62='SCTVTHH NGÀY'!$G$2,CT!E62='SCTVTHH NGÀY'!$G$2),CT!C62,"")</f>
        <v/>
      </c>
      <c r="D67" s="65" t="str">
        <f>IF(CT!D62='SCTVTHH NGÀY'!$G$2,CT!E62,IF(CT!E62='SCTVTHH NGÀY'!$G$2,CT!D62,""))</f>
        <v/>
      </c>
      <c r="E67" s="69">
        <f>IF(OR(CT!D58='SCTVTHH NGÀY'!$G$2,CT!E58='SCTVTHH NGÀY'!$G$2),CT!G58,0)</f>
        <v>0</v>
      </c>
      <c r="F67" s="69">
        <f>IF(CT!D62='SCTVTHH NGÀY'!$G$2,CT!F62,0)</f>
        <v>0</v>
      </c>
      <c r="G67" s="69">
        <f>IF(CT!D62='SCTVTHH NGÀY'!$G$2,CT!H62,0)</f>
        <v>0</v>
      </c>
      <c r="H67" s="69">
        <f>IF(CT!E62='SCTVTHH NGÀY'!$G$2,CT!F62,0)</f>
        <v>0</v>
      </c>
      <c r="I67" s="69">
        <f>IF(CT!E62='SCTVTHH NGÀY'!$G$2,CT!H62,0)</f>
        <v>0</v>
      </c>
      <c r="J67" s="69">
        <f>IF(SUM(F67,H67)=0,0,$J$8+SUBTOTAL(9,$F$10:F67)-SUBTOTAL(9,$H$10:H67))</f>
        <v>0</v>
      </c>
      <c r="K67" s="69">
        <f>IF(SUM(G67,I67)=0,0,$K$8+SUBTOTAL(9,$G$10:G67)-SUBTOTAL(9,$I$10:I67))</f>
        <v>0</v>
      </c>
      <c r="L67" s="65" t="b">
        <f t="shared" si="0"/>
        <v>0</v>
      </c>
    </row>
    <row r="68" spans="1:12" hidden="1" x14ac:dyDescent="0.25">
      <c r="A68" s="84" t="str">
        <f>IF(OR(CT!D63='SCTVTHH NGÀY'!$G$2,CT!E63='SCTVTHH NGÀY'!$G$2),CT!A63,"")</f>
        <v/>
      </c>
      <c r="B68" s="65" t="str">
        <f>IF(OR(CT!E63='SCTVTHH NGÀY'!$G$2,CT!E63='SCTVTHH NGÀY'!$G$2),CT!B63,"")</f>
        <v/>
      </c>
      <c r="C68" s="65" t="str">
        <f>IF(OR(CT!F63='SCTVTHH NGÀY'!$G$2,CT!E63='SCTVTHH NGÀY'!$G$2),CT!C63,"")</f>
        <v/>
      </c>
      <c r="D68" s="65" t="str">
        <f>IF(CT!D63='SCTVTHH NGÀY'!$G$2,CT!E63,IF(CT!E63='SCTVTHH NGÀY'!$G$2,CT!D63,""))</f>
        <v/>
      </c>
      <c r="E68" s="69">
        <f>IF(OR(CT!D59='SCTVTHH NGÀY'!$G$2,CT!E59='SCTVTHH NGÀY'!$G$2),CT!G59,0)</f>
        <v>0</v>
      </c>
      <c r="F68" s="69">
        <f>IF(CT!D63='SCTVTHH NGÀY'!$G$2,CT!F63,0)</f>
        <v>0</v>
      </c>
      <c r="G68" s="69">
        <f>IF(CT!D63='SCTVTHH NGÀY'!$G$2,CT!H63,0)</f>
        <v>0</v>
      </c>
      <c r="H68" s="69">
        <f>IF(CT!E63='SCTVTHH NGÀY'!$G$2,CT!F63,0)</f>
        <v>0</v>
      </c>
      <c r="I68" s="69">
        <f>IF(CT!E63='SCTVTHH NGÀY'!$G$2,CT!H63,0)</f>
        <v>0</v>
      </c>
      <c r="J68" s="69">
        <f>IF(SUM(F68,H68)=0,0,$J$8+SUBTOTAL(9,$F$10:F68)-SUBTOTAL(9,$H$10:H68))</f>
        <v>0</v>
      </c>
      <c r="K68" s="69">
        <f>IF(SUM(G68,I68)=0,0,$K$8+SUBTOTAL(9,$G$10:G68)-SUBTOTAL(9,$I$10:I68))</f>
        <v>0</v>
      </c>
      <c r="L68" s="65" t="b">
        <f t="shared" si="0"/>
        <v>0</v>
      </c>
    </row>
    <row r="69" spans="1:12" hidden="1" x14ac:dyDescent="0.25">
      <c r="A69" s="84" t="str">
        <f>IF(OR(CT!D64='SCTVTHH NGÀY'!$G$2,CT!E64='SCTVTHH NGÀY'!$G$2),CT!A64,"")</f>
        <v/>
      </c>
      <c r="B69" s="65" t="str">
        <f>IF(OR(CT!E64='SCTVTHH NGÀY'!$G$2,CT!E64='SCTVTHH NGÀY'!$G$2),CT!B64,"")</f>
        <v/>
      </c>
      <c r="C69" s="65" t="str">
        <f>IF(OR(CT!F64='SCTVTHH NGÀY'!$G$2,CT!E64='SCTVTHH NGÀY'!$G$2),CT!C64,"")</f>
        <v/>
      </c>
      <c r="D69" s="65" t="str">
        <f>IF(CT!D64='SCTVTHH NGÀY'!$G$2,CT!E64,IF(CT!E64='SCTVTHH NGÀY'!$G$2,CT!D64,""))</f>
        <v/>
      </c>
      <c r="E69" s="69">
        <f>IF(OR(CT!D60='SCTVTHH NGÀY'!$G$2,CT!E60='SCTVTHH NGÀY'!$G$2),CT!G60,0)</f>
        <v>0</v>
      </c>
      <c r="F69" s="69">
        <f>IF(CT!D64='SCTVTHH NGÀY'!$G$2,CT!F64,0)</f>
        <v>0</v>
      </c>
      <c r="G69" s="69">
        <f>IF(CT!D64='SCTVTHH NGÀY'!$G$2,CT!H64,0)</f>
        <v>0</v>
      </c>
      <c r="H69" s="69">
        <f>IF(CT!E64='SCTVTHH NGÀY'!$G$2,CT!F64,0)</f>
        <v>0</v>
      </c>
      <c r="I69" s="69">
        <f>IF(CT!E64='SCTVTHH NGÀY'!$G$2,CT!H64,0)</f>
        <v>0</v>
      </c>
      <c r="J69" s="69">
        <f>IF(SUM(F69,H69)=0,0,$J$8+SUBTOTAL(9,$F$10:F69)-SUBTOTAL(9,$H$10:H69))</f>
        <v>0</v>
      </c>
      <c r="K69" s="69">
        <f>IF(SUM(G69,I69)=0,0,$K$8+SUBTOTAL(9,$G$10:G69)-SUBTOTAL(9,$I$10:I69))</f>
        <v>0</v>
      </c>
      <c r="L69" s="65" t="b">
        <f t="shared" si="0"/>
        <v>0</v>
      </c>
    </row>
    <row r="70" spans="1:12" hidden="1" x14ac:dyDescent="0.25">
      <c r="A70" s="84" t="str">
        <f>IF(OR(CT!D65='SCTVTHH NGÀY'!$G$2,CT!E65='SCTVTHH NGÀY'!$G$2),CT!A65,"")</f>
        <v/>
      </c>
      <c r="B70" s="65" t="str">
        <f>IF(OR(CT!E65='SCTVTHH NGÀY'!$G$2,CT!E65='SCTVTHH NGÀY'!$G$2),CT!B65,"")</f>
        <v/>
      </c>
      <c r="C70" s="65" t="str">
        <f>IF(OR(CT!F65='SCTVTHH NGÀY'!$G$2,CT!E65='SCTVTHH NGÀY'!$G$2),CT!C65,"")</f>
        <v/>
      </c>
      <c r="D70" s="65" t="str">
        <f>IF(CT!D65='SCTVTHH NGÀY'!$G$2,CT!E65,IF(CT!E65='SCTVTHH NGÀY'!$G$2,CT!D65,""))</f>
        <v/>
      </c>
      <c r="E70" s="69">
        <f>IF(OR(CT!D61='SCTVTHH NGÀY'!$G$2,CT!E61='SCTVTHH NGÀY'!$G$2),CT!G61,0)</f>
        <v>0</v>
      </c>
      <c r="F70" s="69">
        <f>IF(CT!D65='SCTVTHH NGÀY'!$G$2,CT!F65,0)</f>
        <v>0</v>
      </c>
      <c r="G70" s="69">
        <f>IF(CT!D65='SCTVTHH NGÀY'!$G$2,CT!H65,0)</f>
        <v>0</v>
      </c>
      <c r="H70" s="69">
        <f>IF(CT!E65='SCTVTHH NGÀY'!$G$2,CT!F65,0)</f>
        <v>0</v>
      </c>
      <c r="I70" s="69">
        <f>IF(CT!E65='SCTVTHH NGÀY'!$G$2,CT!H65,0)</f>
        <v>0</v>
      </c>
      <c r="J70" s="69">
        <f>IF(SUM(F70,H70)=0,0,$J$8+SUBTOTAL(9,$F$10:F70)-SUBTOTAL(9,$H$10:H70))</f>
        <v>0</v>
      </c>
      <c r="K70" s="69">
        <f>IF(SUM(G70,I70)=0,0,$K$8+SUBTOTAL(9,$G$10:G70)-SUBTOTAL(9,$I$10:I70))</f>
        <v>0</v>
      </c>
      <c r="L70" s="65" t="b">
        <f t="shared" si="0"/>
        <v>0</v>
      </c>
    </row>
    <row r="71" spans="1:12" hidden="1" x14ac:dyDescent="0.25">
      <c r="A71" s="84" t="str">
        <f>IF(OR(CT!D66='SCTVTHH NGÀY'!$G$2,CT!E66='SCTVTHH NGÀY'!$G$2),CT!A66,"")</f>
        <v/>
      </c>
      <c r="B71" s="65" t="str">
        <f>IF(OR(CT!E66='SCTVTHH NGÀY'!$G$2,CT!E66='SCTVTHH NGÀY'!$G$2),CT!B66,"")</f>
        <v/>
      </c>
      <c r="C71" s="65" t="str">
        <f>IF(OR(CT!F66='SCTVTHH NGÀY'!$G$2,CT!E66='SCTVTHH NGÀY'!$G$2),CT!C66,"")</f>
        <v/>
      </c>
      <c r="D71" s="65" t="str">
        <f>IF(CT!D66='SCTVTHH NGÀY'!$G$2,CT!E66,IF(CT!E66='SCTVTHH NGÀY'!$G$2,CT!D66,""))</f>
        <v/>
      </c>
      <c r="E71" s="69">
        <f>IF(OR(CT!D62='SCTVTHH NGÀY'!$G$2,CT!E62='SCTVTHH NGÀY'!$G$2),CT!G62,0)</f>
        <v>0</v>
      </c>
      <c r="F71" s="69">
        <f>IF(CT!D66='SCTVTHH NGÀY'!$G$2,CT!F66,0)</f>
        <v>0</v>
      </c>
      <c r="G71" s="69">
        <f>IF(CT!D66='SCTVTHH NGÀY'!$G$2,CT!H66,0)</f>
        <v>0</v>
      </c>
      <c r="H71" s="69">
        <f>IF(CT!E66='SCTVTHH NGÀY'!$G$2,CT!F66,0)</f>
        <v>0</v>
      </c>
      <c r="I71" s="69">
        <f>IF(CT!E66='SCTVTHH NGÀY'!$G$2,CT!H66,0)</f>
        <v>0</v>
      </c>
      <c r="J71" s="69">
        <f>IF(SUM(F71,H71)=0,0,$J$8+SUBTOTAL(9,$F$10:F71)-SUBTOTAL(9,$H$10:H71))</f>
        <v>0</v>
      </c>
      <c r="K71" s="69">
        <f>IF(SUM(G71,I71)=0,0,$K$8+SUBTOTAL(9,$G$10:G71)-SUBTOTAL(9,$I$10:I71))</f>
        <v>0</v>
      </c>
      <c r="L71" s="65" t="b">
        <f t="shared" si="0"/>
        <v>0</v>
      </c>
    </row>
    <row r="72" spans="1:12" hidden="1" x14ac:dyDescent="0.25">
      <c r="A72" s="84" t="str">
        <f>IF(OR(CT!D67='SCTVTHH NGÀY'!$G$2,CT!E67='SCTVTHH NGÀY'!$G$2),CT!A67,"")</f>
        <v/>
      </c>
      <c r="B72" s="65" t="str">
        <f>IF(OR(CT!E67='SCTVTHH NGÀY'!$G$2,CT!E67='SCTVTHH NGÀY'!$G$2),CT!B67,"")</f>
        <v/>
      </c>
      <c r="C72" s="65" t="str">
        <f>IF(OR(CT!F67='SCTVTHH NGÀY'!$G$2,CT!E67='SCTVTHH NGÀY'!$G$2),CT!C67,"")</f>
        <v/>
      </c>
      <c r="D72" s="65" t="str">
        <f>IF(CT!D67='SCTVTHH NGÀY'!$G$2,CT!E67,IF(CT!E67='SCTVTHH NGÀY'!$G$2,CT!D67,""))</f>
        <v/>
      </c>
      <c r="E72" s="69">
        <f>IF(OR(CT!D63='SCTVTHH NGÀY'!$G$2,CT!E63='SCTVTHH NGÀY'!$G$2),CT!G63,0)</f>
        <v>0</v>
      </c>
      <c r="F72" s="69">
        <f>IF(CT!D67='SCTVTHH NGÀY'!$G$2,CT!F67,0)</f>
        <v>0</v>
      </c>
      <c r="G72" s="69">
        <f>IF(CT!D67='SCTVTHH NGÀY'!$G$2,CT!H67,0)</f>
        <v>0</v>
      </c>
      <c r="H72" s="69">
        <f>IF(CT!E67='SCTVTHH NGÀY'!$G$2,CT!F67,0)</f>
        <v>0</v>
      </c>
      <c r="I72" s="69">
        <f>IF(CT!E67='SCTVTHH NGÀY'!$G$2,CT!H67,0)</f>
        <v>0</v>
      </c>
      <c r="J72" s="69">
        <f>IF(SUM(F72,H72)=0,0,$J$8+SUBTOTAL(9,$F$10:F72)-SUBTOTAL(9,$H$10:H72))</f>
        <v>0</v>
      </c>
      <c r="K72" s="69">
        <f>IF(SUM(G72,I72)=0,0,$K$8+SUBTOTAL(9,$G$10:G72)-SUBTOTAL(9,$I$10:I72))</f>
        <v>0</v>
      </c>
      <c r="L72" s="65" t="b">
        <f t="shared" si="0"/>
        <v>0</v>
      </c>
    </row>
    <row r="73" spans="1:12" hidden="1" x14ac:dyDescent="0.25">
      <c r="A73" s="84" t="str">
        <f>IF(OR(CT!D68='SCTVTHH NGÀY'!$G$2,CT!E68='SCTVTHH NGÀY'!$G$2),CT!A68,"")</f>
        <v/>
      </c>
      <c r="B73" s="65" t="str">
        <f>IF(OR(CT!E68='SCTVTHH NGÀY'!$G$2,CT!E68='SCTVTHH NGÀY'!$G$2),CT!B68,"")</f>
        <v/>
      </c>
      <c r="C73" s="65" t="str">
        <f>IF(OR(CT!F68='SCTVTHH NGÀY'!$G$2,CT!E68='SCTVTHH NGÀY'!$G$2),CT!C68,"")</f>
        <v/>
      </c>
      <c r="D73" s="65" t="str">
        <f>IF(CT!D68='SCTVTHH NGÀY'!$G$2,CT!E68,IF(CT!E68='SCTVTHH NGÀY'!$G$2,CT!D68,""))</f>
        <v/>
      </c>
      <c r="E73" s="69">
        <f>IF(OR(CT!D64='SCTVTHH NGÀY'!$G$2,CT!E64='SCTVTHH NGÀY'!$G$2),CT!G64,0)</f>
        <v>0</v>
      </c>
      <c r="F73" s="69">
        <f>IF(CT!D68='SCTVTHH NGÀY'!$G$2,CT!F68,0)</f>
        <v>0</v>
      </c>
      <c r="G73" s="69">
        <f>IF(CT!D68='SCTVTHH NGÀY'!$G$2,CT!H68,0)</f>
        <v>0</v>
      </c>
      <c r="H73" s="69">
        <f>IF(CT!E68='SCTVTHH NGÀY'!$G$2,CT!F68,0)</f>
        <v>0</v>
      </c>
      <c r="I73" s="69">
        <f>IF(CT!E68='SCTVTHH NGÀY'!$G$2,CT!H68,0)</f>
        <v>0</v>
      </c>
      <c r="J73" s="69">
        <f>IF(SUM(F73,H73)=0,0,$J$8+SUBTOTAL(9,$F$10:F73)-SUBTOTAL(9,$H$10:H73))</f>
        <v>0</v>
      </c>
      <c r="K73" s="69">
        <f>IF(SUM(G73,I73)=0,0,$K$8+SUBTOTAL(9,$G$10:G73)-SUBTOTAL(9,$I$10:I73))</f>
        <v>0</v>
      </c>
      <c r="L73" s="65" t="b">
        <f t="shared" si="0"/>
        <v>0</v>
      </c>
    </row>
    <row r="74" spans="1:12" hidden="1" x14ac:dyDescent="0.25">
      <c r="A74" s="84" t="str">
        <f>IF(OR(CT!D69='SCTVTHH NGÀY'!$G$2,CT!E69='SCTVTHH NGÀY'!$G$2),CT!A69,"")</f>
        <v/>
      </c>
      <c r="B74" s="65" t="str">
        <f>IF(OR(CT!E69='SCTVTHH NGÀY'!$G$2,CT!E69='SCTVTHH NGÀY'!$G$2),CT!B69,"")</f>
        <v/>
      </c>
      <c r="C74" s="65" t="str">
        <f>IF(OR(CT!F69='SCTVTHH NGÀY'!$G$2,CT!E69='SCTVTHH NGÀY'!$G$2),CT!C69,"")</f>
        <v/>
      </c>
      <c r="D74" s="65" t="str">
        <f>IF(CT!D69='SCTVTHH NGÀY'!$G$2,CT!E69,IF(CT!E69='SCTVTHH NGÀY'!$G$2,CT!D69,""))</f>
        <v/>
      </c>
      <c r="E74" s="69">
        <f>IF(OR(CT!D65='SCTVTHH NGÀY'!$G$2,CT!E65='SCTVTHH NGÀY'!$G$2),CT!G65,0)</f>
        <v>0</v>
      </c>
      <c r="F74" s="69">
        <f>IF(CT!D69='SCTVTHH NGÀY'!$G$2,CT!F69,0)</f>
        <v>0</v>
      </c>
      <c r="G74" s="69">
        <f>IF(CT!D69='SCTVTHH NGÀY'!$G$2,CT!H69,0)</f>
        <v>0</v>
      </c>
      <c r="H74" s="69">
        <f>IF(CT!E69='SCTVTHH NGÀY'!$G$2,CT!F69,0)</f>
        <v>0</v>
      </c>
      <c r="I74" s="69">
        <f>IF(CT!E69='SCTVTHH NGÀY'!$G$2,CT!H69,0)</f>
        <v>0</v>
      </c>
      <c r="J74" s="69">
        <f>IF(SUM(F74,H74)=0,0,$J$8+SUBTOTAL(9,$F$10:F74)-SUBTOTAL(9,$H$10:H74))</f>
        <v>0</v>
      </c>
      <c r="K74" s="69">
        <f>IF(SUM(G74,I74)=0,0,$K$8+SUBTOTAL(9,$G$10:G74)-SUBTOTAL(9,$I$10:I74))</f>
        <v>0</v>
      </c>
      <c r="L74" s="65" t="b">
        <f t="shared" si="0"/>
        <v>0</v>
      </c>
    </row>
    <row r="75" spans="1:12" hidden="1" x14ac:dyDescent="0.25">
      <c r="A75" s="84" t="str">
        <f>IF(OR(CT!D70='SCTVTHH NGÀY'!$G$2,CT!E70='SCTVTHH NGÀY'!$G$2),CT!A70,"")</f>
        <v/>
      </c>
      <c r="B75" s="65" t="str">
        <f>IF(OR(CT!E70='SCTVTHH NGÀY'!$G$2,CT!E70='SCTVTHH NGÀY'!$G$2),CT!B70,"")</f>
        <v/>
      </c>
      <c r="C75" s="65" t="str">
        <f>IF(OR(CT!F70='SCTVTHH NGÀY'!$G$2,CT!E70='SCTVTHH NGÀY'!$G$2),CT!C70,"")</f>
        <v/>
      </c>
      <c r="D75" s="65" t="str">
        <f>IF(CT!D70='SCTVTHH NGÀY'!$G$2,CT!E70,IF(CT!E70='SCTVTHH NGÀY'!$G$2,CT!D70,""))</f>
        <v/>
      </c>
      <c r="E75" s="69">
        <f>IF(OR(CT!D66='SCTVTHH NGÀY'!$G$2,CT!E66='SCTVTHH NGÀY'!$G$2),CT!G66,0)</f>
        <v>0</v>
      </c>
      <c r="F75" s="69">
        <f>IF(CT!D70='SCTVTHH NGÀY'!$G$2,CT!F70,0)</f>
        <v>0</v>
      </c>
      <c r="G75" s="69">
        <f>IF(CT!D70='SCTVTHH NGÀY'!$G$2,CT!H70,0)</f>
        <v>0</v>
      </c>
      <c r="H75" s="69">
        <f>IF(CT!E70='SCTVTHH NGÀY'!$G$2,CT!F70,0)</f>
        <v>0</v>
      </c>
      <c r="I75" s="69">
        <f>IF(CT!E70='SCTVTHH NGÀY'!$G$2,CT!H70,0)</f>
        <v>0</v>
      </c>
      <c r="J75" s="69">
        <f>IF(SUM(F75,H75)=0,0,$J$8+SUBTOTAL(9,$F$10:F75)-SUBTOTAL(9,$H$10:H75))</f>
        <v>0</v>
      </c>
      <c r="K75" s="69">
        <f>IF(SUM(G75,I75)=0,0,$K$8+SUBTOTAL(9,$G$10:G75)-SUBTOTAL(9,$I$10:I75))</f>
        <v>0</v>
      </c>
      <c r="L75" s="65" t="b">
        <f t="shared" ref="L75:L138" si="1">AND(A75&gt;=$D$3,A75&lt;=$F$3)</f>
        <v>0</v>
      </c>
    </row>
    <row r="76" spans="1:12" hidden="1" x14ac:dyDescent="0.25">
      <c r="A76" s="84" t="str">
        <f>IF(OR(CT!D71='SCTVTHH NGÀY'!$G$2,CT!E71='SCTVTHH NGÀY'!$G$2),CT!A71,"")</f>
        <v/>
      </c>
      <c r="B76" s="65" t="str">
        <f>IF(OR(CT!E71='SCTVTHH NGÀY'!$G$2,CT!E71='SCTVTHH NGÀY'!$G$2),CT!B71,"")</f>
        <v/>
      </c>
      <c r="C76" s="65" t="str">
        <f>IF(OR(CT!F71='SCTVTHH NGÀY'!$G$2,CT!E71='SCTVTHH NGÀY'!$G$2),CT!C71,"")</f>
        <v/>
      </c>
      <c r="D76" s="65" t="str">
        <f>IF(CT!D71='SCTVTHH NGÀY'!$G$2,CT!E71,IF(CT!E71='SCTVTHH NGÀY'!$G$2,CT!D71,""))</f>
        <v/>
      </c>
      <c r="E76" s="69">
        <f>IF(OR(CT!D67='SCTVTHH NGÀY'!$G$2,CT!E67='SCTVTHH NGÀY'!$G$2),CT!G67,0)</f>
        <v>0</v>
      </c>
      <c r="F76" s="69">
        <f>IF(CT!D71='SCTVTHH NGÀY'!$G$2,CT!F71,0)</f>
        <v>0</v>
      </c>
      <c r="G76" s="69">
        <f>IF(CT!D71='SCTVTHH NGÀY'!$G$2,CT!H71,0)</f>
        <v>0</v>
      </c>
      <c r="H76" s="69">
        <f>IF(CT!E71='SCTVTHH NGÀY'!$G$2,CT!F71,0)</f>
        <v>0</v>
      </c>
      <c r="I76" s="69">
        <f>IF(CT!E71='SCTVTHH NGÀY'!$G$2,CT!H71,0)</f>
        <v>0</v>
      </c>
      <c r="J76" s="69">
        <f>IF(SUM(F76,H76)=0,0,$J$8+SUBTOTAL(9,$F$10:F76)-SUBTOTAL(9,$H$10:H76))</f>
        <v>0</v>
      </c>
      <c r="K76" s="69">
        <f>IF(SUM(G76,I76)=0,0,$K$8+SUBTOTAL(9,$G$10:G76)-SUBTOTAL(9,$I$10:I76))</f>
        <v>0</v>
      </c>
      <c r="L76" s="65" t="b">
        <f t="shared" si="1"/>
        <v>0</v>
      </c>
    </row>
    <row r="77" spans="1:12" hidden="1" x14ac:dyDescent="0.25">
      <c r="A77" s="84" t="str">
        <f>IF(OR(CT!D72='SCTVTHH NGÀY'!$G$2,CT!E72='SCTVTHH NGÀY'!$G$2),CT!A72,"")</f>
        <v/>
      </c>
      <c r="B77" s="65" t="str">
        <f>IF(OR(CT!E72='SCTVTHH NGÀY'!$G$2,CT!E72='SCTVTHH NGÀY'!$G$2),CT!B72,"")</f>
        <v/>
      </c>
      <c r="C77" s="65" t="str">
        <f>IF(OR(CT!F72='SCTVTHH NGÀY'!$G$2,CT!E72='SCTVTHH NGÀY'!$G$2),CT!C72,"")</f>
        <v/>
      </c>
      <c r="D77" s="65" t="str">
        <f>IF(CT!D72='SCTVTHH NGÀY'!$G$2,CT!E72,IF(CT!E72='SCTVTHH NGÀY'!$G$2,CT!D72,""))</f>
        <v/>
      </c>
      <c r="E77" s="69">
        <f>IF(OR(CT!D68='SCTVTHH NGÀY'!$G$2,CT!E68='SCTVTHH NGÀY'!$G$2),CT!G68,0)</f>
        <v>0</v>
      </c>
      <c r="F77" s="69">
        <f>IF(CT!D72='SCTVTHH NGÀY'!$G$2,CT!F72,0)</f>
        <v>0</v>
      </c>
      <c r="G77" s="69">
        <f>IF(CT!D72='SCTVTHH NGÀY'!$G$2,CT!H72,0)</f>
        <v>0</v>
      </c>
      <c r="H77" s="69">
        <f>IF(CT!E72='SCTVTHH NGÀY'!$G$2,CT!F72,0)</f>
        <v>0</v>
      </c>
      <c r="I77" s="69">
        <f>IF(CT!E72='SCTVTHH NGÀY'!$G$2,CT!H72,0)</f>
        <v>0</v>
      </c>
      <c r="J77" s="69">
        <f>IF(SUM(F77,H77)=0,0,$J$8+SUBTOTAL(9,$F$10:F77)-SUBTOTAL(9,$H$10:H77))</f>
        <v>0</v>
      </c>
      <c r="K77" s="69">
        <f>IF(SUM(G77,I77)=0,0,$K$8+SUBTOTAL(9,$G$10:G77)-SUBTOTAL(9,$I$10:I77))</f>
        <v>0</v>
      </c>
      <c r="L77" s="65" t="b">
        <f t="shared" si="1"/>
        <v>0</v>
      </c>
    </row>
    <row r="78" spans="1:12" hidden="1" x14ac:dyDescent="0.25">
      <c r="A78" s="84" t="str">
        <f>IF(OR(CT!D73='SCTVTHH NGÀY'!$G$2,CT!E73='SCTVTHH NGÀY'!$G$2),CT!A73,"")</f>
        <v/>
      </c>
      <c r="B78" s="65" t="str">
        <f>IF(OR(CT!E73='SCTVTHH NGÀY'!$G$2,CT!E73='SCTVTHH NGÀY'!$G$2),CT!B73,"")</f>
        <v/>
      </c>
      <c r="C78" s="65" t="str">
        <f>IF(OR(CT!F73='SCTVTHH NGÀY'!$G$2,CT!E73='SCTVTHH NGÀY'!$G$2),CT!C73,"")</f>
        <v/>
      </c>
      <c r="D78" s="65" t="str">
        <f>IF(CT!D73='SCTVTHH NGÀY'!$G$2,CT!E73,IF(CT!E73='SCTVTHH NGÀY'!$G$2,CT!D73,""))</f>
        <v/>
      </c>
      <c r="E78" s="69">
        <f>IF(OR(CT!D69='SCTVTHH NGÀY'!$G$2,CT!E69='SCTVTHH NGÀY'!$G$2),CT!G69,0)</f>
        <v>0</v>
      </c>
      <c r="F78" s="69">
        <f>IF(CT!D73='SCTVTHH NGÀY'!$G$2,CT!F73,0)</f>
        <v>0</v>
      </c>
      <c r="G78" s="69">
        <f>IF(CT!D73='SCTVTHH NGÀY'!$G$2,CT!H73,0)</f>
        <v>0</v>
      </c>
      <c r="H78" s="69">
        <f>IF(CT!E73='SCTVTHH NGÀY'!$G$2,CT!F73,0)</f>
        <v>0</v>
      </c>
      <c r="I78" s="69">
        <f>IF(CT!E73='SCTVTHH NGÀY'!$G$2,CT!H73,0)</f>
        <v>0</v>
      </c>
      <c r="J78" s="69">
        <f>IF(SUM(F78,H78)=0,0,$J$8+SUBTOTAL(9,$F$10:F78)-SUBTOTAL(9,$H$10:H78))</f>
        <v>0</v>
      </c>
      <c r="K78" s="69">
        <f>IF(SUM(G78,I78)=0,0,$K$8+SUBTOTAL(9,$G$10:G78)-SUBTOTAL(9,$I$10:I78))</f>
        <v>0</v>
      </c>
      <c r="L78" s="65" t="b">
        <f t="shared" si="1"/>
        <v>0</v>
      </c>
    </row>
    <row r="79" spans="1:12" hidden="1" x14ac:dyDescent="0.25">
      <c r="A79" s="84" t="str">
        <f>IF(OR(CT!D74='SCTVTHH NGÀY'!$G$2,CT!E74='SCTVTHH NGÀY'!$G$2),CT!A74,"")</f>
        <v/>
      </c>
      <c r="B79" s="65" t="str">
        <f>IF(OR(CT!E74='SCTVTHH NGÀY'!$G$2,CT!E74='SCTVTHH NGÀY'!$G$2),CT!B74,"")</f>
        <v/>
      </c>
      <c r="C79" s="65" t="str">
        <f>IF(OR(CT!F74='SCTVTHH NGÀY'!$G$2,CT!E74='SCTVTHH NGÀY'!$G$2),CT!C74,"")</f>
        <v/>
      </c>
      <c r="D79" s="65" t="str">
        <f>IF(CT!D74='SCTVTHH NGÀY'!$G$2,CT!E74,IF(CT!E74='SCTVTHH NGÀY'!$G$2,CT!D74,""))</f>
        <v/>
      </c>
      <c r="E79" s="69">
        <f>IF(OR(CT!D70='SCTVTHH NGÀY'!$G$2,CT!E70='SCTVTHH NGÀY'!$G$2),CT!G70,0)</f>
        <v>0</v>
      </c>
      <c r="F79" s="69">
        <f>IF(CT!D74='SCTVTHH NGÀY'!$G$2,CT!F74,0)</f>
        <v>0</v>
      </c>
      <c r="G79" s="69">
        <f>IF(CT!D74='SCTVTHH NGÀY'!$G$2,CT!H74,0)</f>
        <v>0</v>
      </c>
      <c r="H79" s="69">
        <f>IF(CT!E74='SCTVTHH NGÀY'!$G$2,CT!F74,0)</f>
        <v>0</v>
      </c>
      <c r="I79" s="69">
        <f>IF(CT!E74='SCTVTHH NGÀY'!$G$2,CT!H74,0)</f>
        <v>0</v>
      </c>
      <c r="J79" s="69">
        <f>IF(SUM(F79,H79)=0,0,$J$8+SUBTOTAL(9,$F$10:F79)-SUBTOTAL(9,$H$10:H79))</f>
        <v>0</v>
      </c>
      <c r="K79" s="69">
        <f>IF(SUM(G79,I79)=0,0,$K$8+SUBTOTAL(9,$G$10:G79)-SUBTOTAL(9,$I$10:I79))</f>
        <v>0</v>
      </c>
      <c r="L79" s="65" t="b">
        <f t="shared" si="1"/>
        <v>0</v>
      </c>
    </row>
    <row r="80" spans="1:12" hidden="1" x14ac:dyDescent="0.25">
      <c r="A80" s="84" t="str">
        <f>IF(OR(CT!D75='SCTVTHH NGÀY'!$G$2,CT!E75='SCTVTHH NGÀY'!$G$2),CT!A75,"")</f>
        <v/>
      </c>
      <c r="B80" s="65" t="str">
        <f>IF(OR(CT!E75='SCTVTHH NGÀY'!$G$2,CT!E75='SCTVTHH NGÀY'!$G$2),CT!B75,"")</f>
        <v/>
      </c>
      <c r="C80" s="65" t="str">
        <f>IF(OR(CT!F75='SCTVTHH NGÀY'!$G$2,CT!E75='SCTVTHH NGÀY'!$G$2),CT!C75,"")</f>
        <v/>
      </c>
      <c r="D80" s="65" t="str">
        <f>IF(CT!D75='SCTVTHH NGÀY'!$G$2,CT!E75,IF(CT!E75='SCTVTHH NGÀY'!$G$2,CT!D75,""))</f>
        <v/>
      </c>
      <c r="E80" s="69">
        <f>IF(OR(CT!D71='SCTVTHH NGÀY'!$G$2,CT!E71='SCTVTHH NGÀY'!$G$2),CT!G71,0)</f>
        <v>0</v>
      </c>
      <c r="F80" s="69">
        <f>IF(CT!D75='SCTVTHH NGÀY'!$G$2,CT!F75,0)</f>
        <v>0</v>
      </c>
      <c r="G80" s="69">
        <f>IF(CT!D75='SCTVTHH NGÀY'!$G$2,CT!H75,0)</f>
        <v>0</v>
      </c>
      <c r="H80" s="69">
        <f>IF(CT!E75='SCTVTHH NGÀY'!$G$2,CT!F75,0)</f>
        <v>0</v>
      </c>
      <c r="I80" s="69">
        <f>IF(CT!E75='SCTVTHH NGÀY'!$G$2,CT!H75,0)</f>
        <v>0</v>
      </c>
      <c r="J80" s="69">
        <f>IF(SUM(F80,H80)=0,0,$J$8+SUBTOTAL(9,$F$10:F80)-SUBTOTAL(9,$H$10:H80))</f>
        <v>0</v>
      </c>
      <c r="K80" s="69">
        <f>IF(SUM(G80,I80)=0,0,$K$8+SUBTOTAL(9,$G$10:G80)-SUBTOTAL(9,$I$10:I80))</f>
        <v>0</v>
      </c>
      <c r="L80" s="65" t="b">
        <f t="shared" si="1"/>
        <v>0</v>
      </c>
    </row>
    <row r="81" spans="1:12" hidden="1" x14ac:dyDescent="0.25">
      <c r="A81" s="84" t="str">
        <f>IF(OR(CT!D76='SCTVTHH NGÀY'!$G$2,CT!E76='SCTVTHH NGÀY'!$G$2),CT!A76,"")</f>
        <v/>
      </c>
      <c r="B81" s="65" t="str">
        <f>IF(OR(CT!E76='SCTVTHH NGÀY'!$G$2,CT!E76='SCTVTHH NGÀY'!$G$2),CT!B76,"")</f>
        <v/>
      </c>
      <c r="C81" s="65" t="str">
        <f>IF(OR(CT!F76='SCTVTHH NGÀY'!$G$2,CT!E76='SCTVTHH NGÀY'!$G$2),CT!C76,"")</f>
        <v/>
      </c>
      <c r="D81" s="65" t="str">
        <f>IF(CT!D76='SCTVTHH NGÀY'!$G$2,CT!E76,IF(CT!E76='SCTVTHH NGÀY'!$G$2,CT!D76,""))</f>
        <v/>
      </c>
      <c r="E81" s="69">
        <f>IF(OR(CT!D72='SCTVTHH NGÀY'!$G$2,CT!E72='SCTVTHH NGÀY'!$G$2),CT!G72,0)</f>
        <v>0</v>
      </c>
      <c r="F81" s="69">
        <f>IF(CT!D76='SCTVTHH NGÀY'!$G$2,CT!F76,0)</f>
        <v>0</v>
      </c>
      <c r="G81" s="69">
        <f>IF(CT!D76='SCTVTHH NGÀY'!$G$2,CT!H76,0)</f>
        <v>0</v>
      </c>
      <c r="H81" s="69">
        <f>IF(CT!E76='SCTVTHH NGÀY'!$G$2,CT!F76,0)</f>
        <v>0</v>
      </c>
      <c r="I81" s="69">
        <f>IF(CT!E76='SCTVTHH NGÀY'!$G$2,CT!H76,0)</f>
        <v>0</v>
      </c>
      <c r="J81" s="69">
        <f>IF(SUM(F81,H81)=0,0,$J$8+SUBTOTAL(9,$F$10:F81)-SUBTOTAL(9,$H$10:H81))</f>
        <v>0</v>
      </c>
      <c r="K81" s="69">
        <f>IF(SUM(G81,I81)=0,0,$K$8+SUBTOTAL(9,$G$10:G81)-SUBTOTAL(9,$I$10:I81))</f>
        <v>0</v>
      </c>
      <c r="L81" s="65" t="b">
        <f t="shared" si="1"/>
        <v>0</v>
      </c>
    </row>
    <row r="82" spans="1:12" hidden="1" x14ac:dyDescent="0.25">
      <c r="A82" s="84" t="str">
        <f>IF(OR(CT!D77='SCTVTHH NGÀY'!$G$2,CT!E77='SCTVTHH NGÀY'!$G$2),CT!A77,"")</f>
        <v/>
      </c>
      <c r="B82" s="65" t="str">
        <f>IF(OR(CT!E77='SCTVTHH NGÀY'!$G$2,CT!E77='SCTVTHH NGÀY'!$G$2),CT!B77,"")</f>
        <v/>
      </c>
      <c r="C82" s="65" t="str">
        <f>IF(OR(CT!F77='SCTVTHH NGÀY'!$G$2,CT!E77='SCTVTHH NGÀY'!$G$2),CT!C77,"")</f>
        <v/>
      </c>
      <c r="D82" s="65" t="str">
        <f>IF(CT!D77='SCTVTHH NGÀY'!$G$2,CT!E77,IF(CT!E77='SCTVTHH NGÀY'!$G$2,CT!D77,""))</f>
        <v/>
      </c>
      <c r="E82" s="69">
        <f>IF(OR(CT!D73='SCTVTHH NGÀY'!$G$2,CT!E73='SCTVTHH NGÀY'!$G$2),CT!G73,0)</f>
        <v>0</v>
      </c>
      <c r="F82" s="69">
        <f>IF(CT!D77='SCTVTHH NGÀY'!$G$2,CT!F77,0)</f>
        <v>0</v>
      </c>
      <c r="G82" s="69">
        <f>IF(CT!D77='SCTVTHH NGÀY'!$G$2,CT!H77,0)</f>
        <v>0</v>
      </c>
      <c r="H82" s="69">
        <f>IF(CT!E77='SCTVTHH NGÀY'!$G$2,CT!F77,0)</f>
        <v>0</v>
      </c>
      <c r="I82" s="69">
        <f>IF(CT!E77='SCTVTHH NGÀY'!$G$2,CT!H77,0)</f>
        <v>0</v>
      </c>
      <c r="J82" s="69">
        <f>IF(SUM(F82,H82)=0,0,$J$8+SUBTOTAL(9,$F$10:F82)-SUBTOTAL(9,$H$10:H82))</f>
        <v>0</v>
      </c>
      <c r="K82" s="69">
        <f>IF(SUM(G82,I82)=0,0,$K$8+SUBTOTAL(9,$G$10:G82)-SUBTOTAL(9,$I$10:I82))</f>
        <v>0</v>
      </c>
      <c r="L82" s="65" t="b">
        <f t="shared" si="1"/>
        <v>0</v>
      </c>
    </row>
    <row r="83" spans="1:12" hidden="1" x14ac:dyDescent="0.25">
      <c r="A83" s="84" t="str">
        <f>IF(OR(CT!D78='SCTVTHH NGÀY'!$G$2,CT!E78='SCTVTHH NGÀY'!$G$2),CT!A78,"")</f>
        <v/>
      </c>
      <c r="B83" s="65" t="str">
        <f>IF(OR(CT!E78='SCTVTHH NGÀY'!$G$2,CT!E78='SCTVTHH NGÀY'!$G$2),CT!B78,"")</f>
        <v/>
      </c>
      <c r="C83" s="65" t="str">
        <f>IF(OR(CT!F78='SCTVTHH NGÀY'!$G$2,CT!E78='SCTVTHH NGÀY'!$G$2),CT!C78,"")</f>
        <v/>
      </c>
      <c r="D83" s="65" t="str">
        <f>IF(CT!D78='SCTVTHH NGÀY'!$G$2,CT!E78,IF(CT!E78='SCTVTHH NGÀY'!$G$2,CT!D78,""))</f>
        <v/>
      </c>
      <c r="E83" s="69">
        <f>IF(OR(CT!D74='SCTVTHH NGÀY'!$G$2,CT!E74='SCTVTHH NGÀY'!$G$2),CT!G74,0)</f>
        <v>0</v>
      </c>
      <c r="F83" s="69">
        <f>IF(CT!D78='SCTVTHH NGÀY'!$G$2,CT!F78,0)</f>
        <v>0</v>
      </c>
      <c r="G83" s="69">
        <f>IF(CT!D78='SCTVTHH NGÀY'!$G$2,CT!H78,0)</f>
        <v>0</v>
      </c>
      <c r="H83" s="69">
        <f>IF(CT!E78='SCTVTHH NGÀY'!$G$2,CT!F78,0)</f>
        <v>0</v>
      </c>
      <c r="I83" s="69">
        <f>IF(CT!E78='SCTVTHH NGÀY'!$G$2,CT!H78,0)</f>
        <v>0</v>
      </c>
      <c r="J83" s="69">
        <f>IF(SUM(F83,H83)=0,0,$J$8+SUBTOTAL(9,$F$10:F83)-SUBTOTAL(9,$H$10:H83))</f>
        <v>0</v>
      </c>
      <c r="K83" s="69">
        <f>IF(SUM(G83,I83)=0,0,$K$8+SUBTOTAL(9,$G$10:G83)-SUBTOTAL(9,$I$10:I83))</f>
        <v>0</v>
      </c>
      <c r="L83" s="65" t="b">
        <f t="shared" si="1"/>
        <v>0</v>
      </c>
    </row>
    <row r="84" spans="1:12" hidden="1" x14ac:dyDescent="0.25">
      <c r="A84" s="84" t="str">
        <f>IF(OR(CT!D79='SCTVTHH NGÀY'!$G$2,CT!E79='SCTVTHH NGÀY'!$G$2),CT!A79,"")</f>
        <v/>
      </c>
      <c r="B84" s="65" t="str">
        <f>IF(OR(CT!E79='SCTVTHH NGÀY'!$G$2,CT!E79='SCTVTHH NGÀY'!$G$2),CT!B79,"")</f>
        <v/>
      </c>
      <c r="C84" s="65" t="str">
        <f>IF(OR(CT!F79='SCTVTHH NGÀY'!$G$2,CT!E79='SCTVTHH NGÀY'!$G$2),CT!C79,"")</f>
        <v/>
      </c>
      <c r="D84" s="65" t="str">
        <f>IF(CT!D79='SCTVTHH NGÀY'!$G$2,CT!E79,IF(CT!E79='SCTVTHH NGÀY'!$G$2,CT!D79,""))</f>
        <v/>
      </c>
      <c r="E84" s="69">
        <f>IF(OR(CT!D75='SCTVTHH NGÀY'!$G$2,CT!E75='SCTVTHH NGÀY'!$G$2),CT!G75,0)</f>
        <v>0</v>
      </c>
      <c r="F84" s="69">
        <f>IF(CT!D79='SCTVTHH NGÀY'!$G$2,CT!F79,0)</f>
        <v>0</v>
      </c>
      <c r="G84" s="69">
        <f>IF(CT!D79='SCTVTHH NGÀY'!$G$2,CT!H79,0)</f>
        <v>0</v>
      </c>
      <c r="H84" s="69">
        <f>IF(CT!E79='SCTVTHH NGÀY'!$G$2,CT!F79,0)</f>
        <v>0</v>
      </c>
      <c r="I84" s="69">
        <f>IF(CT!E79='SCTVTHH NGÀY'!$G$2,CT!H79,0)</f>
        <v>0</v>
      </c>
      <c r="J84" s="69">
        <f>IF(SUM(F84,H84)=0,0,$J$8+SUBTOTAL(9,$F$10:F84)-SUBTOTAL(9,$H$10:H84))</f>
        <v>0</v>
      </c>
      <c r="K84" s="69">
        <f>IF(SUM(G84,I84)=0,0,$K$8+SUBTOTAL(9,$G$10:G84)-SUBTOTAL(9,$I$10:I84))</f>
        <v>0</v>
      </c>
      <c r="L84" s="65" t="b">
        <f t="shared" si="1"/>
        <v>0</v>
      </c>
    </row>
    <row r="85" spans="1:12" hidden="1" x14ac:dyDescent="0.25">
      <c r="A85" s="84" t="str">
        <f>IF(OR(CT!D80='SCTVTHH NGÀY'!$G$2,CT!E80='SCTVTHH NGÀY'!$G$2),CT!A80,"")</f>
        <v/>
      </c>
      <c r="B85" s="65" t="str">
        <f>IF(OR(CT!E80='SCTVTHH NGÀY'!$G$2,CT!E80='SCTVTHH NGÀY'!$G$2),CT!B80,"")</f>
        <v/>
      </c>
      <c r="C85" s="65" t="str">
        <f>IF(OR(CT!F80='SCTVTHH NGÀY'!$G$2,CT!E80='SCTVTHH NGÀY'!$G$2),CT!C80,"")</f>
        <v/>
      </c>
      <c r="D85" s="65" t="str">
        <f>IF(CT!D80='SCTVTHH NGÀY'!$G$2,CT!E80,IF(CT!E80='SCTVTHH NGÀY'!$G$2,CT!D80,""))</f>
        <v/>
      </c>
      <c r="E85" s="69">
        <f>IF(OR(CT!D76='SCTVTHH NGÀY'!$G$2,CT!E76='SCTVTHH NGÀY'!$G$2),CT!G76,0)</f>
        <v>0</v>
      </c>
      <c r="F85" s="69">
        <f>IF(CT!D80='SCTVTHH NGÀY'!$G$2,CT!F80,0)</f>
        <v>0</v>
      </c>
      <c r="G85" s="69">
        <f>IF(CT!D80='SCTVTHH NGÀY'!$G$2,CT!H80,0)</f>
        <v>0</v>
      </c>
      <c r="H85" s="69">
        <f>IF(CT!E80='SCTVTHH NGÀY'!$G$2,CT!F80,0)</f>
        <v>0</v>
      </c>
      <c r="I85" s="69">
        <f>IF(CT!E80='SCTVTHH NGÀY'!$G$2,CT!H80,0)</f>
        <v>0</v>
      </c>
      <c r="J85" s="69">
        <f>IF(SUM(F85,H85)=0,0,$J$8+SUBTOTAL(9,$F$10:F85)-SUBTOTAL(9,$H$10:H85))</f>
        <v>0</v>
      </c>
      <c r="K85" s="69">
        <f>IF(SUM(G85,I85)=0,0,$K$8+SUBTOTAL(9,$G$10:G85)-SUBTOTAL(9,$I$10:I85))</f>
        <v>0</v>
      </c>
      <c r="L85" s="65" t="b">
        <f t="shared" si="1"/>
        <v>0</v>
      </c>
    </row>
    <row r="86" spans="1:12" hidden="1" x14ac:dyDescent="0.25">
      <c r="A86" s="84" t="str">
        <f>IF(OR(CT!D81='SCTVTHH NGÀY'!$G$2,CT!E81='SCTVTHH NGÀY'!$G$2),CT!A81,"")</f>
        <v/>
      </c>
      <c r="B86" s="65" t="str">
        <f>IF(OR(CT!E81='SCTVTHH NGÀY'!$G$2,CT!E81='SCTVTHH NGÀY'!$G$2),CT!B81,"")</f>
        <v/>
      </c>
      <c r="C86" s="65" t="str">
        <f>IF(OR(CT!F81='SCTVTHH NGÀY'!$G$2,CT!E81='SCTVTHH NGÀY'!$G$2),CT!C81,"")</f>
        <v/>
      </c>
      <c r="D86" s="65" t="str">
        <f>IF(CT!D81='SCTVTHH NGÀY'!$G$2,CT!E81,IF(CT!E81='SCTVTHH NGÀY'!$G$2,CT!D81,""))</f>
        <v/>
      </c>
      <c r="E86" s="69">
        <f>IF(OR(CT!D77='SCTVTHH NGÀY'!$G$2,CT!E77='SCTVTHH NGÀY'!$G$2),CT!G77,0)</f>
        <v>0</v>
      </c>
      <c r="F86" s="69">
        <f>IF(CT!D81='SCTVTHH NGÀY'!$G$2,CT!F81,0)</f>
        <v>0</v>
      </c>
      <c r="G86" s="69">
        <f>IF(CT!D81='SCTVTHH NGÀY'!$G$2,CT!H81,0)</f>
        <v>0</v>
      </c>
      <c r="H86" s="69">
        <f>IF(CT!E81='SCTVTHH NGÀY'!$G$2,CT!F81,0)</f>
        <v>0</v>
      </c>
      <c r="I86" s="69">
        <f>IF(CT!E81='SCTVTHH NGÀY'!$G$2,CT!H81,0)</f>
        <v>0</v>
      </c>
      <c r="J86" s="69">
        <f>IF(SUM(F86,H86)=0,0,$J$8+SUBTOTAL(9,$F$10:F86)-SUBTOTAL(9,$H$10:H86))</f>
        <v>0</v>
      </c>
      <c r="K86" s="69">
        <f>IF(SUM(G86,I86)=0,0,$K$8+SUBTOTAL(9,$G$10:G86)-SUBTOTAL(9,$I$10:I86))</f>
        <v>0</v>
      </c>
      <c r="L86" s="65" t="b">
        <f t="shared" si="1"/>
        <v>0</v>
      </c>
    </row>
    <row r="87" spans="1:12" hidden="1" x14ac:dyDescent="0.25">
      <c r="A87" s="84" t="str">
        <f>IF(OR(CT!D82='SCTVTHH NGÀY'!$G$2,CT!E82='SCTVTHH NGÀY'!$G$2),CT!A82,"")</f>
        <v/>
      </c>
      <c r="B87" s="65" t="str">
        <f>IF(OR(CT!E82='SCTVTHH NGÀY'!$G$2,CT!E82='SCTVTHH NGÀY'!$G$2),CT!B82,"")</f>
        <v/>
      </c>
      <c r="C87" s="65" t="str">
        <f>IF(OR(CT!F82='SCTVTHH NGÀY'!$G$2,CT!E82='SCTVTHH NGÀY'!$G$2),CT!C82,"")</f>
        <v/>
      </c>
      <c r="D87" s="65" t="str">
        <f>IF(CT!D82='SCTVTHH NGÀY'!$G$2,CT!E82,IF(CT!E82='SCTVTHH NGÀY'!$G$2,CT!D82,""))</f>
        <v/>
      </c>
      <c r="E87" s="69">
        <f>IF(OR(CT!D78='SCTVTHH NGÀY'!$G$2,CT!E78='SCTVTHH NGÀY'!$G$2),CT!G78,0)</f>
        <v>0</v>
      </c>
      <c r="F87" s="69">
        <f>IF(CT!D82='SCTVTHH NGÀY'!$G$2,CT!F82,0)</f>
        <v>0</v>
      </c>
      <c r="G87" s="69">
        <f>IF(CT!D82='SCTVTHH NGÀY'!$G$2,CT!H82,0)</f>
        <v>0</v>
      </c>
      <c r="H87" s="69">
        <f>IF(CT!E82='SCTVTHH NGÀY'!$G$2,CT!F82,0)</f>
        <v>0</v>
      </c>
      <c r="I87" s="69">
        <f>IF(CT!E82='SCTVTHH NGÀY'!$G$2,CT!H82,0)</f>
        <v>0</v>
      </c>
      <c r="J87" s="69">
        <f>IF(SUM(F87,H87)=0,0,$J$8+SUBTOTAL(9,$F$10:F87)-SUBTOTAL(9,$H$10:H87))</f>
        <v>0</v>
      </c>
      <c r="K87" s="69">
        <f>IF(SUM(G87,I87)=0,0,$K$8+SUBTOTAL(9,$G$10:G87)-SUBTOTAL(9,$I$10:I87))</f>
        <v>0</v>
      </c>
      <c r="L87" s="65" t="b">
        <f t="shared" si="1"/>
        <v>0</v>
      </c>
    </row>
    <row r="88" spans="1:12" hidden="1" x14ac:dyDescent="0.25">
      <c r="A88" s="84" t="str">
        <f>IF(OR(CT!D83='SCTVTHH NGÀY'!$G$2,CT!E83='SCTVTHH NGÀY'!$G$2),CT!A83,"")</f>
        <v/>
      </c>
      <c r="B88" s="65" t="str">
        <f>IF(OR(CT!E83='SCTVTHH NGÀY'!$G$2,CT!E83='SCTVTHH NGÀY'!$G$2),CT!B83,"")</f>
        <v/>
      </c>
      <c r="C88" s="65" t="str">
        <f>IF(OR(CT!F83='SCTVTHH NGÀY'!$G$2,CT!E83='SCTVTHH NGÀY'!$G$2),CT!C83,"")</f>
        <v/>
      </c>
      <c r="D88" s="65" t="str">
        <f>IF(CT!D83='SCTVTHH NGÀY'!$G$2,CT!E83,IF(CT!E83='SCTVTHH NGÀY'!$G$2,CT!D83,""))</f>
        <v/>
      </c>
      <c r="E88" s="69">
        <f>IF(OR(CT!D79='SCTVTHH NGÀY'!$G$2,CT!E79='SCTVTHH NGÀY'!$G$2),CT!G79,0)</f>
        <v>0</v>
      </c>
      <c r="F88" s="69">
        <f>IF(CT!D83='SCTVTHH NGÀY'!$G$2,CT!F83,0)</f>
        <v>0</v>
      </c>
      <c r="G88" s="69">
        <f>IF(CT!D83='SCTVTHH NGÀY'!$G$2,CT!H83,0)</f>
        <v>0</v>
      </c>
      <c r="H88" s="69">
        <f>IF(CT!E83='SCTVTHH NGÀY'!$G$2,CT!F83,0)</f>
        <v>0</v>
      </c>
      <c r="I88" s="69">
        <f>IF(CT!E83='SCTVTHH NGÀY'!$G$2,CT!H83,0)</f>
        <v>0</v>
      </c>
      <c r="J88" s="69">
        <f>IF(SUM(F88,H88)=0,0,$J$8+SUBTOTAL(9,$F$10:F88)-SUBTOTAL(9,$H$10:H88))</f>
        <v>0</v>
      </c>
      <c r="K88" s="69">
        <f>IF(SUM(G88,I88)=0,0,$K$8+SUBTOTAL(9,$G$10:G88)-SUBTOTAL(9,$I$10:I88))</f>
        <v>0</v>
      </c>
      <c r="L88" s="65" t="b">
        <f t="shared" si="1"/>
        <v>0</v>
      </c>
    </row>
    <row r="89" spans="1:12" hidden="1" x14ac:dyDescent="0.25">
      <c r="A89" s="84" t="str">
        <f>IF(OR(CT!D84='SCTVTHH NGÀY'!$G$2,CT!E84='SCTVTHH NGÀY'!$G$2),CT!A84,"")</f>
        <v/>
      </c>
      <c r="B89" s="65" t="str">
        <f>IF(OR(CT!E84='SCTVTHH NGÀY'!$G$2,CT!E84='SCTVTHH NGÀY'!$G$2),CT!B84,"")</f>
        <v/>
      </c>
      <c r="C89" s="65" t="str">
        <f>IF(OR(CT!F84='SCTVTHH NGÀY'!$G$2,CT!E84='SCTVTHH NGÀY'!$G$2),CT!C84,"")</f>
        <v/>
      </c>
      <c r="D89" s="65" t="str">
        <f>IF(CT!D84='SCTVTHH NGÀY'!$G$2,CT!E84,IF(CT!E84='SCTVTHH NGÀY'!$G$2,CT!D84,""))</f>
        <v/>
      </c>
      <c r="E89" s="69">
        <f>IF(OR(CT!D80='SCTVTHH NGÀY'!$G$2,CT!E80='SCTVTHH NGÀY'!$G$2),CT!G80,0)</f>
        <v>0</v>
      </c>
      <c r="F89" s="69">
        <f>IF(CT!D84='SCTVTHH NGÀY'!$G$2,CT!F84,0)</f>
        <v>0</v>
      </c>
      <c r="G89" s="69">
        <f>IF(CT!D84='SCTVTHH NGÀY'!$G$2,CT!H84,0)</f>
        <v>0</v>
      </c>
      <c r="H89" s="69">
        <f>IF(CT!E84='SCTVTHH NGÀY'!$G$2,CT!F84,0)</f>
        <v>0</v>
      </c>
      <c r="I89" s="69">
        <f>IF(CT!E84='SCTVTHH NGÀY'!$G$2,CT!H84,0)</f>
        <v>0</v>
      </c>
      <c r="J89" s="69">
        <f>IF(SUM(F89,H89)=0,0,$J$8+SUBTOTAL(9,$F$10:F89)-SUBTOTAL(9,$H$10:H89))</f>
        <v>0</v>
      </c>
      <c r="K89" s="69">
        <f>IF(SUM(G89,I89)=0,0,$K$8+SUBTOTAL(9,$G$10:G89)-SUBTOTAL(9,$I$10:I89))</f>
        <v>0</v>
      </c>
      <c r="L89" s="65" t="b">
        <f t="shared" si="1"/>
        <v>0</v>
      </c>
    </row>
    <row r="90" spans="1:12" hidden="1" x14ac:dyDescent="0.25">
      <c r="A90" s="84" t="str">
        <f>IF(OR(CT!D85='SCTVTHH NGÀY'!$G$2,CT!E85='SCTVTHH NGÀY'!$G$2),CT!A85,"")</f>
        <v/>
      </c>
      <c r="B90" s="65" t="str">
        <f>IF(OR(CT!E85='SCTVTHH NGÀY'!$G$2,CT!E85='SCTVTHH NGÀY'!$G$2),CT!B85,"")</f>
        <v/>
      </c>
      <c r="C90" s="65" t="str">
        <f>IF(OR(CT!F85='SCTVTHH NGÀY'!$G$2,CT!E85='SCTVTHH NGÀY'!$G$2),CT!C85,"")</f>
        <v/>
      </c>
      <c r="D90" s="65" t="str">
        <f>IF(CT!D85='SCTVTHH NGÀY'!$G$2,CT!E85,IF(CT!E85='SCTVTHH NGÀY'!$G$2,CT!D85,""))</f>
        <v/>
      </c>
      <c r="E90" s="69">
        <f>IF(OR(CT!D81='SCTVTHH NGÀY'!$G$2,CT!E81='SCTVTHH NGÀY'!$G$2),CT!G81,0)</f>
        <v>0</v>
      </c>
      <c r="F90" s="69">
        <f>IF(CT!D85='SCTVTHH NGÀY'!$G$2,CT!F85,0)</f>
        <v>0</v>
      </c>
      <c r="G90" s="69">
        <f>IF(CT!D85='SCTVTHH NGÀY'!$G$2,CT!H85,0)</f>
        <v>0</v>
      </c>
      <c r="H90" s="69">
        <f>IF(CT!E85='SCTVTHH NGÀY'!$G$2,CT!F85,0)</f>
        <v>0</v>
      </c>
      <c r="I90" s="69">
        <f>IF(CT!E85='SCTVTHH NGÀY'!$G$2,CT!H85,0)</f>
        <v>0</v>
      </c>
      <c r="J90" s="69">
        <f>IF(SUM(F90,H90)=0,0,$J$8+SUBTOTAL(9,$F$10:F90)-SUBTOTAL(9,$H$10:H90))</f>
        <v>0</v>
      </c>
      <c r="K90" s="69">
        <f>IF(SUM(G90,I90)=0,0,$K$8+SUBTOTAL(9,$G$10:G90)-SUBTOTAL(9,$I$10:I90))</f>
        <v>0</v>
      </c>
      <c r="L90" s="65" t="b">
        <f t="shared" si="1"/>
        <v>0</v>
      </c>
    </row>
    <row r="91" spans="1:12" hidden="1" x14ac:dyDescent="0.25">
      <c r="A91" s="84" t="str">
        <f>IF(OR(CT!D86='SCTVTHH NGÀY'!$G$2,CT!E86='SCTVTHH NGÀY'!$G$2),CT!A86,"")</f>
        <v/>
      </c>
      <c r="B91" s="65" t="str">
        <f>IF(OR(CT!E86='SCTVTHH NGÀY'!$G$2,CT!E86='SCTVTHH NGÀY'!$G$2),CT!B86,"")</f>
        <v/>
      </c>
      <c r="C91" s="65" t="str">
        <f>IF(OR(CT!F86='SCTVTHH NGÀY'!$G$2,CT!E86='SCTVTHH NGÀY'!$G$2),CT!C86,"")</f>
        <v/>
      </c>
      <c r="D91" s="65" t="str">
        <f>IF(CT!D86='SCTVTHH NGÀY'!$G$2,CT!E86,IF(CT!E86='SCTVTHH NGÀY'!$G$2,CT!D86,""))</f>
        <v/>
      </c>
      <c r="E91" s="69">
        <f>IF(OR(CT!D82='SCTVTHH NGÀY'!$G$2,CT!E82='SCTVTHH NGÀY'!$G$2),CT!G82,0)</f>
        <v>0</v>
      </c>
      <c r="F91" s="69">
        <f>IF(CT!D86='SCTVTHH NGÀY'!$G$2,CT!F86,0)</f>
        <v>0</v>
      </c>
      <c r="G91" s="69">
        <f>IF(CT!D86='SCTVTHH NGÀY'!$G$2,CT!H86,0)</f>
        <v>0</v>
      </c>
      <c r="H91" s="69">
        <f>IF(CT!E86='SCTVTHH NGÀY'!$G$2,CT!F86,0)</f>
        <v>0</v>
      </c>
      <c r="I91" s="69">
        <f>IF(CT!E86='SCTVTHH NGÀY'!$G$2,CT!H86,0)</f>
        <v>0</v>
      </c>
      <c r="J91" s="69">
        <f>IF(SUM(F91,H91)=0,0,$J$8+SUBTOTAL(9,$F$10:F91)-SUBTOTAL(9,$H$10:H91))</f>
        <v>0</v>
      </c>
      <c r="K91" s="69">
        <f>IF(SUM(G91,I91)=0,0,$K$8+SUBTOTAL(9,$G$10:G91)-SUBTOTAL(9,$I$10:I91))</f>
        <v>0</v>
      </c>
      <c r="L91" s="65" t="b">
        <f t="shared" si="1"/>
        <v>0</v>
      </c>
    </row>
    <row r="92" spans="1:12" hidden="1" x14ac:dyDescent="0.25">
      <c r="A92" s="84" t="str">
        <f>IF(OR(CT!D87='SCTVTHH NGÀY'!$G$2,CT!E87='SCTVTHH NGÀY'!$G$2),CT!A87,"")</f>
        <v/>
      </c>
      <c r="B92" s="65" t="str">
        <f>IF(OR(CT!E87='SCTVTHH NGÀY'!$G$2,CT!E87='SCTVTHH NGÀY'!$G$2),CT!B87,"")</f>
        <v/>
      </c>
      <c r="C92" s="65" t="str">
        <f>IF(OR(CT!F87='SCTVTHH NGÀY'!$G$2,CT!E87='SCTVTHH NGÀY'!$G$2),CT!C87,"")</f>
        <v/>
      </c>
      <c r="D92" s="65" t="str">
        <f>IF(CT!D87='SCTVTHH NGÀY'!$G$2,CT!E87,IF(CT!E87='SCTVTHH NGÀY'!$G$2,CT!D87,""))</f>
        <v/>
      </c>
      <c r="E92" s="69">
        <f>IF(OR(CT!D83='SCTVTHH NGÀY'!$G$2,CT!E83='SCTVTHH NGÀY'!$G$2),CT!G83,0)</f>
        <v>0</v>
      </c>
      <c r="F92" s="69">
        <f>IF(CT!D87='SCTVTHH NGÀY'!$G$2,CT!F87,0)</f>
        <v>0</v>
      </c>
      <c r="G92" s="69">
        <f>IF(CT!D87='SCTVTHH NGÀY'!$G$2,CT!H87,0)</f>
        <v>0</v>
      </c>
      <c r="H92" s="69">
        <f>IF(CT!E87='SCTVTHH NGÀY'!$G$2,CT!F87,0)</f>
        <v>0</v>
      </c>
      <c r="I92" s="69">
        <f>IF(CT!E87='SCTVTHH NGÀY'!$G$2,CT!H87,0)</f>
        <v>0</v>
      </c>
      <c r="J92" s="69">
        <f>IF(SUM(F92,H92)=0,0,$J$8+SUBTOTAL(9,$F$10:F92)-SUBTOTAL(9,$H$10:H92))</f>
        <v>0</v>
      </c>
      <c r="K92" s="69">
        <f>IF(SUM(G92,I92)=0,0,$K$8+SUBTOTAL(9,$G$10:G92)-SUBTOTAL(9,$I$10:I92))</f>
        <v>0</v>
      </c>
      <c r="L92" s="65" t="b">
        <f t="shared" si="1"/>
        <v>0</v>
      </c>
    </row>
    <row r="93" spans="1:12" hidden="1" x14ac:dyDescent="0.25">
      <c r="A93" s="84" t="str">
        <f>IF(OR(CT!D88='SCTVTHH NGÀY'!$G$2,CT!E88='SCTVTHH NGÀY'!$G$2),CT!A88,"")</f>
        <v/>
      </c>
      <c r="B93" s="65" t="str">
        <f>IF(OR(CT!E88='SCTVTHH NGÀY'!$G$2,CT!E88='SCTVTHH NGÀY'!$G$2),CT!B88,"")</f>
        <v/>
      </c>
      <c r="C93" s="65" t="str">
        <f>IF(OR(CT!F88='SCTVTHH NGÀY'!$G$2,CT!E88='SCTVTHH NGÀY'!$G$2),CT!C88,"")</f>
        <v/>
      </c>
      <c r="D93" s="65" t="str">
        <f>IF(CT!D88='SCTVTHH NGÀY'!$G$2,CT!E88,IF(CT!E88='SCTVTHH NGÀY'!$G$2,CT!D88,""))</f>
        <v/>
      </c>
      <c r="E93" s="69">
        <f>IF(OR(CT!D84='SCTVTHH NGÀY'!$G$2,CT!E84='SCTVTHH NGÀY'!$G$2),CT!G84,0)</f>
        <v>0</v>
      </c>
      <c r="F93" s="69">
        <f>IF(CT!D88='SCTVTHH NGÀY'!$G$2,CT!F88,0)</f>
        <v>0</v>
      </c>
      <c r="G93" s="69">
        <f>IF(CT!D88='SCTVTHH NGÀY'!$G$2,CT!H88,0)</f>
        <v>0</v>
      </c>
      <c r="H93" s="69">
        <f>IF(CT!E88='SCTVTHH NGÀY'!$G$2,CT!F88,0)</f>
        <v>0</v>
      </c>
      <c r="I93" s="69">
        <f>IF(CT!E88='SCTVTHH NGÀY'!$G$2,CT!H88,0)</f>
        <v>0</v>
      </c>
      <c r="J93" s="69">
        <f>IF(SUM(F93,H93)=0,0,$J$8+SUBTOTAL(9,$F$10:F93)-SUBTOTAL(9,$H$10:H93))</f>
        <v>0</v>
      </c>
      <c r="K93" s="69">
        <f>IF(SUM(G93,I93)=0,0,$K$8+SUBTOTAL(9,$G$10:G93)-SUBTOTAL(9,$I$10:I93))</f>
        <v>0</v>
      </c>
      <c r="L93" s="65" t="b">
        <f t="shared" si="1"/>
        <v>0</v>
      </c>
    </row>
    <row r="94" spans="1:12" hidden="1" x14ac:dyDescent="0.25">
      <c r="A94" s="84" t="str">
        <f>IF(OR(CT!D89='SCTVTHH NGÀY'!$G$2,CT!E89='SCTVTHH NGÀY'!$G$2),CT!A89,"")</f>
        <v/>
      </c>
      <c r="B94" s="65" t="str">
        <f>IF(OR(CT!E89='SCTVTHH NGÀY'!$G$2,CT!E89='SCTVTHH NGÀY'!$G$2),CT!B89,"")</f>
        <v/>
      </c>
      <c r="C94" s="65" t="str">
        <f>IF(OR(CT!F89='SCTVTHH NGÀY'!$G$2,CT!E89='SCTVTHH NGÀY'!$G$2),CT!C89,"")</f>
        <v/>
      </c>
      <c r="D94" s="65" t="str">
        <f>IF(CT!D89='SCTVTHH NGÀY'!$G$2,CT!E89,IF(CT!E89='SCTVTHH NGÀY'!$G$2,CT!D89,""))</f>
        <v/>
      </c>
      <c r="E94" s="69">
        <f>IF(OR(CT!D85='SCTVTHH NGÀY'!$G$2,CT!E85='SCTVTHH NGÀY'!$G$2),CT!G85,0)</f>
        <v>0</v>
      </c>
      <c r="F94" s="69">
        <f>IF(CT!D89='SCTVTHH NGÀY'!$G$2,CT!F89,0)</f>
        <v>0</v>
      </c>
      <c r="G94" s="69">
        <f>IF(CT!D89='SCTVTHH NGÀY'!$G$2,CT!H89,0)</f>
        <v>0</v>
      </c>
      <c r="H94" s="69">
        <f>IF(CT!E89='SCTVTHH NGÀY'!$G$2,CT!F89,0)</f>
        <v>0</v>
      </c>
      <c r="I94" s="69">
        <f>IF(CT!E89='SCTVTHH NGÀY'!$G$2,CT!H89,0)</f>
        <v>0</v>
      </c>
      <c r="J94" s="69">
        <f>IF(SUM(F94,H94)=0,0,$J$8+SUBTOTAL(9,$F$10:F94)-SUBTOTAL(9,$H$10:H94))</f>
        <v>0</v>
      </c>
      <c r="K94" s="69">
        <f>IF(SUM(G94,I94)=0,0,$K$8+SUBTOTAL(9,$G$10:G94)-SUBTOTAL(9,$I$10:I94))</f>
        <v>0</v>
      </c>
      <c r="L94" s="65" t="b">
        <f t="shared" si="1"/>
        <v>0</v>
      </c>
    </row>
    <row r="95" spans="1:12" hidden="1" x14ac:dyDescent="0.25">
      <c r="A95" s="84" t="str">
        <f>IF(OR(CT!D90='SCTVTHH NGÀY'!$G$2,CT!E90='SCTVTHH NGÀY'!$G$2),CT!A90,"")</f>
        <v/>
      </c>
      <c r="B95" s="65" t="str">
        <f>IF(OR(CT!E90='SCTVTHH NGÀY'!$G$2,CT!E90='SCTVTHH NGÀY'!$G$2),CT!B90,"")</f>
        <v/>
      </c>
      <c r="C95" s="65" t="str">
        <f>IF(OR(CT!F90='SCTVTHH NGÀY'!$G$2,CT!E90='SCTVTHH NGÀY'!$G$2),CT!C90,"")</f>
        <v/>
      </c>
      <c r="D95" s="65" t="str">
        <f>IF(CT!D90='SCTVTHH NGÀY'!$G$2,CT!E90,IF(CT!E90='SCTVTHH NGÀY'!$G$2,CT!D90,""))</f>
        <v/>
      </c>
      <c r="E95" s="69">
        <f>IF(OR(CT!D86='SCTVTHH NGÀY'!$G$2,CT!E86='SCTVTHH NGÀY'!$G$2),CT!G86,0)</f>
        <v>0</v>
      </c>
      <c r="F95" s="69">
        <f>IF(CT!D90='SCTVTHH NGÀY'!$G$2,CT!F90,0)</f>
        <v>0</v>
      </c>
      <c r="G95" s="69">
        <f>IF(CT!D90='SCTVTHH NGÀY'!$G$2,CT!H90,0)</f>
        <v>0</v>
      </c>
      <c r="H95" s="69">
        <f>IF(CT!E90='SCTVTHH NGÀY'!$G$2,CT!F90,0)</f>
        <v>0</v>
      </c>
      <c r="I95" s="69">
        <f>IF(CT!E90='SCTVTHH NGÀY'!$G$2,CT!H90,0)</f>
        <v>0</v>
      </c>
      <c r="J95" s="69">
        <f>IF(SUM(F95,H95)=0,0,$J$8+SUBTOTAL(9,$F$10:F95)-SUBTOTAL(9,$H$10:H95))</f>
        <v>0</v>
      </c>
      <c r="K95" s="69">
        <f>IF(SUM(G95,I95)=0,0,$K$8+SUBTOTAL(9,$G$10:G95)-SUBTOTAL(9,$I$10:I95))</f>
        <v>0</v>
      </c>
      <c r="L95" s="65" t="b">
        <f t="shared" si="1"/>
        <v>0</v>
      </c>
    </row>
    <row r="96" spans="1:12" hidden="1" x14ac:dyDescent="0.25">
      <c r="A96" s="84" t="str">
        <f>IF(OR(CT!D91='SCTVTHH NGÀY'!$G$2,CT!E91='SCTVTHH NGÀY'!$G$2),CT!A91,"")</f>
        <v/>
      </c>
      <c r="B96" s="65" t="str">
        <f>IF(OR(CT!E91='SCTVTHH NGÀY'!$G$2,CT!E91='SCTVTHH NGÀY'!$G$2),CT!B91,"")</f>
        <v/>
      </c>
      <c r="C96" s="65" t="str">
        <f>IF(OR(CT!F91='SCTVTHH NGÀY'!$G$2,CT!E91='SCTVTHH NGÀY'!$G$2),CT!C91,"")</f>
        <v/>
      </c>
      <c r="D96" s="65" t="str">
        <f>IF(CT!D91='SCTVTHH NGÀY'!$G$2,CT!E91,IF(CT!E91='SCTVTHH NGÀY'!$G$2,CT!D91,""))</f>
        <v/>
      </c>
      <c r="E96" s="69">
        <f>IF(OR(CT!D87='SCTVTHH NGÀY'!$G$2,CT!E87='SCTVTHH NGÀY'!$G$2),CT!G87,0)</f>
        <v>0</v>
      </c>
      <c r="F96" s="69">
        <f>IF(CT!D91='SCTVTHH NGÀY'!$G$2,CT!F91,0)</f>
        <v>0</v>
      </c>
      <c r="G96" s="69">
        <f>IF(CT!D91='SCTVTHH NGÀY'!$G$2,CT!H91,0)</f>
        <v>0</v>
      </c>
      <c r="H96" s="69">
        <f>IF(CT!E91='SCTVTHH NGÀY'!$G$2,CT!F91,0)</f>
        <v>0</v>
      </c>
      <c r="I96" s="69">
        <f>IF(CT!E91='SCTVTHH NGÀY'!$G$2,CT!H91,0)</f>
        <v>0</v>
      </c>
      <c r="J96" s="69">
        <f>IF(SUM(F96,H96)=0,0,$J$8+SUBTOTAL(9,$F$10:F96)-SUBTOTAL(9,$H$10:H96))</f>
        <v>0</v>
      </c>
      <c r="K96" s="69">
        <f>IF(SUM(G96,I96)=0,0,$K$8+SUBTOTAL(9,$G$10:G96)-SUBTOTAL(9,$I$10:I96))</f>
        <v>0</v>
      </c>
      <c r="L96" s="65" t="b">
        <f t="shared" si="1"/>
        <v>0</v>
      </c>
    </row>
    <row r="97" spans="1:12" hidden="1" x14ac:dyDescent="0.25">
      <c r="A97" s="84" t="str">
        <f>IF(OR(CT!D92='SCTVTHH NGÀY'!$G$2,CT!E92='SCTVTHH NGÀY'!$G$2),CT!A92,"")</f>
        <v/>
      </c>
      <c r="B97" s="65" t="str">
        <f>IF(OR(CT!E92='SCTVTHH NGÀY'!$G$2,CT!E92='SCTVTHH NGÀY'!$G$2),CT!B92,"")</f>
        <v/>
      </c>
      <c r="C97" s="65" t="str">
        <f>IF(OR(CT!F92='SCTVTHH NGÀY'!$G$2,CT!E92='SCTVTHH NGÀY'!$G$2),CT!C92,"")</f>
        <v/>
      </c>
      <c r="D97" s="65" t="str">
        <f>IF(CT!D92='SCTVTHH NGÀY'!$G$2,CT!E92,IF(CT!E92='SCTVTHH NGÀY'!$G$2,CT!D92,""))</f>
        <v/>
      </c>
      <c r="E97" s="69">
        <f>IF(OR(CT!D88='SCTVTHH NGÀY'!$G$2,CT!E88='SCTVTHH NGÀY'!$G$2),CT!G88,0)</f>
        <v>0</v>
      </c>
      <c r="F97" s="69">
        <f>IF(CT!D92='SCTVTHH NGÀY'!$G$2,CT!F92,0)</f>
        <v>0</v>
      </c>
      <c r="G97" s="69">
        <f>IF(CT!D92='SCTVTHH NGÀY'!$G$2,CT!H92,0)</f>
        <v>0</v>
      </c>
      <c r="H97" s="69">
        <f>IF(CT!E92='SCTVTHH NGÀY'!$G$2,CT!F92,0)</f>
        <v>0</v>
      </c>
      <c r="I97" s="69">
        <f>IF(CT!E92='SCTVTHH NGÀY'!$G$2,CT!H92,0)</f>
        <v>0</v>
      </c>
      <c r="J97" s="69">
        <f>IF(SUM(F97,H97)=0,0,$J$8+SUBTOTAL(9,$F$10:F97)-SUBTOTAL(9,$H$10:H97))</f>
        <v>0</v>
      </c>
      <c r="K97" s="69">
        <f>IF(SUM(G97,I97)=0,0,$K$8+SUBTOTAL(9,$G$10:G97)-SUBTOTAL(9,$I$10:I97))</f>
        <v>0</v>
      </c>
      <c r="L97" s="65" t="b">
        <f t="shared" si="1"/>
        <v>0</v>
      </c>
    </row>
    <row r="98" spans="1:12" hidden="1" x14ac:dyDescent="0.25">
      <c r="A98" s="84" t="str">
        <f>IF(OR(CT!D93='SCTVTHH NGÀY'!$G$2,CT!E93='SCTVTHH NGÀY'!$G$2),CT!A93,"")</f>
        <v/>
      </c>
      <c r="B98" s="65" t="str">
        <f>IF(OR(CT!E93='SCTVTHH NGÀY'!$G$2,CT!E93='SCTVTHH NGÀY'!$G$2),CT!B93,"")</f>
        <v/>
      </c>
      <c r="C98" s="65" t="str">
        <f>IF(OR(CT!F93='SCTVTHH NGÀY'!$G$2,CT!E93='SCTVTHH NGÀY'!$G$2),CT!C93,"")</f>
        <v/>
      </c>
      <c r="D98" s="65" t="str">
        <f>IF(CT!D93='SCTVTHH NGÀY'!$G$2,CT!E93,IF(CT!E93='SCTVTHH NGÀY'!$G$2,CT!D93,""))</f>
        <v/>
      </c>
      <c r="E98" s="69">
        <f>IF(OR(CT!D89='SCTVTHH NGÀY'!$G$2,CT!E89='SCTVTHH NGÀY'!$G$2),CT!G89,0)</f>
        <v>0</v>
      </c>
      <c r="F98" s="69">
        <f>IF(CT!D93='SCTVTHH NGÀY'!$G$2,CT!F93,0)</f>
        <v>0</v>
      </c>
      <c r="G98" s="69">
        <f>IF(CT!D93='SCTVTHH NGÀY'!$G$2,CT!H93,0)</f>
        <v>0</v>
      </c>
      <c r="H98" s="69">
        <f>IF(CT!E93='SCTVTHH NGÀY'!$G$2,CT!F93,0)</f>
        <v>0</v>
      </c>
      <c r="I98" s="69">
        <f>IF(CT!E93='SCTVTHH NGÀY'!$G$2,CT!H93,0)</f>
        <v>0</v>
      </c>
      <c r="J98" s="69">
        <f>IF(SUM(F98,H98)=0,0,$J$8+SUBTOTAL(9,$F$10:F98)-SUBTOTAL(9,$H$10:H98))</f>
        <v>0</v>
      </c>
      <c r="K98" s="69">
        <f>IF(SUM(G98,I98)=0,0,$K$8+SUBTOTAL(9,$G$10:G98)-SUBTOTAL(9,$I$10:I98))</f>
        <v>0</v>
      </c>
      <c r="L98" s="65" t="b">
        <f t="shared" si="1"/>
        <v>0</v>
      </c>
    </row>
    <row r="99" spans="1:12" hidden="1" x14ac:dyDescent="0.25">
      <c r="A99" s="84" t="str">
        <f>IF(OR(CT!D94='SCTVTHH NGÀY'!$G$2,CT!E94='SCTVTHH NGÀY'!$G$2),CT!A94,"")</f>
        <v/>
      </c>
      <c r="B99" s="65" t="str">
        <f>IF(OR(CT!E94='SCTVTHH NGÀY'!$G$2,CT!E94='SCTVTHH NGÀY'!$G$2),CT!B94,"")</f>
        <v/>
      </c>
      <c r="C99" s="65" t="str">
        <f>IF(OR(CT!F94='SCTVTHH NGÀY'!$G$2,CT!E94='SCTVTHH NGÀY'!$G$2),CT!C94,"")</f>
        <v/>
      </c>
      <c r="D99" s="65" t="str">
        <f>IF(CT!D94='SCTVTHH NGÀY'!$G$2,CT!E94,IF(CT!E94='SCTVTHH NGÀY'!$G$2,CT!D94,""))</f>
        <v/>
      </c>
      <c r="E99" s="69">
        <f>IF(OR(CT!D90='SCTVTHH NGÀY'!$G$2,CT!E90='SCTVTHH NGÀY'!$G$2),CT!G90,0)</f>
        <v>0</v>
      </c>
      <c r="F99" s="69">
        <f>IF(CT!D94='SCTVTHH NGÀY'!$G$2,CT!F94,0)</f>
        <v>0</v>
      </c>
      <c r="G99" s="69">
        <f>IF(CT!D94='SCTVTHH NGÀY'!$G$2,CT!H94,0)</f>
        <v>0</v>
      </c>
      <c r="H99" s="69">
        <f>IF(CT!E94='SCTVTHH NGÀY'!$G$2,CT!F94,0)</f>
        <v>0</v>
      </c>
      <c r="I99" s="69">
        <f>IF(CT!E94='SCTVTHH NGÀY'!$G$2,CT!H94,0)</f>
        <v>0</v>
      </c>
      <c r="J99" s="69">
        <f>IF(SUM(F99,H99)=0,0,$J$8+SUBTOTAL(9,$F$10:F99)-SUBTOTAL(9,$H$10:H99))</f>
        <v>0</v>
      </c>
      <c r="K99" s="69">
        <f>IF(SUM(G99,I99)=0,0,$K$8+SUBTOTAL(9,$G$10:G99)-SUBTOTAL(9,$I$10:I99))</f>
        <v>0</v>
      </c>
      <c r="L99" s="65" t="b">
        <f t="shared" si="1"/>
        <v>0</v>
      </c>
    </row>
    <row r="100" spans="1:12" hidden="1" x14ac:dyDescent="0.25">
      <c r="A100" s="84" t="str">
        <f>IF(OR(CT!D95='SCTVTHH NGÀY'!$G$2,CT!E95='SCTVTHH NGÀY'!$G$2),CT!A95,"")</f>
        <v/>
      </c>
      <c r="B100" s="65" t="str">
        <f>IF(OR(CT!E95='SCTVTHH NGÀY'!$G$2,CT!E95='SCTVTHH NGÀY'!$G$2),CT!B95,"")</f>
        <v/>
      </c>
      <c r="C100" s="65" t="str">
        <f>IF(OR(CT!F95='SCTVTHH NGÀY'!$G$2,CT!E95='SCTVTHH NGÀY'!$G$2),CT!C95,"")</f>
        <v/>
      </c>
      <c r="D100" s="65" t="str">
        <f>IF(CT!D95='SCTVTHH NGÀY'!$G$2,CT!E95,IF(CT!E95='SCTVTHH NGÀY'!$G$2,CT!D95,""))</f>
        <v/>
      </c>
      <c r="E100" s="69">
        <f>IF(OR(CT!D91='SCTVTHH NGÀY'!$G$2,CT!E91='SCTVTHH NGÀY'!$G$2),CT!G91,0)</f>
        <v>0</v>
      </c>
      <c r="F100" s="69">
        <f>IF(CT!D95='SCTVTHH NGÀY'!$G$2,CT!F95,0)</f>
        <v>0</v>
      </c>
      <c r="G100" s="69">
        <f>IF(CT!D95='SCTVTHH NGÀY'!$G$2,CT!H95,0)</f>
        <v>0</v>
      </c>
      <c r="H100" s="69">
        <f>IF(CT!E95='SCTVTHH NGÀY'!$G$2,CT!F95,0)</f>
        <v>0</v>
      </c>
      <c r="I100" s="69">
        <f>IF(CT!E95='SCTVTHH NGÀY'!$G$2,CT!H95,0)</f>
        <v>0</v>
      </c>
      <c r="J100" s="69">
        <f>IF(SUM(F100,H100)=0,0,$J$8+SUBTOTAL(9,$F$10:F100)-SUBTOTAL(9,$H$10:H100))</f>
        <v>0</v>
      </c>
      <c r="K100" s="69">
        <f>IF(SUM(G100,I100)=0,0,$K$8+SUBTOTAL(9,$G$10:G100)-SUBTOTAL(9,$I$10:I100))</f>
        <v>0</v>
      </c>
      <c r="L100" s="65" t="b">
        <f t="shared" si="1"/>
        <v>0</v>
      </c>
    </row>
    <row r="101" spans="1:12" hidden="1" x14ac:dyDescent="0.25">
      <c r="A101" s="84" t="str">
        <f>IF(OR(CT!D96='SCTVTHH NGÀY'!$G$2,CT!E96='SCTVTHH NGÀY'!$G$2),CT!A96,"")</f>
        <v/>
      </c>
      <c r="B101" s="65" t="str">
        <f>IF(OR(CT!E96='SCTVTHH NGÀY'!$G$2,CT!E96='SCTVTHH NGÀY'!$G$2),CT!B96,"")</f>
        <v/>
      </c>
      <c r="C101" s="65" t="str">
        <f>IF(OR(CT!F96='SCTVTHH NGÀY'!$G$2,CT!E96='SCTVTHH NGÀY'!$G$2),CT!C96,"")</f>
        <v/>
      </c>
      <c r="D101" s="65" t="str">
        <f>IF(CT!D96='SCTVTHH NGÀY'!$G$2,CT!E96,IF(CT!E96='SCTVTHH NGÀY'!$G$2,CT!D96,""))</f>
        <v/>
      </c>
      <c r="E101" s="69">
        <f>IF(OR(CT!D92='SCTVTHH NGÀY'!$G$2,CT!E92='SCTVTHH NGÀY'!$G$2),CT!G92,0)</f>
        <v>0</v>
      </c>
      <c r="F101" s="69">
        <f>IF(CT!D96='SCTVTHH NGÀY'!$G$2,CT!F96,0)</f>
        <v>0</v>
      </c>
      <c r="G101" s="69">
        <f>IF(CT!D96='SCTVTHH NGÀY'!$G$2,CT!H96,0)</f>
        <v>0</v>
      </c>
      <c r="H101" s="69">
        <f>IF(CT!E96='SCTVTHH NGÀY'!$G$2,CT!F96,0)</f>
        <v>0</v>
      </c>
      <c r="I101" s="69">
        <f>IF(CT!E96='SCTVTHH NGÀY'!$G$2,CT!H96,0)</f>
        <v>0</v>
      </c>
      <c r="J101" s="69">
        <f>IF(SUM(F101,H101)=0,0,$J$8+SUBTOTAL(9,$F$10:F101)-SUBTOTAL(9,$H$10:H101))</f>
        <v>0</v>
      </c>
      <c r="K101" s="69">
        <f>IF(SUM(G101,I101)=0,0,$K$8+SUBTOTAL(9,$G$10:G101)-SUBTOTAL(9,$I$10:I101))</f>
        <v>0</v>
      </c>
      <c r="L101" s="65" t="b">
        <f t="shared" si="1"/>
        <v>0</v>
      </c>
    </row>
    <row r="102" spans="1:12" hidden="1" x14ac:dyDescent="0.25">
      <c r="A102" s="84" t="str">
        <f>IF(OR(CT!D97='SCTVTHH NGÀY'!$G$2,CT!E97='SCTVTHH NGÀY'!$G$2),CT!A97,"")</f>
        <v/>
      </c>
      <c r="B102" s="65" t="str">
        <f>IF(OR(CT!E97='SCTVTHH NGÀY'!$G$2,CT!E97='SCTVTHH NGÀY'!$G$2),CT!B97,"")</f>
        <v/>
      </c>
      <c r="C102" s="65" t="str">
        <f>IF(OR(CT!F97='SCTVTHH NGÀY'!$G$2,CT!E97='SCTVTHH NGÀY'!$G$2),CT!C97,"")</f>
        <v/>
      </c>
      <c r="D102" s="65" t="str">
        <f>IF(CT!D97='SCTVTHH NGÀY'!$G$2,CT!E97,IF(CT!E97='SCTVTHH NGÀY'!$G$2,CT!D97,""))</f>
        <v/>
      </c>
      <c r="E102" s="69">
        <f>IF(OR(CT!D93='SCTVTHH NGÀY'!$G$2,CT!E93='SCTVTHH NGÀY'!$G$2),CT!G93,0)</f>
        <v>0</v>
      </c>
      <c r="F102" s="69">
        <f>IF(CT!D97='SCTVTHH NGÀY'!$G$2,CT!F97,0)</f>
        <v>0</v>
      </c>
      <c r="G102" s="69">
        <f>IF(CT!D97='SCTVTHH NGÀY'!$G$2,CT!H97,0)</f>
        <v>0</v>
      </c>
      <c r="H102" s="69">
        <f>IF(CT!E97='SCTVTHH NGÀY'!$G$2,CT!F97,0)</f>
        <v>0</v>
      </c>
      <c r="I102" s="69">
        <f>IF(CT!E97='SCTVTHH NGÀY'!$G$2,CT!H97,0)</f>
        <v>0</v>
      </c>
      <c r="J102" s="69">
        <f>IF(SUM(F102,H102)=0,0,$J$8+SUBTOTAL(9,$F$10:F102)-SUBTOTAL(9,$H$10:H102))</f>
        <v>0</v>
      </c>
      <c r="K102" s="69">
        <f>IF(SUM(G102,I102)=0,0,$K$8+SUBTOTAL(9,$G$10:G102)-SUBTOTAL(9,$I$10:I102))</f>
        <v>0</v>
      </c>
      <c r="L102" s="65" t="b">
        <f t="shared" si="1"/>
        <v>0</v>
      </c>
    </row>
    <row r="103" spans="1:12" hidden="1" x14ac:dyDescent="0.25">
      <c r="A103" s="84" t="str">
        <f>IF(OR(CT!D98='SCTVTHH NGÀY'!$G$2,CT!E98='SCTVTHH NGÀY'!$G$2),CT!A98,"")</f>
        <v/>
      </c>
      <c r="B103" s="65" t="str">
        <f>IF(OR(CT!E98='SCTVTHH NGÀY'!$G$2,CT!E98='SCTVTHH NGÀY'!$G$2),CT!B98,"")</f>
        <v/>
      </c>
      <c r="C103" s="65" t="str">
        <f>IF(OR(CT!F98='SCTVTHH NGÀY'!$G$2,CT!E98='SCTVTHH NGÀY'!$G$2),CT!C98,"")</f>
        <v/>
      </c>
      <c r="D103" s="65" t="str">
        <f>IF(CT!D98='SCTVTHH NGÀY'!$G$2,CT!E98,IF(CT!E98='SCTVTHH NGÀY'!$G$2,CT!D98,""))</f>
        <v/>
      </c>
      <c r="E103" s="69">
        <f>IF(OR(CT!D94='SCTVTHH NGÀY'!$G$2,CT!E94='SCTVTHH NGÀY'!$G$2),CT!G94,0)</f>
        <v>0</v>
      </c>
      <c r="F103" s="69">
        <f>IF(CT!D98='SCTVTHH NGÀY'!$G$2,CT!F98,0)</f>
        <v>0</v>
      </c>
      <c r="G103" s="69">
        <f>IF(CT!D98='SCTVTHH NGÀY'!$G$2,CT!H98,0)</f>
        <v>0</v>
      </c>
      <c r="H103" s="69">
        <f>IF(CT!E98='SCTVTHH NGÀY'!$G$2,CT!F98,0)</f>
        <v>0</v>
      </c>
      <c r="I103" s="69">
        <f>IF(CT!E98='SCTVTHH NGÀY'!$G$2,CT!H98,0)</f>
        <v>0</v>
      </c>
      <c r="J103" s="69">
        <f>IF(SUM(F103,H103)=0,0,$J$8+SUBTOTAL(9,$F$10:F103)-SUBTOTAL(9,$H$10:H103))</f>
        <v>0</v>
      </c>
      <c r="K103" s="69">
        <f>IF(SUM(G103,I103)=0,0,$K$8+SUBTOTAL(9,$G$10:G103)-SUBTOTAL(9,$I$10:I103))</f>
        <v>0</v>
      </c>
      <c r="L103" s="65" t="b">
        <f t="shared" si="1"/>
        <v>0</v>
      </c>
    </row>
    <row r="104" spans="1:12" hidden="1" x14ac:dyDescent="0.25">
      <c r="A104" s="84" t="str">
        <f>IF(OR(CT!D99='SCTVTHH NGÀY'!$G$2,CT!E99='SCTVTHH NGÀY'!$G$2),CT!A99,"")</f>
        <v/>
      </c>
      <c r="B104" s="65" t="str">
        <f>IF(OR(CT!E99='SCTVTHH NGÀY'!$G$2,CT!E99='SCTVTHH NGÀY'!$G$2),CT!B99,"")</f>
        <v/>
      </c>
      <c r="C104" s="65" t="str">
        <f>IF(OR(CT!F99='SCTVTHH NGÀY'!$G$2,CT!E99='SCTVTHH NGÀY'!$G$2),CT!C99,"")</f>
        <v/>
      </c>
      <c r="D104" s="65" t="str">
        <f>IF(CT!D99='SCTVTHH NGÀY'!$G$2,CT!E99,IF(CT!E99='SCTVTHH NGÀY'!$G$2,CT!D99,""))</f>
        <v/>
      </c>
      <c r="E104" s="69">
        <f>IF(OR(CT!D95='SCTVTHH NGÀY'!$G$2,CT!E95='SCTVTHH NGÀY'!$G$2),CT!G95,0)</f>
        <v>0</v>
      </c>
      <c r="F104" s="69">
        <f>IF(CT!D99='SCTVTHH NGÀY'!$G$2,CT!F99,0)</f>
        <v>0</v>
      </c>
      <c r="G104" s="69">
        <f>IF(CT!D99='SCTVTHH NGÀY'!$G$2,CT!H99,0)</f>
        <v>0</v>
      </c>
      <c r="H104" s="69">
        <f>IF(CT!E99='SCTVTHH NGÀY'!$G$2,CT!F99,0)</f>
        <v>0</v>
      </c>
      <c r="I104" s="69">
        <f>IF(CT!E99='SCTVTHH NGÀY'!$G$2,CT!H99,0)</f>
        <v>0</v>
      </c>
      <c r="J104" s="69">
        <f>IF(SUM(F104,H104)=0,0,$J$8+SUBTOTAL(9,$F$10:F104)-SUBTOTAL(9,$H$10:H104))</f>
        <v>0</v>
      </c>
      <c r="K104" s="69">
        <f>IF(SUM(G104,I104)=0,0,$K$8+SUBTOTAL(9,$G$10:G104)-SUBTOTAL(9,$I$10:I104))</f>
        <v>0</v>
      </c>
      <c r="L104" s="65" t="b">
        <f t="shared" si="1"/>
        <v>0</v>
      </c>
    </row>
    <row r="105" spans="1:12" hidden="1" x14ac:dyDescent="0.25">
      <c r="A105" s="84" t="str">
        <f>IF(OR(CT!D100='SCTVTHH NGÀY'!$G$2,CT!E100='SCTVTHH NGÀY'!$G$2),CT!A100,"")</f>
        <v/>
      </c>
      <c r="B105" s="65" t="str">
        <f>IF(OR(CT!E100='SCTVTHH NGÀY'!$G$2,CT!E100='SCTVTHH NGÀY'!$G$2),CT!B100,"")</f>
        <v/>
      </c>
      <c r="C105" s="65" t="str">
        <f>IF(OR(CT!F100='SCTVTHH NGÀY'!$G$2,CT!E100='SCTVTHH NGÀY'!$G$2),CT!C100,"")</f>
        <v/>
      </c>
      <c r="D105" s="65" t="str">
        <f>IF(CT!D100='SCTVTHH NGÀY'!$G$2,CT!E100,IF(CT!E100='SCTVTHH NGÀY'!$G$2,CT!D100,""))</f>
        <v/>
      </c>
      <c r="E105" s="69">
        <f>IF(OR(CT!D96='SCTVTHH NGÀY'!$G$2,CT!E96='SCTVTHH NGÀY'!$G$2),CT!G96,0)</f>
        <v>0</v>
      </c>
      <c r="F105" s="69">
        <f>IF(CT!D100='SCTVTHH NGÀY'!$G$2,CT!F100,0)</f>
        <v>0</v>
      </c>
      <c r="G105" s="69">
        <f>IF(CT!D100='SCTVTHH NGÀY'!$G$2,CT!H100,0)</f>
        <v>0</v>
      </c>
      <c r="H105" s="69">
        <f>IF(CT!E100='SCTVTHH NGÀY'!$G$2,CT!F100,0)</f>
        <v>0</v>
      </c>
      <c r="I105" s="69">
        <f>IF(CT!E100='SCTVTHH NGÀY'!$G$2,CT!H100,0)</f>
        <v>0</v>
      </c>
      <c r="J105" s="69">
        <f>IF(SUM(F105,H105)=0,0,$J$8+SUBTOTAL(9,$F$10:F105)-SUBTOTAL(9,$H$10:H105))</f>
        <v>0</v>
      </c>
      <c r="K105" s="69">
        <f>IF(SUM(G105,I105)=0,0,$K$8+SUBTOTAL(9,$G$10:G105)-SUBTOTAL(9,$I$10:I105))</f>
        <v>0</v>
      </c>
      <c r="L105" s="65" t="b">
        <f t="shared" si="1"/>
        <v>0</v>
      </c>
    </row>
    <row r="106" spans="1:12" hidden="1" x14ac:dyDescent="0.25">
      <c r="A106" s="84" t="str">
        <f>IF(OR(CT!D101='SCTVTHH NGÀY'!$G$2,CT!E101='SCTVTHH NGÀY'!$G$2),CT!A101,"")</f>
        <v/>
      </c>
      <c r="B106" s="65" t="str">
        <f>IF(OR(CT!E101='SCTVTHH NGÀY'!$G$2,CT!E101='SCTVTHH NGÀY'!$G$2),CT!B101,"")</f>
        <v/>
      </c>
      <c r="C106" s="65" t="str">
        <f>IF(OR(CT!F101='SCTVTHH NGÀY'!$G$2,CT!E101='SCTVTHH NGÀY'!$G$2),CT!C101,"")</f>
        <v/>
      </c>
      <c r="D106" s="65" t="str">
        <f>IF(CT!D101='SCTVTHH NGÀY'!$G$2,CT!E101,IF(CT!E101='SCTVTHH NGÀY'!$G$2,CT!D101,""))</f>
        <v/>
      </c>
      <c r="E106" s="69">
        <f>IF(OR(CT!D97='SCTVTHH NGÀY'!$G$2,CT!E97='SCTVTHH NGÀY'!$G$2),CT!G97,0)</f>
        <v>0</v>
      </c>
      <c r="F106" s="69">
        <f>IF(CT!D101='SCTVTHH NGÀY'!$G$2,CT!F101,0)</f>
        <v>0</v>
      </c>
      <c r="G106" s="69">
        <f>IF(CT!D101='SCTVTHH NGÀY'!$G$2,CT!H101,0)</f>
        <v>0</v>
      </c>
      <c r="H106" s="69">
        <f>IF(CT!E101='SCTVTHH NGÀY'!$G$2,CT!F101,0)</f>
        <v>0</v>
      </c>
      <c r="I106" s="69">
        <f>IF(CT!E101='SCTVTHH NGÀY'!$G$2,CT!H101,0)</f>
        <v>0</v>
      </c>
      <c r="J106" s="69">
        <f>IF(SUM(F106,H106)=0,0,$J$8+SUBTOTAL(9,$F$10:F106)-SUBTOTAL(9,$H$10:H106))</f>
        <v>0</v>
      </c>
      <c r="K106" s="69">
        <f>IF(SUM(G106,I106)=0,0,$K$8+SUBTOTAL(9,$G$10:G106)-SUBTOTAL(9,$I$10:I106))</f>
        <v>0</v>
      </c>
      <c r="L106" s="65" t="b">
        <f t="shared" si="1"/>
        <v>0</v>
      </c>
    </row>
    <row r="107" spans="1:12" hidden="1" x14ac:dyDescent="0.25">
      <c r="A107" s="84" t="str">
        <f>IF(OR(CT!D102='SCTVTHH NGÀY'!$G$2,CT!E102='SCTVTHH NGÀY'!$G$2),CT!A102,"")</f>
        <v/>
      </c>
      <c r="B107" s="65" t="str">
        <f>IF(OR(CT!E102='SCTVTHH NGÀY'!$G$2,CT!E102='SCTVTHH NGÀY'!$G$2),CT!B102,"")</f>
        <v/>
      </c>
      <c r="C107" s="65" t="str">
        <f>IF(OR(CT!F102='SCTVTHH NGÀY'!$G$2,CT!E102='SCTVTHH NGÀY'!$G$2),CT!C102,"")</f>
        <v/>
      </c>
      <c r="D107" s="65" t="str">
        <f>IF(CT!D102='SCTVTHH NGÀY'!$G$2,CT!E102,IF(CT!E102='SCTVTHH NGÀY'!$G$2,CT!D102,""))</f>
        <v/>
      </c>
      <c r="E107" s="69">
        <f>IF(OR(CT!D98='SCTVTHH NGÀY'!$G$2,CT!E98='SCTVTHH NGÀY'!$G$2),CT!G98,0)</f>
        <v>0</v>
      </c>
      <c r="F107" s="69">
        <f>IF(CT!D102='SCTVTHH NGÀY'!$G$2,CT!F102,0)</f>
        <v>0</v>
      </c>
      <c r="G107" s="69">
        <f>IF(CT!D102='SCTVTHH NGÀY'!$G$2,CT!H102,0)</f>
        <v>0</v>
      </c>
      <c r="H107" s="69">
        <f>IF(CT!E102='SCTVTHH NGÀY'!$G$2,CT!F102,0)</f>
        <v>0</v>
      </c>
      <c r="I107" s="69">
        <f>IF(CT!E102='SCTVTHH NGÀY'!$G$2,CT!H102,0)</f>
        <v>0</v>
      </c>
      <c r="J107" s="69">
        <f>IF(SUM(F107,H107)=0,0,$J$8+SUBTOTAL(9,$F$10:F107)-SUBTOTAL(9,$H$10:H107))</f>
        <v>0</v>
      </c>
      <c r="K107" s="69">
        <f>IF(SUM(G107,I107)=0,0,$K$8+SUBTOTAL(9,$G$10:G107)-SUBTOTAL(9,$I$10:I107))</f>
        <v>0</v>
      </c>
      <c r="L107" s="65" t="b">
        <f t="shared" si="1"/>
        <v>0</v>
      </c>
    </row>
    <row r="108" spans="1:12" hidden="1" x14ac:dyDescent="0.25">
      <c r="A108" s="84" t="str">
        <f>IF(OR(CT!D103='SCTVTHH NGÀY'!$G$2,CT!E103='SCTVTHH NGÀY'!$G$2),CT!A103,"")</f>
        <v/>
      </c>
      <c r="B108" s="65" t="str">
        <f>IF(OR(CT!E103='SCTVTHH NGÀY'!$G$2,CT!E103='SCTVTHH NGÀY'!$G$2),CT!B103,"")</f>
        <v/>
      </c>
      <c r="C108" s="65" t="str">
        <f>IF(OR(CT!F103='SCTVTHH NGÀY'!$G$2,CT!E103='SCTVTHH NGÀY'!$G$2),CT!C103,"")</f>
        <v/>
      </c>
      <c r="D108" s="65" t="str">
        <f>IF(CT!D103='SCTVTHH NGÀY'!$G$2,CT!E103,IF(CT!E103='SCTVTHH NGÀY'!$G$2,CT!D103,""))</f>
        <v/>
      </c>
      <c r="E108" s="69">
        <f>IF(OR(CT!D99='SCTVTHH NGÀY'!$G$2,CT!E99='SCTVTHH NGÀY'!$G$2),CT!G99,0)</f>
        <v>0</v>
      </c>
      <c r="F108" s="69">
        <f>IF(CT!D103='SCTVTHH NGÀY'!$G$2,CT!F103,0)</f>
        <v>0</v>
      </c>
      <c r="G108" s="69">
        <f>IF(CT!D103='SCTVTHH NGÀY'!$G$2,CT!H103,0)</f>
        <v>0</v>
      </c>
      <c r="H108" s="69">
        <f>IF(CT!E103='SCTVTHH NGÀY'!$G$2,CT!F103,0)</f>
        <v>0</v>
      </c>
      <c r="I108" s="69">
        <f>IF(CT!E103='SCTVTHH NGÀY'!$G$2,CT!H103,0)</f>
        <v>0</v>
      </c>
      <c r="J108" s="69">
        <f>IF(SUM(F108,H108)=0,0,$J$8+SUBTOTAL(9,$F$10:F108)-SUBTOTAL(9,$H$10:H108))</f>
        <v>0</v>
      </c>
      <c r="K108" s="69">
        <f>IF(SUM(G108,I108)=0,0,$K$8+SUBTOTAL(9,$G$10:G108)-SUBTOTAL(9,$I$10:I108))</f>
        <v>0</v>
      </c>
      <c r="L108" s="65" t="b">
        <f t="shared" si="1"/>
        <v>0</v>
      </c>
    </row>
    <row r="109" spans="1:12" hidden="1" x14ac:dyDescent="0.25">
      <c r="A109" s="84" t="str">
        <f>IF(OR(CT!D104='SCTVTHH NGÀY'!$G$2,CT!E104='SCTVTHH NGÀY'!$G$2),CT!A104,"")</f>
        <v/>
      </c>
      <c r="B109" s="65" t="str">
        <f>IF(OR(CT!E104='SCTVTHH NGÀY'!$G$2,CT!E104='SCTVTHH NGÀY'!$G$2),CT!B104,"")</f>
        <v/>
      </c>
      <c r="C109" s="65" t="str">
        <f>IF(OR(CT!F104='SCTVTHH NGÀY'!$G$2,CT!E104='SCTVTHH NGÀY'!$G$2),CT!C104,"")</f>
        <v/>
      </c>
      <c r="D109" s="65" t="str">
        <f>IF(CT!D104='SCTVTHH NGÀY'!$G$2,CT!E104,IF(CT!E104='SCTVTHH NGÀY'!$G$2,CT!D104,""))</f>
        <v/>
      </c>
      <c r="E109" s="69">
        <f>IF(OR(CT!D100='SCTVTHH NGÀY'!$G$2,CT!E100='SCTVTHH NGÀY'!$G$2),CT!G100,0)</f>
        <v>0</v>
      </c>
      <c r="F109" s="69">
        <f>IF(CT!D104='SCTVTHH NGÀY'!$G$2,CT!F104,0)</f>
        <v>0</v>
      </c>
      <c r="G109" s="69">
        <f>IF(CT!D104='SCTVTHH NGÀY'!$G$2,CT!H104,0)</f>
        <v>0</v>
      </c>
      <c r="H109" s="69">
        <f>IF(CT!E104='SCTVTHH NGÀY'!$G$2,CT!F104,0)</f>
        <v>0</v>
      </c>
      <c r="I109" s="69">
        <f>IF(CT!E104='SCTVTHH NGÀY'!$G$2,CT!H104,0)</f>
        <v>0</v>
      </c>
      <c r="J109" s="69">
        <f>IF(SUM(F109,H109)=0,0,$J$8+SUBTOTAL(9,$F$10:F109)-SUBTOTAL(9,$H$10:H109))</f>
        <v>0</v>
      </c>
      <c r="K109" s="69">
        <f>IF(SUM(G109,I109)=0,0,$K$8+SUBTOTAL(9,$G$10:G109)-SUBTOTAL(9,$I$10:I109))</f>
        <v>0</v>
      </c>
      <c r="L109" s="65" t="b">
        <f t="shared" si="1"/>
        <v>0</v>
      </c>
    </row>
    <row r="110" spans="1:12" hidden="1" x14ac:dyDescent="0.25">
      <c r="A110" s="84" t="str">
        <f>IF(OR(CT!D105='SCTVTHH NGÀY'!$G$2,CT!E105='SCTVTHH NGÀY'!$G$2),CT!A105,"")</f>
        <v/>
      </c>
      <c r="B110" s="65" t="str">
        <f>IF(OR(CT!E105='SCTVTHH NGÀY'!$G$2,CT!E105='SCTVTHH NGÀY'!$G$2),CT!B105,"")</f>
        <v/>
      </c>
      <c r="C110" s="65" t="str">
        <f>IF(OR(CT!F105='SCTVTHH NGÀY'!$G$2,CT!E105='SCTVTHH NGÀY'!$G$2),CT!C105,"")</f>
        <v/>
      </c>
      <c r="D110" s="65" t="str">
        <f>IF(CT!D105='SCTVTHH NGÀY'!$G$2,CT!E105,IF(CT!E105='SCTVTHH NGÀY'!$G$2,CT!D105,""))</f>
        <v/>
      </c>
      <c r="E110" s="69">
        <f>IF(OR(CT!D101='SCTVTHH NGÀY'!$G$2,CT!E101='SCTVTHH NGÀY'!$G$2),CT!G101,0)</f>
        <v>0</v>
      </c>
      <c r="F110" s="69">
        <f>IF(CT!D105='SCTVTHH NGÀY'!$G$2,CT!F105,0)</f>
        <v>0</v>
      </c>
      <c r="G110" s="69">
        <f>IF(CT!D105='SCTVTHH NGÀY'!$G$2,CT!H105,0)</f>
        <v>0</v>
      </c>
      <c r="H110" s="69">
        <f>IF(CT!E105='SCTVTHH NGÀY'!$G$2,CT!F105,0)</f>
        <v>0</v>
      </c>
      <c r="I110" s="69">
        <f>IF(CT!E105='SCTVTHH NGÀY'!$G$2,CT!H105,0)</f>
        <v>0</v>
      </c>
      <c r="J110" s="69">
        <f>IF(SUM(F110,H110)=0,0,$J$8+SUBTOTAL(9,$F$10:F110)-SUBTOTAL(9,$H$10:H110))</f>
        <v>0</v>
      </c>
      <c r="K110" s="69">
        <f>IF(SUM(G110,I110)=0,0,$K$8+SUBTOTAL(9,$G$10:G110)-SUBTOTAL(9,$I$10:I110))</f>
        <v>0</v>
      </c>
      <c r="L110" s="65" t="b">
        <f t="shared" si="1"/>
        <v>0</v>
      </c>
    </row>
    <row r="111" spans="1:12" hidden="1" x14ac:dyDescent="0.25">
      <c r="A111" s="84" t="str">
        <f>IF(OR(CT!D106='SCTVTHH NGÀY'!$G$2,CT!E106='SCTVTHH NGÀY'!$G$2),CT!A106,"")</f>
        <v/>
      </c>
      <c r="B111" s="65" t="str">
        <f>IF(OR(CT!E106='SCTVTHH NGÀY'!$G$2,CT!E106='SCTVTHH NGÀY'!$G$2),CT!B106,"")</f>
        <v/>
      </c>
      <c r="C111" s="65" t="str">
        <f>IF(OR(CT!F106='SCTVTHH NGÀY'!$G$2,CT!E106='SCTVTHH NGÀY'!$G$2),CT!C106,"")</f>
        <v/>
      </c>
      <c r="D111" s="65" t="str">
        <f>IF(CT!D106='SCTVTHH NGÀY'!$G$2,CT!E106,IF(CT!E106='SCTVTHH NGÀY'!$G$2,CT!D106,""))</f>
        <v/>
      </c>
      <c r="E111" s="69">
        <f>IF(OR(CT!D102='SCTVTHH NGÀY'!$G$2,CT!E102='SCTVTHH NGÀY'!$G$2),CT!G102,0)</f>
        <v>0</v>
      </c>
      <c r="F111" s="69">
        <f>IF(CT!D106='SCTVTHH NGÀY'!$G$2,CT!F106,0)</f>
        <v>0</v>
      </c>
      <c r="G111" s="69">
        <f>IF(CT!D106='SCTVTHH NGÀY'!$G$2,CT!H106,0)</f>
        <v>0</v>
      </c>
      <c r="H111" s="69">
        <f>IF(CT!E106='SCTVTHH NGÀY'!$G$2,CT!F106,0)</f>
        <v>0</v>
      </c>
      <c r="I111" s="69">
        <f>IF(CT!E106='SCTVTHH NGÀY'!$G$2,CT!H106,0)</f>
        <v>0</v>
      </c>
      <c r="J111" s="69">
        <f>IF(SUM(F111,H111)=0,0,$J$8+SUBTOTAL(9,$F$10:F111)-SUBTOTAL(9,$H$10:H111))</f>
        <v>0</v>
      </c>
      <c r="K111" s="69">
        <f>IF(SUM(G111,I111)=0,0,$K$8+SUBTOTAL(9,$G$10:G111)-SUBTOTAL(9,$I$10:I111))</f>
        <v>0</v>
      </c>
      <c r="L111" s="65" t="b">
        <f t="shared" si="1"/>
        <v>0</v>
      </c>
    </row>
    <row r="112" spans="1:12" hidden="1" x14ac:dyDescent="0.25">
      <c r="A112" s="84" t="str">
        <f>IF(OR(CT!D107='SCTVTHH NGÀY'!$G$2,CT!E107='SCTVTHH NGÀY'!$G$2),CT!A107,"")</f>
        <v/>
      </c>
      <c r="B112" s="65" t="str">
        <f>IF(OR(CT!E107='SCTVTHH NGÀY'!$G$2,CT!E107='SCTVTHH NGÀY'!$G$2),CT!B107,"")</f>
        <v/>
      </c>
      <c r="C112" s="65" t="str">
        <f>IF(OR(CT!F107='SCTVTHH NGÀY'!$G$2,CT!E107='SCTVTHH NGÀY'!$G$2),CT!C107,"")</f>
        <v/>
      </c>
      <c r="D112" s="65" t="str">
        <f>IF(CT!D107='SCTVTHH NGÀY'!$G$2,CT!E107,IF(CT!E107='SCTVTHH NGÀY'!$G$2,CT!D107,""))</f>
        <v/>
      </c>
      <c r="E112" s="69">
        <f>IF(OR(CT!D103='SCTVTHH NGÀY'!$G$2,CT!E103='SCTVTHH NGÀY'!$G$2),CT!G103,0)</f>
        <v>0</v>
      </c>
      <c r="F112" s="69">
        <f>IF(CT!D107='SCTVTHH NGÀY'!$G$2,CT!F107,0)</f>
        <v>0</v>
      </c>
      <c r="G112" s="69">
        <f>IF(CT!D107='SCTVTHH NGÀY'!$G$2,CT!H107,0)</f>
        <v>0</v>
      </c>
      <c r="H112" s="69">
        <f>IF(CT!E107='SCTVTHH NGÀY'!$G$2,CT!F107,0)</f>
        <v>0</v>
      </c>
      <c r="I112" s="69">
        <f>IF(CT!E107='SCTVTHH NGÀY'!$G$2,CT!H107,0)</f>
        <v>0</v>
      </c>
      <c r="J112" s="69">
        <f>IF(SUM(F112,H112)=0,0,$J$8+SUBTOTAL(9,$F$10:F112)-SUBTOTAL(9,$H$10:H112))</f>
        <v>0</v>
      </c>
      <c r="K112" s="69">
        <f>IF(SUM(G112,I112)=0,0,$K$8+SUBTOTAL(9,$G$10:G112)-SUBTOTAL(9,$I$10:I112))</f>
        <v>0</v>
      </c>
      <c r="L112" s="65" t="b">
        <f t="shared" si="1"/>
        <v>0</v>
      </c>
    </row>
    <row r="113" spans="1:12" hidden="1" x14ac:dyDescent="0.25">
      <c r="A113" s="84" t="str">
        <f>IF(OR(CT!D108='SCTVTHH NGÀY'!$G$2,CT!E108='SCTVTHH NGÀY'!$G$2),CT!A108,"")</f>
        <v/>
      </c>
      <c r="B113" s="65" t="str">
        <f>IF(OR(CT!E108='SCTVTHH NGÀY'!$G$2,CT!E108='SCTVTHH NGÀY'!$G$2),CT!B108,"")</f>
        <v/>
      </c>
      <c r="C113" s="65" t="str">
        <f>IF(OR(CT!F108='SCTVTHH NGÀY'!$G$2,CT!E108='SCTVTHH NGÀY'!$G$2),CT!C108,"")</f>
        <v/>
      </c>
      <c r="D113" s="65" t="str">
        <f>IF(CT!D108='SCTVTHH NGÀY'!$G$2,CT!E108,IF(CT!E108='SCTVTHH NGÀY'!$G$2,CT!D108,""))</f>
        <v/>
      </c>
      <c r="E113" s="69">
        <f>IF(OR(CT!D104='SCTVTHH NGÀY'!$G$2,CT!E104='SCTVTHH NGÀY'!$G$2),CT!G104,0)</f>
        <v>0</v>
      </c>
      <c r="F113" s="69">
        <f>IF(CT!D108='SCTVTHH NGÀY'!$G$2,CT!F108,0)</f>
        <v>0</v>
      </c>
      <c r="G113" s="69">
        <f>IF(CT!D108='SCTVTHH NGÀY'!$G$2,CT!H108,0)</f>
        <v>0</v>
      </c>
      <c r="H113" s="69">
        <f>IF(CT!E108='SCTVTHH NGÀY'!$G$2,CT!F108,0)</f>
        <v>0</v>
      </c>
      <c r="I113" s="69">
        <f>IF(CT!E108='SCTVTHH NGÀY'!$G$2,CT!H108,0)</f>
        <v>0</v>
      </c>
      <c r="J113" s="69">
        <f>IF(SUM(F113,H113)=0,0,$J$8+SUBTOTAL(9,$F$10:F113)-SUBTOTAL(9,$H$10:H113))</f>
        <v>0</v>
      </c>
      <c r="K113" s="69">
        <f>IF(SUM(G113,I113)=0,0,$K$8+SUBTOTAL(9,$G$10:G113)-SUBTOTAL(9,$I$10:I113))</f>
        <v>0</v>
      </c>
      <c r="L113" s="65" t="b">
        <f t="shared" si="1"/>
        <v>0</v>
      </c>
    </row>
    <row r="114" spans="1:12" hidden="1" x14ac:dyDescent="0.25">
      <c r="A114" s="84" t="str">
        <f>IF(OR(CT!D109='SCTVTHH NGÀY'!$G$2,CT!E109='SCTVTHH NGÀY'!$G$2),CT!A109,"")</f>
        <v/>
      </c>
      <c r="B114" s="65" t="str">
        <f>IF(OR(CT!E109='SCTVTHH NGÀY'!$G$2,CT!E109='SCTVTHH NGÀY'!$G$2),CT!B109,"")</f>
        <v/>
      </c>
      <c r="C114" s="65" t="str">
        <f>IF(OR(CT!F109='SCTVTHH NGÀY'!$G$2,CT!E109='SCTVTHH NGÀY'!$G$2),CT!C109,"")</f>
        <v/>
      </c>
      <c r="D114" s="65" t="str">
        <f>IF(CT!D109='SCTVTHH NGÀY'!$G$2,CT!E109,IF(CT!E109='SCTVTHH NGÀY'!$G$2,CT!D109,""))</f>
        <v/>
      </c>
      <c r="E114" s="69">
        <f>IF(OR(CT!D105='SCTVTHH NGÀY'!$G$2,CT!E105='SCTVTHH NGÀY'!$G$2),CT!G105,0)</f>
        <v>0</v>
      </c>
      <c r="F114" s="69">
        <f>IF(CT!D109='SCTVTHH NGÀY'!$G$2,CT!F109,0)</f>
        <v>0</v>
      </c>
      <c r="G114" s="69">
        <f>IF(CT!D109='SCTVTHH NGÀY'!$G$2,CT!H109,0)</f>
        <v>0</v>
      </c>
      <c r="H114" s="69">
        <f>IF(CT!E109='SCTVTHH NGÀY'!$G$2,CT!F109,0)</f>
        <v>0</v>
      </c>
      <c r="I114" s="69">
        <f>IF(CT!E109='SCTVTHH NGÀY'!$G$2,CT!H109,0)</f>
        <v>0</v>
      </c>
      <c r="J114" s="69">
        <f>IF(SUM(F114,H114)=0,0,$J$8+SUBTOTAL(9,$F$10:F114)-SUBTOTAL(9,$H$10:H114))</f>
        <v>0</v>
      </c>
      <c r="K114" s="69">
        <f>IF(SUM(G114,I114)=0,0,$K$8+SUBTOTAL(9,$G$10:G114)-SUBTOTAL(9,$I$10:I114))</f>
        <v>0</v>
      </c>
      <c r="L114" s="65" t="b">
        <f t="shared" si="1"/>
        <v>0</v>
      </c>
    </row>
    <row r="115" spans="1:12" hidden="1" x14ac:dyDescent="0.25">
      <c r="A115" s="84" t="str">
        <f>IF(OR(CT!D110='SCTVTHH NGÀY'!$G$2,CT!E110='SCTVTHH NGÀY'!$G$2),CT!A110,"")</f>
        <v/>
      </c>
      <c r="B115" s="65" t="str">
        <f>IF(OR(CT!E110='SCTVTHH NGÀY'!$G$2,CT!E110='SCTVTHH NGÀY'!$G$2),CT!B110,"")</f>
        <v/>
      </c>
      <c r="C115" s="65" t="str">
        <f>IF(OR(CT!F110='SCTVTHH NGÀY'!$G$2,CT!E110='SCTVTHH NGÀY'!$G$2),CT!C110,"")</f>
        <v/>
      </c>
      <c r="D115" s="65" t="str">
        <f>IF(CT!D110='SCTVTHH NGÀY'!$G$2,CT!E110,IF(CT!E110='SCTVTHH NGÀY'!$G$2,CT!D110,""))</f>
        <v/>
      </c>
      <c r="E115" s="69">
        <f>IF(OR(CT!D106='SCTVTHH NGÀY'!$G$2,CT!E106='SCTVTHH NGÀY'!$G$2),CT!G106,0)</f>
        <v>0</v>
      </c>
      <c r="F115" s="69">
        <f>IF(CT!D110='SCTVTHH NGÀY'!$G$2,CT!F110,0)</f>
        <v>0</v>
      </c>
      <c r="G115" s="69">
        <f>IF(CT!D110='SCTVTHH NGÀY'!$G$2,CT!H110,0)</f>
        <v>0</v>
      </c>
      <c r="H115" s="69">
        <f>IF(CT!E110='SCTVTHH NGÀY'!$G$2,CT!F110,0)</f>
        <v>0</v>
      </c>
      <c r="I115" s="69">
        <f>IF(CT!E110='SCTVTHH NGÀY'!$G$2,CT!H110,0)</f>
        <v>0</v>
      </c>
      <c r="J115" s="69">
        <f>IF(SUM(F115,H115)=0,0,$J$8+SUBTOTAL(9,$F$10:F115)-SUBTOTAL(9,$H$10:H115))</f>
        <v>0</v>
      </c>
      <c r="K115" s="69">
        <f>IF(SUM(G115,I115)=0,0,$K$8+SUBTOTAL(9,$G$10:G115)-SUBTOTAL(9,$I$10:I115))</f>
        <v>0</v>
      </c>
      <c r="L115" s="65" t="b">
        <f t="shared" si="1"/>
        <v>0</v>
      </c>
    </row>
    <row r="116" spans="1:12" hidden="1" x14ac:dyDescent="0.25">
      <c r="A116" s="84" t="str">
        <f>IF(OR(CT!D111='SCTVTHH NGÀY'!$G$2,CT!E111='SCTVTHH NGÀY'!$G$2),CT!A111,"")</f>
        <v/>
      </c>
      <c r="B116" s="65" t="str">
        <f>IF(OR(CT!E111='SCTVTHH NGÀY'!$G$2,CT!E111='SCTVTHH NGÀY'!$G$2),CT!B111,"")</f>
        <v/>
      </c>
      <c r="C116" s="65" t="str">
        <f>IF(OR(CT!F111='SCTVTHH NGÀY'!$G$2,CT!E111='SCTVTHH NGÀY'!$G$2),CT!C111,"")</f>
        <v/>
      </c>
      <c r="D116" s="65" t="str">
        <f>IF(CT!D111='SCTVTHH NGÀY'!$G$2,CT!E111,IF(CT!E111='SCTVTHH NGÀY'!$G$2,CT!D111,""))</f>
        <v/>
      </c>
      <c r="E116" s="69">
        <f>IF(OR(CT!D107='SCTVTHH NGÀY'!$G$2,CT!E107='SCTVTHH NGÀY'!$G$2),CT!G107,0)</f>
        <v>0</v>
      </c>
      <c r="F116" s="69">
        <f>IF(CT!D111='SCTVTHH NGÀY'!$G$2,CT!F111,0)</f>
        <v>0</v>
      </c>
      <c r="G116" s="69">
        <f>IF(CT!D111='SCTVTHH NGÀY'!$G$2,CT!H111,0)</f>
        <v>0</v>
      </c>
      <c r="H116" s="69">
        <f>IF(CT!E111='SCTVTHH NGÀY'!$G$2,CT!F111,0)</f>
        <v>0</v>
      </c>
      <c r="I116" s="69">
        <f>IF(CT!E111='SCTVTHH NGÀY'!$G$2,CT!H111,0)</f>
        <v>0</v>
      </c>
      <c r="J116" s="69">
        <f>IF(SUM(F116,H116)=0,0,$J$8+SUBTOTAL(9,$F$10:F116)-SUBTOTAL(9,$H$10:H116))</f>
        <v>0</v>
      </c>
      <c r="K116" s="69">
        <f>IF(SUM(G116,I116)=0,0,$K$8+SUBTOTAL(9,$G$10:G116)-SUBTOTAL(9,$I$10:I116))</f>
        <v>0</v>
      </c>
      <c r="L116" s="65" t="b">
        <f t="shared" si="1"/>
        <v>0</v>
      </c>
    </row>
    <row r="117" spans="1:12" hidden="1" x14ac:dyDescent="0.25">
      <c r="A117" s="84" t="str">
        <f>IF(OR(CT!D112='SCTVTHH NGÀY'!$G$2,CT!E112='SCTVTHH NGÀY'!$G$2),CT!A112,"")</f>
        <v/>
      </c>
      <c r="B117" s="65" t="str">
        <f>IF(OR(CT!E112='SCTVTHH NGÀY'!$G$2,CT!E112='SCTVTHH NGÀY'!$G$2),CT!B112,"")</f>
        <v/>
      </c>
      <c r="C117" s="65" t="str">
        <f>IF(OR(CT!F112='SCTVTHH NGÀY'!$G$2,CT!E112='SCTVTHH NGÀY'!$G$2),CT!C112,"")</f>
        <v/>
      </c>
      <c r="D117" s="65" t="str">
        <f>IF(CT!D112='SCTVTHH NGÀY'!$G$2,CT!E112,IF(CT!E112='SCTVTHH NGÀY'!$G$2,CT!D112,""))</f>
        <v/>
      </c>
      <c r="E117" s="69">
        <f>IF(OR(CT!D108='SCTVTHH NGÀY'!$G$2,CT!E108='SCTVTHH NGÀY'!$G$2),CT!G108,0)</f>
        <v>0</v>
      </c>
      <c r="F117" s="69">
        <f>IF(CT!D112='SCTVTHH NGÀY'!$G$2,CT!F112,0)</f>
        <v>0</v>
      </c>
      <c r="G117" s="69">
        <f>IF(CT!D112='SCTVTHH NGÀY'!$G$2,CT!H112,0)</f>
        <v>0</v>
      </c>
      <c r="H117" s="69">
        <f>IF(CT!E112='SCTVTHH NGÀY'!$G$2,CT!F112,0)</f>
        <v>0</v>
      </c>
      <c r="I117" s="69">
        <f>IF(CT!E112='SCTVTHH NGÀY'!$G$2,CT!H112,0)</f>
        <v>0</v>
      </c>
      <c r="J117" s="69">
        <f>IF(SUM(F117,H117)=0,0,$J$8+SUBTOTAL(9,$F$10:F117)-SUBTOTAL(9,$H$10:H117))</f>
        <v>0</v>
      </c>
      <c r="K117" s="69">
        <f>IF(SUM(G117,I117)=0,0,$K$8+SUBTOTAL(9,$G$10:G117)-SUBTOTAL(9,$I$10:I117))</f>
        <v>0</v>
      </c>
      <c r="L117" s="65" t="b">
        <f t="shared" si="1"/>
        <v>0</v>
      </c>
    </row>
    <row r="118" spans="1:12" hidden="1" x14ac:dyDescent="0.25">
      <c r="A118" s="84" t="str">
        <f>IF(OR(CT!D113='SCTVTHH NGÀY'!$G$2,CT!E113='SCTVTHH NGÀY'!$G$2),CT!A113,"")</f>
        <v/>
      </c>
      <c r="B118" s="65" t="str">
        <f>IF(OR(CT!E113='SCTVTHH NGÀY'!$G$2,CT!E113='SCTVTHH NGÀY'!$G$2),CT!B113,"")</f>
        <v/>
      </c>
      <c r="C118" s="65" t="str">
        <f>IF(OR(CT!F113='SCTVTHH NGÀY'!$G$2,CT!E113='SCTVTHH NGÀY'!$G$2),CT!C113,"")</f>
        <v/>
      </c>
      <c r="D118" s="65" t="str">
        <f>IF(CT!D113='SCTVTHH NGÀY'!$G$2,CT!E113,IF(CT!E113='SCTVTHH NGÀY'!$G$2,CT!D113,""))</f>
        <v/>
      </c>
      <c r="E118" s="69">
        <f>IF(OR(CT!D109='SCTVTHH NGÀY'!$G$2,CT!E109='SCTVTHH NGÀY'!$G$2),CT!G109,0)</f>
        <v>0</v>
      </c>
      <c r="F118" s="69">
        <f>IF(CT!D113='SCTVTHH NGÀY'!$G$2,CT!F113,0)</f>
        <v>0</v>
      </c>
      <c r="G118" s="69">
        <f>IF(CT!D113='SCTVTHH NGÀY'!$G$2,CT!H113,0)</f>
        <v>0</v>
      </c>
      <c r="H118" s="69">
        <f>IF(CT!E113='SCTVTHH NGÀY'!$G$2,CT!F113,0)</f>
        <v>0</v>
      </c>
      <c r="I118" s="69">
        <f>IF(CT!E113='SCTVTHH NGÀY'!$G$2,CT!H113,0)</f>
        <v>0</v>
      </c>
      <c r="J118" s="69">
        <f>IF(SUM(F118,H118)=0,0,$J$8+SUBTOTAL(9,$F$10:F118)-SUBTOTAL(9,$H$10:H118))</f>
        <v>0</v>
      </c>
      <c r="K118" s="69">
        <f>IF(SUM(G118,I118)=0,0,$K$8+SUBTOTAL(9,$G$10:G118)-SUBTOTAL(9,$I$10:I118))</f>
        <v>0</v>
      </c>
      <c r="L118" s="65" t="b">
        <f t="shared" si="1"/>
        <v>0</v>
      </c>
    </row>
    <row r="119" spans="1:12" hidden="1" x14ac:dyDescent="0.25">
      <c r="A119" s="84" t="str">
        <f>IF(OR(CT!D114='SCTVTHH NGÀY'!$G$2,CT!E114='SCTVTHH NGÀY'!$G$2),CT!A114,"")</f>
        <v/>
      </c>
      <c r="B119" s="65" t="str">
        <f>IF(OR(CT!E114='SCTVTHH NGÀY'!$G$2,CT!E114='SCTVTHH NGÀY'!$G$2),CT!B114,"")</f>
        <v/>
      </c>
      <c r="C119" s="65" t="str">
        <f>IF(OR(CT!F114='SCTVTHH NGÀY'!$G$2,CT!E114='SCTVTHH NGÀY'!$G$2),CT!C114,"")</f>
        <v/>
      </c>
      <c r="D119" s="65" t="str">
        <f>IF(CT!D114='SCTVTHH NGÀY'!$G$2,CT!E114,IF(CT!E114='SCTVTHH NGÀY'!$G$2,CT!D114,""))</f>
        <v/>
      </c>
      <c r="E119" s="69">
        <f>IF(OR(CT!D110='SCTVTHH NGÀY'!$G$2,CT!E110='SCTVTHH NGÀY'!$G$2),CT!G110,0)</f>
        <v>0</v>
      </c>
      <c r="F119" s="69">
        <f>IF(CT!D114='SCTVTHH NGÀY'!$G$2,CT!F114,0)</f>
        <v>0</v>
      </c>
      <c r="G119" s="69">
        <f>IF(CT!D114='SCTVTHH NGÀY'!$G$2,CT!H114,0)</f>
        <v>0</v>
      </c>
      <c r="H119" s="69">
        <f>IF(CT!E114='SCTVTHH NGÀY'!$G$2,CT!F114,0)</f>
        <v>0</v>
      </c>
      <c r="I119" s="69">
        <f>IF(CT!E114='SCTVTHH NGÀY'!$G$2,CT!H114,0)</f>
        <v>0</v>
      </c>
      <c r="J119" s="69">
        <f>IF(SUM(F119,H119)=0,0,$J$8+SUBTOTAL(9,$F$10:F119)-SUBTOTAL(9,$H$10:H119))</f>
        <v>0</v>
      </c>
      <c r="K119" s="69">
        <f>IF(SUM(G119,I119)=0,0,$K$8+SUBTOTAL(9,$G$10:G119)-SUBTOTAL(9,$I$10:I119))</f>
        <v>0</v>
      </c>
      <c r="L119" s="65" t="b">
        <f t="shared" si="1"/>
        <v>0</v>
      </c>
    </row>
    <row r="120" spans="1:12" hidden="1" x14ac:dyDescent="0.25">
      <c r="A120" s="84" t="str">
        <f>IF(OR(CT!D115='SCTVTHH NGÀY'!$G$2,CT!E115='SCTVTHH NGÀY'!$G$2),CT!A115,"")</f>
        <v/>
      </c>
      <c r="B120" s="65" t="str">
        <f>IF(OR(CT!E115='SCTVTHH NGÀY'!$G$2,CT!E115='SCTVTHH NGÀY'!$G$2),CT!B115,"")</f>
        <v/>
      </c>
      <c r="C120" s="65" t="str">
        <f>IF(OR(CT!F115='SCTVTHH NGÀY'!$G$2,CT!E115='SCTVTHH NGÀY'!$G$2),CT!C115,"")</f>
        <v/>
      </c>
      <c r="D120" s="65" t="str">
        <f>IF(CT!D115='SCTVTHH NGÀY'!$G$2,CT!E115,IF(CT!E115='SCTVTHH NGÀY'!$G$2,CT!D115,""))</f>
        <v/>
      </c>
      <c r="E120" s="69">
        <f>IF(OR(CT!D111='SCTVTHH NGÀY'!$G$2,CT!E111='SCTVTHH NGÀY'!$G$2),CT!G111,0)</f>
        <v>0</v>
      </c>
      <c r="F120" s="69">
        <f>IF(CT!D115='SCTVTHH NGÀY'!$G$2,CT!F115,0)</f>
        <v>0</v>
      </c>
      <c r="G120" s="69">
        <f>IF(CT!D115='SCTVTHH NGÀY'!$G$2,CT!H115,0)</f>
        <v>0</v>
      </c>
      <c r="H120" s="69">
        <f>IF(CT!E115='SCTVTHH NGÀY'!$G$2,CT!F115,0)</f>
        <v>0</v>
      </c>
      <c r="I120" s="69">
        <f>IF(CT!E115='SCTVTHH NGÀY'!$G$2,CT!H115,0)</f>
        <v>0</v>
      </c>
      <c r="J120" s="69">
        <f>IF(SUM(F120,H120)=0,0,$J$8+SUBTOTAL(9,$F$10:F120)-SUBTOTAL(9,$H$10:H120))</f>
        <v>0</v>
      </c>
      <c r="K120" s="69">
        <f>IF(SUM(G120,I120)=0,0,$K$8+SUBTOTAL(9,$G$10:G120)-SUBTOTAL(9,$I$10:I120))</f>
        <v>0</v>
      </c>
      <c r="L120" s="65" t="b">
        <f t="shared" si="1"/>
        <v>0</v>
      </c>
    </row>
    <row r="121" spans="1:12" hidden="1" x14ac:dyDescent="0.25">
      <c r="A121" s="84" t="str">
        <f>IF(OR(CT!D116='SCTVTHH NGÀY'!$G$2,CT!E116='SCTVTHH NGÀY'!$G$2),CT!A116,"")</f>
        <v/>
      </c>
      <c r="B121" s="65" t="str">
        <f>IF(OR(CT!E116='SCTVTHH NGÀY'!$G$2,CT!E116='SCTVTHH NGÀY'!$G$2),CT!B116,"")</f>
        <v/>
      </c>
      <c r="C121" s="65" t="str">
        <f>IF(OR(CT!F116='SCTVTHH NGÀY'!$G$2,CT!E116='SCTVTHH NGÀY'!$G$2),CT!C116,"")</f>
        <v/>
      </c>
      <c r="D121" s="65" t="str">
        <f>IF(CT!D116='SCTVTHH NGÀY'!$G$2,CT!E116,IF(CT!E116='SCTVTHH NGÀY'!$G$2,CT!D116,""))</f>
        <v/>
      </c>
      <c r="E121" s="69">
        <f>IF(OR(CT!D112='SCTVTHH NGÀY'!$G$2,CT!E112='SCTVTHH NGÀY'!$G$2),CT!G112,0)</f>
        <v>0</v>
      </c>
      <c r="F121" s="69">
        <f>IF(CT!D116='SCTVTHH NGÀY'!$G$2,CT!F116,0)</f>
        <v>0</v>
      </c>
      <c r="G121" s="69">
        <f>IF(CT!D116='SCTVTHH NGÀY'!$G$2,CT!H116,0)</f>
        <v>0</v>
      </c>
      <c r="H121" s="69">
        <f>IF(CT!E116='SCTVTHH NGÀY'!$G$2,CT!F116,0)</f>
        <v>0</v>
      </c>
      <c r="I121" s="69">
        <f>IF(CT!E116='SCTVTHH NGÀY'!$G$2,CT!H116,0)</f>
        <v>0</v>
      </c>
      <c r="J121" s="69">
        <f>IF(SUM(F121,H121)=0,0,$J$8+SUBTOTAL(9,$F$10:F121)-SUBTOTAL(9,$H$10:H121))</f>
        <v>0</v>
      </c>
      <c r="K121" s="69">
        <f>IF(SUM(G121,I121)=0,0,$K$8+SUBTOTAL(9,$G$10:G121)-SUBTOTAL(9,$I$10:I121))</f>
        <v>0</v>
      </c>
      <c r="L121" s="65" t="b">
        <f t="shared" si="1"/>
        <v>0</v>
      </c>
    </row>
    <row r="122" spans="1:12" hidden="1" x14ac:dyDescent="0.25">
      <c r="A122" s="84" t="str">
        <f>IF(OR(CT!D117='SCTVTHH NGÀY'!$G$2,CT!E117='SCTVTHH NGÀY'!$G$2),CT!A117,"")</f>
        <v/>
      </c>
      <c r="B122" s="65" t="str">
        <f>IF(OR(CT!E117='SCTVTHH NGÀY'!$G$2,CT!E117='SCTVTHH NGÀY'!$G$2),CT!B117,"")</f>
        <v/>
      </c>
      <c r="C122" s="65" t="str">
        <f>IF(OR(CT!F117='SCTVTHH NGÀY'!$G$2,CT!E117='SCTVTHH NGÀY'!$G$2),CT!C117,"")</f>
        <v/>
      </c>
      <c r="D122" s="65" t="str">
        <f>IF(CT!D117='SCTVTHH NGÀY'!$G$2,CT!E117,IF(CT!E117='SCTVTHH NGÀY'!$G$2,CT!D117,""))</f>
        <v/>
      </c>
      <c r="E122" s="69">
        <f>IF(OR(CT!D113='SCTVTHH NGÀY'!$G$2,CT!E113='SCTVTHH NGÀY'!$G$2),CT!G113,0)</f>
        <v>0</v>
      </c>
      <c r="F122" s="69">
        <f>IF(CT!D117='SCTVTHH NGÀY'!$G$2,CT!F117,0)</f>
        <v>0</v>
      </c>
      <c r="G122" s="69">
        <f>IF(CT!D117='SCTVTHH NGÀY'!$G$2,CT!H117,0)</f>
        <v>0</v>
      </c>
      <c r="H122" s="69">
        <f>IF(CT!E117='SCTVTHH NGÀY'!$G$2,CT!F117,0)</f>
        <v>0</v>
      </c>
      <c r="I122" s="69">
        <f>IF(CT!E117='SCTVTHH NGÀY'!$G$2,CT!H117,0)</f>
        <v>0</v>
      </c>
      <c r="J122" s="69">
        <f>IF(SUM(F122,H122)=0,0,$J$8+SUBTOTAL(9,$F$10:F122)-SUBTOTAL(9,$H$10:H122))</f>
        <v>0</v>
      </c>
      <c r="K122" s="69">
        <f>IF(SUM(G122,I122)=0,0,$K$8+SUBTOTAL(9,$G$10:G122)-SUBTOTAL(9,$I$10:I122))</f>
        <v>0</v>
      </c>
      <c r="L122" s="65" t="b">
        <f t="shared" si="1"/>
        <v>0</v>
      </c>
    </row>
    <row r="123" spans="1:12" hidden="1" x14ac:dyDescent="0.25">
      <c r="A123" s="84" t="str">
        <f>IF(OR(CT!D118='SCTVTHH NGÀY'!$G$2,CT!E118='SCTVTHH NGÀY'!$G$2),CT!A118,"")</f>
        <v/>
      </c>
      <c r="B123" s="65" t="str">
        <f>IF(OR(CT!E118='SCTVTHH NGÀY'!$G$2,CT!E118='SCTVTHH NGÀY'!$G$2),CT!B118,"")</f>
        <v/>
      </c>
      <c r="C123" s="65" t="str">
        <f>IF(OR(CT!F118='SCTVTHH NGÀY'!$G$2,CT!E118='SCTVTHH NGÀY'!$G$2),CT!C118,"")</f>
        <v/>
      </c>
      <c r="D123" s="65" t="str">
        <f>IF(CT!D118='SCTVTHH NGÀY'!$G$2,CT!E118,IF(CT!E118='SCTVTHH NGÀY'!$G$2,CT!D118,""))</f>
        <v/>
      </c>
      <c r="E123" s="69">
        <f>IF(OR(CT!D114='SCTVTHH NGÀY'!$G$2,CT!E114='SCTVTHH NGÀY'!$G$2),CT!G114,0)</f>
        <v>0</v>
      </c>
      <c r="F123" s="69">
        <f>IF(CT!D118='SCTVTHH NGÀY'!$G$2,CT!F118,0)</f>
        <v>0</v>
      </c>
      <c r="G123" s="69">
        <f>IF(CT!D118='SCTVTHH NGÀY'!$G$2,CT!H118,0)</f>
        <v>0</v>
      </c>
      <c r="H123" s="69">
        <f>IF(CT!E118='SCTVTHH NGÀY'!$G$2,CT!F118,0)</f>
        <v>0</v>
      </c>
      <c r="I123" s="69">
        <f>IF(CT!E118='SCTVTHH NGÀY'!$G$2,CT!H118,0)</f>
        <v>0</v>
      </c>
      <c r="J123" s="69">
        <f>IF(SUM(F123,H123)=0,0,$J$8+SUBTOTAL(9,$F$10:F123)-SUBTOTAL(9,$H$10:H123))</f>
        <v>0</v>
      </c>
      <c r="K123" s="69">
        <f>IF(SUM(G123,I123)=0,0,$K$8+SUBTOTAL(9,$G$10:G123)-SUBTOTAL(9,$I$10:I123))</f>
        <v>0</v>
      </c>
      <c r="L123" s="65" t="b">
        <f t="shared" si="1"/>
        <v>0</v>
      </c>
    </row>
    <row r="124" spans="1:12" hidden="1" x14ac:dyDescent="0.25">
      <c r="A124" s="84" t="str">
        <f>IF(OR(CT!D119='SCTVTHH NGÀY'!$G$2,CT!E119='SCTVTHH NGÀY'!$G$2),CT!A119,"")</f>
        <v/>
      </c>
      <c r="B124" s="65" t="str">
        <f>IF(OR(CT!E119='SCTVTHH NGÀY'!$G$2,CT!E119='SCTVTHH NGÀY'!$G$2),CT!B119,"")</f>
        <v/>
      </c>
      <c r="C124" s="65" t="str">
        <f>IF(OR(CT!F119='SCTVTHH NGÀY'!$G$2,CT!E119='SCTVTHH NGÀY'!$G$2),CT!C119,"")</f>
        <v/>
      </c>
      <c r="D124" s="65" t="str">
        <f>IF(CT!D119='SCTVTHH NGÀY'!$G$2,CT!E119,IF(CT!E119='SCTVTHH NGÀY'!$G$2,CT!D119,""))</f>
        <v/>
      </c>
      <c r="E124" s="69">
        <f>IF(OR(CT!D115='SCTVTHH NGÀY'!$G$2,CT!E115='SCTVTHH NGÀY'!$G$2),CT!G115,0)</f>
        <v>0</v>
      </c>
      <c r="F124" s="69">
        <f>IF(CT!D119='SCTVTHH NGÀY'!$G$2,CT!F119,0)</f>
        <v>0</v>
      </c>
      <c r="G124" s="69">
        <f>IF(CT!D119='SCTVTHH NGÀY'!$G$2,CT!H119,0)</f>
        <v>0</v>
      </c>
      <c r="H124" s="69">
        <f>IF(CT!E119='SCTVTHH NGÀY'!$G$2,CT!F119,0)</f>
        <v>0</v>
      </c>
      <c r="I124" s="69">
        <f>IF(CT!E119='SCTVTHH NGÀY'!$G$2,CT!H119,0)</f>
        <v>0</v>
      </c>
      <c r="J124" s="69">
        <f>IF(SUM(F124,H124)=0,0,$J$8+SUBTOTAL(9,$F$10:F124)-SUBTOTAL(9,$H$10:H124))</f>
        <v>0</v>
      </c>
      <c r="K124" s="69">
        <f>IF(SUM(G124,I124)=0,0,$K$8+SUBTOTAL(9,$G$10:G124)-SUBTOTAL(9,$I$10:I124))</f>
        <v>0</v>
      </c>
      <c r="L124" s="65" t="b">
        <f t="shared" si="1"/>
        <v>0</v>
      </c>
    </row>
    <row r="125" spans="1:12" hidden="1" x14ac:dyDescent="0.25">
      <c r="A125" s="84" t="str">
        <f>IF(OR(CT!D120='SCTVTHH NGÀY'!$G$2,CT!E120='SCTVTHH NGÀY'!$G$2),CT!A120,"")</f>
        <v/>
      </c>
      <c r="B125" s="65" t="str">
        <f>IF(OR(CT!E120='SCTVTHH NGÀY'!$G$2,CT!E120='SCTVTHH NGÀY'!$G$2),CT!B120,"")</f>
        <v/>
      </c>
      <c r="C125" s="65" t="str">
        <f>IF(OR(CT!F120='SCTVTHH NGÀY'!$G$2,CT!E120='SCTVTHH NGÀY'!$G$2),CT!C120,"")</f>
        <v/>
      </c>
      <c r="D125" s="65" t="str">
        <f>IF(CT!D120='SCTVTHH NGÀY'!$G$2,CT!E120,IF(CT!E120='SCTVTHH NGÀY'!$G$2,CT!D120,""))</f>
        <v/>
      </c>
      <c r="E125" s="69">
        <f>IF(OR(CT!D116='SCTVTHH NGÀY'!$G$2,CT!E116='SCTVTHH NGÀY'!$G$2),CT!G116,0)</f>
        <v>0</v>
      </c>
      <c r="F125" s="69">
        <f>IF(CT!D120='SCTVTHH NGÀY'!$G$2,CT!F120,0)</f>
        <v>0</v>
      </c>
      <c r="G125" s="69">
        <f>IF(CT!D120='SCTVTHH NGÀY'!$G$2,CT!H120,0)</f>
        <v>0</v>
      </c>
      <c r="H125" s="69">
        <f>IF(CT!E120='SCTVTHH NGÀY'!$G$2,CT!F120,0)</f>
        <v>0</v>
      </c>
      <c r="I125" s="69">
        <f>IF(CT!E120='SCTVTHH NGÀY'!$G$2,CT!H120,0)</f>
        <v>0</v>
      </c>
      <c r="J125" s="69">
        <f>IF(SUM(F125,H125)=0,0,$J$8+SUBTOTAL(9,$F$10:F125)-SUBTOTAL(9,$H$10:H125))</f>
        <v>0</v>
      </c>
      <c r="K125" s="69">
        <f>IF(SUM(G125,I125)=0,0,$K$8+SUBTOTAL(9,$G$10:G125)-SUBTOTAL(9,$I$10:I125))</f>
        <v>0</v>
      </c>
      <c r="L125" s="65" t="b">
        <f t="shared" si="1"/>
        <v>0</v>
      </c>
    </row>
    <row r="126" spans="1:12" hidden="1" x14ac:dyDescent="0.25">
      <c r="A126" s="84" t="str">
        <f>IF(OR(CT!D121='SCTVTHH NGÀY'!$G$2,CT!E121='SCTVTHH NGÀY'!$G$2),CT!A121,"")</f>
        <v/>
      </c>
      <c r="B126" s="65" t="str">
        <f>IF(OR(CT!E121='SCTVTHH NGÀY'!$G$2,CT!E121='SCTVTHH NGÀY'!$G$2),CT!B121,"")</f>
        <v/>
      </c>
      <c r="C126" s="65" t="str">
        <f>IF(OR(CT!F121='SCTVTHH NGÀY'!$G$2,CT!E121='SCTVTHH NGÀY'!$G$2),CT!C121,"")</f>
        <v/>
      </c>
      <c r="D126" s="65" t="str">
        <f>IF(CT!D121='SCTVTHH NGÀY'!$G$2,CT!E121,IF(CT!E121='SCTVTHH NGÀY'!$G$2,CT!D121,""))</f>
        <v/>
      </c>
      <c r="E126" s="69">
        <f>IF(OR(CT!D117='SCTVTHH NGÀY'!$G$2,CT!E117='SCTVTHH NGÀY'!$G$2),CT!G117,0)</f>
        <v>0</v>
      </c>
      <c r="F126" s="69">
        <f>IF(CT!D121='SCTVTHH NGÀY'!$G$2,CT!F121,0)</f>
        <v>0</v>
      </c>
      <c r="G126" s="69">
        <f>IF(CT!D121='SCTVTHH NGÀY'!$G$2,CT!H121,0)</f>
        <v>0</v>
      </c>
      <c r="H126" s="69">
        <f>IF(CT!E121='SCTVTHH NGÀY'!$G$2,CT!F121,0)</f>
        <v>0</v>
      </c>
      <c r="I126" s="69">
        <f>IF(CT!E121='SCTVTHH NGÀY'!$G$2,CT!H121,0)</f>
        <v>0</v>
      </c>
      <c r="J126" s="69">
        <f>IF(SUM(F126,H126)=0,0,$J$8+SUBTOTAL(9,$F$10:F126)-SUBTOTAL(9,$H$10:H126))</f>
        <v>0</v>
      </c>
      <c r="K126" s="69">
        <f>IF(SUM(G126,I126)=0,0,$K$8+SUBTOTAL(9,$G$10:G126)-SUBTOTAL(9,$I$10:I126))</f>
        <v>0</v>
      </c>
      <c r="L126" s="65" t="b">
        <f t="shared" si="1"/>
        <v>0</v>
      </c>
    </row>
    <row r="127" spans="1:12" hidden="1" x14ac:dyDescent="0.25">
      <c r="A127" s="84" t="str">
        <f>IF(OR(CT!D122='SCTVTHH NGÀY'!$G$2,CT!E122='SCTVTHH NGÀY'!$G$2),CT!A122,"")</f>
        <v/>
      </c>
      <c r="B127" s="65" t="str">
        <f>IF(OR(CT!E122='SCTVTHH NGÀY'!$G$2,CT!E122='SCTVTHH NGÀY'!$G$2),CT!B122,"")</f>
        <v/>
      </c>
      <c r="C127" s="65" t="str">
        <f>IF(OR(CT!F122='SCTVTHH NGÀY'!$G$2,CT!E122='SCTVTHH NGÀY'!$G$2),CT!C122,"")</f>
        <v/>
      </c>
      <c r="D127" s="65" t="str">
        <f>IF(CT!D122='SCTVTHH NGÀY'!$G$2,CT!E122,IF(CT!E122='SCTVTHH NGÀY'!$G$2,CT!D122,""))</f>
        <v/>
      </c>
      <c r="E127" s="69">
        <f>IF(OR(CT!D118='SCTVTHH NGÀY'!$G$2,CT!E118='SCTVTHH NGÀY'!$G$2),CT!G118,0)</f>
        <v>0</v>
      </c>
      <c r="F127" s="69">
        <f>IF(CT!D122='SCTVTHH NGÀY'!$G$2,CT!F122,0)</f>
        <v>0</v>
      </c>
      <c r="G127" s="69">
        <f>IF(CT!D122='SCTVTHH NGÀY'!$G$2,CT!H122,0)</f>
        <v>0</v>
      </c>
      <c r="H127" s="69">
        <f>IF(CT!E122='SCTVTHH NGÀY'!$G$2,CT!F122,0)</f>
        <v>0</v>
      </c>
      <c r="I127" s="69">
        <f>IF(CT!E122='SCTVTHH NGÀY'!$G$2,CT!H122,0)</f>
        <v>0</v>
      </c>
      <c r="J127" s="69">
        <f>IF(SUM(F127,H127)=0,0,$J$8+SUBTOTAL(9,$F$10:F127)-SUBTOTAL(9,$H$10:H127))</f>
        <v>0</v>
      </c>
      <c r="K127" s="69">
        <f>IF(SUM(G127,I127)=0,0,$K$8+SUBTOTAL(9,$G$10:G127)-SUBTOTAL(9,$I$10:I127))</f>
        <v>0</v>
      </c>
      <c r="L127" s="65" t="b">
        <f t="shared" si="1"/>
        <v>0</v>
      </c>
    </row>
    <row r="128" spans="1:12" hidden="1" x14ac:dyDescent="0.25">
      <c r="A128" s="84" t="str">
        <f>IF(OR(CT!D123='SCTVTHH NGÀY'!$G$2,CT!E123='SCTVTHH NGÀY'!$G$2),CT!A123,"")</f>
        <v/>
      </c>
      <c r="B128" s="65" t="str">
        <f>IF(OR(CT!E123='SCTVTHH NGÀY'!$G$2,CT!E123='SCTVTHH NGÀY'!$G$2),CT!B123,"")</f>
        <v/>
      </c>
      <c r="C128" s="65" t="str">
        <f>IF(OR(CT!F123='SCTVTHH NGÀY'!$G$2,CT!E123='SCTVTHH NGÀY'!$G$2),CT!C123,"")</f>
        <v/>
      </c>
      <c r="D128" s="65" t="str">
        <f>IF(CT!D123='SCTVTHH NGÀY'!$G$2,CT!E123,IF(CT!E123='SCTVTHH NGÀY'!$G$2,CT!D123,""))</f>
        <v/>
      </c>
      <c r="E128" s="69">
        <f>IF(OR(CT!D119='SCTVTHH NGÀY'!$G$2,CT!E119='SCTVTHH NGÀY'!$G$2),CT!G119,0)</f>
        <v>0</v>
      </c>
      <c r="F128" s="69">
        <f>IF(CT!D123='SCTVTHH NGÀY'!$G$2,CT!F123,0)</f>
        <v>0</v>
      </c>
      <c r="G128" s="69">
        <f>IF(CT!D123='SCTVTHH NGÀY'!$G$2,CT!H123,0)</f>
        <v>0</v>
      </c>
      <c r="H128" s="69">
        <f>IF(CT!E123='SCTVTHH NGÀY'!$G$2,CT!F123,0)</f>
        <v>0</v>
      </c>
      <c r="I128" s="69">
        <f>IF(CT!E123='SCTVTHH NGÀY'!$G$2,CT!H123,0)</f>
        <v>0</v>
      </c>
      <c r="J128" s="69">
        <f>IF(SUM(F128,H128)=0,0,$J$8+SUBTOTAL(9,$F$10:F128)-SUBTOTAL(9,$H$10:H128))</f>
        <v>0</v>
      </c>
      <c r="K128" s="69">
        <f>IF(SUM(G128,I128)=0,0,$K$8+SUBTOTAL(9,$G$10:G128)-SUBTOTAL(9,$I$10:I128))</f>
        <v>0</v>
      </c>
      <c r="L128" s="65" t="b">
        <f t="shared" si="1"/>
        <v>0</v>
      </c>
    </row>
    <row r="129" spans="1:12" hidden="1" x14ac:dyDescent="0.25">
      <c r="A129" s="84" t="str">
        <f>IF(OR(CT!D124='SCTVTHH NGÀY'!$G$2,CT!E124='SCTVTHH NGÀY'!$G$2),CT!A124,"")</f>
        <v/>
      </c>
      <c r="B129" s="65" t="str">
        <f>IF(OR(CT!E124='SCTVTHH NGÀY'!$G$2,CT!E124='SCTVTHH NGÀY'!$G$2),CT!B124,"")</f>
        <v/>
      </c>
      <c r="C129" s="65" t="str">
        <f>IF(OR(CT!F124='SCTVTHH NGÀY'!$G$2,CT!E124='SCTVTHH NGÀY'!$G$2),CT!C124,"")</f>
        <v/>
      </c>
      <c r="D129" s="65" t="str">
        <f>IF(CT!D124='SCTVTHH NGÀY'!$G$2,CT!E124,IF(CT!E124='SCTVTHH NGÀY'!$G$2,CT!D124,""))</f>
        <v/>
      </c>
      <c r="E129" s="69">
        <f>IF(OR(CT!D120='SCTVTHH NGÀY'!$G$2,CT!E120='SCTVTHH NGÀY'!$G$2),CT!G120,0)</f>
        <v>0</v>
      </c>
      <c r="F129" s="69">
        <f>IF(CT!D124='SCTVTHH NGÀY'!$G$2,CT!F124,0)</f>
        <v>0</v>
      </c>
      <c r="G129" s="69">
        <f>IF(CT!D124='SCTVTHH NGÀY'!$G$2,CT!H124,0)</f>
        <v>0</v>
      </c>
      <c r="H129" s="69">
        <f>IF(CT!E124='SCTVTHH NGÀY'!$G$2,CT!F124,0)</f>
        <v>0</v>
      </c>
      <c r="I129" s="69">
        <f>IF(CT!E124='SCTVTHH NGÀY'!$G$2,CT!H124,0)</f>
        <v>0</v>
      </c>
      <c r="J129" s="69">
        <f>IF(SUM(F129,H129)=0,0,$J$8+SUBTOTAL(9,$F$10:F129)-SUBTOTAL(9,$H$10:H129))</f>
        <v>0</v>
      </c>
      <c r="K129" s="69">
        <f>IF(SUM(G129,I129)=0,0,$K$8+SUBTOTAL(9,$G$10:G129)-SUBTOTAL(9,$I$10:I129))</f>
        <v>0</v>
      </c>
      <c r="L129" s="65" t="b">
        <f t="shared" si="1"/>
        <v>0</v>
      </c>
    </row>
    <row r="130" spans="1:12" hidden="1" x14ac:dyDescent="0.25">
      <c r="A130" s="84" t="str">
        <f>IF(OR(CT!D125='SCTVTHH NGÀY'!$G$2,CT!E125='SCTVTHH NGÀY'!$G$2),CT!A125,"")</f>
        <v/>
      </c>
      <c r="B130" s="65" t="str">
        <f>IF(OR(CT!E125='SCTVTHH NGÀY'!$G$2,CT!E125='SCTVTHH NGÀY'!$G$2),CT!B125,"")</f>
        <v/>
      </c>
      <c r="C130" s="65" t="str">
        <f>IF(OR(CT!F125='SCTVTHH NGÀY'!$G$2,CT!E125='SCTVTHH NGÀY'!$G$2),CT!C125,"")</f>
        <v/>
      </c>
      <c r="D130" s="65" t="str">
        <f>IF(CT!D125='SCTVTHH NGÀY'!$G$2,CT!E125,IF(CT!E125='SCTVTHH NGÀY'!$G$2,CT!D125,""))</f>
        <v/>
      </c>
      <c r="E130" s="69">
        <f>IF(OR(CT!D121='SCTVTHH NGÀY'!$G$2,CT!E121='SCTVTHH NGÀY'!$G$2),CT!G121,0)</f>
        <v>0</v>
      </c>
      <c r="F130" s="69">
        <f>IF(CT!D125='SCTVTHH NGÀY'!$G$2,CT!F125,0)</f>
        <v>0</v>
      </c>
      <c r="G130" s="69">
        <f>IF(CT!D125='SCTVTHH NGÀY'!$G$2,CT!H125,0)</f>
        <v>0</v>
      </c>
      <c r="H130" s="69">
        <f>IF(CT!E125='SCTVTHH NGÀY'!$G$2,CT!F125,0)</f>
        <v>0</v>
      </c>
      <c r="I130" s="69">
        <f>IF(CT!E125='SCTVTHH NGÀY'!$G$2,CT!H125,0)</f>
        <v>0</v>
      </c>
      <c r="J130" s="69">
        <f>IF(SUM(F130,H130)=0,0,$J$8+SUBTOTAL(9,$F$10:F130)-SUBTOTAL(9,$H$10:H130))</f>
        <v>0</v>
      </c>
      <c r="K130" s="69">
        <f>IF(SUM(G130,I130)=0,0,$K$8+SUBTOTAL(9,$G$10:G130)-SUBTOTAL(9,$I$10:I130))</f>
        <v>0</v>
      </c>
      <c r="L130" s="65" t="b">
        <f t="shared" si="1"/>
        <v>0</v>
      </c>
    </row>
    <row r="131" spans="1:12" hidden="1" x14ac:dyDescent="0.25">
      <c r="A131" s="84" t="str">
        <f>IF(OR(CT!D126='SCTVTHH NGÀY'!$G$2,CT!E126='SCTVTHH NGÀY'!$G$2),CT!A126,"")</f>
        <v/>
      </c>
      <c r="B131" s="65" t="str">
        <f>IF(OR(CT!E126='SCTVTHH NGÀY'!$G$2,CT!E126='SCTVTHH NGÀY'!$G$2),CT!B126,"")</f>
        <v/>
      </c>
      <c r="C131" s="65" t="str">
        <f>IF(OR(CT!F126='SCTVTHH NGÀY'!$G$2,CT!E126='SCTVTHH NGÀY'!$G$2),CT!C126,"")</f>
        <v/>
      </c>
      <c r="D131" s="65" t="str">
        <f>IF(CT!D126='SCTVTHH NGÀY'!$G$2,CT!E126,IF(CT!E126='SCTVTHH NGÀY'!$G$2,CT!D126,""))</f>
        <v/>
      </c>
      <c r="E131" s="69">
        <f>IF(OR(CT!D122='SCTVTHH NGÀY'!$G$2,CT!E122='SCTVTHH NGÀY'!$G$2),CT!G122,0)</f>
        <v>0</v>
      </c>
      <c r="F131" s="69">
        <f>IF(CT!D126='SCTVTHH NGÀY'!$G$2,CT!F126,0)</f>
        <v>0</v>
      </c>
      <c r="G131" s="69">
        <f>IF(CT!D126='SCTVTHH NGÀY'!$G$2,CT!H126,0)</f>
        <v>0</v>
      </c>
      <c r="H131" s="69">
        <f>IF(CT!E126='SCTVTHH NGÀY'!$G$2,CT!F126,0)</f>
        <v>0</v>
      </c>
      <c r="I131" s="69">
        <f>IF(CT!E126='SCTVTHH NGÀY'!$G$2,CT!H126,0)</f>
        <v>0</v>
      </c>
      <c r="J131" s="69">
        <f>IF(SUM(F131,H131)=0,0,$J$8+SUBTOTAL(9,$F$10:F131)-SUBTOTAL(9,$H$10:H131))</f>
        <v>0</v>
      </c>
      <c r="K131" s="69">
        <f>IF(SUM(G131,I131)=0,0,$K$8+SUBTOTAL(9,$G$10:G131)-SUBTOTAL(9,$I$10:I131))</f>
        <v>0</v>
      </c>
      <c r="L131" s="65" t="b">
        <f t="shared" si="1"/>
        <v>0</v>
      </c>
    </row>
    <row r="132" spans="1:12" hidden="1" x14ac:dyDescent="0.25">
      <c r="A132" s="84" t="str">
        <f>IF(OR(CT!D127='SCTVTHH NGÀY'!$G$2,CT!E127='SCTVTHH NGÀY'!$G$2),CT!A127,"")</f>
        <v/>
      </c>
      <c r="B132" s="65" t="str">
        <f>IF(OR(CT!E127='SCTVTHH NGÀY'!$G$2,CT!E127='SCTVTHH NGÀY'!$G$2),CT!B127,"")</f>
        <v/>
      </c>
      <c r="C132" s="65" t="str">
        <f>IF(OR(CT!F127='SCTVTHH NGÀY'!$G$2,CT!E127='SCTVTHH NGÀY'!$G$2),CT!C127,"")</f>
        <v/>
      </c>
      <c r="D132" s="65" t="str">
        <f>IF(CT!D127='SCTVTHH NGÀY'!$G$2,CT!E127,IF(CT!E127='SCTVTHH NGÀY'!$G$2,CT!D127,""))</f>
        <v/>
      </c>
      <c r="E132" s="69">
        <f>IF(OR(CT!D123='SCTVTHH NGÀY'!$G$2,CT!E123='SCTVTHH NGÀY'!$G$2),CT!G123,0)</f>
        <v>0</v>
      </c>
      <c r="F132" s="69">
        <f>IF(CT!D127='SCTVTHH NGÀY'!$G$2,CT!F127,0)</f>
        <v>0</v>
      </c>
      <c r="G132" s="69">
        <f>IF(CT!D127='SCTVTHH NGÀY'!$G$2,CT!H127,0)</f>
        <v>0</v>
      </c>
      <c r="H132" s="69">
        <f>IF(CT!E127='SCTVTHH NGÀY'!$G$2,CT!F127,0)</f>
        <v>0</v>
      </c>
      <c r="I132" s="69">
        <f>IF(CT!E127='SCTVTHH NGÀY'!$G$2,CT!H127,0)</f>
        <v>0</v>
      </c>
      <c r="J132" s="69">
        <f>IF(SUM(F132,H132)=0,0,$J$8+SUBTOTAL(9,$F$10:F132)-SUBTOTAL(9,$H$10:H132))</f>
        <v>0</v>
      </c>
      <c r="K132" s="69">
        <f>IF(SUM(G132,I132)=0,0,$K$8+SUBTOTAL(9,$G$10:G132)-SUBTOTAL(9,$I$10:I132))</f>
        <v>0</v>
      </c>
      <c r="L132" s="65" t="b">
        <f t="shared" si="1"/>
        <v>0</v>
      </c>
    </row>
    <row r="133" spans="1:12" hidden="1" x14ac:dyDescent="0.25">
      <c r="A133" s="84" t="str">
        <f>IF(OR(CT!D128='SCTVTHH NGÀY'!$G$2,CT!E128='SCTVTHH NGÀY'!$G$2),CT!A128,"")</f>
        <v/>
      </c>
      <c r="B133" s="65" t="str">
        <f>IF(OR(CT!E128='SCTVTHH NGÀY'!$G$2,CT!E128='SCTVTHH NGÀY'!$G$2),CT!B128,"")</f>
        <v/>
      </c>
      <c r="C133" s="65" t="str">
        <f>IF(OR(CT!F128='SCTVTHH NGÀY'!$G$2,CT!E128='SCTVTHH NGÀY'!$G$2),CT!C128,"")</f>
        <v/>
      </c>
      <c r="D133" s="65" t="str">
        <f>IF(CT!D128='SCTVTHH NGÀY'!$G$2,CT!E128,IF(CT!E128='SCTVTHH NGÀY'!$G$2,CT!D128,""))</f>
        <v/>
      </c>
      <c r="E133" s="69">
        <f>IF(OR(CT!D124='SCTVTHH NGÀY'!$G$2,CT!E124='SCTVTHH NGÀY'!$G$2),CT!G124,0)</f>
        <v>0</v>
      </c>
      <c r="F133" s="69">
        <f>IF(CT!D128='SCTVTHH NGÀY'!$G$2,CT!F128,0)</f>
        <v>0</v>
      </c>
      <c r="G133" s="69">
        <f>IF(CT!D128='SCTVTHH NGÀY'!$G$2,CT!H128,0)</f>
        <v>0</v>
      </c>
      <c r="H133" s="69">
        <f>IF(CT!E128='SCTVTHH NGÀY'!$G$2,CT!F128,0)</f>
        <v>0</v>
      </c>
      <c r="I133" s="69">
        <f>IF(CT!E128='SCTVTHH NGÀY'!$G$2,CT!H128,0)</f>
        <v>0</v>
      </c>
      <c r="J133" s="69">
        <f>IF(SUM(F133,H133)=0,0,$J$8+SUBTOTAL(9,$F$10:F133)-SUBTOTAL(9,$H$10:H133))</f>
        <v>0</v>
      </c>
      <c r="K133" s="69">
        <f>IF(SUM(G133,I133)=0,0,$K$8+SUBTOTAL(9,$G$10:G133)-SUBTOTAL(9,$I$10:I133))</f>
        <v>0</v>
      </c>
      <c r="L133" s="65" t="b">
        <f t="shared" si="1"/>
        <v>0</v>
      </c>
    </row>
    <row r="134" spans="1:12" hidden="1" x14ac:dyDescent="0.25">
      <c r="A134" s="84" t="str">
        <f>IF(OR(CT!D129='SCTVTHH NGÀY'!$G$2,CT!E129='SCTVTHH NGÀY'!$G$2),CT!A129,"")</f>
        <v/>
      </c>
      <c r="B134" s="65" t="str">
        <f>IF(OR(CT!E129='SCTVTHH NGÀY'!$G$2,CT!E129='SCTVTHH NGÀY'!$G$2),CT!B129,"")</f>
        <v/>
      </c>
      <c r="C134" s="65" t="str">
        <f>IF(OR(CT!F129='SCTVTHH NGÀY'!$G$2,CT!E129='SCTVTHH NGÀY'!$G$2),CT!C129,"")</f>
        <v/>
      </c>
      <c r="D134" s="65" t="str">
        <f>IF(CT!D129='SCTVTHH NGÀY'!$G$2,CT!E129,IF(CT!E129='SCTVTHH NGÀY'!$G$2,CT!D129,""))</f>
        <v/>
      </c>
      <c r="E134" s="69">
        <f>IF(OR(CT!D125='SCTVTHH NGÀY'!$G$2,CT!E125='SCTVTHH NGÀY'!$G$2),CT!G125,0)</f>
        <v>0</v>
      </c>
      <c r="F134" s="69">
        <f>IF(CT!D129='SCTVTHH NGÀY'!$G$2,CT!F129,0)</f>
        <v>0</v>
      </c>
      <c r="G134" s="69">
        <f>IF(CT!D129='SCTVTHH NGÀY'!$G$2,CT!H129,0)</f>
        <v>0</v>
      </c>
      <c r="H134" s="69">
        <f>IF(CT!E129='SCTVTHH NGÀY'!$G$2,CT!F129,0)</f>
        <v>0</v>
      </c>
      <c r="I134" s="69">
        <f>IF(CT!E129='SCTVTHH NGÀY'!$G$2,CT!H129,0)</f>
        <v>0</v>
      </c>
      <c r="J134" s="69">
        <f>IF(SUM(F134,H134)=0,0,$J$8+SUBTOTAL(9,$F$10:F134)-SUBTOTAL(9,$H$10:H134))</f>
        <v>0</v>
      </c>
      <c r="K134" s="69">
        <f>IF(SUM(G134,I134)=0,0,$K$8+SUBTOTAL(9,$G$10:G134)-SUBTOTAL(9,$I$10:I134))</f>
        <v>0</v>
      </c>
      <c r="L134" s="65" t="b">
        <f t="shared" si="1"/>
        <v>0</v>
      </c>
    </row>
    <row r="135" spans="1:12" hidden="1" x14ac:dyDescent="0.25">
      <c r="A135" s="84" t="str">
        <f>IF(OR(CT!D130='SCTVTHH NGÀY'!$G$2,CT!E130='SCTVTHH NGÀY'!$G$2),CT!A130,"")</f>
        <v/>
      </c>
      <c r="B135" s="65" t="str">
        <f>IF(OR(CT!E130='SCTVTHH NGÀY'!$G$2,CT!E130='SCTVTHH NGÀY'!$G$2),CT!B130,"")</f>
        <v/>
      </c>
      <c r="C135" s="65" t="str">
        <f>IF(OR(CT!F130='SCTVTHH NGÀY'!$G$2,CT!E130='SCTVTHH NGÀY'!$G$2),CT!C130,"")</f>
        <v/>
      </c>
      <c r="D135" s="65" t="str">
        <f>IF(CT!D130='SCTVTHH NGÀY'!$G$2,CT!E130,IF(CT!E130='SCTVTHH NGÀY'!$G$2,CT!D130,""))</f>
        <v/>
      </c>
      <c r="E135" s="69">
        <f>IF(OR(CT!D126='SCTVTHH NGÀY'!$G$2,CT!E126='SCTVTHH NGÀY'!$G$2),CT!G126,0)</f>
        <v>0</v>
      </c>
      <c r="F135" s="69">
        <f>IF(CT!D130='SCTVTHH NGÀY'!$G$2,CT!F130,0)</f>
        <v>0</v>
      </c>
      <c r="G135" s="69">
        <f>IF(CT!D130='SCTVTHH NGÀY'!$G$2,CT!H130,0)</f>
        <v>0</v>
      </c>
      <c r="H135" s="69">
        <f>IF(CT!E130='SCTVTHH NGÀY'!$G$2,CT!F130,0)</f>
        <v>0</v>
      </c>
      <c r="I135" s="69">
        <f>IF(CT!E130='SCTVTHH NGÀY'!$G$2,CT!H130,0)</f>
        <v>0</v>
      </c>
      <c r="J135" s="69">
        <f>IF(SUM(F135,H135)=0,0,$J$8+SUBTOTAL(9,$F$10:F135)-SUBTOTAL(9,$H$10:H135))</f>
        <v>0</v>
      </c>
      <c r="K135" s="69">
        <f>IF(SUM(G135,I135)=0,0,$K$8+SUBTOTAL(9,$G$10:G135)-SUBTOTAL(9,$I$10:I135))</f>
        <v>0</v>
      </c>
      <c r="L135" s="65" t="b">
        <f t="shared" si="1"/>
        <v>0</v>
      </c>
    </row>
    <row r="136" spans="1:12" hidden="1" x14ac:dyDescent="0.25">
      <c r="A136" s="84" t="str">
        <f>IF(OR(CT!D131='SCTVTHH NGÀY'!$G$2,CT!E131='SCTVTHH NGÀY'!$G$2),CT!A131,"")</f>
        <v/>
      </c>
      <c r="B136" s="65" t="str">
        <f>IF(OR(CT!E131='SCTVTHH NGÀY'!$G$2,CT!E131='SCTVTHH NGÀY'!$G$2),CT!B131,"")</f>
        <v/>
      </c>
      <c r="C136" s="65" t="str">
        <f>IF(OR(CT!F131='SCTVTHH NGÀY'!$G$2,CT!E131='SCTVTHH NGÀY'!$G$2),CT!C131,"")</f>
        <v/>
      </c>
      <c r="D136" s="65" t="str">
        <f>IF(CT!D131='SCTVTHH NGÀY'!$G$2,CT!E131,IF(CT!E131='SCTVTHH NGÀY'!$G$2,CT!D131,""))</f>
        <v/>
      </c>
      <c r="E136" s="69">
        <f>IF(OR(CT!D127='SCTVTHH NGÀY'!$G$2,CT!E127='SCTVTHH NGÀY'!$G$2),CT!G127,0)</f>
        <v>0</v>
      </c>
      <c r="F136" s="69">
        <f>IF(CT!D131='SCTVTHH NGÀY'!$G$2,CT!F131,0)</f>
        <v>0</v>
      </c>
      <c r="G136" s="69">
        <f>IF(CT!D131='SCTVTHH NGÀY'!$G$2,CT!H131,0)</f>
        <v>0</v>
      </c>
      <c r="H136" s="69">
        <f>IF(CT!E131='SCTVTHH NGÀY'!$G$2,CT!F131,0)</f>
        <v>0</v>
      </c>
      <c r="I136" s="69">
        <f>IF(CT!E131='SCTVTHH NGÀY'!$G$2,CT!H131,0)</f>
        <v>0</v>
      </c>
      <c r="J136" s="69">
        <f>IF(SUM(F136,H136)=0,0,$J$8+SUBTOTAL(9,$F$10:F136)-SUBTOTAL(9,$H$10:H136))</f>
        <v>0</v>
      </c>
      <c r="K136" s="69">
        <f>IF(SUM(G136,I136)=0,0,$K$8+SUBTOTAL(9,$G$10:G136)-SUBTOTAL(9,$I$10:I136))</f>
        <v>0</v>
      </c>
      <c r="L136" s="65" t="b">
        <f t="shared" si="1"/>
        <v>0</v>
      </c>
    </row>
    <row r="137" spans="1:12" hidden="1" x14ac:dyDescent="0.25">
      <c r="A137" s="84" t="str">
        <f>IF(OR(CT!D132='SCTVTHH NGÀY'!$G$2,CT!E132='SCTVTHH NGÀY'!$G$2),CT!A132,"")</f>
        <v/>
      </c>
      <c r="B137" s="65" t="str">
        <f>IF(OR(CT!E132='SCTVTHH NGÀY'!$G$2,CT!E132='SCTVTHH NGÀY'!$G$2),CT!B132,"")</f>
        <v/>
      </c>
      <c r="C137" s="65" t="str">
        <f>IF(OR(CT!F132='SCTVTHH NGÀY'!$G$2,CT!E132='SCTVTHH NGÀY'!$G$2),CT!C132,"")</f>
        <v/>
      </c>
      <c r="D137" s="65" t="str">
        <f>IF(CT!D132='SCTVTHH NGÀY'!$G$2,CT!E132,IF(CT!E132='SCTVTHH NGÀY'!$G$2,CT!D132,""))</f>
        <v/>
      </c>
      <c r="E137" s="69">
        <f>IF(OR(CT!D128='SCTVTHH NGÀY'!$G$2,CT!E128='SCTVTHH NGÀY'!$G$2),CT!G128,0)</f>
        <v>0</v>
      </c>
      <c r="F137" s="69">
        <f>IF(CT!D132='SCTVTHH NGÀY'!$G$2,CT!F132,0)</f>
        <v>0</v>
      </c>
      <c r="G137" s="69">
        <f>IF(CT!D132='SCTVTHH NGÀY'!$G$2,CT!H132,0)</f>
        <v>0</v>
      </c>
      <c r="H137" s="69">
        <f>IF(CT!E132='SCTVTHH NGÀY'!$G$2,CT!F132,0)</f>
        <v>0</v>
      </c>
      <c r="I137" s="69">
        <f>IF(CT!E132='SCTVTHH NGÀY'!$G$2,CT!H132,0)</f>
        <v>0</v>
      </c>
      <c r="J137" s="69">
        <f>IF(SUM(F137,H137)=0,0,$J$8+SUBTOTAL(9,$F$10:F137)-SUBTOTAL(9,$H$10:H137))</f>
        <v>0</v>
      </c>
      <c r="K137" s="69">
        <f>IF(SUM(G137,I137)=0,0,$K$8+SUBTOTAL(9,$G$10:G137)-SUBTOTAL(9,$I$10:I137))</f>
        <v>0</v>
      </c>
      <c r="L137" s="65" t="b">
        <f t="shared" si="1"/>
        <v>0</v>
      </c>
    </row>
    <row r="138" spans="1:12" hidden="1" x14ac:dyDescent="0.25">
      <c r="A138" s="84" t="str">
        <f>IF(OR(CT!D133='SCTVTHH NGÀY'!$G$2,CT!E133='SCTVTHH NGÀY'!$G$2),CT!A133,"")</f>
        <v/>
      </c>
      <c r="B138" s="65" t="str">
        <f>IF(OR(CT!E133='SCTVTHH NGÀY'!$G$2,CT!E133='SCTVTHH NGÀY'!$G$2),CT!B133,"")</f>
        <v/>
      </c>
      <c r="C138" s="65" t="str">
        <f>IF(OR(CT!F133='SCTVTHH NGÀY'!$G$2,CT!E133='SCTVTHH NGÀY'!$G$2),CT!C133,"")</f>
        <v/>
      </c>
      <c r="D138" s="65" t="str">
        <f>IF(CT!D133='SCTVTHH NGÀY'!$G$2,CT!E133,IF(CT!E133='SCTVTHH NGÀY'!$G$2,CT!D133,""))</f>
        <v/>
      </c>
      <c r="E138" s="69">
        <f>IF(OR(CT!D129='SCTVTHH NGÀY'!$G$2,CT!E129='SCTVTHH NGÀY'!$G$2),CT!G129,0)</f>
        <v>0</v>
      </c>
      <c r="F138" s="69">
        <f>IF(CT!D133='SCTVTHH NGÀY'!$G$2,CT!F133,0)</f>
        <v>0</v>
      </c>
      <c r="G138" s="69">
        <f>IF(CT!D133='SCTVTHH NGÀY'!$G$2,CT!H133,0)</f>
        <v>0</v>
      </c>
      <c r="H138" s="69">
        <f>IF(CT!E133='SCTVTHH NGÀY'!$G$2,CT!F133,0)</f>
        <v>0</v>
      </c>
      <c r="I138" s="69">
        <f>IF(CT!E133='SCTVTHH NGÀY'!$G$2,CT!H133,0)</f>
        <v>0</v>
      </c>
      <c r="J138" s="69">
        <f>IF(SUM(F138,H138)=0,0,$J$8+SUBTOTAL(9,$F$10:F138)-SUBTOTAL(9,$H$10:H138))</f>
        <v>0</v>
      </c>
      <c r="K138" s="69">
        <f>IF(SUM(G138,I138)=0,0,$K$8+SUBTOTAL(9,$G$10:G138)-SUBTOTAL(9,$I$10:I138))</f>
        <v>0</v>
      </c>
      <c r="L138" s="65" t="b">
        <f t="shared" si="1"/>
        <v>0</v>
      </c>
    </row>
    <row r="139" spans="1:12" hidden="1" x14ac:dyDescent="0.25">
      <c r="A139" s="84" t="str">
        <f>IF(OR(CT!D134='SCTVTHH NGÀY'!$G$2,CT!E134='SCTVTHH NGÀY'!$G$2),CT!A134,"")</f>
        <v/>
      </c>
      <c r="B139" s="65" t="str">
        <f>IF(OR(CT!E134='SCTVTHH NGÀY'!$G$2,CT!E134='SCTVTHH NGÀY'!$G$2),CT!B134,"")</f>
        <v/>
      </c>
      <c r="C139" s="65" t="str">
        <f>IF(OR(CT!F134='SCTVTHH NGÀY'!$G$2,CT!E134='SCTVTHH NGÀY'!$G$2),CT!C134,"")</f>
        <v/>
      </c>
      <c r="D139" s="65" t="str">
        <f>IF(CT!D134='SCTVTHH NGÀY'!$G$2,CT!E134,IF(CT!E134='SCTVTHH NGÀY'!$G$2,CT!D134,""))</f>
        <v/>
      </c>
      <c r="E139" s="69">
        <f>IF(OR(CT!D130='SCTVTHH NGÀY'!$G$2,CT!E130='SCTVTHH NGÀY'!$G$2),CT!G130,0)</f>
        <v>0</v>
      </c>
      <c r="F139" s="69">
        <f>IF(CT!D134='SCTVTHH NGÀY'!$G$2,CT!F134,0)</f>
        <v>0</v>
      </c>
      <c r="G139" s="69">
        <f>IF(CT!D134='SCTVTHH NGÀY'!$G$2,CT!H134,0)</f>
        <v>0</v>
      </c>
      <c r="H139" s="69">
        <f>IF(CT!E134='SCTVTHH NGÀY'!$G$2,CT!F134,0)</f>
        <v>0</v>
      </c>
      <c r="I139" s="69">
        <f>IF(CT!E134='SCTVTHH NGÀY'!$G$2,CT!H134,0)</f>
        <v>0</v>
      </c>
      <c r="J139" s="69">
        <f>IF(SUM(F139,H139)=0,0,$J$8+SUBTOTAL(9,$F$10:F139)-SUBTOTAL(9,$H$10:H139))</f>
        <v>0</v>
      </c>
      <c r="K139" s="69">
        <f>IF(SUM(G139,I139)=0,0,$K$8+SUBTOTAL(9,$G$10:G139)-SUBTOTAL(9,$I$10:I139))</f>
        <v>0</v>
      </c>
      <c r="L139" s="65" t="b">
        <f t="shared" ref="L139:L148" si="2">AND(A139&gt;=$D$3,A139&lt;=$F$3)</f>
        <v>0</v>
      </c>
    </row>
    <row r="140" spans="1:12" hidden="1" x14ac:dyDescent="0.25">
      <c r="A140" s="84" t="str">
        <f>IF(OR(CT!D135='SCTVTHH NGÀY'!$G$2,CT!E135='SCTVTHH NGÀY'!$G$2),CT!A135,"")</f>
        <v/>
      </c>
      <c r="B140" s="65" t="str">
        <f>IF(OR(CT!E135='SCTVTHH NGÀY'!$G$2,CT!E135='SCTVTHH NGÀY'!$G$2),CT!B135,"")</f>
        <v/>
      </c>
      <c r="C140" s="65" t="str">
        <f>IF(OR(CT!F135='SCTVTHH NGÀY'!$G$2,CT!E135='SCTVTHH NGÀY'!$G$2),CT!C135,"")</f>
        <v/>
      </c>
      <c r="D140" s="65" t="str">
        <f>IF(CT!D135='SCTVTHH NGÀY'!$G$2,CT!E135,IF(CT!E135='SCTVTHH NGÀY'!$G$2,CT!D135,""))</f>
        <v/>
      </c>
      <c r="E140" s="69">
        <f>IF(OR(CT!D131='SCTVTHH NGÀY'!$G$2,CT!E131='SCTVTHH NGÀY'!$G$2),CT!G131,0)</f>
        <v>0</v>
      </c>
      <c r="F140" s="69">
        <f>IF(CT!D135='SCTVTHH NGÀY'!$G$2,CT!F135,0)</f>
        <v>0</v>
      </c>
      <c r="G140" s="69">
        <f>IF(CT!D135='SCTVTHH NGÀY'!$G$2,CT!H135,0)</f>
        <v>0</v>
      </c>
      <c r="H140" s="69">
        <f>IF(CT!E135='SCTVTHH NGÀY'!$G$2,CT!F135,0)</f>
        <v>0</v>
      </c>
      <c r="I140" s="69">
        <f>IF(CT!E135='SCTVTHH NGÀY'!$G$2,CT!H135,0)</f>
        <v>0</v>
      </c>
      <c r="J140" s="69">
        <f>IF(SUM(F140,H140)=0,0,$J$8+SUBTOTAL(9,$F$10:F140)-SUBTOTAL(9,$H$10:H140))</f>
        <v>0</v>
      </c>
      <c r="K140" s="69">
        <f>IF(SUM(G140,I140)=0,0,$K$8+SUBTOTAL(9,$G$10:G140)-SUBTOTAL(9,$I$10:I140))</f>
        <v>0</v>
      </c>
      <c r="L140" s="65" t="b">
        <f t="shared" si="2"/>
        <v>0</v>
      </c>
    </row>
    <row r="141" spans="1:12" hidden="1" x14ac:dyDescent="0.25">
      <c r="A141" s="84" t="str">
        <f>IF(OR(CT!D136='SCTVTHH NGÀY'!$G$2,CT!E136='SCTVTHH NGÀY'!$G$2),CT!A136,"")</f>
        <v/>
      </c>
      <c r="B141" s="65" t="str">
        <f>IF(OR(CT!E136='SCTVTHH NGÀY'!$G$2,CT!E136='SCTVTHH NGÀY'!$G$2),CT!B136,"")</f>
        <v/>
      </c>
      <c r="C141" s="65" t="str">
        <f>IF(OR(CT!F136='SCTVTHH NGÀY'!$G$2,CT!E136='SCTVTHH NGÀY'!$G$2),CT!C136,"")</f>
        <v/>
      </c>
      <c r="D141" s="65" t="str">
        <f>IF(CT!D136='SCTVTHH NGÀY'!$G$2,CT!E136,IF(CT!E136='SCTVTHH NGÀY'!$G$2,CT!D136,""))</f>
        <v/>
      </c>
      <c r="E141" s="69">
        <f>IF(OR(CT!D132='SCTVTHH NGÀY'!$G$2,CT!E132='SCTVTHH NGÀY'!$G$2),CT!G132,0)</f>
        <v>0</v>
      </c>
      <c r="F141" s="69">
        <f>IF(CT!D136='SCTVTHH NGÀY'!$G$2,CT!F136,0)</f>
        <v>0</v>
      </c>
      <c r="G141" s="69">
        <f>IF(CT!D136='SCTVTHH NGÀY'!$G$2,CT!H136,0)</f>
        <v>0</v>
      </c>
      <c r="H141" s="69">
        <f>IF(CT!E136='SCTVTHH NGÀY'!$G$2,CT!F136,0)</f>
        <v>0</v>
      </c>
      <c r="I141" s="69">
        <f>IF(CT!E136='SCTVTHH NGÀY'!$G$2,CT!H136,0)</f>
        <v>0</v>
      </c>
      <c r="J141" s="69">
        <f>IF(SUM(F141,H141)=0,0,$J$8+SUBTOTAL(9,$F$10:F141)-SUBTOTAL(9,$H$10:H141))</f>
        <v>0</v>
      </c>
      <c r="K141" s="69">
        <f>IF(SUM(G141,I141)=0,0,$K$8+SUBTOTAL(9,$G$10:G141)-SUBTOTAL(9,$I$10:I141))</f>
        <v>0</v>
      </c>
      <c r="L141" s="65" t="b">
        <f t="shared" si="2"/>
        <v>0</v>
      </c>
    </row>
    <row r="142" spans="1:12" hidden="1" x14ac:dyDescent="0.25">
      <c r="A142" s="84" t="str">
        <f>IF(OR(CT!D137='SCTVTHH NGÀY'!$G$2,CT!E137='SCTVTHH NGÀY'!$G$2),CT!A137,"")</f>
        <v/>
      </c>
      <c r="B142" s="65" t="str">
        <f>IF(OR(CT!E137='SCTVTHH NGÀY'!$G$2,CT!E137='SCTVTHH NGÀY'!$G$2),CT!B137,"")</f>
        <v/>
      </c>
      <c r="C142" s="65" t="str">
        <f>IF(OR(CT!F137='SCTVTHH NGÀY'!$G$2,CT!E137='SCTVTHH NGÀY'!$G$2),CT!C137,"")</f>
        <v/>
      </c>
      <c r="D142" s="65" t="str">
        <f>IF(CT!D137='SCTVTHH NGÀY'!$G$2,CT!E137,IF(CT!E137='SCTVTHH NGÀY'!$G$2,CT!D137,""))</f>
        <v/>
      </c>
      <c r="E142" s="69">
        <f>IF(OR(CT!D133='SCTVTHH NGÀY'!$G$2,CT!E133='SCTVTHH NGÀY'!$G$2),CT!G133,0)</f>
        <v>0</v>
      </c>
      <c r="F142" s="69">
        <f>IF(CT!D137='SCTVTHH NGÀY'!$G$2,CT!F137,0)</f>
        <v>0</v>
      </c>
      <c r="G142" s="69">
        <f>IF(CT!D137='SCTVTHH NGÀY'!$G$2,CT!H137,0)</f>
        <v>0</v>
      </c>
      <c r="H142" s="69">
        <f>IF(CT!E137='SCTVTHH NGÀY'!$G$2,CT!F137,0)</f>
        <v>0</v>
      </c>
      <c r="I142" s="69">
        <f>IF(CT!E137='SCTVTHH NGÀY'!$G$2,CT!H137,0)</f>
        <v>0</v>
      </c>
      <c r="J142" s="69">
        <f>IF(SUM(F142,H142)=0,0,$J$8+SUBTOTAL(9,$F$10:F142)-SUBTOTAL(9,$H$10:H142))</f>
        <v>0</v>
      </c>
      <c r="K142" s="69">
        <f>IF(SUM(G142,I142)=0,0,$K$8+SUBTOTAL(9,$G$10:G142)-SUBTOTAL(9,$I$10:I142))</f>
        <v>0</v>
      </c>
      <c r="L142" s="65" t="b">
        <f t="shared" si="2"/>
        <v>0</v>
      </c>
    </row>
    <row r="143" spans="1:12" hidden="1" x14ac:dyDescent="0.25">
      <c r="A143" s="84" t="str">
        <f>IF(OR(CT!D138='SCTVTHH NGÀY'!$G$2,CT!E138='SCTVTHH NGÀY'!$G$2),CT!A138,"")</f>
        <v/>
      </c>
      <c r="B143" s="65" t="str">
        <f>IF(OR(CT!E138='SCTVTHH NGÀY'!$G$2,CT!E138='SCTVTHH NGÀY'!$G$2),CT!B138,"")</f>
        <v/>
      </c>
      <c r="C143" s="65" t="str">
        <f>IF(OR(CT!F138='SCTVTHH NGÀY'!$G$2,CT!E138='SCTVTHH NGÀY'!$G$2),CT!C138,"")</f>
        <v/>
      </c>
      <c r="D143" s="65" t="str">
        <f>IF(CT!D138='SCTVTHH NGÀY'!$G$2,CT!E138,IF(CT!E138='SCTVTHH NGÀY'!$G$2,CT!D138,""))</f>
        <v/>
      </c>
      <c r="E143" s="69">
        <f>IF(OR(CT!D134='SCTVTHH NGÀY'!$G$2,CT!E134='SCTVTHH NGÀY'!$G$2),CT!G134,0)</f>
        <v>0</v>
      </c>
      <c r="F143" s="69">
        <f>IF(CT!D138='SCTVTHH NGÀY'!$G$2,CT!F138,0)</f>
        <v>0</v>
      </c>
      <c r="G143" s="69">
        <f>IF(CT!D138='SCTVTHH NGÀY'!$G$2,CT!H138,0)</f>
        <v>0</v>
      </c>
      <c r="H143" s="69">
        <f>IF(CT!E138='SCTVTHH NGÀY'!$G$2,CT!F138,0)</f>
        <v>0</v>
      </c>
      <c r="I143" s="69">
        <f>IF(CT!E138='SCTVTHH NGÀY'!$G$2,CT!H138,0)</f>
        <v>0</v>
      </c>
      <c r="J143" s="69">
        <f>IF(SUM(F143,H143)=0,0,$J$8+SUBTOTAL(9,$F$10:F143)-SUBTOTAL(9,$H$10:H143))</f>
        <v>0</v>
      </c>
      <c r="K143" s="69">
        <f>IF(SUM(G143,I143)=0,0,$K$8+SUBTOTAL(9,$G$10:G143)-SUBTOTAL(9,$I$10:I143))</f>
        <v>0</v>
      </c>
      <c r="L143" s="65" t="b">
        <f t="shared" si="2"/>
        <v>0</v>
      </c>
    </row>
    <row r="144" spans="1:12" hidden="1" x14ac:dyDescent="0.25">
      <c r="A144" s="84" t="str">
        <f>IF(OR(CT!D139='SCTVTHH NGÀY'!$G$2,CT!E139='SCTVTHH NGÀY'!$G$2),CT!A139,"")</f>
        <v/>
      </c>
      <c r="B144" s="65" t="str">
        <f>IF(OR(CT!E139='SCTVTHH NGÀY'!$G$2,CT!E139='SCTVTHH NGÀY'!$G$2),CT!B139,"")</f>
        <v/>
      </c>
      <c r="C144" s="65" t="str">
        <f>IF(OR(CT!F139='SCTVTHH NGÀY'!$G$2,CT!E139='SCTVTHH NGÀY'!$G$2),CT!C139,"")</f>
        <v/>
      </c>
      <c r="D144" s="65" t="str">
        <f>IF(CT!D139='SCTVTHH NGÀY'!$G$2,CT!E139,IF(CT!E139='SCTVTHH NGÀY'!$G$2,CT!D139,""))</f>
        <v/>
      </c>
      <c r="E144" s="69">
        <f>IF(OR(CT!D135='SCTVTHH NGÀY'!$G$2,CT!E135='SCTVTHH NGÀY'!$G$2),CT!G135,0)</f>
        <v>0</v>
      </c>
      <c r="F144" s="69">
        <f>IF(CT!D139='SCTVTHH NGÀY'!$G$2,CT!F139,0)</f>
        <v>0</v>
      </c>
      <c r="G144" s="69">
        <f>IF(CT!D139='SCTVTHH NGÀY'!$G$2,CT!H139,0)</f>
        <v>0</v>
      </c>
      <c r="H144" s="69">
        <f>IF(CT!E139='SCTVTHH NGÀY'!$G$2,CT!F139,0)</f>
        <v>0</v>
      </c>
      <c r="I144" s="69">
        <f>IF(CT!E139='SCTVTHH NGÀY'!$G$2,CT!H139,0)</f>
        <v>0</v>
      </c>
      <c r="J144" s="69">
        <f>IF(SUM(F144,H144)=0,0,$J$8+SUBTOTAL(9,$F$10:F144)-SUBTOTAL(9,$H$10:H144))</f>
        <v>0</v>
      </c>
      <c r="K144" s="69">
        <f>IF(SUM(G144,I144)=0,0,$K$8+SUBTOTAL(9,$G$10:G144)-SUBTOTAL(9,$I$10:I144))</f>
        <v>0</v>
      </c>
      <c r="L144" s="65" t="b">
        <f t="shared" si="2"/>
        <v>0</v>
      </c>
    </row>
    <row r="145" spans="1:12" hidden="1" x14ac:dyDescent="0.25">
      <c r="A145" s="84" t="str">
        <f>IF(OR(CT!D140='SCTVTHH NGÀY'!$G$2,CT!E140='SCTVTHH NGÀY'!$G$2),CT!A140,"")</f>
        <v/>
      </c>
      <c r="B145" s="65" t="str">
        <f>IF(OR(CT!E140='SCTVTHH NGÀY'!$G$2,CT!E140='SCTVTHH NGÀY'!$G$2),CT!B140,"")</f>
        <v/>
      </c>
      <c r="C145" s="65" t="str">
        <f>IF(OR(CT!F140='SCTVTHH NGÀY'!$G$2,CT!E140='SCTVTHH NGÀY'!$G$2),CT!C140,"")</f>
        <v/>
      </c>
      <c r="D145" s="65" t="str">
        <f>IF(CT!D140='SCTVTHH NGÀY'!$G$2,CT!E140,IF(CT!E140='SCTVTHH NGÀY'!$G$2,CT!D140,""))</f>
        <v/>
      </c>
      <c r="E145" s="69">
        <f>IF(OR(CT!D136='SCTVTHH NGÀY'!$G$2,CT!E136='SCTVTHH NGÀY'!$G$2),CT!G136,0)</f>
        <v>0</v>
      </c>
      <c r="F145" s="69">
        <f>IF(CT!D140='SCTVTHH NGÀY'!$G$2,CT!F140,0)</f>
        <v>0</v>
      </c>
      <c r="G145" s="69">
        <f>IF(CT!D140='SCTVTHH NGÀY'!$G$2,CT!H140,0)</f>
        <v>0</v>
      </c>
      <c r="H145" s="69">
        <f>IF(CT!E140='SCTVTHH NGÀY'!$G$2,CT!F140,0)</f>
        <v>0</v>
      </c>
      <c r="I145" s="69">
        <f>IF(CT!E140='SCTVTHH NGÀY'!$G$2,CT!H140,0)</f>
        <v>0</v>
      </c>
      <c r="J145" s="69">
        <f>IF(SUM(F145,H145)=0,0,$J$8+SUBTOTAL(9,$F$10:F145)-SUBTOTAL(9,$H$10:H145))</f>
        <v>0</v>
      </c>
      <c r="K145" s="69">
        <f>IF(SUM(G145,I145)=0,0,$K$8+SUBTOTAL(9,$G$10:G145)-SUBTOTAL(9,$I$10:I145))</f>
        <v>0</v>
      </c>
      <c r="L145" s="65" t="b">
        <f t="shared" si="2"/>
        <v>0</v>
      </c>
    </row>
    <row r="146" spans="1:12" hidden="1" x14ac:dyDescent="0.25">
      <c r="A146" s="84" t="str">
        <f>IF(OR(CT!D141='SCTVTHH NGÀY'!$G$2,CT!E141='SCTVTHH NGÀY'!$G$2),CT!A141,"")</f>
        <v/>
      </c>
      <c r="B146" s="65" t="str">
        <f>IF(OR(CT!E141='SCTVTHH NGÀY'!$G$2,CT!E141='SCTVTHH NGÀY'!$G$2),CT!B141,"")</f>
        <v/>
      </c>
      <c r="C146" s="65" t="str">
        <f>IF(OR(CT!F141='SCTVTHH NGÀY'!$G$2,CT!E141='SCTVTHH NGÀY'!$G$2),CT!C141,"")</f>
        <v/>
      </c>
      <c r="D146" s="65" t="str">
        <f>IF(CT!D141='SCTVTHH NGÀY'!$G$2,CT!E141,IF(CT!E141='SCTVTHH NGÀY'!$G$2,CT!D141,""))</f>
        <v/>
      </c>
      <c r="E146" s="69">
        <f>IF(OR(CT!D137='SCTVTHH NGÀY'!$G$2,CT!E137='SCTVTHH NGÀY'!$G$2),CT!G137,0)</f>
        <v>0</v>
      </c>
      <c r="F146" s="69">
        <f>IF(CT!D141='SCTVTHH NGÀY'!$G$2,CT!F141,0)</f>
        <v>0</v>
      </c>
      <c r="G146" s="69">
        <f>IF(CT!D141='SCTVTHH NGÀY'!$G$2,CT!H141,0)</f>
        <v>0</v>
      </c>
      <c r="H146" s="69">
        <f>IF(CT!E141='SCTVTHH NGÀY'!$G$2,CT!F141,0)</f>
        <v>0</v>
      </c>
      <c r="I146" s="69">
        <f>IF(CT!E141='SCTVTHH NGÀY'!$G$2,CT!H141,0)</f>
        <v>0</v>
      </c>
      <c r="J146" s="69">
        <f>IF(SUM(F146,H146)=0,0,$J$8+SUBTOTAL(9,$F$10:F146)-SUBTOTAL(9,$H$10:H146))</f>
        <v>0</v>
      </c>
      <c r="K146" s="69">
        <f>IF(SUM(G146,I146)=0,0,$K$8+SUBTOTAL(9,$G$10:G146)-SUBTOTAL(9,$I$10:I146))</f>
        <v>0</v>
      </c>
      <c r="L146" s="65" t="b">
        <f t="shared" si="2"/>
        <v>0</v>
      </c>
    </row>
    <row r="147" spans="1:12" hidden="1" x14ac:dyDescent="0.25">
      <c r="A147" s="84" t="str">
        <f>IF(OR(CT!D142='SCTVTHH NGÀY'!$G$2,CT!E142='SCTVTHH NGÀY'!$G$2),CT!A142,"")</f>
        <v/>
      </c>
      <c r="B147" s="65" t="str">
        <f>IF(OR(CT!E142='SCTVTHH NGÀY'!$G$2,CT!E142='SCTVTHH NGÀY'!$G$2),CT!B142,"")</f>
        <v/>
      </c>
      <c r="C147" s="65" t="str">
        <f>IF(OR(CT!F142='SCTVTHH NGÀY'!$G$2,CT!E142='SCTVTHH NGÀY'!$G$2),CT!C142,"")</f>
        <v/>
      </c>
      <c r="D147" s="65" t="str">
        <f>IF(CT!D142='SCTVTHH NGÀY'!$G$2,CT!E142,IF(CT!E142='SCTVTHH NGÀY'!$G$2,CT!D142,""))</f>
        <v/>
      </c>
      <c r="E147" s="69">
        <f>IF(OR(CT!D138='SCTVTHH NGÀY'!$G$2,CT!E138='SCTVTHH NGÀY'!$G$2),CT!G138,0)</f>
        <v>0</v>
      </c>
      <c r="F147" s="69">
        <f>IF(CT!D142='SCTVTHH NGÀY'!$G$2,CT!F142,0)</f>
        <v>0</v>
      </c>
      <c r="G147" s="69">
        <f>IF(CT!D142='SCTVTHH NGÀY'!$G$2,CT!H142,0)</f>
        <v>0</v>
      </c>
      <c r="H147" s="69">
        <f>IF(CT!E142='SCTVTHH NGÀY'!$G$2,CT!F142,0)</f>
        <v>0</v>
      </c>
      <c r="I147" s="69">
        <f>IF(CT!E142='SCTVTHH NGÀY'!$G$2,CT!H142,0)</f>
        <v>0</v>
      </c>
      <c r="J147" s="69">
        <f>IF(SUM(F147,H147)=0,0,$J$8+SUBTOTAL(9,$F$10:F147)-SUBTOTAL(9,$H$10:H147))</f>
        <v>0</v>
      </c>
      <c r="K147" s="69">
        <f>IF(SUM(G147,I147)=0,0,$K$8+SUBTOTAL(9,$G$10:G147)-SUBTOTAL(9,$I$10:I147))</f>
        <v>0</v>
      </c>
      <c r="L147" s="65" t="b">
        <f t="shared" si="2"/>
        <v>0</v>
      </c>
    </row>
    <row r="148" spans="1:12" hidden="1" x14ac:dyDescent="0.25">
      <c r="A148" s="84" t="str">
        <f>IF(OR(CT!D143='SCTVTHH NGÀY'!$G$2,CT!E143='SCTVTHH NGÀY'!$G$2),CT!A143,"")</f>
        <v/>
      </c>
      <c r="B148" s="65" t="str">
        <f>IF(OR(CT!E143='SCTVTHH NGÀY'!$G$2,CT!E143='SCTVTHH NGÀY'!$G$2),CT!B143,"")</f>
        <v/>
      </c>
      <c r="C148" s="65" t="str">
        <f>IF(OR(CT!F143='SCTVTHH NGÀY'!$G$2,CT!E143='SCTVTHH NGÀY'!$G$2),CT!C143,"")</f>
        <v/>
      </c>
      <c r="D148" s="65" t="str">
        <f>IF(CT!D143='SCTVTHH NGÀY'!$G$2,CT!E143,IF(CT!E143='SCTVTHH NGÀY'!$G$2,CT!D143,""))</f>
        <v/>
      </c>
      <c r="E148" s="69">
        <f>IF(OR(CT!D139='SCTVTHH NGÀY'!$G$2,CT!E139='SCTVTHH NGÀY'!$G$2),CT!G139,0)</f>
        <v>0</v>
      </c>
      <c r="F148" s="69">
        <f>IF(CT!D143='SCTVTHH NGÀY'!$G$2,CT!F143,0)</f>
        <v>0</v>
      </c>
      <c r="G148" s="69">
        <f>IF(CT!D143='SCTVTHH NGÀY'!$G$2,CT!H143,0)</f>
        <v>0</v>
      </c>
      <c r="H148" s="69">
        <f>IF(CT!E143='SCTVTHH NGÀY'!$G$2,CT!F143,0)</f>
        <v>0</v>
      </c>
      <c r="I148" s="69">
        <f>IF(CT!E143='SCTVTHH NGÀY'!$G$2,CT!H143,0)</f>
        <v>0</v>
      </c>
      <c r="J148" s="69">
        <f>IF(SUM(F148,H148)=0,0,$J$8+SUBTOTAL(9,$F$10:F148)-SUBTOTAL(9,$H$10:H148))</f>
        <v>0</v>
      </c>
      <c r="K148" s="69">
        <f>IF(SUM(G148,I148)=0,0,$K$8+SUBTOTAL(9,$G$10:G148)-SUBTOTAL(9,$I$10:I148))</f>
        <v>0</v>
      </c>
      <c r="L148" s="65" t="b">
        <f t="shared" si="2"/>
        <v>0</v>
      </c>
    </row>
    <row r="149" spans="1:12" ht="16.8" x14ac:dyDescent="0.3">
      <c r="A149" s="99"/>
      <c r="B149" s="99"/>
      <c r="C149" s="87" t="s">
        <v>864</v>
      </c>
      <c r="D149" s="87"/>
      <c r="E149" s="87"/>
      <c r="F149" s="142">
        <f>SUBTOTAL(9,F10:F148)</f>
        <v>0</v>
      </c>
      <c r="G149" s="142">
        <f t="shared" ref="G149:I149" si="3">SUBTOTAL(9,G10:G148)</f>
        <v>0</v>
      </c>
      <c r="H149" s="142">
        <f t="shared" si="3"/>
        <v>4</v>
      </c>
      <c r="I149" s="142">
        <f t="shared" si="3"/>
        <v>13200000</v>
      </c>
      <c r="J149" s="87"/>
      <c r="K149" s="87"/>
      <c r="L149" s="99" t="b">
        <v>1</v>
      </c>
    </row>
    <row r="150" spans="1:12" ht="16.8" x14ac:dyDescent="0.3">
      <c r="A150" s="99"/>
      <c r="B150" s="99"/>
      <c r="C150" s="87" t="s">
        <v>888</v>
      </c>
      <c r="D150" s="87"/>
      <c r="E150" s="142">
        <f>IF(J150&lt;&gt;0,K150/J150,0)</f>
        <v>3300000</v>
      </c>
      <c r="F150" s="87"/>
      <c r="G150" s="87"/>
      <c r="H150" s="87"/>
      <c r="I150" s="87"/>
      <c r="J150" s="142">
        <f>J8+F149-H149</f>
        <v>6</v>
      </c>
      <c r="K150" s="142">
        <f>K8+G149-I149</f>
        <v>19800000</v>
      </c>
      <c r="L150" s="99" t="b">
        <v>1</v>
      </c>
    </row>
  </sheetData>
  <autoFilter ref="L9:L150" xr:uid="{D6B0670B-892B-41CB-8428-9ECF954821AC}">
    <filterColumn colId="0">
      <filters>
        <filter val="TRUE"/>
      </filters>
    </filterColumn>
  </autoFilter>
  <mergeCells count="5">
    <mergeCell ref="A1:K1"/>
    <mergeCell ref="C4:C5"/>
    <mergeCell ref="D4:D5"/>
    <mergeCell ref="E4:E5"/>
    <mergeCell ref="L4:L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63181A-638C-4769-9FBB-CD33C9184EB7}">
          <x14:formula1>
            <xm:f>DMTK!$B$48:$B$81</xm:f>
          </x14:formula1>
          <xm:sqref>G2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76F2-F5EE-4E18-868B-5CB55C43FCAA}">
  <sheetPr filterMode="1">
    <tabColor theme="5" tint="-0.249977111117893"/>
  </sheetPr>
  <dimension ref="A1:L267"/>
  <sheetViews>
    <sheetView zoomScaleNormal="100" workbookViewId="0">
      <selection activeCell="D269" sqref="D269"/>
    </sheetView>
  </sheetViews>
  <sheetFormatPr defaultRowHeight="13.2" x14ac:dyDescent="0.25"/>
  <cols>
    <col min="1" max="1" width="16.6640625" customWidth="1"/>
    <col min="2" max="2" width="74" customWidth="1"/>
    <col min="3" max="3" width="16" customWidth="1"/>
    <col min="4" max="4" width="21" customWidth="1"/>
    <col min="5" max="5" width="22.44140625" customWidth="1"/>
    <col min="6" max="6" width="34.77734375" customWidth="1"/>
    <col min="7" max="7" width="19.77734375" customWidth="1"/>
    <col min="8" max="8" width="19.6640625" customWidth="1"/>
    <col min="9" max="9" width="12" customWidth="1"/>
  </cols>
  <sheetData>
    <row r="1" spans="1:12" ht="16.8" x14ac:dyDescent="0.3">
      <c r="A1" s="176" t="s">
        <v>893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</row>
    <row r="2" spans="1:12" ht="16.8" x14ac:dyDescent="0.3">
      <c r="A2" s="87"/>
      <c r="B2" s="87"/>
      <c r="C2" s="90" t="s">
        <v>834</v>
      </c>
      <c r="D2" s="91" t="s">
        <v>733</v>
      </c>
      <c r="E2" s="89" t="s">
        <v>861</v>
      </c>
      <c r="F2" s="89" t="str">
        <f>VLOOKUP(D2,HTTK1!$A$5:$F$80,3)</f>
        <v>Phải thu của khách hàng</v>
      </c>
      <c r="G2" s="87"/>
      <c r="H2" s="87"/>
    </row>
    <row r="3" spans="1:12" ht="16.8" x14ac:dyDescent="0.3">
      <c r="A3" s="87"/>
      <c r="B3" s="87"/>
      <c r="C3" s="87"/>
      <c r="D3" s="87"/>
      <c r="E3" s="87"/>
      <c r="F3" s="87"/>
      <c r="G3" s="87"/>
      <c r="H3" s="87"/>
    </row>
    <row r="4" spans="1:12" ht="16.8" x14ac:dyDescent="0.3">
      <c r="A4" s="87"/>
      <c r="B4" s="87"/>
      <c r="C4" s="87"/>
      <c r="D4" s="87"/>
      <c r="E4" s="87"/>
      <c r="F4" s="87"/>
      <c r="G4" s="87"/>
      <c r="H4" s="87"/>
    </row>
    <row r="5" spans="1:12" ht="16.8" x14ac:dyDescent="0.3">
      <c r="A5" s="177" t="s">
        <v>894</v>
      </c>
      <c r="B5" s="177" t="s">
        <v>895</v>
      </c>
      <c r="C5" s="177" t="s">
        <v>896</v>
      </c>
      <c r="D5" s="177"/>
      <c r="E5" s="177" t="s">
        <v>897</v>
      </c>
      <c r="F5" s="177"/>
      <c r="G5" s="171" t="s">
        <v>898</v>
      </c>
      <c r="H5" s="171"/>
      <c r="I5" s="65"/>
    </row>
    <row r="6" spans="1:12" ht="16.8" x14ac:dyDescent="0.3">
      <c r="A6" s="177"/>
      <c r="B6" s="177"/>
      <c r="C6" s="88" t="s">
        <v>856</v>
      </c>
      <c r="D6" s="88" t="s">
        <v>857</v>
      </c>
      <c r="E6" s="88" t="s">
        <v>899</v>
      </c>
      <c r="F6" s="88" t="s">
        <v>857</v>
      </c>
      <c r="G6" s="88" t="s">
        <v>856</v>
      </c>
      <c r="H6" s="88" t="s">
        <v>857</v>
      </c>
      <c r="I6" s="88" t="s">
        <v>900</v>
      </c>
    </row>
    <row r="7" spans="1:12" hidden="1" x14ac:dyDescent="0.25">
      <c r="A7" s="93" t="str">
        <f>DMTK!B5</f>
        <v>1111</v>
      </c>
      <c r="B7" s="65" t="str">
        <f>VLOOKUP(A7,DMTK!$B$5:$L$263,3,0)</f>
        <v>Tiền Việt Nam</v>
      </c>
      <c r="C7" s="69">
        <f>VLOOKUP(A7,DMTK!$B$5:$L$263,10,0)</f>
        <v>400000000</v>
      </c>
      <c r="D7" s="69">
        <f>VLOOKUP(A7,DMTK!$B$5:$L$263,11,0)</f>
        <v>0</v>
      </c>
      <c r="E7" s="69">
        <f>SUMIFS(CT!$H$5:$H$143,CT!$D$5:$D$143,'BTHCTTK (TH131)'!A7)</f>
        <v>25200000</v>
      </c>
      <c r="F7" s="69">
        <f>SUMIFS(CT!$H$5:$H$143,CT!$E$5:$E$143,'BTHCTTK (TH131)'!A7)</f>
        <v>404100000</v>
      </c>
      <c r="G7" s="69">
        <f>MAX(C7+E7-D7-F7,0)</f>
        <v>21100000</v>
      </c>
      <c r="H7" s="69">
        <f>MAX(D7+F7-C7-E7,0)</f>
        <v>0</v>
      </c>
      <c r="I7" s="65" t="b">
        <f>LEFT(A7,3)=$D$2</f>
        <v>0</v>
      </c>
    </row>
    <row r="8" spans="1:12" hidden="1" x14ac:dyDescent="0.25">
      <c r="A8" s="93" t="str">
        <f>DMTK!B6</f>
        <v>1112</v>
      </c>
      <c r="B8" s="65" t="str">
        <f>VLOOKUP(A8,DMTK!$B$5:$L$263,3,0)</f>
        <v>Ngoại tệ</v>
      </c>
      <c r="C8" s="69">
        <f>VLOOKUP(A8,DMTK!$B$5:$L$263,10,0)</f>
        <v>0</v>
      </c>
      <c r="D8" s="69">
        <f>VLOOKUP(A8,DMTK!$B$5:$L$263,11,0)</f>
        <v>0</v>
      </c>
      <c r="E8" s="69">
        <f>SUMIFS(CT!$H$5:$H$143,CT!$D$5:$D$143,'BTHCTTK (TH131)'!A8)</f>
        <v>0</v>
      </c>
      <c r="F8" s="69">
        <f>SUMIFS(CT!$H$5:$H$143,CT!$E$5:$E$143,'BTHCTTK (TH131)'!A8)</f>
        <v>0</v>
      </c>
      <c r="G8" s="69">
        <f t="shared" ref="G8:G71" si="0">MAX(C8+E8-D8-F8,0)</f>
        <v>0</v>
      </c>
      <c r="H8" s="69">
        <f t="shared" ref="H8:H71" si="1">MAX(D8+F8-C8-E8,0)</f>
        <v>0</v>
      </c>
      <c r="I8" s="65" t="b">
        <f t="shared" ref="I8:I71" si="2">LEFT(A8,3)=$D$2</f>
        <v>0</v>
      </c>
    </row>
    <row r="9" spans="1:12" hidden="1" x14ac:dyDescent="0.25">
      <c r="A9" s="93" t="str">
        <f>DMTK!B7</f>
        <v>1113</v>
      </c>
      <c r="B9" s="65" t="str">
        <f>VLOOKUP(A9,DMTK!$B$5:$L$263,3,0)</f>
        <v>Vàng tiền tệ</v>
      </c>
      <c r="C9" s="69">
        <f>VLOOKUP(A9,DMTK!$B$5:$L$263,10,0)</f>
        <v>0</v>
      </c>
      <c r="D9" s="69">
        <f>VLOOKUP(A9,DMTK!$B$5:$L$263,11,0)</f>
        <v>0</v>
      </c>
      <c r="E9" s="69">
        <f>SUMIFS(CT!$H$5:$H$143,CT!$D$5:$D$143,'BTHCTTK (TH131)'!A9)</f>
        <v>0</v>
      </c>
      <c r="F9" s="69">
        <f>SUMIFS(CT!$H$5:$H$143,CT!$E$5:$E$143,'BTHCTTK (TH131)'!A9)</f>
        <v>0</v>
      </c>
      <c r="G9" s="69">
        <f t="shared" si="0"/>
        <v>0</v>
      </c>
      <c r="H9" s="69">
        <f t="shared" si="1"/>
        <v>0</v>
      </c>
      <c r="I9" s="65" t="b">
        <f t="shared" si="2"/>
        <v>0</v>
      </c>
    </row>
    <row r="10" spans="1:12" hidden="1" x14ac:dyDescent="0.25">
      <c r="A10" s="93" t="str">
        <f>DMTK!B8</f>
        <v>1121.01</v>
      </c>
      <c r="B10" s="65" t="str">
        <f>VLOOKUP(A10,DMTK!$B$5:$L$263,3,0)</f>
        <v>Tiền Việt Nam NH Ngoại Thương</v>
      </c>
      <c r="C10" s="69">
        <f>VLOOKUP(A10,DMTK!$B$5:$L$263,10,0)</f>
        <v>258221000</v>
      </c>
      <c r="D10" s="69">
        <f>VLOOKUP(A10,DMTK!$B$5:$L$263,11,0)</f>
        <v>0</v>
      </c>
      <c r="E10" s="69">
        <f>SUMIFS(CT!$H$5:$H$143,CT!$D$5:$D$143,'BTHCTTK (TH131)'!A10)</f>
        <v>0</v>
      </c>
      <c r="F10" s="69">
        <f>SUMIFS(CT!$H$5:$H$143,CT!$E$5:$E$143,'BTHCTTK (TH131)'!A10)</f>
        <v>90000000</v>
      </c>
      <c r="G10" s="69">
        <f t="shared" si="0"/>
        <v>168221000</v>
      </c>
      <c r="H10" s="69">
        <f t="shared" si="1"/>
        <v>0</v>
      </c>
      <c r="I10" s="65" t="b">
        <f t="shared" si="2"/>
        <v>0</v>
      </c>
    </row>
    <row r="11" spans="1:12" hidden="1" x14ac:dyDescent="0.25">
      <c r="A11" s="93" t="str">
        <f>DMTK!B9</f>
        <v>1121.02</v>
      </c>
      <c r="B11" s="65" t="str">
        <f>VLOOKUP(A11,DMTK!$B$5:$L$263,3,0)</f>
        <v>Tiền Việt Nam NH Đông Á</v>
      </c>
      <c r="C11" s="69">
        <f>VLOOKUP(A11,DMTK!$B$5:$L$263,10,0)</f>
        <v>60000000</v>
      </c>
      <c r="D11" s="69">
        <f>VLOOKUP(A11,DMTK!$B$5:$L$263,11,0)</f>
        <v>0</v>
      </c>
      <c r="E11" s="69">
        <f>SUMIFS(CT!$H$5:$H$143,CT!$D$5:$D$143,'BTHCTTK (TH131)'!A11)</f>
        <v>30000000</v>
      </c>
      <c r="F11" s="69">
        <f>SUMIFS(CT!$H$5:$H$143,CT!$E$5:$E$143,'BTHCTTK (TH131)'!A11)</f>
        <v>0</v>
      </c>
      <c r="G11" s="69">
        <f t="shared" si="0"/>
        <v>90000000</v>
      </c>
      <c r="H11" s="69">
        <f t="shared" si="1"/>
        <v>0</v>
      </c>
      <c r="I11" s="65" t="b">
        <f t="shared" si="2"/>
        <v>0</v>
      </c>
    </row>
    <row r="12" spans="1:12" hidden="1" x14ac:dyDescent="0.25">
      <c r="A12" s="93" t="str">
        <f>DMTK!B10</f>
        <v>1121.03</v>
      </c>
      <c r="B12" s="65" t="str">
        <f>VLOOKUP(A12,DMTK!$B$5:$L$263,3,0)</f>
        <v>Tiền Việt Nam NH Á Châu</v>
      </c>
      <c r="C12" s="69">
        <f>VLOOKUP(A12,DMTK!$B$5:$L$263,10,0)</f>
        <v>40000000</v>
      </c>
      <c r="D12" s="69">
        <f>VLOOKUP(A12,DMTK!$B$5:$L$263,11,0)</f>
        <v>0</v>
      </c>
      <c r="E12" s="69">
        <f>SUMIFS(CT!$H$5:$H$143,CT!$D$5:$D$143,'BTHCTTK (TH131)'!A12)</f>
        <v>0</v>
      </c>
      <c r="F12" s="69">
        <f>SUMIFS(CT!$H$5:$H$143,CT!$E$5:$E$143,'BTHCTTK (TH131)'!A12)</f>
        <v>0</v>
      </c>
      <c r="G12" s="69">
        <f t="shared" si="0"/>
        <v>40000000</v>
      </c>
      <c r="H12" s="69">
        <f t="shared" si="1"/>
        <v>0</v>
      </c>
      <c r="I12" s="65" t="b">
        <f t="shared" si="2"/>
        <v>0</v>
      </c>
    </row>
    <row r="13" spans="1:12" hidden="1" x14ac:dyDescent="0.25">
      <c r="A13" s="93" t="str">
        <f>DMTK!B11</f>
        <v>1122</v>
      </c>
      <c r="B13" s="65" t="str">
        <f>VLOOKUP(A13,DMTK!$B$5:$L$263,3,0)</f>
        <v>Ngoại tệ</v>
      </c>
      <c r="C13" s="69">
        <f>VLOOKUP(A13,DMTK!$B$5:$L$263,10,0)</f>
        <v>0</v>
      </c>
      <c r="D13" s="69">
        <f>VLOOKUP(A13,DMTK!$B$5:$L$263,11,0)</f>
        <v>0</v>
      </c>
      <c r="E13" s="69">
        <f>SUMIFS(CT!$H$5:$H$143,CT!$D$5:$D$143,'BTHCTTK (TH131)'!A13)</f>
        <v>0</v>
      </c>
      <c r="F13" s="69">
        <f>SUMIFS(CT!$H$5:$H$143,CT!$E$5:$E$143,'BTHCTTK (TH131)'!A13)</f>
        <v>0</v>
      </c>
      <c r="G13" s="69">
        <f t="shared" si="0"/>
        <v>0</v>
      </c>
      <c r="H13" s="69">
        <f t="shared" si="1"/>
        <v>0</v>
      </c>
      <c r="I13" s="65" t="b">
        <f t="shared" si="2"/>
        <v>0</v>
      </c>
    </row>
    <row r="14" spans="1:12" hidden="1" x14ac:dyDescent="0.25">
      <c r="A14" s="93" t="str">
        <f>DMTK!B12</f>
        <v>1123</v>
      </c>
      <c r="B14" s="65" t="str">
        <f>VLOOKUP(A14,DMTK!$B$5:$L$263,3,0)</f>
        <v>Vàng tiền tệ</v>
      </c>
      <c r="C14" s="69">
        <f>VLOOKUP(A14,DMTK!$B$5:$L$263,10,0)</f>
        <v>0</v>
      </c>
      <c r="D14" s="69">
        <f>VLOOKUP(A14,DMTK!$B$5:$L$263,11,0)</f>
        <v>0</v>
      </c>
      <c r="E14" s="69">
        <f>SUMIFS(CT!$H$5:$H$143,CT!$D$5:$D$143,'BTHCTTK (TH131)'!A14)</f>
        <v>0</v>
      </c>
      <c r="F14" s="69">
        <f>SUMIFS(CT!$H$5:$H$143,CT!$E$5:$E$143,'BTHCTTK (TH131)'!A14)</f>
        <v>0</v>
      </c>
      <c r="G14" s="69">
        <f t="shared" si="0"/>
        <v>0</v>
      </c>
      <c r="H14" s="69">
        <f t="shared" si="1"/>
        <v>0</v>
      </c>
      <c r="I14" s="65" t="b">
        <f t="shared" si="2"/>
        <v>0</v>
      </c>
    </row>
    <row r="15" spans="1:12" hidden="1" x14ac:dyDescent="0.25">
      <c r="A15" s="93" t="str">
        <f>DMTK!B13</f>
        <v>1131</v>
      </c>
      <c r="B15" s="65" t="str">
        <f>VLOOKUP(A15,DMTK!$B$5:$L$263,3,0)</f>
        <v>Tiền Việt Nam</v>
      </c>
      <c r="C15" s="69">
        <f>VLOOKUP(A15,DMTK!$B$5:$L$263,10,0)</f>
        <v>0</v>
      </c>
      <c r="D15" s="69">
        <f>VLOOKUP(A15,DMTK!$B$5:$L$263,11,0)</f>
        <v>0</v>
      </c>
      <c r="E15" s="69">
        <f>SUMIFS(CT!$H$5:$H$143,CT!$D$5:$D$143,'BTHCTTK (TH131)'!A15)</f>
        <v>0</v>
      </c>
      <c r="F15" s="69">
        <f>SUMIFS(CT!$H$5:$H$143,CT!$E$5:$E$143,'BTHCTTK (TH131)'!A15)</f>
        <v>0</v>
      </c>
      <c r="G15" s="69">
        <f t="shared" si="0"/>
        <v>0</v>
      </c>
      <c r="H15" s="69">
        <f t="shared" si="1"/>
        <v>0</v>
      </c>
      <c r="I15" s="65" t="b">
        <f t="shared" si="2"/>
        <v>0</v>
      </c>
    </row>
    <row r="16" spans="1:12" hidden="1" x14ac:dyDescent="0.25">
      <c r="A16" s="93" t="str">
        <f>DMTK!B14</f>
        <v>1132</v>
      </c>
      <c r="B16" s="65" t="str">
        <f>VLOOKUP(A16,DMTK!$B$5:$L$263,3,0)</f>
        <v>Ngoại tệ</v>
      </c>
      <c r="C16" s="69">
        <f>VLOOKUP(A16,DMTK!$B$5:$L$263,10,0)</f>
        <v>0</v>
      </c>
      <c r="D16" s="69">
        <f>VLOOKUP(A16,DMTK!$B$5:$L$263,11,0)</f>
        <v>0</v>
      </c>
      <c r="E16" s="69">
        <f>SUMIFS(CT!$H$5:$H$143,CT!$D$5:$D$143,'BTHCTTK (TH131)'!A16)</f>
        <v>0</v>
      </c>
      <c r="F16" s="69">
        <f>SUMIFS(CT!$H$5:$H$143,CT!$E$5:$E$143,'BTHCTTK (TH131)'!A16)</f>
        <v>0</v>
      </c>
      <c r="G16" s="69">
        <f t="shared" si="0"/>
        <v>0</v>
      </c>
      <c r="H16" s="69">
        <f t="shared" si="1"/>
        <v>0</v>
      </c>
      <c r="I16" s="65" t="b">
        <f t="shared" si="2"/>
        <v>0</v>
      </c>
    </row>
    <row r="17" spans="1:9" hidden="1" x14ac:dyDescent="0.25">
      <c r="A17" s="93" t="str">
        <f>DMTK!B15</f>
        <v>1211</v>
      </c>
      <c r="B17" s="65" t="str">
        <f>VLOOKUP(A17,DMTK!$B$5:$L$263,3,0)</f>
        <v xml:space="preserve">Cổ phiếu </v>
      </c>
      <c r="C17" s="69">
        <f>VLOOKUP(A17,DMTK!$B$5:$L$263,10,0)</f>
        <v>0</v>
      </c>
      <c r="D17" s="69">
        <f>VLOOKUP(A17,DMTK!$B$5:$L$263,11,0)</f>
        <v>0</v>
      </c>
      <c r="E17" s="69">
        <f>SUMIFS(CT!$H$5:$H$143,CT!$D$5:$D$143,'BTHCTTK (TH131)'!A17)</f>
        <v>0</v>
      </c>
      <c r="F17" s="69">
        <f>SUMIFS(CT!$H$5:$H$143,CT!$E$5:$E$143,'BTHCTTK (TH131)'!A17)</f>
        <v>0</v>
      </c>
      <c r="G17" s="69">
        <f t="shared" si="0"/>
        <v>0</v>
      </c>
      <c r="H17" s="69">
        <f t="shared" si="1"/>
        <v>0</v>
      </c>
      <c r="I17" s="65" t="b">
        <f t="shared" si="2"/>
        <v>0</v>
      </c>
    </row>
    <row r="18" spans="1:9" hidden="1" x14ac:dyDescent="0.25">
      <c r="A18" s="93" t="str">
        <f>DMTK!B16</f>
        <v>1212</v>
      </c>
      <c r="B18" s="65" t="str">
        <f>VLOOKUP(A18,DMTK!$B$5:$L$263,3,0)</f>
        <v>Trái phiếu</v>
      </c>
      <c r="C18" s="69">
        <f>VLOOKUP(A18,DMTK!$B$5:$L$263,10,0)</f>
        <v>0</v>
      </c>
      <c r="D18" s="69">
        <f>VLOOKUP(A18,DMTK!$B$5:$L$263,11,0)</f>
        <v>0</v>
      </c>
      <c r="E18" s="69">
        <f>SUMIFS(CT!$H$5:$H$143,CT!$D$5:$D$143,'BTHCTTK (TH131)'!A18)</f>
        <v>0</v>
      </c>
      <c r="F18" s="69">
        <f>SUMIFS(CT!$H$5:$H$143,CT!$E$5:$E$143,'BTHCTTK (TH131)'!A18)</f>
        <v>0</v>
      </c>
      <c r="G18" s="69">
        <f t="shared" si="0"/>
        <v>0</v>
      </c>
      <c r="H18" s="69">
        <f t="shared" si="1"/>
        <v>0</v>
      </c>
      <c r="I18" s="65" t="b">
        <f t="shared" si="2"/>
        <v>0</v>
      </c>
    </row>
    <row r="19" spans="1:9" hidden="1" x14ac:dyDescent="0.25">
      <c r="A19" s="93" t="str">
        <f>DMTK!B17</f>
        <v>12811</v>
      </c>
      <c r="B19" s="65" t="str">
        <f>VLOOKUP(A19,DMTK!$B$5:$L$263,3,0)</f>
        <v>Tiền gửi có kỳ hạn (không quá 3 tháng)</v>
      </c>
      <c r="C19" s="69">
        <f>VLOOKUP(A19,DMTK!$B$5:$L$263,10,0)</f>
        <v>100000000</v>
      </c>
      <c r="D19" s="69">
        <f>VLOOKUP(A19,DMTK!$B$5:$L$263,11,0)</f>
        <v>0</v>
      </c>
      <c r="E19" s="69">
        <f>SUMIFS(CT!$H$5:$H$143,CT!$D$5:$D$143,'BTHCTTK (TH131)'!A19)</f>
        <v>0</v>
      </c>
      <c r="F19" s="69">
        <f>SUMIFS(CT!$H$5:$H$143,CT!$E$5:$E$143,'BTHCTTK (TH131)'!A19)</f>
        <v>0</v>
      </c>
      <c r="G19" s="69">
        <f t="shared" si="0"/>
        <v>100000000</v>
      </c>
      <c r="H19" s="69">
        <f t="shared" si="1"/>
        <v>0</v>
      </c>
      <c r="I19" s="65" t="b">
        <f t="shared" si="2"/>
        <v>0</v>
      </c>
    </row>
    <row r="20" spans="1:9" hidden="1" x14ac:dyDescent="0.25">
      <c r="A20" s="93" t="str">
        <f>DMTK!B18</f>
        <v>12812</v>
      </c>
      <c r="B20" s="65" t="str">
        <f>VLOOKUP(A20,DMTK!$B$5:$L$263,3,0)</f>
        <v>Tiền gửi có kỳ hạn (không quá 12 tháng)</v>
      </c>
      <c r="C20" s="69">
        <f>VLOOKUP(A20,DMTK!$B$5:$L$263,10,0)</f>
        <v>0</v>
      </c>
      <c r="D20" s="69">
        <f>VLOOKUP(A20,DMTK!$B$5:$L$263,11,0)</f>
        <v>0</v>
      </c>
      <c r="E20" s="69">
        <f>SUMIFS(CT!$H$5:$H$143,CT!$D$5:$D$143,'BTHCTTK (TH131)'!A20)</f>
        <v>0</v>
      </c>
      <c r="F20" s="69">
        <f>SUMIFS(CT!$H$5:$H$143,CT!$E$5:$E$143,'BTHCTTK (TH131)'!A20)</f>
        <v>0</v>
      </c>
      <c r="G20" s="69">
        <f t="shared" si="0"/>
        <v>0</v>
      </c>
      <c r="H20" s="69">
        <f t="shared" si="1"/>
        <v>0</v>
      </c>
      <c r="I20" s="65" t="b">
        <f t="shared" si="2"/>
        <v>0</v>
      </c>
    </row>
    <row r="21" spans="1:9" hidden="1" x14ac:dyDescent="0.25">
      <c r="A21" s="93" t="str">
        <f>DMTK!B19</f>
        <v>12831</v>
      </c>
      <c r="B21" s="65" t="str">
        <f>VLOOKUP(A21,DMTK!$B$5:$L$263,3,0)</f>
        <v>Cho vay (không quá 12 tháng)</v>
      </c>
      <c r="C21" s="69">
        <f>VLOOKUP(A21,DMTK!$B$5:$L$263,10,0)</f>
        <v>0</v>
      </c>
      <c r="D21" s="69">
        <f>VLOOKUP(A21,DMTK!$B$5:$L$263,11,0)</f>
        <v>0</v>
      </c>
      <c r="E21" s="69">
        <f>SUMIFS(CT!$H$5:$H$143,CT!$D$5:$D$143,'BTHCTTK (TH131)'!A21)</f>
        <v>0</v>
      </c>
      <c r="F21" s="69">
        <f>SUMIFS(CT!$H$5:$H$143,CT!$E$5:$E$143,'BTHCTTK (TH131)'!A21)</f>
        <v>0</v>
      </c>
      <c r="G21" s="69">
        <f t="shared" si="0"/>
        <v>0</v>
      </c>
      <c r="H21" s="69">
        <f t="shared" si="1"/>
        <v>0</v>
      </c>
      <c r="I21" s="65" t="b">
        <f t="shared" si="2"/>
        <v>0</v>
      </c>
    </row>
    <row r="22" spans="1:9" hidden="1" x14ac:dyDescent="0.25">
      <c r="A22" s="93" t="str">
        <f>DMTK!B20</f>
        <v>12832</v>
      </c>
      <c r="B22" s="65" t="str">
        <f>VLOOKUP(A22,DMTK!$B$5:$L$263,3,0)</f>
        <v>Cho vay (trên 12 tháng)</v>
      </c>
      <c r="C22" s="69">
        <f>VLOOKUP(A22,DMTK!$B$5:$L$263,10,0)</f>
        <v>0</v>
      </c>
      <c r="D22" s="69">
        <f>VLOOKUP(A22,DMTK!$B$5:$L$263,11,0)</f>
        <v>0</v>
      </c>
      <c r="E22" s="69">
        <f>SUMIFS(CT!$H$5:$H$143,CT!$D$5:$D$143,'BTHCTTK (TH131)'!A22)</f>
        <v>0</v>
      </c>
      <c r="F22" s="69">
        <f>SUMIFS(CT!$H$5:$H$143,CT!$E$5:$E$143,'BTHCTTK (TH131)'!A22)</f>
        <v>0</v>
      </c>
      <c r="G22" s="69">
        <f t="shared" si="0"/>
        <v>0</v>
      </c>
      <c r="H22" s="69">
        <f t="shared" si="1"/>
        <v>0</v>
      </c>
      <c r="I22" s="65" t="b">
        <f t="shared" si="2"/>
        <v>0</v>
      </c>
    </row>
    <row r="23" spans="1:9" hidden="1" x14ac:dyDescent="0.25">
      <c r="A23" s="93" t="str">
        <f>DMTK!B21</f>
        <v>12881</v>
      </c>
      <c r="B23" s="65" t="str">
        <f>VLOOKUP(A23,DMTK!$B$5:$L$263,3,0)</f>
        <v>Các khoản đầu tư khác nắm giữ đến ngày đáo hạn</v>
      </c>
      <c r="C23" s="69">
        <f>VLOOKUP(A23,DMTK!$B$5:$L$263,10,0)</f>
        <v>0</v>
      </c>
      <c r="D23" s="69">
        <f>VLOOKUP(A23,DMTK!$B$5:$L$263,11,0)</f>
        <v>0</v>
      </c>
      <c r="E23" s="69">
        <f>SUMIFS(CT!$H$5:$H$143,CT!$D$5:$D$143,'BTHCTTK (TH131)'!A23)</f>
        <v>0</v>
      </c>
      <c r="F23" s="69">
        <f>SUMIFS(CT!$H$5:$H$143,CT!$E$5:$E$143,'BTHCTTK (TH131)'!A23)</f>
        <v>0</v>
      </c>
      <c r="G23" s="69">
        <f t="shared" si="0"/>
        <v>0</v>
      </c>
      <c r="H23" s="69">
        <f t="shared" si="1"/>
        <v>0</v>
      </c>
      <c r="I23" s="65" t="b">
        <f t="shared" si="2"/>
        <v>0</v>
      </c>
    </row>
    <row r="24" spans="1:9" hidden="1" x14ac:dyDescent="0.25">
      <c r="A24" s="93" t="str">
        <f>DMTK!B22</f>
        <v>12882</v>
      </c>
      <c r="B24" s="65" t="str">
        <f>VLOOKUP(A24,DMTK!$B$5:$L$263,3,0)</f>
        <v>Các khoản đầu tư khác nắm giữ đến ngày đáo hạn (không quá 12 tháng)</v>
      </c>
      <c r="C24" s="69">
        <f>VLOOKUP(A24,DMTK!$B$5:$L$263,10,0)</f>
        <v>0</v>
      </c>
      <c r="D24" s="69">
        <f>VLOOKUP(A24,DMTK!$B$5:$L$263,11,0)</f>
        <v>0</v>
      </c>
      <c r="E24" s="69">
        <f>SUMIFS(CT!$H$5:$H$143,CT!$D$5:$D$143,'BTHCTTK (TH131)'!A24)</f>
        <v>0</v>
      </c>
      <c r="F24" s="69">
        <f>SUMIFS(CT!$H$5:$H$143,CT!$E$5:$E$143,'BTHCTTK (TH131)'!A24)</f>
        <v>0</v>
      </c>
      <c r="G24" s="69">
        <f t="shared" si="0"/>
        <v>0</v>
      </c>
      <c r="H24" s="69">
        <f t="shared" si="1"/>
        <v>0</v>
      </c>
      <c r="I24" s="65" t="b">
        <f t="shared" si="2"/>
        <v>0</v>
      </c>
    </row>
    <row r="25" spans="1:9" x14ac:dyDescent="0.25">
      <c r="A25" s="93" t="str">
        <f>DMTK!B23</f>
        <v>1311.01</v>
      </c>
      <c r="B25" s="65" t="str">
        <f>VLOOKUP(A25,DMTK!$B$5:$L$263,3,0)</f>
        <v>Công ty Quang Minh (ngắn hạn)</v>
      </c>
      <c r="C25" s="69">
        <f>VLOOKUP(A25,DMTK!$B$5:$L$263,10,0)</f>
        <v>100000000</v>
      </c>
      <c r="D25" s="69">
        <f>VLOOKUP(A25,DMTK!$B$5:$L$263,11,0)</f>
        <v>0</v>
      </c>
      <c r="E25" s="69">
        <f>SUMIFS(CT!$H$5:$H$143,CT!$D$5:$D$143,'BTHCTTK (TH131)'!A25)</f>
        <v>0</v>
      </c>
      <c r="F25" s="69">
        <f>SUMIFS(CT!$H$5:$H$143,CT!$E$5:$E$143,'BTHCTTK (TH131)'!A25)</f>
        <v>20000000</v>
      </c>
      <c r="G25" s="69">
        <f t="shared" si="0"/>
        <v>80000000</v>
      </c>
      <c r="H25" s="69">
        <f t="shared" si="1"/>
        <v>0</v>
      </c>
      <c r="I25" s="65" t="b">
        <f t="shared" si="2"/>
        <v>1</v>
      </c>
    </row>
    <row r="26" spans="1:9" x14ac:dyDescent="0.25">
      <c r="A26" s="93" t="str">
        <f>DMTK!B24</f>
        <v>1311.02</v>
      </c>
      <c r="B26" s="65" t="str">
        <f>VLOOKUP(A26,DMTK!$B$5:$L$263,3,0)</f>
        <v>Cty TNHH TMDV Mai Anh (ngắn hạn)</v>
      </c>
      <c r="C26" s="69">
        <f>VLOOKUP(A26,DMTK!$B$5:$L$263,10,0)</f>
        <v>70000000</v>
      </c>
      <c r="D26" s="69">
        <f>VLOOKUP(A26,DMTK!$B$5:$L$263,11,0)</f>
        <v>0</v>
      </c>
      <c r="E26" s="69">
        <f>SUMIFS(CT!$H$5:$H$143,CT!$D$5:$D$143,'BTHCTTK (TH131)'!A26)</f>
        <v>0</v>
      </c>
      <c r="F26" s="69">
        <f>SUMIFS(CT!$H$5:$H$143,CT!$E$5:$E$143,'BTHCTTK (TH131)'!A26)</f>
        <v>30000000</v>
      </c>
      <c r="G26" s="69">
        <f t="shared" si="0"/>
        <v>40000000</v>
      </c>
      <c r="H26" s="69">
        <f t="shared" si="1"/>
        <v>0</v>
      </c>
      <c r="I26" s="65" t="b">
        <f t="shared" si="2"/>
        <v>1</v>
      </c>
    </row>
    <row r="27" spans="1:9" x14ac:dyDescent="0.25">
      <c r="A27" s="93" t="str">
        <f>DMTK!B25</f>
        <v>1311.03</v>
      </c>
      <c r="B27" s="65" t="str">
        <f>VLOOKUP(A27,DMTK!$B$5:$L$263,3,0)</f>
        <v>Cty TNHH Phương Nam (ngắn hạn)</v>
      </c>
      <c r="C27" s="69">
        <f>VLOOKUP(A27,DMTK!$B$5:$L$263,10,0)</f>
        <v>57000000</v>
      </c>
      <c r="D27" s="69">
        <f>VLOOKUP(A27,DMTK!$B$5:$L$263,11,0)</f>
        <v>0</v>
      </c>
      <c r="E27" s="69">
        <f>SUMIFS(CT!$H$5:$H$143,CT!$D$5:$D$143,'BTHCTTK (TH131)'!A27)</f>
        <v>0</v>
      </c>
      <c r="F27" s="69">
        <f>SUMIFS(CT!$H$5:$H$143,CT!$E$5:$E$143,'BTHCTTK (TH131)'!A27)</f>
        <v>5000000</v>
      </c>
      <c r="G27" s="69">
        <f t="shared" si="0"/>
        <v>52000000</v>
      </c>
      <c r="H27" s="69">
        <f t="shared" si="1"/>
        <v>0</v>
      </c>
      <c r="I27" s="65" t="b">
        <f t="shared" si="2"/>
        <v>1</v>
      </c>
    </row>
    <row r="28" spans="1:9" x14ac:dyDescent="0.25">
      <c r="A28" s="93" t="str">
        <f>DMTK!B26</f>
        <v>1311.04</v>
      </c>
      <c r="B28" s="65" t="str">
        <f>VLOOKUP(A28,DMTK!$B$5:$L$263,3,0)</f>
        <v>Cty TNHH Kim Tín (ngắn hạn)</v>
      </c>
      <c r="C28" s="69">
        <f>VLOOKUP(A28,DMTK!$B$5:$L$263,10,0)</f>
        <v>0</v>
      </c>
      <c r="D28" s="69">
        <f>VLOOKUP(A28,DMTK!$B$5:$L$263,11,0)</f>
        <v>52000000</v>
      </c>
      <c r="E28" s="69">
        <f>SUMIFS(CT!$H$5:$H$143,CT!$D$5:$D$143,'BTHCTTK (TH131)'!A28)</f>
        <v>0</v>
      </c>
      <c r="F28" s="69">
        <f>SUMIFS(CT!$H$5:$H$143,CT!$E$5:$E$143,'BTHCTTK (TH131)'!A28)</f>
        <v>0</v>
      </c>
      <c r="G28" s="69">
        <f t="shared" si="0"/>
        <v>0</v>
      </c>
      <c r="H28" s="69">
        <f t="shared" si="1"/>
        <v>52000000</v>
      </c>
      <c r="I28" s="65" t="b">
        <f t="shared" si="2"/>
        <v>1</v>
      </c>
    </row>
    <row r="29" spans="1:9" x14ac:dyDescent="0.25">
      <c r="A29" s="93" t="str">
        <f>DMTK!B27</f>
        <v>1311.05</v>
      </c>
      <c r="B29" s="65" t="str">
        <f>VLOOKUP(A29,DMTK!$B$5:$L$263,3,0)</f>
        <v>Cty TNHH Nam Việt (ngắn hạn)</v>
      </c>
      <c r="C29" s="69">
        <f>VLOOKUP(A29,DMTK!$B$5:$L$263,10,0)</f>
        <v>0</v>
      </c>
      <c r="D29" s="69">
        <f>VLOOKUP(A29,DMTK!$B$5:$L$263,11,0)</f>
        <v>0</v>
      </c>
      <c r="E29" s="69">
        <f>SUMIFS(CT!$H$5:$H$143,CT!$D$5:$D$143,'BTHCTTK (TH131)'!A29)</f>
        <v>30150000</v>
      </c>
      <c r="F29" s="69">
        <f>SUMIFS(CT!$H$5:$H$143,CT!$E$5:$E$143,'BTHCTTK (TH131)'!A29)</f>
        <v>0</v>
      </c>
      <c r="G29" s="69">
        <f t="shared" si="0"/>
        <v>30150000</v>
      </c>
      <c r="H29" s="69">
        <f t="shared" si="1"/>
        <v>0</v>
      </c>
      <c r="I29" s="65" t="b">
        <f t="shared" si="2"/>
        <v>1</v>
      </c>
    </row>
    <row r="30" spans="1:9" x14ac:dyDescent="0.25">
      <c r="A30" s="93" t="str">
        <f>DMTK!B28</f>
        <v>1311.06</v>
      </c>
      <c r="B30" s="65" t="str">
        <f>VLOOKUP(A30,DMTK!$B$5:$L$263,3,0)</f>
        <v>Cty XNK Vật Tư (ngắn hạn)</v>
      </c>
      <c r="C30" s="69">
        <f>VLOOKUP(A30,DMTK!$B$5:$L$263,10,0)</f>
        <v>0</v>
      </c>
      <c r="D30" s="69">
        <f>VLOOKUP(A30,DMTK!$B$5:$L$263,11,0)</f>
        <v>0</v>
      </c>
      <c r="E30" s="69">
        <f>SUMIFS(CT!$H$5:$H$143,CT!$D$5:$D$143,'BTHCTTK (TH131)'!A30)</f>
        <v>61007500</v>
      </c>
      <c r="F30" s="69">
        <f>SUMIFS(CT!$H$5:$H$143,CT!$E$5:$E$143,'BTHCTTK (TH131)'!A30)</f>
        <v>0</v>
      </c>
      <c r="G30" s="69">
        <f t="shared" si="0"/>
        <v>61007500</v>
      </c>
      <c r="H30" s="69">
        <f t="shared" si="1"/>
        <v>0</v>
      </c>
      <c r="I30" s="65" t="b">
        <f>LEFT(A30,3)=$D$2</f>
        <v>1</v>
      </c>
    </row>
    <row r="31" spans="1:9" hidden="1" x14ac:dyDescent="0.25">
      <c r="A31" s="93" t="str">
        <f>DMTK!B29</f>
        <v>1331</v>
      </c>
      <c r="B31" s="65" t="str">
        <f>VLOOKUP(A31,DMTK!$B$5:$L$263,3,0)</f>
        <v>Thuế GTGT được khấu trừ của hàng hóa, dịch vụ</v>
      </c>
      <c r="C31" s="69">
        <f>VLOOKUP(A31,DMTK!$B$5:$L$263,10,0)</f>
        <v>0</v>
      </c>
      <c r="D31" s="69">
        <f>VLOOKUP(A31,DMTK!$B$5:$L$263,11,0)</f>
        <v>0</v>
      </c>
      <c r="E31" s="69">
        <f>SUMIFS(CT!$H$5:$H$143,CT!$D$5:$D$143,'BTHCTTK (TH131)'!A31)</f>
        <v>1655000</v>
      </c>
      <c r="F31" s="69">
        <f>SUMIFS(CT!$H$5:$H$143,CT!$E$5:$E$143,'BTHCTTK (TH131)'!A31)</f>
        <v>0</v>
      </c>
      <c r="G31" s="69">
        <f t="shared" si="0"/>
        <v>1655000</v>
      </c>
      <c r="H31" s="69">
        <f t="shared" si="1"/>
        <v>0</v>
      </c>
      <c r="I31" s="65" t="b">
        <f t="shared" si="2"/>
        <v>0</v>
      </c>
    </row>
    <row r="32" spans="1:9" hidden="1" x14ac:dyDescent="0.25">
      <c r="A32" s="93" t="str">
        <f>DMTK!B30</f>
        <v>1332</v>
      </c>
      <c r="B32" s="65" t="str">
        <f>VLOOKUP(A32,DMTK!$B$5:$L$263,3,0)</f>
        <v>Thuế GTGT được khấu trừ của TSCĐ</v>
      </c>
      <c r="C32" s="69">
        <f>VLOOKUP(A32,DMTK!$B$5:$L$263,10,0)</f>
        <v>0</v>
      </c>
      <c r="D32" s="69">
        <f>VLOOKUP(A32,DMTK!$B$5:$L$263,11,0)</f>
        <v>0</v>
      </c>
      <c r="E32" s="69">
        <f>SUMIFS(CT!$H$5:$H$143,CT!$D$5:$D$143,'BTHCTTK (TH131)'!A32)</f>
        <v>14000000</v>
      </c>
      <c r="F32" s="69">
        <f>SUMIFS(CT!$H$5:$H$143,CT!$E$5:$E$143,'BTHCTTK (TH131)'!A32)</f>
        <v>0</v>
      </c>
      <c r="G32" s="69">
        <f t="shared" si="0"/>
        <v>14000000</v>
      </c>
      <c r="H32" s="69">
        <f t="shared" si="1"/>
        <v>0</v>
      </c>
      <c r="I32" s="65" t="b">
        <f t="shared" si="2"/>
        <v>0</v>
      </c>
    </row>
    <row r="33" spans="1:9" hidden="1" x14ac:dyDescent="0.25">
      <c r="A33" s="93" t="str">
        <f>DMTK!B31</f>
        <v>1361</v>
      </c>
      <c r="B33" s="65" t="str">
        <f>VLOOKUP(A33,DMTK!$B$5:$L$263,3,0)</f>
        <v>Vốn kinh doanh ở các đơn vị trực thuộc</v>
      </c>
      <c r="C33" s="69">
        <f>VLOOKUP(A33,DMTK!$B$5:$L$263,10,0)</f>
        <v>0</v>
      </c>
      <c r="D33" s="69">
        <f>VLOOKUP(A33,DMTK!$B$5:$L$263,11,0)</f>
        <v>0</v>
      </c>
      <c r="E33" s="69">
        <f>SUMIFS(CT!$H$5:$H$143,CT!$D$5:$D$143,'BTHCTTK (TH131)'!A33)</f>
        <v>0</v>
      </c>
      <c r="F33" s="69">
        <f>SUMIFS(CT!$H$5:$H$143,CT!$E$5:$E$143,'BTHCTTK (TH131)'!A33)</f>
        <v>0</v>
      </c>
      <c r="G33" s="69">
        <f t="shared" si="0"/>
        <v>0</v>
      </c>
      <c r="H33" s="69">
        <f t="shared" si="1"/>
        <v>0</v>
      </c>
      <c r="I33" s="65" t="b">
        <f t="shared" si="2"/>
        <v>0</v>
      </c>
    </row>
    <row r="34" spans="1:9" hidden="1" x14ac:dyDescent="0.25">
      <c r="A34" s="93" t="str">
        <f>DMTK!B32</f>
        <v>13621</v>
      </c>
      <c r="B34" s="65" t="str">
        <f>VLOOKUP(A34,DMTK!$B$5:$L$263,3,0)</f>
        <v>Phải thu nội bộ về chênh lệch tỷ giá (không quá 12 tháng)</v>
      </c>
      <c r="C34" s="69">
        <f>VLOOKUP(A34,DMTK!$B$5:$L$263,10,0)</f>
        <v>0</v>
      </c>
      <c r="D34" s="69">
        <f>VLOOKUP(A34,DMTK!$B$5:$L$263,11,0)</f>
        <v>0</v>
      </c>
      <c r="E34" s="69">
        <f>SUMIFS(CT!$H$5:$H$143,CT!$D$5:$D$143,'BTHCTTK (TH131)'!A34)</f>
        <v>0</v>
      </c>
      <c r="F34" s="69">
        <f>SUMIFS(CT!$H$5:$H$143,CT!$E$5:$E$143,'BTHCTTK (TH131)'!A34)</f>
        <v>0</v>
      </c>
      <c r="G34" s="69">
        <f t="shared" si="0"/>
        <v>0</v>
      </c>
      <c r="H34" s="69">
        <f t="shared" si="1"/>
        <v>0</v>
      </c>
      <c r="I34" s="65" t="b">
        <f t="shared" si="2"/>
        <v>0</v>
      </c>
    </row>
    <row r="35" spans="1:9" hidden="1" x14ac:dyDescent="0.25">
      <c r="A35" s="93" t="str">
        <f>DMTK!B33</f>
        <v>13622</v>
      </c>
      <c r="B35" s="65" t="str">
        <f>VLOOKUP(A35,DMTK!$B$5:$L$263,3,0)</f>
        <v>Phải thu nội bộ về chênh lệch tỷ giá (trên 12 tháng)</v>
      </c>
      <c r="C35" s="69">
        <f>VLOOKUP(A35,DMTK!$B$5:$L$263,10,0)</f>
        <v>0</v>
      </c>
      <c r="D35" s="69">
        <f>VLOOKUP(A35,DMTK!$B$5:$L$263,11,0)</f>
        <v>0</v>
      </c>
      <c r="E35" s="69">
        <f>SUMIFS(CT!$H$5:$H$143,CT!$D$5:$D$143,'BTHCTTK (TH131)'!A35)</f>
        <v>0</v>
      </c>
      <c r="F35" s="69">
        <f>SUMIFS(CT!$H$5:$H$143,CT!$E$5:$E$143,'BTHCTTK (TH131)'!A35)</f>
        <v>0</v>
      </c>
      <c r="G35" s="69">
        <f t="shared" si="0"/>
        <v>0</v>
      </c>
      <c r="H35" s="69">
        <f t="shared" si="1"/>
        <v>0</v>
      </c>
      <c r="I35" s="65" t="b">
        <f t="shared" si="2"/>
        <v>0</v>
      </c>
    </row>
    <row r="36" spans="1:9" hidden="1" x14ac:dyDescent="0.25">
      <c r="A36" s="93" t="str">
        <f>DMTK!B34</f>
        <v>13631</v>
      </c>
      <c r="B36" s="65" t="str">
        <f>VLOOKUP(A36,DMTK!$B$5:$L$263,3,0)</f>
        <v>Phải thu nội bộ về chi phí đi vay đủ điều kiện được vốn hóa (không quá 12 tháng)</v>
      </c>
      <c r="C36" s="69">
        <f>VLOOKUP(A36,DMTK!$B$5:$L$263,10,0)</f>
        <v>0</v>
      </c>
      <c r="D36" s="69">
        <f>VLOOKUP(A36,DMTK!$B$5:$L$263,11,0)</f>
        <v>0</v>
      </c>
      <c r="E36" s="69">
        <f>SUMIFS(CT!$H$5:$H$143,CT!$D$5:$D$143,'BTHCTTK (TH131)'!A36)</f>
        <v>0</v>
      </c>
      <c r="F36" s="69">
        <f>SUMIFS(CT!$H$5:$H$143,CT!$E$5:$E$143,'BTHCTTK (TH131)'!A36)</f>
        <v>0</v>
      </c>
      <c r="G36" s="69">
        <f t="shared" si="0"/>
        <v>0</v>
      </c>
      <c r="H36" s="69">
        <f t="shared" si="1"/>
        <v>0</v>
      </c>
      <c r="I36" s="65" t="b">
        <f t="shared" si="2"/>
        <v>0</v>
      </c>
    </row>
    <row r="37" spans="1:9" hidden="1" x14ac:dyDescent="0.25">
      <c r="A37" s="93" t="str">
        <f>DMTK!B35</f>
        <v>13632</v>
      </c>
      <c r="B37" s="65" t="str">
        <f>VLOOKUP(A37,DMTK!$B$5:$L$263,3,0)</f>
        <v>Phải thu nội bộ về chi phí đi vay đủ điều kiện được vốn hóa (trên 12 tháng)</v>
      </c>
      <c r="C37" s="69">
        <f>VLOOKUP(A37,DMTK!$B$5:$L$263,10,0)</f>
        <v>0</v>
      </c>
      <c r="D37" s="69">
        <f>VLOOKUP(A37,DMTK!$B$5:$L$263,11,0)</f>
        <v>0</v>
      </c>
      <c r="E37" s="69">
        <f>SUMIFS(CT!$H$5:$H$143,CT!$D$5:$D$143,'BTHCTTK (TH131)'!A37)</f>
        <v>0</v>
      </c>
      <c r="F37" s="69">
        <f>SUMIFS(CT!$H$5:$H$143,CT!$E$5:$E$143,'BTHCTTK (TH131)'!A37)</f>
        <v>0</v>
      </c>
      <c r="G37" s="69">
        <f t="shared" si="0"/>
        <v>0</v>
      </c>
      <c r="H37" s="69">
        <f t="shared" si="1"/>
        <v>0</v>
      </c>
      <c r="I37" s="65" t="b">
        <f t="shared" si="2"/>
        <v>0</v>
      </c>
    </row>
    <row r="38" spans="1:9" hidden="1" x14ac:dyDescent="0.25">
      <c r="A38" s="93" t="str">
        <f>DMTK!B36</f>
        <v>13681</v>
      </c>
      <c r="B38" s="65" t="str">
        <f>VLOOKUP(A38,DMTK!$B$5:$L$263,3,0)</f>
        <v>Phải thu nội bộ khác (không quá 12 tháng)</v>
      </c>
      <c r="C38" s="69">
        <f>VLOOKUP(A38,DMTK!$B$5:$L$263,10,0)</f>
        <v>0</v>
      </c>
      <c r="D38" s="69">
        <f>VLOOKUP(A38,DMTK!$B$5:$L$263,11,0)</f>
        <v>0</v>
      </c>
      <c r="E38" s="69">
        <f>SUMIFS(CT!$H$5:$H$143,CT!$D$5:$D$143,'BTHCTTK (TH131)'!A38)</f>
        <v>0</v>
      </c>
      <c r="F38" s="69">
        <f>SUMIFS(CT!$H$5:$H$143,CT!$E$5:$E$143,'BTHCTTK (TH131)'!A38)</f>
        <v>0</v>
      </c>
      <c r="G38" s="69">
        <f t="shared" si="0"/>
        <v>0</v>
      </c>
      <c r="H38" s="69">
        <f t="shared" si="1"/>
        <v>0</v>
      </c>
      <c r="I38" s="65" t="b">
        <f t="shared" si="2"/>
        <v>0</v>
      </c>
    </row>
    <row r="39" spans="1:9" hidden="1" x14ac:dyDescent="0.25">
      <c r="A39" s="93" t="str">
        <f>DMTK!B37</f>
        <v>13682</v>
      </c>
      <c r="B39" s="65" t="str">
        <f>VLOOKUP(A39,DMTK!$B$5:$L$263,3,0)</f>
        <v>Phải thu nội bộ khác (trên 12 tháng)</v>
      </c>
      <c r="C39" s="69">
        <f>VLOOKUP(A39,DMTK!$B$5:$L$263,10,0)</f>
        <v>0</v>
      </c>
      <c r="D39" s="69">
        <f>VLOOKUP(A39,DMTK!$B$5:$L$263,11,0)</f>
        <v>0</v>
      </c>
      <c r="E39" s="69">
        <f>SUMIFS(CT!$H$5:$H$143,CT!$D$5:$D$143,'BTHCTTK (TH131)'!A39)</f>
        <v>0</v>
      </c>
      <c r="F39" s="69">
        <f>SUMIFS(CT!$H$5:$H$143,CT!$E$5:$E$143,'BTHCTTK (TH131)'!A39)</f>
        <v>0</v>
      </c>
      <c r="G39" s="69">
        <f t="shared" si="0"/>
        <v>0</v>
      </c>
      <c r="H39" s="69">
        <f t="shared" si="1"/>
        <v>0</v>
      </c>
      <c r="I39" s="65" t="b">
        <f t="shared" si="2"/>
        <v>0</v>
      </c>
    </row>
    <row r="40" spans="1:9" hidden="1" x14ac:dyDescent="0.25">
      <c r="A40" s="93" t="str">
        <f>DMTK!B38</f>
        <v>1381</v>
      </c>
      <c r="B40" s="65" t="str">
        <f>VLOOKUP(A40,DMTK!$B$5:$L$263,3,0)</f>
        <v>Tài sản thiếu chờ xử lý</v>
      </c>
      <c r="C40" s="69">
        <f>VLOOKUP(A40,DMTK!$B$5:$L$263,10,0)</f>
        <v>0</v>
      </c>
      <c r="D40" s="69">
        <f>VLOOKUP(A40,DMTK!$B$5:$L$263,11,0)</f>
        <v>0</v>
      </c>
      <c r="E40" s="69">
        <f>SUMIFS(CT!$H$5:$H$143,CT!$D$5:$D$143,'BTHCTTK (TH131)'!A40)</f>
        <v>0</v>
      </c>
      <c r="F40" s="69">
        <f>SUMIFS(CT!$H$5:$H$143,CT!$E$5:$E$143,'BTHCTTK (TH131)'!A40)</f>
        <v>0</v>
      </c>
      <c r="G40" s="69">
        <f t="shared" si="0"/>
        <v>0</v>
      </c>
      <c r="H40" s="69">
        <f t="shared" si="1"/>
        <v>0</v>
      </c>
      <c r="I40" s="65" t="b">
        <f t="shared" si="2"/>
        <v>0</v>
      </c>
    </row>
    <row r="41" spans="1:9" hidden="1" x14ac:dyDescent="0.25">
      <c r="A41" s="93" t="str">
        <f>DMTK!B39</f>
        <v>13851</v>
      </c>
      <c r="B41" s="65" t="str">
        <f>VLOOKUP(A41,DMTK!$B$5:$L$263,3,0)</f>
        <v>Phải thu về cổ phần hóa (không quá 12 tháng)</v>
      </c>
      <c r="C41" s="69">
        <f>VLOOKUP(A41,DMTK!$B$5:$L$263,10,0)</f>
        <v>0</v>
      </c>
      <c r="D41" s="69">
        <f>VLOOKUP(A41,DMTK!$B$5:$L$263,11,0)</f>
        <v>0</v>
      </c>
      <c r="E41" s="69">
        <f>SUMIFS(CT!$H$5:$H$143,CT!$D$5:$D$143,'BTHCTTK (TH131)'!A41)</f>
        <v>0</v>
      </c>
      <c r="F41" s="69">
        <f>SUMIFS(CT!$H$5:$H$143,CT!$E$5:$E$143,'BTHCTTK (TH131)'!A41)</f>
        <v>0</v>
      </c>
      <c r="G41" s="69">
        <f t="shared" si="0"/>
        <v>0</v>
      </c>
      <c r="H41" s="69">
        <f t="shared" si="1"/>
        <v>0</v>
      </c>
      <c r="I41" s="65" t="b">
        <f t="shared" si="2"/>
        <v>0</v>
      </c>
    </row>
    <row r="42" spans="1:9" hidden="1" x14ac:dyDescent="0.25">
      <c r="A42" s="93" t="str">
        <f>DMTK!B40</f>
        <v>13852</v>
      </c>
      <c r="B42" s="65" t="str">
        <f>VLOOKUP(A42,DMTK!$B$5:$L$263,3,0)</f>
        <v>Phải thu về cổ phần hóa</v>
      </c>
      <c r="C42" s="69">
        <f>VLOOKUP(A42,DMTK!$B$5:$L$263,10,0)</f>
        <v>0</v>
      </c>
      <c r="D42" s="69">
        <f>VLOOKUP(A42,DMTK!$B$5:$L$263,11,0)</f>
        <v>0</v>
      </c>
      <c r="E42" s="69">
        <f>SUMIFS(CT!$H$5:$H$143,CT!$D$5:$D$143,'BTHCTTK (TH131)'!A42)</f>
        <v>0</v>
      </c>
      <c r="F42" s="69">
        <f>SUMIFS(CT!$H$5:$H$143,CT!$E$5:$E$143,'BTHCTTK (TH131)'!A42)</f>
        <v>0</v>
      </c>
      <c r="G42" s="69">
        <f t="shared" si="0"/>
        <v>0</v>
      </c>
      <c r="H42" s="69">
        <f t="shared" si="1"/>
        <v>0</v>
      </c>
      <c r="I42" s="65" t="b">
        <f t="shared" si="2"/>
        <v>0</v>
      </c>
    </row>
    <row r="43" spans="1:9" hidden="1" x14ac:dyDescent="0.25">
      <c r="A43" s="93" t="str">
        <f>DMTK!B41</f>
        <v>13881</v>
      </c>
      <c r="B43" s="65" t="str">
        <f>VLOOKUP(A43,DMTK!$B$5:$L$263,3,0)</f>
        <v>Phải thu khác (không quá 12 tháng)</v>
      </c>
      <c r="C43" s="69">
        <f>VLOOKUP(A43,DMTK!$B$5:$L$263,10,0)</f>
        <v>52200000</v>
      </c>
      <c r="D43" s="69">
        <f>VLOOKUP(A43,DMTK!$B$5:$L$263,11,0)</f>
        <v>0</v>
      </c>
      <c r="E43" s="69">
        <f>SUMIFS(CT!$H$5:$H$143,CT!$D$5:$D$143,'BTHCTTK (TH131)'!A43)</f>
        <v>0</v>
      </c>
      <c r="F43" s="69">
        <f>SUMIFS(CT!$H$5:$H$143,CT!$E$5:$E$143,'BTHCTTK (TH131)'!A43)</f>
        <v>0</v>
      </c>
      <c r="G43" s="69">
        <f t="shared" si="0"/>
        <v>52200000</v>
      </c>
      <c r="H43" s="69">
        <f t="shared" si="1"/>
        <v>0</v>
      </c>
      <c r="I43" s="65" t="b">
        <f t="shared" si="2"/>
        <v>0</v>
      </c>
    </row>
    <row r="44" spans="1:9" hidden="1" x14ac:dyDescent="0.25">
      <c r="A44" s="93" t="str">
        <f>DMTK!B42</f>
        <v>13882</v>
      </c>
      <c r="B44" s="65" t="str">
        <f>VLOOKUP(A44,DMTK!$B$5:$L$263,3,0)</f>
        <v>Phải thu khác (trên 12 tháng)</v>
      </c>
      <c r="C44" s="69">
        <f>VLOOKUP(A44,DMTK!$B$5:$L$263,10,0)</f>
        <v>0</v>
      </c>
      <c r="D44" s="69">
        <f>VLOOKUP(A44,DMTK!$B$5:$L$263,11,0)</f>
        <v>0</v>
      </c>
      <c r="E44" s="69">
        <f>SUMIFS(CT!$H$5:$H$143,CT!$D$5:$D$143,'BTHCTTK (TH131)'!A44)</f>
        <v>0</v>
      </c>
      <c r="F44" s="69">
        <f>SUMIFS(CT!$H$5:$H$143,CT!$E$5:$E$143,'BTHCTTK (TH131)'!A44)</f>
        <v>0</v>
      </c>
      <c r="G44" s="69">
        <f t="shared" si="0"/>
        <v>0</v>
      </c>
      <c r="H44" s="69">
        <f t="shared" si="1"/>
        <v>0</v>
      </c>
      <c r="I44" s="65" t="b">
        <f t="shared" si="2"/>
        <v>0</v>
      </c>
    </row>
    <row r="45" spans="1:9" hidden="1" x14ac:dyDescent="0.25">
      <c r="A45" s="93" t="str">
        <f>DMTK!B43</f>
        <v>141.0101</v>
      </c>
      <c r="B45" s="65" t="str">
        <f>VLOOKUP(A45,DMTK!$B$5:$L$263,3,0)</f>
        <v>Vương Thiện Minh</v>
      </c>
      <c r="C45" s="69">
        <f>VLOOKUP(A45,DMTK!$B$5:$L$263,10,0)</f>
        <v>200000</v>
      </c>
      <c r="D45" s="69">
        <f>VLOOKUP(A45,DMTK!$B$5:$L$263,11,0)</f>
        <v>0</v>
      </c>
      <c r="E45" s="69">
        <f>SUMIFS(CT!$H$5:$H$143,CT!$D$5:$D$143,'BTHCTTK (TH131)'!A45)</f>
        <v>0</v>
      </c>
      <c r="F45" s="69">
        <f>SUMIFS(CT!$H$5:$H$143,CT!$E$5:$E$143,'BTHCTTK (TH131)'!A45)</f>
        <v>0</v>
      </c>
      <c r="G45" s="69">
        <f t="shared" si="0"/>
        <v>200000</v>
      </c>
      <c r="H45" s="69">
        <f t="shared" si="1"/>
        <v>0</v>
      </c>
      <c r="I45" s="65" t="b">
        <f t="shared" si="2"/>
        <v>0</v>
      </c>
    </row>
    <row r="46" spans="1:9" hidden="1" x14ac:dyDescent="0.25">
      <c r="A46" s="93" t="str">
        <f>DMTK!B44</f>
        <v>141.0102</v>
      </c>
      <c r="B46" s="65" t="str">
        <f>VLOOKUP(A46,DMTK!$B$5:$L$263,3,0)</f>
        <v>Hồ Sĩ Nhật</v>
      </c>
      <c r="C46" s="69">
        <f>VLOOKUP(A46,DMTK!$B$5:$L$263,10,0)</f>
        <v>1000000</v>
      </c>
      <c r="D46" s="69">
        <f>VLOOKUP(A46,DMTK!$B$5:$L$263,11,0)</f>
        <v>0</v>
      </c>
      <c r="E46" s="69">
        <f>SUMIFS(CT!$H$5:$H$143,CT!$D$5:$D$143,'BTHCTTK (TH131)'!A46)</f>
        <v>2000000</v>
      </c>
      <c r="F46" s="69">
        <f>SUMIFS(CT!$H$5:$H$143,CT!$E$5:$E$143,'BTHCTTK (TH131)'!A46)</f>
        <v>2000000</v>
      </c>
      <c r="G46" s="69">
        <f t="shared" si="0"/>
        <v>1000000</v>
      </c>
      <c r="H46" s="69">
        <f t="shared" si="1"/>
        <v>0</v>
      </c>
      <c r="I46" s="65" t="b">
        <f t="shared" si="2"/>
        <v>0</v>
      </c>
    </row>
    <row r="47" spans="1:9" hidden="1" x14ac:dyDescent="0.25">
      <c r="A47" s="93" t="str">
        <f>DMTK!B45</f>
        <v>141.0103</v>
      </c>
      <c r="B47" s="65" t="str">
        <f>VLOOKUP(A47,DMTK!$B$5:$L$263,3,0)</f>
        <v>Phạm Minh Duy</v>
      </c>
      <c r="C47" s="69">
        <f>VLOOKUP(A47,DMTK!$B$5:$L$263,10,0)</f>
        <v>300000</v>
      </c>
      <c r="D47" s="69">
        <f>VLOOKUP(A47,DMTK!$B$5:$L$263,11,0)</f>
        <v>0</v>
      </c>
      <c r="E47" s="69">
        <f>SUMIFS(CT!$H$5:$H$143,CT!$D$5:$D$143,'BTHCTTK (TH131)'!A47)</f>
        <v>0</v>
      </c>
      <c r="F47" s="69">
        <f>SUMIFS(CT!$H$5:$H$143,CT!$E$5:$E$143,'BTHCTTK (TH131)'!A47)</f>
        <v>0</v>
      </c>
      <c r="G47" s="69">
        <f t="shared" si="0"/>
        <v>300000</v>
      </c>
      <c r="H47" s="69">
        <f t="shared" si="1"/>
        <v>0</v>
      </c>
      <c r="I47" s="65" t="b">
        <f t="shared" si="2"/>
        <v>0</v>
      </c>
    </row>
    <row r="48" spans="1:9" hidden="1" x14ac:dyDescent="0.25">
      <c r="A48" s="93" t="str">
        <f>DMTK!B46</f>
        <v>141.0201</v>
      </c>
      <c r="B48" s="65" t="str">
        <f>VLOOKUP(A48,DMTK!$B$5:$L$263,3,0)</f>
        <v>Đoàn Trâm Anh</v>
      </c>
      <c r="C48" s="69">
        <f>VLOOKUP(A48,DMTK!$B$5:$L$263,10,0)</f>
        <v>1500000</v>
      </c>
      <c r="D48" s="69">
        <f>VLOOKUP(A48,DMTK!$B$5:$L$263,11,0)</f>
        <v>0</v>
      </c>
      <c r="E48" s="69">
        <f>SUMIFS(CT!$H$5:$H$143,CT!$D$5:$D$143,'BTHCTTK (TH131)'!A48)</f>
        <v>0</v>
      </c>
      <c r="F48" s="69">
        <f>SUMIFS(CT!$H$5:$H$143,CT!$E$5:$E$143,'BTHCTTK (TH131)'!A48)</f>
        <v>0</v>
      </c>
      <c r="G48" s="69">
        <f t="shared" si="0"/>
        <v>1500000</v>
      </c>
      <c r="H48" s="69">
        <f t="shared" si="1"/>
        <v>0</v>
      </c>
      <c r="I48" s="65" t="b">
        <f t="shared" si="2"/>
        <v>0</v>
      </c>
    </row>
    <row r="49" spans="1:9" hidden="1" x14ac:dyDescent="0.25">
      <c r="A49" s="93" t="str">
        <f>DMTK!B47</f>
        <v>141.0202</v>
      </c>
      <c r="B49" s="65" t="str">
        <f>VLOOKUP(A49,DMTK!$B$5:$L$263,3,0)</f>
        <v>Nguyễn Hoài Nam</v>
      </c>
      <c r="C49" s="69">
        <f>VLOOKUP(A49,DMTK!$B$5:$L$263,10,0)</f>
        <v>500000</v>
      </c>
      <c r="D49" s="69">
        <f>VLOOKUP(A49,DMTK!$B$5:$L$263,11,0)</f>
        <v>0</v>
      </c>
      <c r="E49" s="69">
        <f>SUMIFS(CT!$H$5:$H$143,CT!$D$5:$D$143,'BTHCTTK (TH131)'!A49)</f>
        <v>0</v>
      </c>
      <c r="F49" s="69">
        <f>SUMIFS(CT!$H$5:$H$143,CT!$E$5:$E$143,'BTHCTTK (TH131)'!A49)</f>
        <v>0</v>
      </c>
      <c r="G49" s="69">
        <f t="shared" si="0"/>
        <v>500000</v>
      </c>
      <c r="H49" s="69">
        <f t="shared" si="1"/>
        <v>0</v>
      </c>
      <c r="I49" s="65" t="b">
        <f t="shared" si="2"/>
        <v>0</v>
      </c>
    </row>
    <row r="50" spans="1:9" hidden="1" x14ac:dyDescent="0.25">
      <c r="A50" s="93" t="str">
        <f>DMTK!B48</f>
        <v>151</v>
      </c>
      <c r="B50" s="65" t="str">
        <f>VLOOKUP(A50,DMTK!$B$5:$L$263,3,0)</f>
        <v>Hàng hóa đang đi đường</v>
      </c>
      <c r="C50" s="69">
        <f>VLOOKUP(A50,DMTK!$B$5:$L$263,10,0)</f>
        <v>0</v>
      </c>
      <c r="D50" s="69">
        <f>VLOOKUP(A50,DMTK!$B$5:$L$263,11,0)</f>
        <v>0</v>
      </c>
      <c r="E50" s="69">
        <f>SUMIFS(CT!$H$5:$H$143,CT!$D$5:$D$143,'BTHCTTK (TH131)'!A50)</f>
        <v>0</v>
      </c>
      <c r="F50" s="69">
        <f>SUMIFS(CT!$H$5:$H$143,CT!$E$5:$E$143,'BTHCTTK (TH131)'!A50)</f>
        <v>0</v>
      </c>
      <c r="G50" s="69">
        <f t="shared" si="0"/>
        <v>0</v>
      </c>
      <c r="H50" s="69">
        <f t="shared" si="1"/>
        <v>0</v>
      </c>
      <c r="I50" s="65" t="b">
        <f t="shared" si="2"/>
        <v>0</v>
      </c>
    </row>
    <row r="51" spans="1:9" hidden="1" x14ac:dyDescent="0.25">
      <c r="A51" s="93" t="str">
        <f>DMTK!B49</f>
        <v>1521.0101</v>
      </c>
      <c r="B51" s="65" t="str">
        <f>VLOOKUP(A51,DMTK!$B$5:$L$263,3,0)</f>
        <v>Gỗ cao su</v>
      </c>
      <c r="C51" s="69">
        <f>VLOOKUP(A51,DMTK!$B$5:$L$263,10,0)</f>
        <v>33000000</v>
      </c>
      <c r="D51" s="69">
        <f>VLOOKUP(A51,DMTK!$B$5:$L$263,11,0)</f>
        <v>0</v>
      </c>
      <c r="E51" s="69">
        <f>SUMIFS(CT!$H$5:$H$143,CT!$D$5:$D$143,'BTHCTTK (TH131)'!A51)</f>
        <v>0</v>
      </c>
      <c r="F51" s="69">
        <f>SUMIFS(CT!$H$5:$H$143,CT!$E$5:$E$143,'BTHCTTK (TH131)'!A51)</f>
        <v>13200000</v>
      </c>
      <c r="G51" s="69">
        <f t="shared" si="0"/>
        <v>19800000</v>
      </c>
      <c r="H51" s="69">
        <f t="shared" si="1"/>
        <v>0</v>
      </c>
      <c r="I51" s="65" t="b">
        <f t="shared" si="2"/>
        <v>0</v>
      </c>
    </row>
    <row r="52" spans="1:9" hidden="1" x14ac:dyDescent="0.25">
      <c r="A52" s="93" t="str">
        <f>DMTK!B50</f>
        <v>1521.0102</v>
      </c>
      <c r="B52" s="65" t="str">
        <f>VLOOKUP(A52,DMTK!$B$5:$L$263,3,0)</f>
        <v>Gỗ tràm bông vàng</v>
      </c>
      <c r="C52" s="69">
        <f>VLOOKUP(A52,DMTK!$B$5:$L$263,10,0)</f>
        <v>22000000</v>
      </c>
      <c r="D52" s="69">
        <f>VLOOKUP(A52,DMTK!$B$5:$L$263,11,0)</f>
        <v>0</v>
      </c>
      <c r="E52" s="69">
        <f>SUMIFS(CT!$H$5:$H$143,CT!$D$5:$D$143,'BTHCTTK (TH131)'!A52)</f>
        <v>22500000</v>
      </c>
      <c r="F52" s="69">
        <f>SUMIFS(CT!$H$5:$H$143,CT!$E$5:$E$143,'BTHCTTK (TH131)'!A52)</f>
        <v>0</v>
      </c>
      <c r="G52" s="69">
        <f t="shared" si="0"/>
        <v>44500000</v>
      </c>
      <c r="H52" s="69">
        <f t="shared" si="1"/>
        <v>0</v>
      </c>
      <c r="I52" s="65" t="b">
        <f t="shared" si="2"/>
        <v>0</v>
      </c>
    </row>
    <row r="53" spans="1:9" hidden="1" x14ac:dyDescent="0.25">
      <c r="A53" s="93" t="str">
        <f>DMTK!B51</f>
        <v>1521.0103</v>
      </c>
      <c r="B53" s="65" t="str">
        <f>VLOOKUP(A53,DMTK!$B$5:$L$263,3,0)</f>
        <v>Gỗ thông</v>
      </c>
      <c r="C53" s="69">
        <f>VLOOKUP(A53,DMTK!$B$5:$L$263,10,0)</f>
        <v>14400000</v>
      </c>
      <c r="D53" s="69">
        <f>VLOOKUP(A53,DMTK!$B$5:$L$263,11,0)</f>
        <v>0</v>
      </c>
      <c r="E53" s="69">
        <f>SUMIFS(CT!$H$5:$H$143,CT!$D$5:$D$143,'BTHCTTK (TH131)'!A53)</f>
        <v>0</v>
      </c>
      <c r="F53" s="69">
        <f>SUMIFS(CT!$H$5:$H$143,CT!$E$5:$E$143,'BTHCTTK (TH131)'!A53)</f>
        <v>0</v>
      </c>
      <c r="G53" s="69">
        <f t="shared" si="0"/>
        <v>14400000</v>
      </c>
      <c r="H53" s="69">
        <f t="shared" si="1"/>
        <v>0</v>
      </c>
      <c r="I53" s="65" t="b">
        <f t="shared" si="2"/>
        <v>0</v>
      </c>
    </row>
    <row r="54" spans="1:9" hidden="1" x14ac:dyDescent="0.25">
      <c r="A54" s="93" t="str">
        <f>DMTK!B52</f>
        <v>1521.0201</v>
      </c>
      <c r="B54" s="65" t="str">
        <f>VLOOKUP(A54,DMTK!$B$5:$L$263,3,0)</f>
        <v>Ván MDF 9x6x8</v>
      </c>
      <c r="C54" s="69">
        <f>VLOOKUP(A54,DMTK!$B$5:$L$263,10,0)</f>
        <v>24000000</v>
      </c>
      <c r="D54" s="69">
        <f>VLOOKUP(A54,DMTK!$B$5:$L$263,11,0)</f>
        <v>0</v>
      </c>
      <c r="E54" s="69">
        <f>SUMIFS(CT!$H$5:$H$143,CT!$D$5:$D$143,'BTHCTTK (TH131)'!A54)</f>
        <v>0</v>
      </c>
      <c r="F54" s="69">
        <f>SUMIFS(CT!$H$5:$H$143,CT!$E$5:$E$143,'BTHCTTK (TH131)'!A54)</f>
        <v>3600000</v>
      </c>
      <c r="G54" s="69">
        <f t="shared" si="0"/>
        <v>20400000</v>
      </c>
      <c r="H54" s="69">
        <f t="shared" si="1"/>
        <v>0</v>
      </c>
      <c r="I54" s="65" t="b">
        <f t="shared" si="2"/>
        <v>0</v>
      </c>
    </row>
    <row r="55" spans="1:9" hidden="1" x14ac:dyDescent="0.25">
      <c r="A55" s="93" t="str">
        <f>DMTK!B53</f>
        <v>1521.0202</v>
      </c>
      <c r="B55" s="65" t="str">
        <f>VLOOKUP(A55,DMTK!$B$5:$L$263,3,0)</f>
        <v>Ván MDF 9x4x8</v>
      </c>
      <c r="C55" s="69">
        <f>VLOOKUP(A55,DMTK!$B$5:$L$263,10,0)</f>
        <v>31200000</v>
      </c>
      <c r="D55" s="69">
        <f>VLOOKUP(A55,DMTK!$B$5:$L$263,11,0)</f>
        <v>0</v>
      </c>
      <c r="E55" s="69">
        <f>SUMIFS(CT!$H$5:$H$143,CT!$D$5:$D$143,'BTHCTTK (TH131)'!A55)</f>
        <v>0</v>
      </c>
      <c r="F55" s="69">
        <f>SUMIFS(CT!$H$5:$H$143,CT!$E$5:$E$143,'BTHCTTK (TH131)'!A55)</f>
        <v>0</v>
      </c>
      <c r="G55" s="69">
        <f t="shared" si="0"/>
        <v>31200000</v>
      </c>
      <c r="H55" s="69">
        <f t="shared" si="1"/>
        <v>0</v>
      </c>
      <c r="I55" s="65" t="b">
        <f t="shared" si="2"/>
        <v>0</v>
      </c>
    </row>
    <row r="56" spans="1:9" hidden="1" x14ac:dyDescent="0.25">
      <c r="A56" s="93" t="str">
        <f>DMTK!B54</f>
        <v>1521.0203</v>
      </c>
      <c r="B56" s="65" t="str">
        <f>VLOOKUP(A56,DMTK!$B$5:$L$263,3,0)</f>
        <v>Ván MDF 4,5x6x8</v>
      </c>
      <c r="C56" s="69">
        <f>VLOOKUP(A56,DMTK!$B$5:$L$263,10,0)</f>
        <v>10000000</v>
      </c>
      <c r="D56" s="69">
        <f>VLOOKUP(A56,DMTK!$B$5:$L$263,11,0)</f>
        <v>0</v>
      </c>
      <c r="E56" s="69">
        <f>SUMIFS(CT!$H$5:$H$143,CT!$D$5:$D$143,'BTHCTTK (TH131)'!A56)</f>
        <v>0</v>
      </c>
      <c r="F56" s="69">
        <f>SUMIFS(CT!$H$5:$H$143,CT!$E$5:$E$143,'BTHCTTK (TH131)'!A56)</f>
        <v>0</v>
      </c>
      <c r="G56" s="69">
        <f t="shared" si="0"/>
        <v>10000000</v>
      </c>
      <c r="H56" s="69">
        <f t="shared" si="1"/>
        <v>0</v>
      </c>
      <c r="I56" s="65" t="b">
        <f t="shared" si="2"/>
        <v>0</v>
      </c>
    </row>
    <row r="57" spans="1:9" hidden="1" x14ac:dyDescent="0.25">
      <c r="A57" s="93" t="str">
        <f>DMTK!B55</f>
        <v>1521.0301</v>
      </c>
      <c r="B57" s="65" t="str">
        <f>VLOOKUP(A57,DMTK!$B$5:$L$263,3,0)</f>
        <v>Keo AB</v>
      </c>
      <c r="C57" s="69">
        <f>VLOOKUP(A57,DMTK!$B$5:$L$263,10,0)</f>
        <v>1200000</v>
      </c>
      <c r="D57" s="69">
        <f>VLOOKUP(A57,DMTK!$B$5:$L$263,11,0)</f>
        <v>0</v>
      </c>
      <c r="E57" s="69">
        <f>SUMIFS(CT!$H$5:$H$143,CT!$D$5:$D$143,'BTHCTTK (TH131)'!A57)</f>
        <v>5000000</v>
      </c>
      <c r="F57" s="69">
        <f>SUMIFS(CT!$H$5:$H$143,CT!$E$5:$E$143,'BTHCTTK (TH131)'!A57)</f>
        <v>0</v>
      </c>
      <c r="G57" s="69">
        <f t="shared" si="0"/>
        <v>6200000</v>
      </c>
      <c r="H57" s="69">
        <f t="shared" si="1"/>
        <v>0</v>
      </c>
      <c r="I57" s="65" t="b">
        <f t="shared" si="2"/>
        <v>0</v>
      </c>
    </row>
    <row r="58" spans="1:9" hidden="1" x14ac:dyDescent="0.25">
      <c r="A58" s="93" t="str">
        <f>DMTK!B56</f>
        <v>1521.0302</v>
      </c>
      <c r="B58" s="65" t="str">
        <f>VLOOKUP(A58,DMTK!$B$5:$L$263,3,0)</f>
        <v>Keo ghép</v>
      </c>
      <c r="C58" s="69">
        <f>VLOOKUP(A58,DMTK!$B$5:$L$263,10,0)</f>
        <v>7200000</v>
      </c>
      <c r="D58" s="69">
        <f>VLOOKUP(A58,DMTK!$B$5:$L$263,11,0)</f>
        <v>0</v>
      </c>
      <c r="E58" s="69">
        <f>SUMIFS(CT!$H$5:$H$143,CT!$D$5:$D$143,'BTHCTTK (TH131)'!A58)</f>
        <v>0</v>
      </c>
      <c r="F58" s="69">
        <f>SUMIFS(CT!$H$5:$H$143,CT!$E$5:$E$143,'BTHCTTK (TH131)'!A58)</f>
        <v>480000</v>
      </c>
      <c r="G58" s="69">
        <f t="shared" si="0"/>
        <v>6720000</v>
      </c>
      <c r="H58" s="69">
        <f t="shared" si="1"/>
        <v>0</v>
      </c>
      <c r="I58" s="65" t="b">
        <f t="shared" si="2"/>
        <v>0</v>
      </c>
    </row>
    <row r="59" spans="1:9" hidden="1" x14ac:dyDescent="0.25">
      <c r="A59" s="93" t="str">
        <f>DMTK!B57</f>
        <v>1521.0303</v>
      </c>
      <c r="B59" s="65" t="str">
        <f>VLOOKUP(A59,DMTK!$B$5:$L$263,3,0)</f>
        <v>Keo 502</v>
      </c>
      <c r="C59" s="69">
        <f>VLOOKUP(A59,DMTK!$B$5:$L$263,10,0)</f>
        <v>1150000</v>
      </c>
      <c r="D59" s="69">
        <f>VLOOKUP(A59,DMTK!$B$5:$L$263,11,0)</f>
        <v>0</v>
      </c>
      <c r="E59" s="69">
        <f>SUMIFS(CT!$H$5:$H$143,CT!$D$5:$D$143,'BTHCTTK (TH131)'!A59)</f>
        <v>0</v>
      </c>
      <c r="F59" s="69">
        <f>SUMIFS(CT!$H$5:$H$143,CT!$E$5:$E$143,'BTHCTTK (TH131)'!A59)</f>
        <v>46000</v>
      </c>
      <c r="G59" s="69">
        <f t="shared" si="0"/>
        <v>1104000</v>
      </c>
      <c r="H59" s="69">
        <f t="shared" si="1"/>
        <v>0</v>
      </c>
      <c r="I59" s="65" t="b">
        <f t="shared" si="2"/>
        <v>0</v>
      </c>
    </row>
    <row r="60" spans="1:9" hidden="1" x14ac:dyDescent="0.25">
      <c r="A60" s="93" t="str">
        <f>DMTK!B58</f>
        <v>1521.0401</v>
      </c>
      <c r="B60" s="65" t="str">
        <f>VLOOKUP(A60,DMTK!$B$5:$L$263,3,0)</f>
        <v>AC chuối</v>
      </c>
      <c r="C60" s="69">
        <f>VLOOKUP(A60,DMTK!$B$5:$L$263,10,0)</f>
        <v>1500000</v>
      </c>
      <c r="D60" s="69">
        <f>VLOOKUP(A60,DMTK!$B$5:$L$263,11,0)</f>
        <v>0</v>
      </c>
      <c r="E60" s="69">
        <f>SUMIFS(CT!$H$5:$H$143,CT!$D$5:$D$143,'BTHCTTK (TH131)'!A60)</f>
        <v>3200000</v>
      </c>
      <c r="F60" s="69">
        <f>SUMIFS(CT!$H$5:$H$143,CT!$E$5:$E$143,'BTHCTTK (TH131)'!A60)</f>
        <v>469980</v>
      </c>
      <c r="G60" s="69">
        <f t="shared" si="0"/>
        <v>4230020</v>
      </c>
      <c r="H60" s="69">
        <f t="shared" si="1"/>
        <v>0</v>
      </c>
      <c r="I60" s="65" t="b">
        <f t="shared" si="2"/>
        <v>0</v>
      </c>
    </row>
    <row r="61" spans="1:9" hidden="1" x14ac:dyDescent="0.25">
      <c r="A61" s="93" t="str">
        <f>DMTK!B59</f>
        <v>1521.0402</v>
      </c>
      <c r="B61" s="65" t="str">
        <f>VLOOKUP(A61,DMTK!$B$5:$L$263,3,0)</f>
        <v>NC chuối</v>
      </c>
      <c r="C61" s="69">
        <f>VLOOKUP(A61,DMTK!$B$5:$L$263,10,0)</f>
        <v>850000</v>
      </c>
      <c r="D61" s="69">
        <f>VLOOKUP(A61,DMTK!$B$5:$L$263,11,0)</f>
        <v>0</v>
      </c>
      <c r="E61" s="69">
        <f>SUMIFS(CT!$H$5:$H$143,CT!$D$5:$D$143,'BTHCTTK (TH131)'!A61)</f>
        <v>0</v>
      </c>
      <c r="F61" s="69">
        <f>SUMIFS(CT!$H$5:$H$143,CT!$E$5:$E$143,'BTHCTTK (TH131)'!A61)</f>
        <v>0</v>
      </c>
      <c r="G61" s="69">
        <f t="shared" si="0"/>
        <v>850000</v>
      </c>
      <c r="H61" s="69">
        <f t="shared" si="1"/>
        <v>0</v>
      </c>
      <c r="I61" s="65" t="b">
        <f t="shared" si="2"/>
        <v>0</v>
      </c>
    </row>
    <row r="62" spans="1:9" hidden="1" x14ac:dyDescent="0.25">
      <c r="A62" s="93" t="str">
        <f>DMTK!B60</f>
        <v>1521.0403</v>
      </c>
      <c r="B62" s="65" t="str">
        <f>VLOOKUP(A62,DMTK!$B$5:$L$263,3,0)</f>
        <v>Dầu thông</v>
      </c>
      <c r="C62" s="69">
        <f>VLOOKUP(A62,DMTK!$B$5:$L$263,10,0)</f>
        <v>1040000</v>
      </c>
      <c r="D62" s="69">
        <f>VLOOKUP(A62,DMTK!$B$5:$L$263,11,0)</f>
        <v>0</v>
      </c>
      <c r="E62" s="69">
        <f>SUMIFS(CT!$H$5:$H$143,CT!$D$5:$D$143,'BTHCTTK (TH131)'!A62)</f>
        <v>1500000</v>
      </c>
      <c r="F62" s="69">
        <f>SUMIFS(CT!$H$5:$H$143,CT!$E$5:$E$143,'BTHCTTK (TH131)'!A62)</f>
        <v>282220</v>
      </c>
      <c r="G62" s="69">
        <f t="shared" si="0"/>
        <v>2257780</v>
      </c>
      <c r="H62" s="69">
        <f t="shared" si="1"/>
        <v>0</v>
      </c>
      <c r="I62" s="65" t="b">
        <f t="shared" si="2"/>
        <v>0</v>
      </c>
    </row>
    <row r="63" spans="1:9" hidden="1" x14ac:dyDescent="0.25">
      <c r="A63" s="93" t="str">
        <f>DMTK!B61</f>
        <v>1522</v>
      </c>
      <c r="B63" s="65" t="str">
        <f>VLOOKUP(A63,DMTK!$B$5:$L$263,3,0)</f>
        <v>Nguyên vật liệu phụ</v>
      </c>
      <c r="C63" s="69">
        <f>VLOOKUP(A63,DMTK!$B$5:$L$263,10,0)</f>
        <v>0</v>
      </c>
      <c r="D63" s="69">
        <f>VLOOKUP(A63,DMTK!$B$5:$L$263,11,0)</f>
        <v>0</v>
      </c>
      <c r="E63" s="69">
        <f>SUMIFS(CT!$H$5:$H$143,CT!$D$5:$D$143,'BTHCTTK (TH131)'!A63)</f>
        <v>0</v>
      </c>
      <c r="F63" s="69">
        <f>SUMIFS(CT!$H$5:$H$143,CT!$E$5:$E$143,'BTHCTTK (TH131)'!A63)</f>
        <v>0</v>
      </c>
      <c r="G63" s="69">
        <f t="shared" si="0"/>
        <v>0</v>
      </c>
      <c r="H63" s="69">
        <f t="shared" si="1"/>
        <v>0</v>
      </c>
      <c r="I63" s="65" t="b">
        <f t="shared" si="2"/>
        <v>0</v>
      </c>
    </row>
    <row r="64" spans="1:9" hidden="1" x14ac:dyDescent="0.25">
      <c r="A64" s="93" t="str">
        <f>DMTK!B62</f>
        <v>1531.01</v>
      </c>
      <c r="B64" s="65" t="str">
        <f>VLOOKUP(A64,DMTK!$B$5:$L$263,3,0)</f>
        <v>Máy tính Casio</v>
      </c>
      <c r="C64" s="69">
        <f>VLOOKUP(A64,DMTK!$B$5:$L$263,10,0)</f>
        <v>7500000</v>
      </c>
      <c r="D64" s="69">
        <f>VLOOKUP(A64,DMTK!$B$5:$L$263,11,0)</f>
        <v>0</v>
      </c>
      <c r="E64" s="69">
        <f>SUMIFS(CT!$H$5:$H$143,CT!$D$5:$D$143,'BTHCTTK (TH131)'!A64)</f>
        <v>0</v>
      </c>
      <c r="F64" s="69">
        <f>SUMIFS(CT!$H$5:$H$143,CT!$E$5:$E$143,'BTHCTTK (TH131)'!A64)</f>
        <v>2500000</v>
      </c>
      <c r="G64" s="69">
        <f t="shared" si="0"/>
        <v>5000000</v>
      </c>
      <c r="H64" s="69">
        <f t="shared" si="1"/>
        <v>0</v>
      </c>
      <c r="I64" s="65" t="b">
        <f t="shared" si="2"/>
        <v>0</v>
      </c>
    </row>
    <row r="65" spans="1:9" hidden="1" x14ac:dyDescent="0.25">
      <c r="A65" s="93" t="str">
        <f>DMTK!B63</f>
        <v>1531.02</v>
      </c>
      <c r="B65" s="65" t="str">
        <f>VLOOKUP(A65,DMTK!$B$5:$L$263,3,0)</f>
        <v>Kệ tủ</v>
      </c>
      <c r="C65" s="69">
        <f>VLOOKUP(A65,DMTK!$B$5:$L$263,10,0)</f>
        <v>5000000</v>
      </c>
      <c r="D65" s="69">
        <f>VLOOKUP(A65,DMTK!$B$5:$L$263,11,0)</f>
        <v>0</v>
      </c>
      <c r="E65" s="69">
        <f>SUMIFS(CT!$H$5:$H$143,CT!$D$5:$D$143,'BTHCTTK (TH131)'!A65)</f>
        <v>0</v>
      </c>
      <c r="F65" s="69">
        <f>SUMIFS(CT!$H$5:$H$143,CT!$E$5:$E$143,'BTHCTTK (TH131)'!A65)</f>
        <v>1000000</v>
      </c>
      <c r="G65" s="69">
        <f t="shared" si="0"/>
        <v>4000000</v>
      </c>
      <c r="H65" s="69">
        <f t="shared" si="1"/>
        <v>0</v>
      </c>
      <c r="I65" s="65" t="b">
        <f t="shared" si="2"/>
        <v>0</v>
      </c>
    </row>
    <row r="66" spans="1:9" hidden="1" x14ac:dyDescent="0.25">
      <c r="A66" s="93" t="str">
        <f>DMTK!B64</f>
        <v>1531.03</v>
      </c>
      <c r="B66" s="65" t="str">
        <f>VLOOKUP(A66,DMTK!$B$5:$L$263,3,0)</f>
        <v>Lưỡi cưa</v>
      </c>
      <c r="C66" s="69">
        <f>VLOOKUP(A66,DMTK!$B$5:$L$263,10,0)</f>
        <v>1000000</v>
      </c>
      <c r="D66" s="69">
        <f>VLOOKUP(A66,DMTK!$B$5:$L$263,11,0)</f>
        <v>0</v>
      </c>
      <c r="E66" s="69">
        <f>SUMIFS(CT!$H$5:$H$143,CT!$D$5:$D$143,'BTHCTTK (TH131)'!A66)</f>
        <v>0</v>
      </c>
      <c r="F66" s="69">
        <f>SUMIFS(CT!$H$5:$H$143,CT!$E$5:$E$143,'BTHCTTK (TH131)'!A66)</f>
        <v>100000</v>
      </c>
      <c r="G66" s="69">
        <f t="shared" si="0"/>
        <v>900000</v>
      </c>
      <c r="H66" s="69">
        <f t="shared" si="1"/>
        <v>0</v>
      </c>
      <c r="I66" s="65" t="b">
        <f t="shared" si="2"/>
        <v>0</v>
      </c>
    </row>
    <row r="67" spans="1:9" hidden="1" x14ac:dyDescent="0.25">
      <c r="A67" s="93" t="str">
        <f>DMTK!B65</f>
        <v>1531.04</v>
      </c>
      <c r="B67" s="65" t="str">
        <f>VLOOKUP(A67,DMTK!$B$5:$L$263,3,0)</f>
        <v>Mũi khoan</v>
      </c>
      <c r="C67" s="69">
        <f>VLOOKUP(A67,DMTK!$B$5:$L$263,10,0)</f>
        <v>2000000</v>
      </c>
      <c r="D67" s="69">
        <f>VLOOKUP(A67,DMTK!$B$5:$L$263,11,0)</f>
        <v>0</v>
      </c>
      <c r="E67" s="69">
        <f>SUMIFS(CT!$H$5:$H$143,CT!$D$5:$D$143,'BTHCTTK (TH131)'!A67)</f>
        <v>0</v>
      </c>
      <c r="F67" s="69">
        <f>SUMIFS(CT!$H$5:$H$143,CT!$E$5:$E$143,'BTHCTTK (TH131)'!A67)</f>
        <v>100000</v>
      </c>
      <c r="G67" s="69">
        <f t="shared" si="0"/>
        <v>1900000</v>
      </c>
      <c r="H67" s="69">
        <f t="shared" si="1"/>
        <v>0</v>
      </c>
      <c r="I67" s="65" t="b">
        <f t="shared" si="2"/>
        <v>0</v>
      </c>
    </row>
    <row r="68" spans="1:9" hidden="1" x14ac:dyDescent="0.25">
      <c r="A68" s="93" t="str">
        <f>DMTK!B66</f>
        <v>1531.05</v>
      </c>
      <c r="B68" s="65" t="str">
        <f>VLOOKUP(A68,DMTK!$B$5:$L$263,3,0)</f>
        <v>Dao thép</v>
      </c>
      <c r="C68" s="69">
        <f>VLOOKUP(A68,DMTK!$B$5:$L$263,10,0)</f>
        <v>1000000</v>
      </c>
      <c r="D68" s="69">
        <f>VLOOKUP(A68,DMTK!$B$5:$L$263,11,0)</f>
        <v>0</v>
      </c>
      <c r="E68" s="69">
        <f>SUMIFS(CT!$H$5:$H$143,CT!$D$5:$D$143,'BTHCTTK (TH131)'!A68)</f>
        <v>0</v>
      </c>
      <c r="F68" s="69">
        <f>SUMIFS(CT!$H$5:$H$143,CT!$E$5:$E$143,'BTHCTTK (TH131)'!A68)</f>
        <v>300000</v>
      </c>
      <c r="G68" s="69">
        <f t="shared" si="0"/>
        <v>700000</v>
      </c>
      <c r="H68" s="69">
        <f t="shared" si="1"/>
        <v>0</v>
      </c>
      <c r="I68" s="65" t="b">
        <f t="shared" si="2"/>
        <v>0</v>
      </c>
    </row>
    <row r="69" spans="1:9" hidden="1" x14ac:dyDescent="0.25">
      <c r="A69" s="93" t="str">
        <f>DMTK!B67</f>
        <v>154.01</v>
      </c>
      <c r="B69" s="65" t="str">
        <f>VLOOKUP(A69,DMTK!$B$5:$L$263,3,0)</f>
        <v>Ghế tay vịn</v>
      </c>
      <c r="C69" s="69">
        <f>VLOOKUP(A69,DMTK!$B$5:$L$263,10,0)</f>
        <v>70000000</v>
      </c>
      <c r="D69" s="69">
        <f>VLOOKUP(A69,DMTK!$B$5:$L$263,11,0)</f>
        <v>0</v>
      </c>
      <c r="E69" s="69">
        <f>SUMIFS(CT!$H$5:$H$143,CT!$D$5:$D$143,'BTHCTTK (TH131)'!A69)</f>
        <v>99050185</v>
      </c>
      <c r="F69" s="69">
        <f>SUMIFS(CT!$H$5:$H$143,CT!$E$5:$E$143,'BTHCTTK (TH131)'!A69)</f>
        <v>102060000</v>
      </c>
      <c r="G69" s="69">
        <f t="shared" si="0"/>
        <v>66990185</v>
      </c>
      <c r="H69" s="69">
        <f t="shared" si="1"/>
        <v>0</v>
      </c>
      <c r="I69" s="65" t="b">
        <f t="shared" si="2"/>
        <v>0</v>
      </c>
    </row>
    <row r="70" spans="1:9" hidden="1" x14ac:dyDescent="0.25">
      <c r="A70" s="93" t="str">
        <f>DMTK!B68</f>
        <v>154.02</v>
      </c>
      <c r="B70" s="65" t="str">
        <f>VLOOKUP(A70,DMTK!$B$5:$L$263,3,0)</f>
        <v>Ghế không tay</v>
      </c>
      <c r="C70" s="69">
        <f>VLOOKUP(A70,DMTK!$B$5:$L$263,10,0)</f>
        <v>80000000</v>
      </c>
      <c r="D70" s="69">
        <f>VLOOKUP(A70,DMTK!$B$5:$L$263,11,0)</f>
        <v>0</v>
      </c>
      <c r="E70" s="69">
        <f>SUMIFS(CT!$H$5:$H$143,CT!$D$5:$D$143,'BTHCTTK (TH131)'!A70)</f>
        <v>48800000</v>
      </c>
      <c r="F70" s="69">
        <f>SUMIFS(CT!$H$5:$H$143,CT!$E$5:$E$143,'BTHCTTK (TH131)'!A70)</f>
        <v>61800000</v>
      </c>
      <c r="G70" s="69">
        <f t="shared" si="0"/>
        <v>67000000</v>
      </c>
      <c r="H70" s="69">
        <f t="shared" si="1"/>
        <v>0</v>
      </c>
      <c r="I70" s="65" t="b">
        <f t="shared" si="2"/>
        <v>0</v>
      </c>
    </row>
    <row r="71" spans="1:9" hidden="1" x14ac:dyDescent="0.25">
      <c r="A71" s="93" t="str">
        <f>DMTK!B69</f>
        <v>154.03</v>
      </c>
      <c r="B71" s="65" t="str">
        <f>VLOOKUP(A71,DMTK!$B$5:$L$263,3,0)</f>
        <v>Bàn tròn</v>
      </c>
      <c r="C71" s="69">
        <f>VLOOKUP(A71,DMTK!$B$5:$L$263,10,0)</f>
        <v>7000000</v>
      </c>
      <c r="D71" s="69">
        <f>VLOOKUP(A71,DMTK!$B$5:$L$263,11,0)</f>
        <v>0</v>
      </c>
      <c r="E71" s="69">
        <f>SUMIFS(CT!$H$5:$H$143,CT!$D$5:$D$143,'BTHCTTK (TH131)'!A71)</f>
        <v>61494681</v>
      </c>
      <c r="F71" s="69">
        <f>SUMIFS(CT!$H$5:$H$143,CT!$E$5:$E$143,'BTHCTTK (TH131)'!A71)</f>
        <v>61500000</v>
      </c>
      <c r="G71" s="69">
        <f t="shared" si="0"/>
        <v>6994681</v>
      </c>
      <c r="H71" s="69">
        <f t="shared" si="1"/>
        <v>0</v>
      </c>
      <c r="I71" s="65" t="b">
        <f t="shared" si="2"/>
        <v>0</v>
      </c>
    </row>
    <row r="72" spans="1:9" hidden="1" x14ac:dyDescent="0.25">
      <c r="A72" s="93" t="str">
        <f>DMTK!B70</f>
        <v>154.04</v>
      </c>
      <c r="B72" s="65" t="str">
        <f>VLOOKUP(A72,DMTK!$B$5:$L$263,3,0)</f>
        <v>Bàn oval</v>
      </c>
      <c r="C72" s="69">
        <f>VLOOKUP(A72,DMTK!$B$5:$L$263,10,0)</f>
        <v>43000000</v>
      </c>
      <c r="D72" s="69">
        <f>VLOOKUP(A72,DMTK!$B$5:$L$263,11,0)</f>
        <v>0</v>
      </c>
      <c r="E72" s="69">
        <f>SUMIFS(CT!$H$5:$H$143,CT!$D$5:$D$143,'BTHCTTK (TH131)'!A72)</f>
        <v>48800000</v>
      </c>
      <c r="F72" s="69">
        <f>SUMIFS(CT!$H$5:$H$143,CT!$E$5:$E$143,'BTHCTTK (TH131)'!A72)</f>
        <v>0</v>
      </c>
      <c r="G72" s="69">
        <f t="shared" ref="G72:G135" si="3">MAX(C72+E72-D72-F72,0)</f>
        <v>91800000</v>
      </c>
      <c r="H72" s="69">
        <f t="shared" ref="H72:H135" si="4">MAX(D72+F72-C72-E72,0)</f>
        <v>0</v>
      </c>
      <c r="I72" s="65" t="b">
        <f t="shared" ref="I72:I135" si="5">LEFT(A72,3)=$D$2</f>
        <v>0</v>
      </c>
    </row>
    <row r="73" spans="1:9" hidden="1" x14ac:dyDescent="0.25">
      <c r="A73" s="93" t="str">
        <f>DMTK!B71</f>
        <v>154.05</v>
      </c>
      <c r="B73" s="65" t="str">
        <f>VLOOKUP(A73,DMTK!$B$5:$L$263,3,0)</f>
        <v>Bàn chữ nhật</v>
      </c>
      <c r="C73" s="69">
        <f>VLOOKUP(A73,DMTK!$B$5:$L$263,10,0)</f>
        <v>22000000</v>
      </c>
      <c r="D73" s="69">
        <f>VLOOKUP(A73,DMTK!$B$5:$L$263,11,0)</f>
        <v>0</v>
      </c>
      <c r="E73" s="69">
        <f>SUMIFS(CT!$H$5:$H$143,CT!$D$5:$D$143,'BTHCTTK (TH131)'!A73)</f>
        <v>48800000</v>
      </c>
      <c r="F73" s="69">
        <f>SUMIFS(CT!$H$5:$H$143,CT!$E$5:$E$143,'BTHCTTK (TH131)'!A73)</f>
        <v>0</v>
      </c>
      <c r="G73" s="69">
        <f t="shared" si="3"/>
        <v>70800000</v>
      </c>
      <c r="H73" s="69">
        <f t="shared" si="4"/>
        <v>0</v>
      </c>
      <c r="I73" s="65" t="b">
        <f t="shared" si="5"/>
        <v>0</v>
      </c>
    </row>
    <row r="74" spans="1:9" hidden="1" x14ac:dyDescent="0.25">
      <c r="A74" s="93" t="str">
        <f>DMTK!B72</f>
        <v>1551.0101</v>
      </c>
      <c r="B74" s="65" t="str">
        <f>VLOOKUP(A74,DMTK!$B$5:$L$263,3,0)</f>
        <v>Ghế tay vịn</v>
      </c>
      <c r="C74" s="69">
        <f>VLOOKUP(A74,DMTK!$B$5:$L$263,10,0)</f>
        <v>62500000</v>
      </c>
      <c r="D74" s="69">
        <f>VLOOKUP(A74,DMTK!$B$5:$L$263,11,0)</f>
        <v>0</v>
      </c>
      <c r="E74" s="69">
        <f>SUMIFS(CT!$H$5:$H$143,CT!$D$5:$D$143,'BTHCTTK (TH131)'!A74)</f>
        <v>102060000</v>
      </c>
      <c r="F74" s="69">
        <f>SUMIFS(CT!$H$5:$H$143,CT!$E$5:$E$143,'BTHCTTK (TH131)'!A74)</f>
        <v>25123700</v>
      </c>
      <c r="G74" s="69">
        <f t="shared" si="3"/>
        <v>139436300</v>
      </c>
      <c r="H74" s="69">
        <f t="shared" si="4"/>
        <v>0</v>
      </c>
      <c r="I74" s="65" t="b">
        <f t="shared" si="5"/>
        <v>0</v>
      </c>
    </row>
    <row r="75" spans="1:9" hidden="1" x14ac:dyDescent="0.25">
      <c r="A75" s="93" t="str">
        <f>DMTK!B73</f>
        <v>1551.0102</v>
      </c>
      <c r="B75" s="65" t="str">
        <f>VLOOKUP(A75,DMTK!$B$5:$L$263,3,0)</f>
        <v>Ghế không tay</v>
      </c>
      <c r="C75" s="69">
        <f>VLOOKUP(A75,DMTK!$B$5:$L$263,10,0)</f>
        <v>44000000</v>
      </c>
      <c r="D75" s="69">
        <f>VLOOKUP(A75,DMTK!$B$5:$L$263,11,0)</f>
        <v>0</v>
      </c>
      <c r="E75" s="69">
        <f>SUMIFS(CT!$H$5:$H$143,CT!$D$5:$D$143,'BTHCTTK (TH131)'!A75)</f>
        <v>61800000</v>
      </c>
      <c r="F75" s="69">
        <f>SUMIFS(CT!$H$5:$H$143,CT!$E$5:$E$143,'BTHCTTK (TH131)'!A75)</f>
        <v>20346200</v>
      </c>
      <c r="G75" s="69">
        <f t="shared" si="3"/>
        <v>85453800</v>
      </c>
      <c r="H75" s="69">
        <f t="shared" si="4"/>
        <v>0</v>
      </c>
      <c r="I75" s="65" t="b">
        <f t="shared" si="5"/>
        <v>0</v>
      </c>
    </row>
    <row r="76" spans="1:9" hidden="1" x14ac:dyDescent="0.25">
      <c r="A76" s="93" t="str">
        <f>DMTK!B74</f>
        <v>1551.0201</v>
      </c>
      <c r="B76" s="65" t="str">
        <f>VLOOKUP(A76,DMTK!$B$5:$L$263,3,0)</f>
        <v>Bàn tròn</v>
      </c>
      <c r="C76" s="69">
        <f>VLOOKUP(A76,DMTK!$B$5:$L$263,10,0)</f>
        <v>45000000</v>
      </c>
      <c r="D76" s="69">
        <f>VLOOKUP(A76,DMTK!$B$5:$L$263,11,0)</f>
        <v>0</v>
      </c>
      <c r="E76" s="69">
        <f>SUMIFS(CT!$H$5:$H$143,CT!$D$5:$D$143,'BTHCTTK (TH131)'!A76)</f>
        <v>61500000</v>
      </c>
      <c r="F76" s="69">
        <f>SUMIFS(CT!$H$5:$H$143,CT!$E$5:$E$143,'BTHCTTK (TH131)'!A76)</f>
        <v>0</v>
      </c>
      <c r="G76" s="69">
        <f t="shared" si="3"/>
        <v>106500000</v>
      </c>
      <c r="H76" s="69">
        <f t="shared" si="4"/>
        <v>0</v>
      </c>
      <c r="I76" s="65" t="b">
        <f t="shared" si="5"/>
        <v>0</v>
      </c>
    </row>
    <row r="77" spans="1:9" hidden="1" x14ac:dyDescent="0.25">
      <c r="A77" s="93" t="str">
        <f>DMTK!B75</f>
        <v>1551.0202</v>
      </c>
      <c r="B77" s="65" t="str">
        <f>VLOOKUP(A77,DMTK!$B$5:$L$263,3,0)</f>
        <v>Bàn oval</v>
      </c>
      <c r="C77" s="69">
        <f>VLOOKUP(A77,DMTK!$B$5:$L$263,10,0)</f>
        <v>25000000</v>
      </c>
      <c r="D77" s="69">
        <f>VLOOKUP(A77,DMTK!$B$5:$L$263,11,0)</f>
        <v>0</v>
      </c>
      <c r="E77" s="69">
        <f>SUMIFS(CT!$H$5:$H$143,CT!$D$5:$D$143,'BTHCTTK (TH131)'!A77)</f>
        <v>0</v>
      </c>
      <c r="F77" s="69">
        <f>SUMIFS(CT!$H$5:$H$143,CT!$E$5:$E$143,'BTHCTTK (TH131)'!A77)</f>
        <v>25000000</v>
      </c>
      <c r="G77" s="69">
        <f t="shared" si="3"/>
        <v>0</v>
      </c>
      <c r="H77" s="69">
        <f t="shared" si="4"/>
        <v>0</v>
      </c>
      <c r="I77" s="65" t="b">
        <f t="shared" si="5"/>
        <v>0</v>
      </c>
    </row>
    <row r="78" spans="1:9" hidden="1" x14ac:dyDescent="0.25">
      <c r="A78" s="93" t="str">
        <f>DMTK!B76</f>
        <v>1551.0203</v>
      </c>
      <c r="B78" s="65" t="str">
        <f>VLOOKUP(A78,DMTK!$B$5:$L$263,3,0)</f>
        <v>Bàn chữ nhật</v>
      </c>
      <c r="C78" s="69">
        <f>VLOOKUP(A78,DMTK!$B$5:$L$263,10,0)</f>
        <v>70000000</v>
      </c>
      <c r="D78" s="69">
        <f>VLOOKUP(A78,DMTK!$B$5:$L$263,11,0)</f>
        <v>0</v>
      </c>
      <c r="E78" s="69">
        <f>SUMIFS(CT!$H$5:$H$143,CT!$D$5:$D$143,'BTHCTTK (TH131)'!A78)</f>
        <v>0</v>
      </c>
      <c r="F78" s="69">
        <f>SUMIFS(CT!$H$5:$H$143,CT!$E$5:$E$143,'BTHCTTK (TH131)'!A78)</f>
        <v>0</v>
      </c>
      <c r="G78" s="69">
        <f t="shared" si="3"/>
        <v>70000000</v>
      </c>
      <c r="H78" s="69">
        <f t="shared" si="4"/>
        <v>0</v>
      </c>
      <c r="I78" s="65" t="b">
        <f t="shared" si="5"/>
        <v>0</v>
      </c>
    </row>
    <row r="79" spans="1:9" hidden="1" x14ac:dyDescent="0.25">
      <c r="A79" s="93" t="str">
        <f>DMTK!B77</f>
        <v>1561</v>
      </c>
      <c r="B79" s="65" t="str">
        <f>VLOOKUP(A79,DMTK!$B$5:$L$263,3,0)</f>
        <v>Giá mua hàng hóa</v>
      </c>
      <c r="C79" s="69">
        <f>VLOOKUP(A79,DMTK!$B$5:$L$263,10,0)</f>
        <v>0</v>
      </c>
      <c r="D79" s="69">
        <f>VLOOKUP(A79,DMTK!$B$5:$L$263,11,0)</f>
        <v>0</v>
      </c>
      <c r="E79" s="69">
        <f>SUMIFS(CT!$H$5:$H$143,CT!$D$5:$D$143,'BTHCTTK (TH131)'!A79)</f>
        <v>0</v>
      </c>
      <c r="F79" s="69">
        <f>SUMIFS(CT!$H$5:$H$143,CT!$E$5:$E$143,'BTHCTTK (TH131)'!A79)</f>
        <v>0</v>
      </c>
      <c r="G79" s="69">
        <f t="shared" si="3"/>
        <v>0</v>
      </c>
      <c r="H79" s="69">
        <f t="shared" si="4"/>
        <v>0</v>
      </c>
      <c r="I79" s="65" t="b">
        <f t="shared" si="5"/>
        <v>0</v>
      </c>
    </row>
    <row r="80" spans="1:9" hidden="1" x14ac:dyDescent="0.25">
      <c r="A80" s="93" t="str">
        <f>DMTK!B78</f>
        <v>1562</v>
      </c>
      <c r="B80" s="65" t="str">
        <f>VLOOKUP(A80,DMTK!$B$5:$L$263,3,0)</f>
        <v>Chi phí thu mua hàng hóa</v>
      </c>
      <c r="C80" s="69">
        <f>VLOOKUP(A80,DMTK!$B$5:$L$263,10,0)</f>
        <v>0</v>
      </c>
      <c r="D80" s="69">
        <f>VLOOKUP(A80,DMTK!$B$5:$L$263,11,0)</f>
        <v>0</v>
      </c>
      <c r="E80" s="69">
        <f>SUMIFS(CT!$H$5:$H$143,CT!$D$5:$D$143,'BTHCTTK (TH131)'!A80)</f>
        <v>0</v>
      </c>
      <c r="F80" s="69">
        <f>SUMIFS(CT!$H$5:$H$143,CT!$E$5:$E$143,'BTHCTTK (TH131)'!A80)</f>
        <v>0</v>
      </c>
      <c r="G80" s="69">
        <f t="shared" si="3"/>
        <v>0</v>
      </c>
      <c r="H80" s="69">
        <f t="shared" si="4"/>
        <v>0</v>
      </c>
      <c r="I80" s="65" t="b">
        <f t="shared" si="5"/>
        <v>0</v>
      </c>
    </row>
    <row r="81" spans="1:9" hidden="1" x14ac:dyDescent="0.25">
      <c r="A81" s="93" t="str">
        <f>DMTK!B79</f>
        <v>1567</v>
      </c>
      <c r="B81" s="65" t="str">
        <f>VLOOKUP(A81,DMTK!$B$5:$L$263,3,0)</f>
        <v>Hàng hóa bất động sản</v>
      </c>
      <c r="C81" s="69">
        <f>VLOOKUP(A81,DMTK!$B$5:$L$263,10,0)</f>
        <v>0</v>
      </c>
      <c r="D81" s="69">
        <f>VLOOKUP(A81,DMTK!$B$5:$L$263,11,0)</f>
        <v>0</v>
      </c>
      <c r="E81" s="69">
        <f>SUMIFS(CT!$H$5:$H$143,CT!$D$5:$D$143,'BTHCTTK (TH131)'!A81)</f>
        <v>0</v>
      </c>
      <c r="F81" s="69">
        <f>SUMIFS(CT!$H$5:$H$143,CT!$E$5:$E$143,'BTHCTTK (TH131)'!A81)</f>
        <v>0</v>
      </c>
      <c r="G81" s="69">
        <f t="shared" si="3"/>
        <v>0</v>
      </c>
      <c r="H81" s="69">
        <f t="shared" si="4"/>
        <v>0</v>
      </c>
      <c r="I81" s="65" t="b">
        <f t="shared" si="5"/>
        <v>0</v>
      </c>
    </row>
    <row r="82" spans="1:9" hidden="1" x14ac:dyDescent="0.25">
      <c r="A82" s="93" t="str">
        <f>DMTK!B80</f>
        <v>157</v>
      </c>
      <c r="B82" s="65" t="str">
        <f>VLOOKUP(A82,DMTK!$B$5:$L$263,3,0)</f>
        <v>Hàng gửi đi bán</v>
      </c>
      <c r="C82" s="69">
        <f>VLOOKUP(A82,DMTK!$B$5:$L$263,10,0)</f>
        <v>0</v>
      </c>
      <c r="D82" s="69">
        <f>VLOOKUP(A82,DMTK!$B$5:$L$263,11,0)</f>
        <v>0</v>
      </c>
      <c r="E82" s="69">
        <f>SUMIFS(CT!$H$5:$H$143,CT!$D$5:$D$143,'BTHCTTK (TH131)'!A82)</f>
        <v>0</v>
      </c>
      <c r="F82" s="69">
        <f>SUMIFS(CT!$H$5:$H$143,CT!$E$5:$E$143,'BTHCTTK (TH131)'!A82)</f>
        <v>0</v>
      </c>
      <c r="G82" s="69">
        <f t="shared" si="3"/>
        <v>0</v>
      </c>
      <c r="H82" s="69">
        <f t="shared" si="4"/>
        <v>0</v>
      </c>
      <c r="I82" s="65" t="b">
        <f t="shared" si="5"/>
        <v>0</v>
      </c>
    </row>
    <row r="83" spans="1:9" hidden="1" x14ac:dyDescent="0.25">
      <c r="A83" s="93" t="str">
        <f>DMTK!B81</f>
        <v>158</v>
      </c>
      <c r="B83" s="65" t="str">
        <f>VLOOKUP(A83,DMTK!$B$5:$L$263,3,0)</f>
        <v>Hàng hóa kho bảo thuế</v>
      </c>
      <c r="C83" s="69">
        <f>VLOOKUP(A83,DMTK!$B$5:$L$263,10,0)</f>
        <v>0</v>
      </c>
      <c r="D83" s="69">
        <f>VLOOKUP(A83,DMTK!$B$5:$L$263,11,0)</f>
        <v>0</v>
      </c>
      <c r="E83" s="69">
        <f>SUMIFS(CT!$H$5:$H$143,CT!$D$5:$D$143,'BTHCTTK (TH131)'!A83)</f>
        <v>0</v>
      </c>
      <c r="F83" s="69">
        <f>SUMIFS(CT!$H$5:$H$143,CT!$E$5:$E$143,'BTHCTTK (TH131)'!A83)</f>
        <v>0</v>
      </c>
      <c r="G83" s="69">
        <f t="shared" si="3"/>
        <v>0</v>
      </c>
      <c r="H83" s="69">
        <f t="shared" si="4"/>
        <v>0</v>
      </c>
      <c r="I83" s="65" t="b">
        <f t="shared" si="5"/>
        <v>0</v>
      </c>
    </row>
    <row r="84" spans="1:9" hidden="1" x14ac:dyDescent="0.25">
      <c r="A84" s="93" t="str">
        <f>DMTK!B82</f>
        <v>1611</v>
      </c>
      <c r="B84" s="65" t="str">
        <f>VLOOKUP(A84,DMTK!$B$5:$L$263,3,0)</f>
        <v>Chi sự nghiệp năm trước</v>
      </c>
      <c r="C84" s="69">
        <f>VLOOKUP(A84,DMTK!$B$5:$L$263,10,0)</f>
        <v>0</v>
      </c>
      <c r="D84" s="69">
        <f>VLOOKUP(A84,DMTK!$B$5:$L$263,11,0)</f>
        <v>0</v>
      </c>
      <c r="E84" s="69">
        <f>SUMIFS(CT!$H$5:$H$143,CT!$D$5:$D$143,'BTHCTTK (TH131)'!A84)</f>
        <v>0</v>
      </c>
      <c r="F84" s="69">
        <f>SUMIFS(CT!$H$5:$H$143,CT!$E$5:$E$143,'BTHCTTK (TH131)'!A84)</f>
        <v>0</v>
      </c>
      <c r="G84" s="69">
        <f t="shared" si="3"/>
        <v>0</v>
      </c>
      <c r="H84" s="69">
        <f t="shared" si="4"/>
        <v>0</v>
      </c>
      <c r="I84" s="65" t="b">
        <f t="shared" si="5"/>
        <v>0</v>
      </c>
    </row>
    <row r="85" spans="1:9" hidden="1" x14ac:dyDescent="0.25">
      <c r="A85" s="93" t="str">
        <f>DMTK!B83</f>
        <v>1612</v>
      </c>
      <c r="B85" s="65" t="str">
        <f>VLOOKUP(A85,DMTK!$B$5:$L$263,3,0)</f>
        <v>Chi sự nghiệp năm nay</v>
      </c>
      <c r="C85" s="69">
        <f>VLOOKUP(A85,DMTK!$B$5:$L$263,10,0)</f>
        <v>0</v>
      </c>
      <c r="D85" s="69">
        <f>VLOOKUP(A85,DMTK!$B$5:$L$263,11,0)</f>
        <v>0</v>
      </c>
      <c r="E85" s="69">
        <f>SUMIFS(CT!$H$5:$H$143,CT!$D$5:$D$143,'BTHCTTK (TH131)'!A85)</f>
        <v>0</v>
      </c>
      <c r="F85" s="69">
        <f>SUMIFS(CT!$H$5:$H$143,CT!$E$5:$E$143,'BTHCTTK (TH131)'!A85)</f>
        <v>0</v>
      </c>
      <c r="G85" s="69">
        <f t="shared" si="3"/>
        <v>0</v>
      </c>
      <c r="H85" s="69">
        <f t="shared" si="4"/>
        <v>0</v>
      </c>
      <c r="I85" s="65" t="b">
        <f t="shared" si="5"/>
        <v>0</v>
      </c>
    </row>
    <row r="86" spans="1:9" hidden="1" x14ac:dyDescent="0.25">
      <c r="A86" s="93" t="str">
        <f>DMTK!B84</f>
        <v>171</v>
      </c>
      <c r="B86" s="65" t="str">
        <f>VLOOKUP(A86,DMTK!$B$5:$L$263,3,0)</f>
        <v>Giao dịch mua bán lại trái phiếu chính phủ</v>
      </c>
      <c r="C86" s="69">
        <f>VLOOKUP(A86,DMTK!$B$5:$L$263,10,0)</f>
        <v>0</v>
      </c>
      <c r="D86" s="69">
        <f>VLOOKUP(A86,DMTK!$B$5:$L$263,11,0)</f>
        <v>0</v>
      </c>
      <c r="E86" s="69">
        <f>SUMIFS(CT!$H$5:$H$143,CT!$D$5:$D$143,'BTHCTTK (TH131)'!A86)</f>
        <v>0</v>
      </c>
      <c r="F86" s="69">
        <f>SUMIFS(CT!$H$5:$H$143,CT!$E$5:$E$143,'BTHCTTK (TH131)'!A86)</f>
        <v>0</v>
      </c>
      <c r="G86" s="69">
        <f t="shared" si="3"/>
        <v>0</v>
      </c>
      <c r="H86" s="69">
        <f t="shared" si="4"/>
        <v>0</v>
      </c>
      <c r="I86" s="65" t="b">
        <f t="shared" si="5"/>
        <v>0</v>
      </c>
    </row>
    <row r="87" spans="1:9" hidden="1" x14ac:dyDescent="0.25">
      <c r="A87" s="93" t="str">
        <f>DMTK!B85</f>
        <v>2111</v>
      </c>
      <c r="B87" s="65" t="str">
        <f>VLOOKUP(A87,DMTK!$B$5:$L$263,3,0)</f>
        <v>Nhà cửa, vật kiến trúc</v>
      </c>
      <c r="C87" s="69">
        <f>VLOOKUP(A87,DMTK!$B$5:$L$263,10,0)</f>
        <v>200000000</v>
      </c>
      <c r="D87" s="69">
        <f>VLOOKUP(A87,DMTK!$B$5:$L$263,11,0)</f>
        <v>0</v>
      </c>
      <c r="E87" s="69">
        <f>SUMIFS(CT!$H$5:$H$143,CT!$D$5:$D$143,'BTHCTTK (TH131)'!A87)</f>
        <v>0</v>
      </c>
      <c r="F87" s="69">
        <f>SUMIFS(CT!$H$5:$H$143,CT!$E$5:$E$143,'BTHCTTK (TH131)'!A87)</f>
        <v>0</v>
      </c>
      <c r="G87" s="69">
        <f t="shared" si="3"/>
        <v>200000000</v>
      </c>
      <c r="H87" s="69">
        <f t="shared" si="4"/>
        <v>0</v>
      </c>
      <c r="I87" s="65" t="b">
        <f t="shared" si="5"/>
        <v>0</v>
      </c>
    </row>
    <row r="88" spans="1:9" hidden="1" x14ac:dyDescent="0.25">
      <c r="A88" s="93" t="str">
        <f>DMTK!B86</f>
        <v>2112.02</v>
      </c>
      <c r="B88" s="65" t="str">
        <f>VLOOKUP(A88,DMTK!$B$5:$L$263,3,0)</f>
        <v>Máy cắt phôi HITACHI</v>
      </c>
      <c r="C88" s="69">
        <f>VLOOKUP(A88,DMTK!$B$5:$L$263,10,0)</f>
        <v>188000000</v>
      </c>
      <c r="D88" s="69">
        <f>VLOOKUP(A88,DMTK!$B$5:$L$263,11,0)</f>
        <v>0</v>
      </c>
      <c r="E88" s="69">
        <f>SUMIFS(CT!$H$5:$H$143,CT!$D$5:$D$143,'BTHCTTK (TH131)'!A88)</f>
        <v>0</v>
      </c>
      <c r="F88" s="69">
        <f>SUMIFS(CT!$H$5:$H$143,CT!$E$5:$E$143,'BTHCTTK (TH131)'!A88)</f>
        <v>0</v>
      </c>
      <c r="G88" s="69">
        <f t="shared" si="3"/>
        <v>188000000</v>
      </c>
      <c r="H88" s="69">
        <f t="shared" si="4"/>
        <v>0</v>
      </c>
      <c r="I88" s="65" t="b">
        <f t="shared" si="5"/>
        <v>0</v>
      </c>
    </row>
    <row r="89" spans="1:9" hidden="1" x14ac:dyDescent="0.25">
      <c r="A89" s="93" t="str">
        <f>DMTK!B87</f>
        <v>2112.03</v>
      </c>
      <c r="B89" s="65" t="str">
        <f>VLOOKUP(A89,DMTK!$B$5:$L$263,3,0)</f>
        <v>Máy phun xi HITACHI</v>
      </c>
      <c r="C89" s="69">
        <f>VLOOKUP(A89,DMTK!$B$5:$L$263,10,0)</f>
        <v>150000000</v>
      </c>
      <c r="D89" s="69">
        <f>VLOOKUP(A89,DMTK!$B$5:$L$263,11,0)</f>
        <v>0</v>
      </c>
      <c r="E89" s="69">
        <f>SUMIFS(CT!$H$5:$H$143,CT!$D$5:$D$143,'BTHCTTK (TH131)'!A89)</f>
        <v>0</v>
      </c>
      <c r="F89" s="69">
        <f>SUMIFS(CT!$H$5:$H$143,CT!$E$5:$E$143,'BTHCTTK (TH131)'!A89)</f>
        <v>0</v>
      </c>
      <c r="G89" s="69">
        <f t="shared" si="3"/>
        <v>150000000</v>
      </c>
      <c r="H89" s="69">
        <f t="shared" si="4"/>
        <v>0</v>
      </c>
      <c r="I89" s="65" t="b">
        <f t="shared" si="5"/>
        <v>0</v>
      </c>
    </row>
    <row r="90" spans="1:9" hidden="1" x14ac:dyDescent="0.25">
      <c r="A90" s="93" t="str">
        <f>DMTK!B88</f>
        <v>2112.04</v>
      </c>
      <c r="B90" s="65" t="str">
        <f>VLOOKUP(A90,DMTK!$B$5:$L$263,3,0)</f>
        <v>Máy xẻ gỗ</v>
      </c>
      <c r="C90" s="69">
        <f>VLOOKUP(A90,DMTK!$B$5:$L$263,10,0)</f>
        <v>0</v>
      </c>
      <c r="D90" s="69">
        <f>VLOOKUP(A90,DMTK!$B$5:$L$263,11,0)</f>
        <v>0</v>
      </c>
      <c r="E90" s="69">
        <f>SUMIFS(CT!$H$5:$H$143,CT!$D$5:$D$143,'BTHCTTK (TH131)'!A90)</f>
        <v>140000000</v>
      </c>
      <c r="F90" s="69">
        <f>SUMIFS(CT!$H$5:$H$143,CT!$E$5:$E$143,'BTHCTTK (TH131)'!A90)</f>
        <v>0</v>
      </c>
      <c r="G90" s="69">
        <f t="shared" si="3"/>
        <v>140000000</v>
      </c>
      <c r="H90" s="69">
        <f t="shared" si="4"/>
        <v>0</v>
      </c>
      <c r="I90" s="65" t="b">
        <f t="shared" si="5"/>
        <v>0</v>
      </c>
    </row>
    <row r="91" spans="1:9" hidden="1" x14ac:dyDescent="0.25">
      <c r="A91" s="93" t="str">
        <f>DMTK!B89</f>
        <v>2113</v>
      </c>
      <c r="B91" s="65" t="str">
        <f>VLOOKUP(A91,DMTK!$B$5:$L$263,3,0)</f>
        <v>Phương tiện vận tải, truyền dẫn</v>
      </c>
      <c r="C91" s="69">
        <f>VLOOKUP(A91,DMTK!$B$5:$L$263,10,0)</f>
        <v>220000000</v>
      </c>
      <c r="D91" s="69">
        <f>VLOOKUP(A91,DMTK!$B$5:$L$263,11,0)</f>
        <v>0</v>
      </c>
      <c r="E91" s="69">
        <f>SUMIFS(CT!$H$5:$H$143,CT!$D$5:$D$143,'BTHCTTK (TH131)'!A91)</f>
        <v>0</v>
      </c>
      <c r="F91" s="69">
        <f>SUMIFS(CT!$H$5:$H$143,CT!$E$5:$E$143,'BTHCTTK (TH131)'!A91)</f>
        <v>0</v>
      </c>
      <c r="G91" s="69">
        <f t="shared" si="3"/>
        <v>220000000</v>
      </c>
      <c r="H91" s="69">
        <f t="shared" si="4"/>
        <v>0</v>
      </c>
      <c r="I91" s="65" t="b">
        <f t="shared" si="5"/>
        <v>0</v>
      </c>
    </row>
    <row r="92" spans="1:9" hidden="1" x14ac:dyDescent="0.25">
      <c r="A92" s="93" t="str">
        <f>DMTK!B90</f>
        <v>2114.01</v>
      </c>
      <c r="B92" s="65" t="str">
        <f>VLOOKUP(A92,DMTK!$B$5:$L$263,3,0)</f>
        <v>Máy vi tính</v>
      </c>
      <c r="C92" s="69">
        <f>VLOOKUP(A92,DMTK!$B$5:$L$263,10,0)</f>
        <v>50779000</v>
      </c>
      <c r="D92" s="69">
        <f>VLOOKUP(A92,DMTK!$B$5:$L$263,11,0)</f>
        <v>0</v>
      </c>
      <c r="E92" s="69">
        <f>SUMIFS(CT!$H$5:$H$143,CT!$D$5:$D$143,'BTHCTTK (TH131)'!A92)</f>
        <v>0</v>
      </c>
      <c r="F92" s="69">
        <f>SUMIFS(CT!$H$5:$H$143,CT!$E$5:$E$143,'BTHCTTK (TH131)'!A92)</f>
        <v>0</v>
      </c>
      <c r="G92" s="69">
        <f t="shared" si="3"/>
        <v>50779000</v>
      </c>
      <c r="H92" s="69">
        <f t="shared" si="4"/>
        <v>0</v>
      </c>
      <c r="I92" s="65" t="b">
        <f t="shared" si="5"/>
        <v>0</v>
      </c>
    </row>
    <row r="93" spans="1:9" hidden="1" x14ac:dyDescent="0.25">
      <c r="A93" s="93" t="str">
        <f>DMTK!B91</f>
        <v>2114.02</v>
      </c>
      <c r="B93" s="65" t="str">
        <f>VLOOKUP(A93,DMTK!$B$5:$L$263,3,0)</f>
        <v>Máy photocopy</v>
      </c>
      <c r="C93" s="69">
        <f>VLOOKUP(A93,DMTK!$B$5:$L$263,10,0)</f>
        <v>125000000</v>
      </c>
      <c r="D93" s="69">
        <f>VLOOKUP(A93,DMTK!$B$5:$L$263,11,0)</f>
        <v>0</v>
      </c>
      <c r="E93" s="69">
        <f>SUMIFS(CT!$H$5:$H$143,CT!$D$5:$D$143,'BTHCTTK (TH131)'!A93)</f>
        <v>0</v>
      </c>
      <c r="F93" s="69">
        <f>SUMIFS(CT!$H$5:$H$143,CT!$E$5:$E$143,'BTHCTTK (TH131)'!A93)</f>
        <v>0</v>
      </c>
      <c r="G93" s="69">
        <f t="shared" si="3"/>
        <v>125000000</v>
      </c>
      <c r="H93" s="69">
        <f t="shared" si="4"/>
        <v>0</v>
      </c>
      <c r="I93" s="65" t="b">
        <f t="shared" si="5"/>
        <v>0</v>
      </c>
    </row>
    <row r="94" spans="1:9" hidden="1" x14ac:dyDescent="0.25">
      <c r="A94" s="93" t="str">
        <f>DMTK!B92</f>
        <v>2118</v>
      </c>
      <c r="B94" s="65" t="str">
        <f>VLOOKUP(A94,DMTK!$B$5:$L$263,3,0)</f>
        <v>TSCĐ khác</v>
      </c>
      <c r="C94" s="69">
        <f>VLOOKUP(A94,DMTK!$B$5:$L$263,10,0)</f>
        <v>0</v>
      </c>
      <c r="D94" s="69">
        <f>VLOOKUP(A94,DMTK!$B$5:$L$263,11,0)</f>
        <v>0</v>
      </c>
      <c r="E94" s="69">
        <f>SUMIFS(CT!$H$5:$H$143,CT!$D$5:$D$143,'BTHCTTK (TH131)'!A94)</f>
        <v>0</v>
      </c>
      <c r="F94" s="69">
        <f>SUMIFS(CT!$H$5:$H$143,CT!$E$5:$E$143,'BTHCTTK (TH131)'!A94)</f>
        <v>0</v>
      </c>
      <c r="G94" s="69">
        <f t="shared" si="3"/>
        <v>0</v>
      </c>
      <c r="H94" s="69">
        <f t="shared" si="4"/>
        <v>0</v>
      </c>
      <c r="I94" s="65" t="b">
        <f t="shared" si="5"/>
        <v>0</v>
      </c>
    </row>
    <row r="95" spans="1:9" hidden="1" x14ac:dyDescent="0.25">
      <c r="A95" s="93" t="str">
        <f>DMTK!B93</f>
        <v>2121</v>
      </c>
      <c r="B95" s="65">
        <f>VLOOKUP(A95,DMTK!$B$5:$L$263,3,0)</f>
        <v>0</v>
      </c>
      <c r="C95" s="69">
        <f>VLOOKUP(A95,DMTK!$B$5:$L$263,10,0)</f>
        <v>0</v>
      </c>
      <c r="D95" s="69">
        <f>VLOOKUP(A95,DMTK!$B$5:$L$263,11,0)</f>
        <v>0</v>
      </c>
      <c r="E95" s="69">
        <f>SUMIFS(CT!$H$5:$H$143,CT!$D$5:$D$143,'BTHCTTK (TH131)'!A95)</f>
        <v>0</v>
      </c>
      <c r="F95" s="69">
        <f>SUMIFS(CT!$H$5:$H$143,CT!$E$5:$E$143,'BTHCTTK (TH131)'!A95)</f>
        <v>0</v>
      </c>
      <c r="G95" s="69">
        <f t="shared" si="3"/>
        <v>0</v>
      </c>
      <c r="H95" s="69">
        <f t="shared" si="4"/>
        <v>0</v>
      </c>
      <c r="I95" s="65" t="b">
        <f t="shared" si="5"/>
        <v>0</v>
      </c>
    </row>
    <row r="96" spans="1:9" hidden="1" x14ac:dyDescent="0.25">
      <c r="A96" s="93" t="str">
        <f>DMTK!B94</f>
        <v>2131</v>
      </c>
      <c r="B96" s="65">
        <f>VLOOKUP(A96,DMTK!$B$5:$L$263,3,0)</f>
        <v>0</v>
      </c>
      <c r="C96" s="69">
        <f>VLOOKUP(A96,DMTK!$B$5:$L$263,10,0)</f>
        <v>0</v>
      </c>
      <c r="D96" s="69">
        <f>VLOOKUP(A96,DMTK!$B$5:$L$263,11,0)</f>
        <v>0</v>
      </c>
      <c r="E96" s="69">
        <f>SUMIFS(CT!$H$5:$H$143,CT!$D$5:$D$143,'BTHCTTK (TH131)'!A96)</f>
        <v>0</v>
      </c>
      <c r="F96" s="69">
        <f>SUMIFS(CT!$H$5:$H$143,CT!$E$5:$E$143,'BTHCTTK (TH131)'!A96)</f>
        <v>0</v>
      </c>
      <c r="G96" s="69">
        <f t="shared" si="3"/>
        <v>0</v>
      </c>
      <c r="H96" s="69">
        <f t="shared" si="4"/>
        <v>0</v>
      </c>
      <c r="I96" s="65" t="b">
        <f t="shared" si="5"/>
        <v>0</v>
      </c>
    </row>
    <row r="97" spans="1:9" hidden="1" x14ac:dyDescent="0.25">
      <c r="A97" s="93" t="str">
        <f>DMTK!B95</f>
        <v>2141</v>
      </c>
      <c r="B97" s="65" t="str">
        <f>VLOOKUP(A97,DMTK!$B$5:$L$263,3,0)</f>
        <v>Hao mòn TSCĐ hữu hình</v>
      </c>
      <c r="C97" s="69">
        <f>VLOOKUP(A97,DMTK!$B$5:$L$263,10,0)</f>
        <v>0</v>
      </c>
      <c r="D97" s="69">
        <f>VLOOKUP(A97,DMTK!$B$5:$L$263,11,0)</f>
        <v>90000000</v>
      </c>
      <c r="E97" s="69">
        <f>SUMIFS(CT!$H$5:$H$143,CT!$D$5:$D$143,'BTHCTTK (TH131)'!A97)</f>
        <v>0</v>
      </c>
      <c r="F97" s="69">
        <f>SUMIFS(CT!$H$5:$H$143,CT!$E$5:$E$143,'BTHCTTK (TH131)'!A97)</f>
        <v>2124999</v>
      </c>
      <c r="G97" s="69">
        <f t="shared" si="3"/>
        <v>0</v>
      </c>
      <c r="H97" s="69">
        <f t="shared" si="4"/>
        <v>92124999</v>
      </c>
      <c r="I97" s="65" t="b">
        <f t="shared" si="5"/>
        <v>0</v>
      </c>
    </row>
    <row r="98" spans="1:9" hidden="1" x14ac:dyDescent="0.25">
      <c r="A98" s="93" t="str">
        <f>DMTK!B96</f>
        <v>2147</v>
      </c>
      <c r="B98" s="65" t="str">
        <f>VLOOKUP(A98,DMTK!$B$5:$L$263,3,0)</f>
        <v>Hao mòn bất động sản đầu tư</v>
      </c>
      <c r="C98" s="69">
        <f>VLOOKUP(A98,DMTK!$B$5:$L$263,10,0)</f>
        <v>0</v>
      </c>
      <c r="D98" s="69">
        <f>VLOOKUP(A98,DMTK!$B$5:$L$263,11,0)</f>
        <v>0</v>
      </c>
      <c r="E98" s="69">
        <f>SUMIFS(CT!$H$5:$H$143,CT!$D$5:$D$143,'BTHCTTK (TH131)'!A98)</f>
        <v>0</v>
      </c>
      <c r="F98" s="69">
        <f>SUMIFS(CT!$H$5:$H$143,CT!$E$5:$E$143,'BTHCTTK (TH131)'!A98)</f>
        <v>0</v>
      </c>
      <c r="G98" s="69">
        <f t="shared" si="3"/>
        <v>0</v>
      </c>
      <c r="H98" s="69">
        <f t="shared" si="4"/>
        <v>0</v>
      </c>
      <c r="I98" s="65" t="b">
        <f t="shared" si="5"/>
        <v>0</v>
      </c>
    </row>
    <row r="99" spans="1:9" hidden="1" x14ac:dyDescent="0.25">
      <c r="A99" s="93" t="str">
        <f>DMTK!B97</f>
        <v>217</v>
      </c>
      <c r="B99" s="65" t="str">
        <f>VLOOKUP(A99,DMTK!$B$5:$L$263,3,0)</f>
        <v>Bất động sản đầu tư</v>
      </c>
      <c r="C99" s="69">
        <f>VLOOKUP(A99,DMTK!$B$5:$L$263,10,0)</f>
        <v>0</v>
      </c>
      <c r="D99" s="69">
        <f>VLOOKUP(A99,DMTK!$B$5:$L$263,11,0)</f>
        <v>0</v>
      </c>
      <c r="E99" s="69">
        <f>SUMIFS(CT!$H$5:$H$143,CT!$D$5:$D$143,'BTHCTTK (TH131)'!A99)</f>
        <v>0</v>
      </c>
      <c r="F99" s="69">
        <f>SUMIFS(CT!$H$5:$H$143,CT!$E$5:$E$143,'BTHCTTK (TH131)'!A99)</f>
        <v>0</v>
      </c>
      <c r="G99" s="69">
        <f t="shared" si="3"/>
        <v>0</v>
      </c>
      <c r="H99" s="69">
        <f t="shared" si="4"/>
        <v>0</v>
      </c>
      <c r="I99" s="65" t="b">
        <f t="shared" si="5"/>
        <v>0</v>
      </c>
    </row>
    <row r="100" spans="1:9" hidden="1" x14ac:dyDescent="0.25">
      <c r="A100" s="93" t="str">
        <f>DMTK!B98</f>
        <v>221</v>
      </c>
      <c r="B100" s="65" t="str">
        <f>VLOOKUP(A100,DMTK!$B$5:$L$263,3,0)</f>
        <v>Đầu tư vào công ty con</v>
      </c>
      <c r="C100" s="69">
        <f>VLOOKUP(A100,DMTK!$B$5:$L$263,10,0)</f>
        <v>0</v>
      </c>
      <c r="D100" s="69">
        <f>VLOOKUP(A100,DMTK!$B$5:$L$263,11,0)</f>
        <v>0</v>
      </c>
      <c r="E100" s="69">
        <f>SUMIFS(CT!$H$5:$H$143,CT!$D$5:$D$143,'BTHCTTK (TH131)'!A100)</f>
        <v>0</v>
      </c>
      <c r="F100" s="69">
        <f>SUMIFS(CT!$H$5:$H$143,CT!$E$5:$E$143,'BTHCTTK (TH131)'!A100)</f>
        <v>0</v>
      </c>
      <c r="G100" s="69">
        <f t="shared" si="3"/>
        <v>0</v>
      </c>
      <c r="H100" s="69">
        <f t="shared" si="4"/>
        <v>0</v>
      </c>
      <c r="I100" s="65" t="b">
        <f t="shared" si="5"/>
        <v>0</v>
      </c>
    </row>
    <row r="101" spans="1:9" hidden="1" x14ac:dyDescent="0.25">
      <c r="A101" s="93" t="str">
        <f>DMTK!B99</f>
        <v>222</v>
      </c>
      <c r="B101" s="65" t="str">
        <f>VLOOKUP(A101,DMTK!$B$5:$L$263,3,0)</f>
        <v>Đầu tư vào công ty liên doanh, liên kết</v>
      </c>
      <c r="C101" s="69">
        <f>VLOOKUP(A101,DMTK!$B$5:$L$263,10,0)</f>
        <v>26000000</v>
      </c>
      <c r="D101" s="69">
        <f>VLOOKUP(A101,DMTK!$B$5:$L$263,11,0)</f>
        <v>0</v>
      </c>
      <c r="E101" s="69">
        <f>SUMIFS(CT!$H$5:$H$143,CT!$D$5:$D$143,'BTHCTTK (TH131)'!A101)</f>
        <v>0</v>
      </c>
      <c r="F101" s="69">
        <f>SUMIFS(CT!$H$5:$H$143,CT!$E$5:$E$143,'BTHCTTK (TH131)'!A101)</f>
        <v>0</v>
      </c>
      <c r="G101" s="69">
        <f t="shared" si="3"/>
        <v>26000000</v>
      </c>
      <c r="H101" s="69">
        <f t="shared" si="4"/>
        <v>0</v>
      </c>
      <c r="I101" s="65" t="b">
        <f t="shared" si="5"/>
        <v>0</v>
      </c>
    </row>
    <row r="102" spans="1:9" hidden="1" x14ac:dyDescent="0.25">
      <c r="A102" s="93" t="str">
        <f>DMTK!B100</f>
        <v>2281</v>
      </c>
      <c r="B102" s="65" t="str">
        <f>VLOOKUP(A102,DMTK!$B$5:$L$263,3,0)</f>
        <v>Đầu tư góp vốn vào đơn vị khác</v>
      </c>
      <c r="C102" s="69">
        <f>VLOOKUP(A102,DMTK!$B$5:$L$263,10,0)</f>
        <v>80000000</v>
      </c>
      <c r="D102" s="69">
        <f>VLOOKUP(A102,DMTK!$B$5:$L$263,11,0)</f>
        <v>0</v>
      </c>
      <c r="E102" s="69">
        <f>SUMIFS(CT!$H$5:$H$143,CT!$D$5:$D$143,'BTHCTTK (TH131)'!A102)</f>
        <v>0</v>
      </c>
      <c r="F102" s="69">
        <f>SUMIFS(CT!$H$5:$H$143,CT!$E$5:$E$143,'BTHCTTK (TH131)'!A102)</f>
        <v>0</v>
      </c>
      <c r="G102" s="69">
        <f t="shared" si="3"/>
        <v>80000000</v>
      </c>
      <c r="H102" s="69">
        <f t="shared" si="4"/>
        <v>0</v>
      </c>
      <c r="I102" s="65" t="b">
        <f t="shared" si="5"/>
        <v>0</v>
      </c>
    </row>
    <row r="103" spans="1:9" hidden="1" x14ac:dyDescent="0.25">
      <c r="A103" s="93" t="str">
        <f>DMTK!B101</f>
        <v>22881</v>
      </c>
      <c r="B103" s="65" t="str">
        <f>VLOOKUP(A103,DMTK!$B$5:$L$263,3,0)</f>
        <v>Đầu tư khác</v>
      </c>
      <c r="C103" s="69">
        <f>VLOOKUP(A103,DMTK!$B$5:$L$263,10,0)</f>
        <v>30000000</v>
      </c>
      <c r="D103" s="69">
        <f>VLOOKUP(A103,DMTK!$B$5:$L$263,11,0)</f>
        <v>0</v>
      </c>
      <c r="E103" s="69">
        <f>SUMIFS(CT!$H$5:$H$143,CT!$D$5:$D$143,'BTHCTTK (TH131)'!A103)</f>
        <v>0</v>
      </c>
      <c r="F103" s="69">
        <f>SUMIFS(CT!$H$5:$H$143,CT!$E$5:$E$143,'BTHCTTK (TH131)'!A103)</f>
        <v>0</v>
      </c>
      <c r="G103" s="69">
        <f t="shared" si="3"/>
        <v>30000000</v>
      </c>
      <c r="H103" s="69">
        <f t="shared" si="4"/>
        <v>0</v>
      </c>
      <c r="I103" s="65" t="b">
        <f t="shared" si="5"/>
        <v>0</v>
      </c>
    </row>
    <row r="104" spans="1:9" hidden="1" x14ac:dyDescent="0.25">
      <c r="A104" s="93" t="str">
        <f>DMTK!B102</f>
        <v>2291</v>
      </c>
      <c r="B104" s="65" t="str">
        <f>VLOOKUP(A104,DMTK!$B$5:$L$263,3,0)</f>
        <v>Dự phòng giảm giá chứng khoán kinh doanh</v>
      </c>
      <c r="C104" s="69">
        <f>VLOOKUP(A104,DMTK!$B$5:$L$263,10,0)</f>
        <v>0</v>
      </c>
      <c r="D104" s="69">
        <f>VLOOKUP(A104,DMTK!$B$5:$L$263,11,0)</f>
        <v>0</v>
      </c>
      <c r="E104" s="69">
        <f>SUMIFS(CT!$H$5:$H$143,CT!$D$5:$D$143,'BTHCTTK (TH131)'!A104)</f>
        <v>0</v>
      </c>
      <c r="F104" s="69">
        <f>SUMIFS(CT!$H$5:$H$143,CT!$E$5:$E$143,'BTHCTTK (TH131)'!A104)</f>
        <v>0</v>
      </c>
      <c r="G104" s="69">
        <f t="shared" si="3"/>
        <v>0</v>
      </c>
      <c r="H104" s="69">
        <f t="shared" si="4"/>
        <v>0</v>
      </c>
      <c r="I104" s="65" t="b">
        <f t="shared" si="5"/>
        <v>0</v>
      </c>
    </row>
    <row r="105" spans="1:9" hidden="1" x14ac:dyDescent="0.25">
      <c r="A105" s="93" t="str">
        <f>DMTK!B103</f>
        <v>2292</v>
      </c>
      <c r="B105" s="65" t="str">
        <f>VLOOKUP(A105,DMTK!$B$5:$L$263,3,0)</f>
        <v>Dự phòng tổn thất đầu tư vào đơn vị khác</v>
      </c>
      <c r="C105" s="69">
        <f>VLOOKUP(A105,DMTK!$B$5:$L$263,10,0)</f>
        <v>0</v>
      </c>
      <c r="D105" s="69">
        <f>VLOOKUP(A105,DMTK!$B$5:$L$263,11,0)</f>
        <v>0</v>
      </c>
      <c r="E105" s="69">
        <f>SUMIFS(CT!$H$5:$H$143,CT!$D$5:$D$143,'BTHCTTK (TH131)'!A105)</f>
        <v>0</v>
      </c>
      <c r="F105" s="69">
        <f>SUMIFS(CT!$H$5:$H$143,CT!$E$5:$E$143,'BTHCTTK (TH131)'!A105)</f>
        <v>0</v>
      </c>
      <c r="G105" s="69">
        <f t="shared" si="3"/>
        <v>0</v>
      </c>
      <c r="H105" s="69">
        <f t="shared" si="4"/>
        <v>0</v>
      </c>
      <c r="I105" s="65" t="b">
        <f t="shared" si="5"/>
        <v>0</v>
      </c>
    </row>
    <row r="106" spans="1:9" hidden="1" x14ac:dyDescent="0.25">
      <c r="A106" s="93" t="str">
        <f>DMTK!B104</f>
        <v>22931</v>
      </c>
      <c r="B106" s="65" t="str">
        <f>VLOOKUP(A106,DMTK!$B$5:$L$263,3,0)</f>
        <v>Dự phòng phải thu khó đòi</v>
      </c>
      <c r="C106" s="69">
        <f>VLOOKUP(A106,DMTK!$B$5:$L$263,10,0)</f>
        <v>0</v>
      </c>
      <c r="D106" s="69">
        <f>VLOOKUP(A106,DMTK!$B$5:$L$263,11,0)</f>
        <v>30000000</v>
      </c>
      <c r="E106" s="69">
        <f>SUMIFS(CT!$H$5:$H$143,CT!$D$5:$D$143,'BTHCTTK (TH131)'!A106)</f>
        <v>0</v>
      </c>
      <c r="F106" s="69">
        <f>SUMIFS(CT!$H$5:$H$143,CT!$E$5:$E$143,'BTHCTTK (TH131)'!A106)</f>
        <v>0</v>
      </c>
      <c r="G106" s="69">
        <f t="shared" si="3"/>
        <v>0</v>
      </c>
      <c r="H106" s="69">
        <f t="shared" si="4"/>
        <v>30000000</v>
      </c>
      <c r="I106" s="65" t="b">
        <f t="shared" si="5"/>
        <v>0</v>
      </c>
    </row>
    <row r="107" spans="1:9" hidden="1" x14ac:dyDescent="0.25">
      <c r="A107" s="93" t="str">
        <f>DMTK!B105</f>
        <v>22932</v>
      </c>
      <c r="B107" s="65" t="str">
        <f>VLOOKUP(A107,DMTK!$B$5:$L$263,3,0)</f>
        <v>Dự phòng phải thu khó đòi (dài hạn)</v>
      </c>
      <c r="C107" s="69">
        <f>VLOOKUP(A107,DMTK!$B$5:$L$263,10,0)</f>
        <v>0</v>
      </c>
      <c r="D107" s="69">
        <f>VLOOKUP(A107,DMTK!$B$5:$L$263,11,0)</f>
        <v>0</v>
      </c>
      <c r="E107" s="69">
        <f>SUMIFS(CT!$H$5:$H$143,CT!$D$5:$D$143,'BTHCTTK (TH131)'!A107)</f>
        <v>0</v>
      </c>
      <c r="F107" s="69">
        <f>SUMIFS(CT!$H$5:$H$143,CT!$E$5:$E$143,'BTHCTTK (TH131)'!A107)</f>
        <v>0</v>
      </c>
      <c r="G107" s="69">
        <f t="shared" si="3"/>
        <v>0</v>
      </c>
      <c r="H107" s="69">
        <f t="shared" si="4"/>
        <v>0</v>
      </c>
      <c r="I107" s="65" t="b">
        <f t="shared" si="5"/>
        <v>0</v>
      </c>
    </row>
    <row r="108" spans="1:9" hidden="1" x14ac:dyDescent="0.25">
      <c r="A108" s="93" t="str">
        <f>DMTK!B106</f>
        <v>2294</v>
      </c>
      <c r="B108" s="65" t="str">
        <f>VLOOKUP(A108,DMTK!$B$5:$L$263,3,0)</f>
        <v>Dự phòng giảm giá hàng tồn kho</v>
      </c>
      <c r="C108" s="69">
        <f>VLOOKUP(A108,DMTK!$B$5:$L$263,10,0)</f>
        <v>0</v>
      </c>
      <c r="D108" s="69">
        <f>VLOOKUP(A108,DMTK!$B$5:$L$263,11,0)</f>
        <v>80000000</v>
      </c>
      <c r="E108" s="69">
        <f>SUMIFS(CT!$H$5:$H$143,CT!$D$5:$D$143,'BTHCTTK (TH131)'!A108)</f>
        <v>0</v>
      </c>
      <c r="F108" s="69">
        <f>SUMIFS(CT!$H$5:$H$143,CT!$E$5:$E$143,'BTHCTTK (TH131)'!A108)</f>
        <v>0</v>
      </c>
      <c r="G108" s="69">
        <f t="shared" si="3"/>
        <v>0</v>
      </c>
      <c r="H108" s="69">
        <f t="shared" si="4"/>
        <v>80000000</v>
      </c>
      <c r="I108" s="65" t="b">
        <f t="shared" si="5"/>
        <v>0</v>
      </c>
    </row>
    <row r="109" spans="1:9" hidden="1" x14ac:dyDescent="0.25">
      <c r="A109" s="93" t="str">
        <f>DMTK!B107</f>
        <v>2411</v>
      </c>
      <c r="B109" s="65" t="str">
        <f>VLOOKUP(A109,DMTK!$B$5:$L$263,3,0)</f>
        <v>Mua sắm TSCĐ</v>
      </c>
      <c r="C109" s="69">
        <f>VLOOKUP(A109,DMTK!$B$5:$L$263,10,0)</f>
        <v>250000000</v>
      </c>
      <c r="D109" s="69">
        <f>VLOOKUP(A109,DMTK!$B$5:$L$263,11,0)</f>
        <v>0</v>
      </c>
      <c r="E109" s="69">
        <f>SUMIFS(CT!$H$5:$H$143,CT!$D$5:$D$143,'BTHCTTK (TH131)'!A109)</f>
        <v>0</v>
      </c>
      <c r="F109" s="69">
        <f>SUMIFS(CT!$H$5:$H$143,CT!$E$5:$E$143,'BTHCTTK (TH131)'!A109)</f>
        <v>0</v>
      </c>
      <c r="G109" s="69">
        <f t="shared" si="3"/>
        <v>250000000</v>
      </c>
      <c r="H109" s="69">
        <f t="shared" si="4"/>
        <v>0</v>
      </c>
      <c r="I109" s="65" t="b">
        <f t="shared" si="5"/>
        <v>0</v>
      </c>
    </row>
    <row r="110" spans="1:9" hidden="1" x14ac:dyDescent="0.25">
      <c r="A110" s="93" t="str">
        <f>DMTK!B108</f>
        <v>2412</v>
      </c>
      <c r="B110" s="65" t="str">
        <f>VLOOKUP(A110,DMTK!$B$5:$L$263,3,0)</f>
        <v>Xây dựng cơ bản</v>
      </c>
      <c r="C110" s="69">
        <f>VLOOKUP(A110,DMTK!$B$5:$L$263,10,0)</f>
        <v>213760000</v>
      </c>
      <c r="D110" s="69">
        <f>VLOOKUP(A110,DMTK!$B$5:$L$263,11,0)</f>
        <v>0</v>
      </c>
      <c r="E110" s="69">
        <f>SUMIFS(CT!$H$5:$H$143,CT!$D$5:$D$143,'BTHCTTK (TH131)'!A110)</f>
        <v>0</v>
      </c>
      <c r="F110" s="69">
        <f>SUMIFS(CT!$H$5:$H$143,CT!$E$5:$E$143,'BTHCTTK (TH131)'!A110)</f>
        <v>0</v>
      </c>
      <c r="G110" s="69">
        <f t="shared" si="3"/>
        <v>213760000</v>
      </c>
      <c r="H110" s="69">
        <f t="shared" si="4"/>
        <v>0</v>
      </c>
      <c r="I110" s="65" t="b">
        <f t="shared" si="5"/>
        <v>0</v>
      </c>
    </row>
    <row r="111" spans="1:9" hidden="1" x14ac:dyDescent="0.25">
      <c r="A111" s="93" t="str">
        <f>DMTK!B109</f>
        <v>2413</v>
      </c>
      <c r="B111" s="65" t="str">
        <f>VLOOKUP(A111,DMTK!$B$5:$L$263,3,0)</f>
        <v>Sửa chữa lớn TSCĐ</v>
      </c>
      <c r="C111" s="69">
        <f>VLOOKUP(A111,DMTK!$B$5:$L$263,10,0)</f>
        <v>0</v>
      </c>
      <c r="D111" s="69">
        <f>VLOOKUP(A111,DMTK!$B$5:$L$263,11,0)</f>
        <v>0</v>
      </c>
      <c r="E111" s="69">
        <f>SUMIFS(CT!$H$5:$H$143,CT!$D$5:$D$143,'BTHCTTK (TH131)'!A111)</f>
        <v>0</v>
      </c>
      <c r="F111" s="69">
        <f>SUMIFS(CT!$H$5:$H$143,CT!$E$5:$E$143,'BTHCTTK (TH131)'!A111)</f>
        <v>0</v>
      </c>
      <c r="G111" s="69">
        <f t="shared" si="3"/>
        <v>0</v>
      </c>
      <c r="H111" s="69">
        <f t="shared" si="4"/>
        <v>0</v>
      </c>
      <c r="I111" s="65" t="b">
        <f t="shared" si="5"/>
        <v>0</v>
      </c>
    </row>
    <row r="112" spans="1:9" hidden="1" x14ac:dyDescent="0.25">
      <c r="A112" s="93" t="str">
        <f>DMTK!B110</f>
        <v>2421.01</v>
      </c>
      <c r="B112" s="65" t="str">
        <f>VLOOKUP(A112,DMTK!$B$5:$L$263,3,0)</f>
        <v>Máy tính Casio (không quá 12 tháng)</v>
      </c>
      <c r="C112" s="69">
        <f>VLOOKUP(A112,DMTK!$B$5:$L$263,10,0)</f>
        <v>5000000</v>
      </c>
      <c r="D112" s="69">
        <f>VLOOKUP(A112,DMTK!$B$5:$L$263,11,0)</f>
        <v>0</v>
      </c>
      <c r="E112" s="69">
        <f>SUMIFS(CT!$H$5:$H$143,CT!$D$5:$D$143,'BTHCTTK (TH131)'!A112)</f>
        <v>2500000</v>
      </c>
      <c r="F112" s="69">
        <f>SUMIFS(CT!$H$5:$H$143,CT!$E$5:$E$143,'BTHCTTK (TH131)'!A112)</f>
        <v>500000</v>
      </c>
      <c r="G112" s="69">
        <f t="shared" si="3"/>
        <v>7000000</v>
      </c>
      <c r="H112" s="69">
        <f t="shared" si="4"/>
        <v>0</v>
      </c>
      <c r="I112" s="65" t="b">
        <f t="shared" si="5"/>
        <v>0</v>
      </c>
    </row>
    <row r="113" spans="1:9" hidden="1" x14ac:dyDescent="0.25">
      <c r="A113" s="93" t="str">
        <f>DMTK!B111</f>
        <v>2421.02</v>
      </c>
      <c r="B113" s="65" t="str">
        <f>VLOOKUP(A113,DMTK!$B$5:$L$263,3,0)</f>
        <v>Kệ tủ (không quá 12 tháng)</v>
      </c>
      <c r="C113" s="69">
        <f>VLOOKUP(A113,DMTK!$B$5:$L$263,10,0)</f>
        <v>8000000</v>
      </c>
      <c r="D113" s="69">
        <f>VLOOKUP(A113,DMTK!$B$5:$L$263,11,0)</f>
        <v>0</v>
      </c>
      <c r="E113" s="69">
        <f>SUMIFS(CT!$H$5:$H$143,CT!$D$5:$D$143,'BTHCTTK (TH131)'!A113)</f>
        <v>1000000</v>
      </c>
      <c r="F113" s="69">
        <f>SUMIFS(CT!$H$5:$H$143,CT!$E$5:$E$143,'BTHCTTK (TH131)'!A113)</f>
        <v>250000</v>
      </c>
      <c r="G113" s="69">
        <f t="shared" si="3"/>
        <v>8750000</v>
      </c>
      <c r="H113" s="69">
        <f t="shared" si="4"/>
        <v>0</v>
      </c>
      <c r="I113" s="65" t="b">
        <f t="shared" si="5"/>
        <v>0</v>
      </c>
    </row>
    <row r="114" spans="1:9" hidden="1" x14ac:dyDescent="0.25">
      <c r="A114" s="93" t="str">
        <f>DMTK!B112</f>
        <v>2422.01</v>
      </c>
      <c r="B114" s="65" t="str">
        <f>VLOOKUP(A114,DMTK!$B$5:$L$263,3,0)</f>
        <v>Máy tính Casio (trên 12 tháng)</v>
      </c>
      <c r="C114" s="69">
        <f>VLOOKUP(A114,DMTK!$B$5:$L$263,10,0)</f>
        <v>0</v>
      </c>
      <c r="D114" s="69">
        <f>VLOOKUP(A114,DMTK!$B$5:$L$263,11,0)</f>
        <v>0</v>
      </c>
      <c r="E114" s="69">
        <f>SUMIFS(CT!$H$5:$H$143,CT!$D$5:$D$143,'BTHCTTK (TH131)'!A114)</f>
        <v>0</v>
      </c>
      <c r="F114" s="69">
        <f>SUMIFS(CT!$H$5:$H$143,CT!$E$5:$E$143,'BTHCTTK (TH131)'!A114)</f>
        <v>0</v>
      </c>
      <c r="G114" s="69">
        <f t="shared" si="3"/>
        <v>0</v>
      </c>
      <c r="H114" s="69">
        <f t="shared" si="4"/>
        <v>0</v>
      </c>
      <c r="I114" s="65" t="b">
        <f t="shared" si="5"/>
        <v>0</v>
      </c>
    </row>
    <row r="115" spans="1:9" hidden="1" x14ac:dyDescent="0.25">
      <c r="A115" s="93" t="str">
        <f>DMTK!B113</f>
        <v>2422.02</v>
      </c>
      <c r="B115" s="65" t="str">
        <f>VLOOKUP(A115,DMTK!$B$5:$L$263,3,0)</f>
        <v>Kệ tủ (trên 12 tháng)</v>
      </c>
      <c r="C115" s="69">
        <f>VLOOKUP(A115,DMTK!$B$5:$L$263,10,0)</f>
        <v>0</v>
      </c>
      <c r="D115" s="69">
        <f>VLOOKUP(A115,DMTK!$B$5:$L$263,11,0)</f>
        <v>0</v>
      </c>
      <c r="E115" s="69">
        <f>SUMIFS(CT!$H$5:$H$143,CT!$D$5:$D$143,'BTHCTTK (TH131)'!A115)</f>
        <v>0</v>
      </c>
      <c r="F115" s="69">
        <f>SUMIFS(CT!$H$5:$H$143,CT!$E$5:$E$143,'BTHCTTK (TH131)'!A115)</f>
        <v>0</v>
      </c>
      <c r="G115" s="69">
        <f t="shared" si="3"/>
        <v>0</v>
      </c>
      <c r="H115" s="69">
        <f t="shared" si="4"/>
        <v>0</v>
      </c>
      <c r="I115" s="65" t="b">
        <f t="shared" si="5"/>
        <v>0</v>
      </c>
    </row>
    <row r="116" spans="1:9" hidden="1" x14ac:dyDescent="0.25">
      <c r="A116" s="93" t="str">
        <f>DMTK!B114</f>
        <v>2422.03</v>
      </c>
      <c r="B116" s="65" t="str">
        <f>VLOOKUP(A116,DMTK!$B$5:$L$263,3,0)</f>
        <v>Chi phí sửa chữa lớn TSCĐ</v>
      </c>
      <c r="C116" s="69">
        <f>VLOOKUP(A116,DMTK!$B$5:$L$263,10,0)</f>
        <v>0</v>
      </c>
      <c r="D116" s="69">
        <f>VLOOKUP(A116,DMTK!$B$5:$L$263,11,0)</f>
        <v>0</v>
      </c>
      <c r="E116" s="69">
        <f>SUMIFS(CT!$H$5:$H$143,CT!$D$5:$D$143,'BTHCTTK (TH131)'!A116)</f>
        <v>0</v>
      </c>
      <c r="F116" s="69">
        <f>SUMIFS(CT!$H$5:$H$143,CT!$E$5:$E$143,'BTHCTTK (TH131)'!A116)</f>
        <v>0</v>
      </c>
      <c r="G116" s="69">
        <f t="shared" si="3"/>
        <v>0</v>
      </c>
      <c r="H116" s="69">
        <f t="shared" si="4"/>
        <v>0</v>
      </c>
      <c r="I116" s="65" t="b">
        <f t="shared" si="5"/>
        <v>0</v>
      </c>
    </row>
    <row r="117" spans="1:9" hidden="1" x14ac:dyDescent="0.25">
      <c r="A117" s="93" t="str">
        <f>DMTK!B115</f>
        <v>243</v>
      </c>
      <c r="B117" s="65" t="str">
        <f>VLOOKUP(A117,DMTK!$B$5:$L$263,3,0)</f>
        <v>Tài sản thuế thu nhập hoãn lại</v>
      </c>
      <c r="C117" s="69">
        <f>VLOOKUP(A117,DMTK!$B$5:$L$263,10,0)</f>
        <v>0</v>
      </c>
      <c r="D117" s="69">
        <f>VLOOKUP(A117,DMTK!$B$5:$L$263,11,0)</f>
        <v>0</v>
      </c>
      <c r="E117" s="69">
        <f>SUMIFS(CT!$H$5:$H$143,CT!$D$5:$D$143,'BTHCTTK (TH131)'!A117)</f>
        <v>0</v>
      </c>
      <c r="F117" s="69">
        <f>SUMIFS(CT!$H$5:$H$143,CT!$E$5:$E$143,'BTHCTTK (TH131)'!A117)</f>
        <v>0</v>
      </c>
      <c r="G117" s="69">
        <f t="shared" si="3"/>
        <v>0</v>
      </c>
      <c r="H117" s="69">
        <f t="shared" si="4"/>
        <v>0</v>
      </c>
      <c r="I117" s="65" t="b">
        <f t="shared" si="5"/>
        <v>0</v>
      </c>
    </row>
    <row r="118" spans="1:9" hidden="1" x14ac:dyDescent="0.25">
      <c r="A118" s="93" t="str">
        <f>DMTK!B116</f>
        <v>2441</v>
      </c>
      <c r="B118" s="65" t="str">
        <f>VLOOKUP(A118,DMTK!$B$5:$L$263,3,0)</f>
        <v>Cầm cố, thế chấp, ký quỹ, ký cược (không quá 12 tháng)</v>
      </c>
      <c r="C118" s="69">
        <f>VLOOKUP(A118,DMTK!$B$5:$L$263,10,0)</f>
        <v>130000000</v>
      </c>
      <c r="D118" s="69">
        <f>VLOOKUP(A118,DMTK!$B$5:$L$263,11,0)</f>
        <v>0</v>
      </c>
      <c r="E118" s="69">
        <f>SUMIFS(CT!$H$5:$H$143,CT!$D$5:$D$143,'BTHCTTK (TH131)'!A118)</f>
        <v>0</v>
      </c>
      <c r="F118" s="69">
        <f>SUMIFS(CT!$H$5:$H$143,CT!$E$5:$E$143,'BTHCTTK (TH131)'!A118)</f>
        <v>0</v>
      </c>
      <c r="G118" s="69">
        <f t="shared" si="3"/>
        <v>130000000</v>
      </c>
      <c r="H118" s="69">
        <f t="shared" si="4"/>
        <v>0</v>
      </c>
      <c r="I118" s="65" t="b">
        <f t="shared" si="5"/>
        <v>0</v>
      </c>
    </row>
    <row r="119" spans="1:9" hidden="1" x14ac:dyDescent="0.25">
      <c r="A119" s="93" t="str">
        <f>DMTK!B117</f>
        <v>2442</v>
      </c>
      <c r="B119" s="65" t="str">
        <f>VLOOKUP(A119,DMTK!$B$5:$L$263,3,0)</f>
        <v>Cầm cố, thế chấp, ký quỹ, ký cược (trên 12 tháng)</v>
      </c>
      <c r="C119" s="69">
        <f>VLOOKUP(A119,DMTK!$B$5:$L$263,10,0)</f>
        <v>0</v>
      </c>
      <c r="D119" s="69">
        <f>VLOOKUP(A119,DMTK!$B$5:$L$263,11,0)</f>
        <v>0</v>
      </c>
      <c r="E119" s="69">
        <f>SUMIFS(CT!$H$5:$H$143,CT!$D$5:$D$143,'BTHCTTK (TH131)'!A119)</f>
        <v>0</v>
      </c>
      <c r="F119" s="69">
        <f>SUMIFS(CT!$H$5:$H$143,CT!$E$5:$E$143,'BTHCTTK (TH131)'!A119)</f>
        <v>0</v>
      </c>
      <c r="G119" s="69">
        <f t="shared" si="3"/>
        <v>0</v>
      </c>
      <c r="H119" s="69">
        <f t="shared" si="4"/>
        <v>0</v>
      </c>
      <c r="I119" s="65" t="b">
        <f t="shared" si="5"/>
        <v>0</v>
      </c>
    </row>
    <row r="120" spans="1:9" hidden="1" x14ac:dyDescent="0.25">
      <c r="A120" s="93" t="str">
        <f>DMTK!B118</f>
        <v>3311.01</v>
      </c>
      <c r="B120" s="65" t="str">
        <f>VLOOKUP(A120,DMTK!$B$5:$L$263,3,0)</f>
        <v>Cty CP Mai Lan</v>
      </c>
      <c r="C120" s="69">
        <f>VLOOKUP(A120,DMTK!$B$5:$L$263,10,0)</f>
        <v>0</v>
      </c>
      <c r="D120" s="69">
        <f>VLOOKUP(A120,DMTK!$B$5:$L$263,11,0)</f>
        <v>139000000</v>
      </c>
      <c r="E120" s="69">
        <f>SUMIFS(CT!$H$5:$H$143,CT!$D$5:$D$143,'BTHCTTK (TH131)'!A120)</f>
        <v>40000000</v>
      </c>
      <c r="F120" s="69">
        <f>SUMIFS(CT!$H$5:$H$143,CT!$E$5:$E$143,'BTHCTTK (TH131)'!A120)</f>
        <v>4755000</v>
      </c>
      <c r="G120" s="69">
        <f t="shared" si="3"/>
        <v>0</v>
      </c>
      <c r="H120" s="69">
        <f t="shared" si="4"/>
        <v>103755000</v>
      </c>
      <c r="I120" s="65" t="b">
        <f t="shared" si="5"/>
        <v>0</v>
      </c>
    </row>
    <row r="121" spans="1:9" hidden="1" x14ac:dyDescent="0.25">
      <c r="A121" s="93" t="str">
        <f>DMTK!B119</f>
        <v>3311.02</v>
      </c>
      <c r="B121" s="65" t="str">
        <f>VLOOKUP(A121,DMTK!$B$5:$L$263,3,0)</f>
        <v>Cty TNHH Cường Phát</v>
      </c>
      <c r="C121" s="69">
        <f>VLOOKUP(A121,DMTK!$B$5:$L$263,10,0)</f>
        <v>0</v>
      </c>
      <c r="D121" s="69">
        <f>VLOOKUP(A121,DMTK!$B$5:$L$263,11,0)</f>
        <v>73000000</v>
      </c>
      <c r="E121" s="69">
        <f>SUMIFS(CT!$H$5:$H$143,CT!$D$5:$D$143,'BTHCTTK (TH131)'!A121)</f>
        <v>0</v>
      </c>
      <c r="F121" s="69">
        <f>SUMIFS(CT!$H$5:$H$143,CT!$E$5:$E$143,'BTHCTTK (TH131)'!A121)</f>
        <v>23500000</v>
      </c>
      <c r="G121" s="69">
        <f t="shared" si="3"/>
        <v>0</v>
      </c>
      <c r="H121" s="69">
        <f t="shared" si="4"/>
        <v>96500000</v>
      </c>
      <c r="I121" s="65" t="b">
        <f t="shared" si="5"/>
        <v>0</v>
      </c>
    </row>
    <row r="122" spans="1:9" hidden="1" x14ac:dyDescent="0.25">
      <c r="A122" s="93" t="str">
        <f>DMTK!B120</f>
        <v>3311.03</v>
      </c>
      <c r="B122" s="65" t="str">
        <f>VLOOKUP(A122,DMTK!$B$5:$L$263,3,0)</f>
        <v>Cty TNHH Minh Gia Phát</v>
      </c>
      <c r="C122" s="69">
        <f>VLOOKUP(A122,DMTK!$B$5:$L$263,10,0)</f>
        <v>0</v>
      </c>
      <c r="D122" s="69">
        <f>VLOOKUP(A122,DMTK!$B$5:$L$263,11,0)</f>
        <v>0</v>
      </c>
      <c r="E122" s="69">
        <f>SUMIFS(CT!$H$5:$H$143,CT!$D$5:$D$143,'BTHCTTK (TH131)'!A122)</f>
        <v>50000000</v>
      </c>
      <c r="F122" s="69">
        <f>SUMIFS(CT!$H$5:$H$143,CT!$E$5:$E$143,'BTHCTTK (TH131)'!A122)</f>
        <v>5500000</v>
      </c>
      <c r="G122" s="69">
        <f t="shared" si="3"/>
        <v>44500000</v>
      </c>
      <c r="H122" s="69">
        <f t="shared" si="4"/>
        <v>0</v>
      </c>
      <c r="I122" s="65" t="b">
        <f t="shared" si="5"/>
        <v>0</v>
      </c>
    </row>
    <row r="123" spans="1:9" hidden="1" x14ac:dyDescent="0.25">
      <c r="A123" s="93" t="str">
        <f>DMTK!B121</f>
        <v>33311</v>
      </c>
      <c r="B123" s="65" t="str">
        <f>VLOOKUP(A123,DMTK!$B$5:$L$263,3,0)</f>
        <v>Thuế GTGT đầu ra</v>
      </c>
      <c r="C123" s="69">
        <f>VLOOKUP(A123,DMTK!$B$5:$L$263,10,0)</f>
        <v>0</v>
      </c>
      <c r="D123" s="69">
        <f>VLOOKUP(A123,DMTK!$B$5:$L$263,11,0)</f>
        <v>14200000</v>
      </c>
      <c r="E123" s="69">
        <f>SUMIFS(CT!$H$5:$H$143,CT!$D$5:$D$143,'BTHCTTK (TH131)'!A123)</f>
        <v>0</v>
      </c>
      <c r="F123" s="69">
        <f>SUMIFS(CT!$H$5:$H$143,CT!$E$5:$E$143,'BTHCTTK (TH131)'!A123)</f>
        <v>3157500</v>
      </c>
      <c r="G123" s="69">
        <f t="shared" si="3"/>
        <v>0</v>
      </c>
      <c r="H123" s="69">
        <f t="shared" si="4"/>
        <v>17357500</v>
      </c>
      <c r="I123" s="65" t="b">
        <f t="shared" si="5"/>
        <v>0</v>
      </c>
    </row>
    <row r="124" spans="1:9" hidden="1" x14ac:dyDescent="0.25">
      <c r="A124" s="93" t="str">
        <f>DMTK!B122</f>
        <v>33312</v>
      </c>
      <c r="B124" s="65" t="str">
        <f>VLOOKUP(A124,DMTK!$B$5:$L$263,3,0)</f>
        <v>Thuế GTGT hàng nhập khẩu</v>
      </c>
      <c r="C124" s="69">
        <f>VLOOKUP(A124,DMTK!$B$5:$L$263,10,0)</f>
        <v>0</v>
      </c>
      <c r="D124" s="69">
        <f>VLOOKUP(A124,DMTK!$B$5:$L$263,11,0)</f>
        <v>8000000</v>
      </c>
      <c r="E124" s="69">
        <f>SUMIFS(CT!$H$5:$H$143,CT!$D$5:$D$143,'BTHCTTK (TH131)'!A124)</f>
        <v>0</v>
      </c>
      <c r="F124" s="69">
        <f>SUMIFS(CT!$H$5:$H$143,CT!$E$5:$E$143,'BTHCTTK (TH131)'!A124)</f>
        <v>0</v>
      </c>
      <c r="G124" s="69">
        <f t="shared" si="3"/>
        <v>0</v>
      </c>
      <c r="H124" s="69">
        <f t="shared" si="4"/>
        <v>8000000</v>
      </c>
      <c r="I124" s="65" t="b">
        <f t="shared" si="5"/>
        <v>0</v>
      </c>
    </row>
    <row r="125" spans="1:9" hidden="1" x14ac:dyDescent="0.25">
      <c r="A125" s="93" t="str">
        <f>DMTK!B123</f>
        <v>3332</v>
      </c>
      <c r="B125" s="65" t="str">
        <f>VLOOKUP(A125,DMTK!$B$5:$L$263,3,0)</f>
        <v>Thuế tiêu thụ đặc biệt</v>
      </c>
      <c r="C125" s="69">
        <f>VLOOKUP(A125,DMTK!$B$5:$L$263,10,0)</f>
        <v>0</v>
      </c>
      <c r="D125" s="69">
        <f>VLOOKUP(A125,DMTK!$B$5:$L$263,11,0)</f>
        <v>0</v>
      </c>
      <c r="E125" s="69">
        <f>SUMIFS(CT!$H$5:$H$143,CT!$D$5:$D$143,'BTHCTTK (TH131)'!A125)</f>
        <v>0</v>
      </c>
      <c r="F125" s="69">
        <f>SUMIFS(CT!$H$5:$H$143,CT!$E$5:$E$143,'BTHCTTK (TH131)'!A125)</f>
        <v>0</v>
      </c>
      <c r="G125" s="69">
        <f t="shared" si="3"/>
        <v>0</v>
      </c>
      <c r="H125" s="69">
        <f t="shared" si="4"/>
        <v>0</v>
      </c>
      <c r="I125" s="65" t="b">
        <f t="shared" si="5"/>
        <v>0</v>
      </c>
    </row>
    <row r="126" spans="1:9" hidden="1" x14ac:dyDescent="0.25">
      <c r="A126" s="93" t="str">
        <f>DMTK!B124</f>
        <v>3333</v>
      </c>
      <c r="B126" s="65" t="str">
        <f>VLOOKUP(A126,DMTK!$B$5:$L$263,3,0)</f>
        <v>Thuế xuất, nhập khẩu</v>
      </c>
      <c r="C126" s="69">
        <f>VLOOKUP(A126,DMTK!$B$5:$L$263,10,0)</f>
        <v>0</v>
      </c>
      <c r="D126" s="69">
        <f>VLOOKUP(A126,DMTK!$B$5:$L$263,11,0)</f>
        <v>0</v>
      </c>
      <c r="E126" s="69">
        <f>SUMIFS(CT!$H$5:$H$143,CT!$D$5:$D$143,'BTHCTTK (TH131)'!A126)</f>
        <v>0</v>
      </c>
      <c r="F126" s="69">
        <f>SUMIFS(CT!$H$5:$H$143,CT!$E$5:$E$143,'BTHCTTK (TH131)'!A126)</f>
        <v>0</v>
      </c>
      <c r="G126" s="69">
        <f t="shared" si="3"/>
        <v>0</v>
      </c>
      <c r="H126" s="69">
        <f t="shared" si="4"/>
        <v>0</v>
      </c>
      <c r="I126" s="65" t="b">
        <f t="shared" si="5"/>
        <v>0</v>
      </c>
    </row>
    <row r="127" spans="1:9" hidden="1" x14ac:dyDescent="0.25">
      <c r="A127" s="93" t="str">
        <f>DMTK!B125</f>
        <v>3334</v>
      </c>
      <c r="B127" s="65" t="str">
        <f>VLOOKUP(A127,DMTK!$B$5:$L$263,3,0)</f>
        <v>Thuế thu nhập doanh nghiệp</v>
      </c>
      <c r="C127" s="69">
        <f>VLOOKUP(A127,DMTK!$B$5:$L$263,10,0)</f>
        <v>0</v>
      </c>
      <c r="D127" s="69">
        <f>VLOOKUP(A127,DMTK!$B$5:$L$263,11,0)</f>
        <v>12000000</v>
      </c>
      <c r="E127" s="69">
        <f>SUMIFS(CT!$H$5:$H$143,CT!$D$5:$D$143,'BTHCTTK (TH131)'!A127)</f>
        <v>0</v>
      </c>
      <c r="F127" s="69">
        <f>SUMIFS(CT!$H$5:$H$143,CT!$E$5:$E$143,'BTHCTTK (TH131)'!A127)</f>
        <v>0</v>
      </c>
      <c r="G127" s="69">
        <f t="shared" si="3"/>
        <v>0</v>
      </c>
      <c r="H127" s="69">
        <f t="shared" si="4"/>
        <v>12000000</v>
      </c>
      <c r="I127" s="65" t="b">
        <f t="shared" si="5"/>
        <v>0</v>
      </c>
    </row>
    <row r="128" spans="1:9" hidden="1" x14ac:dyDescent="0.25">
      <c r="A128" s="93" t="str">
        <f>DMTK!B126</f>
        <v>3335</v>
      </c>
      <c r="B128" s="65" t="str">
        <f>VLOOKUP(A128,DMTK!$B$5:$L$263,3,0)</f>
        <v>Thuế thu nhập cá nhân</v>
      </c>
      <c r="C128" s="69">
        <f>VLOOKUP(A128,DMTK!$B$5:$L$263,10,0)</f>
        <v>0</v>
      </c>
      <c r="D128" s="69">
        <f>VLOOKUP(A128,DMTK!$B$5:$L$263,11,0)</f>
        <v>0</v>
      </c>
      <c r="E128" s="69">
        <f>SUMIFS(CT!$H$5:$H$143,CT!$D$5:$D$143,'BTHCTTK (TH131)'!A128)</f>
        <v>0</v>
      </c>
      <c r="F128" s="69">
        <f>SUMIFS(CT!$H$5:$H$143,CT!$E$5:$E$143,'BTHCTTK (TH131)'!A128)</f>
        <v>0</v>
      </c>
      <c r="G128" s="69">
        <f t="shared" si="3"/>
        <v>0</v>
      </c>
      <c r="H128" s="69">
        <f t="shared" si="4"/>
        <v>0</v>
      </c>
      <c r="I128" s="65" t="b">
        <f t="shared" si="5"/>
        <v>0</v>
      </c>
    </row>
    <row r="129" spans="1:9" hidden="1" x14ac:dyDescent="0.25">
      <c r="A129" s="93" t="str">
        <f>DMTK!B127</f>
        <v>3336</v>
      </c>
      <c r="B129" s="65" t="str">
        <f>VLOOKUP(A129,DMTK!$B$5:$L$263,3,0)</f>
        <v>Thuế tài nguyên</v>
      </c>
      <c r="C129" s="69">
        <f>VLOOKUP(A129,DMTK!$B$5:$L$263,10,0)</f>
        <v>0</v>
      </c>
      <c r="D129" s="69">
        <f>VLOOKUP(A129,DMTK!$B$5:$L$263,11,0)</f>
        <v>0</v>
      </c>
      <c r="E129" s="69">
        <f>SUMIFS(CT!$H$5:$H$143,CT!$D$5:$D$143,'BTHCTTK (TH131)'!A129)</f>
        <v>0</v>
      </c>
      <c r="F129" s="69">
        <f>SUMIFS(CT!$H$5:$H$143,CT!$E$5:$E$143,'BTHCTTK (TH131)'!A129)</f>
        <v>0</v>
      </c>
      <c r="G129" s="69">
        <f t="shared" si="3"/>
        <v>0</v>
      </c>
      <c r="H129" s="69">
        <f t="shared" si="4"/>
        <v>0</v>
      </c>
      <c r="I129" s="65" t="b">
        <f t="shared" si="5"/>
        <v>0</v>
      </c>
    </row>
    <row r="130" spans="1:9" hidden="1" x14ac:dyDescent="0.25">
      <c r="A130" s="93" t="str">
        <f>DMTK!B128</f>
        <v>3337</v>
      </c>
      <c r="B130" s="65" t="str">
        <f>VLOOKUP(A130,DMTK!$B$5:$L$263,3,0)</f>
        <v>Thuế nhà đất, tiền thuê đất</v>
      </c>
      <c r="C130" s="69">
        <f>VLOOKUP(A130,DMTK!$B$5:$L$263,10,0)</f>
        <v>0</v>
      </c>
      <c r="D130" s="69">
        <f>VLOOKUP(A130,DMTK!$B$5:$L$263,11,0)</f>
        <v>0</v>
      </c>
      <c r="E130" s="69">
        <f>SUMIFS(CT!$H$5:$H$143,CT!$D$5:$D$143,'BTHCTTK (TH131)'!A130)</f>
        <v>0</v>
      </c>
      <c r="F130" s="69">
        <f>SUMIFS(CT!$H$5:$H$143,CT!$E$5:$E$143,'BTHCTTK (TH131)'!A130)</f>
        <v>0</v>
      </c>
      <c r="G130" s="69">
        <f t="shared" si="3"/>
        <v>0</v>
      </c>
      <c r="H130" s="69">
        <f t="shared" si="4"/>
        <v>0</v>
      </c>
      <c r="I130" s="65" t="b">
        <f t="shared" si="5"/>
        <v>0</v>
      </c>
    </row>
    <row r="131" spans="1:9" hidden="1" x14ac:dyDescent="0.25">
      <c r="A131" s="93" t="str">
        <f>DMTK!B129</f>
        <v>3338</v>
      </c>
      <c r="B131" s="65" t="str">
        <f>VLOOKUP(A131,DMTK!$B$5:$L$263,3,0)</f>
        <v>Thuế bảo vệ môi trường và các loại thuế khác</v>
      </c>
      <c r="C131" s="69">
        <f>VLOOKUP(A131,DMTK!$B$5:$L$263,10,0)</f>
        <v>0</v>
      </c>
      <c r="D131" s="69">
        <f>VLOOKUP(A131,DMTK!$B$5:$L$263,11,0)</f>
        <v>0</v>
      </c>
      <c r="E131" s="69">
        <f>SUMIFS(CT!$H$5:$H$143,CT!$D$5:$D$143,'BTHCTTK (TH131)'!A131)</f>
        <v>0</v>
      </c>
      <c r="F131" s="69">
        <f>SUMIFS(CT!$H$5:$H$143,CT!$E$5:$E$143,'BTHCTTK (TH131)'!A131)</f>
        <v>0</v>
      </c>
      <c r="G131" s="69">
        <f t="shared" si="3"/>
        <v>0</v>
      </c>
      <c r="H131" s="69">
        <f t="shared" si="4"/>
        <v>0</v>
      </c>
      <c r="I131" s="65" t="b">
        <f t="shared" si="5"/>
        <v>0</v>
      </c>
    </row>
    <row r="132" spans="1:9" hidden="1" x14ac:dyDescent="0.25">
      <c r="A132" s="93" t="str">
        <f>DMTK!B130</f>
        <v>3339</v>
      </c>
      <c r="B132" s="65" t="str">
        <f>VLOOKUP(A132,DMTK!$B$5:$L$263,3,0)</f>
        <v>Phí, lệ phí và các khoản phải nộp khác</v>
      </c>
      <c r="C132" s="69">
        <f>VLOOKUP(A132,DMTK!$B$5:$L$263,10,0)</f>
        <v>0</v>
      </c>
      <c r="D132" s="69">
        <f>VLOOKUP(A132,DMTK!$B$5:$L$263,11,0)</f>
        <v>0</v>
      </c>
      <c r="E132" s="69">
        <f>SUMIFS(CT!$H$5:$H$143,CT!$D$5:$D$143,'BTHCTTK (TH131)'!A132)</f>
        <v>0</v>
      </c>
      <c r="F132" s="69">
        <f>SUMIFS(CT!$H$5:$H$143,CT!$E$5:$E$143,'BTHCTTK (TH131)'!A132)</f>
        <v>0</v>
      </c>
      <c r="G132" s="69">
        <f t="shared" si="3"/>
        <v>0</v>
      </c>
      <c r="H132" s="69">
        <f t="shared" si="4"/>
        <v>0</v>
      </c>
      <c r="I132" s="65" t="b">
        <f t="shared" si="5"/>
        <v>0</v>
      </c>
    </row>
    <row r="133" spans="1:9" hidden="1" x14ac:dyDescent="0.25">
      <c r="A133" s="93" t="str">
        <f>DMTK!B131</f>
        <v>3341.01</v>
      </c>
      <c r="B133" s="65" t="str">
        <f>VLOOKUP(A133,DMTK!$B$5:$L$263,3,0)</f>
        <v>Lương CNSX Ghế tay vịn</v>
      </c>
      <c r="C133" s="69">
        <f>VLOOKUP(A133,DMTK!$B$5:$L$263,10,0)</f>
        <v>0</v>
      </c>
      <c r="D133" s="69">
        <f>VLOOKUP(A133,DMTK!$B$5:$L$263,11,0)</f>
        <v>12000000</v>
      </c>
      <c r="E133" s="69">
        <f>SUMIFS(CT!$H$5:$H$143,CT!$D$5:$D$143,'BTHCTTK (TH131)'!A133)</f>
        <v>40000000</v>
      </c>
      <c r="F133" s="69">
        <f>SUMIFS(CT!$H$5:$H$143,CT!$E$5:$E$143,'BTHCTTK (TH131)'!A133)</f>
        <v>40000000</v>
      </c>
      <c r="G133" s="69">
        <f t="shared" si="3"/>
        <v>0</v>
      </c>
      <c r="H133" s="69">
        <f t="shared" si="4"/>
        <v>12000000</v>
      </c>
      <c r="I133" s="65" t="b">
        <f t="shared" si="5"/>
        <v>0</v>
      </c>
    </row>
    <row r="134" spans="1:9" hidden="1" x14ac:dyDescent="0.25">
      <c r="A134" s="93" t="str">
        <f>DMTK!B132</f>
        <v>3341.02</v>
      </c>
      <c r="B134" s="65" t="str">
        <f>VLOOKUP(A134,DMTK!$B$5:$L$263,3,0)</f>
        <v>Lương CNSX Ghế không tay</v>
      </c>
      <c r="C134" s="69">
        <f>VLOOKUP(A134,DMTK!$B$5:$L$263,10,0)</f>
        <v>0</v>
      </c>
      <c r="D134" s="69">
        <f>VLOOKUP(A134,DMTK!$B$5:$L$263,11,0)</f>
        <v>8000000</v>
      </c>
      <c r="E134" s="69">
        <f>SUMIFS(CT!$H$5:$H$143,CT!$D$5:$D$143,'BTHCTTK (TH131)'!A134)</f>
        <v>40000000</v>
      </c>
      <c r="F134" s="69">
        <f>SUMIFS(CT!$H$5:$H$143,CT!$E$5:$E$143,'BTHCTTK (TH131)'!A134)</f>
        <v>40000000</v>
      </c>
      <c r="G134" s="69">
        <f t="shared" si="3"/>
        <v>0</v>
      </c>
      <c r="H134" s="69">
        <f t="shared" si="4"/>
        <v>8000000</v>
      </c>
      <c r="I134" s="65" t="b">
        <f t="shared" si="5"/>
        <v>0</v>
      </c>
    </row>
    <row r="135" spans="1:9" hidden="1" x14ac:dyDescent="0.25">
      <c r="A135" s="93" t="str">
        <f>DMTK!B133</f>
        <v>3341.03</v>
      </c>
      <c r="B135" s="65" t="str">
        <f>VLOOKUP(A135,DMTK!$B$5:$L$263,3,0)</f>
        <v>Lương CNSX Bàn tròn</v>
      </c>
      <c r="C135" s="69">
        <f>VLOOKUP(A135,DMTK!$B$5:$L$263,10,0)</f>
        <v>0</v>
      </c>
      <c r="D135" s="69">
        <f>VLOOKUP(A135,DMTK!$B$5:$L$263,11,0)</f>
        <v>10000000</v>
      </c>
      <c r="E135" s="69">
        <f>SUMIFS(CT!$H$5:$H$143,CT!$D$5:$D$143,'BTHCTTK (TH131)'!A135)</f>
        <v>40000000</v>
      </c>
      <c r="F135" s="69">
        <f>SUMIFS(CT!$H$5:$H$143,CT!$E$5:$E$143,'BTHCTTK (TH131)'!A135)</f>
        <v>40000000</v>
      </c>
      <c r="G135" s="69">
        <f t="shared" si="3"/>
        <v>0</v>
      </c>
      <c r="H135" s="69">
        <f t="shared" si="4"/>
        <v>10000000</v>
      </c>
      <c r="I135" s="65" t="b">
        <f t="shared" si="5"/>
        <v>0</v>
      </c>
    </row>
    <row r="136" spans="1:9" hidden="1" x14ac:dyDescent="0.25">
      <c r="A136" s="93" t="str">
        <f>DMTK!B134</f>
        <v>3341.04</v>
      </c>
      <c r="B136" s="65" t="str">
        <f>VLOOKUP(A136,DMTK!$B$5:$L$263,3,0)</f>
        <v>Lương CNSX Bàn oval</v>
      </c>
      <c r="C136" s="69">
        <f>VLOOKUP(A136,DMTK!$B$5:$L$263,10,0)</f>
        <v>0</v>
      </c>
      <c r="D136" s="69">
        <f>VLOOKUP(A136,DMTK!$B$5:$L$263,11,0)</f>
        <v>12000000</v>
      </c>
      <c r="E136" s="69">
        <f>SUMIFS(CT!$H$5:$H$143,CT!$D$5:$D$143,'BTHCTTK (TH131)'!A136)</f>
        <v>40000000</v>
      </c>
      <c r="F136" s="69">
        <f>SUMIFS(CT!$H$5:$H$143,CT!$E$5:$E$143,'BTHCTTK (TH131)'!A136)</f>
        <v>40000000</v>
      </c>
      <c r="G136" s="69">
        <f t="shared" ref="G136:G199" si="6">MAX(C136+E136-D136-F136,0)</f>
        <v>0</v>
      </c>
      <c r="H136" s="69">
        <f t="shared" ref="H136:H199" si="7">MAX(D136+F136-C136-E136,0)</f>
        <v>12000000</v>
      </c>
      <c r="I136" s="65" t="b">
        <f t="shared" ref="I136:I199" si="8">LEFT(A136,3)=$D$2</f>
        <v>0</v>
      </c>
    </row>
    <row r="137" spans="1:9" hidden="1" x14ac:dyDescent="0.25">
      <c r="A137" s="93" t="str">
        <f>DMTK!B135</f>
        <v>3341.05</v>
      </c>
      <c r="B137" s="65" t="str">
        <f>VLOOKUP(A137,DMTK!$B$5:$L$263,3,0)</f>
        <v>Lương CNSX Bàn chữ nhật</v>
      </c>
      <c r="C137" s="69">
        <f>VLOOKUP(A137,DMTK!$B$5:$L$263,10,0)</f>
        <v>0</v>
      </c>
      <c r="D137" s="69">
        <f>VLOOKUP(A137,DMTK!$B$5:$L$263,11,0)</f>
        <v>10000000</v>
      </c>
      <c r="E137" s="69">
        <f>SUMIFS(CT!$H$5:$H$143,CT!$D$5:$D$143,'BTHCTTK (TH131)'!A137)</f>
        <v>40000000</v>
      </c>
      <c r="F137" s="69">
        <f>SUMIFS(CT!$H$5:$H$143,CT!$E$5:$E$143,'BTHCTTK (TH131)'!A137)</f>
        <v>40000000</v>
      </c>
      <c r="G137" s="69">
        <f t="shared" si="6"/>
        <v>0</v>
      </c>
      <c r="H137" s="69">
        <f t="shared" si="7"/>
        <v>10000000</v>
      </c>
      <c r="I137" s="65" t="b">
        <f t="shared" si="8"/>
        <v>0</v>
      </c>
    </row>
    <row r="138" spans="1:9" hidden="1" x14ac:dyDescent="0.25">
      <c r="A138" s="93" t="str">
        <f>DMTK!B136</f>
        <v>3348.01</v>
      </c>
      <c r="B138" s="65" t="str">
        <f>VLOOKUP(A138,DMTK!$B$5:$L$263,3,0)</f>
        <v>Lương NV QLPX</v>
      </c>
      <c r="C138" s="69">
        <f>VLOOKUP(A138,DMTK!$B$5:$L$263,10,0)</f>
        <v>0</v>
      </c>
      <c r="D138" s="69">
        <f>VLOOKUP(A138,DMTK!$B$5:$L$263,11,0)</f>
        <v>53000000</v>
      </c>
      <c r="E138" s="69">
        <f>SUMIFS(CT!$H$5:$H$143,CT!$D$5:$D$143,'BTHCTTK (TH131)'!A138)</f>
        <v>35000000</v>
      </c>
      <c r="F138" s="69">
        <f>SUMIFS(CT!$H$5:$H$143,CT!$E$5:$E$143,'BTHCTTK (TH131)'!A138)</f>
        <v>35000000</v>
      </c>
      <c r="G138" s="69">
        <f t="shared" si="6"/>
        <v>0</v>
      </c>
      <c r="H138" s="69">
        <f t="shared" si="7"/>
        <v>53000000</v>
      </c>
      <c r="I138" s="65" t="b">
        <f t="shared" si="8"/>
        <v>0</v>
      </c>
    </row>
    <row r="139" spans="1:9" hidden="1" x14ac:dyDescent="0.25">
      <c r="A139" s="93" t="str">
        <f>DMTK!B137</f>
        <v>3348.02</v>
      </c>
      <c r="B139" s="65" t="str">
        <f>VLOOKUP(A139,DMTK!$B$5:$L$263,3,0)</f>
        <v>Lương NV bán hàng</v>
      </c>
      <c r="C139" s="69">
        <f>VLOOKUP(A139,DMTK!$B$5:$L$263,10,0)</f>
        <v>0</v>
      </c>
      <c r="D139" s="69">
        <f>VLOOKUP(A139,DMTK!$B$5:$L$263,11,0)</f>
        <v>3000000</v>
      </c>
      <c r="E139" s="69">
        <f>SUMIFS(CT!$H$5:$H$143,CT!$D$5:$D$143,'BTHCTTK (TH131)'!A139)</f>
        <v>5000000</v>
      </c>
      <c r="F139" s="69">
        <f>SUMIFS(CT!$H$5:$H$143,CT!$E$5:$E$143,'BTHCTTK (TH131)'!A139)</f>
        <v>5000000</v>
      </c>
      <c r="G139" s="69">
        <f t="shared" si="6"/>
        <v>0</v>
      </c>
      <c r="H139" s="69">
        <f t="shared" si="7"/>
        <v>3000000</v>
      </c>
      <c r="I139" s="65" t="b">
        <f t="shared" si="8"/>
        <v>0</v>
      </c>
    </row>
    <row r="140" spans="1:9" hidden="1" x14ac:dyDescent="0.25">
      <c r="A140" s="93" t="str">
        <f>DMTK!B138</f>
        <v>3348.03</v>
      </c>
      <c r="B140" s="65" t="str">
        <f>VLOOKUP(A140,DMTK!$B$5:$L$263,3,0)</f>
        <v>Lương CB QLDN</v>
      </c>
      <c r="C140" s="69">
        <f>VLOOKUP(A140,DMTK!$B$5:$L$263,10,0)</f>
        <v>0</v>
      </c>
      <c r="D140" s="69">
        <f>VLOOKUP(A140,DMTK!$B$5:$L$263,11,0)</f>
        <v>1500000</v>
      </c>
      <c r="E140" s="69">
        <f>SUMIFS(CT!$H$5:$H$143,CT!$D$5:$D$143,'BTHCTTK (TH131)'!A140)</f>
        <v>7000000</v>
      </c>
      <c r="F140" s="69">
        <f>SUMIFS(CT!$H$5:$H$143,CT!$E$5:$E$143,'BTHCTTK (TH131)'!A140)</f>
        <v>7000000</v>
      </c>
      <c r="G140" s="69">
        <f t="shared" si="6"/>
        <v>0</v>
      </c>
      <c r="H140" s="69">
        <f t="shared" si="7"/>
        <v>1500000</v>
      </c>
      <c r="I140" s="65" t="b">
        <f t="shared" si="8"/>
        <v>0</v>
      </c>
    </row>
    <row r="141" spans="1:9" hidden="1" x14ac:dyDescent="0.25">
      <c r="A141" s="93" t="str">
        <f>DMTK!B139</f>
        <v>3351</v>
      </c>
      <c r="B141" s="65" t="str">
        <f>VLOOKUP(A141,DMTK!$B$5:$L$263,3,0)</f>
        <v>Chi phí phải trả (ngắn hạn)</v>
      </c>
      <c r="C141" s="69">
        <f>VLOOKUP(A141,DMTK!$B$5:$L$263,10,0)</f>
        <v>0</v>
      </c>
      <c r="D141" s="69">
        <f>VLOOKUP(A141,DMTK!$B$5:$L$263,11,0)</f>
        <v>56000000</v>
      </c>
      <c r="E141" s="69">
        <f>SUMIFS(CT!$H$5:$H$143,CT!$D$5:$D$143,'BTHCTTK (TH131)'!A141)</f>
        <v>0</v>
      </c>
      <c r="F141" s="69">
        <f>SUMIFS(CT!$H$5:$H$143,CT!$E$5:$E$143,'BTHCTTK (TH131)'!A141)</f>
        <v>0</v>
      </c>
      <c r="G141" s="69">
        <f t="shared" si="6"/>
        <v>0</v>
      </c>
      <c r="H141" s="69">
        <f t="shared" si="7"/>
        <v>56000000</v>
      </c>
      <c r="I141" s="65" t="b">
        <f t="shared" si="8"/>
        <v>0</v>
      </c>
    </row>
    <row r="142" spans="1:9" hidden="1" x14ac:dyDescent="0.25">
      <c r="A142" s="93" t="str">
        <f>DMTK!B140</f>
        <v>3352</v>
      </c>
      <c r="B142" s="65" t="str">
        <f>VLOOKUP(A142,DMTK!$B$5:$L$263,3,0)</f>
        <v>Chi phí phải trả (dài hạn)</v>
      </c>
      <c r="C142" s="69">
        <f>VLOOKUP(A142,DMTK!$B$5:$L$263,10,0)</f>
        <v>0</v>
      </c>
      <c r="D142" s="69">
        <f>VLOOKUP(A142,DMTK!$B$5:$L$263,11,0)</f>
        <v>0</v>
      </c>
      <c r="E142" s="69">
        <f>SUMIFS(CT!$H$5:$H$143,CT!$D$5:$D$143,'BTHCTTK (TH131)'!A142)</f>
        <v>0</v>
      </c>
      <c r="F142" s="69">
        <f>SUMIFS(CT!$H$5:$H$143,CT!$E$5:$E$143,'BTHCTTK (TH131)'!A142)</f>
        <v>0</v>
      </c>
      <c r="G142" s="69">
        <f t="shared" si="6"/>
        <v>0</v>
      </c>
      <c r="H142" s="69">
        <f t="shared" si="7"/>
        <v>0</v>
      </c>
      <c r="I142" s="65" t="b">
        <f t="shared" si="8"/>
        <v>0</v>
      </c>
    </row>
    <row r="143" spans="1:9" hidden="1" x14ac:dyDescent="0.25">
      <c r="A143" s="93" t="str">
        <f>DMTK!B141</f>
        <v>3361</v>
      </c>
      <c r="B143" s="65" t="str">
        <f>VLOOKUP(A143,DMTK!$B$5:$L$263,3,0)</f>
        <v>Phải trả nội bộ về vốn kinh doanh</v>
      </c>
      <c r="C143" s="69">
        <f>VLOOKUP(A143,DMTK!$B$5:$L$263,10,0)</f>
        <v>0</v>
      </c>
      <c r="D143" s="69">
        <f>VLOOKUP(A143,DMTK!$B$5:$L$263,11,0)</f>
        <v>0</v>
      </c>
      <c r="E143" s="69">
        <f>SUMIFS(CT!$H$5:$H$143,CT!$D$5:$D$143,'BTHCTTK (TH131)'!A143)</f>
        <v>0</v>
      </c>
      <c r="F143" s="69">
        <f>SUMIFS(CT!$H$5:$H$143,CT!$E$5:$E$143,'BTHCTTK (TH131)'!A143)</f>
        <v>0</v>
      </c>
      <c r="G143" s="69">
        <f t="shared" si="6"/>
        <v>0</v>
      </c>
      <c r="H143" s="69">
        <f t="shared" si="7"/>
        <v>0</v>
      </c>
      <c r="I143" s="65" t="b">
        <f t="shared" si="8"/>
        <v>0</v>
      </c>
    </row>
    <row r="144" spans="1:9" hidden="1" x14ac:dyDescent="0.25">
      <c r="A144" s="93" t="str">
        <f>DMTK!B142</f>
        <v>33621</v>
      </c>
      <c r="B144" s="65" t="str">
        <f>VLOOKUP(A144,DMTK!$B$5:$L$263,3,0)</f>
        <v>Phải trả nội bộ về chênh lệch tỷ giá</v>
      </c>
      <c r="C144" s="69">
        <f>VLOOKUP(A144,DMTK!$B$5:$L$263,10,0)</f>
        <v>0</v>
      </c>
      <c r="D144" s="69">
        <f>VLOOKUP(A144,DMTK!$B$5:$L$263,11,0)</f>
        <v>0</v>
      </c>
      <c r="E144" s="69">
        <f>SUMIFS(CT!$H$5:$H$143,CT!$D$5:$D$143,'BTHCTTK (TH131)'!A144)</f>
        <v>0</v>
      </c>
      <c r="F144" s="69">
        <f>SUMIFS(CT!$H$5:$H$143,CT!$E$5:$E$143,'BTHCTTK (TH131)'!A144)</f>
        <v>0</v>
      </c>
      <c r="G144" s="69">
        <f t="shared" si="6"/>
        <v>0</v>
      </c>
      <c r="H144" s="69">
        <f t="shared" si="7"/>
        <v>0</v>
      </c>
      <c r="I144" s="65" t="b">
        <f t="shared" si="8"/>
        <v>0</v>
      </c>
    </row>
    <row r="145" spans="1:9" hidden="1" x14ac:dyDescent="0.25">
      <c r="A145" s="93" t="str">
        <f>DMTK!B143</f>
        <v>33622</v>
      </c>
      <c r="B145" s="65" t="str">
        <f>VLOOKUP(A145,DMTK!$B$5:$L$263,3,0)</f>
        <v>Phải trả nội bộ về chênh lệch tỷ giá (dài hạn)</v>
      </c>
      <c r="C145" s="69">
        <f>VLOOKUP(A145,DMTK!$B$5:$L$263,10,0)</f>
        <v>0</v>
      </c>
      <c r="D145" s="69">
        <f>VLOOKUP(A145,DMTK!$B$5:$L$263,11,0)</f>
        <v>0</v>
      </c>
      <c r="E145" s="69">
        <f>SUMIFS(CT!$H$5:$H$143,CT!$D$5:$D$143,'BTHCTTK (TH131)'!A145)</f>
        <v>0</v>
      </c>
      <c r="F145" s="69">
        <f>SUMIFS(CT!$H$5:$H$143,CT!$E$5:$E$143,'BTHCTTK (TH131)'!A145)</f>
        <v>0</v>
      </c>
      <c r="G145" s="69">
        <f t="shared" si="6"/>
        <v>0</v>
      </c>
      <c r="H145" s="69">
        <f t="shared" si="7"/>
        <v>0</v>
      </c>
      <c r="I145" s="65" t="b">
        <f t="shared" si="8"/>
        <v>0</v>
      </c>
    </row>
    <row r="146" spans="1:9" hidden="1" x14ac:dyDescent="0.25">
      <c r="A146" s="93" t="str">
        <f>DMTK!B144</f>
        <v>33631</v>
      </c>
      <c r="B146" s="65" t="str">
        <f>VLOOKUP(A146,DMTK!$B$5:$L$263,3,0)</f>
        <v>Phải trả nội bộ về chi phí đi vay đủ điều kiện được vốn hóa</v>
      </c>
      <c r="C146" s="69">
        <f>VLOOKUP(A146,DMTK!$B$5:$L$263,10,0)</f>
        <v>0</v>
      </c>
      <c r="D146" s="69">
        <f>VLOOKUP(A146,DMTK!$B$5:$L$263,11,0)</f>
        <v>0</v>
      </c>
      <c r="E146" s="69">
        <f>SUMIFS(CT!$H$5:$H$143,CT!$D$5:$D$143,'BTHCTTK (TH131)'!A146)</f>
        <v>0</v>
      </c>
      <c r="F146" s="69">
        <f>SUMIFS(CT!$H$5:$H$143,CT!$E$5:$E$143,'BTHCTTK (TH131)'!A146)</f>
        <v>0</v>
      </c>
      <c r="G146" s="69">
        <f t="shared" si="6"/>
        <v>0</v>
      </c>
      <c r="H146" s="69">
        <f t="shared" si="7"/>
        <v>0</v>
      </c>
      <c r="I146" s="65" t="b">
        <f t="shared" si="8"/>
        <v>0</v>
      </c>
    </row>
    <row r="147" spans="1:9" hidden="1" x14ac:dyDescent="0.25">
      <c r="A147" s="93" t="str">
        <f>DMTK!B145</f>
        <v>33632</v>
      </c>
      <c r="B147" s="65" t="str">
        <f>VLOOKUP(A147,DMTK!$B$5:$L$263,3,0)</f>
        <v>Phải trả nội bộ về chi phí đi vay đủ điều kiện được vốn hóa (dài hạn)</v>
      </c>
      <c r="C147" s="69">
        <f>VLOOKUP(A147,DMTK!$B$5:$L$263,10,0)</f>
        <v>0</v>
      </c>
      <c r="D147" s="69">
        <f>VLOOKUP(A147,DMTK!$B$5:$L$263,11,0)</f>
        <v>0</v>
      </c>
      <c r="E147" s="69">
        <f>SUMIFS(CT!$H$5:$H$143,CT!$D$5:$D$143,'BTHCTTK (TH131)'!A147)</f>
        <v>0</v>
      </c>
      <c r="F147" s="69">
        <f>SUMIFS(CT!$H$5:$H$143,CT!$E$5:$E$143,'BTHCTTK (TH131)'!A147)</f>
        <v>0</v>
      </c>
      <c r="G147" s="69">
        <f t="shared" si="6"/>
        <v>0</v>
      </c>
      <c r="H147" s="69">
        <f t="shared" si="7"/>
        <v>0</v>
      </c>
      <c r="I147" s="65" t="b">
        <f t="shared" si="8"/>
        <v>0</v>
      </c>
    </row>
    <row r="148" spans="1:9" hidden="1" x14ac:dyDescent="0.25">
      <c r="A148" s="93" t="str">
        <f>DMTK!B146</f>
        <v>33681</v>
      </c>
      <c r="B148" s="65" t="str">
        <f>VLOOKUP(A148,DMTK!$B$5:$L$263,3,0)</f>
        <v>Phải trả nội bộ khác</v>
      </c>
      <c r="C148" s="69">
        <f>VLOOKUP(A148,DMTK!$B$5:$L$263,10,0)</f>
        <v>0</v>
      </c>
      <c r="D148" s="69">
        <f>VLOOKUP(A148,DMTK!$B$5:$L$263,11,0)</f>
        <v>0</v>
      </c>
      <c r="E148" s="69">
        <f>SUMIFS(CT!$H$5:$H$143,CT!$D$5:$D$143,'BTHCTTK (TH131)'!A148)</f>
        <v>0</v>
      </c>
      <c r="F148" s="69">
        <f>SUMIFS(CT!$H$5:$H$143,CT!$E$5:$E$143,'BTHCTTK (TH131)'!A148)</f>
        <v>0</v>
      </c>
      <c r="G148" s="69">
        <f t="shared" si="6"/>
        <v>0</v>
      </c>
      <c r="H148" s="69">
        <f t="shared" si="7"/>
        <v>0</v>
      </c>
      <c r="I148" s="65" t="b">
        <f t="shared" si="8"/>
        <v>0</v>
      </c>
    </row>
    <row r="149" spans="1:9" hidden="1" x14ac:dyDescent="0.25">
      <c r="A149" s="93" t="str">
        <f>DMTK!B147</f>
        <v>33682</v>
      </c>
      <c r="B149" s="65" t="str">
        <f>VLOOKUP(A149,DMTK!$B$5:$L$263,3,0)</f>
        <v>Phải trả nội bộ khác (dài hạn)</v>
      </c>
      <c r="C149" s="69">
        <f>VLOOKUP(A149,DMTK!$B$5:$L$263,10,0)</f>
        <v>0</v>
      </c>
      <c r="D149" s="69">
        <f>VLOOKUP(A149,DMTK!$B$5:$L$263,11,0)</f>
        <v>0</v>
      </c>
      <c r="E149" s="69">
        <f>SUMIFS(CT!$H$5:$H$143,CT!$D$5:$D$143,'BTHCTTK (TH131)'!A149)</f>
        <v>0</v>
      </c>
      <c r="F149" s="69">
        <f>SUMIFS(CT!$H$5:$H$143,CT!$E$5:$E$143,'BTHCTTK (TH131)'!A149)</f>
        <v>0</v>
      </c>
      <c r="G149" s="69">
        <f t="shared" si="6"/>
        <v>0</v>
      </c>
      <c r="H149" s="69">
        <f t="shared" si="7"/>
        <v>0</v>
      </c>
      <c r="I149" s="65" t="b">
        <f t="shared" si="8"/>
        <v>0</v>
      </c>
    </row>
    <row r="150" spans="1:9" hidden="1" x14ac:dyDescent="0.25">
      <c r="A150" s="93" t="str">
        <f>DMTK!B148</f>
        <v>337</v>
      </c>
      <c r="B150" s="65" t="str">
        <f>VLOOKUP(A150,DMTK!$B$5:$L$263,3,0)</f>
        <v>Thanh toán theo tiến độ kế hoạch hợp đồng xây dựng</v>
      </c>
      <c r="C150" s="69">
        <f>VLOOKUP(A150,DMTK!$B$5:$L$263,10,0)</f>
        <v>0</v>
      </c>
      <c r="D150" s="69">
        <f>VLOOKUP(A150,DMTK!$B$5:$L$263,11,0)</f>
        <v>0</v>
      </c>
      <c r="E150" s="69">
        <f>SUMIFS(CT!$H$5:$H$143,CT!$D$5:$D$143,'BTHCTTK (TH131)'!A150)</f>
        <v>0</v>
      </c>
      <c r="F150" s="69">
        <f>SUMIFS(CT!$H$5:$H$143,CT!$E$5:$E$143,'BTHCTTK (TH131)'!A150)</f>
        <v>0</v>
      </c>
      <c r="G150" s="69">
        <f t="shared" si="6"/>
        <v>0</v>
      </c>
      <c r="H150" s="69">
        <f t="shared" si="7"/>
        <v>0</v>
      </c>
      <c r="I150" s="65" t="b">
        <f t="shared" si="8"/>
        <v>0</v>
      </c>
    </row>
    <row r="151" spans="1:9" hidden="1" x14ac:dyDescent="0.25">
      <c r="A151" s="93" t="str">
        <f>DMTK!B149</f>
        <v>3381</v>
      </c>
      <c r="B151" s="65" t="str">
        <f>VLOOKUP(A151,DMTK!$B$5:$L$263,3,0)</f>
        <v>Tài sản thừa chờ giải quyết</v>
      </c>
      <c r="C151" s="69">
        <f>VLOOKUP(A151,DMTK!$B$5:$L$263,10,0)</f>
        <v>0</v>
      </c>
      <c r="D151" s="69">
        <f>VLOOKUP(A151,DMTK!$B$5:$L$263,11,0)</f>
        <v>0</v>
      </c>
      <c r="E151" s="69">
        <f>SUMIFS(CT!$H$5:$H$143,CT!$D$5:$D$143,'BTHCTTK (TH131)'!A151)</f>
        <v>0</v>
      </c>
      <c r="F151" s="69">
        <f>SUMIFS(CT!$H$5:$H$143,CT!$E$5:$E$143,'BTHCTTK (TH131)'!A151)</f>
        <v>0</v>
      </c>
      <c r="G151" s="69">
        <f t="shared" si="6"/>
        <v>0</v>
      </c>
      <c r="H151" s="69">
        <f t="shared" si="7"/>
        <v>0</v>
      </c>
      <c r="I151" s="65" t="b">
        <f t="shared" si="8"/>
        <v>0</v>
      </c>
    </row>
    <row r="152" spans="1:9" hidden="1" x14ac:dyDescent="0.25">
      <c r="A152" s="93" t="str">
        <f>DMTK!B150</f>
        <v>3382</v>
      </c>
      <c r="B152" s="65" t="str">
        <f>VLOOKUP(A152,DMTK!$B$5:$L$263,3,0)</f>
        <v>Kinh phí công đoàn</v>
      </c>
      <c r="C152" s="69">
        <f>VLOOKUP(A152,DMTK!$B$5:$L$263,10,0)</f>
        <v>0</v>
      </c>
      <c r="D152" s="69">
        <f>VLOOKUP(A152,DMTK!$B$5:$L$263,11,0)</f>
        <v>0</v>
      </c>
      <c r="E152" s="69">
        <f>SUMIFS(CT!$H$5:$H$143,CT!$D$5:$D$143,'BTHCTTK (TH131)'!A152)</f>
        <v>0</v>
      </c>
      <c r="F152" s="69">
        <f>SUMIFS(CT!$H$5:$H$143,CT!$E$5:$E$143,'BTHCTTK (TH131)'!A152)</f>
        <v>4940000</v>
      </c>
      <c r="G152" s="69">
        <f t="shared" si="6"/>
        <v>0</v>
      </c>
      <c r="H152" s="69">
        <f t="shared" si="7"/>
        <v>4940000</v>
      </c>
      <c r="I152" s="65" t="b">
        <f t="shared" si="8"/>
        <v>0</v>
      </c>
    </row>
    <row r="153" spans="1:9" hidden="1" x14ac:dyDescent="0.25">
      <c r="A153" s="93" t="str">
        <f>DMTK!B151</f>
        <v>3383</v>
      </c>
      <c r="B153" s="65" t="str">
        <f>VLOOKUP(A153,DMTK!$B$5:$L$263,3,0)</f>
        <v>Bảo hiểm xã hội</v>
      </c>
      <c r="C153" s="69">
        <f>VLOOKUP(A153,DMTK!$B$5:$L$263,10,0)</f>
        <v>0</v>
      </c>
      <c r="D153" s="69">
        <f>VLOOKUP(A153,DMTK!$B$5:$L$263,11,0)</f>
        <v>20000000</v>
      </c>
      <c r="E153" s="69">
        <f>SUMIFS(CT!$H$5:$H$143,CT!$D$5:$D$143,'BTHCTTK (TH131)'!A153)</f>
        <v>0</v>
      </c>
      <c r="F153" s="69">
        <f>SUMIFS(CT!$H$5:$H$143,CT!$E$5:$E$143,'BTHCTTK (TH131)'!A153)</f>
        <v>39520000</v>
      </c>
      <c r="G153" s="69">
        <f t="shared" si="6"/>
        <v>0</v>
      </c>
      <c r="H153" s="69">
        <f t="shared" si="7"/>
        <v>59520000</v>
      </c>
      <c r="I153" s="65" t="b">
        <f t="shared" si="8"/>
        <v>0</v>
      </c>
    </row>
    <row r="154" spans="1:9" hidden="1" x14ac:dyDescent="0.25">
      <c r="A154" s="93" t="str">
        <f>DMTK!B152</f>
        <v>3384</v>
      </c>
      <c r="B154" s="65" t="str">
        <f>VLOOKUP(A154,DMTK!$B$5:$L$263,3,0)</f>
        <v>Bảo hiểm y tế</v>
      </c>
      <c r="C154" s="69">
        <f>VLOOKUP(A154,DMTK!$B$5:$L$263,10,0)</f>
        <v>0</v>
      </c>
      <c r="D154" s="69">
        <f>VLOOKUP(A154,DMTK!$B$5:$L$263,11,0)</f>
        <v>0</v>
      </c>
      <c r="E154" s="69">
        <f>SUMIFS(CT!$H$5:$H$143,CT!$D$5:$D$143,'BTHCTTK (TH131)'!A154)</f>
        <v>0</v>
      </c>
      <c r="F154" s="69">
        <f>SUMIFS(CT!$H$5:$H$143,CT!$E$5:$E$143,'BTHCTTK (TH131)'!A154)</f>
        <v>7410000</v>
      </c>
      <c r="G154" s="69">
        <f t="shared" si="6"/>
        <v>0</v>
      </c>
      <c r="H154" s="69">
        <f t="shared" si="7"/>
        <v>7410000</v>
      </c>
      <c r="I154" s="65" t="b">
        <f t="shared" si="8"/>
        <v>0</v>
      </c>
    </row>
    <row r="155" spans="1:9" hidden="1" x14ac:dyDescent="0.25">
      <c r="A155" s="93" t="str">
        <f>DMTK!B153</f>
        <v>3385</v>
      </c>
      <c r="B155" s="65" t="str">
        <f>VLOOKUP(A155,DMTK!$B$5:$L$263,3,0)</f>
        <v>Phải trả về cổ phần hóa</v>
      </c>
      <c r="C155" s="69">
        <f>VLOOKUP(A155,DMTK!$B$5:$L$263,10,0)</f>
        <v>0</v>
      </c>
      <c r="D155" s="69">
        <f>VLOOKUP(A155,DMTK!$B$5:$L$263,11,0)</f>
        <v>0</v>
      </c>
      <c r="E155" s="69">
        <f>SUMIFS(CT!$H$5:$H$143,CT!$D$5:$D$143,'BTHCTTK (TH131)'!A155)</f>
        <v>0</v>
      </c>
      <c r="F155" s="69">
        <f>SUMIFS(CT!$H$5:$H$143,CT!$E$5:$E$143,'BTHCTTK (TH131)'!A155)</f>
        <v>0</v>
      </c>
      <c r="G155" s="69">
        <f t="shared" si="6"/>
        <v>0</v>
      </c>
      <c r="H155" s="69">
        <f t="shared" si="7"/>
        <v>0</v>
      </c>
      <c r="I155" s="65" t="b">
        <f t="shared" si="8"/>
        <v>0</v>
      </c>
    </row>
    <row r="156" spans="1:9" hidden="1" x14ac:dyDescent="0.25">
      <c r="A156" s="93" t="str">
        <f>DMTK!B154</f>
        <v>3386</v>
      </c>
      <c r="B156" s="65" t="str">
        <f>VLOOKUP(A156,DMTK!$B$5:$L$263,3,0)</f>
        <v>Bảo hiểm thất nghiệp</v>
      </c>
      <c r="C156" s="69">
        <f>VLOOKUP(A156,DMTK!$B$5:$L$263,10,0)</f>
        <v>0</v>
      </c>
      <c r="D156" s="69">
        <f>VLOOKUP(A156,DMTK!$B$5:$L$263,11,0)</f>
        <v>0</v>
      </c>
      <c r="E156" s="69">
        <f>SUMIFS(CT!$H$5:$H$143,CT!$D$5:$D$143,'BTHCTTK (TH131)'!A156)</f>
        <v>0</v>
      </c>
      <c r="F156" s="69">
        <f>SUMIFS(CT!$H$5:$H$143,CT!$E$5:$E$143,'BTHCTTK (TH131)'!A156)</f>
        <v>0</v>
      </c>
      <c r="G156" s="69">
        <f t="shared" si="6"/>
        <v>0</v>
      </c>
      <c r="H156" s="69">
        <f t="shared" si="7"/>
        <v>0</v>
      </c>
      <c r="I156" s="65" t="b">
        <f t="shared" si="8"/>
        <v>0</v>
      </c>
    </row>
    <row r="157" spans="1:9" hidden="1" x14ac:dyDescent="0.25">
      <c r="A157" s="93" t="str">
        <f>DMTK!B155</f>
        <v>33871</v>
      </c>
      <c r="B157" s="65" t="str">
        <f>VLOOKUP(A157,DMTK!$B$5:$L$263,3,0)</f>
        <v>Doanh thu chưa thực hiện</v>
      </c>
      <c r="C157" s="69">
        <f>VLOOKUP(A157,DMTK!$B$5:$L$263,10,0)</f>
        <v>0</v>
      </c>
      <c r="D157" s="69">
        <f>VLOOKUP(A157,DMTK!$B$5:$L$263,11,0)</f>
        <v>0</v>
      </c>
      <c r="E157" s="69">
        <f>SUMIFS(CT!$H$5:$H$143,CT!$D$5:$D$143,'BTHCTTK (TH131)'!A157)</f>
        <v>0</v>
      </c>
      <c r="F157" s="69">
        <f>SUMIFS(CT!$H$5:$H$143,CT!$E$5:$E$143,'BTHCTTK (TH131)'!A157)</f>
        <v>0</v>
      </c>
      <c r="G157" s="69">
        <f t="shared" si="6"/>
        <v>0</v>
      </c>
      <c r="H157" s="69">
        <f t="shared" si="7"/>
        <v>0</v>
      </c>
      <c r="I157" s="65" t="b">
        <f t="shared" si="8"/>
        <v>0</v>
      </c>
    </row>
    <row r="158" spans="1:9" hidden="1" x14ac:dyDescent="0.25">
      <c r="A158" s="93" t="str">
        <f>DMTK!B156</f>
        <v>33872</v>
      </c>
      <c r="B158" s="65" t="str">
        <f>VLOOKUP(A158,DMTK!$B$5:$L$263,3,0)</f>
        <v>Doanh thu chưa thực hiện (sau 12 tháng)</v>
      </c>
      <c r="C158" s="69">
        <f>VLOOKUP(A158,DMTK!$B$5:$L$263,10,0)</f>
        <v>0</v>
      </c>
      <c r="D158" s="69">
        <f>VLOOKUP(A158,DMTK!$B$5:$L$263,11,0)</f>
        <v>0</v>
      </c>
      <c r="E158" s="69">
        <f>SUMIFS(CT!$H$5:$H$143,CT!$D$5:$D$143,'BTHCTTK (TH131)'!A158)</f>
        <v>0</v>
      </c>
      <c r="F158" s="69">
        <f>SUMIFS(CT!$H$5:$H$143,CT!$E$5:$E$143,'BTHCTTK (TH131)'!A158)</f>
        <v>0</v>
      </c>
      <c r="G158" s="69">
        <f t="shared" si="6"/>
        <v>0</v>
      </c>
      <c r="H158" s="69">
        <f t="shared" si="7"/>
        <v>0</v>
      </c>
      <c r="I158" s="65" t="b">
        <f t="shared" si="8"/>
        <v>0</v>
      </c>
    </row>
    <row r="159" spans="1:9" hidden="1" x14ac:dyDescent="0.25">
      <c r="A159" s="93" t="str">
        <f>DMTK!B157</f>
        <v>3388</v>
      </c>
      <c r="B159" s="65" t="str">
        <f>VLOOKUP(A159,DMTK!$B$5:$L$263,3,0)</f>
        <v>Phải trả, phải nộp khác</v>
      </c>
      <c r="C159" s="69">
        <f>VLOOKUP(A159,DMTK!$B$5:$L$263,10,0)</f>
        <v>0</v>
      </c>
      <c r="D159" s="69">
        <f>VLOOKUP(A159,DMTK!$B$5:$L$263,11,0)</f>
        <v>38800000</v>
      </c>
      <c r="E159" s="69">
        <f>SUMIFS(CT!$H$5:$H$143,CT!$D$5:$D$143,'BTHCTTK (TH131)'!A159)</f>
        <v>0</v>
      </c>
      <c r="F159" s="69">
        <f>SUMIFS(CT!$H$5:$H$143,CT!$E$5:$E$143,'BTHCTTK (TH131)'!A159)</f>
        <v>2470000</v>
      </c>
      <c r="G159" s="69">
        <f t="shared" si="6"/>
        <v>0</v>
      </c>
      <c r="H159" s="69">
        <f t="shared" si="7"/>
        <v>41270000</v>
      </c>
      <c r="I159" s="65" t="b">
        <f t="shared" si="8"/>
        <v>0</v>
      </c>
    </row>
    <row r="160" spans="1:9" hidden="1" x14ac:dyDescent="0.25">
      <c r="A160" s="93" t="str">
        <f>DMTK!B158</f>
        <v>3411</v>
      </c>
      <c r="B160" s="65" t="str">
        <f>VLOOKUP(A160,DMTK!$B$5:$L$263,3,0)</f>
        <v>Các khoản đi vay</v>
      </c>
      <c r="C160" s="69">
        <f>VLOOKUP(A160,DMTK!$B$5:$L$263,10,0)</f>
        <v>0</v>
      </c>
      <c r="D160" s="69">
        <f>VLOOKUP(A160,DMTK!$B$5:$L$263,11,0)</f>
        <v>385000000</v>
      </c>
      <c r="E160" s="69">
        <f>SUMIFS(CT!$H$5:$H$143,CT!$D$5:$D$143,'BTHCTTK (TH131)'!A160)</f>
        <v>0</v>
      </c>
      <c r="F160" s="69">
        <f>SUMIFS(CT!$H$5:$H$143,CT!$E$5:$E$143,'BTHCTTK (TH131)'!A160)</f>
        <v>0</v>
      </c>
      <c r="G160" s="69">
        <f t="shared" si="6"/>
        <v>0</v>
      </c>
      <c r="H160" s="69">
        <f t="shared" si="7"/>
        <v>385000000</v>
      </c>
      <c r="I160" s="65" t="b">
        <f t="shared" si="8"/>
        <v>0</v>
      </c>
    </row>
    <row r="161" spans="1:9" hidden="1" x14ac:dyDescent="0.25">
      <c r="A161" s="93" t="str">
        <f>DMTK!B159</f>
        <v>3412</v>
      </c>
      <c r="B161" s="65" t="str">
        <f>VLOOKUP(A161,DMTK!$B$5:$L$263,3,0)</f>
        <v>Nợ thuê tài chính</v>
      </c>
      <c r="C161" s="69">
        <f>VLOOKUP(A161,DMTK!$B$5:$L$263,10,0)</f>
        <v>0</v>
      </c>
      <c r="D161" s="69">
        <f>VLOOKUP(A161,DMTK!$B$5:$L$263,11,0)</f>
        <v>0</v>
      </c>
      <c r="E161" s="69">
        <f>SUMIFS(CT!$H$5:$H$143,CT!$D$5:$D$143,'BTHCTTK (TH131)'!A161)</f>
        <v>0</v>
      </c>
      <c r="F161" s="69">
        <f>SUMIFS(CT!$H$5:$H$143,CT!$E$5:$E$143,'BTHCTTK (TH131)'!A161)</f>
        <v>0</v>
      </c>
      <c r="G161" s="69">
        <f t="shared" si="6"/>
        <v>0</v>
      </c>
      <c r="H161" s="69">
        <f t="shared" si="7"/>
        <v>0</v>
      </c>
      <c r="I161" s="65" t="b">
        <f t="shared" si="8"/>
        <v>0</v>
      </c>
    </row>
    <row r="162" spans="1:9" hidden="1" x14ac:dyDescent="0.25">
      <c r="A162" s="93" t="str">
        <f>DMTK!B160</f>
        <v>34311</v>
      </c>
      <c r="B162" s="65" t="str">
        <f>VLOOKUP(A162,DMTK!$B$5:$L$263,3,0)</f>
        <v>Mệnh giá trái phiếu</v>
      </c>
      <c r="C162" s="69">
        <f>VLOOKUP(A162,DMTK!$B$5:$L$263,10,0)</f>
        <v>0</v>
      </c>
      <c r="D162" s="69">
        <f>VLOOKUP(A162,DMTK!$B$5:$L$263,11,0)</f>
        <v>0</v>
      </c>
      <c r="E162" s="69">
        <f>SUMIFS(CT!$H$5:$H$143,CT!$D$5:$D$143,'BTHCTTK (TH131)'!A162)</f>
        <v>0</v>
      </c>
      <c r="F162" s="69">
        <f>SUMIFS(CT!$H$5:$H$143,CT!$E$5:$E$143,'BTHCTTK (TH131)'!A162)</f>
        <v>0</v>
      </c>
      <c r="G162" s="69">
        <f t="shared" si="6"/>
        <v>0</v>
      </c>
      <c r="H162" s="69">
        <f t="shared" si="7"/>
        <v>0</v>
      </c>
      <c r="I162" s="65" t="b">
        <f t="shared" si="8"/>
        <v>0</v>
      </c>
    </row>
    <row r="163" spans="1:9" hidden="1" x14ac:dyDescent="0.25">
      <c r="A163" s="93" t="str">
        <f>DMTK!B161</f>
        <v>34312</v>
      </c>
      <c r="B163" s="65" t="str">
        <f>VLOOKUP(A163,DMTK!$B$5:$L$263,3,0)</f>
        <v>Chiết khấu trái phiếu</v>
      </c>
      <c r="C163" s="69">
        <f>VLOOKUP(A163,DMTK!$B$5:$L$263,10,0)</f>
        <v>0</v>
      </c>
      <c r="D163" s="69">
        <f>VLOOKUP(A163,DMTK!$B$5:$L$263,11,0)</f>
        <v>0</v>
      </c>
      <c r="E163" s="69">
        <f>SUMIFS(CT!$H$5:$H$143,CT!$D$5:$D$143,'BTHCTTK (TH131)'!A163)</f>
        <v>0</v>
      </c>
      <c r="F163" s="69">
        <f>SUMIFS(CT!$H$5:$H$143,CT!$E$5:$E$143,'BTHCTTK (TH131)'!A163)</f>
        <v>0</v>
      </c>
      <c r="G163" s="69">
        <f t="shared" si="6"/>
        <v>0</v>
      </c>
      <c r="H163" s="69">
        <f t="shared" si="7"/>
        <v>0</v>
      </c>
      <c r="I163" s="65" t="b">
        <f t="shared" si="8"/>
        <v>0</v>
      </c>
    </row>
    <row r="164" spans="1:9" hidden="1" x14ac:dyDescent="0.25">
      <c r="A164" s="93" t="str">
        <f>DMTK!B162</f>
        <v>34313</v>
      </c>
      <c r="B164" s="65" t="str">
        <f>VLOOKUP(A164,DMTK!$B$5:$L$263,3,0)</f>
        <v>Phụ trội trái phiếu</v>
      </c>
      <c r="C164" s="69">
        <f>VLOOKUP(A164,DMTK!$B$5:$L$263,10,0)</f>
        <v>0</v>
      </c>
      <c r="D164" s="69">
        <f>VLOOKUP(A164,DMTK!$B$5:$L$263,11,0)</f>
        <v>0</v>
      </c>
      <c r="E164" s="69">
        <f>SUMIFS(CT!$H$5:$H$143,CT!$D$5:$D$143,'BTHCTTK (TH131)'!A164)</f>
        <v>0</v>
      </c>
      <c r="F164" s="69">
        <f>SUMIFS(CT!$H$5:$H$143,CT!$E$5:$E$143,'BTHCTTK (TH131)'!A164)</f>
        <v>0</v>
      </c>
      <c r="G164" s="69">
        <f t="shared" si="6"/>
        <v>0</v>
      </c>
      <c r="H164" s="69">
        <f t="shared" si="7"/>
        <v>0</v>
      </c>
      <c r="I164" s="65" t="b">
        <f t="shared" si="8"/>
        <v>0</v>
      </c>
    </row>
    <row r="165" spans="1:9" hidden="1" x14ac:dyDescent="0.25">
      <c r="A165" s="93" t="str">
        <f>DMTK!B163</f>
        <v>3432</v>
      </c>
      <c r="B165" s="65" t="str">
        <f>VLOOKUP(A165,DMTK!$B$5:$L$263,3,0)</f>
        <v>Trái phiếu chuyển đổi</v>
      </c>
      <c r="C165" s="69">
        <f>VLOOKUP(A165,DMTK!$B$5:$L$263,10,0)</f>
        <v>0</v>
      </c>
      <c r="D165" s="69">
        <f>VLOOKUP(A165,DMTK!$B$5:$L$263,11,0)</f>
        <v>0</v>
      </c>
      <c r="E165" s="69">
        <f>SUMIFS(CT!$H$5:$H$143,CT!$D$5:$D$143,'BTHCTTK (TH131)'!A165)</f>
        <v>0</v>
      </c>
      <c r="F165" s="69">
        <f>SUMIFS(CT!$H$5:$H$143,CT!$E$5:$E$143,'BTHCTTK (TH131)'!A165)</f>
        <v>0</v>
      </c>
      <c r="G165" s="69">
        <f t="shared" si="6"/>
        <v>0</v>
      </c>
      <c r="H165" s="69">
        <f t="shared" si="7"/>
        <v>0</v>
      </c>
      <c r="I165" s="65" t="b">
        <f t="shared" si="8"/>
        <v>0</v>
      </c>
    </row>
    <row r="166" spans="1:9" hidden="1" x14ac:dyDescent="0.25">
      <c r="A166" s="93" t="str">
        <f>DMTK!B164</f>
        <v>344</v>
      </c>
      <c r="B166" s="65" t="str">
        <f>VLOOKUP(A166,DMTK!$B$5:$L$263,3,0)</f>
        <v>Nhận ký quỹ, ký cược</v>
      </c>
      <c r="C166" s="69">
        <f>VLOOKUP(A166,DMTK!$B$5:$L$263,10,0)</f>
        <v>0</v>
      </c>
      <c r="D166" s="69">
        <f>VLOOKUP(A166,DMTK!$B$5:$L$263,11,0)</f>
        <v>0</v>
      </c>
      <c r="E166" s="69">
        <f>SUMIFS(CT!$H$5:$H$143,CT!$D$5:$D$143,'BTHCTTK (TH131)'!A166)</f>
        <v>0</v>
      </c>
      <c r="F166" s="69">
        <f>SUMIFS(CT!$H$5:$H$143,CT!$E$5:$E$143,'BTHCTTK (TH131)'!A166)</f>
        <v>0</v>
      </c>
      <c r="G166" s="69">
        <f t="shared" si="6"/>
        <v>0</v>
      </c>
      <c r="H166" s="69">
        <f t="shared" si="7"/>
        <v>0</v>
      </c>
      <c r="I166" s="65" t="b">
        <f t="shared" si="8"/>
        <v>0</v>
      </c>
    </row>
    <row r="167" spans="1:9" hidden="1" x14ac:dyDescent="0.25">
      <c r="A167" s="93" t="str">
        <f>DMTK!B165</f>
        <v>347</v>
      </c>
      <c r="B167" s="65" t="str">
        <f>VLOOKUP(A167,DMTK!$B$5:$L$263,3,0)</f>
        <v>Thuế thu nhập hoãn lại phải trả</v>
      </c>
      <c r="C167" s="69">
        <f>VLOOKUP(A167,DMTK!$B$5:$L$263,10,0)</f>
        <v>0</v>
      </c>
      <c r="D167" s="69">
        <f>VLOOKUP(A167,DMTK!$B$5:$L$263,11,0)</f>
        <v>0</v>
      </c>
      <c r="E167" s="69">
        <f>SUMIFS(CT!$H$5:$H$143,CT!$D$5:$D$143,'BTHCTTK (TH131)'!A167)</f>
        <v>0</v>
      </c>
      <c r="F167" s="69">
        <f>SUMIFS(CT!$H$5:$H$143,CT!$E$5:$E$143,'BTHCTTK (TH131)'!A167)</f>
        <v>0</v>
      </c>
      <c r="G167" s="69">
        <f t="shared" si="6"/>
        <v>0</v>
      </c>
      <c r="H167" s="69">
        <f t="shared" si="7"/>
        <v>0</v>
      </c>
      <c r="I167" s="65" t="b">
        <f t="shared" si="8"/>
        <v>0</v>
      </c>
    </row>
    <row r="168" spans="1:9" hidden="1" x14ac:dyDescent="0.25">
      <c r="A168" s="93" t="str">
        <f>DMTK!B166</f>
        <v>3521</v>
      </c>
      <c r="B168" s="65" t="str">
        <f>VLOOKUP(A168,DMTK!$B$5:$L$263,3,0)</f>
        <v>Dự phòng bảo hành sản phẩm hàng hóa</v>
      </c>
      <c r="C168" s="69">
        <f>VLOOKUP(A168,DMTK!$B$5:$L$263,10,0)</f>
        <v>0</v>
      </c>
      <c r="D168" s="69">
        <f>VLOOKUP(A168,DMTK!$B$5:$L$263,11,0)</f>
        <v>22000000</v>
      </c>
      <c r="E168" s="69">
        <f>SUMIFS(CT!$H$5:$H$143,CT!$D$5:$D$143,'BTHCTTK (TH131)'!A168)</f>
        <v>0</v>
      </c>
      <c r="F168" s="69">
        <f>SUMIFS(CT!$H$5:$H$143,CT!$E$5:$E$143,'BTHCTTK (TH131)'!A168)</f>
        <v>0</v>
      </c>
      <c r="G168" s="69">
        <f t="shared" si="6"/>
        <v>0</v>
      </c>
      <c r="H168" s="69">
        <f t="shared" si="7"/>
        <v>22000000</v>
      </c>
      <c r="I168" s="65" t="b">
        <f t="shared" si="8"/>
        <v>0</v>
      </c>
    </row>
    <row r="169" spans="1:9" hidden="1" x14ac:dyDescent="0.25">
      <c r="A169" s="93" t="str">
        <f>DMTK!B167</f>
        <v>3522</v>
      </c>
      <c r="B169" s="65" t="str">
        <f>VLOOKUP(A169,DMTK!$B$5:$L$263,3,0)</f>
        <v>Dự phòng bảo hành công trình xây dựng</v>
      </c>
      <c r="C169" s="69">
        <f>VLOOKUP(A169,DMTK!$B$5:$L$263,10,0)</f>
        <v>0</v>
      </c>
      <c r="D169" s="69">
        <f>VLOOKUP(A169,DMTK!$B$5:$L$263,11,0)</f>
        <v>0</v>
      </c>
      <c r="E169" s="69">
        <f>SUMIFS(CT!$H$5:$H$143,CT!$D$5:$D$143,'BTHCTTK (TH131)'!A169)</f>
        <v>0</v>
      </c>
      <c r="F169" s="69">
        <f>SUMIFS(CT!$H$5:$H$143,CT!$E$5:$E$143,'BTHCTTK (TH131)'!A169)</f>
        <v>0</v>
      </c>
      <c r="G169" s="69">
        <f t="shared" si="6"/>
        <v>0</v>
      </c>
      <c r="H169" s="69">
        <f t="shared" si="7"/>
        <v>0</v>
      </c>
      <c r="I169" s="65" t="b">
        <f t="shared" si="8"/>
        <v>0</v>
      </c>
    </row>
    <row r="170" spans="1:9" hidden="1" x14ac:dyDescent="0.25">
      <c r="A170" s="93" t="str">
        <f>DMTK!B168</f>
        <v>3523</v>
      </c>
      <c r="B170" s="65" t="str">
        <f>VLOOKUP(A170,DMTK!$B$5:$L$263,3,0)</f>
        <v>Dự phòng tái cơ cấu doanh nghiệp</v>
      </c>
      <c r="C170" s="69">
        <f>VLOOKUP(A170,DMTK!$B$5:$L$263,10,0)</f>
        <v>0</v>
      </c>
      <c r="D170" s="69">
        <f>VLOOKUP(A170,DMTK!$B$5:$L$263,11,0)</f>
        <v>0</v>
      </c>
      <c r="E170" s="69">
        <f>SUMIFS(CT!$H$5:$H$143,CT!$D$5:$D$143,'BTHCTTK (TH131)'!A170)</f>
        <v>0</v>
      </c>
      <c r="F170" s="69">
        <f>SUMIFS(CT!$H$5:$H$143,CT!$E$5:$E$143,'BTHCTTK (TH131)'!A170)</f>
        <v>0</v>
      </c>
      <c r="G170" s="69">
        <f t="shared" si="6"/>
        <v>0</v>
      </c>
      <c r="H170" s="69">
        <f t="shared" si="7"/>
        <v>0</v>
      </c>
      <c r="I170" s="65" t="b">
        <f t="shared" si="8"/>
        <v>0</v>
      </c>
    </row>
    <row r="171" spans="1:9" hidden="1" x14ac:dyDescent="0.25">
      <c r="A171" s="93" t="str">
        <f>DMTK!B169</f>
        <v>3524</v>
      </c>
      <c r="B171" s="65" t="str">
        <f>VLOOKUP(A171,DMTK!$B$5:$L$263,3,0)</f>
        <v>Dự phòng phải trả khác</v>
      </c>
      <c r="C171" s="69">
        <f>VLOOKUP(A171,DMTK!$B$5:$L$263,10,0)</f>
        <v>0</v>
      </c>
      <c r="D171" s="69">
        <f>VLOOKUP(A171,DMTK!$B$5:$L$263,11,0)</f>
        <v>0</v>
      </c>
      <c r="E171" s="69">
        <f>SUMIFS(CT!$H$5:$H$143,CT!$D$5:$D$143,'BTHCTTK (TH131)'!A171)</f>
        <v>0</v>
      </c>
      <c r="F171" s="69">
        <f>SUMIFS(CT!$H$5:$H$143,CT!$E$5:$E$143,'BTHCTTK (TH131)'!A171)</f>
        <v>0</v>
      </c>
      <c r="G171" s="69">
        <f t="shared" si="6"/>
        <v>0</v>
      </c>
      <c r="H171" s="69">
        <f t="shared" si="7"/>
        <v>0</v>
      </c>
      <c r="I171" s="65" t="b">
        <f t="shared" si="8"/>
        <v>0</v>
      </c>
    </row>
    <row r="172" spans="1:9" hidden="1" x14ac:dyDescent="0.25">
      <c r="A172" s="93" t="str">
        <f>DMTK!B170</f>
        <v>3531</v>
      </c>
      <c r="B172" s="65" t="str">
        <f>VLOOKUP(A172,DMTK!$B$5:$L$263,3,0)</f>
        <v>Quỹ khen thưởng</v>
      </c>
      <c r="C172" s="69">
        <f>VLOOKUP(A172,DMTK!$B$5:$L$263,10,0)</f>
        <v>0</v>
      </c>
      <c r="D172" s="69">
        <f>VLOOKUP(A172,DMTK!$B$5:$L$263,11,0)</f>
        <v>37000000</v>
      </c>
      <c r="E172" s="69">
        <f>SUMIFS(CT!$H$5:$H$143,CT!$D$5:$D$143,'BTHCTTK (TH131)'!A172)</f>
        <v>0</v>
      </c>
      <c r="F172" s="69">
        <f>SUMIFS(CT!$H$5:$H$143,CT!$E$5:$E$143,'BTHCTTK (TH131)'!A172)</f>
        <v>0</v>
      </c>
      <c r="G172" s="69">
        <f t="shared" si="6"/>
        <v>0</v>
      </c>
      <c r="H172" s="69">
        <f t="shared" si="7"/>
        <v>37000000</v>
      </c>
      <c r="I172" s="65" t="b">
        <f t="shared" si="8"/>
        <v>0</v>
      </c>
    </row>
    <row r="173" spans="1:9" hidden="1" x14ac:dyDescent="0.25">
      <c r="A173" s="93" t="str">
        <f>DMTK!B171</f>
        <v>3532</v>
      </c>
      <c r="B173" s="65" t="str">
        <f>VLOOKUP(A173,DMTK!$B$5:$L$263,3,0)</f>
        <v>Quỹ phúc lợi</v>
      </c>
      <c r="C173" s="69">
        <f>VLOOKUP(A173,DMTK!$B$5:$L$263,10,0)</f>
        <v>0</v>
      </c>
      <c r="D173" s="69">
        <f>VLOOKUP(A173,DMTK!$B$5:$L$263,11,0)</f>
        <v>26000000</v>
      </c>
      <c r="E173" s="69">
        <f>SUMIFS(CT!$H$5:$H$143,CT!$D$5:$D$143,'BTHCTTK (TH131)'!A173)</f>
        <v>0</v>
      </c>
      <c r="F173" s="69">
        <f>SUMIFS(CT!$H$5:$H$143,CT!$E$5:$E$143,'BTHCTTK (TH131)'!A173)</f>
        <v>0</v>
      </c>
      <c r="G173" s="69">
        <f t="shared" si="6"/>
        <v>0</v>
      </c>
      <c r="H173" s="69">
        <f t="shared" si="7"/>
        <v>26000000</v>
      </c>
      <c r="I173" s="65" t="b">
        <f t="shared" si="8"/>
        <v>0</v>
      </c>
    </row>
    <row r="174" spans="1:9" hidden="1" x14ac:dyDescent="0.25">
      <c r="A174" s="93" t="str">
        <f>DMTK!B172</f>
        <v>3533</v>
      </c>
      <c r="B174" s="65" t="str">
        <f>VLOOKUP(A174,DMTK!$B$5:$L$263,3,0)</f>
        <v>Quỹ phúc lợi đã hình thành TSCĐ</v>
      </c>
      <c r="C174" s="69">
        <f>VLOOKUP(A174,DMTK!$B$5:$L$263,10,0)</f>
        <v>0</v>
      </c>
      <c r="D174" s="69">
        <f>VLOOKUP(A174,DMTK!$B$5:$L$263,11,0)</f>
        <v>20000000</v>
      </c>
      <c r="E174" s="69">
        <f>SUMIFS(CT!$H$5:$H$143,CT!$D$5:$D$143,'BTHCTTK (TH131)'!A174)</f>
        <v>0</v>
      </c>
      <c r="F174" s="69">
        <f>SUMIFS(CT!$H$5:$H$143,CT!$E$5:$E$143,'BTHCTTK (TH131)'!A174)</f>
        <v>0</v>
      </c>
      <c r="G174" s="69">
        <f t="shared" si="6"/>
        <v>0</v>
      </c>
      <c r="H174" s="69">
        <f t="shared" si="7"/>
        <v>20000000</v>
      </c>
      <c r="I174" s="65" t="b">
        <f t="shared" si="8"/>
        <v>0</v>
      </c>
    </row>
    <row r="175" spans="1:9" hidden="1" x14ac:dyDescent="0.25">
      <c r="A175" s="93" t="str">
        <f>DMTK!B173</f>
        <v>3534</v>
      </c>
      <c r="B175" s="65" t="str">
        <f>VLOOKUP(A175,DMTK!$B$5:$L$263,3,0)</f>
        <v>Quỹ thưởng ban điều hành công ty</v>
      </c>
      <c r="C175" s="69">
        <f>VLOOKUP(A175,DMTK!$B$5:$L$263,10,0)</f>
        <v>0</v>
      </c>
      <c r="D175" s="69">
        <f>VLOOKUP(A175,DMTK!$B$5:$L$263,11,0)</f>
        <v>0</v>
      </c>
      <c r="E175" s="69">
        <f>SUMIFS(CT!$H$5:$H$143,CT!$D$5:$D$143,'BTHCTTK (TH131)'!A175)</f>
        <v>0</v>
      </c>
      <c r="F175" s="69">
        <f>SUMIFS(CT!$H$5:$H$143,CT!$E$5:$E$143,'BTHCTTK (TH131)'!A175)</f>
        <v>0</v>
      </c>
      <c r="G175" s="69">
        <f t="shared" si="6"/>
        <v>0</v>
      </c>
      <c r="H175" s="69">
        <f t="shared" si="7"/>
        <v>0</v>
      </c>
      <c r="I175" s="65" t="b">
        <f t="shared" si="8"/>
        <v>0</v>
      </c>
    </row>
    <row r="176" spans="1:9" hidden="1" x14ac:dyDescent="0.25">
      <c r="A176" s="93" t="str">
        <f>DMTK!B174</f>
        <v>3561</v>
      </c>
      <c r="B176" s="65" t="str">
        <f>VLOOKUP(A176,DMTK!$B$5:$L$263,3,0)</f>
        <v>Quỹ phát triển khoa học và công nghệ</v>
      </c>
      <c r="C176" s="69">
        <f>VLOOKUP(A176,DMTK!$B$5:$L$263,10,0)</f>
        <v>0</v>
      </c>
      <c r="D176" s="69">
        <f>VLOOKUP(A176,DMTK!$B$5:$L$263,11,0)</f>
        <v>0</v>
      </c>
      <c r="E176" s="69">
        <f>SUMIFS(CT!$H$5:$H$143,CT!$D$5:$D$143,'BTHCTTK (TH131)'!A176)</f>
        <v>0</v>
      </c>
      <c r="F176" s="69">
        <f>SUMIFS(CT!$H$5:$H$143,CT!$E$5:$E$143,'BTHCTTK (TH131)'!A176)</f>
        <v>0</v>
      </c>
      <c r="G176" s="69">
        <f t="shared" si="6"/>
        <v>0</v>
      </c>
      <c r="H176" s="69">
        <f t="shared" si="7"/>
        <v>0</v>
      </c>
      <c r="I176" s="65" t="b">
        <f t="shared" si="8"/>
        <v>0</v>
      </c>
    </row>
    <row r="177" spans="1:9" hidden="1" x14ac:dyDescent="0.25">
      <c r="A177" s="93" t="str">
        <f>DMTK!B175</f>
        <v>3562</v>
      </c>
      <c r="B177" s="65" t="str">
        <f>VLOOKUP(A177,DMTK!$B$5:$L$263,3,0)</f>
        <v>Quỹ phát triển khoa học và công nghệ đã hình thành TSCĐ</v>
      </c>
      <c r="C177" s="69">
        <f>VLOOKUP(A177,DMTK!$B$5:$L$263,10,0)</f>
        <v>0</v>
      </c>
      <c r="D177" s="69">
        <f>VLOOKUP(A177,DMTK!$B$5:$L$263,11,0)</f>
        <v>0</v>
      </c>
      <c r="E177" s="69">
        <f>SUMIFS(CT!$H$5:$H$143,CT!$D$5:$D$143,'BTHCTTK (TH131)'!A177)</f>
        <v>0</v>
      </c>
      <c r="F177" s="69">
        <f>SUMIFS(CT!$H$5:$H$143,CT!$E$5:$E$143,'BTHCTTK (TH131)'!A177)</f>
        <v>0</v>
      </c>
      <c r="G177" s="69">
        <f t="shared" si="6"/>
        <v>0</v>
      </c>
      <c r="H177" s="69">
        <f t="shared" si="7"/>
        <v>0</v>
      </c>
      <c r="I177" s="65" t="b">
        <f t="shared" si="8"/>
        <v>0</v>
      </c>
    </row>
    <row r="178" spans="1:9" hidden="1" x14ac:dyDescent="0.25">
      <c r="A178" s="93" t="str">
        <f>DMTK!B176</f>
        <v>357</v>
      </c>
      <c r="B178" s="65" t="str">
        <f>VLOOKUP(A178,DMTK!$B$5:$L$263,3,0)</f>
        <v>Quỹ bình ổn giá</v>
      </c>
      <c r="C178" s="69">
        <f>VLOOKUP(A178,DMTK!$B$5:$L$263,10,0)</f>
        <v>0</v>
      </c>
      <c r="D178" s="69">
        <f>VLOOKUP(A178,DMTK!$B$5:$L$263,11,0)</f>
        <v>0</v>
      </c>
      <c r="E178" s="69">
        <f>SUMIFS(CT!$H$5:$H$143,CT!$D$5:$D$143,'BTHCTTK (TH131)'!A178)</f>
        <v>0</v>
      </c>
      <c r="F178" s="69">
        <f>SUMIFS(CT!$H$5:$H$143,CT!$E$5:$E$143,'BTHCTTK (TH131)'!A178)</f>
        <v>0</v>
      </c>
      <c r="G178" s="69">
        <f t="shared" si="6"/>
        <v>0</v>
      </c>
      <c r="H178" s="69">
        <f t="shared" si="7"/>
        <v>0</v>
      </c>
      <c r="I178" s="65" t="b">
        <f t="shared" si="8"/>
        <v>0</v>
      </c>
    </row>
    <row r="179" spans="1:9" hidden="1" x14ac:dyDescent="0.25">
      <c r="A179" s="93" t="str">
        <f>DMTK!B177</f>
        <v>41111</v>
      </c>
      <c r="B179" s="65" t="str">
        <f>VLOOKUP(A179,DMTK!$B$5:$L$263,3,0)</f>
        <v>Cổ phiếu phổ thông có quyền biểu quyết</v>
      </c>
      <c r="C179" s="69">
        <f>VLOOKUP(A179,DMTK!$B$5:$L$263,10,0)</f>
        <v>0</v>
      </c>
      <c r="D179" s="69">
        <f>VLOOKUP(A179,DMTK!$B$5:$L$263,11,0)</f>
        <v>1430000000</v>
      </c>
      <c r="E179" s="69">
        <f>SUMIFS(CT!$H$5:$H$143,CT!$D$5:$D$143,'BTHCTTK (TH131)'!A179)</f>
        <v>0</v>
      </c>
      <c r="F179" s="69">
        <f>SUMIFS(CT!$H$5:$H$143,CT!$E$5:$E$143,'BTHCTTK (TH131)'!A179)</f>
        <v>0</v>
      </c>
      <c r="G179" s="69">
        <f t="shared" si="6"/>
        <v>0</v>
      </c>
      <c r="H179" s="69">
        <f t="shared" si="7"/>
        <v>1430000000</v>
      </c>
      <c r="I179" s="65" t="b">
        <f t="shared" si="8"/>
        <v>0</v>
      </c>
    </row>
    <row r="180" spans="1:9" hidden="1" x14ac:dyDescent="0.25">
      <c r="A180" s="93" t="str">
        <f>DMTK!B178</f>
        <v>41112</v>
      </c>
      <c r="B180" s="65" t="str">
        <f>VLOOKUP(A180,DMTK!$B$5:$L$263,3,0)</f>
        <v>Cổ phiếu ưu đãi</v>
      </c>
      <c r="C180" s="69">
        <f>VLOOKUP(A180,DMTK!$B$5:$L$263,10,0)</f>
        <v>0</v>
      </c>
      <c r="D180" s="69">
        <f>VLOOKUP(A180,DMTK!$B$5:$L$263,11,0)</f>
        <v>43641000</v>
      </c>
      <c r="E180" s="69">
        <f>SUMIFS(CT!$H$5:$H$143,CT!$D$5:$D$143,'BTHCTTK (TH131)'!A180)</f>
        <v>0</v>
      </c>
      <c r="F180" s="69">
        <f>SUMIFS(CT!$H$5:$H$143,CT!$E$5:$E$143,'BTHCTTK (TH131)'!A180)</f>
        <v>0</v>
      </c>
      <c r="G180" s="69">
        <f t="shared" si="6"/>
        <v>0</v>
      </c>
      <c r="H180" s="69">
        <f t="shared" si="7"/>
        <v>43641000</v>
      </c>
      <c r="I180" s="65" t="b">
        <f t="shared" si="8"/>
        <v>0</v>
      </c>
    </row>
    <row r="181" spans="1:9" hidden="1" x14ac:dyDescent="0.25">
      <c r="A181" s="93" t="str">
        <f>DMTK!B179</f>
        <v>4112</v>
      </c>
      <c r="B181" s="65" t="str">
        <f>VLOOKUP(A181,DMTK!$B$5:$L$263,3,0)</f>
        <v>Thặng dư vốn cổ phần</v>
      </c>
      <c r="C181" s="69">
        <f>VLOOKUP(A181,DMTK!$B$5:$L$263,10,0)</f>
        <v>0</v>
      </c>
      <c r="D181" s="69">
        <f>VLOOKUP(A181,DMTK!$B$5:$L$263,11,0)</f>
        <v>0</v>
      </c>
      <c r="E181" s="69">
        <f>SUMIFS(CT!$H$5:$H$143,CT!$D$5:$D$143,'BTHCTTK (TH131)'!A181)</f>
        <v>0</v>
      </c>
      <c r="F181" s="69">
        <f>SUMIFS(CT!$H$5:$H$143,CT!$E$5:$E$143,'BTHCTTK (TH131)'!A181)</f>
        <v>0</v>
      </c>
      <c r="G181" s="69">
        <f t="shared" si="6"/>
        <v>0</v>
      </c>
      <c r="H181" s="69">
        <f t="shared" si="7"/>
        <v>0</v>
      </c>
      <c r="I181" s="65" t="b">
        <f t="shared" si="8"/>
        <v>0</v>
      </c>
    </row>
    <row r="182" spans="1:9" hidden="1" x14ac:dyDescent="0.25">
      <c r="A182" s="93" t="str">
        <f>DMTK!B180</f>
        <v>4113</v>
      </c>
      <c r="B182" s="65" t="str">
        <f>VLOOKUP(A182,DMTK!$B$5:$L$263,3,0)</f>
        <v>Quyền chọn chuyển đổi trái phiếu</v>
      </c>
      <c r="C182" s="69">
        <f>VLOOKUP(A182,DMTK!$B$5:$L$263,10,0)</f>
        <v>0</v>
      </c>
      <c r="D182" s="69">
        <f>VLOOKUP(A182,DMTK!$B$5:$L$263,11,0)</f>
        <v>0</v>
      </c>
      <c r="E182" s="69">
        <f>SUMIFS(CT!$H$5:$H$143,CT!$D$5:$D$143,'BTHCTTK (TH131)'!A182)</f>
        <v>0</v>
      </c>
      <c r="F182" s="69">
        <f>SUMIFS(CT!$H$5:$H$143,CT!$E$5:$E$143,'BTHCTTK (TH131)'!A182)</f>
        <v>0</v>
      </c>
      <c r="G182" s="69">
        <f t="shared" si="6"/>
        <v>0</v>
      </c>
      <c r="H182" s="69">
        <f t="shared" si="7"/>
        <v>0</v>
      </c>
      <c r="I182" s="65" t="b">
        <f t="shared" si="8"/>
        <v>0</v>
      </c>
    </row>
    <row r="183" spans="1:9" hidden="1" x14ac:dyDescent="0.25">
      <c r="A183" s="93" t="str">
        <f>DMTK!B181</f>
        <v>4118</v>
      </c>
      <c r="B183" s="65" t="str">
        <f>VLOOKUP(A183,DMTK!$B$5:$L$263,3,0)</f>
        <v>Vốn khác</v>
      </c>
      <c r="C183" s="69">
        <f>VLOOKUP(A183,DMTK!$B$5:$L$263,10,0)</f>
        <v>0</v>
      </c>
      <c r="D183" s="69">
        <f>VLOOKUP(A183,DMTK!$B$5:$L$263,11,0)</f>
        <v>18898000</v>
      </c>
      <c r="E183" s="69">
        <f>SUMIFS(CT!$H$5:$H$143,CT!$D$5:$D$143,'BTHCTTK (TH131)'!A183)</f>
        <v>0</v>
      </c>
      <c r="F183" s="69">
        <f>SUMIFS(CT!$H$5:$H$143,CT!$E$5:$E$143,'BTHCTTK (TH131)'!A183)</f>
        <v>0</v>
      </c>
      <c r="G183" s="69">
        <f t="shared" si="6"/>
        <v>0</v>
      </c>
      <c r="H183" s="69">
        <f t="shared" si="7"/>
        <v>18898000</v>
      </c>
      <c r="I183" s="65" t="b">
        <f t="shared" si="8"/>
        <v>0</v>
      </c>
    </row>
    <row r="184" spans="1:9" hidden="1" x14ac:dyDescent="0.25">
      <c r="A184" s="93" t="str">
        <f>DMTK!B182</f>
        <v>412</v>
      </c>
      <c r="B184" s="65" t="str">
        <f>VLOOKUP(A184,DMTK!$B$5:$L$263,3,0)</f>
        <v>Chênh lệch đánh giá lại tài sản</v>
      </c>
      <c r="C184" s="69">
        <f>VLOOKUP(A184,DMTK!$B$5:$L$263,10,0)</f>
        <v>0</v>
      </c>
      <c r="D184" s="69">
        <f>VLOOKUP(A184,DMTK!$B$5:$L$263,11,0)</f>
        <v>0</v>
      </c>
      <c r="E184" s="69">
        <f>SUMIFS(CT!$H$5:$H$143,CT!$D$5:$D$143,'BTHCTTK (TH131)'!A184)</f>
        <v>0</v>
      </c>
      <c r="F184" s="69">
        <f>SUMIFS(CT!$H$5:$H$143,CT!$E$5:$E$143,'BTHCTTK (TH131)'!A184)</f>
        <v>0</v>
      </c>
      <c r="G184" s="69">
        <f t="shared" si="6"/>
        <v>0</v>
      </c>
      <c r="H184" s="69">
        <f t="shared" si="7"/>
        <v>0</v>
      </c>
      <c r="I184" s="65" t="b">
        <f t="shared" si="8"/>
        <v>0</v>
      </c>
    </row>
    <row r="185" spans="1:9" hidden="1" x14ac:dyDescent="0.25">
      <c r="A185" s="93" t="str">
        <f>DMTK!B183</f>
        <v>4131</v>
      </c>
      <c r="B185" s="65" t="str">
        <f>VLOOKUP(A185,DMTK!$B$5:$L$263,3,0)</f>
        <v>Chênh lệch tỷ giá do đánh giá lại các khoản mục tiền tệ có gốc ngoại tệ</v>
      </c>
      <c r="C185" s="69">
        <f>VLOOKUP(A185,DMTK!$B$5:$L$263,10,0)</f>
        <v>0</v>
      </c>
      <c r="D185" s="69">
        <f>VLOOKUP(A185,DMTK!$B$5:$L$263,11,0)</f>
        <v>0</v>
      </c>
      <c r="E185" s="69">
        <f>SUMIFS(CT!$H$5:$H$143,CT!$D$5:$D$143,'BTHCTTK (TH131)'!A185)</f>
        <v>0</v>
      </c>
      <c r="F185" s="69">
        <f>SUMIFS(CT!$H$5:$H$143,CT!$E$5:$E$143,'BTHCTTK (TH131)'!A185)</f>
        <v>0</v>
      </c>
      <c r="G185" s="69">
        <f t="shared" si="6"/>
        <v>0</v>
      </c>
      <c r="H185" s="69">
        <f t="shared" si="7"/>
        <v>0</v>
      </c>
      <c r="I185" s="65" t="b">
        <f t="shared" si="8"/>
        <v>0</v>
      </c>
    </row>
    <row r="186" spans="1:9" hidden="1" x14ac:dyDescent="0.25">
      <c r="A186" s="93" t="str">
        <f>DMTK!B184</f>
        <v>4132</v>
      </c>
      <c r="B186" s="65" t="str">
        <f>VLOOKUP(A186,DMTK!$B$5:$L$263,3,0)</f>
        <v>Chênh lệch tỷ giá hối đoái trong giai đoạn trước hoạt động</v>
      </c>
      <c r="C186" s="69">
        <f>VLOOKUP(A186,DMTK!$B$5:$L$263,10,0)</f>
        <v>0</v>
      </c>
      <c r="D186" s="69">
        <f>VLOOKUP(A186,DMTK!$B$5:$L$263,11,0)</f>
        <v>0</v>
      </c>
      <c r="E186" s="69">
        <f>SUMIFS(CT!$H$5:$H$143,CT!$D$5:$D$143,'BTHCTTK (TH131)'!A186)</f>
        <v>0</v>
      </c>
      <c r="F186" s="69">
        <f>SUMIFS(CT!$H$5:$H$143,CT!$E$5:$E$143,'BTHCTTK (TH131)'!A186)</f>
        <v>0</v>
      </c>
      <c r="G186" s="69">
        <f t="shared" si="6"/>
        <v>0</v>
      </c>
      <c r="H186" s="69">
        <f t="shared" si="7"/>
        <v>0</v>
      </c>
      <c r="I186" s="65" t="b">
        <f t="shared" si="8"/>
        <v>0</v>
      </c>
    </row>
    <row r="187" spans="1:9" hidden="1" x14ac:dyDescent="0.25">
      <c r="A187" s="93" t="str">
        <f>DMTK!B185</f>
        <v>414</v>
      </c>
      <c r="B187" s="65" t="str">
        <f>VLOOKUP(A187,DMTK!$B$5:$L$263,3,0)</f>
        <v>Quỹ đầu tư phát triển</v>
      </c>
      <c r="C187" s="69">
        <f>VLOOKUP(A187,DMTK!$B$5:$L$263,10,0)</f>
        <v>0</v>
      </c>
      <c r="D187" s="69">
        <f>VLOOKUP(A187,DMTK!$B$5:$L$263,11,0)</f>
        <v>120000000</v>
      </c>
      <c r="E187" s="69">
        <f>SUMIFS(CT!$H$5:$H$143,CT!$D$5:$D$143,'BTHCTTK (TH131)'!A187)</f>
        <v>0</v>
      </c>
      <c r="F187" s="69">
        <f>SUMIFS(CT!$H$5:$H$143,CT!$E$5:$E$143,'BTHCTTK (TH131)'!A187)</f>
        <v>0</v>
      </c>
      <c r="G187" s="69">
        <f t="shared" si="6"/>
        <v>0</v>
      </c>
      <c r="H187" s="69">
        <f t="shared" si="7"/>
        <v>120000000</v>
      </c>
      <c r="I187" s="65" t="b">
        <f t="shared" si="8"/>
        <v>0</v>
      </c>
    </row>
    <row r="188" spans="1:9" hidden="1" x14ac:dyDescent="0.25">
      <c r="A188" s="93" t="str">
        <f>DMTK!B186</f>
        <v>417</v>
      </c>
      <c r="B188" s="65" t="str">
        <f>VLOOKUP(A188,DMTK!$B$5:$L$263,3,0)</f>
        <v>Quỹ hỗ trợ sắp xếp doanh nghiệp</v>
      </c>
      <c r="C188" s="69">
        <f>VLOOKUP(A188,DMTK!$B$5:$L$263,10,0)</f>
        <v>0</v>
      </c>
      <c r="D188" s="69">
        <f>VLOOKUP(A188,DMTK!$B$5:$L$263,11,0)</f>
        <v>0</v>
      </c>
      <c r="E188" s="69">
        <f>SUMIFS(CT!$H$5:$H$143,CT!$D$5:$D$143,'BTHCTTK (TH131)'!A188)</f>
        <v>0</v>
      </c>
      <c r="F188" s="69">
        <f>SUMIFS(CT!$H$5:$H$143,CT!$E$5:$E$143,'BTHCTTK (TH131)'!A188)</f>
        <v>0</v>
      </c>
      <c r="G188" s="69">
        <f t="shared" si="6"/>
        <v>0</v>
      </c>
      <c r="H188" s="69">
        <f t="shared" si="7"/>
        <v>0</v>
      </c>
      <c r="I188" s="65" t="b">
        <f t="shared" si="8"/>
        <v>0</v>
      </c>
    </row>
    <row r="189" spans="1:9" hidden="1" x14ac:dyDescent="0.25">
      <c r="A189" s="93" t="str">
        <f>DMTK!B187</f>
        <v>418</v>
      </c>
      <c r="B189" s="65" t="str">
        <f>VLOOKUP(A189,DMTK!$B$5:$L$263,3,0)</f>
        <v>Các quỹ khác thuộc vốn chủ sở hữu</v>
      </c>
      <c r="C189" s="69">
        <f>VLOOKUP(A189,DMTK!$B$5:$L$263,10,0)</f>
        <v>0</v>
      </c>
      <c r="D189" s="69">
        <f>VLOOKUP(A189,DMTK!$B$5:$L$263,11,0)</f>
        <v>130000000</v>
      </c>
      <c r="E189" s="69">
        <f>SUMIFS(CT!$H$5:$H$143,CT!$D$5:$D$143,'BTHCTTK (TH131)'!A189)</f>
        <v>0</v>
      </c>
      <c r="F189" s="69">
        <f>SUMIFS(CT!$H$5:$H$143,CT!$E$5:$E$143,'BTHCTTK (TH131)'!A189)</f>
        <v>0</v>
      </c>
      <c r="G189" s="69">
        <f t="shared" si="6"/>
        <v>0</v>
      </c>
      <c r="H189" s="69">
        <f t="shared" si="7"/>
        <v>130000000</v>
      </c>
      <c r="I189" s="65" t="b">
        <f t="shared" si="8"/>
        <v>0</v>
      </c>
    </row>
    <row r="190" spans="1:9" hidden="1" x14ac:dyDescent="0.25">
      <c r="A190" s="93" t="str">
        <f>DMTK!B188</f>
        <v>419</v>
      </c>
      <c r="B190" s="65" t="str">
        <f>VLOOKUP(A190,DMTK!$B$5:$L$263,3,0)</f>
        <v>Cổ phiếu quỹ</v>
      </c>
      <c r="C190" s="69">
        <f>VLOOKUP(A190,DMTK!$B$5:$L$263,10,0)</f>
        <v>9449000</v>
      </c>
      <c r="D190" s="69">
        <f>VLOOKUP(A190,DMTK!$B$5:$L$263,11,0)</f>
        <v>0</v>
      </c>
      <c r="E190" s="69">
        <f>SUMIFS(CT!$H$5:$H$143,CT!$D$5:$D$143,'BTHCTTK (TH131)'!A190)</f>
        <v>0</v>
      </c>
      <c r="F190" s="69">
        <f>SUMIFS(CT!$H$5:$H$143,CT!$E$5:$E$143,'BTHCTTK (TH131)'!A190)</f>
        <v>0</v>
      </c>
      <c r="G190" s="69">
        <f t="shared" si="6"/>
        <v>9449000</v>
      </c>
      <c r="H190" s="69">
        <f t="shared" si="7"/>
        <v>0</v>
      </c>
      <c r="I190" s="65" t="b">
        <f t="shared" si="8"/>
        <v>0</v>
      </c>
    </row>
    <row r="191" spans="1:9" hidden="1" x14ac:dyDescent="0.25">
      <c r="A191" s="93" t="str">
        <f>DMTK!B189</f>
        <v>4211</v>
      </c>
      <c r="B191" s="65" t="str">
        <f>VLOOKUP(A191,DMTK!$B$5:$L$263,3,0)</f>
        <v>Lợi nhuận sau thuế chưa phân phối năm trước</v>
      </c>
      <c r="C191" s="69">
        <f>VLOOKUP(A191,DMTK!$B$5:$L$263,10,0)</f>
        <v>0</v>
      </c>
      <c r="D191" s="69">
        <f>VLOOKUP(A191,DMTK!$B$5:$L$263,11,0)</f>
        <v>204410000</v>
      </c>
      <c r="E191" s="69">
        <f>SUMIFS(CT!$H$5:$H$143,CT!$D$5:$D$143,'BTHCTTK (TH131)'!A191)</f>
        <v>0</v>
      </c>
      <c r="F191" s="69">
        <f>SUMIFS(CT!$H$5:$H$143,CT!$E$5:$E$143,'BTHCTTK (TH131)'!A191)</f>
        <v>0</v>
      </c>
      <c r="G191" s="69">
        <f t="shared" si="6"/>
        <v>0</v>
      </c>
      <c r="H191" s="69">
        <f t="shared" si="7"/>
        <v>204410000</v>
      </c>
      <c r="I191" s="65" t="b">
        <f t="shared" si="8"/>
        <v>0</v>
      </c>
    </row>
    <row r="192" spans="1:9" hidden="1" x14ac:dyDescent="0.25">
      <c r="A192" s="93" t="str">
        <f>DMTK!B190</f>
        <v>4212</v>
      </c>
      <c r="B192" s="65" t="str">
        <f>VLOOKUP(A192,DMTK!$B$5:$L$263,3,0)</f>
        <v>Lợi nhuận sau thuế chưa phân phối năm nay</v>
      </c>
      <c r="C192" s="69">
        <f>VLOOKUP(A192,DMTK!$B$5:$L$263,10,0)</f>
        <v>0</v>
      </c>
      <c r="D192" s="69">
        <f>VLOOKUP(A192,DMTK!$B$5:$L$263,11,0)</f>
        <v>0</v>
      </c>
      <c r="E192" s="69">
        <f>SUMIFS(CT!$H$5:$H$143,CT!$D$5:$D$143,'BTHCTTK (TH131)'!A192)</f>
        <v>3387852</v>
      </c>
      <c r="F192" s="69">
        <f>SUMIFS(CT!$H$5:$H$143,CT!$E$5:$E$143,'BTHCTTK (TH131)'!A192)</f>
        <v>2269619</v>
      </c>
      <c r="G192" s="69">
        <f t="shared" si="6"/>
        <v>1118233</v>
      </c>
      <c r="H192" s="69">
        <f t="shared" si="7"/>
        <v>0</v>
      </c>
      <c r="I192" s="65" t="b">
        <f t="shared" si="8"/>
        <v>0</v>
      </c>
    </row>
    <row r="193" spans="1:9" hidden="1" x14ac:dyDescent="0.25">
      <c r="A193" s="93" t="str">
        <f>DMTK!B191</f>
        <v>441</v>
      </c>
      <c r="B193" s="65" t="str">
        <f>VLOOKUP(A193,DMTK!$B$5:$L$263,3,0)</f>
        <v>Nguồn vốn đầu tư xây dựng cơ bản</v>
      </c>
      <c r="C193" s="69">
        <f>VLOOKUP(A193,DMTK!$B$5:$L$263,10,0)</f>
        <v>0</v>
      </c>
      <c r="D193" s="69">
        <f>VLOOKUP(A193,DMTK!$B$5:$L$263,11,0)</f>
        <v>300000000</v>
      </c>
      <c r="E193" s="69">
        <f>SUMIFS(CT!$H$5:$H$143,CT!$D$5:$D$143,'BTHCTTK (TH131)'!A193)</f>
        <v>0</v>
      </c>
      <c r="F193" s="69">
        <f>SUMIFS(CT!$H$5:$H$143,CT!$E$5:$E$143,'BTHCTTK (TH131)'!A193)</f>
        <v>0</v>
      </c>
      <c r="G193" s="69">
        <f t="shared" si="6"/>
        <v>0</v>
      </c>
      <c r="H193" s="69">
        <f t="shared" si="7"/>
        <v>300000000</v>
      </c>
      <c r="I193" s="65" t="b">
        <f t="shared" si="8"/>
        <v>0</v>
      </c>
    </row>
    <row r="194" spans="1:9" hidden="1" x14ac:dyDescent="0.25">
      <c r="A194" s="93" t="str">
        <f>DMTK!B192</f>
        <v>461</v>
      </c>
      <c r="B194" s="65" t="str">
        <f>VLOOKUP(A194,DMTK!$B$5:$L$263,3,0)</f>
        <v>Nguồn kinh phí sự nghiệp</v>
      </c>
      <c r="C194" s="69">
        <f>VLOOKUP(A194,DMTK!$B$5:$L$263,10,0)</f>
        <v>0</v>
      </c>
      <c r="D194" s="69">
        <f>VLOOKUP(A194,DMTK!$B$5:$L$263,11,0)</f>
        <v>0</v>
      </c>
      <c r="E194" s="69">
        <f>SUMIFS(CT!$H$5:$H$143,CT!$D$5:$D$143,'BTHCTTK (TH131)'!A194)</f>
        <v>0</v>
      </c>
      <c r="F194" s="69">
        <f>SUMIFS(CT!$H$5:$H$143,CT!$E$5:$E$143,'BTHCTTK (TH131)'!A194)</f>
        <v>0</v>
      </c>
      <c r="G194" s="69">
        <f t="shared" si="6"/>
        <v>0</v>
      </c>
      <c r="H194" s="69">
        <f t="shared" si="7"/>
        <v>0</v>
      </c>
      <c r="I194" s="65" t="b">
        <f t="shared" si="8"/>
        <v>0</v>
      </c>
    </row>
    <row r="195" spans="1:9" hidden="1" x14ac:dyDescent="0.25">
      <c r="A195" s="93" t="str">
        <f>DMTK!B193</f>
        <v>466</v>
      </c>
      <c r="B195" s="65" t="str">
        <f>VLOOKUP(A195,DMTK!$B$5:$L$263,3,0)</f>
        <v>Nguồn kinh phí đã hình thành TSCĐ</v>
      </c>
      <c r="C195" s="69">
        <f>VLOOKUP(A195,DMTK!$B$5:$L$263,10,0)</f>
        <v>0</v>
      </c>
      <c r="D195" s="69">
        <f>VLOOKUP(A195,DMTK!$B$5:$L$263,11,0)</f>
        <v>0</v>
      </c>
      <c r="E195" s="69">
        <f>SUMIFS(CT!$H$5:$H$143,CT!$D$5:$D$143,'BTHCTTK (TH131)'!A195)</f>
        <v>0</v>
      </c>
      <c r="F195" s="69">
        <f>SUMIFS(CT!$H$5:$H$143,CT!$E$5:$E$143,'BTHCTTK (TH131)'!A195)</f>
        <v>0</v>
      </c>
      <c r="G195" s="69">
        <f t="shared" si="6"/>
        <v>0</v>
      </c>
      <c r="H195" s="69">
        <f t="shared" si="7"/>
        <v>0</v>
      </c>
      <c r="I195" s="65" t="b">
        <f t="shared" si="8"/>
        <v>0</v>
      </c>
    </row>
    <row r="196" spans="1:9" hidden="1" x14ac:dyDescent="0.25">
      <c r="A196" s="93" t="str">
        <f>DMTK!B194</f>
        <v>5111</v>
      </c>
      <c r="B196" s="65" t="str">
        <f>VLOOKUP(A196,DMTK!$B$5:$L$263,3,0)</f>
        <v>Doanh thu bán hàng hóa</v>
      </c>
      <c r="C196" s="69">
        <f>VLOOKUP(A196,DMTK!$B$5:$L$263,10,0)</f>
        <v>0</v>
      </c>
      <c r="D196" s="69">
        <f>VLOOKUP(A196,DMTK!$B$5:$L$263,11,0)</f>
        <v>0</v>
      </c>
      <c r="E196" s="69">
        <f>SUMIFS(CT!$H$5:$H$143,CT!$D$5:$D$143,'BTHCTTK (TH131)'!A196)</f>
        <v>0</v>
      </c>
      <c r="F196" s="69">
        <f>SUMIFS(CT!$H$5:$H$143,CT!$E$5:$E$143,'BTHCTTK (TH131)'!A196)</f>
        <v>0</v>
      </c>
      <c r="G196" s="69">
        <f t="shared" si="6"/>
        <v>0</v>
      </c>
      <c r="H196" s="69">
        <f t="shared" si="7"/>
        <v>0</v>
      </c>
      <c r="I196" s="65" t="b">
        <f t="shared" si="8"/>
        <v>0</v>
      </c>
    </row>
    <row r="197" spans="1:9" hidden="1" x14ac:dyDescent="0.25">
      <c r="A197" s="93" t="str">
        <f>DMTK!B195</f>
        <v>5112.0101</v>
      </c>
      <c r="B197" s="65" t="str">
        <f>VLOOKUP(A197,DMTK!$B$5:$L$263,3,0)</f>
        <v>Doanh thu bán Ghế tay vịn</v>
      </c>
      <c r="C197" s="69">
        <f>VLOOKUP(A197,DMTK!$B$5:$L$263,10,0)</f>
        <v>0</v>
      </c>
      <c r="D197" s="69">
        <f>VLOOKUP(A197,DMTK!$B$5:$L$263,11,0)</f>
        <v>0</v>
      </c>
      <c r="E197" s="69">
        <f>SUMIFS(CT!$H$5:$H$143,CT!$D$5:$D$143,'BTHCTTK (TH131)'!A197)</f>
        <v>30000000</v>
      </c>
      <c r="F197" s="69">
        <f>SUMIFS(CT!$H$5:$H$143,CT!$E$5:$E$143,'BTHCTTK (TH131)'!A197)</f>
        <v>30000000</v>
      </c>
      <c r="G197" s="69">
        <f t="shared" si="6"/>
        <v>0</v>
      </c>
      <c r="H197" s="69">
        <f t="shared" si="7"/>
        <v>0</v>
      </c>
      <c r="I197" s="65" t="b">
        <f t="shared" si="8"/>
        <v>0</v>
      </c>
    </row>
    <row r="198" spans="1:9" hidden="1" x14ac:dyDescent="0.25">
      <c r="A198" s="93" t="str">
        <f>DMTK!B196</f>
        <v>5112.0102</v>
      </c>
      <c r="B198" s="65" t="str">
        <f>VLOOKUP(A198,DMTK!$B$5:$L$263,3,0)</f>
        <v>Doanh thu bán Ghế không tay</v>
      </c>
      <c r="C198" s="69">
        <f>VLOOKUP(A198,DMTK!$B$5:$L$263,10,0)</f>
        <v>0</v>
      </c>
      <c r="D198" s="69">
        <f>VLOOKUP(A198,DMTK!$B$5:$L$263,11,0)</f>
        <v>0</v>
      </c>
      <c r="E198" s="69">
        <f>SUMIFS(CT!$H$5:$H$143,CT!$D$5:$D$143,'BTHCTTK (TH131)'!A198)</f>
        <v>28000000</v>
      </c>
      <c r="F198" s="69">
        <f>SUMIFS(CT!$H$5:$H$143,CT!$E$5:$E$143,'BTHCTTK (TH131)'!A198)</f>
        <v>28000000</v>
      </c>
      <c r="G198" s="69">
        <f t="shared" si="6"/>
        <v>0</v>
      </c>
      <c r="H198" s="69">
        <f t="shared" si="7"/>
        <v>0</v>
      </c>
      <c r="I198" s="65" t="b">
        <f t="shared" si="8"/>
        <v>0</v>
      </c>
    </row>
    <row r="199" spans="1:9" hidden="1" x14ac:dyDescent="0.25">
      <c r="A199" s="93" t="str">
        <f>DMTK!B197</f>
        <v>5112.0201</v>
      </c>
      <c r="B199" s="65" t="str">
        <f>VLOOKUP(A199,DMTK!$B$5:$L$263,3,0)</f>
        <v>Doanh thu bán  Bàn tròn</v>
      </c>
      <c r="C199" s="69">
        <f>VLOOKUP(A199,DMTK!$B$5:$L$263,10,0)</f>
        <v>0</v>
      </c>
      <c r="D199" s="69">
        <f>VLOOKUP(A199,DMTK!$B$5:$L$263,11,0)</f>
        <v>0</v>
      </c>
      <c r="E199" s="69">
        <f>SUMIFS(CT!$H$5:$H$143,CT!$D$5:$D$143,'BTHCTTK (TH131)'!A199)</f>
        <v>0</v>
      </c>
      <c r="F199" s="69">
        <f>SUMIFS(CT!$H$5:$H$143,CT!$E$5:$E$143,'BTHCTTK (TH131)'!A199)</f>
        <v>0</v>
      </c>
      <c r="G199" s="69">
        <f t="shared" si="6"/>
        <v>0</v>
      </c>
      <c r="H199" s="69">
        <f t="shared" si="7"/>
        <v>0</v>
      </c>
      <c r="I199" s="65" t="b">
        <f t="shared" si="8"/>
        <v>0</v>
      </c>
    </row>
    <row r="200" spans="1:9" hidden="1" x14ac:dyDescent="0.25">
      <c r="A200" s="93" t="str">
        <f>DMTK!B198</f>
        <v>5112.0202</v>
      </c>
      <c r="B200" s="65" t="str">
        <f>VLOOKUP(A200,DMTK!$B$5:$L$263,3,0)</f>
        <v>Doanh thu bán Bàn oval</v>
      </c>
      <c r="C200" s="69">
        <f>VLOOKUP(A200,DMTK!$B$5:$L$263,10,0)</f>
        <v>0</v>
      </c>
      <c r="D200" s="69">
        <f>VLOOKUP(A200,DMTK!$B$5:$L$263,11,0)</f>
        <v>0</v>
      </c>
      <c r="E200" s="69">
        <f>SUMIFS(CT!$H$5:$H$143,CT!$D$5:$D$143,'BTHCTTK (TH131)'!A200)</f>
        <v>30000000</v>
      </c>
      <c r="F200" s="69">
        <f>SUMIFS(CT!$H$5:$H$143,CT!$E$5:$E$143,'BTHCTTK (TH131)'!A200)</f>
        <v>30000000</v>
      </c>
      <c r="G200" s="69">
        <f t="shared" ref="G200:G263" si="9">MAX(C200+E200-D200-F200,0)</f>
        <v>0</v>
      </c>
      <c r="H200" s="69">
        <f t="shared" ref="H200:H263" si="10">MAX(D200+F200-C200-E200,0)</f>
        <v>0</v>
      </c>
      <c r="I200" s="65" t="b">
        <f t="shared" ref="I200:I263" si="11">LEFT(A200,3)=$D$2</f>
        <v>0</v>
      </c>
    </row>
    <row r="201" spans="1:9" hidden="1" x14ac:dyDescent="0.25">
      <c r="A201" s="93" t="str">
        <f>DMTK!B199</f>
        <v>5112.0203</v>
      </c>
      <c r="B201" s="65" t="str">
        <f>VLOOKUP(A201,DMTK!$B$5:$L$263,3,0)</f>
        <v>Doanh thu bán Bàn chữ nhật</v>
      </c>
      <c r="C201" s="69">
        <f>VLOOKUP(A201,DMTK!$B$5:$L$263,10,0)</f>
        <v>0</v>
      </c>
      <c r="D201" s="69">
        <f>VLOOKUP(A201,DMTK!$B$5:$L$263,11,0)</f>
        <v>0</v>
      </c>
      <c r="E201" s="69">
        <f>SUMIFS(CT!$H$5:$H$143,CT!$D$5:$D$143,'BTHCTTK (TH131)'!A201)</f>
        <v>0</v>
      </c>
      <c r="F201" s="69">
        <f>SUMIFS(CT!$H$5:$H$143,CT!$E$5:$E$143,'BTHCTTK (TH131)'!A201)</f>
        <v>0</v>
      </c>
      <c r="G201" s="69">
        <f t="shared" si="9"/>
        <v>0</v>
      </c>
      <c r="H201" s="69">
        <f t="shared" si="10"/>
        <v>0</v>
      </c>
      <c r="I201" s="65" t="b">
        <f t="shared" si="11"/>
        <v>0</v>
      </c>
    </row>
    <row r="202" spans="1:9" hidden="1" x14ac:dyDescent="0.25">
      <c r="A202" s="93" t="str">
        <f>DMTK!B200</f>
        <v>5113</v>
      </c>
      <c r="B202" s="65" t="str">
        <f>VLOOKUP(A202,DMTK!$B$5:$L$263,3,0)</f>
        <v>Doanh thu cung cấp dịch vụ</v>
      </c>
      <c r="C202" s="69">
        <f>VLOOKUP(A202,DMTK!$B$5:$L$263,10,0)</f>
        <v>0</v>
      </c>
      <c r="D202" s="69">
        <f>VLOOKUP(A202,DMTK!$B$5:$L$263,11,0)</f>
        <v>0</v>
      </c>
      <c r="E202" s="69">
        <f>SUMIFS(CT!$H$5:$H$143,CT!$D$5:$D$143,'BTHCTTK (TH131)'!A202)</f>
        <v>0</v>
      </c>
      <c r="F202" s="69">
        <f>SUMIFS(CT!$H$5:$H$143,CT!$E$5:$E$143,'BTHCTTK (TH131)'!A202)</f>
        <v>0</v>
      </c>
      <c r="G202" s="69">
        <f t="shared" si="9"/>
        <v>0</v>
      </c>
      <c r="H202" s="69">
        <f t="shared" si="10"/>
        <v>0</v>
      </c>
      <c r="I202" s="65" t="b">
        <f t="shared" si="11"/>
        <v>0</v>
      </c>
    </row>
    <row r="203" spans="1:9" hidden="1" x14ac:dyDescent="0.25">
      <c r="A203" s="93" t="str">
        <f>DMTK!B201</f>
        <v>5114</v>
      </c>
      <c r="B203" s="65" t="str">
        <f>VLOOKUP(A203,DMTK!$B$5:$L$263,3,0)</f>
        <v>Doanh thu trợ cấp, trợ giá</v>
      </c>
      <c r="C203" s="69">
        <f>VLOOKUP(A203,DMTK!$B$5:$L$263,10,0)</f>
        <v>0</v>
      </c>
      <c r="D203" s="69">
        <f>VLOOKUP(A203,DMTK!$B$5:$L$263,11,0)</f>
        <v>0</v>
      </c>
      <c r="E203" s="69">
        <f>SUMIFS(CT!$H$5:$H$143,CT!$D$5:$D$143,'BTHCTTK (TH131)'!A203)</f>
        <v>0</v>
      </c>
      <c r="F203" s="69">
        <f>SUMIFS(CT!$H$5:$H$143,CT!$E$5:$E$143,'BTHCTTK (TH131)'!A203)</f>
        <v>0</v>
      </c>
      <c r="G203" s="69">
        <f t="shared" si="9"/>
        <v>0</v>
      </c>
      <c r="H203" s="69">
        <f t="shared" si="10"/>
        <v>0</v>
      </c>
      <c r="I203" s="65" t="b">
        <f t="shared" si="11"/>
        <v>0</v>
      </c>
    </row>
    <row r="204" spans="1:9" hidden="1" x14ac:dyDescent="0.25">
      <c r="A204" s="93" t="str">
        <f>DMTK!B202</f>
        <v>5117</v>
      </c>
      <c r="B204" s="65" t="str">
        <f>VLOOKUP(A204,DMTK!$B$5:$L$263,3,0)</f>
        <v>Doanh thu kinh doanh bất động sản đầu tư</v>
      </c>
      <c r="C204" s="69">
        <f>VLOOKUP(A204,DMTK!$B$5:$L$263,10,0)</f>
        <v>0</v>
      </c>
      <c r="D204" s="69">
        <f>VLOOKUP(A204,DMTK!$B$5:$L$263,11,0)</f>
        <v>0</v>
      </c>
      <c r="E204" s="69">
        <f>SUMIFS(CT!$H$5:$H$143,CT!$D$5:$D$143,'BTHCTTK (TH131)'!A204)</f>
        <v>0</v>
      </c>
      <c r="F204" s="69">
        <f>SUMIFS(CT!$H$5:$H$143,CT!$E$5:$E$143,'BTHCTTK (TH131)'!A204)</f>
        <v>0</v>
      </c>
      <c r="G204" s="69">
        <f t="shared" si="9"/>
        <v>0</v>
      </c>
      <c r="H204" s="69">
        <f t="shared" si="10"/>
        <v>0</v>
      </c>
      <c r="I204" s="65" t="b">
        <f t="shared" si="11"/>
        <v>0</v>
      </c>
    </row>
    <row r="205" spans="1:9" hidden="1" x14ac:dyDescent="0.25">
      <c r="A205" s="93" t="str">
        <f>DMTK!B203</f>
        <v>515</v>
      </c>
      <c r="B205" s="65" t="str">
        <f>VLOOKUP(A205,DMTK!$B$5:$L$263,3,0)</f>
        <v>Doanh thu hoạt động tài chính</v>
      </c>
      <c r="C205" s="69">
        <f>VLOOKUP(A205,DMTK!$B$5:$L$263,10,0)</f>
        <v>0</v>
      </c>
      <c r="D205" s="69">
        <f>VLOOKUP(A205,DMTK!$B$5:$L$263,11,0)</f>
        <v>0</v>
      </c>
      <c r="E205" s="69">
        <f>SUMIFS(CT!$H$5:$H$143,CT!$D$5:$D$143,'BTHCTTK (TH131)'!A205)</f>
        <v>0</v>
      </c>
      <c r="F205" s="69">
        <f>SUMIFS(CT!$H$5:$H$143,CT!$E$5:$E$143,'BTHCTTK (TH131)'!A205)</f>
        <v>0</v>
      </c>
      <c r="G205" s="69">
        <f t="shared" si="9"/>
        <v>0</v>
      </c>
      <c r="H205" s="69">
        <f t="shared" si="10"/>
        <v>0</v>
      </c>
      <c r="I205" s="65" t="b">
        <f t="shared" si="11"/>
        <v>0</v>
      </c>
    </row>
    <row r="206" spans="1:9" hidden="1" x14ac:dyDescent="0.25">
      <c r="A206" s="93" t="str">
        <f>DMTK!B204</f>
        <v>5211</v>
      </c>
      <c r="B206" s="65" t="str">
        <f>VLOOKUP(A206,DMTK!$B$5:$L$263,3,0)</f>
        <v>Chiết khấu thương mại</v>
      </c>
      <c r="C206" s="69">
        <f>VLOOKUP(A206,DMTK!$B$5:$L$263,10,0)</f>
        <v>0</v>
      </c>
      <c r="D206" s="69">
        <f>VLOOKUP(A206,DMTK!$B$5:$L$263,11,0)</f>
        <v>0</v>
      </c>
      <c r="E206" s="69">
        <f>SUMIFS(CT!$H$5:$H$143,CT!$D$5:$D$143,'BTHCTTK (TH131)'!A206)</f>
        <v>0</v>
      </c>
      <c r="F206" s="69">
        <f>SUMIFS(CT!$H$5:$H$143,CT!$E$5:$E$143,'BTHCTTK (TH131)'!A206)</f>
        <v>0</v>
      </c>
      <c r="G206" s="69">
        <f t="shared" si="9"/>
        <v>0</v>
      </c>
      <c r="H206" s="69">
        <f t="shared" si="10"/>
        <v>0</v>
      </c>
      <c r="I206" s="65" t="b">
        <f t="shared" si="11"/>
        <v>0</v>
      </c>
    </row>
    <row r="207" spans="1:9" hidden="1" x14ac:dyDescent="0.25">
      <c r="A207" s="93" t="str">
        <f>DMTK!B205</f>
        <v>5212</v>
      </c>
      <c r="B207" s="65" t="str">
        <f>VLOOKUP(A207,DMTK!$B$5:$L$263,3,0)</f>
        <v>Giảm giá hàng bán</v>
      </c>
      <c r="C207" s="69">
        <f>VLOOKUP(A207,DMTK!$B$5:$L$263,10,0)</f>
        <v>0</v>
      </c>
      <c r="D207" s="69">
        <f>VLOOKUP(A207,DMTK!$B$5:$L$263,11,0)</f>
        <v>0</v>
      </c>
      <c r="E207" s="69">
        <f>SUMIFS(CT!$H$5:$H$143,CT!$D$5:$D$143,'BTHCTTK (TH131)'!A207)</f>
        <v>0</v>
      </c>
      <c r="F207" s="69">
        <f>SUMIFS(CT!$H$5:$H$143,CT!$E$5:$E$143,'BTHCTTK (TH131)'!A207)</f>
        <v>0</v>
      </c>
      <c r="G207" s="69">
        <f t="shared" si="9"/>
        <v>0</v>
      </c>
      <c r="H207" s="69">
        <f t="shared" si="10"/>
        <v>0</v>
      </c>
      <c r="I207" s="65" t="b">
        <f t="shared" si="11"/>
        <v>0</v>
      </c>
    </row>
    <row r="208" spans="1:9" hidden="1" x14ac:dyDescent="0.25">
      <c r="A208" s="93" t="str">
        <f>DMTK!B206</f>
        <v>5213</v>
      </c>
      <c r="B208" s="65" t="str">
        <f>VLOOKUP(A208,DMTK!$B$5:$L$263,3,0)</f>
        <v>Hàng bán bị trả lại</v>
      </c>
      <c r="C208" s="69">
        <f>VLOOKUP(A208,DMTK!$B$5:$L$263,10,0)</f>
        <v>0</v>
      </c>
      <c r="D208" s="69">
        <f>VLOOKUP(A208,DMTK!$B$5:$L$263,11,0)</f>
        <v>0</v>
      </c>
      <c r="E208" s="69">
        <f>SUMIFS(CT!$H$5:$H$143,CT!$D$5:$D$143,'BTHCTTK (TH131)'!A208)</f>
        <v>0</v>
      </c>
      <c r="F208" s="69">
        <f>SUMIFS(CT!$H$5:$H$143,CT!$E$5:$E$143,'BTHCTTK (TH131)'!A208)</f>
        <v>0</v>
      </c>
      <c r="G208" s="69">
        <f t="shared" si="9"/>
        <v>0</v>
      </c>
      <c r="H208" s="69">
        <f t="shared" si="10"/>
        <v>0</v>
      </c>
      <c r="I208" s="65" t="b">
        <f t="shared" si="11"/>
        <v>0</v>
      </c>
    </row>
    <row r="209" spans="1:9" hidden="1" x14ac:dyDescent="0.25">
      <c r="A209" s="93" t="str">
        <f>DMTK!B207</f>
        <v>6111</v>
      </c>
      <c r="B209" s="65" t="str">
        <f>VLOOKUP(A209,DMTK!$B$5:$L$263,3,0)</f>
        <v>Mua nguyên liệu, vật liệu</v>
      </c>
      <c r="C209" s="69">
        <f>VLOOKUP(A209,DMTK!$B$5:$L$263,10,0)</f>
        <v>0</v>
      </c>
      <c r="D209" s="69">
        <f>VLOOKUP(A209,DMTK!$B$5:$L$263,11,0)</f>
        <v>0</v>
      </c>
      <c r="E209" s="69">
        <f>SUMIFS(CT!$H$5:$H$143,CT!$D$5:$D$143,'BTHCTTK (TH131)'!A209)</f>
        <v>0</v>
      </c>
      <c r="F209" s="69">
        <f>SUMIFS(CT!$H$5:$H$143,CT!$E$5:$E$143,'BTHCTTK (TH131)'!A209)</f>
        <v>0</v>
      </c>
      <c r="G209" s="69">
        <f t="shared" si="9"/>
        <v>0</v>
      </c>
      <c r="H209" s="69">
        <f t="shared" si="10"/>
        <v>0</v>
      </c>
      <c r="I209" s="65" t="b">
        <f t="shared" si="11"/>
        <v>0</v>
      </c>
    </row>
    <row r="210" spans="1:9" hidden="1" x14ac:dyDescent="0.25">
      <c r="A210" s="93" t="str">
        <f>DMTK!B208</f>
        <v>6112</v>
      </c>
      <c r="B210" s="65" t="str">
        <f>VLOOKUP(A210,DMTK!$B$5:$L$263,3,0)</f>
        <v>Mua hàng hóa</v>
      </c>
      <c r="C210" s="69">
        <f>VLOOKUP(A210,DMTK!$B$5:$L$263,10,0)</f>
        <v>0</v>
      </c>
      <c r="D210" s="69">
        <f>VLOOKUP(A210,DMTK!$B$5:$L$263,11,0)</f>
        <v>0</v>
      </c>
      <c r="E210" s="69">
        <f>SUMIFS(CT!$H$5:$H$143,CT!$D$5:$D$143,'BTHCTTK (TH131)'!A210)</f>
        <v>0</v>
      </c>
      <c r="F210" s="69">
        <f>SUMIFS(CT!$H$5:$H$143,CT!$E$5:$E$143,'BTHCTTK (TH131)'!A210)</f>
        <v>0</v>
      </c>
      <c r="G210" s="69">
        <f t="shared" si="9"/>
        <v>0</v>
      </c>
      <c r="H210" s="69">
        <f t="shared" si="10"/>
        <v>0</v>
      </c>
      <c r="I210" s="65" t="b">
        <f t="shared" si="11"/>
        <v>0</v>
      </c>
    </row>
    <row r="211" spans="1:9" hidden="1" x14ac:dyDescent="0.25">
      <c r="A211" s="93" t="str">
        <f>DMTK!B209</f>
        <v>6211.01</v>
      </c>
      <c r="B211" s="65" t="str">
        <f>VLOOKUP(A211,DMTK!$B$5:$L$263,3,0)</f>
        <v>CFNVL Ghế tay vịn</v>
      </c>
      <c r="C211" s="69">
        <f>VLOOKUP(A211,DMTK!$B$5:$L$263,10,0)</f>
        <v>0</v>
      </c>
      <c r="D211" s="69">
        <f>VLOOKUP(A211,DMTK!$B$5:$L$263,11,0)</f>
        <v>0</v>
      </c>
      <c r="E211" s="69">
        <f>SUMIFS(CT!$H$5:$H$143,CT!$D$5:$D$143,'BTHCTTK (TH131)'!A211)</f>
        <v>14432200</v>
      </c>
      <c r="F211" s="69">
        <f>SUMIFS(CT!$H$5:$H$143,CT!$E$5:$E$143,'BTHCTTK (TH131)'!A211)</f>
        <v>14432200</v>
      </c>
      <c r="G211" s="69">
        <f t="shared" si="9"/>
        <v>0</v>
      </c>
      <c r="H211" s="69">
        <f t="shared" si="10"/>
        <v>0</v>
      </c>
      <c r="I211" s="65" t="b">
        <f t="shared" si="11"/>
        <v>0</v>
      </c>
    </row>
    <row r="212" spans="1:9" hidden="1" x14ac:dyDescent="0.25">
      <c r="A212" s="93" t="str">
        <f>DMTK!B210</f>
        <v>6211.02</v>
      </c>
      <c r="B212" s="65" t="str">
        <f>VLOOKUP(A212,DMTK!$B$5:$L$263,3,0)</f>
        <v>CFNVL Ghế không tay</v>
      </c>
      <c r="C212" s="69">
        <f>VLOOKUP(A212,DMTK!$B$5:$L$263,10,0)</f>
        <v>0</v>
      </c>
      <c r="D212" s="69">
        <f>VLOOKUP(A212,DMTK!$B$5:$L$263,11,0)</f>
        <v>0</v>
      </c>
      <c r="E212" s="69">
        <f>SUMIFS(CT!$H$5:$H$143,CT!$D$5:$D$143,'BTHCTTK (TH131)'!A212)</f>
        <v>0</v>
      </c>
      <c r="F212" s="69">
        <f>SUMIFS(CT!$H$5:$H$143,CT!$E$5:$E$143,'BTHCTTK (TH131)'!A212)</f>
        <v>0</v>
      </c>
      <c r="G212" s="69">
        <f t="shared" si="9"/>
        <v>0</v>
      </c>
      <c r="H212" s="69">
        <f t="shared" si="10"/>
        <v>0</v>
      </c>
      <c r="I212" s="65" t="b">
        <f t="shared" si="11"/>
        <v>0</v>
      </c>
    </row>
    <row r="213" spans="1:9" hidden="1" x14ac:dyDescent="0.25">
      <c r="A213" s="93" t="str">
        <f>DMTK!B211</f>
        <v>6211.03</v>
      </c>
      <c r="B213" s="65" t="str">
        <f>VLOOKUP(A213,DMTK!$B$5:$L$263,3,0)</f>
        <v>CFNVL Bàn tròn</v>
      </c>
      <c r="C213" s="69">
        <f>VLOOKUP(A213,DMTK!$B$5:$L$263,10,0)</f>
        <v>0</v>
      </c>
      <c r="D213" s="69">
        <f>VLOOKUP(A213,DMTK!$B$5:$L$263,11,0)</f>
        <v>0</v>
      </c>
      <c r="E213" s="69">
        <f>SUMIFS(CT!$H$5:$H$143,CT!$D$5:$D$143,'BTHCTTK (TH131)'!A213)</f>
        <v>3646000</v>
      </c>
      <c r="F213" s="69">
        <f>SUMIFS(CT!$H$5:$H$143,CT!$E$5:$E$143,'BTHCTTK (TH131)'!A213)</f>
        <v>3646000</v>
      </c>
      <c r="G213" s="69">
        <f t="shared" si="9"/>
        <v>0</v>
      </c>
      <c r="H213" s="69">
        <f t="shared" si="10"/>
        <v>0</v>
      </c>
      <c r="I213" s="65" t="b">
        <f t="shared" si="11"/>
        <v>0</v>
      </c>
    </row>
    <row r="214" spans="1:9" hidden="1" x14ac:dyDescent="0.25">
      <c r="A214" s="93" t="str">
        <f>DMTK!B212</f>
        <v>6211.04</v>
      </c>
      <c r="B214" s="65" t="str">
        <f>VLOOKUP(A214,DMTK!$B$5:$L$263,3,0)</f>
        <v>CFNVL Bàn oval</v>
      </c>
      <c r="C214" s="69">
        <f>VLOOKUP(A214,DMTK!$B$5:$L$263,10,0)</f>
        <v>0</v>
      </c>
      <c r="D214" s="69">
        <f>VLOOKUP(A214,DMTK!$B$5:$L$263,11,0)</f>
        <v>0</v>
      </c>
      <c r="E214" s="69">
        <f>SUMIFS(CT!$H$5:$H$143,CT!$D$5:$D$143,'BTHCTTK (TH131)'!A214)</f>
        <v>0</v>
      </c>
      <c r="F214" s="69">
        <f>SUMIFS(CT!$H$5:$H$143,CT!$E$5:$E$143,'BTHCTTK (TH131)'!A214)</f>
        <v>0</v>
      </c>
      <c r="G214" s="69">
        <f t="shared" si="9"/>
        <v>0</v>
      </c>
      <c r="H214" s="69">
        <f t="shared" si="10"/>
        <v>0</v>
      </c>
      <c r="I214" s="65" t="b">
        <f t="shared" si="11"/>
        <v>0</v>
      </c>
    </row>
    <row r="215" spans="1:9" hidden="1" x14ac:dyDescent="0.25">
      <c r="A215" s="93" t="str">
        <f>DMTK!B213</f>
        <v>6211.05</v>
      </c>
      <c r="B215" s="65" t="str">
        <f>VLOOKUP(A215,DMTK!$B$5:$L$263,3,0)</f>
        <v>CFNVL Bàn chữ nhật</v>
      </c>
      <c r="C215" s="69">
        <f>VLOOKUP(A215,DMTK!$B$5:$L$263,10,0)</f>
        <v>0</v>
      </c>
      <c r="D215" s="69">
        <f>VLOOKUP(A215,DMTK!$B$5:$L$263,11,0)</f>
        <v>0</v>
      </c>
      <c r="E215" s="69">
        <f>SUMIFS(CT!$H$5:$H$143,CT!$D$5:$D$143,'BTHCTTK (TH131)'!A215)</f>
        <v>0</v>
      </c>
      <c r="F215" s="69">
        <f>SUMIFS(CT!$H$5:$H$143,CT!$E$5:$E$143,'BTHCTTK (TH131)'!A215)</f>
        <v>0</v>
      </c>
      <c r="G215" s="69">
        <f t="shared" si="9"/>
        <v>0</v>
      </c>
      <c r="H215" s="69">
        <f t="shared" si="10"/>
        <v>0</v>
      </c>
      <c r="I215" s="65" t="b">
        <f t="shared" si="11"/>
        <v>0</v>
      </c>
    </row>
    <row r="216" spans="1:9" hidden="1" x14ac:dyDescent="0.25">
      <c r="A216" s="93" t="str">
        <f>DMTK!B214</f>
        <v>622.01</v>
      </c>
      <c r="B216" s="65" t="str">
        <f>VLOOKUP(A216,DMTK!$B$5:$L$263,3,0)</f>
        <v>CFNC Ghế tay vịn</v>
      </c>
      <c r="C216" s="69">
        <f>VLOOKUP(A216,DMTK!$B$5:$L$263,10,0)</f>
        <v>0</v>
      </c>
      <c r="D216" s="69">
        <f>VLOOKUP(A216,DMTK!$B$5:$L$263,11,0)</f>
        <v>0</v>
      </c>
      <c r="E216" s="69">
        <f>SUMIFS(CT!$H$5:$H$143,CT!$D$5:$D$143,'BTHCTTK (TH131)'!A216)</f>
        <v>48800000</v>
      </c>
      <c r="F216" s="69">
        <f>SUMIFS(CT!$H$5:$H$143,CT!$E$5:$E$143,'BTHCTTK (TH131)'!A216)</f>
        <v>48800000</v>
      </c>
      <c r="G216" s="69">
        <f t="shared" si="9"/>
        <v>0</v>
      </c>
      <c r="H216" s="69">
        <f t="shared" si="10"/>
        <v>0</v>
      </c>
      <c r="I216" s="65" t="b">
        <f t="shared" si="11"/>
        <v>0</v>
      </c>
    </row>
    <row r="217" spans="1:9" hidden="1" x14ac:dyDescent="0.25">
      <c r="A217" s="93" t="str">
        <f>DMTK!B215</f>
        <v>622.02</v>
      </c>
      <c r="B217" s="65" t="str">
        <f>VLOOKUP(A217,DMTK!$B$5:$L$263,3,0)</f>
        <v>CFNC Ghế không tay</v>
      </c>
      <c r="C217" s="69">
        <f>VLOOKUP(A217,DMTK!$B$5:$L$263,10,0)</f>
        <v>0</v>
      </c>
      <c r="D217" s="69">
        <f>VLOOKUP(A217,DMTK!$B$5:$L$263,11,0)</f>
        <v>0</v>
      </c>
      <c r="E217" s="69">
        <f>SUMIFS(CT!$H$5:$H$143,CT!$D$5:$D$143,'BTHCTTK (TH131)'!A217)</f>
        <v>48800000</v>
      </c>
      <c r="F217" s="69">
        <f>SUMIFS(CT!$H$5:$H$143,CT!$E$5:$E$143,'BTHCTTK (TH131)'!A217)</f>
        <v>48800000</v>
      </c>
      <c r="G217" s="69">
        <f t="shared" si="9"/>
        <v>0</v>
      </c>
      <c r="H217" s="69">
        <f t="shared" si="10"/>
        <v>0</v>
      </c>
      <c r="I217" s="65" t="b">
        <f t="shared" si="11"/>
        <v>0</v>
      </c>
    </row>
    <row r="218" spans="1:9" hidden="1" x14ac:dyDescent="0.25">
      <c r="A218" s="93" t="str">
        <f>DMTK!B216</f>
        <v>622.03</v>
      </c>
      <c r="B218" s="65" t="str">
        <f>VLOOKUP(A218,DMTK!$B$5:$L$263,3,0)</f>
        <v>CFNC Bàn tròn</v>
      </c>
      <c r="C218" s="69">
        <f>VLOOKUP(A218,DMTK!$B$5:$L$263,10,0)</f>
        <v>0</v>
      </c>
      <c r="D218" s="69">
        <f>VLOOKUP(A218,DMTK!$B$5:$L$263,11,0)</f>
        <v>0</v>
      </c>
      <c r="E218" s="69">
        <f>SUMIFS(CT!$H$5:$H$143,CT!$D$5:$D$143,'BTHCTTK (TH131)'!A218)</f>
        <v>48800000</v>
      </c>
      <c r="F218" s="69">
        <f>SUMIFS(CT!$H$5:$H$143,CT!$E$5:$E$143,'BTHCTTK (TH131)'!A218)</f>
        <v>48800000</v>
      </c>
      <c r="G218" s="69">
        <f t="shared" si="9"/>
        <v>0</v>
      </c>
      <c r="H218" s="69">
        <f t="shared" si="10"/>
        <v>0</v>
      </c>
      <c r="I218" s="65" t="b">
        <f t="shared" si="11"/>
        <v>0</v>
      </c>
    </row>
    <row r="219" spans="1:9" hidden="1" x14ac:dyDescent="0.25">
      <c r="A219" s="93" t="str">
        <f>DMTK!B217</f>
        <v>622.04</v>
      </c>
      <c r="B219" s="65" t="str">
        <f>VLOOKUP(A219,DMTK!$B$5:$L$263,3,0)</f>
        <v>CFNCBàn oval</v>
      </c>
      <c r="C219" s="69">
        <f>VLOOKUP(A219,DMTK!$B$5:$L$263,10,0)</f>
        <v>0</v>
      </c>
      <c r="D219" s="69">
        <f>VLOOKUP(A219,DMTK!$B$5:$L$263,11,0)</f>
        <v>0</v>
      </c>
      <c r="E219" s="69">
        <f>SUMIFS(CT!$H$5:$H$143,CT!$D$5:$D$143,'BTHCTTK (TH131)'!A219)</f>
        <v>48800000</v>
      </c>
      <c r="F219" s="69">
        <f>SUMIFS(CT!$H$5:$H$143,CT!$E$5:$E$143,'BTHCTTK (TH131)'!A219)</f>
        <v>48800000</v>
      </c>
      <c r="G219" s="69">
        <f t="shared" si="9"/>
        <v>0</v>
      </c>
      <c r="H219" s="69">
        <f t="shared" si="10"/>
        <v>0</v>
      </c>
      <c r="I219" s="65" t="b">
        <f t="shared" si="11"/>
        <v>0</v>
      </c>
    </row>
    <row r="220" spans="1:9" hidden="1" x14ac:dyDescent="0.25">
      <c r="A220" s="93" t="str">
        <f>DMTK!B218</f>
        <v>622.05</v>
      </c>
      <c r="B220" s="65" t="str">
        <f>VLOOKUP(A220,DMTK!$B$5:$L$263,3,0)</f>
        <v>CFNC Bàn chữ nhật</v>
      </c>
      <c r="C220" s="69">
        <f>VLOOKUP(A220,DMTK!$B$5:$L$263,10,0)</f>
        <v>0</v>
      </c>
      <c r="D220" s="69">
        <f>VLOOKUP(A220,DMTK!$B$5:$L$263,11,0)</f>
        <v>0</v>
      </c>
      <c r="E220" s="69">
        <f>SUMIFS(CT!$H$5:$H$143,CT!$D$5:$D$143,'BTHCTTK (TH131)'!A220)</f>
        <v>48800000</v>
      </c>
      <c r="F220" s="69">
        <f>SUMIFS(CT!$H$5:$H$143,CT!$E$5:$E$143,'BTHCTTK (TH131)'!A220)</f>
        <v>48800000</v>
      </c>
      <c r="G220" s="69">
        <f t="shared" si="9"/>
        <v>0</v>
      </c>
      <c r="H220" s="69">
        <f t="shared" si="10"/>
        <v>0</v>
      </c>
      <c r="I220" s="65" t="b">
        <f t="shared" si="11"/>
        <v>0</v>
      </c>
    </row>
    <row r="221" spans="1:9" hidden="1" x14ac:dyDescent="0.25">
      <c r="A221" s="93" t="str">
        <f>DMTK!B219</f>
        <v>6231</v>
      </c>
      <c r="B221" s="65" t="str">
        <f>VLOOKUP(A221,DMTK!$B$5:$L$263,3,0)</f>
        <v>Chi phí nhân công</v>
      </c>
      <c r="C221" s="69">
        <f>VLOOKUP(A221,DMTK!$B$5:$L$263,10,0)</f>
        <v>0</v>
      </c>
      <c r="D221" s="69">
        <f>VLOOKUP(A221,DMTK!$B$5:$L$263,11,0)</f>
        <v>0</v>
      </c>
      <c r="E221" s="69">
        <f>SUMIFS(CT!$H$5:$H$143,CT!$D$5:$D$143,'BTHCTTK (TH131)'!A221)</f>
        <v>0</v>
      </c>
      <c r="F221" s="69">
        <f>SUMIFS(CT!$H$5:$H$143,CT!$E$5:$E$143,'BTHCTTK (TH131)'!A221)</f>
        <v>0</v>
      </c>
      <c r="G221" s="69">
        <f t="shared" si="9"/>
        <v>0</v>
      </c>
      <c r="H221" s="69">
        <f t="shared" si="10"/>
        <v>0</v>
      </c>
      <c r="I221" s="65" t="b">
        <f t="shared" si="11"/>
        <v>0</v>
      </c>
    </row>
    <row r="222" spans="1:9" hidden="1" x14ac:dyDescent="0.25">
      <c r="A222" s="93" t="str">
        <f>DMTK!B220</f>
        <v>6232</v>
      </c>
      <c r="B222" s="65" t="str">
        <f>VLOOKUP(A222,DMTK!$B$5:$L$263,3,0)</f>
        <v>Chi phí nguyên, vật liệu</v>
      </c>
      <c r="C222" s="69">
        <f>VLOOKUP(A222,DMTK!$B$5:$L$263,10,0)</f>
        <v>0</v>
      </c>
      <c r="D222" s="69">
        <f>VLOOKUP(A222,DMTK!$B$5:$L$263,11,0)</f>
        <v>0</v>
      </c>
      <c r="E222" s="69">
        <f>SUMIFS(CT!$H$5:$H$143,CT!$D$5:$D$143,'BTHCTTK (TH131)'!A222)</f>
        <v>0</v>
      </c>
      <c r="F222" s="69">
        <f>SUMIFS(CT!$H$5:$H$143,CT!$E$5:$E$143,'BTHCTTK (TH131)'!A222)</f>
        <v>0</v>
      </c>
      <c r="G222" s="69">
        <f t="shared" si="9"/>
        <v>0</v>
      </c>
      <c r="H222" s="69">
        <f t="shared" si="10"/>
        <v>0</v>
      </c>
      <c r="I222" s="65" t="b">
        <f t="shared" si="11"/>
        <v>0</v>
      </c>
    </row>
    <row r="223" spans="1:9" hidden="1" x14ac:dyDescent="0.25">
      <c r="A223" s="93" t="str">
        <f>DMTK!B221</f>
        <v>6233</v>
      </c>
      <c r="B223" s="65" t="str">
        <f>VLOOKUP(A223,DMTK!$B$5:$L$263,3,0)</f>
        <v>Chi phí dụng cụ sản xuất</v>
      </c>
      <c r="C223" s="69">
        <f>VLOOKUP(A223,DMTK!$B$5:$L$263,10,0)</f>
        <v>0</v>
      </c>
      <c r="D223" s="69">
        <f>VLOOKUP(A223,DMTK!$B$5:$L$263,11,0)</f>
        <v>0</v>
      </c>
      <c r="E223" s="69">
        <f>SUMIFS(CT!$H$5:$H$143,CT!$D$5:$D$143,'BTHCTTK (TH131)'!A223)</f>
        <v>0</v>
      </c>
      <c r="F223" s="69">
        <f>SUMIFS(CT!$H$5:$H$143,CT!$E$5:$E$143,'BTHCTTK (TH131)'!A223)</f>
        <v>0</v>
      </c>
      <c r="G223" s="69">
        <f t="shared" si="9"/>
        <v>0</v>
      </c>
      <c r="H223" s="69">
        <f t="shared" si="10"/>
        <v>0</v>
      </c>
      <c r="I223" s="65" t="b">
        <f t="shared" si="11"/>
        <v>0</v>
      </c>
    </row>
    <row r="224" spans="1:9" hidden="1" x14ac:dyDescent="0.25">
      <c r="A224" s="93" t="str">
        <f>DMTK!B222</f>
        <v>6234</v>
      </c>
      <c r="B224" s="65" t="str">
        <f>VLOOKUP(A224,DMTK!$B$5:$L$263,3,0)</f>
        <v>Chi phí khấu hao máy thi công</v>
      </c>
      <c r="C224" s="69">
        <f>VLOOKUP(A224,DMTK!$B$5:$L$263,10,0)</f>
        <v>0</v>
      </c>
      <c r="D224" s="69">
        <f>VLOOKUP(A224,DMTK!$B$5:$L$263,11,0)</f>
        <v>0</v>
      </c>
      <c r="E224" s="69">
        <f>SUMIFS(CT!$H$5:$H$143,CT!$D$5:$D$143,'BTHCTTK (TH131)'!A224)</f>
        <v>0</v>
      </c>
      <c r="F224" s="69">
        <f>SUMIFS(CT!$H$5:$H$143,CT!$E$5:$E$143,'BTHCTTK (TH131)'!A224)</f>
        <v>0</v>
      </c>
      <c r="G224" s="69">
        <f t="shared" si="9"/>
        <v>0</v>
      </c>
      <c r="H224" s="69">
        <f t="shared" si="10"/>
        <v>0</v>
      </c>
      <c r="I224" s="65" t="b">
        <f t="shared" si="11"/>
        <v>0</v>
      </c>
    </row>
    <row r="225" spans="1:9" hidden="1" x14ac:dyDescent="0.25">
      <c r="A225" s="93" t="str">
        <f>DMTK!B223</f>
        <v>6237</v>
      </c>
      <c r="B225" s="65" t="str">
        <f>VLOOKUP(A225,DMTK!$B$5:$L$263,3,0)</f>
        <v>Chi phí dịch vụ mua ngoài</v>
      </c>
      <c r="C225" s="69">
        <f>VLOOKUP(A225,DMTK!$B$5:$L$263,10,0)</f>
        <v>0</v>
      </c>
      <c r="D225" s="69">
        <f>VLOOKUP(A225,DMTK!$B$5:$L$263,11,0)</f>
        <v>0</v>
      </c>
      <c r="E225" s="69">
        <f>SUMIFS(CT!$H$5:$H$143,CT!$D$5:$D$143,'BTHCTTK (TH131)'!A225)</f>
        <v>0</v>
      </c>
      <c r="F225" s="69">
        <f>SUMIFS(CT!$H$5:$H$143,CT!$E$5:$E$143,'BTHCTTK (TH131)'!A225)</f>
        <v>0</v>
      </c>
      <c r="G225" s="69">
        <f t="shared" si="9"/>
        <v>0</v>
      </c>
      <c r="H225" s="69">
        <f t="shared" si="10"/>
        <v>0</v>
      </c>
      <c r="I225" s="65" t="b">
        <f t="shared" si="11"/>
        <v>0</v>
      </c>
    </row>
    <row r="226" spans="1:9" hidden="1" x14ac:dyDescent="0.25">
      <c r="A226" s="93" t="str">
        <f>DMTK!B224</f>
        <v>6238</v>
      </c>
      <c r="B226" s="65" t="str">
        <f>VLOOKUP(A226,DMTK!$B$5:$L$263,3,0)</f>
        <v>Chi phí bằng tiền khác</v>
      </c>
      <c r="C226" s="69">
        <f>VLOOKUP(A226,DMTK!$B$5:$L$263,10,0)</f>
        <v>0</v>
      </c>
      <c r="D226" s="69">
        <f>VLOOKUP(A226,DMTK!$B$5:$L$263,11,0)</f>
        <v>0</v>
      </c>
      <c r="E226" s="69">
        <f>SUMIFS(CT!$H$5:$H$143,CT!$D$5:$D$143,'BTHCTTK (TH131)'!A226)</f>
        <v>0</v>
      </c>
      <c r="F226" s="69">
        <f>SUMIFS(CT!$H$5:$H$143,CT!$E$5:$E$143,'BTHCTTK (TH131)'!A226)</f>
        <v>0</v>
      </c>
      <c r="G226" s="69">
        <f t="shared" si="9"/>
        <v>0</v>
      </c>
      <c r="H226" s="69">
        <f t="shared" si="10"/>
        <v>0</v>
      </c>
      <c r="I226" s="65" t="b">
        <f t="shared" si="11"/>
        <v>0</v>
      </c>
    </row>
    <row r="227" spans="1:9" hidden="1" x14ac:dyDescent="0.25">
      <c r="A227" s="93" t="str">
        <f>DMTK!B225</f>
        <v>6271</v>
      </c>
      <c r="B227" s="65" t="str">
        <f>VLOOKUP(A227,DMTK!$B$5:$L$263,3,0)</f>
        <v>Chi phí nhân viên phân xưởng</v>
      </c>
      <c r="C227" s="69">
        <f>VLOOKUP(A227,DMTK!$B$5:$L$263,10,0)</f>
        <v>0</v>
      </c>
      <c r="D227" s="69">
        <f>VLOOKUP(A227,DMTK!$B$5:$L$263,11,0)</f>
        <v>0</v>
      </c>
      <c r="E227" s="69">
        <f>SUMIFS(CT!$H$5:$H$143,CT!$D$5:$D$143,'BTHCTTK (TH131)'!A227)</f>
        <v>42700000</v>
      </c>
      <c r="F227" s="69">
        <f>SUMIFS(CT!$H$5:$H$143,CT!$E$5:$E$143,'BTHCTTK (TH131)'!A227)</f>
        <v>42700000</v>
      </c>
      <c r="G227" s="69">
        <f t="shared" si="9"/>
        <v>0</v>
      </c>
      <c r="H227" s="69">
        <f t="shared" si="10"/>
        <v>0</v>
      </c>
      <c r="I227" s="65" t="b">
        <f t="shared" si="11"/>
        <v>0</v>
      </c>
    </row>
    <row r="228" spans="1:9" hidden="1" x14ac:dyDescent="0.25">
      <c r="A228" s="93" t="str">
        <f>DMTK!B226</f>
        <v>6272</v>
      </c>
      <c r="B228" s="65" t="str">
        <f>VLOOKUP(A228,DMTK!$B$5:$L$263,3,0)</f>
        <v>Chi phí nguyên, vật liệu</v>
      </c>
      <c r="C228" s="69">
        <f>VLOOKUP(A228,DMTK!$B$5:$L$263,10,0)</f>
        <v>0</v>
      </c>
      <c r="D228" s="69">
        <f>VLOOKUP(A228,DMTK!$B$5:$L$263,11,0)</f>
        <v>0</v>
      </c>
      <c r="E228" s="69">
        <f>SUMIFS(CT!$H$5:$H$143,CT!$D$5:$D$143,'BTHCTTK (TH131)'!A228)</f>
        <v>0</v>
      </c>
      <c r="F228" s="69">
        <f>SUMIFS(CT!$H$5:$H$143,CT!$E$5:$E$143,'BTHCTTK (TH131)'!A228)</f>
        <v>0</v>
      </c>
      <c r="G228" s="69">
        <f t="shared" si="9"/>
        <v>0</v>
      </c>
      <c r="H228" s="69">
        <f t="shared" si="10"/>
        <v>0</v>
      </c>
      <c r="I228" s="65" t="b">
        <f t="shared" si="11"/>
        <v>0</v>
      </c>
    </row>
    <row r="229" spans="1:9" hidden="1" x14ac:dyDescent="0.25">
      <c r="A229" s="93" t="str">
        <f>DMTK!B227</f>
        <v>6273</v>
      </c>
      <c r="B229" s="65" t="str">
        <f>VLOOKUP(A229,DMTK!$B$5:$L$263,3,0)</f>
        <v>Chi phí dụng cụ sản xuất</v>
      </c>
      <c r="C229" s="69">
        <f>VLOOKUP(A229,DMTK!$B$5:$L$263,10,0)</f>
        <v>0</v>
      </c>
      <c r="D229" s="69">
        <f>VLOOKUP(A229,DMTK!$B$5:$L$263,11,0)</f>
        <v>0</v>
      </c>
      <c r="E229" s="69">
        <f>SUMIFS(CT!$H$5:$H$143,CT!$D$5:$D$143,'BTHCTTK (TH131)'!A229)</f>
        <v>500000</v>
      </c>
      <c r="F229" s="69">
        <f>SUMIFS(CT!$H$5:$H$143,CT!$E$5:$E$143,'BTHCTTK (TH131)'!A229)</f>
        <v>500000</v>
      </c>
      <c r="G229" s="69">
        <f t="shared" si="9"/>
        <v>0</v>
      </c>
      <c r="H229" s="69">
        <f t="shared" si="10"/>
        <v>0</v>
      </c>
      <c r="I229" s="65" t="b">
        <f t="shared" si="11"/>
        <v>0</v>
      </c>
    </row>
    <row r="230" spans="1:9" hidden="1" x14ac:dyDescent="0.25">
      <c r="A230" s="93" t="str">
        <f>DMTK!B228</f>
        <v>6274</v>
      </c>
      <c r="B230" s="65" t="str">
        <f>VLOOKUP(A230,DMTK!$B$5:$L$263,3,0)</f>
        <v>Chi phí khấu hao TSCĐ</v>
      </c>
      <c r="C230" s="69">
        <f>VLOOKUP(A230,DMTK!$B$5:$L$263,10,0)</f>
        <v>0</v>
      </c>
      <c r="D230" s="69">
        <f>VLOOKUP(A230,DMTK!$B$5:$L$263,11,0)</f>
        <v>0</v>
      </c>
      <c r="E230" s="69">
        <f>SUMIFS(CT!$H$5:$H$143,CT!$D$5:$D$143,'BTHCTTK (TH131)'!A230)</f>
        <v>1666666</v>
      </c>
      <c r="F230" s="69">
        <f>SUMIFS(CT!$H$5:$H$143,CT!$E$5:$E$143,'BTHCTTK (TH131)'!A230)</f>
        <v>1666666</v>
      </c>
      <c r="G230" s="69">
        <f t="shared" si="9"/>
        <v>0</v>
      </c>
      <c r="H230" s="69">
        <f t="shared" si="10"/>
        <v>0</v>
      </c>
      <c r="I230" s="65" t="b">
        <f t="shared" si="11"/>
        <v>0</v>
      </c>
    </row>
    <row r="231" spans="1:9" hidden="1" x14ac:dyDescent="0.25">
      <c r="A231" s="93" t="str">
        <f>DMTK!B229</f>
        <v>6277</v>
      </c>
      <c r="B231" s="65" t="str">
        <f>VLOOKUP(A231,DMTK!$B$5:$L$263,3,0)</f>
        <v>Chi phí dịch vụ mua ngoài</v>
      </c>
      <c r="C231" s="69">
        <f>VLOOKUP(A231,DMTK!$B$5:$L$263,10,0)</f>
        <v>0</v>
      </c>
      <c r="D231" s="69">
        <f>VLOOKUP(A231,DMTK!$B$5:$L$263,11,0)</f>
        <v>0</v>
      </c>
      <c r="E231" s="69">
        <f>SUMIFS(CT!$H$5:$H$143,CT!$D$5:$D$143,'BTHCTTK (TH131)'!A231)</f>
        <v>0</v>
      </c>
      <c r="F231" s="69">
        <f>SUMIFS(CT!$H$5:$H$143,CT!$E$5:$E$143,'BTHCTTK (TH131)'!A231)</f>
        <v>0</v>
      </c>
      <c r="G231" s="69">
        <f t="shared" si="9"/>
        <v>0</v>
      </c>
      <c r="H231" s="69">
        <f t="shared" si="10"/>
        <v>0</v>
      </c>
      <c r="I231" s="65" t="b">
        <f t="shared" si="11"/>
        <v>0</v>
      </c>
    </row>
    <row r="232" spans="1:9" hidden="1" x14ac:dyDescent="0.25">
      <c r="A232" s="93" t="str">
        <f>DMTK!B230</f>
        <v>6278</v>
      </c>
      <c r="B232" s="65" t="str">
        <f>VLOOKUP(A232,DMTK!$B$5:$L$263,3,0)</f>
        <v>Chi phí bằng tiền khác</v>
      </c>
      <c r="C232" s="69">
        <f>VLOOKUP(A232,DMTK!$B$5:$L$263,10,0)</f>
        <v>0</v>
      </c>
      <c r="D232" s="69">
        <f>VLOOKUP(A232,DMTK!$B$5:$L$263,11,0)</f>
        <v>0</v>
      </c>
      <c r="E232" s="69">
        <f>SUMIFS(CT!$H$5:$H$143,CT!$D$5:$D$143,'BTHCTTK (TH131)'!A232)</f>
        <v>0</v>
      </c>
      <c r="F232" s="69">
        <f>SUMIFS(CT!$H$5:$H$143,CT!$E$5:$E$143,'BTHCTTK (TH131)'!A232)</f>
        <v>0</v>
      </c>
      <c r="G232" s="69">
        <f t="shared" si="9"/>
        <v>0</v>
      </c>
      <c r="H232" s="69">
        <f t="shared" si="10"/>
        <v>0</v>
      </c>
      <c r="I232" s="65" t="b">
        <f t="shared" si="11"/>
        <v>0</v>
      </c>
    </row>
    <row r="233" spans="1:9" hidden="1" x14ac:dyDescent="0.25">
      <c r="A233" s="93" t="str">
        <f>DMTK!B231</f>
        <v>631</v>
      </c>
      <c r="B233" s="65" t="str">
        <f>VLOOKUP(A233,DMTK!$B$5:$L$263,3,0)</f>
        <v>Giá thành sản xuất</v>
      </c>
      <c r="C233" s="69">
        <f>VLOOKUP(A233,DMTK!$B$5:$L$263,10,0)</f>
        <v>0</v>
      </c>
      <c r="D233" s="69">
        <f>VLOOKUP(A233,DMTK!$B$5:$L$263,11,0)</f>
        <v>0</v>
      </c>
      <c r="E233" s="69">
        <f>SUMIFS(CT!$H$5:$H$143,CT!$D$5:$D$143,'BTHCTTK (TH131)'!A233)</f>
        <v>0</v>
      </c>
      <c r="F233" s="69">
        <f>SUMIFS(CT!$H$5:$H$143,CT!$E$5:$E$143,'BTHCTTK (TH131)'!A233)</f>
        <v>0</v>
      </c>
      <c r="G233" s="69">
        <f t="shared" si="9"/>
        <v>0</v>
      </c>
      <c r="H233" s="69">
        <f t="shared" si="10"/>
        <v>0</v>
      </c>
      <c r="I233" s="65" t="b">
        <f t="shared" si="11"/>
        <v>0</v>
      </c>
    </row>
    <row r="234" spans="1:9" hidden="1" x14ac:dyDescent="0.25">
      <c r="A234" s="93" t="str">
        <f>DMTK!B232</f>
        <v>632.0101</v>
      </c>
      <c r="B234" s="65" t="str">
        <f>VLOOKUP(A234,DMTK!$B$5:$L$263,3,0)</f>
        <v>GVHB Ghế tay vịn</v>
      </c>
      <c r="C234" s="69">
        <f>VLOOKUP(A234,DMTK!$B$5:$L$263,10,0)</f>
        <v>0</v>
      </c>
      <c r="D234" s="69">
        <f>VLOOKUP(A234,DMTK!$B$5:$L$263,11,0)</f>
        <v>0</v>
      </c>
      <c r="E234" s="69">
        <f>SUMIFS(CT!$H$5:$H$143,CT!$D$5:$D$143,'BTHCTTK (TH131)'!A234)</f>
        <v>25123700</v>
      </c>
      <c r="F234" s="69">
        <f>SUMIFS(CT!$H$5:$H$143,CT!$E$5:$E$143,'BTHCTTK (TH131)'!A234)</f>
        <v>25123700</v>
      </c>
      <c r="G234" s="69">
        <f t="shared" si="9"/>
        <v>0</v>
      </c>
      <c r="H234" s="69">
        <f t="shared" si="10"/>
        <v>0</v>
      </c>
      <c r="I234" s="65" t="b">
        <f t="shared" si="11"/>
        <v>0</v>
      </c>
    </row>
    <row r="235" spans="1:9" hidden="1" x14ac:dyDescent="0.25">
      <c r="A235" s="93" t="str">
        <f>DMTK!B233</f>
        <v>632.0102</v>
      </c>
      <c r="B235" s="65" t="str">
        <f>VLOOKUP(A235,DMTK!$B$5:$L$263,3,0)</f>
        <v>GVHB Ghế không tay</v>
      </c>
      <c r="C235" s="69">
        <f>VLOOKUP(A235,DMTK!$B$5:$L$263,10,0)</f>
        <v>0</v>
      </c>
      <c r="D235" s="69">
        <f>VLOOKUP(A235,DMTK!$B$5:$L$263,11,0)</f>
        <v>0</v>
      </c>
      <c r="E235" s="69">
        <f>SUMIFS(CT!$H$5:$H$143,CT!$D$5:$D$143,'BTHCTTK (TH131)'!A235)</f>
        <v>20346200</v>
      </c>
      <c r="F235" s="69">
        <f>SUMIFS(CT!$H$5:$H$143,CT!$E$5:$E$143,'BTHCTTK (TH131)'!A235)</f>
        <v>20346200</v>
      </c>
      <c r="G235" s="69">
        <f t="shared" si="9"/>
        <v>0</v>
      </c>
      <c r="H235" s="69">
        <f t="shared" si="10"/>
        <v>0</v>
      </c>
      <c r="I235" s="65" t="b">
        <f t="shared" si="11"/>
        <v>0</v>
      </c>
    </row>
    <row r="236" spans="1:9" hidden="1" x14ac:dyDescent="0.25">
      <c r="A236" s="93" t="str">
        <f>DMTK!B234</f>
        <v>632.0201</v>
      </c>
      <c r="B236" s="65" t="str">
        <f>VLOOKUP(A236,DMTK!$B$5:$L$263,3,0)</f>
        <v>GVHB Bàn tròn</v>
      </c>
      <c r="C236" s="69">
        <f>VLOOKUP(A236,DMTK!$B$5:$L$263,10,0)</f>
        <v>0</v>
      </c>
      <c r="D236" s="69">
        <f>VLOOKUP(A236,DMTK!$B$5:$L$263,11,0)</f>
        <v>0</v>
      </c>
      <c r="E236" s="69">
        <f>SUMIFS(CT!$H$5:$H$143,CT!$D$5:$D$143,'BTHCTTK (TH131)'!A236)</f>
        <v>0</v>
      </c>
      <c r="F236" s="69">
        <f>SUMIFS(CT!$H$5:$H$143,CT!$E$5:$E$143,'BTHCTTK (TH131)'!A236)</f>
        <v>0</v>
      </c>
      <c r="G236" s="69">
        <f t="shared" si="9"/>
        <v>0</v>
      </c>
      <c r="H236" s="69">
        <f t="shared" si="10"/>
        <v>0</v>
      </c>
      <c r="I236" s="65" t="b">
        <f t="shared" si="11"/>
        <v>0</v>
      </c>
    </row>
    <row r="237" spans="1:9" hidden="1" x14ac:dyDescent="0.25">
      <c r="A237" s="93" t="str">
        <f>DMTK!B235</f>
        <v>632.0202</v>
      </c>
      <c r="B237" s="65" t="str">
        <f>VLOOKUP(A237,DMTK!$B$5:$L$263,3,0)</f>
        <v>GVHB Bàn oval</v>
      </c>
      <c r="C237" s="69">
        <f>VLOOKUP(A237,DMTK!$B$5:$L$263,10,0)</f>
        <v>0</v>
      </c>
      <c r="D237" s="69">
        <f>VLOOKUP(A237,DMTK!$B$5:$L$263,11,0)</f>
        <v>0</v>
      </c>
      <c r="E237" s="69">
        <f>SUMIFS(CT!$H$5:$H$143,CT!$D$5:$D$143,'BTHCTTK (TH131)'!A237)</f>
        <v>25000000</v>
      </c>
      <c r="F237" s="69">
        <f>SUMIFS(CT!$H$5:$H$143,CT!$E$5:$E$143,'BTHCTTK (TH131)'!A237)</f>
        <v>25000000</v>
      </c>
      <c r="G237" s="69">
        <f t="shared" si="9"/>
        <v>0</v>
      </c>
      <c r="H237" s="69">
        <f t="shared" si="10"/>
        <v>0</v>
      </c>
      <c r="I237" s="65" t="b">
        <f t="shared" si="11"/>
        <v>0</v>
      </c>
    </row>
    <row r="238" spans="1:9" hidden="1" x14ac:dyDescent="0.25">
      <c r="A238" s="93" t="str">
        <f>DMTK!B236</f>
        <v>632.0203</v>
      </c>
      <c r="B238" s="65" t="str">
        <f>VLOOKUP(A238,DMTK!$B$5:$L$263,3,0)</f>
        <v>GVHB Bàn chữ nhật</v>
      </c>
      <c r="C238" s="69">
        <f>VLOOKUP(A238,DMTK!$B$5:$L$263,10,0)</f>
        <v>0</v>
      </c>
      <c r="D238" s="69">
        <f>VLOOKUP(A238,DMTK!$B$5:$L$263,11,0)</f>
        <v>0</v>
      </c>
      <c r="E238" s="69">
        <f>SUMIFS(CT!$H$5:$H$143,CT!$D$5:$D$143,'BTHCTTK (TH131)'!A238)</f>
        <v>0</v>
      </c>
      <c r="F238" s="69">
        <f>SUMIFS(CT!$H$5:$H$143,CT!$E$5:$E$143,'BTHCTTK (TH131)'!A238)</f>
        <v>0</v>
      </c>
      <c r="G238" s="69">
        <f t="shared" si="9"/>
        <v>0</v>
      </c>
      <c r="H238" s="69">
        <f t="shared" si="10"/>
        <v>0</v>
      </c>
      <c r="I238" s="65" t="b">
        <f t="shared" si="11"/>
        <v>0</v>
      </c>
    </row>
    <row r="239" spans="1:9" hidden="1" x14ac:dyDescent="0.25">
      <c r="A239" s="93" t="str">
        <f>DMTK!B237</f>
        <v>635</v>
      </c>
      <c r="B239" s="65" t="str">
        <f>VLOOKUP(A239,DMTK!$B$5:$L$263,3,0)</f>
        <v>Chi phí tài chính</v>
      </c>
      <c r="C239" s="69">
        <f>VLOOKUP(A239,DMTK!$B$5:$L$263,10,0)</f>
        <v>0</v>
      </c>
      <c r="D239" s="69">
        <f>VLOOKUP(A239,DMTK!$B$5:$L$263,11,0)</f>
        <v>0</v>
      </c>
      <c r="E239" s="69">
        <f>SUMIFS(CT!$H$5:$H$143,CT!$D$5:$D$143,'BTHCTTK (TH131)'!A239)</f>
        <v>0</v>
      </c>
      <c r="F239" s="69">
        <f>SUMIFS(CT!$H$5:$H$143,CT!$E$5:$E$143,'BTHCTTK (TH131)'!A239)</f>
        <v>0</v>
      </c>
      <c r="G239" s="69">
        <f t="shared" si="9"/>
        <v>0</v>
      </c>
      <c r="H239" s="69">
        <f t="shared" si="10"/>
        <v>0</v>
      </c>
      <c r="I239" s="65" t="b">
        <f t="shared" si="11"/>
        <v>0</v>
      </c>
    </row>
    <row r="240" spans="1:9" hidden="1" x14ac:dyDescent="0.25">
      <c r="A240" s="93" t="str">
        <f>DMTK!B238</f>
        <v>6351</v>
      </c>
      <c r="B240" s="65" t="str">
        <f>VLOOKUP(A240,DMTK!$B$5:$L$263,3,0)</f>
        <v>Chi phí lãi vay</v>
      </c>
      <c r="C240" s="69">
        <f>VLOOKUP(A240,DMTK!$B$5:$L$263,10,0)</f>
        <v>0</v>
      </c>
      <c r="D240" s="69">
        <f>VLOOKUP(A240,DMTK!$B$5:$L$263,11,0)</f>
        <v>0</v>
      </c>
      <c r="E240" s="69">
        <f>SUMIFS(CT!$H$5:$H$143,CT!$D$5:$D$143,'BTHCTTK (TH131)'!A240)</f>
        <v>0</v>
      </c>
      <c r="F240" s="69">
        <f>SUMIFS(CT!$H$5:$H$143,CT!$E$5:$E$143,'BTHCTTK (TH131)'!A240)</f>
        <v>0</v>
      </c>
      <c r="G240" s="69">
        <f t="shared" si="9"/>
        <v>0</v>
      </c>
      <c r="H240" s="69">
        <f t="shared" si="10"/>
        <v>0</v>
      </c>
      <c r="I240" s="65" t="b">
        <f t="shared" si="11"/>
        <v>0</v>
      </c>
    </row>
    <row r="241" spans="1:9" hidden="1" x14ac:dyDescent="0.25">
      <c r="A241" s="93" t="str">
        <f>DMTK!B239</f>
        <v>6411</v>
      </c>
      <c r="B241" s="65" t="str">
        <f>VLOOKUP(A241,DMTK!$B$5:$L$263,3,0)</f>
        <v xml:space="preserve">Chi phí nhân viên </v>
      </c>
      <c r="C241" s="69">
        <f>VLOOKUP(A241,DMTK!$B$5:$L$263,10,0)</f>
        <v>0</v>
      </c>
      <c r="D241" s="69">
        <f>VLOOKUP(A241,DMTK!$B$5:$L$263,11,0)</f>
        <v>0</v>
      </c>
      <c r="E241" s="69">
        <f>SUMIFS(CT!$H$5:$H$143,CT!$D$5:$D$143,'BTHCTTK (TH131)'!A241)</f>
        <v>6100000</v>
      </c>
      <c r="F241" s="69">
        <f>SUMIFS(CT!$H$5:$H$143,CT!$E$5:$E$143,'BTHCTTK (TH131)'!A241)</f>
        <v>6100000</v>
      </c>
      <c r="G241" s="69">
        <f t="shared" si="9"/>
        <v>0</v>
      </c>
      <c r="H241" s="69">
        <f t="shared" si="10"/>
        <v>0</v>
      </c>
      <c r="I241" s="65" t="b">
        <f t="shared" si="11"/>
        <v>0</v>
      </c>
    </row>
    <row r="242" spans="1:9" hidden="1" x14ac:dyDescent="0.25">
      <c r="A242" s="93" t="str">
        <f>DMTK!B240</f>
        <v>6412</v>
      </c>
      <c r="B242" s="65" t="str">
        <f>VLOOKUP(A242,DMTK!$B$5:$L$263,3,0)</f>
        <v>Chi phí nguyên vật liệu, bao bì</v>
      </c>
      <c r="C242" s="69">
        <f>VLOOKUP(A242,DMTK!$B$5:$L$263,10,0)</f>
        <v>0</v>
      </c>
      <c r="D242" s="69">
        <f>VLOOKUP(A242,DMTK!$B$5:$L$263,11,0)</f>
        <v>0</v>
      </c>
      <c r="E242" s="69">
        <f>SUMIFS(CT!$H$5:$H$143,CT!$D$5:$D$143,'BTHCTTK (TH131)'!A242)</f>
        <v>0</v>
      </c>
      <c r="F242" s="69">
        <f>SUMIFS(CT!$H$5:$H$143,CT!$E$5:$E$143,'BTHCTTK (TH131)'!A242)</f>
        <v>0</v>
      </c>
      <c r="G242" s="69">
        <f t="shared" si="9"/>
        <v>0</v>
      </c>
      <c r="H242" s="69">
        <f t="shared" si="10"/>
        <v>0</v>
      </c>
      <c r="I242" s="65" t="b">
        <f t="shared" si="11"/>
        <v>0</v>
      </c>
    </row>
    <row r="243" spans="1:9" hidden="1" x14ac:dyDescent="0.25">
      <c r="A243" s="93" t="str">
        <f>DMTK!B241</f>
        <v>6413</v>
      </c>
      <c r="B243" s="65" t="str">
        <f>VLOOKUP(A243,DMTK!$B$5:$L$263,3,0)</f>
        <v>Chi phí dụng cụ, đồ dùng</v>
      </c>
      <c r="C243" s="69">
        <f>VLOOKUP(A243,DMTK!$B$5:$L$263,10,0)</f>
        <v>0</v>
      </c>
      <c r="D243" s="69">
        <f>VLOOKUP(A243,DMTK!$B$5:$L$263,11,0)</f>
        <v>0</v>
      </c>
      <c r="E243" s="69">
        <f>SUMIFS(CT!$H$5:$H$143,CT!$D$5:$D$143,'BTHCTTK (TH131)'!A243)</f>
        <v>250000</v>
      </c>
      <c r="F243" s="69">
        <f>SUMIFS(CT!$H$5:$H$143,CT!$E$5:$E$143,'BTHCTTK (TH131)'!A243)</f>
        <v>250000</v>
      </c>
      <c r="G243" s="69">
        <f t="shared" si="9"/>
        <v>0</v>
      </c>
      <c r="H243" s="69">
        <f t="shared" si="10"/>
        <v>0</v>
      </c>
      <c r="I243" s="65" t="b">
        <f t="shared" si="11"/>
        <v>0</v>
      </c>
    </row>
    <row r="244" spans="1:9" hidden="1" x14ac:dyDescent="0.25">
      <c r="A244" s="93" t="str">
        <f>DMTK!B242</f>
        <v>6414</v>
      </c>
      <c r="B244" s="65" t="str">
        <f>VLOOKUP(A244,DMTK!$B$5:$L$263,3,0)</f>
        <v>Chi phí khấu hao TSCĐ</v>
      </c>
      <c r="C244" s="69">
        <f>VLOOKUP(A244,DMTK!$B$5:$L$263,10,0)</f>
        <v>0</v>
      </c>
      <c r="D244" s="69">
        <f>VLOOKUP(A244,DMTK!$B$5:$L$263,11,0)</f>
        <v>0</v>
      </c>
      <c r="E244" s="69">
        <f>SUMIFS(CT!$H$5:$H$143,CT!$D$5:$D$143,'BTHCTTK (TH131)'!A244)</f>
        <v>0</v>
      </c>
      <c r="F244" s="69">
        <f>SUMIFS(CT!$H$5:$H$143,CT!$E$5:$E$143,'BTHCTTK (TH131)'!A244)</f>
        <v>0</v>
      </c>
      <c r="G244" s="69">
        <f t="shared" si="9"/>
        <v>0</v>
      </c>
      <c r="H244" s="69">
        <f t="shared" si="10"/>
        <v>0</v>
      </c>
      <c r="I244" s="65" t="b">
        <f t="shared" si="11"/>
        <v>0</v>
      </c>
    </row>
    <row r="245" spans="1:9" hidden="1" x14ac:dyDescent="0.25">
      <c r="A245" s="93" t="str">
        <f>DMTK!B243</f>
        <v>6415</v>
      </c>
      <c r="B245" s="65" t="str">
        <f>VLOOKUP(A245,DMTK!$B$5:$L$263,3,0)</f>
        <v>Chi phí bảo hành</v>
      </c>
      <c r="C245" s="69">
        <f>VLOOKUP(A245,DMTK!$B$5:$L$263,10,0)</f>
        <v>0</v>
      </c>
      <c r="D245" s="69">
        <f>VLOOKUP(A245,DMTK!$B$5:$L$263,11,0)</f>
        <v>0</v>
      </c>
      <c r="E245" s="69">
        <f>SUMIFS(CT!$H$5:$H$143,CT!$D$5:$D$143,'BTHCTTK (TH131)'!A245)</f>
        <v>0</v>
      </c>
      <c r="F245" s="69">
        <f>SUMIFS(CT!$H$5:$H$143,CT!$E$5:$E$143,'BTHCTTK (TH131)'!A245)</f>
        <v>0</v>
      </c>
      <c r="G245" s="69">
        <f t="shared" si="9"/>
        <v>0</v>
      </c>
      <c r="H245" s="69">
        <f t="shared" si="10"/>
        <v>0</v>
      </c>
      <c r="I245" s="65" t="b">
        <f t="shared" si="11"/>
        <v>0</v>
      </c>
    </row>
    <row r="246" spans="1:9" hidden="1" x14ac:dyDescent="0.25">
      <c r="A246" s="93" t="str">
        <f>DMTK!B244</f>
        <v>6417</v>
      </c>
      <c r="B246" s="65" t="str">
        <f>VLOOKUP(A246,DMTK!$B$5:$L$263,3,0)</f>
        <v>Chi phí dịch vụ mua ngoài</v>
      </c>
      <c r="C246" s="69">
        <f>VLOOKUP(A246,DMTK!$B$5:$L$263,10,0)</f>
        <v>0</v>
      </c>
      <c r="D246" s="69">
        <f>VLOOKUP(A246,DMTK!$B$5:$L$263,11,0)</f>
        <v>0</v>
      </c>
      <c r="E246" s="69">
        <f>SUMIFS(CT!$H$5:$H$143,CT!$D$5:$D$143,'BTHCTTK (TH131)'!A246)</f>
        <v>0</v>
      </c>
      <c r="F246" s="69">
        <f>SUMIFS(CT!$H$5:$H$143,CT!$E$5:$E$143,'BTHCTTK (TH131)'!A246)</f>
        <v>0</v>
      </c>
      <c r="G246" s="69">
        <f t="shared" si="9"/>
        <v>0</v>
      </c>
      <c r="H246" s="69">
        <f t="shared" si="10"/>
        <v>0</v>
      </c>
      <c r="I246" s="65" t="b">
        <f t="shared" si="11"/>
        <v>0</v>
      </c>
    </row>
    <row r="247" spans="1:9" hidden="1" x14ac:dyDescent="0.25">
      <c r="A247" s="93" t="str">
        <f>DMTK!B245</f>
        <v>6418</v>
      </c>
      <c r="B247" s="65" t="str">
        <f>VLOOKUP(A247,DMTK!$B$5:$L$263,3,0)</f>
        <v>Chi phí bằng tiền khác</v>
      </c>
      <c r="C247" s="69">
        <f>VLOOKUP(A247,DMTK!$B$5:$L$263,10,0)</f>
        <v>0</v>
      </c>
      <c r="D247" s="69">
        <f>VLOOKUP(A247,DMTK!$B$5:$L$263,11,0)</f>
        <v>0</v>
      </c>
      <c r="E247" s="69">
        <f>SUMIFS(CT!$H$5:$H$143,CT!$D$5:$D$143,'BTHCTTK (TH131)'!A247)</f>
        <v>0</v>
      </c>
      <c r="F247" s="69">
        <f>SUMIFS(CT!$H$5:$H$143,CT!$E$5:$E$143,'BTHCTTK (TH131)'!A247)</f>
        <v>0</v>
      </c>
      <c r="G247" s="69">
        <f t="shared" si="9"/>
        <v>0</v>
      </c>
      <c r="H247" s="69">
        <f t="shared" si="10"/>
        <v>0</v>
      </c>
      <c r="I247" s="65" t="b">
        <f t="shared" si="11"/>
        <v>0</v>
      </c>
    </row>
    <row r="248" spans="1:9" hidden="1" x14ac:dyDescent="0.25">
      <c r="A248" s="93" t="str">
        <f>DMTK!B246</f>
        <v>6421</v>
      </c>
      <c r="B248" s="65" t="str">
        <f>VLOOKUP(A248,DMTK!$B$5:$L$263,3,0)</f>
        <v>Chi phí nhân viên quản lý</v>
      </c>
      <c r="C248" s="69">
        <f>VLOOKUP(A248,DMTK!$B$5:$L$263,10,0)</f>
        <v>0</v>
      </c>
      <c r="D248" s="69">
        <f>VLOOKUP(A248,DMTK!$B$5:$L$263,11,0)</f>
        <v>0</v>
      </c>
      <c r="E248" s="69">
        <f>SUMIFS(CT!$H$5:$H$143,CT!$D$5:$D$143,'BTHCTTK (TH131)'!A248)</f>
        <v>8540000</v>
      </c>
      <c r="F248" s="69">
        <f>SUMIFS(CT!$H$5:$H$143,CT!$E$5:$E$143,'BTHCTTK (TH131)'!A248)</f>
        <v>8540000</v>
      </c>
      <c r="G248" s="69">
        <f t="shared" si="9"/>
        <v>0</v>
      </c>
      <c r="H248" s="69">
        <f t="shared" si="10"/>
        <v>0</v>
      </c>
      <c r="I248" s="65" t="b">
        <f t="shared" si="11"/>
        <v>0</v>
      </c>
    </row>
    <row r="249" spans="1:9" hidden="1" x14ac:dyDescent="0.25">
      <c r="A249" s="93" t="str">
        <f>DMTK!B247</f>
        <v>6422</v>
      </c>
      <c r="B249" s="65" t="str">
        <f>VLOOKUP(A249,DMTK!$B$5:$L$263,3,0)</f>
        <v>Chi phí vật liệu quản lý</v>
      </c>
      <c r="C249" s="69">
        <f>VLOOKUP(A249,DMTK!$B$5:$L$263,10,0)</f>
        <v>0</v>
      </c>
      <c r="D249" s="69">
        <f>VLOOKUP(A249,DMTK!$B$5:$L$263,11,0)</f>
        <v>0</v>
      </c>
      <c r="E249" s="69">
        <f>SUMIFS(CT!$H$5:$H$143,CT!$D$5:$D$143,'BTHCTTK (TH131)'!A249)</f>
        <v>0</v>
      </c>
      <c r="F249" s="69">
        <f>SUMIFS(CT!$H$5:$H$143,CT!$E$5:$E$143,'BTHCTTK (TH131)'!A249)</f>
        <v>0</v>
      </c>
      <c r="G249" s="69">
        <f t="shared" si="9"/>
        <v>0</v>
      </c>
      <c r="H249" s="69">
        <f t="shared" si="10"/>
        <v>0</v>
      </c>
      <c r="I249" s="65" t="b">
        <f t="shared" si="11"/>
        <v>0</v>
      </c>
    </row>
    <row r="250" spans="1:9" hidden="1" x14ac:dyDescent="0.25">
      <c r="A250" s="93" t="str">
        <f>DMTK!B248</f>
        <v>6423</v>
      </c>
      <c r="B250" s="65" t="str">
        <f>VLOOKUP(A250,DMTK!$B$5:$L$263,3,0)</f>
        <v>Chi phí đồ dùng văn phòng</v>
      </c>
      <c r="C250" s="69">
        <f>VLOOKUP(A250,DMTK!$B$5:$L$263,10,0)</f>
        <v>0</v>
      </c>
      <c r="D250" s="69">
        <f>VLOOKUP(A250,DMTK!$B$5:$L$263,11,0)</f>
        <v>0</v>
      </c>
      <c r="E250" s="69">
        <f>SUMIFS(CT!$H$5:$H$143,CT!$D$5:$D$143,'BTHCTTK (TH131)'!A250)</f>
        <v>500000</v>
      </c>
      <c r="F250" s="69">
        <f>SUMIFS(CT!$H$5:$H$143,CT!$E$5:$E$143,'BTHCTTK (TH131)'!A250)</f>
        <v>500000</v>
      </c>
      <c r="G250" s="69">
        <f t="shared" si="9"/>
        <v>0</v>
      </c>
      <c r="H250" s="69">
        <f t="shared" si="10"/>
        <v>0</v>
      </c>
      <c r="I250" s="65" t="b">
        <f t="shared" si="11"/>
        <v>0</v>
      </c>
    </row>
    <row r="251" spans="1:9" hidden="1" x14ac:dyDescent="0.25">
      <c r="A251" s="93" t="str">
        <f>DMTK!B249</f>
        <v>6424</v>
      </c>
      <c r="B251" s="65" t="str">
        <f>VLOOKUP(A251,DMTK!$B$5:$L$263,3,0)</f>
        <v>Chi phí khấu hao TSCĐ</v>
      </c>
      <c r="C251" s="69">
        <f>VLOOKUP(A251,DMTK!$B$5:$L$263,10,0)</f>
        <v>0</v>
      </c>
      <c r="D251" s="69">
        <f>VLOOKUP(A251,DMTK!$B$5:$L$263,11,0)</f>
        <v>0</v>
      </c>
      <c r="E251" s="69">
        <f>SUMIFS(CT!$H$5:$H$143,CT!$D$5:$D$143,'BTHCTTK (TH131)'!A251)</f>
        <v>458333</v>
      </c>
      <c r="F251" s="69">
        <f>SUMIFS(CT!$H$5:$H$143,CT!$E$5:$E$143,'BTHCTTK (TH131)'!A251)</f>
        <v>458333</v>
      </c>
      <c r="G251" s="69">
        <f t="shared" si="9"/>
        <v>0</v>
      </c>
      <c r="H251" s="69">
        <f t="shared" si="10"/>
        <v>0</v>
      </c>
      <c r="I251" s="65" t="b">
        <f t="shared" si="11"/>
        <v>0</v>
      </c>
    </row>
    <row r="252" spans="1:9" hidden="1" x14ac:dyDescent="0.25">
      <c r="A252" s="93" t="str">
        <f>DMTK!B250</f>
        <v>6425</v>
      </c>
      <c r="B252" s="65" t="str">
        <f>VLOOKUP(A252,DMTK!$B$5:$L$263,3,0)</f>
        <v>Thuế, phí và lệ phí</v>
      </c>
      <c r="C252" s="69">
        <f>VLOOKUP(A252,DMTK!$B$5:$L$263,10,0)</f>
        <v>0</v>
      </c>
      <c r="D252" s="69">
        <f>VLOOKUP(A252,DMTK!$B$5:$L$263,11,0)</f>
        <v>0</v>
      </c>
      <c r="E252" s="69">
        <f>SUMIFS(CT!$H$5:$H$143,CT!$D$5:$D$143,'BTHCTTK (TH131)'!A252)</f>
        <v>0</v>
      </c>
      <c r="F252" s="69">
        <f>SUMIFS(CT!$H$5:$H$143,CT!$E$5:$E$143,'BTHCTTK (TH131)'!A252)</f>
        <v>0</v>
      </c>
      <c r="G252" s="69">
        <f t="shared" si="9"/>
        <v>0</v>
      </c>
      <c r="H252" s="69">
        <f t="shared" si="10"/>
        <v>0</v>
      </c>
      <c r="I252" s="65" t="b">
        <f t="shared" si="11"/>
        <v>0</v>
      </c>
    </row>
    <row r="253" spans="1:9" hidden="1" x14ac:dyDescent="0.25">
      <c r="A253" s="93" t="str">
        <f>DMTK!B251</f>
        <v>6426</v>
      </c>
      <c r="B253" s="65" t="str">
        <f>VLOOKUP(A253,DMTK!$B$5:$L$263,3,0)</f>
        <v>Chi phí dự phòng</v>
      </c>
      <c r="C253" s="69">
        <f>VLOOKUP(A253,DMTK!$B$5:$L$263,10,0)</f>
        <v>0</v>
      </c>
      <c r="D253" s="69">
        <f>VLOOKUP(A253,DMTK!$B$5:$L$263,11,0)</f>
        <v>0</v>
      </c>
      <c r="E253" s="69">
        <f>SUMIFS(CT!$H$5:$H$143,CT!$D$5:$D$143,'BTHCTTK (TH131)'!A253)</f>
        <v>0</v>
      </c>
      <c r="F253" s="69">
        <f>SUMIFS(CT!$H$5:$H$143,CT!$E$5:$E$143,'BTHCTTK (TH131)'!A253)</f>
        <v>0</v>
      </c>
      <c r="G253" s="69">
        <f t="shared" si="9"/>
        <v>0</v>
      </c>
      <c r="H253" s="69">
        <f t="shared" si="10"/>
        <v>0</v>
      </c>
      <c r="I253" s="65" t="b">
        <f t="shared" si="11"/>
        <v>0</v>
      </c>
    </row>
    <row r="254" spans="1:9" hidden="1" x14ac:dyDescent="0.25">
      <c r="A254" s="93" t="str">
        <f>DMTK!B252</f>
        <v>6427</v>
      </c>
      <c r="B254" s="65" t="str">
        <f>VLOOKUP(A254,DMTK!$B$5:$L$263,3,0)</f>
        <v>Chi phí dịch vụ mua ngoài</v>
      </c>
      <c r="C254" s="69">
        <f>VLOOKUP(A254,DMTK!$B$5:$L$263,10,0)</f>
        <v>0</v>
      </c>
      <c r="D254" s="69">
        <f>VLOOKUP(A254,DMTK!$B$5:$L$263,11,0)</f>
        <v>0</v>
      </c>
      <c r="E254" s="69">
        <f>SUMIFS(CT!$H$5:$H$143,CT!$D$5:$D$143,'BTHCTTK (TH131)'!A254)</f>
        <v>0</v>
      </c>
      <c r="F254" s="69">
        <f>SUMIFS(CT!$H$5:$H$143,CT!$E$5:$E$143,'BTHCTTK (TH131)'!A254)</f>
        <v>0</v>
      </c>
      <c r="G254" s="69">
        <f t="shared" si="9"/>
        <v>0</v>
      </c>
      <c r="H254" s="69">
        <f t="shared" si="10"/>
        <v>0</v>
      </c>
      <c r="I254" s="65" t="b">
        <f t="shared" si="11"/>
        <v>0</v>
      </c>
    </row>
    <row r="255" spans="1:9" hidden="1" x14ac:dyDescent="0.25">
      <c r="A255" s="93" t="str">
        <f>DMTK!B253</f>
        <v>6428</v>
      </c>
      <c r="B255" s="65" t="str">
        <f>VLOOKUP(A255,DMTK!$B$5:$L$263,3,0)</f>
        <v>Chi phí bằng tiền khác</v>
      </c>
      <c r="C255" s="69">
        <f>VLOOKUP(A255,DMTK!$B$5:$L$263,10,0)</f>
        <v>0</v>
      </c>
      <c r="D255" s="69">
        <f>VLOOKUP(A255,DMTK!$B$5:$L$263,11,0)</f>
        <v>0</v>
      </c>
      <c r="E255" s="69">
        <f>SUMIFS(CT!$H$5:$H$143,CT!$D$5:$D$143,'BTHCTTK (TH131)'!A255)</f>
        <v>2800000</v>
      </c>
      <c r="F255" s="69">
        <f>SUMIFS(CT!$H$5:$H$143,CT!$E$5:$E$143,'BTHCTTK (TH131)'!A255)</f>
        <v>2800000</v>
      </c>
      <c r="G255" s="69">
        <f t="shared" si="9"/>
        <v>0</v>
      </c>
      <c r="H255" s="69">
        <f t="shared" si="10"/>
        <v>0</v>
      </c>
      <c r="I255" s="65" t="b">
        <f t="shared" si="11"/>
        <v>0</v>
      </c>
    </row>
    <row r="256" spans="1:9" hidden="1" x14ac:dyDescent="0.25">
      <c r="A256" s="93" t="str">
        <f>DMTK!B254</f>
        <v>711</v>
      </c>
      <c r="B256" s="65" t="str">
        <f>VLOOKUP(A256,DMTK!$B$5:$L$263,3,0)</f>
        <v>Thu nhập khác</v>
      </c>
      <c r="C256" s="69">
        <f>VLOOKUP(A256,DMTK!$B$5:$L$263,10,0)</f>
        <v>0</v>
      </c>
      <c r="D256" s="69">
        <f>VLOOKUP(A256,DMTK!$B$5:$L$263,11,0)</f>
        <v>0</v>
      </c>
      <c r="E256" s="69">
        <f>SUMIFS(CT!$H$5:$H$143,CT!$D$5:$D$143,'BTHCTTK (TH131)'!A256)</f>
        <v>0</v>
      </c>
      <c r="F256" s="69">
        <f>SUMIFS(CT!$H$5:$H$143,CT!$E$5:$E$143,'BTHCTTK (TH131)'!A256)</f>
        <v>0</v>
      </c>
      <c r="G256" s="69">
        <f t="shared" si="9"/>
        <v>0</v>
      </c>
      <c r="H256" s="69">
        <f t="shared" si="10"/>
        <v>0</v>
      </c>
      <c r="I256" s="65" t="b">
        <f t="shared" si="11"/>
        <v>0</v>
      </c>
    </row>
    <row r="257" spans="1:9" hidden="1" x14ac:dyDescent="0.25">
      <c r="A257" s="93" t="str">
        <f>DMTK!B255</f>
        <v>811</v>
      </c>
      <c r="B257" s="65" t="str">
        <f>VLOOKUP(A257,DMTK!$B$5:$L$263,3,0)</f>
        <v>Chi phí khác</v>
      </c>
      <c r="C257" s="69">
        <f>VLOOKUP(A257,DMTK!$B$5:$L$263,10,0)</f>
        <v>0</v>
      </c>
      <c r="D257" s="69">
        <f>VLOOKUP(A257,DMTK!$B$5:$L$263,11,0)</f>
        <v>0</v>
      </c>
      <c r="E257" s="69">
        <f>SUMIFS(CT!$H$5:$H$143,CT!$D$5:$D$143,'BTHCTTK (TH131)'!A257)</f>
        <v>0</v>
      </c>
      <c r="F257" s="69">
        <f>SUMIFS(CT!$H$5:$H$143,CT!$E$5:$E$143,'BTHCTTK (TH131)'!A257)</f>
        <v>0</v>
      </c>
      <c r="G257" s="69">
        <f t="shared" si="9"/>
        <v>0</v>
      </c>
      <c r="H257" s="69">
        <f t="shared" si="10"/>
        <v>0</v>
      </c>
      <c r="I257" s="65" t="b">
        <f t="shared" si="11"/>
        <v>0</v>
      </c>
    </row>
    <row r="258" spans="1:9" hidden="1" x14ac:dyDescent="0.25">
      <c r="A258" s="93" t="str">
        <f>DMTK!B256</f>
        <v>8211</v>
      </c>
      <c r="B258" s="65" t="str">
        <f>VLOOKUP(A258,DMTK!$B$5:$L$263,3,0)</f>
        <v>Chi phí thuế TNDN hiện hành</v>
      </c>
      <c r="C258" s="69">
        <f>VLOOKUP(A258,DMTK!$B$5:$L$263,10,0)</f>
        <v>0</v>
      </c>
      <c r="D258" s="69">
        <f>VLOOKUP(A258,DMTK!$B$5:$L$263,11,0)</f>
        <v>0</v>
      </c>
      <c r="E258" s="69">
        <f>SUMIFS(CT!$H$5:$H$143,CT!$D$5:$D$143,'BTHCTTK (TH131)'!A258)</f>
        <v>0</v>
      </c>
      <c r="F258" s="69">
        <f>SUMIFS(CT!$H$5:$H$143,CT!$E$5:$E$143,'BTHCTTK (TH131)'!A258)</f>
        <v>0</v>
      </c>
      <c r="G258" s="69">
        <f t="shared" si="9"/>
        <v>0</v>
      </c>
      <c r="H258" s="69">
        <f t="shared" si="10"/>
        <v>0</v>
      </c>
      <c r="I258" s="65" t="b">
        <f t="shared" si="11"/>
        <v>0</v>
      </c>
    </row>
    <row r="259" spans="1:9" hidden="1" x14ac:dyDescent="0.25">
      <c r="A259" s="93" t="str">
        <f>DMTK!B257</f>
        <v>8212</v>
      </c>
      <c r="B259" s="65" t="str">
        <f>VLOOKUP(A259,DMTK!$B$5:$L$263,3,0)</f>
        <v>Chi phí thuế TNDN hoãn lại</v>
      </c>
      <c r="C259" s="69">
        <f>VLOOKUP(A259,DMTK!$B$5:$L$263,10,0)</f>
        <v>0</v>
      </c>
      <c r="D259" s="69">
        <f>VLOOKUP(A259,DMTK!$B$5:$L$263,11,0)</f>
        <v>0</v>
      </c>
      <c r="E259" s="69">
        <f>SUMIFS(CT!$H$5:$H$143,CT!$D$5:$D$143,'BTHCTTK (TH131)'!A259)</f>
        <v>0</v>
      </c>
      <c r="F259" s="69">
        <f>SUMIFS(CT!$H$5:$H$143,CT!$E$5:$E$143,'BTHCTTK (TH131)'!A259)</f>
        <v>0</v>
      </c>
      <c r="G259" s="69">
        <f t="shared" si="9"/>
        <v>0</v>
      </c>
      <c r="H259" s="69">
        <f t="shared" si="10"/>
        <v>0</v>
      </c>
      <c r="I259" s="65" t="b">
        <f t="shared" si="11"/>
        <v>0</v>
      </c>
    </row>
    <row r="260" spans="1:9" hidden="1" x14ac:dyDescent="0.25">
      <c r="A260" s="93" t="str">
        <f>DMTK!B258</f>
        <v>9111.0101</v>
      </c>
      <c r="B260" s="65" t="str">
        <f>VLOOKUP(A260,DMTK!$B$5:$L$263,3,0)</f>
        <v>Xác định kết quả kinh doanh (GTV)</v>
      </c>
      <c r="C260" s="69">
        <f>VLOOKUP(A260,DMTK!$B$5:$L$263,10,0)</f>
        <v>0</v>
      </c>
      <c r="D260" s="69">
        <f>VLOOKUP(A260,DMTK!$B$5:$L$263,11,0)</f>
        <v>0</v>
      </c>
      <c r="E260" s="69">
        <f>SUMIFS(CT!$H$5:$H$143,CT!$D$5:$D$143,'BTHCTTK (TH131)'!A260)</f>
        <v>31772143</v>
      </c>
      <c r="F260" s="69">
        <f>SUMIFS(CT!$H$5:$H$143,CT!$E$5:$E$143,'BTHCTTK (TH131)'!A260)</f>
        <v>31772143</v>
      </c>
      <c r="G260" s="69">
        <f t="shared" si="9"/>
        <v>0</v>
      </c>
      <c r="H260" s="69">
        <f t="shared" si="10"/>
        <v>0</v>
      </c>
      <c r="I260" s="65" t="b">
        <f t="shared" si="11"/>
        <v>0</v>
      </c>
    </row>
    <row r="261" spans="1:9" hidden="1" x14ac:dyDescent="0.25">
      <c r="A261" s="93" t="str">
        <f>DMTK!B259</f>
        <v>9111.0102</v>
      </c>
      <c r="B261" s="65" t="str">
        <f>VLOOKUP(A261,DMTK!$B$5:$L$263,3,0)</f>
        <v>Xác định kết quả kinh doanh (GKT)</v>
      </c>
      <c r="C261" s="69">
        <f>VLOOKUP(A261,DMTK!$B$5:$L$263,10,0)</f>
        <v>0</v>
      </c>
      <c r="D261" s="69">
        <f>VLOOKUP(A261,DMTK!$B$5:$L$263,11,0)</f>
        <v>0</v>
      </c>
      <c r="E261" s="69">
        <f>SUMIFS(CT!$H$5:$H$143,CT!$D$5:$D$143,'BTHCTTK (TH131)'!A261)</f>
        <v>28000000</v>
      </c>
      <c r="F261" s="69">
        <f>SUMIFS(CT!$H$5:$H$143,CT!$E$5:$E$143,'BTHCTTK (TH131)'!A261)</f>
        <v>28000000</v>
      </c>
      <c r="G261" s="69">
        <f t="shared" si="9"/>
        <v>0</v>
      </c>
      <c r="H261" s="69">
        <f t="shared" si="10"/>
        <v>0</v>
      </c>
      <c r="I261" s="65" t="b">
        <f t="shared" si="11"/>
        <v>0</v>
      </c>
    </row>
    <row r="262" spans="1:9" hidden="1" x14ac:dyDescent="0.25">
      <c r="A262" s="93" t="str">
        <f>DMTK!B260</f>
        <v>9111.0201</v>
      </c>
      <c r="B262" s="65" t="str">
        <f>VLOOKUP(A262,DMTK!$B$5:$L$263,3,0)</f>
        <v>Xác định kết quả kinh doanh (BT)</v>
      </c>
      <c r="C262" s="69">
        <f>VLOOKUP(A262,DMTK!$B$5:$L$263,10,0)</f>
        <v>0</v>
      </c>
      <c r="D262" s="69">
        <f>VLOOKUP(A262,DMTK!$B$5:$L$263,11,0)</f>
        <v>0</v>
      </c>
      <c r="E262" s="69">
        <f>SUMIFS(CT!$H$5:$H$143,CT!$D$5:$D$143,'BTHCTTK (TH131)'!A262)</f>
        <v>0</v>
      </c>
      <c r="F262" s="69">
        <f>SUMIFS(CT!$H$5:$H$143,CT!$E$5:$E$143,'BTHCTTK (TH131)'!A262)</f>
        <v>0</v>
      </c>
      <c r="G262" s="69">
        <f t="shared" si="9"/>
        <v>0</v>
      </c>
      <c r="H262" s="69">
        <f t="shared" si="10"/>
        <v>0</v>
      </c>
      <c r="I262" s="65" t="b">
        <f t="shared" si="11"/>
        <v>0</v>
      </c>
    </row>
    <row r="263" spans="1:9" hidden="1" x14ac:dyDescent="0.25">
      <c r="A263" s="93" t="str">
        <f>DMTK!B261</f>
        <v>9111.0202</v>
      </c>
      <c r="B263" s="65" t="str">
        <f>VLOOKUP(A263,DMTK!$B$5:$L$263,3,0)</f>
        <v>Xác định kết quả kinh doanh (BO)</v>
      </c>
      <c r="C263" s="69">
        <f>VLOOKUP(A263,DMTK!$B$5:$L$263,10,0)</f>
        <v>0</v>
      </c>
      <c r="D263" s="69">
        <f>VLOOKUP(A263,DMTK!$B$5:$L$263,11,0)</f>
        <v>0</v>
      </c>
      <c r="E263" s="69">
        <f>SUMIFS(CT!$H$5:$H$143,CT!$D$5:$D$143,'BTHCTTK (TH131)'!A263)</f>
        <v>31615709</v>
      </c>
      <c r="F263" s="69">
        <f>SUMIFS(CT!$H$5:$H$143,CT!$E$5:$E$143,'BTHCTTK (TH131)'!A263)</f>
        <v>31615709</v>
      </c>
      <c r="G263" s="69">
        <f t="shared" si="9"/>
        <v>0</v>
      </c>
      <c r="H263" s="69">
        <f t="shared" si="10"/>
        <v>0</v>
      </c>
      <c r="I263" s="65" t="b">
        <f t="shared" si="11"/>
        <v>0</v>
      </c>
    </row>
    <row r="264" spans="1:9" hidden="1" x14ac:dyDescent="0.25">
      <c r="A264" s="93" t="str">
        <f>DMTK!B262</f>
        <v>9111.0203</v>
      </c>
      <c r="B264" s="65" t="str">
        <f>VLOOKUP(A264,DMTK!$B$5:$L$263,3,0)</f>
        <v>Xác định kết quả kinh doanh (BCN)</v>
      </c>
      <c r="C264" s="69">
        <f>VLOOKUP(A264,DMTK!$B$5:$L$263,10,0)</f>
        <v>0</v>
      </c>
      <c r="D264" s="69">
        <f>VLOOKUP(A264,DMTK!$B$5:$L$263,11,0)</f>
        <v>0</v>
      </c>
      <c r="E264" s="69">
        <f>SUMIFS(CT!$H$5:$H$143,CT!$D$5:$D$143,'BTHCTTK (TH131)'!A264)</f>
        <v>0</v>
      </c>
      <c r="F264" s="69">
        <f>SUMIFS(CT!$H$5:$H$143,CT!$E$5:$E$143,'BTHCTTK (TH131)'!A264)</f>
        <v>0</v>
      </c>
      <c r="G264" s="69">
        <f t="shared" ref="G264:G265" si="12">MAX(C264+E264-D264-F264,0)</f>
        <v>0</v>
      </c>
      <c r="H264" s="69">
        <f t="shared" ref="H264:H265" si="13">MAX(D264+F264-C264-E264,0)</f>
        <v>0</v>
      </c>
      <c r="I264" s="65" t="b">
        <f t="shared" ref="I264:I265" si="14">LEFT(A264,3)=$D$2</f>
        <v>0</v>
      </c>
    </row>
    <row r="265" spans="1:9" hidden="1" x14ac:dyDescent="0.25">
      <c r="A265" s="93" t="str">
        <f>DMTK!B263</f>
        <v>9111.0303</v>
      </c>
      <c r="B265" s="65" t="str">
        <f>VLOOKUP(A265,DMTK!$B$5:$L$263,3,0)</f>
        <v>Xác định kết quả kinh doanh</v>
      </c>
      <c r="C265" s="69">
        <f>VLOOKUP(A265,DMTK!$B$5:$L$263,10,0)</f>
        <v>0</v>
      </c>
      <c r="D265" s="69">
        <f>VLOOKUP(A265,DMTK!$B$5:$L$263,11,0)</f>
        <v>0</v>
      </c>
      <c r="E265" s="69">
        <f>SUMIFS(CT!$H$5:$H$143,CT!$D$5:$D$143,'BTHCTTK (TH131)'!A265)</f>
        <v>0</v>
      </c>
      <c r="F265" s="69">
        <f>SUMIFS(CT!$H$5:$H$143,CT!$E$5:$E$143,'BTHCTTK (TH131)'!A265)</f>
        <v>0</v>
      </c>
      <c r="G265" s="69">
        <f t="shared" si="12"/>
        <v>0</v>
      </c>
      <c r="H265" s="69">
        <f t="shared" si="13"/>
        <v>0</v>
      </c>
      <c r="I265" s="65" t="b">
        <f t="shared" si="14"/>
        <v>0</v>
      </c>
    </row>
    <row r="266" spans="1:9" x14ac:dyDescent="0.25">
      <c r="A266" s="72"/>
      <c r="B266" s="143" t="s">
        <v>838</v>
      </c>
      <c r="C266" s="81">
        <f>SUBTOTAL(9,C7:C265)</f>
        <v>227000000</v>
      </c>
      <c r="D266" s="81">
        <f t="shared" ref="D266:F266" si="15">SUBTOTAL(9,D7:D265)</f>
        <v>52000000</v>
      </c>
      <c r="E266" s="81">
        <f t="shared" si="15"/>
        <v>91157500</v>
      </c>
      <c r="F266" s="81">
        <f t="shared" si="15"/>
        <v>55000000</v>
      </c>
      <c r="G266" s="81">
        <f>SUBTOTAL(9,G7:G265)</f>
        <v>263157500</v>
      </c>
      <c r="H266" s="81">
        <f t="shared" ref="H266" si="16">SUBTOTAL(9,H7:H265)</f>
        <v>52000000</v>
      </c>
      <c r="I266" s="72" t="b">
        <v>1</v>
      </c>
    </row>
    <row r="267" spans="1:9" x14ac:dyDescent="0.25">
      <c r="A267" s="72"/>
      <c r="B267" s="143" t="s">
        <v>901</v>
      </c>
      <c r="C267" s="81">
        <f>MAX(C266-D266,0)</f>
        <v>175000000</v>
      </c>
      <c r="D267" s="81">
        <f>MAX(D266-C266,0)</f>
        <v>0</v>
      </c>
      <c r="E267" s="81"/>
      <c r="F267" s="81"/>
      <c r="G267" s="81">
        <f>MAX(G266-H266,0)</f>
        <v>211157500</v>
      </c>
      <c r="H267" s="81">
        <f>MAX(H266-G266,0)</f>
        <v>0</v>
      </c>
      <c r="I267" s="72" t="b">
        <v>1</v>
      </c>
    </row>
  </sheetData>
  <autoFilter ref="I6:I267" xr:uid="{FA92ED26-FC3C-4B4B-BE33-CE159E5815E0}">
    <filterColumn colId="0">
      <filters>
        <filter val="TRUE"/>
      </filters>
    </filterColumn>
  </autoFilter>
  <mergeCells count="6">
    <mergeCell ref="A1:L1"/>
    <mergeCell ref="A5:A6"/>
    <mergeCell ref="B5:B6"/>
    <mergeCell ref="C5:D5"/>
    <mergeCell ref="E5:F5"/>
    <mergeCell ref="G5:H5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2A0CA8-1965-4B59-8E99-5016AF227BB2}">
          <x14:formula1>
            <xm:f>HTTK1!$A$5:$A$80</xm:f>
          </x14:formula1>
          <xm:sqref>D2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C126-B73B-4F6D-97F9-6BF44D408AF7}">
  <sheetPr filterMode="1">
    <tabColor theme="5" tint="-0.249977111117893"/>
  </sheetPr>
  <dimension ref="A1:M266"/>
  <sheetViews>
    <sheetView zoomScale="85" zoomScaleNormal="85" workbookViewId="0">
      <selection activeCell="R28" sqref="R28"/>
    </sheetView>
  </sheetViews>
  <sheetFormatPr defaultRowHeight="13.2" x14ac:dyDescent="0.25"/>
  <cols>
    <col min="1" max="1" width="13.44140625" customWidth="1"/>
    <col min="2" max="2" width="73.77734375" customWidth="1"/>
    <col min="3" max="3" width="20" customWidth="1"/>
    <col min="4" max="4" width="20.33203125" customWidth="1"/>
    <col min="5" max="5" width="21.33203125" customWidth="1"/>
    <col min="6" max="6" width="33.44140625" customWidth="1"/>
    <col min="7" max="7" width="34.77734375" customWidth="1"/>
    <col min="8" max="8" width="22.44140625" customWidth="1"/>
    <col min="9" max="9" width="20.77734375" customWidth="1"/>
    <col min="10" max="10" width="16.77734375" customWidth="1"/>
    <col min="11" max="11" width="15.109375" customWidth="1"/>
    <col min="12" max="12" width="15.77734375" customWidth="1"/>
    <col min="13" max="13" width="17.6640625" customWidth="1"/>
  </cols>
  <sheetData>
    <row r="1" spans="1:13" ht="15.6" x14ac:dyDescent="0.3">
      <c r="A1" s="156" t="s">
        <v>893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3" ht="24.75" customHeight="1" x14ac:dyDescent="0.3">
      <c r="A2" s="35"/>
      <c r="B2" s="35"/>
      <c r="C2" s="94" t="s">
        <v>834</v>
      </c>
      <c r="D2" s="95" t="s">
        <v>733</v>
      </c>
      <c r="F2" s="96" t="s">
        <v>861</v>
      </c>
      <c r="G2" s="96" t="str">
        <f>VLOOKUP(D2,HTTK1!$A$5:$F$80,3)</f>
        <v>Phải thu của khách hàng</v>
      </c>
      <c r="H2" s="35"/>
      <c r="I2" s="3"/>
      <c r="J2" s="3"/>
      <c r="K2" s="3"/>
      <c r="L2" s="3"/>
    </row>
    <row r="3" spans="1:13" ht="16.8" x14ac:dyDescent="0.3">
      <c r="A3" s="87"/>
      <c r="B3" s="87"/>
      <c r="C3" s="87" t="s">
        <v>866</v>
      </c>
      <c r="D3" s="97">
        <v>45306</v>
      </c>
      <c r="F3" s="87" t="s">
        <v>867</v>
      </c>
      <c r="G3" s="97">
        <v>45322</v>
      </c>
      <c r="H3" s="87"/>
    </row>
    <row r="4" spans="1:13" ht="16.5" customHeight="1" x14ac:dyDescent="0.3">
      <c r="A4" s="177" t="s">
        <v>894</v>
      </c>
      <c r="B4" s="177" t="s">
        <v>895</v>
      </c>
      <c r="C4" s="177" t="s">
        <v>902</v>
      </c>
      <c r="D4" s="177"/>
      <c r="E4" s="177" t="s">
        <v>903</v>
      </c>
      <c r="F4" s="177"/>
      <c r="G4" s="177" t="s">
        <v>896</v>
      </c>
      <c r="H4" s="177"/>
      <c r="I4" s="177" t="s">
        <v>897</v>
      </c>
      <c r="J4" s="177"/>
      <c r="K4" s="171" t="s">
        <v>898</v>
      </c>
      <c r="L4" s="171"/>
      <c r="M4" s="178" t="s">
        <v>859</v>
      </c>
    </row>
    <row r="5" spans="1:13" ht="16.8" x14ac:dyDescent="0.3">
      <c r="A5" s="177"/>
      <c r="B5" s="177"/>
      <c r="C5" s="98" t="s">
        <v>856</v>
      </c>
      <c r="D5" s="88" t="s">
        <v>857</v>
      </c>
      <c r="E5" s="88" t="s">
        <v>856</v>
      </c>
      <c r="F5" s="88" t="s">
        <v>857</v>
      </c>
      <c r="G5" s="88" t="s">
        <v>856</v>
      </c>
      <c r="H5" s="88" t="s">
        <v>857</v>
      </c>
      <c r="I5" s="88" t="s">
        <v>856</v>
      </c>
      <c r="J5" s="65" t="s">
        <v>857</v>
      </c>
      <c r="K5" s="65" t="s">
        <v>856</v>
      </c>
      <c r="L5" s="65" t="s">
        <v>857</v>
      </c>
      <c r="M5" s="178"/>
    </row>
    <row r="6" spans="1:13" hidden="1" x14ac:dyDescent="0.25">
      <c r="A6" s="93" t="str">
        <f>DMTK!B5</f>
        <v>1111</v>
      </c>
      <c r="B6" s="65" t="str">
        <f>VLOOKUP(A6,DMTK!$B$5:$L$263,3,0)</f>
        <v>Tiền Việt Nam</v>
      </c>
      <c r="C6" s="69">
        <f>SUMIFS(DMTK!$K$5:$K$263,DMTK!$B$5:$B$263,A6&amp;"*")</f>
        <v>400000000</v>
      </c>
      <c r="D6" s="69">
        <f>SUMIFS(DMTK!$L$5:$L$263,DMTK!$B$5:$B$263,'BTHCTTK (TH131) NGÀY'!A6&amp;"*")</f>
        <v>0</v>
      </c>
      <c r="E6" s="69">
        <f>SUMIFS(CT!$H$5:$H$143,CT!$A$5:$A$143,"&lt;"&amp;'BTHCTTK (TH131) NGÀY'!$D$3,CT!$D$5:$D$143,'BTHCTTK (TH131) NGÀY'!A6)</f>
        <v>25000000</v>
      </c>
      <c r="F6" s="69">
        <f>SUMIFS(CT!$H$5:$H$143,CT!$A$5:$A$143,"&lt;"&amp;'BTHCTTK (TH131) NGÀY'!$D$3,CT!$E$5:$E$143,'BTHCTTK (TH131) NGÀY'!A6)</f>
        <v>3100000</v>
      </c>
      <c r="G6" s="69">
        <f>MAX(C6+E6-D6-F6,0)</f>
        <v>421900000</v>
      </c>
      <c r="H6" s="69">
        <f>MAX(D6+F6-C6-E6,0)</f>
        <v>0</v>
      </c>
      <c r="I6" s="69">
        <f>SUMIFS(CT!$H$5:$H$143,CT!$A$5:$A$143,"&gt;="&amp;'BTHCTTK (TH131) NGÀY'!$D$3,CT!$A$5:$A$143,"&lt;="&amp;'BTHCTTK (TH131) NGÀY'!$G$3,CT!$D$5:$D$143,'BTHCTTK (TH131) NGÀY'!A6)</f>
        <v>200000</v>
      </c>
      <c r="J6" s="69">
        <f>SUMIFS(CT!$H$5:$H$143,CT!$A$5:$A$143,"&gt;="&amp;$D$3,CT!$A$5:$A$143,"&lt;="&amp;$G$3,CT!$E$5:$E$143,'BTHCTTK (TH131) NGÀY'!A6)</f>
        <v>401000000</v>
      </c>
      <c r="K6" s="69">
        <f>MAX(G6+I6-H6-J6,0)</f>
        <v>21100000</v>
      </c>
      <c r="L6" s="69">
        <f>MAX(H6+J6-G6-I6,0)</f>
        <v>0</v>
      </c>
      <c r="M6" t="b">
        <f>LEFT(A6,3)=$D$2</f>
        <v>0</v>
      </c>
    </row>
    <row r="7" spans="1:13" hidden="1" x14ac:dyDescent="0.25">
      <c r="A7" s="93" t="str">
        <f>DMTK!B6</f>
        <v>1112</v>
      </c>
      <c r="B7" s="65" t="str">
        <f>VLOOKUP(A7,DMTK!$B$5:$L$263,3,0)</f>
        <v>Ngoại tệ</v>
      </c>
      <c r="C7" s="69">
        <f>SUMIFS(DMTK!$K$5:$K$263,DMTK!$B$5:$B$263,A7&amp;"*")</f>
        <v>0</v>
      </c>
      <c r="D7" s="69">
        <f>SUMIFS(DMTK!$L$5:$L$263,DMTK!$B$5:$B$263,'BTHCTTK (TH131) NGÀY'!A7&amp;"*")</f>
        <v>0</v>
      </c>
      <c r="E7" s="69">
        <f>SUMIFS(CT!$H$5:$H$143,CT!$A$5:$A$143,"&lt;"&amp;'BTHCTTK (TH131) NGÀY'!$D$3,CT!$D$5:$D$143,'BTHCTTK (TH131) NGÀY'!A7)</f>
        <v>0</v>
      </c>
      <c r="F7" s="69">
        <f>SUMIFS(CT!$H$5:$H$143,CT!$A$5:$A$143,"&lt;"&amp;'BTHCTTK (TH131) NGÀY'!$D$3,CT!$E$5:$E$143,'BTHCTTK (TH131) NGÀY'!A7)</f>
        <v>0</v>
      </c>
      <c r="G7" s="69">
        <f t="shared" ref="G7:G70" si="0">MAX(C7+E7-D7-F7,0)</f>
        <v>0</v>
      </c>
      <c r="H7" s="69">
        <f t="shared" ref="H7:H70" si="1">MAX(D7+F7-C7-E7,0)</f>
        <v>0</v>
      </c>
      <c r="I7" s="69">
        <f>SUMIFS(CT!$H$5:$H$143,CT!$A$5:$A$143,"&gt;="&amp;'BTHCTTK (TH131) NGÀY'!$D$3,CT!$A$5:$A$143,"&lt;="&amp;'BTHCTTK (TH131) NGÀY'!$G$3,CT!$D$5:$D$143,'BTHCTTK (TH131) NGÀY'!A7)</f>
        <v>0</v>
      </c>
      <c r="J7" s="69">
        <f>SUMIFS(CT!$H$5:$H$143,CT!$A$5:$A$143,"&gt;="&amp;$D$3,CT!$A$5:$A$143,"&lt;="&amp;$G$3,CT!$E$5:$E$143,'BTHCTTK (TH131) NGÀY'!A7)</f>
        <v>0</v>
      </c>
      <c r="K7" s="69">
        <f t="shared" ref="K7:K70" si="2">MAX(G7+I7-H7-J7,0)</f>
        <v>0</v>
      </c>
      <c r="L7" s="69">
        <f t="shared" ref="L7:L70" si="3">MAX(H7+J7-G7-I7,0)</f>
        <v>0</v>
      </c>
      <c r="M7" t="b">
        <f t="shared" ref="M7:M70" si="4">LEFT(A7,3)=$D$2</f>
        <v>0</v>
      </c>
    </row>
    <row r="8" spans="1:13" hidden="1" x14ac:dyDescent="0.25">
      <c r="A8" s="93" t="str">
        <f>DMTK!B7</f>
        <v>1113</v>
      </c>
      <c r="B8" s="65" t="str">
        <f>VLOOKUP(A8,DMTK!$B$5:$L$263,3,0)</f>
        <v>Vàng tiền tệ</v>
      </c>
      <c r="C8" s="69">
        <f>SUMIFS(DMTK!$K$5:$K$263,DMTK!$B$5:$B$263,A8&amp;"*")</f>
        <v>0</v>
      </c>
      <c r="D8" s="69">
        <f>SUMIFS(DMTK!$L$5:$L$263,DMTK!$B$5:$B$263,'BTHCTTK (TH131) NGÀY'!A8&amp;"*")</f>
        <v>0</v>
      </c>
      <c r="E8" s="69">
        <f>SUMIFS(CT!$H$5:$H$143,CT!$A$5:$A$143,"&lt;"&amp;'BTHCTTK (TH131) NGÀY'!$D$3,CT!$D$5:$D$143,'BTHCTTK (TH131) NGÀY'!A8)</f>
        <v>0</v>
      </c>
      <c r="F8" s="69">
        <f>SUMIFS(CT!$H$5:$H$143,CT!$A$5:$A$143,"&lt;"&amp;'BTHCTTK (TH131) NGÀY'!$D$3,CT!$E$5:$E$143,'BTHCTTK (TH131) NGÀY'!A8)</f>
        <v>0</v>
      </c>
      <c r="G8" s="69">
        <f t="shared" si="0"/>
        <v>0</v>
      </c>
      <c r="H8" s="69">
        <f t="shared" si="1"/>
        <v>0</v>
      </c>
      <c r="I8" s="69">
        <f>SUMIFS(CT!$H$5:$H$143,CT!$A$5:$A$143,"&gt;="&amp;'BTHCTTK (TH131) NGÀY'!$D$3,CT!$A$5:$A$143,"&lt;="&amp;'BTHCTTK (TH131) NGÀY'!$G$3,CT!$D$5:$D$143,'BTHCTTK (TH131) NGÀY'!A8)</f>
        <v>0</v>
      </c>
      <c r="J8" s="69">
        <f>SUMIFS(CT!$H$5:$H$143,CT!$A$5:$A$143,"&gt;="&amp;$D$3,CT!$A$5:$A$143,"&lt;="&amp;$G$3,CT!$E$5:$E$143,'BTHCTTK (TH131) NGÀY'!A8)</f>
        <v>0</v>
      </c>
      <c r="K8" s="69">
        <f t="shared" si="2"/>
        <v>0</v>
      </c>
      <c r="L8" s="69">
        <f t="shared" si="3"/>
        <v>0</v>
      </c>
      <c r="M8" t="b">
        <f t="shared" si="4"/>
        <v>0</v>
      </c>
    </row>
    <row r="9" spans="1:13" hidden="1" x14ac:dyDescent="0.25">
      <c r="A9" s="93" t="str">
        <f>DMTK!B8</f>
        <v>1121.01</v>
      </c>
      <c r="B9" s="65" t="str">
        <f>VLOOKUP(A9,DMTK!$B$5:$L$263,3,0)</f>
        <v>Tiền Việt Nam NH Ngoại Thương</v>
      </c>
      <c r="C9" s="69">
        <f>SUMIFS(DMTK!$K$5:$K$263,DMTK!$B$5:$B$263,A9&amp;"*")</f>
        <v>258221000</v>
      </c>
      <c r="D9" s="69">
        <f>SUMIFS(DMTK!$L$5:$L$263,DMTK!$B$5:$B$263,'BTHCTTK (TH131) NGÀY'!A9&amp;"*")</f>
        <v>0</v>
      </c>
      <c r="E9" s="69">
        <f>SUMIFS(CT!$H$5:$H$143,CT!$A$5:$A$143,"&lt;"&amp;'BTHCTTK (TH131) NGÀY'!$D$3,CT!$D$5:$D$143,'BTHCTTK (TH131) NGÀY'!A9)</f>
        <v>0</v>
      </c>
      <c r="F9" s="69">
        <f>SUMIFS(CT!$H$5:$H$143,CT!$A$5:$A$143,"&lt;"&amp;'BTHCTTK (TH131) NGÀY'!$D$3,CT!$E$5:$E$143,'BTHCTTK (TH131) NGÀY'!A9)</f>
        <v>0</v>
      </c>
      <c r="G9" s="69">
        <f t="shared" si="0"/>
        <v>258221000</v>
      </c>
      <c r="H9" s="69">
        <f t="shared" si="1"/>
        <v>0</v>
      </c>
      <c r="I9" s="69">
        <f>SUMIFS(CT!$H$5:$H$143,CT!$A$5:$A$143,"&gt;="&amp;'BTHCTTK (TH131) NGÀY'!$D$3,CT!$A$5:$A$143,"&lt;="&amp;'BTHCTTK (TH131) NGÀY'!$G$3,CT!$D$5:$D$143,'BTHCTTK (TH131) NGÀY'!A9)</f>
        <v>0</v>
      </c>
      <c r="J9" s="69">
        <f>SUMIFS(CT!$H$5:$H$143,CT!$A$5:$A$143,"&gt;="&amp;$D$3,CT!$A$5:$A$143,"&lt;="&amp;$G$3,CT!$E$5:$E$143,'BTHCTTK (TH131) NGÀY'!A9)</f>
        <v>90000000</v>
      </c>
      <c r="K9" s="69">
        <f t="shared" si="2"/>
        <v>168221000</v>
      </c>
      <c r="L9" s="69">
        <f t="shared" si="3"/>
        <v>0</v>
      </c>
      <c r="M9" t="b">
        <f t="shared" si="4"/>
        <v>0</v>
      </c>
    </row>
    <row r="10" spans="1:13" hidden="1" x14ac:dyDescent="0.25">
      <c r="A10" s="93" t="str">
        <f>DMTK!B9</f>
        <v>1121.02</v>
      </c>
      <c r="B10" s="65" t="str">
        <f>VLOOKUP(A10,DMTK!$B$5:$L$263,3,0)</f>
        <v>Tiền Việt Nam NH Đông Á</v>
      </c>
      <c r="C10" s="69">
        <f>SUMIFS(DMTK!$K$5:$K$263,DMTK!$B$5:$B$263,A10&amp;"*")</f>
        <v>60000000</v>
      </c>
      <c r="D10" s="69">
        <f>SUMIFS(DMTK!$L$5:$L$263,DMTK!$B$5:$B$263,'BTHCTTK (TH131) NGÀY'!A10&amp;"*")</f>
        <v>0</v>
      </c>
      <c r="E10" s="69">
        <f>SUMIFS(CT!$H$5:$H$143,CT!$A$5:$A$143,"&lt;"&amp;'BTHCTTK (TH131) NGÀY'!$D$3,CT!$D$5:$D$143,'BTHCTTK (TH131) NGÀY'!A10)</f>
        <v>0</v>
      </c>
      <c r="F10" s="69">
        <f>SUMIFS(CT!$H$5:$H$143,CT!$A$5:$A$143,"&lt;"&amp;'BTHCTTK (TH131) NGÀY'!$D$3,CT!$E$5:$E$143,'BTHCTTK (TH131) NGÀY'!A10)</f>
        <v>0</v>
      </c>
      <c r="G10" s="69">
        <f t="shared" si="0"/>
        <v>60000000</v>
      </c>
      <c r="H10" s="69">
        <f t="shared" si="1"/>
        <v>0</v>
      </c>
      <c r="I10" s="69">
        <f>SUMIFS(CT!$H$5:$H$143,CT!$A$5:$A$143,"&gt;="&amp;'BTHCTTK (TH131) NGÀY'!$D$3,CT!$A$5:$A$143,"&lt;="&amp;'BTHCTTK (TH131) NGÀY'!$G$3,CT!$D$5:$D$143,'BTHCTTK (TH131) NGÀY'!A10)</f>
        <v>30000000</v>
      </c>
      <c r="J10" s="69">
        <f>SUMIFS(CT!$H$5:$H$143,CT!$A$5:$A$143,"&gt;="&amp;$D$3,CT!$A$5:$A$143,"&lt;="&amp;$G$3,CT!$E$5:$E$143,'BTHCTTK (TH131) NGÀY'!A10)</f>
        <v>0</v>
      </c>
      <c r="K10" s="69">
        <f t="shared" si="2"/>
        <v>90000000</v>
      </c>
      <c r="L10" s="69">
        <f t="shared" si="3"/>
        <v>0</v>
      </c>
      <c r="M10" t="b">
        <f t="shared" si="4"/>
        <v>0</v>
      </c>
    </row>
    <row r="11" spans="1:13" hidden="1" x14ac:dyDescent="0.25">
      <c r="A11" s="93" t="str">
        <f>DMTK!B10</f>
        <v>1121.03</v>
      </c>
      <c r="B11" s="65" t="str">
        <f>VLOOKUP(A11,DMTK!$B$5:$L$263,3,0)</f>
        <v>Tiền Việt Nam NH Á Châu</v>
      </c>
      <c r="C11" s="69">
        <f>SUMIFS(DMTK!$K$5:$K$263,DMTK!$B$5:$B$263,A11&amp;"*")</f>
        <v>40000000</v>
      </c>
      <c r="D11" s="69">
        <f>SUMIFS(DMTK!$L$5:$L$263,DMTK!$B$5:$B$263,'BTHCTTK (TH131) NGÀY'!A11&amp;"*")</f>
        <v>0</v>
      </c>
      <c r="E11" s="69">
        <f>SUMIFS(CT!$H$5:$H$143,CT!$A$5:$A$143,"&lt;"&amp;'BTHCTTK (TH131) NGÀY'!$D$3,CT!$D$5:$D$143,'BTHCTTK (TH131) NGÀY'!A11)</f>
        <v>0</v>
      </c>
      <c r="F11" s="69">
        <f>SUMIFS(CT!$H$5:$H$143,CT!$A$5:$A$143,"&lt;"&amp;'BTHCTTK (TH131) NGÀY'!$D$3,CT!$E$5:$E$143,'BTHCTTK (TH131) NGÀY'!A11)</f>
        <v>0</v>
      </c>
      <c r="G11" s="69">
        <f t="shared" si="0"/>
        <v>40000000</v>
      </c>
      <c r="H11" s="69">
        <f t="shared" si="1"/>
        <v>0</v>
      </c>
      <c r="I11" s="69">
        <f>SUMIFS(CT!$H$5:$H$143,CT!$A$5:$A$143,"&gt;="&amp;'BTHCTTK (TH131) NGÀY'!$D$3,CT!$A$5:$A$143,"&lt;="&amp;'BTHCTTK (TH131) NGÀY'!$G$3,CT!$D$5:$D$143,'BTHCTTK (TH131) NGÀY'!A11)</f>
        <v>0</v>
      </c>
      <c r="J11" s="69">
        <f>SUMIFS(CT!$H$5:$H$143,CT!$A$5:$A$143,"&gt;="&amp;$D$3,CT!$A$5:$A$143,"&lt;="&amp;$G$3,CT!$E$5:$E$143,'BTHCTTK (TH131) NGÀY'!A11)</f>
        <v>0</v>
      </c>
      <c r="K11" s="69">
        <f t="shared" si="2"/>
        <v>40000000</v>
      </c>
      <c r="L11" s="69">
        <f t="shared" si="3"/>
        <v>0</v>
      </c>
      <c r="M11" t="b">
        <f t="shared" si="4"/>
        <v>0</v>
      </c>
    </row>
    <row r="12" spans="1:13" hidden="1" x14ac:dyDescent="0.25">
      <c r="A12" s="93" t="str">
        <f>DMTK!B11</f>
        <v>1122</v>
      </c>
      <c r="B12" s="65" t="str">
        <f>VLOOKUP(A12,DMTK!$B$5:$L$263,3,0)</f>
        <v>Ngoại tệ</v>
      </c>
      <c r="C12" s="69">
        <f>SUMIFS(DMTK!$K$5:$K$263,DMTK!$B$5:$B$263,A12&amp;"*")</f>
        <v>0</v>
      </c>
      <c r="D12" s="69">
        <f>SUMIFS(DMTK!$L$5:$L$263,DMTK!$B$5:$B$263,'BTHCTTK (TH131) NGÀY'!A12&amp;"*")</f>
        <v>0</v>
      </c>
      <c r="E12" s="69">
        <f>SUMIFS(CT!$H$5:$H$143,CT!$A$5:$A$143,"&lt;"&amp;'BTHCTTK (TH131) NGÀY'!$D$3,CT!$D$5:$D$143,'BTHCTTK (TH131) NGÀY'!A12)</f>
        <v>0</v>
      </c>
      <c r="F12" s="69">
        <f>SUMIFS(CT!$H$5:$H$143,CT!$A$5:$A$143,"&lt;"&amp;'BTHCTTK (TH131) NGÀY'!$D$3,CT!$E$5:$E$143,'BTHCTTK (TH131) NGÀY'!A12)</f>
        <v>0</v>
      </c>
      <c r="G12" s="69">
        <f t="shared" si="0"/>
        <v>0</v>
      </c>
      <c r="H12" s="69">
        <f t="shared" si="1"/>
        <v>0</v>
      </c>
      <c r="I12" s="69">
        <f>SUMIFS(CT!$H$5:$H$143,CT!$A$5:$A$143,"&gt;="&amp;'BTHCTTK (TH131) NGÀY'!$D$3,CT!$A$5:$A$143,"&lt;="&amp;'BTHCTTK (TH131) NGÀY'!$G$3,CT!$D$5:$D$143,'BTHCTTK (TH131) NGÀY'!A12)</f>
        <v>0</v>
      </c>
      <c r="J12" s="69">
        <f>SUMIFS(CT!$H$5:$H$143,CT!$A$5:$A$143,"&gt;="&amp;$D$3,CT!$A$5:$A$143,"&lt;="&amp;$G$3,CT!$E$5:$E$143,'BTHCTTK (TH131) NGÀY'!A12)</f>
        <v>0</v>
      </c>
      <c r="K12" s="69">
        <f t="shared" si="2"/>
        <v>0</v>
      </c>
      <c r="L12" s="69">
        <f t="shared" si="3"/>
        <v>0</v>
      </c>
      <c r="M12" t="b">
        <f t="shared" si="4"/>
        <v>0</v>
      </c>
    </row>
    <row r="13" spans="1:13" hidden="1" x14ac:dyDescent="0.25">
      <c r="A13" s="93" t="str">
        <f>DMTK!B12</f>
        <v>1123</v>
      </c>
      <c r="B13" s="65" t="str">
        <f>VLOOKUP(A13,DMTK!$B$5:$L$263,3,0)</f>
        <v>Vàng tiền tệ</v>
      </c>
      <c r="C13" s="69">
        <f>SUMIFS(DMTK!$K$5:$K$263,DMTK!$B$5:$B$263,A13&amp;"*")</f>
        <v>0</v>
      </c>
      <c r="D13" s="69">
        <f>SUMIFS(DMTK!$L$5:$L$263,DMTK!$B$5:$B$263,'BTHCTTK (TH131) NGÀY'!A13&amp;"*")</f>
        <v>0</v>
      </c>
      <c r="E13" s="69">
        <f>SUMIFS(CT!$H$5:$H$143,CT!$A$5:$A$143,"&lt;"&amp;'BTHCTTK (TH131) NGÀY'!$D$3,CT!$D$5:$D$143,'BTHCTTK (TH131) NGÀY'!A13)</f>
        <v>0</v>
      </c>
      <c r="F13" s="69">
        <f>SUMIFS(CT!$H$5:$H$143,CT!$A$5:$A$143,"&lt;"&amp;'BTHCTTK (TH131) NGÀY'!$D$3,CT!$E$5:$E$143,'BTHCTTK (TH131) NGÀY'!A13)</f>
        <v>0</v>
      </c>
      <c r="G13" s="69">
        <f t="shared" si="0"/>
        <v>0</v>
      </c>
      <c r="H13" s="69">
        <f t="shared" si="1"/>
        <v>0</v>
      </c>
      <c r="I13" s="69">
        <f>SUMIFS(CT!$H$5:$H$143,CT!$A$5:$A$143,"&gt;="&amp;'BTHCTTK (TH131) NGÀY'!$D$3,CT!$A$5:$A$143,"&lt;="&amp;'BTHCTTK (TH131) NGÀY'!$G$3,CT!$D$5:$D$143,'BTHCTTK (TH131) NGÀY'!A13)</f>
        <v>0</v>
      </c>
      <c r="J13" s="69">
        <f>SUMIFS(CT!$H$5:$H$143,CT!$A$5:$A$143,"&gt;="&amp;$D$3,CT!$A$5:$A$143,"&lt;="&amp;$G$3,CT!$E$5:$E$143,'BTHCTTK (TH131) NGÀY'!A13)</f>
        <v>0</v>
      </c>
      <c r="K13" s="69">
        <f t="shared" si="2"/>
        <v>0</v>
      </c>
      <c r="L13" s="69">
        <f t="shared" si="3"/>
        <v>0</v>
      </c>
      <c r="M13" t="b">
        <f t="shared" si="4"/>
        <v>0</v>
      </c>
    </row>
    <row r="14" spans="1:13" hidden="1" x14ac:dyDescent="0.25">
      <c r="A14" s="93" t="str">
        <f>DMTK!B13</f>
        <v>1131</v>
      </c>
      <c r="B14" s="65" t="str">
        <f>VLOOKUP(A14,DMTK!$B$5:$L$263,3,0)</f>
        <v>Tiền Việt Nam</v>
      </c>
      <c r="C14" s="69">
        <f>SUMIFS(DMTK!$K$5:$K$263,DMTK!$B$5:$B$263,A14&amp;"*")</f>
        <v>0</v>
      </c>
      <c r="D14" s="69">
        <f>SUMIFS(DMTK!$L$5:$L$263,DMTK!$B$5:$B$263,'BTHCTTK (TH131) NGÀY'!A14&amp;"*")</f>
        <v>0</v>
      </c>
      <c r="E14" s="69">
        <f>SUMIFS(CT!$H$5:$H$143,CT!$A$5:$A$143,"&lt;"&amp;'BTHCTTK (TH131) NGÀY'!$D$3,CT!$D$5:$D$143,'BTHCTTK (TH131) NGÀY'!A14)</f>
        <v>0</v>
      </c>
      <c r="F14" s="69">
        <f>SUMIFS(CT!$H$5:$H$143,CT!$A$5:$A$143,"&lt;"&amp;'BTHCTTK (TH131) NGÀY'!$D$3,CT!$E$5:$E$143,'BTHCTTK (TH131) NGÀY'!A14)</f>
        <v>0</v>
      </c>
      <c r="G14" s="69">
        <f t="shared" si="0"/>
        <v>0</v>
      </c>
      <c r="H14" s="69">
        <f t="shared" si="1"/>
        <v>0</v>
      </c>
      <c r="I14" s="69">
        <f>SUMIFS(CT!$H$5:$H$143,CT!$A$5:$A$143,"&gt;="&amp;'BTHCTTK (TH131) NGÀY'!$D$3,CT!$A$5:$A$143,"&lt;="&amp;'BTHCTTK (TH131) NGÀY'!$G$3,CT!$D$5:$D$143,'BTHCTTK (TH131) NGÀY'!A14)</f>
        <v>0</v>
      </c>
      <c r="J14" s="69">
        <f>SUMIFS(CT!$H$5:$H$143,CT!$A$5:$A$143,"&gt;="&amp;$D$3,CT!$A$5:$A$143,"&lt;="&amp;$G$3,CT!$E$5:$E$143,'BTHCTTK (TH131) NGÀY'!A14)</f>
        <v>0</v>
      </c>
      <c r="K14" s="69">
        <f t="shared" si="2"/>
        <v>0</v>
      </c>
      <c r="L14" s="69">
        <f t="shared" si="3"/>
        <v>0</v>
      </c>
      <c r="M14" t="b">
        <f t="shared" si="4"/>
        <v>0</v>
      </c>
    </row>
    <row r="15" spans="1:13" hidden="1" x14ac:dyDescent="0.25">
      <c r="A15" s="93" t="str">
        <f>DMTK!B14</f>
        <v>1132</v>
      </c>
      <c r="B15" s="65" t="str">
        <f>VLOOKUP(A15,DMTK!$B$5:$L$263,3,0)</f>
        <v>Ngoại tệ</v>
      </c>
      <c r="C15" s="69">
        <f>SUMIFS(DMTK!$K$5:$K$263,DMTK!$B$5:$B$263,A15&amp;"*")</f>
        <v>0</v>
      </c>
      <c r="D15" s="69">
        <f>SUMIFS(DMTK!$L$5:$L$263,DMTK!$B$5:$B$263,'BTHCTTK (TH131) NGÀY'!A15&amp;"*")</f>
        <v>0</v>
      </c>
      <c r="E15" s="69">
        <f>SUMIFS(CT!$H$5:$H$143,CT!$A$5:$A$143,"&lt;"&amp;'BTHCTTK (TH131) NGÀY'!$D$3,CT!$D$5:$D$143,'BTHCTTK (TH131) NGÀY'!A15)</f>
        <v>0</v>
      </c>
      <c r="F15" s="69">
        <f>SUMIFS(CT!$H$5:$H$143,CT!$A$5:$A$143,"&lt;"&amp;'BTHCTTK (TH131) NGÀY'!$D$3,CT!$E$5:$E$143,'BTHCTTK (TH131) NGÀY'!A15)</f>
        <v>0</v>
      </c>
      <c r="G15" s="69">
        <f t="shared" si="0"/>
        <v>0</v>
      </c>
      <c r="H15" s="69">
        <f t="shared" si="1"/>
        <v>0</v>
      </c>
      <c r="I15" s="69">
        <f>SUMIFS(CT!$H$5:$H$143,CT!$A$5:$A$143,"&gt;="&amp;'BTHCTTK (TH131) NGÀY'!$D$3,CT!$A$5:$A$143,"&lt;="&amp;'BTHCTTK (TH131) NGÀY'!$G$3,CT!$D$5:$D$143,'BTHCTTK (TH131) NGÀY'!A15)</f>
        <v>0</v>
      </c>
      <c r="J15" s="69">
        <f>SUMIFS(CT!$H$5:$H$143,CT!$A$5:$A$143,"&gt;="&amp;$D$3,CT!$A$5:$A$143,"&lt;="&amp;$G$3,CT!$E$5:$E$143,'BTHCTTK (TH131) NGÀY'!A15)</f>
        <v>0</v>
      </c>
      <c r="K15" s="69">
        <f t="shared" si="2"/>
        <v>0</v>
      </c>
      <c r="L15" s="69">
        <f t="shared" si="3"/>
        <v>0</v>
      </c>
      <c r="M15" t="b">
        <f t="shared" si="4"/>
        <v>0</v>
      </c>
    </row>
    <row r="16" spans="1:13" hidden="1" x14ac:dyDescent="0.25">
      <c r="A16" s="93" t="str">
        <f>DMTK!B15</f>
        <v>1211</v>
      </c>
      <c r="B16" s="65" t="str">
        <f>VLOOKUP(A16,DMTK!$B$5:$L$263,3,0)</f>
        <v xml:space="preserve">Cổ phiếu </v>
      </c>
      <c r="C16" s="69">
        <f>SUMIFS(DMTK!$K$5:$K$263,DMTK!$B$5:$B$263,A16&amp;"*")</f>
        <v>0</v>
      </c>
      <c r="D16" s="69">
        <f>SUMIFS(DMTK!$L$5:$L$263,DMTK!$B$5:$B$263,'BTHCTTK (TH131) NGÀY'!A16&amp;"*")</f>
        <v>0</v>
      </c>
      <c r="E16" s="69">
        <f>SUMIFS(CT!$H$5:$H$143,CT!$A$5:$A$143,"&lt;"&amp;'BTHCTTK (TH131) NGÀY'!$D$3,CT!$D$5:$D$143,'BTHCTTK (TH131) NGÀY'!A16)</f>
        <v>0</v>
      </c>
      <c r="F16" s="69">
        <f>SUMIFS(CT!$H$5:$H$143,CT!$A$5:$A$143,"&lt;"&amp;'BTHCTTK (TH131) NGÀY'!$D$3,CT!$E$5:$E$143,'BTHCTTK (TH131) NGÀY'!A16)</f>
        <v>0</v>
      </c>
      <c r="G16" s="69">
        <f t="shared" si="0"/>
        <v>0</v>
      </c>
      <c r="H16" s="69">
        <f t="shared" si="1"/>
        <v>0</v>
      </c>
      <c r="I16" s="69">
        <f>SUMIFS(CT!$H$5:$H$143,CT!$A$5:$A$143,"&gt;="&amp;'BTHCTTK (TH131) NGÀY'!$D$3,CT!$A$5:$A$143,"&lt;="&amp;'BTHCTTK (TH131) NGÀY'!$G$3,CT!$D$5:$D$143,'BTHCTTK (TH131) NGÀY'!A16)</f>
        <v>0</v>
      </c>
      <c r="J16" s="69">
        <f>SUMIFS(CT!$H$5:$H$143,CT!$A$5:$A$143,"&gt;="&amp;$D$3,CT!$A$5:$A$143,"&lt;="&amp;$G$3,CT!$E$5:$E$143,'BTHCTTK (TH131) NGÀY'!A16)</f>
        <v>0</v>
      </c>
      <c r="K16" s="69">
        <f t="shared" si="2"/>
        <v>0</v>
      </c>
      <c r="L16" s="69">
        <f t="shared" si="3"/>
        <v>0</v>
      </c>
      <c r="M16" t="b">
        <f t="shared" si="4"/>
        <v>0</v>
      </c>
    </row>
    <row r="17" spans="1:13" hidden="1" x14ac:dyDescent="0.25">
      <c r="A17" s="93" t="str">
        <f>DMTK!B16</f>
        <v>1212</v>
      </c>
      <c r="B17" s="65" t="str">
        <f>VLOOKUP(A17,DMTK!$B$5:$L$263,3,0)</f>
        <v>Trái phiếu</v>
      </c>
      <c r="C17" s="69">
        <f>SUMIFS(DMTK!$K$5:$K$263,DMTK!$B$5:$B$263,A17&amp;"*")</f>
        <v>0</v>
      </c>
      <c r="D17" s="69">
        <f>SUMIFS(DMTK!$L$5:$L$263,DMTK!$B$5:$B$263,'BTHCTTK (TH131) NGÀY'!A17&amp;"*")</f>
        <v>0</v>
      </c>
      <c r="E17" s="69">
        <f>SUMIFS(CT!$H$5:$H$143,CT!$A$5:$A$143,"&lt;"&amp;'BTHCTTK (TH131) NGÀY'!$D$3,CT!$D$5:$D$143,'BTHCTTK (TH131) NGÀY'!A17)</f>
        <v>0</v>
      </c>
      <c r="F17" s="69">
        <f>SUMIFS(CT!$H$5:$H$143,CT!$A$5:$A$143,"&lt;"&amp;'BTHCTTK (TH131) NGÀY'!$D$3,CT!$E$5:$E$143,'BTHCTTK (TH131) NGÀY'!A17)</f>
        <v>0</v>
      </c>
      <c r="G17" s="69">
        <f t="shared" si="0"/>
        <v>0</v>
      </c>
      <c r="H17" s="69">
        <f t="shared" si="1"/>
        <v>0</v>
      </c>
      <c r="I17" s="69">
        <f>SUMIFS(CT!$H$5:$H$143,CT!$A$5:$A$143,"&gt;="&amp;'BTHCTTK (TH131) NGÀY'!$D$3,CT!$A$5:$A$143,"&lt;="&amp;'BTHCTTK (TH131) NGÀY'!$G$3,CT!$D$5:$D$143,'BTHCTTK (TH131) NGÀY'!A17)</f>
        <v>0</v>
      </c>
      <c r="J17" s="69">
        <f>SUMIFS(CT!$H$5:$H$143,CT!$A$5:$A$143,"&gt;="&amp;$D$3,CT!$A$5:$A$143,"&lt;="&amp;$G$3,CT!$E$5:$E$143,'BTHCTTK (TH131) NGÀY'!A17)</f>
        <v>0</v>
      </c>
      <c r="K17" s="69">
        <f t="shared" si="2"/>
        <v>0</v>
      </c>
      <c r="L17" s="69">
        <f t="shared" si="3"/>
        <v>0</v>
      </c>
      <c r="M17" t="b">
        <f t="shared" si="4"/>
        <v>0</v>
      </c>
    </row>
    <row r="18" spans="1:13" hidden="1" x14ac:dyDescent="0.25">
      <c r="A18" s="93" t="str">
        <f>DMTK!B17</f>
        <v>12811</v>
      </c>
      <c r="B18" s="65" t="str">
        <f>VLOOKUP(A18,DMTK!$B$5:$L$263,3,0)</f>
        <v>Tiền gửi có kỳ hạn (không quá 3 tháng)</v>
      </c>
      <c r="C18" s="69">
        <f>SUMIFS(DMTK!$K$5:$K$263,DMTK!$B$5:$B$263,A18&amp;"*")</f>
        <v>100000000</v>
      </c>
      <c r="D18" s="69">
        <f>SUMIFS(DMTK!$L$5:$L$263,DMTK!$B$5:$B$263,'BTHCTTK (TH131) NGÀY'!A18&amp;"*")</f>
        <v>0</v>
      </c>
      <c r="E18" s="69">
        <f>SUMIFS(CT!$H$5:$H$143,CT!$A$5:$A$143,"&lt;"&amp;'BTHCTTK (TH131) NGÀY'!$D$3,CT!$D$5:$D$143,'BTHCTTK (TH131) NGÀY'!A18)</f>
        <v>0</v>
      </c>
      <c r="F18" s="69">
        <f>SUMIFS(CT!$H$5:$H$143,CT!$A$5:$A$143,"&lt;"&amp;'BTHCTTK (TH131) NGÀY'!$D$3,CT!$E$5:$E$143,'BTHCTTK (TH131) NGÀY'!A18)</f>
        <v>0</v>
      </c>
      <c r="G18" s="69">
        <f t="shared" si="0"/>
        <v>100000000</v>
      </c>
      <c r="H18" s="69">
        <f t="shared" si="1"/>
        <v>0</v>
      </c>
      <c r="I18" s="69">
        <f>SUMIFS(CT!$H$5:$H$143,CT!$A$5:$A$143,"&gt;="&amp;'BTHCTTK (TH131) NGÀY'!$D$3,CT!$A$5:$A$143,"&lt;="&amp;'BTHCTTK (TH131) NGÀY'!$G$3,CT!$D$5:$D$143,'BTHCTTK (TH131) NGÀY'!A18)</f>
        <v>0</v>
      </c>
      <c r="J18" s="69">
        <f>SUMIFS(CT!$H$5:$H$143,CT!$A$5:$A$143,"&gt;="&amp;$D$3,CT!$A$5:$A$143,"&lt;="&amp;$G$3,CT!$E$5:$E$143,'BTHCTTK (TH131) NGÀY'!A18)</f>
        <v>0</v>
      </c>
      <c r="K18" s="69">
        <f t="shared" si="2"/>
        <v>100000000</v>
      </c>
      <c r="L18" s="69">
        <f t="shared" si="3"/>
        <v>0</v>
      </c>
      <c r="M18" t="b">
        <f t="shared" si="4"/>
        <v>0</v>
      </c>
    </row>
    <row r="19" spans="1:13" hidden="1" x14ac:dyDescent="0.25">
      <c r="A19" s="93" t="str">
        <f>DMTK!B18</f>
        <v>12812</v>
      </c>
      <c r="B19" s="65" t="str">
        <f>VLOOKUP(A19,DMTK!$B$5:$L$263,3,0)</f>
        <v>Tiền gửi có kỳ hạn (không quá 12 tháng)</v>
      </c>
      <c r="C19" s="69">
        <f>SUMIFS(DMTK!$K$5:$K$263,DMTK!$B$5:$B$263,A19&amp;"*")</f>
        <v>0</v>
      </c>
      <c r="D19" s="69">
        <f>SUMIFS(DMTK!$L$5:$L$263,DMTK!$B$5:$B$263,'BTHCTTK (TH131) NGÀY'!A19&amp;"*")</f>
        <v>0</v>
      </c>
      <c r="E19" s="69">
        <f>SUMIFS(CT!$H$5:$H$143,CT!$A$5:$A$143,"&lt;"&amp;'BTHCTTK (TH131) NGÀY'!$D$3,CT!$D$5:$D$143,'BTHCTTK (TH131) NGÀY'!A19)</f>
        <v>0</v>
      </c>
      <c r="F19" s="69">
        <f>SUMIFS(CT!$H$5:$H$143,CT!$A$5:$A$143,"&lt;"&amp;'BTHCTTK (TH131) NGÀY'!$D$3,CT!$E$5:$E$143,'BTHCTTK (TH131) NGÀY'!A19)</f>
        <v>0</v>
      </c>
      <c r="G19" s="69">
        <f t="shared" si="0"/>
        <v>0</v>
      </c>
      <c r="H19" s="69">
        <f t="shared" si="1"/>
        <v>0</v>
      </c>
      <c r="I19" s="69">
        <f>SUMIFS(CT!$H$5:$H$143,CT!$A$5:$A$143,"&gt;="&amp;'BTHCTTK (TH131) NGÀY'!$D$3,CT!$A$5:$A$143,"&lt;="&amp;'BTHCTTK (TH131) NGÀY'!$G$3,CT!$D$5:$D$143,'BTHCTTK (TH131) NGÀY'!A19)</f>
        <v>0</v>
      </c>
      <c r="J19" s="69">
        <f>SUMIFS(CT!$H$5:$H$143,CT!$A$5:$A$143,"&gt;="&amp;$D$3,CT!$A$5:$A$143,"&lt;="&amp;$G$3,CT!$E$5:$E$143,'BTHCTTK (TH131) NGÀY'!A19)</f>
        <v>0</v>
      </c>
      <c r="K19" s="69">
        <f t="shared" si="2"/>
        <v>0</v>
      </c>
      <c r="L19" s="69">
        <f t="shared" si="3"/>
        <v>0</v>
      </c>
      <c r="M19" t="b">
        <f t="shared" si="4"/>
        <v>0</v>
      </c>
    </row>
    <row r="20" spans="1:13" hidden="1" x14ac:dyDescent="0.25">
      <c r="A20" s="93" t="str">
        <f>DMTK!B19</f>
        <v>12831</v>
      </c>
      <c r="B20" s="65" t="str">
        <f>VLOOKUP(A20,DMTK!$B$5:$L$263,3,0)</f>
        <v>Cho vay (không quá 12 tháng)</v>
      </c>
      <c r="C20" s="69">
        <f>SUMIFS(DMTK!$K$5:$K$263,DMTK!$B$5:$B$263,A20&amp;"*")</f>
        <v>0</v>
      </c>
      <c r="D20" s="69">
        <f>SUMIFS(DMTK!$L$5:$L$263,DMTK!$B$5:$B$263,'BTHCTTK (TH131) NGÀY'!A20&amp;"*")</f>
        <v>0</v>
      </c>
      <c r="E20" s="69">
        <f>SUMIFS(CT!$H$5:$H$143,CT!$A$5:$A$143,"&lt;"&amp;'BTHCTTK (TH131) NGÀY'!$D$3,CT!$D$5:$D$143,'BTHCTTK (TH131) NGÀY'!A20)</f>
        <v>0</v>
      </c>
      <c r="F20" s="69">
        <f>SUMIFS(CT!$H$5:$H$143,CT!$A$5:$A$143,"&lt;"&amp;'BTHCTTK (TH131) NGÀY'!$D$3,CT!$E$5:$E$143,'BTHCTTK (TH131) NGÀY'!A20)</f>
        <v>0</v>
      </c>
      <c r="G20" s="69">
        <f t="shared" si="0"/>
        <v>0</v>
      </c>
      <c r="H20" s="69">
        <f t="shared" si="1"/>
        <v>0</v>
      </c>
      <c r="I20" s="69">
        <f>SUMIFS(CT!$H$5:$H$143,CT!$A$5:$A$143,"&gt;="&amp;'BTHCTTK (TH131) NGÀY'!$D$3,CT!$A$5:$A$143,"&lt;="&amp;'BTHCTTK (TH131) NGÀY'!$G$3,CT!$D$5:$D$143,'BTHCTTK (TH131) NGÀY'!A20)</f>
        <v>0</v>
      </c>
      <c r="J20" s="69">
        <f>SUMIFS(CT!$H$5:$H$143,CT!$A$5:$A$143,"&gt;="&amp;$D$3,CT!$A$5:$A$143,"&lt;="&amp;$G$3,CT!$E$5:$E$143,'BTHCTTK (TH131) NGÀY'!A20)</f>
        <v>0</v>
      </c>
      <c r="K20" s="69">
        <f t="shared" si="2"/>
        <v>0</v>
      </c>
      <c r="L20" s="69">
        <f t="shared" si="3"/>
        <v>0</v>
      </c>
      <c r="M20" t="b">
        <f t="shared" si="4"/>
        <v>0</v>
      </c>
    </row>
    <row r="21" spans="1:13" hidden="1" x14ac:dyDescent="0.25">
      <c r="A21" s="93" t="str">
        <f>DMTK!B20</f>
        <v>12832</v>
      </c>
      <c r="B21" s="65" t="str">
        <f>VLOOKUP(A21,DMTK!$B$5:$L$263,3,0)</f>
        <v>Cho vay (trên 12 tháng)</v>
      </c>
      <c r="C21" s="69">
        <f>SUMIFS(DMTK!$K$5:$K$263,DMTK!$B$5:$B$263,A21&amp;"*")</f>
        <v>0</v>
      </c>
      <c r="D21" s="69">
        <f>SUMIFS(DMTK!$L$5:$L$263,DMTK!$B$5:$B$263,'BTHCTTK (TH131) NGÀY'!A21&amp;"*")</f>
        <v>0</v>
      </c>
      <c r="E21" s="69">
        <f>SUMIFS(CT!$H$5:$H$143,CT!$A$5:$A$143,"&lt;"&amp;'BTHCTTK (TH131) NGÀY'!$D$3,CT!$D$5:$D$143,'BTHCTTK (TH131) NGÀY'!A21)</f>
        <v>0</v>
      </c>
      <c r="F21" s="69">
        <f>SUMIFS(CT!$H$5:$H$143,CT!$A$5:$A$143,"&lt;"&amp;'BTHCTTK (TH131) NGÀY'!$D$3,CT!$E$5:$E$143,'BTHCTTK (TH131) NGÀY'!A21)</f>
        <v>0</v>
      </c>
      <c r="G21" s="69">
        <f t="shared" si="0"/>
        <v>0</v>
      </c>
      <c r="H21" s="69">
        <f t="shared" si="1"/>
        <v>0</v>
      </c>
      <c r="I21" s="69">
        <f>SUMIFS(CT!$H$5:$H$143,CT!$A$5:$A$143,"&gt;="&amp;'BTHCTTK (TH131) NGÀY'!$D$3,CT!$A$5:$A$143,"&lt;="&amp;'BTHCTTK (TH131) NGÀY'!$G$3,CT!$D$5:$D$143,'BTHCTTK (TH131) NGÀY'!A21)</f>
        <v>0</v>
      </c>
      <c r="J21" s="69">
        <f>SUMIFS(CT!$H$5:$H$143,CT!$A$5:$A$143,"&gt;="&amp;$D$3,CT!$A$5:$A$143,"&lt;="&amp;$G$3,CT!$E$5:$E$143,'BTHCTTK (TH131) NGÀY'!A21)</f>
        <v>0</v>
      </c>
      <c r="K21" s="69">
        <f t="shared" si="2"/>
        <v>0</v>
      </c>
      <c r="L21" s="69">
        <f t="shared" si="3"/>
        <v>0</v>
      </c>
      <c r="M21" t="b">
        <f t="shared" si="4"/>
        <v>0</v>
      </c>
    </row>
    <row r="22" spans="1:13" hidden="1" x14ac:dyDescent="0.25">
      <c r="A22" s="93" t="str">
        <f>DMTK!B21</f>
        <v>12881</v>
      </c>
      <c r="B22" s="65" t="str">
        <f>VLOOKUP(A22,DMTK!$B$5:$L$263,3,0)</f>
        <v>Các khoản đầu tư khác nắm giữ đến ngày đáo hạn</v>
      </c>
      <c r="C22" s="69">
        <f>SUMIFS(DMTK!$K$5:$K$263,DMTK!$B$5:$B$263,A22&amp;"*")</f>
        <v>0</v>
      </c>
      <c r="D22" s="69">
        <f>SUMIFS(DMTK!$L$5:$L$263,DMTK!$B$5:$B$263,'BTHCTTK (TH131) NGÀY'!A22&amp;"*")</f>
        <v>0</v>
      </c>
      <c r="E22" s="69">
        <f>SUMIFS(CT!$H$5:$H$143,CT!$A$5:$A$143,"&lt;"&amp;'BTHCTTK (TH131) NGÀY'!$D$3,CT!$D$5:$D$143,'BTHCTTK (TH131) NGÀY'!A22)</f>
        <v>0</v>
      </c>
      <c r="F22" s="69">
        <f>SUMIFS(CT!$H$5:$H$143,CT!$A$5:$A$143,"&lt;"&amp;'BTHCTTK (TH131) NGÀY'!$D$3,CT!$E$5:$E$143,'BTHCTTK (TH131) NGÀY'!A22)</f>
        <v>0</v>
      </c>
      <c r="G22" s="69">
        <f t="shared" si="0"/>
        <v>0</v>
      </c>
      <c r="H22" s="69">
        <f t="shared" si="1"/>
        <v>0</v>
      </c>
      <c r="I22" s="69">
        <f>SUMIFS(CT!$H$5:$H$143,CT!$A$5:$A$143,"&gt;="&amp;'BTHCTTK (TH131) NGÀY'!$D$3,CT!$A$5:$A$143,"&lt;="&amp;'BTHCTTK (TH131) NGÀY'!$G$3,CT!$D$5:$D$143,'BTHCTTK (TH131) NGÀY'!A22)</f>
        <v>0</v>
      </c>
      <c r="J22" s="69">
        <f>SUMIFS(CT!$H$5:$H$143,CT!$A$5:$A$143,"&gt;="&amp;$D$3,CT!$A$5:$A$143,"&lt;="&amp;$G$3,CT!$E$5:$E$143,'BTHCTTK (TH131) NGÀY'!A22)</f>
        <v>0</v>
      </c>
      <c r="K22" s="69">
        <f t="shared" si="2"/>
        <v>0</v>
      </c>
      <c r="L22" s="69">
        <f t="shared" si="3"/>
        <v>0</v>
      </c>
      <c r="M22" t="b">
        <f t="shared" si="4"/>
        <v>0</v>
      </c>
    </row>
    <row r="23" spans="1:13" hidden="1" x14ac:dyDescent="0.25">
      <c r="A23" s="93" t="str">
        <f>DMTK!B22</f>
        <v>12882</v>
      </c>
      <c r="B23" s="65" t="str">
        <f>VLOOKUP(A23,DMTK!$B$5:$L$263,3,0)</f>
        <v>Các khoản đầu tư khác nắm giữ đến ngày đáo hạn (không quá 12 tháng)</v>
      </c>
      <c r="C23" s="69">
        <f>SUMIFS(DMTK!$K$5:$K$263,DMTK!$B$5:$B$263,A23&amp;"*")</f>
        <v>0</v>
      </c>
      <c r="D23" s="69">
        <f>SUMIFS(DMTK!$L$5:$L$263,DMTK!$B$5:$B$263,'BTHCTTK (TH131) NGÀY'!A23&amp;"*")</f>
        <v>0</v>
      </c>
      <c r="E23" s="69">
        <f>SUMIFS(CT!$H$5:$H$143,CT!$A$5:$A$143,"&lt;"&amp;'BTHCTTK (TH131) NGÀY'!$D$3,CT!$D$5:$D$143,'BTHCTTK (TH131) NGÀY'!A23)</f>
        <v>0</v>
      </c>
      <c r="F23" s="69">
        <f>SUMIFS(CT!$H$5:$H$143,CT!$A$5:$A$143,"&lt;"&amp;'BTHCTTK (TH131) NGÀY'!$D$3,CT!$E$5:$E$143,'BTHCTTK (TH131) NGÀY'!A23)</f>
        <v>0</v>
      </c>
      <c r="G23" s="69">
        <f t="shared" si="0"/>
        <v>0</v>
      </c>
      <c r="H23" s="69">
        <f t="shared" si="1"/>
        <v>0</v>
      </c>
      <c r="I23" s="69">
        <f>SUMIFS(CT!$H$5:$H$143,CT!$A$5:$A$143,"&gt;="&amp;'BTHCTTK (TH131) NGÀY'!$D$3,CT!$A$5:$A$143,"&lt;="&amp;'BTHCTTK (TH131) NGÀY'!$G$3,CT!$D$5:$D$143,'BTHCTTK (TH131) NGÀY'!A23)</f>
        <v>0</v>
      </c>
      <c r="J23" s="69">
        <f>SUMIFS(CT!$H$5:$H$143,CT!$A$5:$A$143,"&gt;="&amp;$D$3,CT!$A$5:$A$143,"&lt;="&amp;$G$3,CT!$E$5:$E$143,'BTHCTTK (TH131) NGÀY'!A23)</f>
        <v>0</v>
      </c>
      <c r="K23" s="69">
        <f t="shared" si="2"/>
        <v>0</v>
      </c>
      <c r="L23" s="69">
        <f t="shared" si="3"/>
        <v>0</v>
      </c>
      <c r="M23" t="b">
        <f t="shared" si="4"/>
        <v>0</v>
      </c>
    </row>
    <row r="24" spans="1:13" x14ac:dyDescent="0.25">
      <c r="A24" s="93" t="str">
        <f>DMTK!B23</f>
        <v>1311.01</v>
      </c>
      <c r="B24" s="65" t="str">
        <f>VLOOKUP(A24,DMTK!$B$5:$L$263,3,0)</f>
        <v>Công ty Quang Minh (ngắn hạn)</v>
      </c>
      <c r="C24" s="69">
        <f>SUMIFS(DMTK!$K$5:$K$263,DMTK!$B$5:$B$263,A24&amp;"*")</f>
        <v>100000000</v>
      </c>
      <c r="D24" s="69">
        <f>SUMIFS(DMTK!$L$5:$L$263,DMTK!$B$5:$B$263,'BTHCTTK (TH131) NGÀY'!A24&amp;"*")</f>
        <v>0</v>
      </c>
      <c r="E24" s="69">
        <f>SUMIFS(CT!$H$5:$H$143,CT!$A$5:$A$143,"&lt;"&amp;'BTHCTTK (TH131) NGÀY'!$D$3,CT!$D$5:$D$143,'BTHCTTK (TH131) NGÀY'!A24)</f>
        <v>0</v>
      </c>
      <c r="F24" s="69">
        <f>SUMIFS(CT!$H$5:$H$143,CT!$A$5:$A$143,"&lt;"&amp;'BTHCTTK (TH131) NGÀY'!$D$3,CT!$E$5:$E$143,'BTHCTTK (TH131) NGÀY'!A24)</f>
        <v>20000000</v>
      </c>
      <c r="G24" s="69">
        <f t="shared" si="0"/>
        <v>80000000</v>
      </c>
      <c r="H24" s="69">
        <f t="shared" si="1"/>
        <v>0</v>
      </c>
      <c r="I24" s="69">
        <f>SUMIFS(CT!$H$5:$H$143,CT!$A$5:$A$143,"&gt;="&amp;'BTHCTTK (TH131) NGÀY'!$D$3,CT!$A$5:$A$143,"&lt;="&amp;'BTHCTTK (TH131) NGÀY'!$G$3,CT!$D$5:$D$143,'BTHCTTK (TH131) NGÀY'!A24)</f>
        <v>0</v>
      </c>
      <c r="J24" s="69">
        <f>SUMIFS(CT!$H$5:$H$143,CT!$A$5:$A$143,"&gt;="&amp;$D$3,CT!$A$5:$A$143,"&lt;="&amp;$G$3,CT!$E$5:$E$143,'BTHCTTK (TH131) NGÀY'!A24)</f>
        <v>0</v>
      </c>
      <c r="K24" s="69">
        <f t="shared" si="2"/>
        <v>80000000</v>
      </c>
      <c r="L24" s="69">
        <f t="shared" si="3"/>
        <v>0</v>
      </c>
      <c r="M24" t="b">
        <f t="shared" si="4"/>
        <v>1</v>
      </c>
    </row>
    <row r="25" spans="1:13" x14ac:dyDescent="0.25">
      <c r="A25" s="93" t="str">
        <f>DMTK!B24</f>
        <v>1311.02</v>
      </c>
      <c r="B25" s="65" t="str">
        <f>VLOOKUP(A25,DMTK!$B$5:$L$263,3,0)</f>
        <v>Cty TNHH TMDV Mai Anh (ngắn hạn)</v>
      </c>
      <c r="C25" s="69">
        <f>SUMIFS(DMTK!$K$5:$K$263,DMTK!$B$5:$B$263,A25&amp;"*")</f>
        <v>70000000</v>
      </c>
      <c r="D25" s="69">
        <f>SUMIFS(DMTK!$L$5:$L$263,DMTK!$B$5:$B$263,'BTHCTTK (TH131) NGÀY'!A25&amp;"*")</f>
        <v>0</v>
      </c>
      <c r="E25" s="69">
        <f>SUMIFS(CT!$H$5:$H$143,CT!$A$5:$A$143,"&lt;"&amp;'BTHCTTK (TH131) NGÀY'!$D$3,CT!$D$5:$D$143,'BTHCTTK (TH131) NGÀY'!A25)</f>
        <v>0</v>
      </c>
      <c r="F25" s="69">
        <f>SUMIFS(CT!$H$5:$H$143,CT!$A$5:$A$143,"&lt;"&amp;'BTHCTTK (TH131) NGÀY'!$D$3,CT!$E$5:$E$143,'BTHCTTK (TH131) NGÀY'!A25)</f>
        <v>0</v>
      </c>
      <c r="G25" s="69">
        <f t="shared" si="0"/>
        <v>70000000</v>
      </c>
      <c r="H25" s="69">
        <f t="shared" si="1"/>
        <v>0</v>
      </c>
      <c r="I25" s="69">
        <f>SUMIFS(CT!$H$5:$H$143,CT!$A$5:$A$143,"&gt;="&amp;'BTHCTTK (TH131) NGÀY'!$D$3,CT!$A$5:$A$143,"&lt;="&amp;'BTHCTTK (TH131) NGÀY'!$G$3,CT!$D$5:$D$143,'BTHCTTK (TH131) NGÀY'!A25)</f>
        <v>0</v>
      </c>
      <c r="J25" s="69">
        <f>SUMIFS(CT!$H$5:$H$143,CT!$A$5:$A$143,"&gt;="&amp;$D$3,CT!$A$5:$A$143,"&lt;="&amp;$G$3,CT!$E$5:$E$143,'BTHCTTK (TH131) NGÀY'!A25)</f>
        <v>30000000</v>
      </c>
      <c r="K25" s="69">
        <f t="shared" si="2"/>
        <v>40000000</v>
      </c>
      <c r="L25" s="69">
        <f t="shared" si="3"/>
        <v>0</v>
      </c>
      <c r="M25" t="b">
        <f t="shared" si="4"/>
        <v>1</v>
      </c>
    </row>
    <row r="26" spans="1:13" x14ac:dyDescent="0.25">
      <c r="A26" s="93" t="str">
        <f>DMTK!B25</f>
        <v>1311.03</v>
      </c>
      <c r="B26" s="65" t="str">
        <f>VLOOKUP(A26,DMTK!$B$5:$L$263,3,0)</f>
        <v>Cty TNHH Phương Nam (ngắn hạn)</v>
      </c>
      <c r="C26" s="69">
        <f>SUMIFS(DMTK!$K$5:$K$263,DMTK!$B$5:$B$263,A26&amp;"*")</f>
        <v>57000000</v>
      </c>
      <c r="D26" s="69">
        <f>SUMIFS(DMTK!$L$5:$L$263,DMTK!$B$5:$B$263,'BTHCTTK (TH131) NGÀY'!A26&amp;"*")</f>
        <v>0</v>
      </c>
      <c r="E26" s="69">
        <f>SUMIFS(CT!$H$5:$H$143,CT!$A$5:$A$143,"&lt;"&amp;'BTHCTTK (TH131) NGÀY'!$D$3,CT!$D$5:$D$143,'BTHCTTK (TH131) NGÀY'!A26)</f>
        <v>0</v>
      </c>
      <c r="F26" s="69">
        <f>SUMIFS(CT!$H$5:$H$143,CT!$A$5:$A$143,"&lt;"&amp;'BTHCTTK (TH131) NGÀY'!$D$3,CT!$E$5:$E$143,'BTHCTTK (TH131) NGÀY'!A26)</f>
        <v>5000000</v>
      </c>
      <c r="G26" s="69">
        <f t="shared" si="0"/>
        <v>52000000</v>
      </c>
      <c r="H26" s="69">
        <f t="shared" si="1"/>
        <v>0</v>
      </c>
      <c r="I26" s="69">
        <f>SUMIFS(CT!$H$5:$H$143,CT!$A$5:$A$143,"&gt;="&amp;'BTHCTTK (TH131) NGÀY'!$D$3,CT!$A$5:$A$143,"&lt;="&amp;'BTHCTTK (TH131) NGÀY'!$G$3,CT!$D$5:$D$143,'BTHCTTK (TH131) NGÀY'!A26)</f>
        <v>0</v>
      </c>
      <c r="J26" s="69">
        <f>SUMIFS(CT!$H$5:$H$143,CT!$A$5:$A$143,"&gt;="&amp;$D$3,CT!$A$5:$A$143,"&lt;="&amp;$G$3,CT!$E$5:$E$143,'BTHCTTK (TH131) NGÀY'!A26)</f>
        <v>0</v>
      </c>
      <c r="K26" s="69">
        <f t="shared" si="2"/>
        <v>52000000</v>
      </c>
      <c r="L26" s="69">
        <f t="shared" si="3"/>
        <v>0</v>
      </c>
      <c r="M26" t="b">
        <f t="shared" si="4"/>
        <v>1</v>
      </c>
    </row>
    <row r="27" spans="1:13" x14ac:dyDescent="0.25">
      <c r="A27" s="93" t="str">
        <f>DMTK!B26</f>
        <v>1311.04</v>
      </c>
      <c r="B27" s="65" t="str">
        <f>VLOOKUP(A27,DMTK!$B$5:$L$263,3,0)</f>
        <v>Cty TNHH Kim Tín (ngắn hạn)</v>
      </c>
      <c r="C27" s="69">
        <f>SUMIFS(DMTK!$K$5:$K$263,DMTK!$B$5:$B$263,A27&amp;"*")</f>
        <v>0</v>
      </c>
      <c r="D27" s="69">
        <f>SUMIFS(DMTK!$L$5:$L$263,DMTK!$B$5:$B$263,'BTHCTTK (TH131) NGÀY'!A27&amp;"*")</f>
        <v>52000000</v>
      </c>
      <c r="E27" s="69">
        <f>SUMIFS(CT!$H$5:$H$143,CT!$A$5:$A$143,"&lt;"&amp;'BTHCTTK (TH131) NGÀY'!$D$3,CT!$D$5:$D$143,'BTHCTTK (TH131) NGÀY'!A27)</f>
        <v>0</v>
      </c>
      <c r="F27" s="69">
        <f>SUMIFS(CT!$H$5:$H$143,CT!$A$5:$A$143,"&lt;"&amp;'BTHCTTK (TH131) NGÀY'!$D$3,CT!$E$5:$E$143,'BTHCTTK (TH131) NGÀY'!A27)</f>
        <v>0</v>
      </c>
      <c r="G27" s="69">
        <f t="shared" si="0"/>
        <v>0</v>
      </c>
      <c r="H27" s="69">
        <f t="shared" si="1"/>
        <v>52000000</v>
      </c>
      <c r="I27" s="69">
        <f>SUMIFS(CT!$H$5:$H$143,CT!$A$5:$A$143,"&gt;="&amp;'BTHCTTK (TH131) NGÀY'!$D$3,CT!$A$5:$A$143,"&lt;="&amp;'BTHCTTK (TH131) NGÀY'!$G$3,CT!$D$5:$D$143,'BTHCTTK (TH131) NGÀY'!A27)</f>
        <v>0</v>
      </c>
      <c r="J27" s="69">
        <f>SUMIFS(CT!$H$5:$H$143,CT!$A$5:$A$143,"&gt;="&amp;$D$3,CT!$A$5:$A$143,"&lt;="&amp;$G$3,CT!$E$5:$E$143,'BTHCTTK (TH131) NGÀY'!A27)</f>
        <v>0</v>
      </c>
      <c r="K27" s="69">
        <f t="shared" si="2"/>
        <v>0</v>
      </c>
      <c r="L27" s="69">
        <f t="shared" si="3"/>
        <v>52000000</v>
      </c>
      <c r="M27" t="b">
        <f t="shared" si="4"/>
        <v>1</v>
      </c>
    </row>
    <row r="28" spans="1:13" x14ac:dyDescent="0.25">
      <c r="A28" s="93" t="str">
        <f>DMTK!B27</f>
        <v>1311.05</v>
      </c>
      <c r="B28" s="65" t="str">
        <f>VLOOKUP(A28,DMTK!$B$5:$L$263,3,0)</f>
        <v>Cty TNHH Nam Việt (ngắn hạn)</v>
      </c>
      <c r="C28" s="69">
        <f>SUMIFS(DMTK!$K$5:$K$263,DMTK!$B$5:$B$263,A28&amp;"*")</f>
        <v>0</v>
      </c>
      <c r="D28" s="69">
        <f>SUMIFS(DMTK!$L$5:$L$263,DMTK!$B$5:$B$263,'BTHCTTK (TH131) NGÀY'!A28&amp;"*")</f>
        <v>0</v>
      </c>
      <c r="E28" s="69">
        <f>SUMIFS(CT!$H$5:$H$143,CT!$A$5:$A$143,"&lt;"&amp;'BTHCTTK (TH131) NGÀY'!$D$3,CT!$D$5:$D$143,'BTHCTTK (TH131) NGÀY'!A28)</f>
        <v>0</v>
      </c>
      <c r="F28" s="69">
        <f>SUMIFS(CT!$H$5:$H$143,CT!$A$5:$A$143,"&lt;"&amp;'BTHCTTK (TH131) NGÀY'!$D$3,CT!$E$5:$E$143,'BTHCTTK (TH131) NGÀY'!A28)</f>
        <v>0</v>
      </c>
      <c r="G28" s="69">
        <f t="shared" si="0"/>
        <v>0</v>
      </c>
      <c r="H28" s="69">
        <f t="shared" si="1"/>
        <v>0</v>
      </c>
      <c r="I28" s="69">
        <f>SUMIFS(CT!$H$5:$H$143,CT!$A$5:$A$143,"&gt;="&amp;'BTHCTTK (TH131) NGÀY'!$D$3,CT!$A$5:$A$143,"&lt;="&amp;'BTHCTTK (TH131) NGÀY'!$G$3,CT!$D$5:$D$143,'BTHCTTK (TH131) NGÀY'!A28)</f>
        <v>30150000</v>
      </c>
      <c r="J28" s="69">
        <f>SUMIFS(CT!$H$5:$H$143,CT!$A$5:$A$143,"&gt;="&amp;$D$3,CT!$A$5:$A$143,"&lt;="&amp;$G$3,CT!$E$5:$E$143,'BTHCTTK (TH131) NGÀY'!A28)</f>
        <v>0</v>
      </c>
      <c r="K28" s="69">
        <f t="shared" si="2"/>
        <v>30150000</v>
      </c>
      <c r="L28" s="69">
        <f t="shared" si="3"/>
        <v>0</v>
      </c>
      <c r="M28" t="b">
        <f t="shared" si="4"/>
        <v>1</v>
      </c>
    </row>
    <row r="29" spans="1:13" x14ac:dyDescent="0.25">
      <c r="A29" s="93" t="str">
        <f>DMTK!B28</f>
        <v>1311.06</v>
      </c>
      <c r="B29" s="65" t="str">
        <f>VLOOKUP(A29,DMTK!$B$5:$L$263,3,0)</f>
        <v>Cty XNK Vật Tư (ngắn hạn)</v>
      </c>
      <c r="C29" s="69">
        <f>SUMIFS(DMTK!$K$5:$K$263,DMTK!$B$5:$B$263,A29&amp;"*")</f>
        <v>0</v>
      </c>
      <c r="D29" s="69">
        <f>SUMIFS(DMTK!$L$5:$L$263,DMTK!$B$5:$B$263,'BTHCTTK (TH131) NGÀY'!A29&amp;"*")</f>
        <v>0</v>
      </c>
      <c r="E29" s="69">
        <f>SUMIFS(CT!$H$5:$H$143,CT!$A$5:$A$143,"&lt;"&amp;'BTHCTTK (TH131) NGÀY'!$D$3,CT!$D$5:$D$143,'BTHCTTK (TH131) NGÀY'!A29)</f>
        <v>0</v>
      </c>
      <c r="F29" s="69">
        <f>SUMIFS(CT!$H$5:$H$143,CT!$A$5:$A$143,"&lt;"&amp;'BTHCTTK (TH131) NGÀY'!$D$3,CT!$E$5:$E$143,'BTHCTTK (TH131) NGÀY'!A29)</f>
        <v>0</v>
      </c>
      <c r="G29" s="69">
        <f t="shared" si="0"/>
        <v>0</v>
      </c>
      <c r="H29" s="69">
        <f t="shared" si="1"/>
        <v>0</v>
      </c>
      <c r="I29" s="69">
        <f>SUMIFS(CT!$H$5:$H$143,CT!$A$5:$A$143,"&gt;="&amp;'BTHCTTK (TH131) NGÀY'!$D$3,CT!$A$5:$A$143,"&lt;="&amp;'BTHCTTK (TH131) NGÀY'!$G$3,CT!$D$5:$D$143,'BTHCTTK (TH131) NGÀY'!A29)</f>
        <v>61007500</v>
      </c>
      <c r="J29" s="69">
        <f>SUMIFS(CT!$H$5:$H$143,CT!$A$5:$A$143,"&gt;="&amp;$D$3,CT!$A$5:$A$143,"&lt;="&amp;$G$3,CT!$E$5:$E$143,'BTHCTTK (TH131) NGÀY'!A29)</f>
        <v>0</v>
      </c>
      <c r="K29" s="69">
        <f t="shared" si="2"/>
        <v>61007500</v>
      </c>
      <c r="L29" s="69">
        <f t="shared" si="3"/>
        <v>0</v>
      </c>
      <c r="M29" t="b">
        <f t="shared" si="4"/>
        <v>1</v>
      </c>
    </row>
    <row r="30" spans="1:13" hidden="1" x14ac:dyDescent="0.25">
      <c r="A30" s="93" t="str">
        <f>DMTK!B29</f>
        <v>1331</v>
      </c>
      <c r="B30" s="65" t="str">
        <f>VLOOKUP(A30,DMTK!$B$5:$L$263,3,0)</f>
        <v>Thuế GTGT được khấu trừ của hàng hóa, dịch vụ</v>
      </c>
      <c r="C30" s="69">
        <f>SUMIFS(DMTK!$K$5:$K$263,DMTK!$B$5:$B$263,A30&amp;"*")</f>
        <v>0</v>
      </c>
      <c r="D30" s="69">
        <f>SUMIFS(DMTK!$L$5:$L$263,DMTK!$B$5:$B$263,'BTHCTTK (TH131) NGÀY'!A30&amp;"*")</f>
        <v>0</v>
      </c>
      <c r="E30" s="69">
        <f>SUMIFS(CT!$H$5:$H$143,CT!$A$5:$A$143,"&lt;"&amp;'BTHCTTK (TH131) NGÀY'!$D$3,CT!$D$5:$D$143,'BTHCTTK (TH131) NGÀY'!A30)</f>
        <v>1655000</v>
      </c>
      <c r="F30" s="69">
        <f>SUMIFS(CT!$H$5:$H$143,CT!$A$5:$A$143,"&lt;"&amp;'BTHCTTK (TH131) NGÀY'!$D$3,CT!$E$5:$E$143,'BTHCTTK (TH131) NGÀY'!A30)</f>
        <v>0</v>
      </c>
      <c r="G30" s="69">
        <f t="shared" si="0"/>
        <v>1655000</v>
      </c>
      <c r="H30" s="69">
        <f t="shared" si="1"/>
        <v>0</v>
      </c>
      <c r="I30" s="69">
        <f>SUMIFS(CT!$H$5:$H$143,CT!$A$5:$A$143,"&gt;="&amp;'BTHCTTK (TH131) NGÀY'!$D$3,CT!$A$5:$A$143,"&lt;="&amp;'BTHCTTK (TH131) NGÀY'!$G$3,CT!$D$5:$D$143,'BTHCTTK (TH131) NGÀY'!A30)</f>
        <v>0</v>
      </c>
      <c r="J30" s="69">
        <f>SUMIFS(CT!$H$5:$H$143,CT!$A$5:$A$143,"&gt;="&amp;$D$3,CT!$A$5:$A$143,"&lt;="&amp;$G$3,CT!$E$5:$E$143,'BTHCTTK (TH131) NGÀY'!A30)</f>
        <v>0</v>
      </c>
      <c r="K30" s="69">
        <f t="shared" si="2"/>
        <v>1655000</v>
      </c>
      <c r="L30" s="69">
        <f t="shared" si="3"/>
        <v>0</v>
      </c>
      <c r="M30" t="b">
        <f t="shared" si="4"/>
        <v>0</v>
      </c>
    </row>
    <row r="31" spans="1:13" hidden="1" x14ac:dyDescent="0.25">
      <c r="A31" s="93" t="str">
        <f>DMTK!B30</f>
        <v>1332</v>
      </c>
      <c r="B31" s="65" t="str">
        <f>VLOOKUP(A31,DMTK!$B$5:$L$263,3,0)</f>
        <v>Thuế GTGT được khấu trừ của TSCĐ</v>
      </c>
      <c r="C31" s="69">
        <f>SUMIFS(DMTK!$K$5:$K$263,DMTK!$B$5:$B$263,A31&amp;"*")</f>
        <v>0</v>
      </c>
      <c r="D31" s="69">
        <f>SUMIFS(DMTK!$L$5:$L$263,DMTK!$B$5:$B$263,'BTHCTTK (TH131) NGÀY'!A31&amp;"*")</f>
        <v>0</v>
      </c>
      <c r="E31" s="69">
        <f>SUMIFS(CT!$H$5:$H$143,CT!$A$5:$A$143,"&lt;"&amp;'BTHCTTK (TH131) NGÀY'!$D$3,CT!$D$5:$D$143,'BTHCTTK (TH131) NGÀY'!A31)</f>
        <v>0</v>
      </c>
      <c r="F31" s="69">
        <f>SUMIFS(CT!$H$5:$H$143,CT!$A$5:$A$143,"&lt;"&amp;'BTHCTTK (TH131) NGÀY'!$D$3,CT!$E$5:$E$143,'BTHCTTK (TH131) NGÀY'!A31)</f>
        <v>0</v>
      </c>
      <c r="G31" s="69">
        <f t="shared" si="0"/>
        <v>0</v>
      </c>
      <c r="H31" s="69">
        <f t="shared" si="1"/>
        <v>0</v>
      </c>
      <c r="I31" s="69">
        <f>SUMIFS(CT!$H$5:$H$143,CT!$A$5:$A$143,"&gt;="&amp;'BTHCTTK (TH131) NGÀY'!$D$3,CT!$A$5:$A$143,"&lt;="&amp;'BTHCTTK (TH131) NGÀY'!$G$3,CT!$D$5:$D$143,'BTHCTTK (TH131) NGÀY'!A31)</f>
        <v>14000000</v>
      </c>
      <c r="J31" s="69">
        <f>SUMIFS(CT!$H$5:$H$143,CT!$A$5:$A$143,"&gt;="&amp;$D$3,CT!$A$5:$A$143,"&lt;="&amp;$G$3,CT!$E$5:$E$143,'BTHCTTK (TH131) NGÀY'!A31)</f>
        <v>0</v>
      </c>
      <c r="K31" s="69">
        <f t="shared" si="2"/>
        <v>14000000</v>
      </c>
      <c r="L31" s="69">
        <f t="shared" si="3"/>
        <v>0</v>
      </c>
      <c r="M31" t="b">
        <f t="shared" si="4"/>
        <v>0</v>
      </c>
    </row>
    <row r="32" spans="1:13" hidden="1" x14ac:dyDescent="0.25">
      <c r="A32" s="93" t="str">
        <f>DMTK!B31</f>
        <v>1361</v>
      </c>
      <c r="B32" s="65" t="str">
        <f>VLOOKUP(A32,DMTK!$B$5:$L$263,3,0)</f>
        <v>Vốn kinh doanh ở các đơn vị trực thuộc</v>
      </c>
      <c r="C32" s="69">
        <f>SUMIFS(DMTK!$K$5:$K$263,DMTK!$B$5:$B$263,A32&amp;"*")</f>
        <v>0</v>
      </c>
      <c r="D32" s="69">
        <f>SUMIFS(DMTK!$L$5:$L$263,DMTK!$B$5:$B$263,'BTHCTTK (TH131) NGÀY'!A32&amp;"*")</f>
        <v>0</v>
      </c>
      <c r="E32" s="69">
        <f>SUMIFS(CT!$H$5:$H$143,CT!$A$5:$A$143,"&lt;"&amp;'BTHCTTK (TH131) NGÀY'!$D$3,CT!$D$5:$D$143,'BTHCTTK (TH131) NGÀY'!A32)</f>
        <v>0</v>
      </c>
      <c r="F32" s="69">
        <f>SUMIFS(CT!$H$5:$H$143,CT!$A$5:$A$143,"&lt;"&amp;'BTHCTTK (TH131) NGÀY'!$D$3,CT!$E$5:$E$143,'BTHCTTK (TH131) NGÀY'!A32)</f>
        <v>0</v>
      </c>
      <c r="G32" s="69">
        <f t="shared" si="0"/>
        <v>0</v>
      </c>
      <c r="H32" s="69">
        <f t="shared" si="1"/>
        <v>0</v>
      </c>
      <c r="I32" s="69">
        <f>SUMIFS(CT!$H$5:$H$143,CT!$A$5:$A$143,"&gt;="&amp;'BTHCTTK (TH131) NGÀY'!$D$3,CT!$A$5:$A$143,"&lt;="&amp;'BTHCTTK (TH131) NGÀY'!$G$3,CT!$D$5:$D$143,'BTHCTTK (TH131) NGÀY'!A32)</f>
        <v>0</v>
      </c>
      <c r="J32" s="69">
        <f>SUMIFS(CT!$H$5:$H$143,CT!$A$5:$A$143,"&gt;="&amp;$D$3,CT!$A$5:$A$143,"&lt;="&amp;$G$3,CT!$E$5:$E$143,'BTHCTTK (TH131) NGÀY'!A32)</f>
        <v>0</v>
      </c>
      <c r="K32" s="69">
        <f t="shared" si="2"/>
        <v>0</v>
      </c>
      <c r="L32" s="69">
        <f t="shared" si="3"/>
        <v>0</v>
      </c>
      <c r="M32" t="b">
        <f t="shared" si="4"/>
        <v>0</v>
      </c>
    </row>
    <row r="33" spans="1:13" hidden="1" x14ac:dyDescent="0.25">
      <c r="A33" s="93" t="str">
        <f>DMTK!B32</f>
        <v>13621</v>
      </c>
      <c r="B33" s="65" t="str">
        <f>VLOOKUP(A33,DMTK!$B$5:$L$263,3,0)</f>
        <v>Phải thu nội bộ về chênh lệch tỷ giá (không quá 12 tháng)</v>
      </c>
      <c r="C33" s="69">
        <f>SUMIFS(DMTK!$K$5:$K$263,DMTK!$B$5:$B$263,A33&amp;"*")</f>
        <v>0</v>
      </c>
      <c r="D33" s="69">
        <f>SUMIFS(DMTK!$L$5:$L$263,DMTK!$B$5:$B$263,'BTHCTTK (TH131) NGÀY'!A33&amp;"*")</f>
        <v>0</v>
      </c>
      <c r="E33" s="69">
        <f>SUMIFS(CT!$H$5:$H$143,CT!$A$5:$A$143,"&lt;"&amp;'BTHCTTK (TH131) NGÀY'!$D$3,CT!$D$5:$D$143,'BTHCTTK (TH131) NGÀY'!A33)</f>
        <v>0</v>
      </c>
      <c r="F33" s="69">
        <f>SUMIFS(CT!$H$5:$H$143,CT!$A$5:$A$143,"&lt;"&amp;'BTHCTTK (TH131) NGÀY'!$D$3,CT!$E$5:$E$143,'BTHCTTK (TH131) NGÀY'!A33)</f>
        <v>0</v>
      </c>
      <c r="G33" s="69">
        <f t="shared" si="0"/>
        <v>0</v>
      </c>
      <c r="H33" s="69">
        <f t="shared" si="1"/>
        <v>0</v>
      </c>
      <c r="I33" s="69">
        <f>SUMIFS(CT!$H$5:$H$143,CT!$A$5:$A$143,"&gt;="&amp;'BTHCTTK (TH131) NGÀY'!$D$3,CT!$A$5:$A$143,"&lt;="&amp;'BTHCTTK (TH131) NGÀY'!$G$3,CT!$D$5:$D$143,'BTHCTTK (TH131) NGÀY'!A33)</f>
        <v>0</v>
      </c>
      <c r="J33" s="69">
        <f>SUMIFS(CT!$H$5:$H$143,CT!$A$5:$A$143,"&gt;="&amp;$D$3,CT!$A$5:$A$143,"&lt;="&amp;$G$3,CT!$E$5:$E$143,'BTHCTTK (TH131) NGÀY'!A33)</f>
        <v>0</v>
      </c>
      <c r="K33" s="69">
        <f t="shared" si="2"/>
        <v>0</v>
      </c>
      <c r="L33" s="69">
        <f t="shared" si="3"/>
        <v>0</v>
      </c>
      <c r="M33" t="b">
        <f t="shared" si="4"/>
        <v>0</v>
      </c>
    </row>
    <row r="34" spans="1:13" hidden="1" x14ac:dyDescent="0.25">
      <c r="A34" s="93" t="str">
        <f>DMTK!B33</f>
        <v>13622</v>
      </c>
      <c r="B34" s="65" t="str">
        <f>VLOOKUP(A34,DMTK!$B$5:$L$263,3,0)</f>
        <v>Phải thu nội bộ về chênh lệch tỷ giá (trên 12 tháng)</v>
      </c>
      <c r="C34" s="69">
        <f>SUMIFS(DMTK!$K$5:$K$263,DMTK!$B$5:$B$263,A34&amp;"*")</f>
        <v>0</v>
      </c>
      <c r="D34" s="69">
        <f>SUMIFS(DMTK!$L$5:$L$263,DMTK!$B$5:$B$263,'BTHCTTK (TH131) NGÀY'!A34&amp;"*")</f>
        <v>0</v>
      </c>
      <c r="E34" s="69">
        <f>SUMIFS(CT!$H$5:$H$143,CT!$A$5:$A$143,"&lt;"&amp;'BTHCTTK (TH131) NGÀY'!$D$3,CT!$D$5:$D$143,'BTHCTTK (TH131) NGÀY'!A34)</f>
        <v>0</v>
      </c>
      <c r="F34" s="69">
        <f>SUMIFS(CT!$H$5:$H$143,CT!$A$5:$A$143,"&lt;"&amp;'BTHCTTK (TH131) NGÀY'!$D$3,CT!$E$5:$E$143,'BTHCTTK (TH131) NGÀY'!A34)</f>
        <v>0</v>
      </c>
      <c r="G34" s="69">
        <f t="shared" si="0"/>
        <v>0</v>
      </c>
      <c r="H34" s="69">
        <f t="shared" si="1"/>
        <v>0</v>
      </c>
      <c r="I34" s="69">
        <f>SUMIFS(CT!$H$5:$H$143,CT!$A$5:$A$143,"&gt;="&amp;'BTHCTTK (TH131) NGÀY'!$D$3,CT!$A$5:$A$143,"&lt;="&amp;'BTHCTTK (TH131) NGÀY'!$G$3,CT!$D$5:$D$143,'BTHCTTK (TH131) NGÀY'!A34)</f>
        <v>0</v>
      </c>
      <c r="J34" s="69">
        <f>SUMIFS(CT!$H$5:$H$143,CT!$A$5:$A$143,"&gt;="&amp;$D$3,CT!$A$5:$A$143,"&lt;="&amp;$G$3,CT!$E$5:$E$143,'BTHCTTK (TH131) NGÀY'!A34)</f>
        <v>0</v>
      </c>
      <c r="K34" s="69">
        <f t="shared" si="2"/>
        <v>0</v>
      </c>
      <c r="L34" s="69">
        <f t="shared" si="3"/>
        <v>0</v>
      </c>
      <c r="M34" t="b">
        <f t="shared" si="4"/>
        <v>0</v>
      </c>
    </row>
    <row r="35" spans="1:13" hidden="1" x14ac:dyDescent="0.25">
      <c r="A35" s="93" t="str">
        <f>DMTK!B34</f>
        <v>13631</v>
      </c>
      <c r="B35" s="65" t="str">
        <f>VLOOKUP(A35,DMTK!$B$5:$L$263,3,0)</f>
        <v>Phải thu nội bộ về chi phí đi vay đủ điều kiện được vốn hóa (không quá 12 tháng)</v>
      </c>
      <c r="C35" s="69">
        <f>SUMIFS(DMTK!$K$5:$K$263,DMTK!$B$5:$B$263,A35&amp;"*")</f>
        <v>0</v>
      </c>
      <c r="D35" s="69">
        <f>SUMIFS(DMTK!$L$5:$L$263,DMTK!$B$5:$B$263,'BTHCTTK (TH131) NGÀY'!A35&amp;"*")</f>
        <v>0</v>
      </c>
      <c r="E35" s="69">
        <f>SUMIFS(CT!$H$5:$H$143,CT!$A$5:$A$143,"&lt;"&amp;'BTHCTTK (TH131) NGÀY'!$D$3,CT!$D$5:$D$143,'BTHCTTK (TH131) NGÀY'!A35)</f>
        <v>0</v>
      </c>
      <c r="F35" s="69">
        <f>SUMIFS(CT!$H$5:$H$143,CT!$A$5:$A$143,"&lt;"&amp;'BTHCTTK (TH131) NGÀY'!$D$3,CT!$E$5:$E$143,'BTHCTTK (TH131) NGÀY'!A35)</f>
        <v>0</v>
      </c>
      <c r="G35" s="69">
        <f t="shared" si="0"/>
        <v>0</v>
      </c>
      <c r="H35" s="69">
        <f t="shared" si="1"/>
        <v>0</v>
      </c>
      <c r="I35" s="69">
        <f>SUMIFS(CT!$H$5:$H$143,CT!$A$5:$A$143,"&gt;="&amp;'BTHCTTK (TH131) NGÀY'!$D$3,CT!$A$5:$A$143,"&lt;="&amp;'BTHCTTK (TH131) NGÀY'!$G$3,CT!$D$5:$D$143,'BTHCTTK (TH131) NGÀY'!A35)</f>
        <v>0</v>
      </c>
      <c r="J35" s="69">
        <f>SUMIFS(CT!$H$5:$H$143,CT!$A$5:$A$143,"&gt;="&amp;$D$3,CT!$A$5:$A$143,"&lt;="&amp;$G$3,CT!$E$5:$E$143,'BTHCTTK (TH131) NGÀY'!A35)</f>
        <v>0</v>
      </c>
      <c r="K35" s="69">
        <f t="shared" si="2"/>
        <v>0</v>
      </c>
      <c r="L35" s="69">
        <f t="shared" si="3"/>
        <v>0</v>
      </c>
      <c r="M35" t="b">
        <f t="shared" si="4"/>
        <v>0</v>
      </c>
    </row>
    <row r="36" spans="1:13" hidden="1" x14ac:dyDescent="0.25">
      <c r="A36" s="93" t="str">
        <f>DMTK!B35</f>
        <v>13632</v>
      </c>
      <c r="B36" s="65" t="str">
        <f>VLOOKUP(A36,DMTK!$B$5:$L$263,3,0)</f>
        <v>Phải thu nội bộ về chi phí đi vay đủ điều kiện được vốn hóa (trên 12 tháng)</v>
      </c>
      <c r="C36" s="69">
        <f>SUMIFS(DMTK!$K$5:$K$263,DMTK!$B$5:$B$263,A36&amp;"*")</f>
        <v>0</v>
      </c>
      <c r="D36" s="69">
        <f>SUMIFS(DMTK!$L$5:$L$263,DMTK!$B$5:$B$263,'BTHCTTK (TH131) NGÀY'!A36&amp;"*")</f>
        <v>0</v>
      </c>
      <c r="E36" s="69">
        <f>SUMIFS(CT!$H$5:$H$143,CT!$A$5:$A$143,"&lt;"&amp;'BTHCTTK (TH131) NGÀY'!$D$3,CT!$D$5:$D$143,'BTHCTTK (TH131) NGÀY'!A36)</f>
        <v>0</v>
      </c>
      <c r="F36" s="69">
        <f>SUMIFS(CT!$H$5:$H$143,CT!$A$5:$A$143,"&lt;"&amp;'BTHCTTK (TH131) NGÀY'!$D$3,CT!$E$5:$E$143,'BTHCTTK (TH131) NGÀY'!A36)</f>
        <v>0</v>
      </c>
      <c r="G36" s="69">
        <f t="shared" si="0"/>
        <v>0</v>
      </c>
      <c r="H36" s="69">
        <f t="shared" si="1"/>
        <v>0</v>
      </c>
      <c r="I36" s="69">
        <f>SUMIFS(CT!$H$5:$H$143,CT!$A$5:$A$143,"&gt;="&amp;'BTHCTTK (TH131) NGÀY'!$D$3,CT!$A$5:$A$143,"&lt;="&amp;'BTHCTTK (TH131) NGÀY'!$G$3,CT!$D$5:$D$143,'BTHCTTK (TH131) NGÀY'!A36)</f>
        <v>0</v>
      </c>
      <c r="J36" s="69">
        <f>SUMIFS(CT!$H$5:$H$143,CT!$A$5:$A$143,"&gt;="&amp;$D$3,CT!$A$5:$A$143,"&lt;="&amp;$G$3,CT!$E$5:$E$143,'BTHCTTK (TH131) NGÀY'!A36)</f>
        <v>0</v>
      </c>
      <c r="K36" s="69">
        <f t="shared" si="2"/>
        <v>0</v>
      </c>
      <c r="L36" s="69">
        <f t="shared" si="3"/>
        <v>0</v>
      </c>
      <c r="M36" t="b">
        <f t="shared" si="4"/>
        <v>0</v>
      </c>
    </row>
    <row r="37" spans="1:13" hidden="1" x14ac:dyDescent="0.25">
      <c r="A37" s="93" t="str">
        <f>DMTK!B36</f>
        <v>13681</v>
      </c>
      <c r="B37" s="65" t="str">
        <f>VLOOKUP(A37,DMTK!$B$5:$L$263,3,0)</f>
        <v>Phải thu nội bộ khác (không quá 12 tháng)</v>
      </c>
      <c r="C37" s="69">
        <f>SUMIFS(DMTK!$K$5:$K$263,DMTK!$B$5:$B$263,A37&amp;"*")</f>
        <v>0</v>
      </c>
      <c r="D37" s="69">
        <f>SUMIFS(DMTK!$L$5:$L$263,DMTK!$B$5:$B$263,'BTHCTTK (TH131) NGÀY'!A37&amp;"*")</f>
        <v>0</v>
      </c>
      <c r="E37" s="69">
        <f>SUMIFS(CT!$H$5:$H$143,CT!$A$5:$A$143,"&lt;"&amp;'BTHCTTK (TH131) NGÀY'!$D$3,CT!$D$5:$D$143,'BTHCTTK (TH131) NGÀY'!A37)</f>
        <v>0</v>
      </c>
      <c r="F37" s="69">
        <f>SUMIFS(CT!$H$5:$H$143,CT!$A$5:$A$143,"&lt;"&amp;'BTHCTTK (TH131) NGÀY'!$D$3,CT!$E$5:$E$143,'BTHCTTK (TH131) NGÀY'!A37)</f>
        <v>0</v>
      </c>
      <c r="G37" s="69">
        <f t="shared" si="0"/>
        <v>0</v>
      </c>
      <c r="H37" s="69">
        <f t="shared" si="1"/>
        <v>0</v>
      </c>
      <c r="I37" s="69">
        <f>SUMIFS(CT!$H$5:$H$143,CT!$A$5:$A$143,"&gt;="&amp;'BTHCTTK (TH131) NGÀY'!$D$3,CT!$A$5:$A$143,"&lt;="&amp;'BTHCTTK (TH131) NGÀY'!$G$3,CT!$D$5:$D$143,'BTHCTTK (TH131) NGÀY'!A37)</f>
        <v>0</v>
      </c>
      <c r="J37" s="69">
        <f>SUMIFS(CT!$H$5:$H$143,CT!$A$5:$A$143,"&gt;="&amp;$D$3,CT!$A$5:$A$143,"&lt;="&amp;$G$3,CT!$E$5:$E$143,'BTHCTTK (TH131) NGÀY'!A37)</f>
        <v>0</v>
      </c>
      <c r="K37" s="69">
        <f t="shared" si="2"/>
        <v>0</v>
      </c>
      <c r="L37" s="69">
        <f t="shared" si="3"/>
        <v>0</v>
      </c>
      <c r="M37" t="b">
        <f t="shared" si="4"/>
        <v>0</v>
      </c>
    </row>
    <row r="38" spans="1:13" hidden="1" x14ac:dyDescent="0.25">
      <c r="A38" s="93" t="str">
        <f>DMTK!B37</f>
        <v>13682</v>
      </c>
      <c r="B38" s="65" t="str">
        <f>VLOOKUP(A38,DMTK!$B$5:$L$263,3,0)</f>
        <v>Phải thu nội bộ khác (trên 12 tháng)</v>
      </c>
      <c r="C38" s="69">
        <f>SUMIFS(DMTK!$K$5:$K$263,DMTK!$B$5:$B$263,A38&amp;"*")</f>
        <v>0</v>
      </c>
      <c r="D38" s="69">
        <f>SUMIFS(DMTK!$L$5:$L$263,DMTK!$B$5:$B$263,'BTHCTTK (TH131) NGÀY'!A38&amp;"*")</f>
        <v>0</v>
      </c>
      <c r="E38" s="69">
        <f>SUMIFS(CT!$H$5:$H$143,CT!$A$5:$A$143,"&lt;"&amp;'BTHCTTK (TH131) NGÀY'!$D$3,CT!$D$5:$D$143,'BTHCTTK (TH131) NGÀY'!A38)</f>
        <v>0</v>
      </c>
      <c r="F38" s="69">
        <f>SUMIFS(CT!$H$5:$H$143,CT!$A$5:$A$143,"&lt;"&amp;'BTHCTTK (TH131) NGÀY'!$D$3,CT!$E$5:$E$143,'BTHCTTK (TH131) NGÀY'!A38)</f>
        <v>0</v>
      </c>
      <c r="G38" s="69">
        <f t="shared" si="0"/>
        <v>0</v>
      </c>
      <c r="H38" s="69">
        <f t="shared" si="1"/>
        <v>0</v>
      </c>
      <c r="I38" s="69">
        <f>SUMIFS(CT!$H$5:$H$143,CT!$A$5:$A$143,"&gt;="&amp;'BTHCTTK (TH131) NGÀY'!$D$3,CT!$A$5:$A$143,"&lt;="&amp;'BTHCTTK (TH131) NGÀY'!$G$3,CT!$D$5:$D$143,'BTHCTTK (TH131) NGÀY'!A38)</f>
        <v>0</v>
      </c>
      <c r="J38" s="69">
        <f>SUMIFS(CT!$H$5:$H$143,CT!$A$5:$A$143,"&gt;="&amp;$D$3,CT!$A$5:$A$143,"&lt;="&amp;$G$3,CT!$E$5:$E$143,'BTHCTTK (TH131) NGÀY'!A38)</f>
        <v>0</v>
      </c>
      <c r="K38" s="69">
        <f t="shared" si="2"/>
        <v>0</v>
      </c>
      <c r="L38" s="69">
        <f t="shared" si="3"/>
        <v>0</v>
      </c>
      <c r="M38" t="b">
        <f t="shared" si="4"/>
        <v>0</v>
      </c>
    </row>
    <row r="39" spans="1:13" hidden="1" x14ac:dyDescent="0.25">
      <c r="A39" s="93" t="str">
        <f>DMTK!B38</f>
        <v>1381</v>
      </c>
      <c r="B39" s="65" t="str">
        <f>VLOOKUP(A39,DMTK!$B$5:$L$263,3,0)</f>
        <v>Tài sản thiếu chờ xử lý</v>
      </c>
      <c r="C39" s="69">
        <f>SUMIFS(DMTK!$K$5:$K$263,DMTK!$B$5:$B$263,A39&amp;"*")</f>
        <v>0</v>
      </c>
      <c r="D39" s="69">
        <f>SUMIFS(DMTK!$L$5:$L$263,DMTK!$B$5:$B$263,'BTHCTTK (TH131) NGÀY'!A39&amp;"*")</f>
        <v>0</v>
      </c>
      <c r="E39" s="69">
        <f>SUMIFS(CT!$H$5:$H$143,CT!$A$5:$A$143,"&lt;"&amp;'BTHCTTK (TH131) NGÀY'!$D$3,CT!$D$5:$D$143,'BTHCTTK (TH131) NGÀY'!A39)</f>
        <v>0</v>
      </c>
      <c r="F39" s="69">
        <f>SUMIFS(CT!$H$5:$H$143,CT!$A$5:$A$143,"&lt;"&amp;'BTHCTTK (TH131) NGÀY'!$D$3,CT!$E$5:$E$143,'BTHCTTK (TH131) NGÀY'!A39)</f>
        <v>0</v>
      </c>
      <c r="G39" s="69">
        <f t="shared" si="0"/>
        <v>0</v>
      </c>
      <c r="H39" s="69">
        <f t="shared" si="1"/>
        <v>0</v>
      </c>
      <c r="I39" s="69">
        <f>SUMIFS(CT!$H$5:$H$143,CT!$A$5:$A$143,"&gt;="&amp;'BTHCTTK (TH131) NGÀY'!$D$3,CT!$A$5:$A$143,"&lt;="&amp;'BTHCTTK (TH131) NGÀY'!$G$3,CT!$D$5:$D$143,'BTHCTTK (TH131) NGÀY'!A39)</f>
        <v>0</v>
      </c>
      <c r="J39" s="69">
        <f>SUMIFS(CT!$H$5:$H$143,CT!$A$5:$A$143,"&gt;="&amp;$D$3,CT!$A$5:$A$143,"&lt;="&amp;$G$3,CT!$E$5:$E$143,'BTHCTTK (TH131) NGÀY'!A39)</f>
        <v>0</v>
      </c>
      <c r="K39" s="69">
        <f t="shared" si="2"/>
        <v>0</v>
      </c>
      <c r="L39" s="69">
        <f t="shared" si="3"/>
        <v>0</v>
      </c>
      <c r="M39" t="b">
        <f t="shared" si="4"/>
        <v>0</v>
      </c>
    </row>
    <row r="40" spans="1:13" hidden="1" x14ac:dyDescent="0.25">
      <c r="A40" s="93" t="str">
        <f>DMTK!B39</f>
        <v>13851</v>
      </c>
      <c r="B40" s="65" t="str">
        <f>VLOOKUP(A40,DMTK!$B$5:$L$263,3,0)</f>
        <v>Phải thu về cổ phần hóa (không quá 12 tháng)</v>
      </c>
      <c r="C40" s="69">
        <f>SUMIFS(DMTK!$K$5:$K$263,DMTK!$B$5:$B$263,A40&amp;"*")</f>
        <v>0</v>
      </c>
      <c r="D40" s="69">
        <f>SUMIFS(DMTK!$L$5:$L$263,DMTK!$B$5:$B$263,'BTHCTTK (TH131) NGÀY'!A40&amp;"*")</f>
        <v>0</v>
      </c>
      <c r="E40" s="69">
        <f>SUMIFS(CT!$H$5:$H$143,CT!$A$5:$A$143,"&lt;"&amp;'BTHCTTK (TH131) NGÀY'!$D$3,CT!$D$5:$D$143,'BTHCTTK (TH131) NGÀY'!A40)</f>
        <v>0</v>
      </c>
      <c r="F40" s="69">
        <f>SUMIFS(CT!$H$5:$H$143,CT!$A$5:$A$143,"&lt;"&amp;'BTHCTTK (TH131) NGÀY'!$D$3,CT!$E$5:$E$143,'BTHCTTK (TH131) NGÀY'!A40)</f>
        <v>0</v>
      </c>
      <c r="G40" s="69">
        <f t="shared" si="0"/>
        <v>0</v>
      </c>
      <c r="H40" s="69">
        <f t="shared" si="1"/>
        <v>0</v>
      </c>
      <c r="I40" s="69">
        <f>SUMIFS(CT!$H$5:$H$143,CT!$A$5:$A$143,"&gt;="&amp;'BTHCTTK (TH131) NGÀY'!$D$3,CT!$A$5:$A$143,"&lt;="&amp;'BTHCTTK (TH131) NGÀY'!$G$3,CT!$D$5:$D$143,'BTHCTTK (TH131) NGÀY'!A40)</f>
        <v>0</v>
      </c>
      <c r="J40" s="69">
        <f>SUMIFS(CT!$H$5:$H$143,CT!$A$5:$A$143,"&gt;="&amp;$D$3,CT!$A$5:$A$143,"&lt;="&amp;$G$3,CT!$E$5:$E$143,'BTHCTTK (TH131) NGÀY'!A40)</f>
        <v>0</v>
      </c>
      <c r="K40" s="69">
        <f t="shared" si="2"/>
        <v>0</v>
      </c>
      <c r="L40" s="69">
        <f t="shared" si="3"/>
        <v>0</v>
      </c>
      <c r="M40" t="b">
        <f t="shared" si="4"/>
        <v>0</v>
      </c>
    </row>
    <row r="41" spans="1:13" hidden="1" x14ac:dyDescent="0.25">
      <c r="A41" s="93" t="str">
        <f>DMTK!B40</f>
        <v>13852</v>
      </c>
      <c r="B41" s="65" t="str">
        <f>VLOOKUP(A41,DMTK!$B$5:$L$263,3,0)</f>
        <v>Phải thu về cổ phần hóa</v>
      </c>
      <c r="C41" s="69">
        <f>SUMIFS(DMTK!$K$5:$K$263,DMTK!$B$5:$B$263,A41&amp;"*")</f>
        <v>0</v>
      </c>
      <c r="D41" s="69">
        <f>SUMIFS(DMTK!$L$5:$L$263,DMTK!$B$5:$B$263,'BTHCTTK (TH131) NGÀY'!A41&amp;"*")</f>
        <v>0</v>
      </c>
      <c r="E41" s="69">
        <f>SUMIFS(CT!$H$5:$H$143,CT!$A$5:$A$143,"&lt;"&amp;'BTHCTTK (TH131) NGÀY'!$D$3,CT!$D$5:$D$143,'BTHCTTK (TH131) NGÀY'!A41)</f>
        <v>0</v>
      </c>
      <c r="F41" s="69">
        <f>SUMIFS(CT!$H$5:$H$143,CT!$A$5:$A$143,"&lt;"&amp;'BTHCTTK (TH131) NGÀY'!$D$3,CT!$E$5:$E$143,'BTHCTTK (TH131) NGÀY'!A41)</f>
        <v>0</v>
      </c>
      <c r="G41" s="69">
        <f t="shared" si="0"/>
        <v>0</v>
      </c>
      <c r="H41" s="69">
        <f t="shared" si="1"/>
        <v>0</v>
      </c>
      <c r="I41" s="69">
        <f>SUMIFS(CT!$H$5:$H$143,CT!$A$5:$A$143,"&gt;="&amp;'BTHCTTK (TH131) NGÀY'!$D$3,CT!$A$5:$A$143,"&lt;="&amp;'BTHCTTK (TH131) NGÀY'!$G$3,CT!$D$5:$D$143,'BTHCTTK (TH131) NGÀY'!A41)</f>
        <v>0</v>
      </c>
      <c r="J41" s="69">
        <f>SUMIFS(CT!$H$5:$H$143,CT!$A$5:$A$143,"&gt;="&amp;$D$3,CT!$A$5:$A$143,"&lt;="&amp;$G$3,CT!$E$5:$E$143,'BTHCTTK (TH131) NGÀY'!A41)</f>
        <v>0</v>
      </c>
      <c r="K41" s="69">
        <f t="shared" si="2"/>
        <v>0</v>
      </c>
      <c r="L41" s="69">
        <f t="shared" si="3"/>
        <v>0</v>
      </c>
      <c r="M41" t="b">
        <f t="shared" si="4"/>
        <v>0</v>
      </c>
    </row>
    <row r="42" spans="1:13" hidden="1" x14ac:dyDescent="0.25">
      <c r="A42" s="93" t="str">
        <f>DMTK!B41</f>
        <v>13881</v>
      </c>
      <c r="B42" s="65" t="str">
        <f>VLOOKUP(A42,DMTK!$B$5:$L$263,3,0)</f>
        <v>Phải thu khác (không quá 12 tháng)</v>
      </c>
      <c r="C42" s="69">
        <f>SUMIFS(DMTK!$K$5:$K$263,DMTK!$B$5:$B$263,A42&amp;"*")</f>
        <v>52200000</v>
      </c>
      <c r="D42" s="69">
        <f>SUMIFS(DMTK!$L$5:$L$263,DMTK!$B$5:$B$263,'BTHCTTK (TH131) NGÀY'!A42&amp;"*")</f>
        <v>0</v>
      </c>
      <c r="E42" s="69">
        <f>SUMIFS(CT!$H$5:$H$143,CT!$A$5:$A$143,"&lt;"&amp;'BTHCTTK (TH131) NGÀY'!$D$3,CT!$D$5:$D$143,'BTHCTTK (TH131) NGÀY'!A42)</f>
        <v>0</v>
      </c>
      <c r="F42" s="69">
        <f>SUMIFS(CT!$H$5:$H$143,CT!$A$5:$A$143,"&lt;"&amp;'BTHCTTK (TH131) NGÀY'!$D$3,CT!$E$5:$E$143,'BTHCTTK (TH131) NGÀY'!A42)</f>
        <v>0</v>
      </c>
      <c r="G42" s="69">
        <f t="shared" si="0"/>
        <v>52200000</v>
      </c>
      <c r="H42" s="69">
        <f t="shared" si="1"/>
        <v>0</v>
      </c>
      <c r="I42" s="69">
        <f>SUMIFS(CT!$H$5:$H$143,CT!$A$5:$A$143,"&gt;="&amp;'BTHCTTK (TH131) NGÀY'!$D$3,CT!$A$5:$A$143,"&lt;="&amp;'BTHCTTK (TH131) NGÀY'!$G$3,CT!$D$5:$D$143,'BTHCTTK (TH131) NGÀY'!A42)</f>
        <v>0</v>
      </c>
      <c r="J42" s="69">
        <f>SUMIFS(CT!$H$5:$H$143,CT!$A$5:$A$143,"&gt;="&amp;$D$3,CT!$A$5:$A$143,"&lt;="&amp;$G$3,CT!$E$5:$E$143,'BTHCTTK (TH131) NGÀY'!A42)</f>
        <v>0</v>
      </c>
      <c r="K42" s="69">
        <f t="shared" si="2"/>
        <v>52200000</v>
      </c>
      <c r="L42" s="69">
        <f t="shared" si="3"/>
        <v>0</v>
      </c>
      <c r="M42" t="b">
        <f t="shared" si="4"/>
        <v>0</v>
      </c>
    </row>
    <row r="43" spans="1:13" hidden="1" x14ac:dyDescent="0.25">
      <c r="A43" s="93" t="str">
        <f>DMTK!B42</f>
        <v>13882</v>
      </c>
      <c r="B43" s="65" t="str">
        <f>VLOOKUP(A43,DMTK!$B$5:$L$263,3,0)</f>
        <v>Phải thu khác (trên 12 tháng)</v>
      </c>
      <c r="C43" s="69">
        <f>SUMIFS(DMTK!$K$5:$K$263,DMTK!$B$5:$B$263,A43&amp;"*")</f>
        <v>0</v>
      </c>
      <c r="D43" s="69">
        <f>SUMIFS(DMTK!$L$5:$L$263,DMTK!$B$5:$B$263,'BTHCTTK (TH131) NGÀY'!A43&amp;"*")</f>
        <v>0</v>
      </c>
      <c r="E43" s="69">
        <f>SUMIFS(CT!$H$5:$H$143,CT!$A$5:$A$143,"&lt;"&amp;'BTHCTTK (TH131) NGÀY'!$D$3,CT!$D$5:$D$143,'BTHCTTK (TH131) NGÀY'!A43)</f>
        <v>0</v>
      </c>
      <c r="F43" s="69">
        <f>SUMIFS(CT!$H$5:$H$143,CT!$A$5:$A$143,"&lt;"&amp;'BTHCTTK (TH131) NGÀY'!$D$3,CT!$E$5:$E$143,'BTHCTTK (TH131) NGÀY'!A43)</f>
        <v>0</v>
      </c>
      <c r="G43" s="69">
        <f t="shared" si="0"/>
        <v>0</v>
      </c>
      <c r="H43" s="69">
        <f t="shared" si="1"/>
        <v>0</v>
      </c>
      <c r="I43" s="69">
        <f>SUMIFS(CT!$H$5:$H$143,CT!$A$5:$A$143,"&gt;="&amp;'BTHCTTK (TH131) NGÀY'!$D$3,CT!$A$5:$A$143,"&lt;="&amp;'BTHCTTK (TH131) NGÀY'!$G$3,CT!$D$5:$D$143,'BTHCTTK (TH131) NGÀY'!A43)</f>
        <v>0</v>
      </c>
      <c r="J43" s="69">
        <f>SUMIFS(CT!$H$5:$H$143,CT!$A$5:$A$143,"&gt;="&amp;$D$3,CT!$A$5:$A$143,"&lt;="&amp;$G$3,CT!$E$5:$E$143,'BTHCTTK (TH131) NGÀY'!A43)</f>
        <v>0</v>
      </c>
      <c r="K43" s="69">
        <f t="shared" si="2"/>
        <v>0</v>
      </c>
      <c r="L43" s="69">
        <f t="shared" si="3"/>
        <v>0</v>
      </c>
      <c r="M43" t="b">
        <f t="shared" si="4"/>
        <v>0</v>
      </c>
    </row>
    <row r="44" spans="1:13" hidden="1" x14ac:dyDescent="0.25">
      <c r="A44" s="93" t="str">
        <f>DMTK!B43</f>
        <v>141.0101</v>
      </c>
      <c r="B44" s="65" t="str">
        <f>VLOOKUP(A44,DMTK!$B$5:$L$263,3,0)</f>
        <v>Vương Thiện Minh</v>
      </c>
      <c r="C44" s="69">
        <f>SUMIFS(DMTK!$K$5:$K$263,DMTK!$B$5:$B$263,A44&amp;"*")</f>
        <v>200000</v>
      </c>
      <c r="D44" s="69">
        <f>SUMIFS(DMTK!$L$5:$L$263,DMTK!$B$5:$B$263,'BTHCTTK (TH131) NGÀY'!A44&amp;"*")</f>
        <v>0</v>
      </c>
      <c r="E44" s="69">
        <f>SUMIFS(CT!$H$5:$H$143,CT!$A$5:$A$143,"&lt;"&amp;'BTHCTTK (TH131) NGÀY'!$D$3,CT!$D$5:$D$143,'BTHCTTK (TH131) NGÀY'!A44)</f>
        <v>0</v>
      </c>
      <c r="F44" s="69">
        <f>SUMIFS(CT!$H$5:$H$143,CT!$A$5:$A$143,"&lt;"&amp;'BTHCTTK (TH131) NGÀY'!$D$3,CT!$E$5:$E$143,'BTHCTTK (TH131) NGÀY'!A44)</f>
        <v>0</v>
      </c>
      <c r="G44" s="69">
        <f t="shared" si="0"/>
        <v>200000</v>
      </c>
      <c r="H44" s="69">
        <f t="shared" si="1"/>
        <v>0</v>
      </c>
      <c r="I44" s="69">
        <f>SUMIFS(CT!$H$5:$H$143,CT!$A$5:$A$143,"&gt;="&amp;'BTHCTTK (TH131) NGÀY'!$D$3,CT!$A$5:$A$143,"&lt;="&amp;'BTHCTTK (TH131) NGÀY'!$G$3,CT!$D$5:$D$143,'BTHCTTK (TH131) NGÀY'!A44)</f>
        <v>0</v>
      </c>
      <c r="J44" s="69">
        <f>SUMIFS(CT!$H$5:$H$143,CT!$A$5:$A$143,"&gt;="&amp;$D$3,CT!$A$5:$A$143,"&lt;="&amp;$G$3,CT!$E$5:$E$143,'BTHCTTK (TH131) NGÀY'!A44)</f>
        <v>0</v>
      </c>
      <c r="K44" s="69">
        <f t="shared" si="2"/>
        <v>200000</v>
      </c>
      <c r="L44" s="69">
        <f t="shared" si="3"/>
        <v>0</v>
      </c>
      <c r="M44" t="b">
        <f t="shared" si="4"/>
        <v>0</v>
      </c>
    </row>
    <row r="45" spans="1:13" hidden="1" x14ac:dyDescent="0.25">
      <c r="A45" s="93" t="str">
        <f>DMTK!B44</f>
        <v>141.0102</v>
      </c>
      <c r="B45" s="65" t="str">
        <f>VLOOKUP(A45,DMTK!$B$5:$L$263,3,0)</f>
        <v>Hồ Sĩ Nhật</v>
      </c>
      <c r="C45" s="69">
        <f>SUMIFS(DMTK!$K$5:$K$263,DMTK!$B$5:$B$263,A45&amp;"*")</f>
        <v>1000000</v>
      </c>
      <c r="D45" s="69">
        <f>SUMIFS(DMTK!$L$5:$L$263,DMTK!$B$5:$B$263,'BTHCTTK (TH131) NGÀY'!A45&amp;"*")</f>
        <v>0</v>
      </c>
      <c r="E45" s="69">
        <f>SUMIFS(CT!$H$5:$H$143,CT!$A$5:$A$143,"&lt;"&amp;'BTHCTTK (TH131) NGÀY'!$D$3,CT!$D$5:$D$143,'BTHCTTK (TH131) NGÀY'!A45)</f>
        <v>2000000</v>
      </c>
      <c r="F45" s="69">
        <f>SUMIFS(CT!$H$5:$H$143,CT!$A$5:$A$143,"&lt;"&amp;'BTHCTTK (TH131) NGÀY'!$D$3,CT!$E$5:$E$143,'BTHCTTK (TH131) NGÀY'!A45)</f>
        <v>0</v>
      </c>
      <c r="G45" s="69">
        <f t="shared" si="0"/>
        <v>3000000</v>
      </c>
      <c r="H45" s="69">
        <f t="shared" si="1"/>
        <v>0</v>
      </c>
      <c r="I45" s="69">
        <f>SUMIFS(CT!$H$5:$H$143,CT!$A$5:$A$143,"&gt;="&amp;'BTHCTTK (TH131) NGÀY'!$D$3,CT!$A$5:$A$143,"&lt;="&amp;'BTHCTTK (TH131) NGÀY'!$G$3,CT!$D$5:$D$143,'BTHCTTK (TH131) NGÀY'!A45)</f>
        <v>0</v>
      </c>
      <c r="J45" s="69">
        <f>SUMIFS(CT!$H$5:$H$143,CT!$A$5:$A$143,"&gt;="&amp;$D$3,CT!$A$5:$A$143,"&lt;="&amp;$G$3,CT!$E$5:$E$143,'BTHCTTK (TH131) NGÀY'!A45)</f>
        <v>2000000</v>
      </c>
      <c r="K45" s="69">
        <f t="shared" si="2"/>
        <v>1000000</v>
      </c>
      <c r="L45" s="69">
        <f t="shared" si="3"/>
        <v>0</v>
      </c>
      <c r="M45" t="b">
        <f t="shared" si="4"/>
        <v>0</v>
      </c>
    </row>
    <row r="46" spans="1:13" hidden="1" x14ac:dyDescent="0.25">
      <c r="A46" s="93" t="str">
        <f>DMTK!B45</f>
        <v>141.0103</v>
      </c>
      <c r="B46" s="65" t="str">
        <f>VLOOKUP(A46,DMTK!$B$5:$L$263,3,0)</f>
        <v>Phạm Minh Duy</v>
      </c>
      <c r="C46" s="69">
        <f>SUMIFS(DMTK!$K$5:$K$263,DMTK!$B$5:$B$263,A46&amp;"*")</f>
        <v>300000</v>
      </c>
      <c r="D46" s="69">
        <f>SUMIFS(DMTK!$L$5:$L$263,DMTK!$B$5:$B$263,'BTHCTTK (TH131) NGÀY'!A46&amp;"*")</f>
        <v>0</v>
      </c>
      <c r="E46" s="69">
        <f>SUMIFS(CT!$H$5:$H$143,CT!$A$5:$A$143,"&lt;"&amp;'BTHCTTK (TH131) NGÀY'!$D$3,CT!$D$5:$D$143,'BTHCTTK (TH131) NGÀY'!A46)</f>
        <v>0</v>
      </c>
      <c r="F46" s="69">
        <f>SUMIFS(CT!$H$5:$H$143,CT!$A$5:$A$143,"&lt;"&amp;'BTHCTTK (TH131) NGÀY'!$D$3,CT!$E$5:$E$143,'BTHCTTK (TH131) NGÀY'!A46)</f>
        <v>0</v>
      </c>
      <c r="G46" s="69">
        <f t="shared" si="0"/>
        <v>300000</v>
      </c>
      <c r="H46" s="69">
        <f t="shared" si="1"/>
        <v>0</v>
      </c>
      <c r="I46" s="69">
        <f>SUMIFS(CT!$H$5:$H$143,CT!$A$5:$A$143,"&gt;="&amp;'BTHCTTK (TH131) NGÀY'!$D$3,CT!$A$5:$A$143,"&lt;="&amp;'BTHCTTK (TH131) NGÀY'!$G$3,CT!$D$5:$D$143,'BTHCTTK (TH131) NGÀY'!A46)</f>
        <v>0</v>
      </c>
      <c r="J46" s="69">
        <f>SUMIFS(CT!$H$5:$H$143,CT!$A$5:$A$143,"&gt;="&amp;$D$3,CT!$A$5:$A$143,"&lt;="&amp;$G$3,CT!$E$5:$E$143,'BTHCTTK (TH131) NGÀY'!A46)</f>
        <v>0</v>
      </c>
      <c r="K46" s="69">
        <f t="shared" si="2"/>
        <v>300000</v>
      </c>
      <c r="L46" s="69">
        <f t="shared" si="3"/>
        <v>0</v>
      </c>
      <c r="M46" t="b">
        <f t="shared" si="4"/>
        <v>0</v>
      </c>
    </row>
    <row r="47" spans="1:13" hidden="1" x14ac:dyDescent="0.25">
      <c r="A47" s="93" t="str">
        <f>DMTK!B46</f>
        <v>141.0201</v>
      </c>
      <c r="B47" s="65" t="str">
        <f>VLOOKUP(A47,DMTK!$B$5:$L$263,3,0)</f>
        <v>Đoàn Trâm Anh</v>
      </c>
      <c r="C47" s="69">
        <f>SUMIFS(DMTK!$K$5:$K$263,DMTK!$B$5:$B$263,A47&amp;"*")</f>
        <v>1500000</v>
      </c>
      <c r="D47" s="69">
        <f>SUMIFS(DMTK!$L$5:$L$263,DMTK!$B$5:$B$263,'BTHCTTK (TH131) NGÀY'!A47&amp;"*")</f>
        <v>0</v>
      </c>
      <c r="E47" s="69">
        <f>SUMIFS(CT!$H$5:$H$143,CT!$A$5:$A$143,"&lt;"&amp;'BTHCTTK (TH131) NGÀY'!$D$3,CT!$D$5:$D$143,'BTHCTTK (TH131) NGÀY'!A47)</f>
        <v>0</v>
      </c>
      <c r="F47" s="69">
        <f>SUMIFS(CT!$H$5:$H$143,CT!$A$5:$A$143,"&lt;"&amp;'BTHCTTK (TH131) NGÀY'!$D$3,CT!$E$5:$E$143,'BTHCTTK (TH131) NGÀY'!A47)</f>
        <v>0</v>
      </c>
      <c r="G47" s="69">
        <f t="shared" si="0"/>
        <v>1500000</v>
      </c>
      <c r="H47" s="69">
        <f t="shared" si="1"/>
        <v>0</v>
      </c>
      <c r="I47" s="69">
        <f>SUMIFS(CT!$H$5:$H$143,CT!$A$5:$A$143,"&gt;="&amp;'BTHCTTK (TH131) NGÀY'!$D$3,CT!$A$5:$A$143,"&lt;="&amp;'BTHCTTK (TH131) NGÀY'!$G$3,CT!$D$5:$D$143,'BTHCTTK (TH131) NGÀY'!A47)</f>
        <v>0</v>
      </c>
      <c r="J47" s="69">
        <f>SUMIFS(CT!$H$5:$H$143,CT!$A$5:$A$143,"&gt;="&amp;$D$3,CT!$A$5:$A$143,"&lt;="&amp;$G$3,CT!$E$5:$E$143,'BTHCTTK (TH131) NGÀY'!A47)</f>
        <v>0</v>
      </c>
      <c r="K47" s="69">
        <f t="shared" si="2"/>
        <v>1500000</v>
      </c>
      <c r="L47" s="69">
        <f t="shared" si="3"/>
        <v>0</v>
      </c>
      <c r="M47" t="b">
        <f t="shared" si="4"/>
        <v>0</v>
      </c>
    </row>
    <row r="48" spans="1:13" hidden="1" x14ac:dyDescent="0.25">
      <c r="A48" s="93" t="str">
        <f>DMTK!B47</f>
        <v>141.0202</v>
      </c>
      <c r="B48" s="65" t="str">
        <f>VLOOKUP(A48,DMTK!$B$5:$L$263,3,0)</f>
        <v>Nguyễn Hoài Nam</v>
      </c>
      <c r="C48" s="69">
        <f>SUMIFS(DMTK!$K$5:$K$263,DMTK!$B$5:$B$263,A48&amp;"*")</f>
        <v>500000</v>
      </c>
      <c r="D48" s="69">
        <f>SUMIFS(DMTK!$L$5:$L$263,DMTK!$B$5:$B$263,'BTHCTTK (TH131) NGÀY'!A48&amp;"*")</f>
        <v>0</v>
      </c>
      <c r="E48" s="69">
        <f>SUMIFS(CT!$H$5:$H$143,CT!$A$5:$A$143,"&lt;"&amp;'BTHCTTK (TH131) NGÀY'!$D$3,CT!$D$5:$D$143,'BTHCTTK (TH131) NGÀY'!A48)</f>
        <v>0</v>
      </c>
      <c r="F48" s="69">
        <f>SUMIFS(CT!$H$5:$H$143,CT!$A$5:$A$143,"&lt;"&amp;'BTHCTTK (TH131) NGÀY'!$D$3,CT!$E$5:$E$143,'BTHCTTK (TH131) NGÀY'!A48)</f>
        <v>0</v>
      </c>
      <c r="G48" s="69">
        <f t="shared" si="0"/>
        <v>500000</v>
      </c>
      <c r="H48" s="69">
        <f t="shared" si="1"/>
        <v>0</v>
      </c>
      <c r="I48" s="69">
        <f>SUMIFS(CT!$H$5:$H$143,CT!$A$5:$A$143,"&gt;="&amp;'BTHCTTK (TH131) NGÀY'!$D$3,CT!$A$5:$A$143,"&lt;="&amp;'BTHCTTK (TH131) NGÀY'!$G$3,CT!$D$5:$D$143,'BTHCTTK (TH131) NGÀY'!A48)</f>
        <v>0</v>
      </c>
      <c r="J48" s="69">
        <f>SUMIFS(CT!$H$5:$H$143,CT!$A$5:$A$143,"&gt;="&amp;$D$3,CT!$A$5:$A$143,"&lt;="&amp;$G$3,CT!$E$5:$E$143,'BTHCTTK (TH131) NGÀY'!A48)</f>
        <v>0</v>
      </c>
      <c r="K48" s="69">
        <f t="shared" si="2"/>
        <v>500000</v>
      </c>
      <c r="L48" s="69">
        <f t="shared" si="3"/>
        <v>0</v>
      </c>
      <c r="M48" t="b">
        <f t="shared" si="4"/>
        <v>0</v>
      </c>
    </row>
    <row r="49" spans="1:13" hidden="1" x14ac:dyDescent="0.25">
      <c r="A49" s="93" t="str">
        <f>DMTK!B48</f>
        <v>151</v>
      </c>
      <c r="B49" s="65" t="str">
        <f>VLOOKUP(A49,DMTK!$B$5:$L$263,3,0)</f>
        <v>Hàng hóa đang đi đường</v>
      </c>
      <c r="C49" s="69">
        <f>SUMIFS(DMTK!$K$5:$K$263,DMTK!$B$5:$B$263,A49&amp;"*")</f>
        <v>0</v>
      </c>
      <c r="D49" s="69">
        <f>SUMIFS(DMTK!$L$5:$L$263,DMTK!$B$5:$B$263,'BTHCTTK (TH131) NGÀY'!A49&amp;"*")</f>
        <v>0</v>
      </c>
      <c r="E49" s="69">
        <f>SUMIFS(CT!$H$5:$H$143,CT!$A$5:$A$143,"&lt;"&amp;'BTHCTTK (TH131) NGÀY'!$D$3,CT!$D$5:$D$143,'BTHCTTK (TH131) NGÀY'!A49)</f>
        <v>0</v>
      </c>
      <c r="F49" s="69">
        <f>SUMIFS(CT!$H$5:$H$143,CT!$A$5:$A$143,"&lt;"&amp;'BTHCTTK (TH131) NGÀY'!$D$3,CT!$E$5:$E$143,'BTHCTTK (TH131) NGÀY'!A49)</f>
        <v>0</v>
      </c>
      <c r="G49" s="69">
        <f t="shared" si="0"/>
        <v>0</v>
      </c>
      <c r="H49" s="69">
        <f t="shared" si="1"/>
        <v>0</v>
      </c>
      <c r="I49" s="69">
        <f>SUMIFS(CT!$H$5:$H$143,CT!$A$5:$A$143,"&gt;="&amp;'BTHCTTK (TH131) NGÀY'!$D$3,CT!$A$5:$A$143,"&lt;="&amp;'BTHCTTK (TH131) NGÀY'!$G$3,CT!$D$5:$D$143,'BTHCTTK (TH131) NGÀY'!A49)</f>
        <v>0</v>
      </c>
      <c r="J49" s="69">
        <f>SUMIFS(CT!$H$5:$H$143,CT!$A$5:$A$143,"&gt;="&amp;$D$3,CT!$A$5:$A$143,"&lt;="&amp;$G$3,CT!$E$5:$E$143,'BTHCTTK (TH131) NGÀY'!A49)</f>
        <v>0</v>
      </c>
      <c r="K49" s="69">
        <f t="shared" si="2"/>
        <v>0</v>
      </c>
      <c r="L49" s="69">
        <f t="shared" si="3"/>
        <v>0</v>
      </c>
      <c r="M49" t="b">
        <f t="shared" si="4"/>
        <v>0</v>
      </c>
    </row>
    <row r="50" spans="1:13" hidden="1" x14ac:dyDescent="0.25">
      <c r="A50" s="93" t="str">
        <f>DMTK!B49</f>
        <v>1521.0101</v>
      </c>
      <c r="B50" s="65" t="str">
        <f>VLOOKUP(A50,DMTK!$B$5:$L$263,3,0)</f>
        <v>Gỗ cao su</v>
      </c>
      <c r="C50" s="69">
        <f>SUMIFS(DMTK!$K$5:$K$263,DMTK!$B$5:$B$263,A50&amp;"*")</f>
        <v>33000000</v>
      </c>
      <c r="D50" s="69">
        <f>SUMIFS(DMTK!$L$5:$L$263,DMTK!$B$5:$B$263,'BTHCTTK (TH131) NGÀY'!A50&amp;"*")</f>
        <v>0</v>
      </c>
      <c r="E50" s="69">
        <f>SUMIFS(CT!$H$5:$H$143,CT!$A$5:$A$143,"&lt;"&amp;'BTHCTTK (TH131) NGÀY'!$D$3,CT!$D$5:$D$143,'BTHCTTK (TH131) NGÀY'!A50)</f>
        <v>0</v>
      </c>
      <c r="F50" s="69">
        <f>SUMIFS(CT!$H$5:$H$143,CT!$A$5:$A$143,"&lt;"&amp;'BTHCTTK (TH131) NGÀY'!$D$3,CT!$E$5:$E$143,'BTHCTTK (TH131) NGÀY'!A50)</f>
        <v>0</v>
      </c>
      <c r="G50" s="69">
        <f t="shared" si="0"/>
        <v>33000000</v>
      </c>
      <c r="H50" s="69">
        <f t="shared" si="1"/>
        <v>0</v>
      </c>
      <c r="I50" s="69">
        <f>SUMIFS(CT!$H$5:$H$143,CT!$A$5:$A$143,"&gt;="&amp;'BTHCTTK (TH131) NGÀY'!$D$3,CT!$A$5:$A$143,"&lt;="&amp;'BTHCTTK (TH131) NGÀY'!$G$3,CT!$D$5:$D$143,'BTHCTTK (TH131) NGÀY'!A50)</f>
        <v>0</v>
      </c>
      <c r="J50" s="69">
        <f>SUMIFS(CT!$H$5:$H$143,CT!$A$5:$A$143,"&gt;="&amp;$D$3,CT!$A$5:$A$143,"&lt;="&amp;$G$3,CT!$E$5:$E$143,'BTHCTTK (TH131) NGÀY'!A50)</f>
        <v>13200000</v>
      </c>
      <c r="K50" s="69">
        <f t="shared" si="2"/>
        <v>19800000</v>
      </c>
      <c r="L50" s="69">
        <f t="shared" si="3"/>
        <v>0</v>
      </c>
      <c r="M50" t="b">
        <f t="shared" si="4"/>
        <v>0</v>
      </c>
    </row>
    <row r="51" spans="1:13" hidden="1" x14ac:dyDescent="0.25">
      <c r="A51" s="93" t="str">
        <f>DMTK!B50</f>
        <v>1521.0102</v>
      </c>
      <c r="B51" s="65" t="str">
        <f>VLOOKUP(A51,DMTK!$B$5:$L$263,3,0)</f>
        <v>Gỗ tràm bông vàng</v>
      </c>
      <c r="C51" s="69">
        <f>SUMIFS(DMTK!$K$5:$K$263,DMTK!$B$5:$B$263,A51&amp;"*")</f>
        <v>22000000</v>
      </c>
      <c r="D51" s="69">
        <f>SUMIFS(DMTK!$L$5:$L$263,DMTK!$B$5:$B$263,'BTHCTTK (TH131) NGÀY'!A51&amp;"*")</f>
        <v>0</v>
      </c>
      <c r="E51" s="69">
        <f>SUMIFS(CT!$H$5:$H$143,CT!$A$5:$A$143,"&lt;"&amp;'BTHCTTK (TH131) NGÀY'!$D$3,CT!$D$5:$D$143,'BTHCTTK (TH131) NGÀY'!A51)</f>
        <v>22500000</v>
      </c>
      <c r="F51" s="69">
        <f>SUMIFS(CT!$H$5:$H$143,CT!$A$5:$A$143,"&lt;"&amp;'BTHCTTK (TH131) NGÀY'!$D$3,CT!$E$5:$E$143,'BTHCTTK (TH131) NGÀY'!A51)</f>
        <v>0</v>
      </c>
      <c r="G51" s="69">
        <f t="shared" si="0"/>
        <v>44500000</v>
      </c>
      <c r="H51" s="69">
        <f t="shared" si="1"/>
        <v>0</v>
      </c>
      <c r="I51" s="69">
        <f>SUMIFS(CT!$H$5:$H$143,CT!$A$5:$A$143,"&gt;="&amp;'BTHCTTK (TH131) NGÀY'!$D$3,CT!$A$5:$A$143,"&lt;="&amp;'BTHCTTK (TH131) NGÀY'!$G$3,CT!$D$5:$D$143,'BTHCTTK (TH131) NGÀY'!A51)</f>
        <v>0</v>
      </c>
      <c r="J51" s="69">
        <f>SUMIFS(CT!$H$5:$H$143,CT!$A$5:$A$143,"&gt;="&amp;$D$3,CT!$A$5:$A$143,"&lt;="&amp;$G$3,CT!$E$5:$E$143,'BTHCTTK (TH131) NGÀY'!A51)</f>
        <v>0</v>
      </c>
      <c r="K51" s="69">
        <f t="shared" si="2"/>
        <v>44500000</v>
      </c>
      <c r="L51" s="69">
        <f t="shared" si="3"/>
        <v>0</v>
      </c>
      <c r="M51" t="b">
        <f t="shared" si="4"/>
        <v>0</v>
      </c>
    </row>
    <row r="52" spans="1:13" hidden="1" x14ac:dyDescent="0.25">
      <c r="A52" s="93" t="str">
        <f>DMTK!B51</f>
        <v>1521.0103</v>
      </c>
      <c r="B52" s="65" t="str">
        <f>VLOOKUP(A52,DMTK!$B$5:$L$263,3,0)</f>
        <v>Gỗ thông</v>
      </c>
      <c r="C52" s="69">
        <f>SUMIFS(DMTK!$K$5:$K$263,DMTK!$B$5:$B$263,A52&amp;"*")</f>
        <v>14400000</v>
      </c>
      <c r="D52" s="69">
        <f>SUMIFS(DMTK!$L$5:$L$263,DMTK!$B$5:$B$263,'BTHCTTK (TH131) NGÀY'!A52&amp;"*")</f>
        <v>0</v>
      </c>
      <c r="E52" s="69">
        <f>SUMIFS(CT!$H$5:$H$143,CT!$A$5:$A$143,"&lt;"&amp;'BTHCTTK (TH131) NGÀY'!$D$3,CT!$D$5:$D$143,'BTHCTTK (TH131) NGÀY'!A52)</f>
        <v>0</v>
      </c>
      <c r="F52" s="69">
        <f>SUMIFS(CT!$H$5:$H$143,CT!$A$5:$A$143,"&lt;"&amp;'BTHCTTK (TH131) NGÀY'!$D$3,CT!$E$5:$E$143,'BTHCTTK (TH131) NGÀY'!A52)</f>
        <v>0</v>
      </c>
      <c r="G52" s="69">
        <f t="shared" si="0"/>
        <v>14400000</v>
      </c>
      <c r="H52" s="69">
        <f t="shared" si="1"/>
        <v>0</v>
      </c>
      <c r="I52" s="69">
        <f>SUMIFS(CT!$H$5:$H$143,CT!$A$5:$A$143,"&gt;="&amp;'BTHCTTK (TH131) NGÀY'!$D$3,CT!$A$5:$A$143,"&lt;="&amp;'BTHCTTK (TH131) NGÀY'!$G$3,CT!$D$5:$D$143,'BTHCTTK (TH131) NGÀY'!A52)</f>
        <v>0</v>
      </c>
      <c r="J52" s="69">
        <f>SUMIFS(CT!$H$5:$H$143,CT!$A$5:$A$143,"&gt;="&amp;$D$3,CT!$A$5:$A$143,"&lt;="&amp;$G$3,CT!$E$5:$E$143,'BTHCTTK (TH131) NGÀY'!A52)</f>
        <v>0</v>
      </c>
      <c r="K52" s="69">
        <f t="shared" si="2"/>
        <v>14400000</v>
      </c>
      <c r="L52" s="69">
        <f t="shared" si="3"/>
        <v>0</v>
      </c>
      <c r="M52" t="b">
        <f t="shared" si="4"/>
        <v>0</v>
      </c>
    </row>
    <row r="53" spans="1:13" hidden="1" x14ac:dyDescent="0.25">
      <c r="A53" s="93" t="str">
        <f>DMTK!B52</f>
        <v>1521.0201</v>
      </c>
      <c r="B53" s="65" t="str">
        <f>VLOOKUP(A53,DMTK!$B$5:$L$263,3,0)</f>
        <v>Ván MDF 9x6x8</v>
      </c>
      <c r="C53" s="69">
        <f>SUMIFS(DMTK!$K$5:$K$263,DMTK!$B$5:$B$263,A53&amp;"*")</f>
        <v>24000000</v>
      </c>
      <c r="D53" s="69">
        <f>SUMIFS(DMTK!$L$5:$L$263,DMTK!$B$5:$B$263,'BTHCTTK (TH131) NGÀY'!A53&amp;"*")</f>
        <v>0</v>
      </c>
      <c r="E53" s="69">
        <f>SUMIFS(CT!$H$5:$H$143,CT!$A$5:$A$143,"&lt;"&amp;'BTHCTTK (TH131) NGÀY'!$D$3,CT!$D$5:$D$143,'BTHCTTK (TH131) NGÀY'!A53)</f>
        <v>0</v>
      </c>
      <c r="F53" s="69">
        <f>SUMIFS(CT!$H$5:$H$143,CT!$A$5:$A$143,"&lt;"&amp;'BTHCTTK (TH131) NGÀY'!$D$3,CT!$E$5:$E$143,'BTHCTTK (TH131) NGÀY'!A53)</f>
        <v>0</v>
      </c>
      <c r="G53" s="69">
        <f t="shared" si="0"/>
        <v>24000000</v>
      </c>
      <c r="H53" s="69">
        <f t="shared" si="1"/>
        <v>0</v>
      </c>
      <c r="I53" s="69">
        <f>SUMIFS(CT!$H$5:$H$143,CT!$A$5:$A$143,"&gt;="&amp;'BTHCTTK (TH131) NGÀY'!$D$3,CT!$A$5:$A$143,"&lt;="&amp;'BTHCTTK (TH131) NGÀY'!$G$3,CT!$D$5:$D$143,'BTHCTTK (TH131) NGÀY'!A53)</f>
        <v>0</v>
      </c>
      <c r="J53" s="69">
        <f>SUMIFS(CT!$H$5:$H$143,CT!$A$5:$A$143,"&gt;="&amp;$D$3,CT!$A$5:$A$143,"&lt;="&amp;$G$3,CT!$E$5:$E$143,'BTHCTTK (TH131) NGÀY'!A53)</f>
        <v>3600000</v>
      </c>
      <c r="K53" s="69">
        <f t="shared" si="2"/>
        <v>20400000</v>
      </c>
      <c r="L53" s="69">
        <f t="shared" si="3"/>
        <v>0</v>
      </c>
      <c r="M53" t="b">
        <f t="shared" si="4"/>
        <v>0</v>
      </c>
    </row>
    <row r="54" spans="1:13" hidden="1" x14ac:dyDescent="0.25">
      <c r="A54" s="93" t="str">
        <f>DMTK!B53</f>
        <v>1521.0202</v>
      </c>
      <c r="B54" s="65" t="str">
        <f>VLOOKUP(A54,DMTK!$B$5:$L$263,3,0)</f>
        <v>Ván MDF 9x4x8</v>
      </c>
      <c r="C54" s="69">
        <f>SUMIFS(DMTK!$K$5:$K$263,DMTK!$B$5:$B$263,A54&amp;"*")</f>
        <v>31200000</v>
      </c>
      <c r="D54" s="69">
        <f>SUMIFS(DMTK!$L$5:$L$263,DMTK!$B$5:$B$263,'BTHCTTK (TH131) NGÀY'!A54&amp;"*")</f>
        <v>0</v>
      </c>
      <c r="E54" s="69">
        <f>SUMIFS(CT!$H$5:$H$143,CT!$A$5:$A$143,"&lt;"&amp;'BTHCTTK (TH131) NGÀY'!$D$3,CT!$D$5:$D$143,'BTHCTTK (TH131) NGÀY'!A54)</f>
        <v>0</v>
      </c>
      <c r="F54" s="69">
        <f>SUMIFS(CT!$H$5:$H$143,CT!$A$5:$A$143,"&lt;"&amp;'BTHCTTK (TH131) NGÀY'!$D$3,CT!$E$5:$E$143,'BTHCTTK (TH131) NGÀY'!A54)</f>
        <v>0</v>
      </c>
      <c r="G54" s="69">
        <f t="shared" si="0"/>
        <v>31200000</v>
      </c>
      <c r="H54" s="69">
        <f t="shared" si="1"/>
        <v>0</v>
      </c>
      <c r="I54" s="69">
        <f>SUMIFS(CT!$H$5:$H$143,CT!$A$5:$A$143,"&gt;="&amp;'BTHCTTK (TH131) NGÀY'!$D$3,CT!$A$5:$A$143,"&lt;="&amp;'BTHCTTK (TH131) NGÀY'!$G$3,CT!$D$5:$D$143,'BTHCTTK (TH131) NGÀY'!A54)</f>
        <v>0</v>
      </c>
      <c r="J54" s="69">
        <f>SUMIFS(CT!$H$5:$H$143,CT!$A$5:$A$143,"&gt;="&amp;$D$3,CT!$A$5:$A$143,"&lt;="&amp;$G$3,CT!$E$5:$E$143,'BTHCTTK (TH131) NGÀY'!A54)</f>
        <v>0</v>
      </c>
      <c r="K54" s="69">
        <f t="shared" si="2"/>
        <v>31200000</v>
      </c>
      <c r="L54" s="69">
        <f t="shared" si="3"/>
        <v>0</v>
      </c>
      <c r="M54" t="b">
        <f t="shared" si="4"/>
        <v>0</v>
      </c>
    </row>
    <row r="55" spans="1:13" hidden="1" x14ac:dyDescent="0.25">
      <c r="A55" s="93" t="str">
        <f>DMTK!B54</f>
        <v>1521.0203</v>
      </c>
      <c r="B55" s="65" t="str">
        <f>VLOOKUP(A55,DMTK!$B$5:$L$263,3,0)</f>
        <v>Ván MDF 4,5x6x8</v>
      </c>
      <c r="C55" s="69">
        <f>SUMIFS(DMTK!$K$5:$K$263,DMTK!$B$5:$B$263,A55&amp;"*")</f>
        <v>10000000</v>
      </c>
      <c r="D55" s="69">
        <f>SUMIFS(DMTK!$L$5:$L$263,DMTK!$B$5:$B$263,'BTHCTTK (TH131) NGÀY'!A55&amp;"*")</f>
        <v>0</v>
      </c>
      <c r="E55" s="69">
        <f>SUMIFS(CT!$H$5:$H$143,CT!$A$5:$A$143,"&lt;"&amp;'BTHCTTK (TH131) NGÀY'!$D$3,CT!$D$5:$D$143,'BTHCTTK (TH131) NGÀY'!A55)</f>
        <v>0</v>
      </c>
      <c r="F55" s="69">
        <f>SUMIFS(CT!$H$5:$H$143,CT!$A$5:$A$143,"&lt;"&amp;'BTHCTTK (TH131) NGÀY'!$D$3,CT!$E$5:$E$143,'BTHCTTK (TH131) NGÀY'!A55)</f>
        <v>0</v>
      </c>
      <c r="G55" s="69">
        <f t="shared" si="0"/>
        <v>10000000</v>
      </c>
      <c r="H55" s="69">
        <f t="shared" si="1"/>
        <v>0</v>
      </c>
      <c r="I55" s="69">
        <f>SUMIFS(CT!$H$5:$H$143,CT!$A$5:$A$143,"&gt;="&amp;'BTHCTTK (TH131) NGÀY'!$D$3,CT!$A$5:$A$143,"&lt;="&amp;'BTHCTTK (TH131) NGÀY'!$G$3,CT!$D$5:$D$143,'BTHCTTK (TH131) NGÀY'!A55)</f>
        <v>0</v>
      </c>
      <c r="J55" s="69">
        <f>SUMIFS(CT!$H$5:$H$143,CT!$A$5:$A$143,"&gt;="&amp;$D$3,CT!$A$5:$A$143,"&lt;="&amp;$G$3,CT!$E$5:$E$143,'BTHCTTK (TH131) NGÀY'!A55)</f>
        <v>0</v>
      </c>
      <c r="K55" s="69">
        <f t="shared" si="2"/>
        <v>10000000</v>
      </c>
      <c r="L55" s="69">
        <f t="shared" si="3"/>
        <v>0</v>
      </c>
      <c r="M55" t="b">
        <f t="shared" si="4"/>
        <v>0</v>
      </c>
    </row>
    <row r="56" spans="1:13" hidden="1" x14ac:dyDescent="0.25">
      <c r="A56" s="93" t="str">
        <f>DMTK!B55</f>
        <v>1521.0301</v>
      </c>
      <c r="B56" s="65" t="str">
        <f>VLOOKUP(A56,DMTK!$B$5:$L$263,3,0)</f>
        <v>Keo AB</v>
      </c>
      <c r="C56" s="69">
        <f>SUMIFS(DMTK!$K$5:$K$263,DMTK!$B$5:$B$263,A56&amp;"*")</f>
        <v>1200000</v>
      </c>
      <c r="D56" s="69">
        <f>SUMIFS(DMTK!$L$5:$L$263,DMTK!$B$5:$B$263,'BTHCTTK (TH131) NGÀY'!A56&amp;"*")</f>
        <v>0</v>
      </c>
      <c r="E56" s="69">
        <f>SUMIFS(CT!$H$5:$H$143,CT!$A$5:$A$143,"&lt;"&amp;'BTHCTTK (TH131) NGÀY'!$D$3,CT!$D$5:$D$143,'BTHCTTK (TH131) NGÀY'!A56)</f>
        <v>5000000</v>
      </c>
      <c r="F56" s="69">
        <f>SUMIFS(CT!$H$5:$H$143,CT!$A$5:$A$143,"&lt;"&amp;'BTHCTTK (TH131) NGÀY'!$D$3,CT!$E$5:$E$143,'BTHCTTK (TH131) NGÀY'!A56)</f>
        <v>0</v>
      </c>
      <c r="G56" s="69">
        <f t="shared" si="0"/>
        <v>6200000</v>
      </c>
      <c r="H56" s="69">
        <f t="shared" si="1"/>
        <v>0</v>
      </c>
      <c r="I56" s="69">
        <f>SUMIFS(CT!$H$5:$H$143,CT!$A$5:$A$143,"&gt;="&amp;'BTHCTTK (TH131) NGÀY'!$D$3,CT!$A$5:$A$143,"&lt;="&amp;'BTHCTTK (TH131) NGÀY'!$G$3,CT!$D$5:$D$143,'BTHCTTK (TH131) NGÀY'!A56)</f>
        <v>0</v>
      </c>
      <c r="J56" s="69">
        <f>SUMIFS(CT!$H$5:$H$143,CT!$A$5:$A$143,"&gt;="&amp;$D$3,CT!$A$5:$A$143,"&lt;="&amp;$G$3,CT!$E$5:$E$143,'BTHCTTK (TH131) NGÀY'!A56)</f>
        <v>0</v>
      </c>
      <c r="K56" s="69">
        <f t="shared" si="2"/>
        <v>6200000</v>
      </c>
      <c r="L56" s="69">
        <f t="shared" si="3"/>
        <v>0</v>
      </c>
      <c r="M56" t="b">
        <f t="shared" si="4"/>
        <v>0</v>
      </c>
    </row>
    <row r="57" spans="1:13" hidden="1" x14ac:dyDescent="0.25">
      <c r="A57" s="93" t="str">
        <f>DMTK!B56</f>
        <v>1521.0302</v>
      </c>
      <c r="B57" s="65" t="str">
        <f>VLOOKUP(A57,DMTK!$B$5:$L$263,3,0)</f>
        <v>Keo ghép</v>
      </c>
      <c r="C57" s="69">
        <f>SUMIFS(DMTK!$K$5:$K$263,DMTK!$B$5:$B$263,A57&amp;"*")</f>
        <v>7200000</v>
      </c>
      <c r="D57" s="69">
        <f>SUMIFS(DMTK!$L$5:$L$263,DMTK!$B$5:$B$263,'BTHCTTK (TH131) NGÀY'!A57&amp;"*")</f>
        <v>0</v>
      </c>
      <c r="E57" s="69">
        <f>SUMIFS(CT!$H$5:$H$143,CT!$A$5:$A$143,"&lt;"&amp;'BTHCTTK (TH131) NGÀY'!$D$3,CT!$D$5:$D$143,'BTHCTTK (TH131) NGÀY'!A57)</f>
        <v>0</v>
      </c>
      <c r="F57" s="69">
        <f>SUMIFS(CT!$H$5:$H$143,CT!$A$5:$A$143,"&lt;"&amp;'BTHCTTK (TH131) NGÀY'!$D$3,CT!$E$5:$E$143,'BTHCTTK (TH131) NGÀY'!A57)</f>
        <v>0</v>
      </c>
      <c r="G57" s="69">
        <f t="shared" si="0"/>
        <v>7200000</v>
      </c>
      <c r="H57" s="69">
        <f t="shared" si="1"/>
        <v>0</v>
      </c>
      <c r="I57" s="69">
        <f>SUMIFS(CT!$H$5:$H$143,CT!$A$5:$A$143,"&gt;="&amp;'BTHCTTK (TH131) NGÀY'!$D$3,CT!$A$5:$A$143,"&lt;="&amp;'BTHCTTK (TH131) NGÀY'!$G$3,CT!$D$5:$D$143,'BTHCTTK (TH131) NGÀY'!A57)</f>
        <v>0</v>
      </c>
      <c r="J57" s="69">
        <f>SUMIFS(CT!$H$5:$H$143,CT!$A$5:$A$143,"&gt;="&amp;$D$3,CT!$A$5:$A$143,"&lt;="&amp;$G$3,CT!$E$5:$E$143,'BTHCTTK (TH131) NGÀY'!A57)</f>
        <v>480000</v>
      </c>
      <c r="K57" s="69">
        <f t="shared" si="2"/>
        <v>6720000</v>
      </c>
      <c r="L57" s="69">
        <f t="shared" si="3"/>
        <v>0</v>
      </c>
      <c r="M57" t="b">
        <f t="shared" si="4"/>
        <v>0</v>
      </c>
    </row>
    <row r="58" spans="1:13" hidden="1" x14ac:dyDescent="0.25">
      <c r="A58" s="93" t="str">
        <f>DMTK!B57</f>
        <v>1521.0303</v>
      </c>
      <c r="B58" s="65" t="str">
        <f>VLOOKUP(A58,DMTK!$B$5:$L$263,3,0)</f>
        <v>Keo 502</v>
      </c>
      <c r="C58" s="69">
        <f>SUMIFS(DMTK!$K$5:$K$263,DMTK!$B$5:$B$263,A58&amp;"*")</f>
        <v>1150000</v>
      </c>
      <c r="D58" s="69">
        <f>SUMIFS(DMTK!$L$5:$L$263,DMTK!$B$5:$B$263,'BTHCTTK (TH131) NGÀY'!A58&amp;"*")</f>
        <v>0</v>
      </c>
      <c r="E58" s="69">
        <f>SUMIFS(CT!$H$5:$H$143,CT!$A$5:$A$143,"&lt;"&amp;'BTHCTTK (TH131) NGÀY'!$D$3,CT!$D$5:$D$143,'BTHCTTK (TH131) NGÀY'!A58)</f>
        <v>0</v>
      </c>
      <c r="F58" s="69">
        <f>SUMIFS(CT!$H$5:$H$143,CT!$A$5:$A$143,"&lt;"&amp;'BTHCTTK (TH131) NGÀY'!$D$3,CT!$E$5:$E$143,'BTHCTTK (TH131) NGÀY'!A58)</f>
        <v>0</v>
      </c>
      <c r="G58" s="69">
        <f t="shared" si="0"/>
        <v>1150000</v>
      </c>
      <c r="H58" s="69">
        <f t="shared" si="1"/>
        <v>0</v>
      </c>
      <c r="I58" s="69">
        <f>SUMIFS(CT!$H$5:$H$143,CT!$A$5:$A$143,"&gt;="&amp;'BTHCTTK (TH131) NGÀY'!$D$3,CT!$A$5:$A$143,"&lt;="&amp;'BTHCTTK (TH131) NGÀY'!$G$3,CT!$D$5:$D$143,'BTHCTTK (TH131) NGÀY'!A58)</f>
        <v>0</v>
      </c>
      <c r="J58" s="69">
        <f>SUMIFS(CT!$H$5:$H$143,CT!$A$5:$A$143,"&gt;="&amp;$D$3,CT!$A$5:$A$143,"&lt;="&amp;$G$3,CT!$E$5:$E$143,'BTHCTTK (TH131) NGÀY'!A58)</f>
        <v>46000</v>
      </c>
      <c r="K58" s="69">
        <f t="shared" si="2"/>
        <v>1104000</v>
      </c>
      <c r="L58" s="69">
        <f t="shared" si="3"/>
        <v>0</v>
      </c>
      <c r="M58" t="b">
        <f t="shared" si="4"/>
        <v>0</v>
      </c>
    </row>
    <row r="59" spans="1:13" hidden="1" x14ac:dyDescent="0.25">
      <c r="A59" s="93" t="str">
        <f>DMTK!B58</f>
        <v>1521.0401</v>
      </c>
      <c r="B59" s="65" t="str">
        <f>VLOOKUP(A59,DMTK!$B$5:$L$263,3,0)</f>
        <v>AC chuối</v>
      </c>
      <c r="C59" s="69">
        <f>SUMIFS(DMTK!$K$5:$K$263,DMTK!$B$5:$B$263,A59&amp;"*")</f>
        <v>1500000</v>
      </c>
      <c r="D59" s="69">
        <f>SUMIFS(DMTK!$L$5:$L$263,DMTK!$B$5:$B$263,'BTHCTTK (TH131) NGÀY'!A59&amp;"*")</f>
        <v>0</v>
      </c>
      <c r="E59" s="69">
        <f>SUMIFS(CT!$H$5:$H$143,CT!$A$5:$A$143,"&lt;"&amp;'BTHCTTK (TH131) NGÀY'!$D$3,CT!$D$5:$D$143,'BTHCTTK (TH131) NGÀY'!A59)</f>
        <v>3200000</v>
      </c>
      <c r="F59" s="69">
        <f>SUMIFS(CT!$H$5:$H$143,CT!$A$5:$A$143,"&lt;"&amp;'BTHCTTK (TH131) NGÀY'!$D$3,CT!$E$5:$E$143,'BTHCTTK (TH131) NGÀY'!A59)</f>
        <v>0</v>
      </c>
      <c r="G59" s="69">
        <f t="shared" si="0"/>
        <v>4700000</v>
      </c>
      <c r="H59" s="69">
        <f t="shared" si="1"/>
        <v>0</v>
      </c>
      <c r="I59" s="69">
        <f>SUMIFS(CT!$H$5:$H$143,CT!$A$5:$A$143,"&gt;="&amp;'BTHCTTK (TH131) NGÀY'!$D$3,CT!$A$5:$A$143,"&lt;="&amp;'BTHCTTK (TH131) NGÀY'!$G$3,CT!$D$5:$D$143,'BTHCTTK (TH131) NGÀY'!A59)</f>
        <v>0</v>
      </c>
      <c r="J59" s="69">
        <f>SUMIFS(CT!$H$5:$H$143,CT!$A$5:$A$143,"&gt;="&amp;$D$3,CT!$A$5:$A$143,"&lt;="&amp;$G$3,CT!$E$5:$E$143,'BTHCTTK (TH131) NGÀY'!A59)</f>
        <v>469980</v>
      </c>
      <c r="K59" s="69">
        <f t="shared" si="2"/>
        <v>4230020</v>
      </c>
      <c r="L59" s="69">
        <f t="shared" si="3"/>
        <v>0</v>
      </c>
      <c r="M59" t="b">
        <f t="shared" si="4"/>
        <v>0</v>
      </c>
    </row>
    <row r="60" spans="1:13" hidden="1" x14ac:dyDescent="0.25">
      <c r="A60" s="93" t="str">
        <f>DMTK!B59</f>
        <v>1521.0402</v>
      </c>
      <c r="B60" s="65" t="str">
        <f>VLOOKUP(A60,DMTK!$B$5:$L$263,3,0)</f>
        <v>NC chuối</v>
      </c>
      <c r="C60" s="69">
        <f>SUMIFS(DMTK!$K$5:$K$263,DMTK!$B$5:$B$263,A60&amp;"*")</f>
        <v>850000</v>
      </c>
      <c r="D60" s="69">
        <f>SUMIFS(DMTK!$L$5:$L$263,DMTK!$B$5:$B$263,'BTHCTTK (TH131) NGÀY'!A60&amp;"*")</f>
        <v>0</v>
      </c>
      <c r="E60" s="69">
        <f>SUMIFS(CT!$H$5:$H$143,CT!$A$5:$A$143,"&lt;"&amp;'BTHCTTK (TH131) NGÀY'!$D$3,CT!$D$5:$D$143,'BTHCTTK (TH131) NGÀY'!A60)</f>
        <v>0</v>
      </c>
      <c r="F60" s="69">
        <f>SUMIFS(CT!$H$5:$H$143,CT!$A$5:$A$143,"&lt;"&amp;'BTHCTTK (TH131) NGÀY'!$D$3,CT!$E$5:$E$143,'BTHCTTK (TH131) NGÀY'!A60)</f>
        <v>0</v>
      </c>
      <c r="G60" s="69">
        <f t="shared" si="0"/>
        <v>850000</v>
      </c>
      <c r="H60" s="69">
        <f t="shared" si="1"/>
        <v>0</v>
      </c>
      <c r="I60" s="69">
        <f>SUMIFS(CT!$H$5:$H$143,CT!$A$5:$A$143,"&gt;="&amp;'BTHCTTK (TH131) NGÀY'!$D$3,CT!$A$5:$A$143,"&lt;="&amp;'BTHCTTK (TH131) NGÀY'!$G$3,CT!$D$5:$D$143,'BTHCTTK (TH131) NGÀY'!A60)</f>
        <v>0</v>
      </c>
      <c r="J60" s="69">
        <f>SUMIFS(CT!$H$5:$H$143,CT!$A$5:$A$143,"&gt;="&amp;$D$3,CT!$A$5:$A$143,"&lt;="&amp;$G$3,CT!$E$5:$E$143,'BTHCTTK (TH131) NGÀY'!A60)</f>
        <v>0</v>
      </c>
      <c r="K60" s="69">
        <f t="shared" si="2"/>
        <v>850000</v>
      </c>
      <c r="L60" s="69">
        <f t="shared" si="3"/>
        <v>0</v>
      </c>
      <c r="M60" t="b">
        <f t="shared" si="4"/>
        <v>0</v>
      </c>
    </row>
    <row r="61" spans="1:13" hidden="1" x14ac:dyDescent="0.25">
      <c r="A61" s="93" t="str">
        <f>DMTK!B60</f>
        <v>1521.0403</v>
      </c>
      <c r="B61" s="65" t="str">
        <f>VLOOKUP(A61,DMTK!$B$5:$L$263,3,0)</f>
        <v>Dầu thông</v>
      </c>
      <c r="C61" s="69">
        <f>SUMIFS(DMTK!$K$5:$K$263,DMTK!$B$5:$B$263,A61&amp;"*")</f>
        <v>1040000</v>
      </c>
      <c r="D61" s="69">
        <f>SUMIFS(DMTK!$L$5:$L$263,DMTK!$B$5:$B$263,'BTHCTTK (TH131) NGÀY'!A61&amp;"*")</f>
        <v>0</v>
      </c>
      <c r="E61" s="69">
        <f>SUMIFS(CT!$H$5:$H$143,CT!$A$5:$A$143,"&lt;"&amp;'BTHCTTK (TH131) NGÀY'!$D$3,CT!$D$5:$D$143,'BTHCTTK (TH131) NGÀY'!A61)</f>
        <v>1500000</v>
      </c>
      <c r="F61" s="69">
        <f>SUMIFS(CT!$H$5:$H$143,CT!$A$5:$A$143,"&lt;"&amp;'BTHCTTK (TH131) NGÀY'!$D$3,CT!$E$5:$E$143,'BTHCTTK (TH131) NGÀY'!A61)</f>
        <v>0</v>
      </c>
      <c r="G61" s="69">
        <f t="shared" si="0"/>
        <v>2540000</v>
      </c>
      <c r="H61" s="69">
        <f t="shared" si="1"/>
        <v>0</v>
      </c>
      <c r="I61" s="69">
        <f>SUMIFS(CT!$H$5:$H$143,CT!$A$5:$A$143,"&gt;="&amp;'BTHCTTK (TH131) NGÀY'!$D$3,CT!$A$5:$A$143,"&lt;="&amp;'BTHCTTK (TH131) NGÀY'!$G$3,CT!$D$5:$D$143,'BTHCTTK (TH131) NGÀY'!A61)</f>
        <v>0</v>
      </c>
      <c r="J61" s="69">
        <f>SUMIFS(CT!$H$5:$H$143,CT!$A$5:$A$143,"&gt;="&amp;$D$3,CT!$A$5:$A$143,"&lt;="&amp;$G$3,CT!$E$5:$E$143,'BTHCTTK (TH131) NGÀY'!A61)</f>
        <v>282220</v>
      </c>
      <c r="K61" s="69">
        <f t="shared" si="2"/>
        <v>2257780</v>
      </c>
      <c r="L61" s="69">
        <f t="shared" si="3"/>
        <v>0</v>
      </c>
      <c r="M61" t="b">
        <f t="shared" si="4"/>
        <v>0</v>
      </c>
    </row>
    <row r="62" spans="1:13" hidden="1" x14ac:dyDescent="0.25">
      <c r="A62" s="93" t="str">
        <f>DMTK!B61</f>
        <v>1522</v>
      </c>
      <c r="B62" s="65" t="str">
        <f>VLOOKUP(A62,DMTK!$B$5:$L$263,3,0)</f>
        <v>Nguyên vật liệu phụ</v>
      </c>
      <c r="C62" s="69">
        <f>SUMIFS(DMTK!$K$5:$K$263,DMTK!$B$5:$B$263,A62&amp;"*")</f>
        <v>0</v>
      </c>
      <c r="D62" s="69">
        <f>SUMIFS(DMTK!$L$5:$L$263,DMTK!$B$5:$B$263,'BTHCTTK (TH131) NGÀY'!A62&amp;"*")</f>
        <v>0</v>
      </c>
      <c r="E62" s="69">
        <f>SUMIFS(CT!$H$5:$H$143,CT!$A$5:$A$143,"&lt;"&amp;'BTHCTTK (TH131) NGÀY'!$D$3,CT!$D$5:$D$143,'BTHCTTK (TH131) NGÀY'!A62)</f>
        <v>0</v>
      </c>
      <c r="F62" s="69">
        <f>SUMIFS(CT!$H$5:$H$143,CT!$A$5:$A$143,"&lt;"&amp;'BTHCTTK (TH131) NGÀY'!$D$3,CT!$E$5:$E$143,'BTHCTTK (TH131) NGÀY'!A62)</f>
        <v>0</v>
      </c>
      <c r="G62" s="69">
        <f t="shared" si="0"/>
        <v>0</v>
      </c>
      <c r="H62" s="69">
        <f t="shared" si="1"/>
        <v>0</v>
      </c>
      <c r="I62" s="69">
        <f>SUMIFS(CT!$H$5:$H$143,CT!$A$5:$A$143,"&gt;="&amp;'BTHCTTK (TH131) NGÀY'!$D$3,CT!$A$5:$A$143,"&lt;="&amp;'BTHCTTK (TH131) NGÀY'!$G$3,CT!$D$5:$D$143,'BTHCTTK (TH131) NGÀY'!A62)</f>
        <v>0</v>
      </c>
      <c r="J62" s="69">
        <f>SUMIFS(CT!$H$5:$H$143,CT!$A$5:$A$143,"&gt;="&amp;$D$3,CT!$A$5:$A$143,"&lt;="&amp;$G$3,CT!$E$5:$E$143,'BTHCTTK (TH131) NGÀY'!A62)</f>
        <v>0</v>
      </c>
      <c r="K62" s="69">
        <f t="shared" si="2"/>
        <v>0</v>
      </c>
      <c r="L62" s="69">
        <f t="shared" si="3"/>
        <v>0</v>
      </c>
      <c r="M62" t="b">
        <f t="shared" si="4"/>
        <v>0</v>
      </c>
    </row>
    <row r="63" spans="1:13" hidden="1" x14ac:dyDescent="0.25">
      <c r="A63" s="93" t="str">
        <f>DMTK!B62</f>
        <v>1531.01</v>
      </c>
      <c r="B63" s="65" t="str">
        <f>VLOOKUP(A63,DMTK!$B$5:$L$263,3,0)</f>
        <v>Máy tính Casio</v>
      </c>
      <c r="C63" s="69">
        <f>SUMIFS(DMTK!$K$5:$K$263,DMTK!$B$5:$B$263,A63&amp;"*")</f>
        <v>7500000</v>
      </c>
      <c r="D63" s="69">
        <f>SUMIFS(DMTK!$L$5:$L$263,DMTK!$B$5:$B$263,'BTHCTTK (TH131) NGÀY'!A63&amp;"*")</f>
        <v>0</v>
      </c>
      <c r="E63" s="69">
        <f>SUMIFS(CT!$H$5:$H$143,CT!$A$5:$A$143,"&lt;"&amp;'BTHCTTK (TH131) NGÀY'!$D$3,CT!$D$5:$D$143,'BTHCTTK (TH131) NGÀY'!A63)</f>
        <v>0</v>
      </c>
      <c r="F63" s="69">
        <f>SUMIFS(CT!$H$5:$H$143,CT!$A$5:$A$143,"&lt;"&amp;'BTHCTTK (TH131) NGÀY'!$D$3,CT!$E$5:$E$143,'BTHCTTK (TH131) NGÀY'!A63)</f>
        <v>0</v>
      </c>
      <c r="G63" s="69">
        <f t="shared" si="0"/>
        <v>7500000</v>
      </c>
      <c r="H63" s="69">
        <f t="shared" si="1"/>
        <v>0</v>
      </c>
      <c r="I63" s="69">
        <f>SUMIFS(CT!$H$5:$H$143,CT!$A$5:$A$143,"&gt;="&amp;'BTHCTTK (TH131) NGÀY'!$D$3,CT!$A$5:$A$143,"&lt;="&amp;'BTHCTTK (TH131) NGÀY'!$G$3,CT!$D$5:$D$143,'BTHCTTK (TH131) NGÀY'!A63)</f>
        <v>0</v>
      </c>
      <c r="J63" s="69">
        <f>SUMIFS(CT!$H$5:$H$143,CT!$A$5:$A$143,"&gt;="&amp;$D$3,CT!$A$5:$A$143,"&lt;="&amp;$G$3,CT!$E$5:$E$143,'BTHCTTK (TH131) NGÀY'!A63)</f>
        <v>2500000</v>
      </c>
      <c r="K63" s="69">
        <f t="shared" si="2"/>
        <v>5000000</v>
      </c>
      <c r="L63" s="69">
        <f t="shared" si="3"/>
        <v>0</v>
      </c>
      <c r="M63" t="b">
        <f t="shared" si="4"/>
        <v>0</v>
      </c>
    </row>
    <row r="64" spans="1:13" hidden="1" x14ac:dyDescent="0.25">
      <c r="A64" s="93" t="str">
        <f>DMTK!B63</f>
        <v>1531.02</v>
      </c>
      <c r="B64" s="65" t="str">
        <f>VLOOKUP(A64,DMTK!$B$5:$L$263,3,0)</f>
        <v>Kệ tủ</v>
      </c>
      <c r="C64" s="69">
        <f>SUMIFS(DMTK!$K$5:$K$263,DMTK!$B$5:$B$263,A64&amp;"*")</f>
        <v>5000000</v>
      </c>
      <c r="D64" s="69">
        <f>SUMIFS(DMTK!$L$5:$L$263,DMTK!$B$5:$B$263,'BTHCTTK (TH131) NGÀY'!A64&amp;"*")</f>
        <v>0</v>
      </c>
      <c r="E64" s="69">
        <f>SUMIFS(CT!$H$5:$H$143,CT!$A$5:$A$143,"&lt;"&amp;'BTHCTTK (TH131) NGÀY'!$D$3,CT!$D$5:$D$143,'BTHCTTK (TH131) NGÀY'!A64)</f>
        <v>0</v>
      </c>
      <c r="F64" s="69">
        <f>SUMIFS(CT!$H$5:$H$143,CT!$A$5:$A$143,"&lt;"&amp;'BTHCTTK (TH131) NGÀY'!$D$3,CT!$E$5:$E$143,'BTHCTTK (TH131) NGÀY'!A64)</f>
        <v>0</v>
      </c>
      <c r="G64" s="69">
        <f t="shared" si="0"/>
        <v>5000000</v>
      </c>
      <c r="H64" s="69">
        <f t="shared" si="1"/>
        <v>0</v>
      </c>
      <c r="I64" s="69">
        <f>SUMIFS(CT!$H$5:$H$143,CT!$A$5:$A$143,"&gt;="&amp;'BTHCTTK (TH131) NGÀY'!$D$3,CT!$A$5:$A$143,"&lt;="&amp;'BTHCTTK (TH131) NGÀY'!$G$3,CT!$D$5:$D$143,'BTHCTTK (TH131) NGÀY'!A64)</f>
        <v>0</v>
      </c>
      <c r="J64" s="69">
        <f>SUMIFS(CT!$H$5:$H$143,CT!$A$5:$A$143,"&gt;="&amp;$D$3,CT!$A$5:$A$143,"&lt;="&amp;$G$3,CT!$E$5:$E$143,'BTHCTTK (TH131) NGÀY'!A64)</f>
        <v>1000000</v>
      </c>
      <c r="K64" s="69">
        <f t="shared" si="2"/>
        <v>4000000</v>
      </c>
      <c r="L64" s="69">
        <f t="shared" si="3"/>
        <v>0</v>
      </c>
      <c r="M64" t="b">
        <f t="shared" si="4"/>
        <v>0</v>
      </c>
    </row>
    <row r="65" spans="1:13" hidden="1" x14ac:dyDescent="0.25">
      <c r="A65" s="93" t="str">
        <f>DMTK!B64</f>
        <v>1531.03</v>
      </c>
      <c r="B65" s="65" t="str">
        <f>VLOOKUP(A65,DMTK!$B$5:$L$263,3,0)</f>
        <v>Lưỡi cưa</v>
      </c>
      <c r="C65" s="69">
        <f>SUMIFS(DMTK!$K$5:$K$263,DMTK!$B$5:$B$263,A65&amp;"*")</f>
        <v>1000000</v>
      </c>
      <c r="D65" s="69">
        <f>SUMIFS(DMTK!$L$5:$L$263,DMTK!$B$5:$B$263,'BTHCTTK (TH131) NGÀY'!A65&amp;"*")</f>
        <v>0</v>
      </c>
      <c r="E65" s="69">
        <f>SUMIFS(CT!$H$5:$H$143,CT!$A$5:$A$143,"&lt;"&amp;'BTHCTTK (TH131) NGÀY'!$D$3,CT!$D$5:$D$143,'BTHCTTK (TH131) NGÀY'!A65)</f>
        <v>0</v>
      </c>
      <c r="F65" s="69">
        <f>SUMIFS(CT!$H$5:$H$143,CT!$A$5:$A$143,"&lt;"&amp;'BTHCTTK (TH131) NGÀY'!$D$3,CT!$E$5:$E$143,'BTHCTTK (TH131) NGÀY'!A65)</f>
        <v>0</v>
      </c>
      <c r="G65" s="69">
        <f t="shared" si="0"/>
        <v>1000000</v>
      </c>
      <c r="H65" s="69">
        <f t="shared" si="1"/>
        <v>0</v>
      </c>
      <c r="I65" s="69">
        <f>SUMIFS(CT!$H$5:$H$143,CT!$A$5:$A$143,"&gt;="&amp;'BTHCTTK (TH131) NGÀY'!$D$3,CT!$A$5:$A$143,"&lt;="&amp;'BTHCTTK (TH131) NGÀY'!$G$3,CT!$D$5:$D$143,'BTHCTTK (TH131) NGÀY'!A65)</f>
        <v>0</v>
      </c>
      <c r="J65" s="69">
        <f>SUMIFS(CT!$H$5:$H$143,CT!$A$5:$A$143,"&gt;="&amp;$D$3,CT!$A$5:$A$143,"&lt;="&amp;$G$3,CT!$E$5:$E$143,'BTHCTTK (TH131) NGÀY'!A65)</f>
        <v>100000</v>
      </c>
      <c r="K65" s="69">
        <f t="shared" si="2"/>
        <v>900000</v>
      </c>
      <c r="L65" s="69">
        <f t="shared" si="3"/>
        <v>0</v>
      </c>
      <c r="M65" t="b">
        <f t="shared" si="4"/>
        <v>0</v>
      </c>
    </row>
    <row r="66" spans="1:13" hidden="1" x14ac:dyDescent="0.25">
      <c r="A66" s="93" t="str">
        <f>DMTK!B65</f>
        <v>1531.04</v>
      </c>
      <c r="B66" s="65" t="str">
        <f>VLOOKUP(A66,DMTK!$B$5:$L$263,3,0)</f>
        <v>Mũi khoan</v>
      </c>
      <c r="C66" s="69">
        <f>SUMIFS(DMTK!$K$5:$K$263,DMTK!$B$5:$B$263,A66&amp;"*")</f>
        <v>2000000</v>
      </c>
      <c r="D66" s="69">
        <f>SUMIFS(DMTK!$L$5:$L$263,DMTK!$B$5:$B$263,'BTHCTTK (TH131) NGÀY'!A66&amp;"*")</f>
        <v>0</v>
      </c>
      <c r="E66" s="69">
        <f>SUMIFS(CT!$H$5:$H$143,CT!$A$5:$A$143,"&lt;"&amp;'BTHCTTK (TH131) NGÀY'!$D$3,CT!$D$5:$D$143,'BTHCTTK (TH131) NGÀY'!A66)</f>
        <v>0</v>
      </c>
      <c r="F66" s="69">
        <f>SUMIFS(CT!$H$5:$H$143,CT!$A$5:$A$143,"&lt;"&amp;'BTHCTTK (TH131) NGÀY'!$D$3,CT!$E$5:$E$143,'BTHCTTK (TH131) NGÀY'!A66)</f>
        <v>0</v>
      </c>
      <c r="G66" s="69">
        <f t="shared" si="0"/>
        <v>2000000</v>
      </c>
      <c r="H66" s="69">
        <f t="shared" si="1"/>
        <v>0</v>
      </c>
      <c r="I66" s="69">
        <f>SUMIFS(CT!$H$5:$H$143,CT!$A$5:$A$143,"&gt;="&amp;'BTHCTTK (TH131) NGÀY'!$D$3,CT!$A$5:$A$143,"&lt;="&amp;'BTHCTTK (TH131) NGÀY'!$G$3,CT!$D$5:$D$143,'BTHCTTK (TH131) NGÀY'!A66)</f>
        <v>0</v>
      </c>
      <c r="J66" s="69">
        <f>SUMIFS(CT!$H$5:$H$143,CT!$A$5:$A$143,"&gt;="&amp;$D$3,CT!$A$5:$A$143,"&lt;="&amp;$G$3,CT!$E$5:$E$143,'BTHCTTK (TH131) NGÀY'!A66)</f>
        <v>100000</v>
      </c>
      <c r="K66" s="69">
        <f t="shared" si="2"/>
        <v>1900000</v>
      </c>
      <c r="L66" s="69">
        <f t="shared" si="3"/>
        <v>0</v>
      </c>
      <c r="M66" t="b">
        <f t="shared" si="4"/>
        <v>0</v>
      </c>
    </row>
    <row r="67" spans="1:13" hidden="1" x14ac:dyDescent="0.25">
      <c r="A67" s="93" t="str">
        <f>DMTK!B66</f>
        <v>1531.05</v>
      </c>
      <c r="B67" s="65" t="str">
        <f>VLOOKUP(A67,DMTK!$B$5:$L$263,3,0)</f>
        <v>Dao thép</v>
      </c>
      <c r="C67" s="69">
        <f>SUMIFS(DMTK!$K$5:$K$263,DMTK!$B$5:$B$263,A67&amp;"*")</f>
        <v>1000000</v>
      </c>
      <c r="D67" s="69">
        <f>SUMIFS(DMTK!$L$5:$L$263,DMTK!$B$5:$B$263,'BTHCTTK (TH131) NGÀY'!A67&amp;"*")</f>
        <v>0</v>
      </c>
      <c r="E67" s="69">
        <f>SUMIFS(CT!$H$5:$H$143,CT!$A$5:$A$143,"&lt;"&amp;'BTHCTTK (TH131) NGÀY'!$D$3,CT!$D$5:$D$143,'BTHCTTK (TH131) NGÀY'!A67)</f>
        <v>0</v>
      </c>
      <c r="F67" s="69">
        <f>SUMIFS(CT!$H$5:$H$143,CT!$A$5:$A$143,"&lt;"&amp;'BTHCTTK (TH131) NGÀY'!$D$3,CT!$E$5:$E$143,'BTHCTTK (TH131) NGÀY'!A67)</f>
        <v>0</v>
      </c>
      <c r="G67" s="69">
        <f t="shared" si="0"/>
        <v>1000000</v>
      </c>
      <c r="H67" s="69">
        <f t="shared" si="1"/>
        <v>0</v>
      </c>
      <c r="I67" s="69">
        <f>SUMIFS(CT!$H$5:$H$143,CT!$A$5:$A$143,"&gt;="&amp;'BTHCTTK (TH131) NGÀY'!$D$3,CT!$A$5:$A$143,"&lt;="&amp;'BTHCTTK (TH131) NGÀY'!$G$3,CT!$D$5:$D$143,'BTHCTTK (TH131) NGÀY'!A67)</f>
        <v>0</v>
      </c>
      <c r="J67" s="69">
        <f>SUMIFS(CT!$H$5:$H$143,CT!$A$5:$A$143,"&gt;="&amp;$D$3,CT!$A$5:$A$143,"&lt;="&amp;$G$3,CT!$E$5:$E$143,'BTHCTTK (TH131) NGÀY'!A67)</f>
        <v>300000</v>
      </c>
      <c r="K67" s="69">
        <f t="shared" si="2"/>
        <v>700000</v>
      </c>
      <c r="L67" s="69">
        <f t="shared" si="3"/>
        <v>0</v>
      </c>
      <c r="M67" t="b">
        <f t="shared" si="4"/>
        <v>0</v>
      </c>
    </row>
    <row r="68" spans="1:13" hidden="1" x14ac:dyDescent="0.25">
      <c r="A68" s="93" t="str">
        <f>DMTK!B67</f>
        <v>154.01</v>
      </c>
      <c r="B68" s="65" t="str">
        <f>VLOOKUP(A68,DMTK!$B$5:$L$263,3,0)</f>
        <v>Ghế tay vịn</v>
      </c>
      <c r="C68" s="69">
        <f>SUMIFS(DMTK!$K$5:$K$263,DMTK!$B$5:$B$263,A68&amp;"*")</f>
        <v>70000000</v>
      </c>
      <c r="D68" s="69">
        <f>SUMIFS(DMTK!$L$5:$L$263,DMTK!$B$5:$B$263,'BTHCTTK (TH131) NGÀY'!A68&amp;"*")</f>
        <v>0</v>
      </c>
      <c r="E68" s="69">
        <f>SUMIFS(CT!$H$5:$H$143,CT!$A$5:$A$143,"&lt;"&amp;'BTHCTTK (TH131) NGÀY'!$D$3,CT!$D$5:$D$143,'BTHCTTK (TH131) NGÀY'!A68)</f>
        <v>0</v>
      </c>
      <c r="F68" s="69">
        <f>SUMIFS(CT!$H$5:$H$143,CT!$A$5:$A$143,"&lt;"&amp;'BTHCTTK (TH131) NGÀY'!$D$3,CT!$E$5:$E$143,'BTHCTTK (TH131) NGÀY'!A68)</f>
        <v>0</v>
      </c>
      <c r="G68" s="69">
        <f t="shared" si="0"/>
        <v>70000000</v>
      </c>
      <c r="H68" s="69">
        <f t="shared" si="1"/>
        <v>0</v>
      </c>
      <c r="I68" s="69">
        <f>SUMIFS(CT!$H$5:$H$143,CT!$A$5:$A$143,"&gt;="&amp;'BTHCTTK (TH131) NGÀY'!$D$3,CT!$A$5:$A$143,"&lt;="&amp;'BTHCTTK (TH131) NGÀY'!$G$3,CT!$D$5:$D$143,'BTHCTTK (TH131) NGÀY'!A68)</f>
        <v>99050185</v>
      </c>
      <c r="J68" s="69">
        <f>SUMIFS(CT!$H$5:$H$143,CT!$A$5:$A$143,"&gt;="&amp;$D$3,CT!$A$5:$A$143,"&lt;="&amp;$G$3,CT!$E$5:$E$143,'BTHCTTK (TH131) NGÀY'!A68)</f>
        <v>102060000</v>
      </c>
      <c r="K68" s="69">
        <f t="shared" si="2"/>
        <v>66990185</v>
      </c>
      <c r="L68" s="69">
        <f t="shared" si="3"/>
        <v>0</v>
      </c>
      <c r="M68" t="b">
        <f t="shared" si="4"/>
        <v>0</v>
      </c>
    </row>
    <row r="69" spans="1:13" hidden="1" x14ac:dyDescent="0.25">
      <c r="A69" s="93" t="str">
        <f>DMTK!B68</f>
        <v>154.02</v>
      </c>
      <c r="B69" s="65" t="str">
        <f>VLOOKUP(A69,DMTK!$B$5:$L$263,3,0)</f>
        <v>Ghế không tay</v>
      </c>
      <c r="C69" s="69">
        <f>SUMIFS(DMTK!$K$5:$K$263,DMTK!$B$5:$B$263,A69&amp;"*")</f>
        <v>80000000</v>
      </c>
      <c r="D69" s="69">
        <f>SUMIFS(DMTK!$L$5:$L$263,DMTK!$B$5:$B$263,'BTHCTTK (TH131) NGÀY'!A69&amp;"*")</f>
        <v>0</v>
      </c>
      <c r="E69" s="69">
        <f>SUMIFS(CT!$H$5:$H$143,CT!$A$5:$A$143,"&lt;"&amp;'BTHCTTK (TH131) NGÀY'!$D$3,CT!$D$5:$D$143,'BTHCTTK (TH131) NGÀY'!A69)</f>
        <v>0</v>
      </c>
      <c r="F69" s="69">
        <f>SUMIFS(CT!$H$5:$H$143,CT!$A$5:$A$143,"&lt;"&amp;'BTHCTTK (TH131) NGÀY'!$D$3,CT!$E$5:$E$143,'BTHCTTK (TH131) NGÀY'!A69)</f>
        <v>0</v>
      </c>
      <c r="G69" s="69">
        <f t="shared" si="0"/>
        <v>80000000</v>
      </c>
      <c r="H69" s="69">
        <f t="shared" si="1"/>
        <v>0</v>
      </c>
      <c r="I69" s="69">
        <f>SUMIFS(CT!$H$5:$H$143,CT!$A$5:$A$143,"&gt;="&amp;'BTHCTTK (TH131) NGÀY'!$D$3,CT!$A$5:$A$143,"&lt;="&amp;'BTHCTTK (TH131) NGÀY'!$G$3,CT!$D$5:$D$143,'BTHCTTK (TH131) NGÀY'!A69)</f>
        <v>48800000</v>
      </c>
      <c r="J69" s="69">
        <f>SUMIFS(CT!$H$5:$H$143,CT!$A$5:$A$143,"&gt;="&amp;$D$3,CT!$A$5:$A$143,"&lt;="&amp;$G$3,CT!$E$5:$E$143,'BTHCTTK (TH131) NGÀY'!A69)</f>
        <v>61800000</v>
      </c>
      <c r="K69" s="69">
        <f t="shared" si="2"/>
        <v>67000000</v>
      </c>
      <c r="L69" s="69">
        <f t="shared" si="3"/>
        <v>0</v>
      </c>
      <c r="M69" t="b">
        <f t="shared" si="4"/>
        <v>0</v>
      </c>
    </row>
    <row r="70" spans="1:13" hidden="1" x14ac:dyDescent="0.25">
      <c r="A70" s="93" t="str">
        <f>DMTK!B69</f>
        <v>154.03</v>
      </c>
      <c r="B70" s="65" t="str">
        <f>VLOOKUP(A70,DMTK!$B$5:$L$263,3,0)</f>
        <v>Bàn tròn</v>
      </c>
      <c r="C70" s="69">
        <f>SUMIFS(DMTK!$K$5:$K$263,DMTK!$B$5:$B$263,A70&amp;"*")</f>
        <v>7000000</v>
      </c>
      <c r="D70" s="69">
        <f>SUMIFS(DMTK!$L$5:$L$263,DMTK!$B$5:$B$263,'BTHCTTK (TH131) NGÀY'!A70&amp;"*")</f>
        <v>0</v>
      </c>
      <c r="E70" s="69">
        <f>SUMIFS(CT!$H$5:$H$143,CT!$A$5:$A$143,"&lt;"&amp;'BTHCTTK (TH131) NGÀY'!$D$3,CT!$D$5:$D$143,'BTHCTTK (TH131) NGÀY'!A70)</f>
        <v>0</v>
      </c>
      <c r="F70" s="69">
        <f>SUMIFS(CT!$H$5:$H$143,CT!$A$5:$A$143,"&lt;"&amp;'BTHCTTK (TH131) NGÀY'!$D$3,CT!$E$5:$E$143,'BTHCTTK (TH131) NGÀY'!A70)</f>
        <v>0</v>
      </c>
      <c r="G70" s="69">
        <f t="shared" si="0"/>
        <v>7000000</v>
      </c>
      <c r="H70" s="69">
        <f t="shared" si="1"/>
        <v>0</v>
      </c>
      <c r="I70" s="69">
        <f>SUMIFS(CT!$H$5:$H$143,CT!$A$5:$A$143,"&gt;="&amp;'BTHCTTK (TH131) NGÀY'!$D$3,CT!$A$5:$A$143,"&lt;="&amp;'BTHCTTK (TH131) NGÀY'!$G$3,CT!$D$5:$D$143,'BTHCTTK (TH131) NGÀY'!A70)</f>
        <v>61494681</v>
      </c>
      <c r="J70" s="69">
        <f>SUMIFS(CT!$H$5:$H$143,CT!$A$5:$A$143,"&gt;="&amp;$D$3,CT!$A$5:$A$143,"&lt;="&amp;$G$3,CT!$E$5:$E$143,'BTHCTTK (TH131) NGÀY'!A70)</f>
        <v>61500000</v>
      </c>
      <c r="K70" s="69">
        <f t="shared" si="2"/>
        <v>6994681</v>
      </c>
      <c r="L70" s="69">
        <f t="shared" si="3"/>
        <v>0</v>
      </c>
      <c r="M70" t="b">
        <f t="shared" si="4"/>
        <v>0</v>
      </c>
    </row>
    <row r="71" spans="1:13" hidden="1" x14ac:dyDescent="0.25">
      <c r="A71" s="93" t="str">
        <f>DMTK!B70</f>
        <v>154.04</v>
      </c>
      <c r="B71" s="65" t="str">
        <f>VLOOKUP(A71,DMTK!$B$5:$L$263,3,0)</f>
        <v>Bàn oval</v>
      </c>
      <c r="C71" s="69">
        <f>SUMIFS(DMTK!$K$5:$K$263,DMTK!$B$5:$B$263,A71&amp;"*")</f>
        <v>43000000</v>
      </c>
      <c r="D71" s="69">
        <f>SUMIFS(DMTK!$L$5:$L$263,DMTK!$B$5:$B$263,'BTHCTTK (TH131) NGÀY'!A71&amp;"*")</f>
        <v>0</v>
      </c>
      <c r="E71" s="69">
        <f>SUMIFS(CT!$H$5:$H$143,CT!$A$5:$A$143,"&lt;"&amp;'BTHCTTK (TH131) NGÀY'!$D$3,CT!$D$5:$D$143,'BTHCTTK (TH131) NGÀY'!A71)</f>
        <v>0</v>
      </c>
      <c r="F71" s="69">
        <f>SUMIFS(CT!$H$5:$H$143,CT!$A$5:$A$143,"&lt;"&amp;'BTHCTTK (TH131) NGÀY'!$D$3,CT!$E$5:$E$143,'BTHCTTK (TH131) NGÀY'!A71)</f>
        <v>0</v>
      </c>
      <c r="G71" s="69">
        <f t="shared" ref="G71:G134" si="5">MAX(C71+E71-D71-F71,0)</f>
        <v>43000000</v>
      </c>
      <c r="H71" s="69">
        <f t="shared" ref="H71:H134" si="6">MAX(D71+F71-C71-E71,0)</f>
        <v>0</v>
      </c>
      <c r="I71" s="69">
        <f>SUMIFS(CT!$H$5:$H$143,CT!$A$5:$A$143,"&gt;="&amp;'BTHCTTK (TH131) NGÀY'!$D$3,CT!$A$5:$A$143,"&lt;="&amp;'BTHCTTK (TH131) NGÀY'!$G$3,CT!$D$5:$D$143,'BTHCTTK (TH131) NGÀY'!A71)</f>
        <v>48800000</v>
      </c>
      <c r="J71" s="69">
        <f>SUMIFS(CT!$H$5:$H$143,CT!$A$5:$A$143,"&gt;="&amp;$D$3,CT!$A$5:$A$143,"&lt;="&amp;$G$3,CT!$E$5:$E$143,'BTHCTTK (TH131) NGÀY'!A71)</f>
        <v>0</v>
      </c>
      <c r="K71" s="69">
        <f t="shared" ref="K71:K134" si="7">MAX(G71+I71-H71-J71,0)</f>
        <v>91800000</v>
      </c>
      <c r="L71" s="69">
        <f t="shared" ref="L71:L134" si="8">MAX(H71+J71-G71-I71,0)</f>
        <v>0</v>
      </c>
      <c r="M71" t="b">
        <f t="shared" ref="M71:M134" si="9">LEFT(A71,3)=$D$2</f>
        <v>0</v>
      </c>
    </row>
    <row r="72" spans="1:13" hidden="1" x14ac:dyDescent="0.25">
      <c r="A72" s="93" t="str">
        <f>DMTK!B71</f>
        <v>154.05</v>
      </c>
      <c r="B72" s="65" t="str">
        <f>VLOOKUP(A72,DMTK!$B$5:$L$263,3,0)</f>
        <v>Bàn chữ nhật</v>
      </c>
      <c r="C72" s="69">
        <f>SUMIFS(DMTK!$K$5:$K$263,DMTK!$B$5:$B$263,A72&amp;"*")</f>
        <v>22000000</v>
      </c>
      <c r="D72" s="69">
        <f>SUMIFS(DMTK!$L$5:$L$263,DMTK!$B$5:$B$263,'BTHCTTK (TH131) NGÀY'!A72&amp;"*")</f>
        <v>0</v>
      </c>
      <c r="E72" s="69">
        <f>SUMIFS(CT!$H$5:$H$143,CT!$A$5:$A$143,"&lt;"&amp;'BTHCTTK (TH131) NGÀY'!$D$3,CT!$D$5:$D$143,'BTHCTTK (TH131) NGÀY'!A72)</f>
        <v>0</v>
      </c>
      <c r="F72" s="69">
        <f>SUMIFS(CT!$H$5:$H$143,CT!$A$5:$A$143,"&lt;"&amp;'BTHCTTK (TH131) NGÀY'!$D$3,CT!$E$5:$E$143,'BTHCTTK (TH131) NGÀY'!A72)</f>
        <v>0</v>
      </c>
      <c r="G72" s="69">
        <f t="shared" si="5"/>
        <v>22000000</v>
      </c>
      <c r="H72" s="69">
        <f t="shared" si="6"/>
        <v>0</v>
      </c>
      <c r="I72" s="69">
        <f>SUMIFS(CT!$H$5:$H$143,CT!$A$5:$A$143,"&gt;="&amp;'BTHCTTK (TH131) NGÀY'!$D$3,CT!$A$5:$A$143,"&lt;="&amp;'BTHCTTK (TH131) NGÀY'!$G$3,CT!$D$5:$D$143,'BTHCTTK (TH131) NGÀY'!A72)</f>
        <v>48800000</v>
      </c>
      <c r="J72" s="69">
        <f>SUMIFS(CT!$H$5:$H$143,CT!$A$5:$A$143,"&gt;="&amp;$D$3,CT!$A$5:$A$143,"&lt;="&amp;$G$3,CT!$E$5:$E$143,'BTHCTTK (TH131) NGÀY'!A72)</f>
        <v>0</v>
      </c>
      <c r="K72" s="69">
        <f t="shared" si="7"/>
        <v>70800000</v>
      </c>
      <c r="L72" s="69">
        <f t="shared" si="8"/>
        <v>0</v>
      </c>
      <c r="M72" t="b">
        <f t="shared" si="9"/>
        <v>0</v>
      </c>
    </row>
    <row r="73" spans="1:13" hidden="1" x14ac:dyDescent="0.25">
      <c r="A73" s="93" t="str">
        <f>DMTK!B72</f>
        <v>1551.0101</v>
      </c>
      <c r="B73" s="65" t="str">
        <f>VLOOKUP(A73,DMTK!$B$5:$L$263,3,0)</f>
        <v>Ghế tay vịn</v>
      </c>
      <c r="C73" s="69">
        <f>SUMIFS(DMTK!$K$5:$K$263,DMTK!$B$5:$B$263,A73&amp;"*")</f>
        <v>62500000</v>
      </c>
      <c r="D73" s="69">
        <f>SUMIFS(DMTK!$L$5:$L$263,DMTK!$B$5:$B$263,'BTHCTTK (TH131) NGÀY'!A73&amp;"*")</f>
        <v>0</v>
      </c>
      <c r="E73" s="69">
        <f>SUMIFS(CT!$H$5:$H$143,CT!$A$5:$A$143,"&lt;"&amp;'BTHCTTK (TH131) NGÀY'!$D$3,CT!$D$5:$D$143,'BTHCTTK (TH131) NGÀY'!A73)</f>
        <v>0</v>
      </c>
      <c r="F73" s="69">
        <f>SUMIFS(CT!$H$5:$H$143,CT!$A$5:$A$143,"&lt;"&amp;'BTHCTTK (TH131) NGÀY'!$D$3,CT!$E$5:$E$143,'BTHCTTK (TH131) NGÀY'!A73)</f>
        <v>0</v>
      </c>
      <c r="G73" s="69">
        <f t="shared" si="5"/>
        <v>62500000</v>
      </c>
      <c r="H73" s="69">
        <f t="shared" si="6"/>
        <v>0</v>
      </c>
      <c r="I73" s="69">
        <f>SUMIFS(CT!$H$5:$H$143,CT!$A$5:$A$143,"&gt;="&amp;'BTHCTTK (TH131) NGÀY'!$D$3,CT!$A$5:$A$143,"&lt;="&amp;'BTHCTTK (TH131) NGÀY'!$G$3,CT!$D$5:$D$143,'BTHCTTK (TH131) NGÀY'!A73)</f>
        <v>102060000</v>
      </c>
      <c r="J73" s="69">
        <f>SUMIFS(CT!$H$5:$H$143,CT!$A$5:$A$143,"&gt;="&amp;$D$3,CT!$A$5:$A$143,"&lt;="&amp;$G$3,CT!$E$5:$E$143,'BTHCTTK (TH131) NGÀY'!A73)</f>
        <v>25123700</v>
      </c>
      <c r="K73" s="69">
        <f t="shared" si="7"/>
        <v>139436300</v>
      </c>
      <c r="L73" s="69">
        <f t="shared" si="8"/>
        <v>0</v>
      </c>
      <c r="M73" t="b">
        <f t="shared" si="9"/>
        <v>0</v>
      </c>
    </row>
    <row r="74" spans="1:13" hidden="1" x14ac:dyDescent="0.25">
      <c r="A74" s="93" t="str">
        <f>DMTK!B73</f>
        <v>1551.0102</v>
      </c>
      <c r="B74" s="65" t="str">
        <f>VLOOKUP(A74,DMTK!$B$5:$L$263,3,0)</f>
        <v>Ghế không tay</v>
      </c>
      <c r="C74" s="69">
        <f>SUMIFS(DMTK!$K$5:$K$263,DMTK!$B$5:$B$263,A74&amp;"*")</f>
        <v>44000000</v>
      </c>
      <c r="D74" s="69">
        <f>SUMIFS(DMTK!$L$5:$L$263,DMTK!$B$5:$B$263,'BTHCTTK (TH131) NGÀY'!A74&amp;"*")</f>
        <v>0</v>
      </c>
      <c r="E74" s="69">
        <f>SUMIFS(CT!$H$5:$H$143,CT!$A$5:$A$143,"&lt;"&amp;'BTHCTTK (TH131) NGÀY'!$D$3,CT!$D$5:$D$143,'BTHCTTK (TH131) NGÀY'!A74)</f>
        <v>0</v>
      </c>
      <c r="F74" s="69">
        <f>SUMIFS(CT!$H$5:$H$143,CT!$A$5:$A$143,"&lt;"&amp;'BTHCTTK (TH131) NGÀY'!$D$3,CT!$E$5:$E$143,'BTHCTTK (TH131) NGÀY'!A74)</f>
        <v>0</v>
      </c>
      <c r="G74" s="69">
        <f t="shared" si="5"/>
        <v>44000000</v>
      </c>
      <c r="H74" s="69">
        <f t="shared" si="6"/>
        <v>0</v>
      </c>
      <c r="I74" s="69">
        <f>SUMIFS(CT!$H$5:$H$143,CT!$A$5:$A$143,"&gt;="&amp;'BTHCTTK (TH131) NGÀY'!$D$3,CT!$A$5:$A$143,"&lt;="&amp;'BTHCTTK (TH131) NGÀY'!$G$3,CT!$D$5:$D$143,'BTHCTTK (TH131) NGÀY'!A74)</f>
        <v>61800000</v>
      </c>
      <c r="J74" s="69">
        <f>SUMIFS(CT!$H$5:$H$143,CT!$A$5:$A$143,"&gt;="&amp;$D$3,CT!$A$5:$A$143,"&lt;="&amp;$G$3,CT!$E$5:$E$143,'BTHCTTK (TH131) NGÀY'!A74)</f>
        <v>20346200</v>
      </c>
      <c r="K74" s="69">
        <f t="shared" si="7"/>
        <v>85453800</v>
      </c>
      <c r="L74" s="69">
        <f t="shared" si="8"/>
        <v>0</v>
      </c>
      <c r="M74" t="b">
        <f t="shared" si="9"/>
        <v>0</v>
      </c>
    </row>
    <row r="75" spans="1:13" hidden="1" x14ac:dyDescent="0.25">
      <c r="A75" s="93" t="str">
        <f>DMTK!B74</f>
        <v>1551.0201</v>
      </c>
      <c r="B75" s="65" t="str">
        <f>VLOOKUP(A75,DMTK!$B$5:$L$263,3,0)</f>
        <v>Bàn tròn</v>
      </c>
      <c r="C75" s="69">
        <f>SUMIFS(DMTK!$K$5:$K$263,DMTK!$B$5:$B$263,A75&amp;"*")</f>
        <v>45000000</v>
      </c>
      <c r="D75" s="69">
        <f>SUMIFS(DMTK!$L$5:$L$263,DMTK!$B$5:$B$263,'BTHCTTK (TH131) NGÀY'!A75&amp;"*")</f>
        <v>0</v>
      </c>
      <c r="E75" s="69">
        <f>SUMIFS(CT!$H$5:$H$143,CT!$A$5:$A$143,"&lt;"&amp;'BTHCTTK (TH131) NGÀY'!$D$3,CT!$D$5:$D$143,'BTHCTTK (TH131) NGÀY'!A75)</f>
        <v>0</v>
      </c>
      <c r="F75" s="69">
        <f>SUMIFS(CT!$H$5:$H$143,CT!$A$5:$A$143,"&lt;"&amp;'BTHCTTK (TH131) NGÀY'!$D$3,CT!$E$5:$E$143,'BTHCTTK (TH131) NGÀY'!A75)</f>
        <v>0</v>
      </c>
      <c r="G75" s="69">
        <f t="shared" si="5"/>
        <v>45000000</v>
      </c>
      <c r="H75" s="69">
        <f t="shared" si="6"/>
        <v>0</v>
      </c>
      <c r="I75" s="69">
        <f>SUMIFS(CT!$H$5:$H$143,CT!$A$5:$A$143,"&gt;="&amp;'BTHCTTK (TH131) NGÀY'!$D$3,CT!$A$5:$A$143,"&lt;="&amp;'BTHCTTK (TH131) NGÀY'!$G$3,CT!$D$5:$D$143,'BTHCTTK (TH131) NGÀY'!A75)</f>
        <v>61500000</v>
      </c>
      <c r="J75" s="69">
        <f>SUMIFS(CT!$H$5:$H$143,CT!$A$5:$A$143,"&gt;="&amp;$D$3,CT!$A$5:$A$143,"&lt;="&amp;$G$3,CT!$E$5:$E$143,'BTHCTTK (TH131) NGÀY'!A75)</f>
        <v>0</v>
      </c>
      <c r="K75" s="69">
        <f t="shared" si="7"/>
        <v>106500000</v>
      </c>
      <c r="L75" s="69">
        <f t="shared" si="8"/>
        <v>0</v>
      </c>
      <c r="M75" t="b">
        <f t="shared" si="9"/>
        <v>0</v>
      </c>
    </row>
    <row r="76" spans="1:13" hidden="1" x14ac:dyDescent="0.25">
      <c r="A76" s="93" t="str">
        <f>DMTK!B75</f>
        <v>1551.0202</v>
      </c>
      <c r="B76" s="65" t="str">
        <f>VLOOKUP(A76,DMTK!$B$5:$L$263,3,0)</f>
        <v>Bàn oval</v>
      </c>
      <c r="C76" s="69">
        <f>SUMIFS(DMTK!$K$5:$K$263,DMTK!$B$5:$B$263,A76&amp;"*")</f>
        <v>25000000</v>
      </c>
      <c r="D76" s="69">
        <f>SUMIFS(DMTK!$L$5:$L$263,DMTK!$B$5:$B$263,'BTHCTTK (TH131) NGÀY'!A76&amp;"*")</f>
        <v>0</v>
      </c>
      <c r="E76" s="69">
        <f>SUMIFS(CT!$H$5:$H$143,CT!$A$5:$A$143,"&lt;"&amp;'BTHCTTK (TH131) NGÀY'!$D$3,CT!$D$5:$D$143,'BTHCTTK (TH131) NGÀY'!A76)</f>
        <v>0</v>
      </c>
      <c r="F76" s="69">
        <f>SUMIFS(CT!$H$5:$H$143,CT!$A$5:$A$143,"&lt;"&amp;'BTHCTTK (TH131) NGÀY'!$D$3,CT!$E$5:$E$143,'BTHCTTK (TH131) NGÀY'!A76)</f>
        <v>0</v>
      </c>
      <c r="G76" s="69">
        <f t="shared" si="5"/>
        <v>25000000</v>
      </c>
      <c r="H76" s="69">
        <f t="shared" si="6"/>
        <v>0</v>
      </c>
      <c r="I76" s="69">
        <f>SUMIFS(CT!$H$5:$H$143,CT!$A$5:$A$143,"&gt;="&amp;'BTHCTTK (TH131) NGÀY'!$D$3,CT!$A$5:$A$143,"&lt;="&amp;'BTHCTTK (TH131) NGÀY'!$G$3,CT!$D$5:$D$143,'BTHCTTK (TH131) NGÀY'!A76)</f>
        <v>0</v>
      </c>
      <c r="J76" s="69">
        <f>SUMIFS(CT!$H$5:$H$143,CT!$A$5:$A$143,"&gt;="&amp;$D$3,CT!$A$5:$A$143,"&lt;="&amp;$G$3,CT!$E$5:$E$143,'BTHCTTK (TH131) NGÀY'!A76)</f>
        <v>25000000</v>
      </c>
      <c r="K76" s="69">
        <f t="shared" si="7"/>
        <v>0</v>
      </c>
      <c r="L76" s="69">
        <f t="shared" si="8"/>
        <v>0</v>
      </c>
      <c r="M76" t="b">
        <f t="shared" si="9"/>
        <v>0</v>
      </c>
    </row>
    <row r="77" spans="1:13" hidden="1" x14ac:dyDescent="0.25">
      <c r="A77" s="93" t="str">
        <f>DMTK!B76</f>
        <v>1551.0203</v>
      </c>
      <c r="B77" s="65" t="str">
        <f>VLOOKUP(A77,DMTK!$B$5:$L$263,3,0)</f>
        <v>Bàn chữ nhật</v>
      </c>
      <c r="C77" s="69">
        <f>SUMIFS(DMTK!$K$5:$K$263,DMTK!$B$5:$B$263,A77&amp;"*")</f>
        <v>70000000</v>
      </c>
      <c r="D77" s="69">
        <f>SUMIFS(DMTK!$L$5:$L$263,DMTK!$B$5:$B$263,'BTHCTTK (TH131) NGÀY'!A77&amp;"*")</f>
        <v>0</v>
      </c>
      <c r="E77" s="69">
        <f>SUMIFS(CT!$H$5:$H$143,CT!$A$5:$A$143,"&lt;"&amp;'BTHCTTK (TH131) NGÀY'!$D$3,CT!$D$5:$D$143,'BTHCTTK (TH131) NGÀY'!A77)</f>
        <v>0</v>
      </c>
      <c r="F77" s="69">
        <f>SUMIFS(CT!$H$5:$H$143,CT!$A$5:$A$143,"&lt;"&amp;'BTHCTTK (TH131) NGÀY'!$D$3,CT!$E$5:$E$143,'BTHCTTK (TH131) NGÀY'!A77)</f>
        <v>0</v>
      </c>
      <c r="G77" s="69">
        <f t="shared" si="5"/>
        <v>70000000</v>
      </c>
      <c r="H77" s="69">
        <f t="shared" si="6"/>
        <v>0</v>
      </c>
      <c r="I77" s="69">
        <f>SUMIFS(CT!$H$5:$H$143,CT!$A$5:$A$143,"&gt;="&amp;'BTHCTTK (TH131) NGÀY'!$D$3,CT!$A$5:$A$143,"&lt;="&amp;'BTHCTTK (TH131) NGÀY'!$G$3,CT!$D$5:$D$143,'BTHCTTK (TH131) NGÀY'!A77)</f>
        <v>0</v>
      </c>
      <c r="J77" s="69">
        <f>SUMIFS(CT!$H$5:$H$143,CT!$A$5:$A$143,"&gt;="&amp;$D$3,CT!$A$5:$A$143,"&lt;="&amp;$G$3,CT!$E$5:$E$143,'BTHCTTK (TH131) NGÀY'!A77)</f>
        <v>0</v>
      </c>
      <c r="K77" s="69">
        <f t="shared" si="7"/>
        <v>70000000</v>
      </c>
      <c r="L77" s="69">
        <f t="shared" si="8"/>
        <v>0</v>
      </c>
      <c r="M77" t="b">
        <f t="shared" si="9"/>
        <v>0</v>
      </c>
    </row>
    <row r="78" spans="1:13" hidden="1" x14ac:dyDescent="0.25">
      <c r="A78" s="93" t="str">
        <f>DMTK!B77</f>
        <v>1561</v>
      </c>
      <c r="B78" s="65" t="str">
        <f>VLOOKUP(A78,DMTK!$B$5:$L$263,3,0)</f>
        <v>Giá mua hàng hóa</v>
      </c>
      <c r="C78" s="69">
        <f>SUMIFS(DMTK!$K$5:$K$263,DMTK!$B$5:$B$263,A78&amp;"*")</f>
        <v>0</v>
      </c>
      <c r="D78" s="69">
        <f>SUMIFS(DMTK!$L$5:$L$263,DMTK!$B$5:$B$263,'BTHCTTK (TH131) NGÀY'!A78&amp;"*")</f>
        <v>0</v>
      </c>
      <c r="E78" s="69">
        <f>SUMIFS(CT!$H$5:$H$143,CT!$A$5:$A$143,"&lt;"&amp;'BTHCTTK (TH131) NGÀY'!$D$3,CT!$D$5:$D$143,'BTHCTTK (TH131) NGÀY'!A78)</f>
        <v>0</v>
      </c>
      <c r="F78" s="69">
        <f>SUMIFS(CT!$H$5:$H$143,CT!$A$5:$A$143,"&lt;"&amp;'BTHCTTK (TH131) NGÀY'!$D$3,CT!$E$5:$E$143,'BTHCTTK (TH131) NGÀY'!A78)</f>
        <v>0</v>
      </c>
      <c r="G78" s="69">
        <f t="shared" si="5"/>
        <v>0</v>
      </c>
      <c r="H78" s="69">
        <f t="shared" si="6"/>
        <v>0</v>
      </c>
      <c r="I78" s="69">
        <f>SUMIFS(CT!$H$5:$H$143,CT!$A$5:$A$143,"&gt;="&amp;'BTHCTTK (TH131) NGÀY'!$D$3,CT!$A$5:$A$143,"&lt;="&amp;'BTHCTTK (TH131) NGÀY'!$G$3,CT!$D$5:$D$143,'BTHCTTK (TH131) NGÀY'!A78)</f>
        <v>0</v>
      </c>
      <c r="J78" s="69">
        <f>SUMIFS(CT!$H$5:$H$143,CT!$A$5:$A$143,"&gt;="&amp;$D$3,CT!$A$5:$A$143,"&lt;="&amp;$G$3,CT!$E$5:$E$143,'BTHCTTK (TH131) NGÀY'!A78)</f>
        <v>0</v>
      </c>
      <c r="K78" s="69">
        <f t="shared" si="7"/>
        <v>0</v>
      </c>
      <c r="L78" s="69">
        <f t="shared" si="8"/>
        <v>0</v>
      </c>
      <c r="M78" t="b">
        <f t="shared" si="9"/>
        <v>0</v>
      </c>
    </row>
    <row r="79" spans="1:13" hidden="1" x14ac:dyDescent="0.25">
      <c r="A79" s="93" t="str">
        <f>DMTK!B78</f>
        <v>1562</v>
      </c>
      <c r="B79" s="65" t="str">
        <f>VLOOKUP(A79,DMTK!$B$5:$L$263,3,0)</f>
        <v>Chi phí thu mua hàng hóa</v>
      </c>
      <c r="C79" s="69">
        <f>SUMIFS(DMTK!$K$5:$K$263,DMTK!$B$5:$B$263,A79&amp;"*")</f>
        <v>0</v>
      </c>
      <c r="D79" s="69">
        <f>SUMIFS(DMTK!$L$5:$L$263,DMTK!$B$5:$B$263,'BTHCTTK (TH131) NGÀY'!A79&amp;"*")</f>
        <v>0</v>
      </c>
      <c r="E79" s="69">
        <f>SUMIFS(CT!$H$5:$H$143,CT!$A$5:$A$143,"&lt;"&amp;'BTHCTTK (TH131) NGÀY'!$D$3,CT!$D$5:$D$143,'BTHCTTK (TH131) NGÀY'!A79)</f>
        <v>0</v>
      </c>
      <c r="F79" s="69">
        <f>SUMIFS(CT!$H$5:$H$143,CT!$A$5:$A$143,"&lt;"&amp;'BTHCTTK (TH131) NGÀY'!$D$3,CT!$E$5:$E$143,'BTHCTTK (TH131) NGÀY'!A79)</f>
        <v>0</v>
      </c>
      <c r="G79" s="69">
        <f t="shared" si="5"/>
        <v>0</v>
      </c>
      <c r="H79" s="69">
        <f t="shared" si="6"/>
        <v>0</v>
      </c>
      <c r="I79" s="69">
        <f>SUMIFS(CT!$H$5:$H$143,CT!$A$5:$A$143,"&gt;="&amp;'BTHCTTK (TH131) NGÀY'!$D$3,CT!$A$5:$A$143,"&lt;="&amp;'BTHCTTK (TH131) NGÀY'!$G$3,CT!$D$5:$D$143,'BTHCTTK (TH131) NGÀY'!A79)</f>
        <v>0</v>
      </c>
      <c r="J79" s="69">
        <f>SUMIFS(CT!$H$5:$H$143,CT!$A$5:$A$143,"&gt;="&amp;$D$3,CT!$A$5:$A$143,"&lt;="&amp;$G$3,CT!$E$5:$E$143,'BTHCTTK (TH131) NGÀY'!A79)</f>
        <v>0</v>
      </c>
      <c r="K79" s="69">
        <f t="shared" si="7"/>
        <v>0</v>
      </c>
      <c r="L79" s="69">
        <f t="shared" si="8"/>
        <v>0</v>
      </c>
      <c r="M79" t="b">
        <f t="shared" si="9"/>
        <v>0</v>
      </c>
    </row>
    <row r="80" spans="1:13" hidden="1" x14ac:dyDescent="0.25">
      <c r="A80" s="93" t="str">
        <f>DMTK!B79</f>
        <v>1567</v>
      </c>
      <c r="B80" s="65" t="str">
        <f>VLOOKUP(A80,DMTK!$B$5:$L$263,3,0)</f>
        <v>Hàng hóa bất động sản</v>
      </c>
      <c r="C80" s="69">
        <f>SUMIFS(DMTK!$K$5:$K$263,DMTK!$B$5:$B$263,A80&amp;"*")</f>
        <v>0</v>
      </c>
      <c r="D80" s="69">
        <f>SUMIFS(DMTK!$L$5:$L$263,DMTK!$B$5:$B$263,'BTHCTTK (TH131) NGÀY'!A80&amp;"*")</f>
        <v>0</v>
      </c>
      <c r="E80" s="69">
        <f>SUMIFS(CT!$H$5:$H$143,CT!$A$5:$A$143,"&lt;"&amp;'BTHCTTK (TH131) NGÀY'!$D$3,CT!$D$5:$D$143,'BTHCTTK (TH131) NGÀY'!A80)</f>
        <v>0</v>
      </c>
      <c r="F80" s="69">
        <f>SUMIFS(CT!$H$5:$H$143,CT!$A$5:$A$143,"&lt;"&amp;'BTHCTTK (TH131) NGÀY'!$D$3,CT!$E$5:$E$143,'BTHCTTK (TH131) NGÀY'!A80)</f>
        <v>0</v>
      </c>
      <c r="G80" s="69">
        <f t="shared" si="5"/>
        <v>0</v>
      </c>
      <c r="H80" s="69">
        <f t="shared" si="6"/>
        <v>0</v>
      </c>
      <c r="I80" s="69">
        <f>SUMIFS(CT!$H$5:$H$143,CT!$A$5:$A$143,"&gt;="&amp;'BTHCTTK (TH131) NGÀY'!$D$3,CT!$A$5:$A$143,"&lt;="&amp;'BTHCTTK (TH131) NGÀY'!$G$3,CT!$D$5:$D$143,'BTHCTTK (TH131) NGÀY'!A80)</f>
        <v>0</v>
      </c>
      <c r="J80" s="69">
        <f>SUMIFS(CT!$H$5:$H$143,CT!$A$5:$A$143,"&gt;="&amp;$D$3,CT!$A$5:$A$143,"&lt;="&amp;$G$3,CT!$E$5:$E$143,'BTHCTTK (TH131) NGÀY'!A80)</f>
        <v>0</v>
      </c>
      <c r="K80" s="69">
        <f t="shared" si="7"/>
        <v>0</v>
      </c>
      <c r="L80" s="69">
        <f t="shared" si="8"/>
        <v>0</v>
      </c>
      <c r="M80" t="b">
        <f t="shared" si="9"/>
        <v>0</v>
      </c>
    </row>
    <row r="81" spans="1:13" hidden="1" x14ac:dyDescent="0.25">
      <c r="A81" s="93" t="str">
        <f>DMTK!B80</f>
        <v>157</v>
      </c>
      <c r="B81" s="65" t="str">
        <f>VLOOKUP(A81,DMTK!$B$5:$L$263,3,0)</f>
        <v>Hàng gửi đi bán</v>
      </c>
      <c r="C81" s="69">
        <f>SUMIFS(DMTK!$K$5:$K$263,DMTK!$B$5:$B$263,A81&amp;"*")</f>
        <v>0</v>
      </c>
      <c r="D81" s="69">
        <f>SUMIFS(DMTK!$L$5:$L$263,DMTK!$B$5:$B$263,'BTHCTTK (TH131) NGÀY'!A81&amp;"*")</f>
        <v>0</v>
      </c>
      <c r="E81" s="69">
        <f>SUMIFS(CT!$H$5:$H$143,CT!$A$5:$A$143,"&lt;"&amp;'BTHCTTK (TH131) NGÀY'!$D$3,CT!$D$5:$D$143,'BTHCTTK (TH131) NGÀY'!A81)</f>
        <v>0</v>
      </c>
      <c r="F81" s="69">
        <f>SUMIFS(CT!$H$5:$H$143,CT!$A$5:$A$143,"&lt;"&amp;'BTHCTTK (TH131) NGÀY'!$D$3,CT!$E$5:$E$143,'BTHCTTK (TH131) NGÀY'!A81)</f>
        <v>0</v>
      </c>
      <c r="G81" s="69">
        <f t="shared" si="5"/>
        <v>0</v>
      </c>
      <c r="H81" s="69">
        <f t="shared" si="6"/>
        <v>0</v>
      </c>
      <c r="I81" s="69">
        <f>SUMIFS(CT!$H$5:$H$143,CT!$A$5:$A$143,"&gt;="&amp;'BTHCTTK (TH131) NGÀY'!$D$3,CT!$A$5:$A$143,"&lt;="&amp;'BTHCTTK (TH131) NGÀY'!$G$3,CT!$D$5:$D$143,'BTHCTTK (TH131) NGÀY'!A81)</f>
        <v>0</v>
      </c>
      <c r="J81" s="69">
        <f>SUMIFS(CT!$H$5:$H$143,CT!$A$5:$A$143,"&gt;="&amp;$D$3,CT!$A$5:$A$143,"&lt;="&amp;$G$3,CT!$E$5:$E$143,'BTHCTTK (TH131) NGÀY'!A81)</f>
        <v>0</v>
      </c>
      <c r="K81" s="69">
        <f t="shared" si="7"/>
        <v>0</v>
      </c>
      <c r="L81" s="69">
        <f t="shared" si="8"/>
        <v>0</v>
      </c>
      <c r="M81" t="b">
        <f t="shared" si="9"/>
        <v>0</v>
      </c>
    </row>
    <row r="82" spans="1:13" hidden="1" x14ac:dyDescent="0.25">
      <c r="A82" s="93" t="str">
        <f>DMTK!B81</f>
        <v>158</v>
      </c>
      <c r="B82" s="65" t="str">
        <f>VLOOKUP(A82,DMTK!$B$5:$L$263,3,0)</f>
        <v>Hàng hóa kho bảo thuế</v>
      </c>
      <c r="C82" s="69">
        <f>SUMIFS(DMTK!$K$5:$K$263,DMTK!$B$5:$B$263,A82&amp;"*")</f>
        <v>0</v>
      </c>
      <c r="D82" s="69">
        <f>SUMIFS(DMTK!$L$5:$L$263,DMTK!$B$5:$B$263,'BTHCTTK (TH131) NGÀY'!A82&amp;"*")</f>
        <v>0</v>
      </c>
      <c r="E82" s="69">
        <f>SUMIFS(CT!$H$5:$H$143,CT!$A$5:$A$143,"&lt;"&amp;'BTHCTTK (TH131) NGÀY'!$D$3,CT!$D$5:$D$143,'BTHCTTK (TH131) NGÀY'!A82)</f>
        <v>0</v>
      </c>
      <c r="F82" s="69">
        <f>SUMIFS(CT!$H$5:$H$143,CT!$A$5:$A$143,"&lt;"&amp;'BTHCTTK (TH131) NGÀY'!$D$3,CT!$E$5:$E$143,'BTHCTTK (TH131) NGÀY'!A82)</f>
        <v>0</v>
      </c>
      <c r="G82" s="69">
        <f t="shared" si="5"/>
        <v>0</v>
      </c>
      <c r="H82" s="69">
        <f t="shared" si="6"/>
        <v>0</v>
      </c>
      <c r="I82" s="69">
        <f>SUMIFS(CT!$H$5:$H$143,CT!$A$5:$A$143,"&gt;="&amp;'BTHCTTK (TH131) NGÀY'!$D$3,CT!$A$5:$A$143,"&lt;="&amp;'BTHCTTK (TH131) NGÀY'!$G$3,CT!$D$5:$D$143,'BTHCTTK (TH131) NGÀY'!A82)</f>
        <v>0</v>
      </c>
      <c r="J82" s="69">
        <f>SUMIFS(CT!$H$5:$H$143,CT!$A$5:$A$143,"&gt;="&amp;$D$3,CT!$A$5:$A$143,"&lt;="&amp;$G$3,CT!$E$5:$E$143,'BTHCTTK (TH131) NGÀY'!A82)</f>
        <v>0</v>
      </c>
      <c r="K82" s="69">
        <f t="shared" si="7"/>
        <v>0</v>
      </c>
      <c r="L82" s="69">
        <f t="shared" si="8"/>
        <v>0</v>
      </c>
      <c r="M82" t="b">
        <f t="shared" si="9"/>
        <v>0</v>
      </c>
    </row>
    <row r="83" spans="1:13" hidden="1" x14ac:dyDescent="0.25">
      <c r="A83" s="93" t="str">
        <f>DMTK!B82</f>
        <v>1611</v>
      </c>
      <c r="B83" s="65" t="str">
        <f>VLOOKUP(A83,DMTK!$B$5:$L$263,3,0)</f>
        <v>Chi sự nghiệp năm trước</v>
      </c>
      <c r="C83" s="69">
        <f>SUMIFS(DMTK!$K$5:$K$263,DMTK!$B$5:$B$263,A83&amp;"*")</f>
        <v>0</v>
      </c>
      <c r="D83" s="69">
        <f>SUMIFS(DMTK!$L$5:$L$263,DMTK!$B$5:$B$263,'BTHCTTK (TH131) NGÀY'!A83&amp;"*")</f>
        <v>0</v>
      </c>
      <c r="E83" s="69">
        <f>SUMIFS(CT!$H$5:$H$143,CT!$A$5:$A$143,"&lt;"&amp;'BTHCTTK (TH131) NGÀY'!$D$3,CT!$D$5:$D$143,'BTHCTTK (TH131) NGÀY'!A83)</f>
        <v>0</v>
      </c>
      <c r="F83" s="69">
        <f>SUMIFS(CT!$H$5:$H$143,CT!$A$5:$A$143,"&lt;"&amp;'BTHCTTK (TH131) NGÀY'!$D$3,CT!$E$5:$E$143,'BTHCTTK (TH131) NGÀY'!A83)</f>
        <v>0</v>
      </c>
      <c r="G83" s="69">
        <f t="shared" si="5"/>
        <v>0</v>
      </c>
      <c r="H83" s="69">
        <f t="shared" si="6"/>
        <v>0</v>
      </c>
      <c r="I83" s="69">
        <f>SUMIFS(CT!$H$5:$H$143,CT!$A$5:$A$143,"&gt;="&amp;'BTHCTTK (TH131) NGÀY'!$D$3,CT!$A$5:$A$143,"&lt;="&amp;'BTHCTTK (TH131) NGÀY'!$G$3,CT!$D$5:$D$143,'BTHCTTK (TH131) NGÀY'!A83)</f>
        <v>0</v>
      </c>
      <c r="J83" s="69">
        <f>SUMIFS(CT!$H$5:$H$143,CT!$A$5:$A$143,"&gt;="&amp;$D$3,CT!$A$5:$A$143,"&lt;="&amp;$G$3,CT!$E$5:$E$143,'BTHCTTK (TH131) NGÀY'!A83)</f>
        <v>0</v>
      </c>
      <c r="K83" s="69">
        <f t="shared" si="7"/>
        <v>0</v>
      </c>
      <c r="L83" s="69">
        <f t="shared" si="8"/>
        <v>0</v>
      </c>
      <c r="M83" t="b">
        <f t="shared" si="9"/>
        <v>0</v>
      </c>
    </row>
    <row r="84" spans="1:13" hidden="1" x14ac:dyDescent="0.25">
      <c r="A84" s="93" t="str">
        <f>DMTK!B83</f>
        <v>1612</v>
      </c>
      <c r="B84" s="65" t="str">
        <f>VLOOKUP(A84,DMTK!$B$5:$L$263,3,0)</f>
        <v>Chi sự nghiệp năm nay</v>
      </c>
      <c r="C84" s="69">
        <f>SUMIFS(DMTK!$K$5:$K$263,DMTK!$B$5:$B$263,A84&amp;"*")</f>
        <v>0</v>
      </c>
      <c r="D84" s="69">
        <f>SUMIFS(DMTK!$L$5:$L$263,DMTK!$B$5:$B$263,'BTHCTTK (TH131) NGÀY'!A84&amp;"*")</f>
        <v>0</v>
      </c>
      <c r="E84" s="69">
        <f>SUMIFS(CT!$H$5:$H$143,CT!$A$5:$A$143,"&lt;"&amp;'BTHCTTK (TH131) NGÀY'!$D$3,CT!$D$5:$D$143,'BTHCTTK (TH131) NGÀY'!A84)</f>
        <v>0</v>
      </c>
      <c r="F84" s="69">
        <f>SUMIFS(CT!$H$5:$H$143,CT!$A$5:$A$143,"&lt;"&amp;'BTHCTTK (TH131) NGÀY'!$D$3,CT!$E$5:$E$143,'BTHCTTK (TH131) NGÀY'!A84)</f>
        <v>0</v>
      </c>
      <c r="G84" s="69">
        <f t="shared" si="5"/>
        <v>0</v>
      </c>
      <c r="H84" s="69">
        <f t="shared" si="6"/>
        <v>0</v>
      </c>
      <c r="I84" s="69">
        <f>SUMIFS(CT!$H$5:$H$143,CT!$A$5:$A$143,"&gt;="&amp;'BTHCTTK (TH131) NGÀY'!$D$3,CT!$A$5:$A$143,"&lt;="&amp;'BTHCTTK (TH131) NGÀY'!$G$3,CT!$D$5:$D$143,'BTHCTTK (TH131) NGÀY'!A84)</f>
        <v>0</v>
      </c>
      <c r="J84" s="69">
        <f>SUMIFS(CT!$H$5:$H$143,CT!$A$5:$A$143,"&gt;="&amp;$D$3,CT!$A$5:$A$143,"&lt;="&amp;$G$3,CT!$E$5:$E$143,'BTHCTTK (TH131) NGÀY'!A84)</f>
        <v>0</v>
      </c>
      <c r="K84" s="69">
        <f t="shared" si="7"/>
        <v>0</v>
      </c>
      <c r="L84" s="69">
        <f t="shared" si="8"/>
        <v>0</v>
      </c>
      <c r="M84" t="b">
        <f t="shared" si="9"/>
        <v>0</v>
      </c>
    </row>
    <row r="85" spans="1:13" hidden="1" x14ac:dyDescent="0.25">
      <c r="A85" s="93" t="str">
        <f>DMTK!B84</f>
        <v>171</v>
      </c>
      <c r="B85" s="65" t="str">
        <f>VLOOKUP(A85,DMTK!$B$5:$L$263,3,0)</f>
        <v>Giao dịch mua bán lại trái phiếu chính phủ</v>
      </c>
      <c r="C85" s="69">
        <f>SUMIFS(DMTK!$K$5:$K$263,DMTK!$B$5:$B$263,A85&amp;"*")</f>
        <v>0</v>
      </c>
      <c r="D85" s="69">
        <f>SUMIFS(DMTK!$L$5:$L$263,DMTK!$B$5:$B$263,'BTHCTTK (TH131) NGÀY'!A85&amp;"*")</f>
        <v>0</v>
      </c>
      <c r="E85" s="69">
        <f>SUMIFS(CT!$H$5:$H$143,CT!$A$5:$A$143,"&lt;"&amp;'BTHCTTK (TH131) NGÀY'!$D$3,CT!$D$5:$D$143,'BTHCTTK (TH131) NGÀY'!A85)</f>
        <v>0</v>
      </c>
      <c r="F85" s="69">
        <f>SUMIFS(CT!$H$5:$H$143,CT!$A$5:$A$143,"&lt;"&amp;'BTHCTTK (TH131) NGÀY'!$D$3,CT!$E$5:$E$143,'BTHCTTK (TH131) NGÀY'!A85)</f>
        <v>0</v>
      </c>
      <c r="G85" s="69">
        <f t="shared" si="5"/>
        <v>0</v>
      </c>
      <c r="H85" s="69">
        <f t="shared" si="6"/>
        <v>0</v>
      </c>
      <c r="I85" s="69">
        <f>SUMIFS(CT!$H$5:$H$143,CT!$A$5:$A$143,"&gt;="&amp;'BTHCTTK (TH131) NGÀY'!$D$3,CT!$A$5:$A$143,"&lt;="&amp;'BTHCTTK (TH131) NGÀY'!$G$3,CT!$D$5:$D$143,'BTHCTTK (TH131) NGÀY'!A85)</f>
        <v>0</v>
      </c>
      <c r="J85" s="69">
        <f>SUMIFS(CT!$H$5:$H$143,CT!$A$5:$A$143,"&gt;="&amp;$D$3,CT!$A$5:$A$143,"&lt;="&amp;$G$3,CT!$E$5:$E$143,'BTHCTTK (TH131) NGÀY'!A85)</f>
        <v>0</v>
      </c>
      <c r="K85" s="69">
        <f t="shared" si="7"/>
        <v>0</v>
      </c>
      <c r="L85" s="69">
        <f t="shared" si="8"/>
        <v>0</v>
      </c>
      <c r="M85" t="b">
        <f t="shared" si="9"/>
        <v>0</v>
      </c>
    </row>
    <row r="86" spans="1:13" hidden="1" x14ac:dyDescent="0.25">
      <c r="A86" s="93" t="str">
        <f>DMTK!B85</f>
        <v>2111</v>
      </c>
      <c r="B86" s="65" t="str">
        <f>VLOOKUP(A86,DMTK!$B$5:$L$263,3,0)</f>
        <v>Nhà cửa, vật kiến trúc</v>
      </c>
      <c r="C86" s="69">
        <f>SUMIFS(DMTK!$K$5:$K$263,DMTK!$B$5:$B$263,A86&amp;"*")</f>
        <v>200000000</v>
      </c>
      <c r="D86" s="69">
        <f>SUMIFS(DMTK!$L$5:$L$263,DMTK!$B$5:$B$263,'BTHCTTK (TH131) NGÀY'!A86&amp;"*")</f>
        <v>0</v>
      </c>
      <c r="E86" s="69">
        <f>SUMIFS(CT!$H$5:$H$143,CT!$A$5:$A$143,"&lt;"&amp;'BTHCTTK (TH131) NGÀY'!$D$3,CT!$D$5:$D$143,'BTHCTTK (TH131) NGÀY'!A86)</f>
        <v>0</v>
      </c>
      <c r="F86" s="69">
        <f>SUMIFS(CT!$H$5:$H$143,CT!$A$5:$A$143,"&lt;"&amp;'BTHCTTK (TH131) NGÀY'!$D$3,CT!$E$5:$E$143,'BTHCTTK (TH131) NGÀY'!A86)</f>
        <v>0</v>
      </c>
      <c r="G86" s="69">
        <f t="shared" si="5"/>
        <v>200000000</v>
      </c>
      <c r="H86" s="69">
        <f t="shared" si="6"/>
        <v>0</v>
      </c>
      <c r="I86" s="69">
        <f>SUMIFS(CT!$H$5:$H$143,CT!$A$5:$A$143,"&gt;="&amp;'BTHCTTK (TH131) NGÀY'!$D$3,CT!$A$5:$A$143,"&lt;="&amp;'BTHCTTK (TH131) NGÀY'!$G$3,CT!$D$5:$D$143,'BTHCTTK (TH131) NGÀY'!A86)</f>
        <v>0</v>
      </c>
      <c r="J86" s="69">
        <f>SUMIFS(CT!$H$5:$H$143,CT!$A$5:$A$143,"&gt;="&amp;$D$3,CT!$A$5:$A$143,"&lt;="&amp;$G$3,CT!$E$5:$E$143,'BTHCTTK (TH131) NGÀY'!A86)</f>
        <v>0</v>
      </c>
      <c r="K86" s="69">
        <f t="shared" si="7"/>
        <v>200000000</v>
      </c>
      <c r="L86" s="69">
        <f t="shared" si="8"/>
        <v>0</v>
      </c>
      <c r="M86" t="b">
        <f t="shared" si="9"/>
        <v>0</v>
      </c>
    </row>
    <row r="87" spans="1:13" hidden="1" x14ac:dyDescent="0.25">
      <c r="A87" s="93" t="str">
        <f>DMTK!B86</f>
        <v>2112.02</v>
      </c>
      <c r="B87" s="65" t="str">
        <f>VLOOKUP(A87,DMTK!$B$5:$L$263,3,0)</f>
        <v>Máy cắt phôi HITACHI</v>
      </c>
      <c r="C87" s="69">
        <f>SUMIFS(DMTK!$K$5:$K$263,DMTK!$B$5:$B$263,A87&amp;"*")</f>
        <v>188000000</v>
      </c>
      <c r="D87" s="69">
        <f>SUMIFS(DMTK!$L$5:$L$263,DMTK!$B$5:$B$263,'BTHCTTK (TH131) NGÀY'!A87&amp;"*")</f>
        <v>0</v>
      </c>
      <c r="E87" s="69">
        <f>SUMIFS(CT!$H$5:$H$143,CT!$A$5:$A$143,"&lt;"&amp;'BTHCTTK (TH131) NGÀY'!$D$3,CT!$D$5:$D$143,'BTHCTTK (TH131) NGÀY'!A87)</f>
        <v>0</v>
      </c>
      <c r="F87" s="69">
        <f>SUMIFS(CT!$H$5:$H$143,CT!$A$5:$A$143,"&lt;"&amp;'BTHCTTK (TH131) NGÀY'!$D$3,CT!$E$5:$E$143,'BTHCTTK (TH131) NGÀY'!A87)</f>
        <v>0</v>
      </c>
      <c r="G87" s="69">
        <f t="shared" si="5"/>
        <v>188000000</v>
      </c>
      <c r="H87" s="69">
        <f t="shared" si="6"/>
        <v>0</v>
      </c>
      <c r="I87" s="69">
        <f>SUMIFS(CT!$H$5:$H$143,CT!$A$5:$A$143,"&gt;="&amp;'BTHCTTK (TH131) NGÀY'!$D$3,CT!$A$5:$A$143,"&lt;="&amp;'BTHCTTK (TH131) NGÀY'!$G$3,CT!$D$5:$D$143,'BTHCTTK (TH131) NGÀY'!A87)</f>
        <v>0</v>
      </c>
      <c r="J87" s="69">
        <f>SUMIFS(CT!$H$5:$H$143,CT!$A$5:$A$143,"&gt;="&amp;$D$3,CT!$A$5:$A$143,"&lt;="&amp;$G$3,CT!$E$5:$E$143,'BTHCTTK (TH131) NGÀY'!A87)</f>
        <v>0</v>
      </c>
      <c r="K87" s="69">
        <f t="shared" si="7"/>
        <v>188000000</v>
      </c>
      <c r="L87" s="69">
        <f t="shared" si="8"/>
        <v>0</v>
      </c>
      <c r="M87" t="b">
        <f t="shared" si="9"/>
        <v>0</v>
      </c>
    </row>
    <row r="88" spans="1:13" hidden="1" x14ac:dyDescent="0.25">
      <c r="A88" s="93" t="str">
        <f>DMTK!B87</f>
        <v>2112.03</v>
      </c>
      <c r="B88" s="65" t="str">
        <f>VLOOKUP(A88,DMTK!$B$5:$L$263,3,0)</f>
        <v>Máy phun xi HITACHI</v>
      </c>
      <c r="C88" s="69">
        <f>SUMIFS(DMTK!$K$5:$K$263,DMTK!$B$5:$B$263,A88&amp;"*")</f>
        <v>150000000</v>
      </c>
      <c r="D88" s="69">
        <f>SUMIFS(DMTK!$L$5:$L$263,DMTK!$B$5:$B$263,'BTHCTTK (TH131) NGÀY'!A88&amp;"*")</f>
        <v>0</v>
      </c>
      <c r="E88" s="69">
        <f>SUMIFS(CT!$H$5:$H$143,CT!$A$5:$A$143,"&lt;"&amp;'BTHCTTK (TH131) NGÀY'!$D$3,CT!$D$5:$D$143,'BTHCTTK (TH131) NGÀY'!A88)</f>
        <v>0</v>
      </c>
      <c r="F88" s="69">
        <f>SUMIFS(CT!$H$5:$H$143,CT!$A$5:$A$143,"&lt;"&amp;'BTHCTTK (TH131) NGÀY'!$D$3,CT!$E$5:$E$143,'BTHCTTK (TH131) NGÀY'!A88)</f>
        <v>0</v>
      </c>
      <c r="G88" s="69">
        <f t="shared" si="5"/>
        <v>150000000</v>
      </c>
      <c r="H88" s="69">
        <f t="shared" si="6"/>
        <v>0</v>
      </c>
      <c r="I88" s="69">
        <f>SUMIFS(CT!$H$5:$H$143,CT!$A$5:$A$143,"&gt;="&amp;'BTHCTTK (TH131) NGÀY'!$D$3,CT!$A$5:$A$143,"&lt;="&amp;'BTHCTTK (TH131) NGÀY'!$G$3,CT!$D$5:$D$143,'BTHCTTK (TH131) NGÀY'!A88)</f>
        <v>0</v>
      </c>
      <c r="J88" s="69">
        <f>SUMIFS(CT!$H$5:$H$143,CT!$A$5:$A$143,"&gt;="&amp;$D$3,CT!$A$5:$A$143,"&lt;="&amp;$G$3,CT!$E$5:$E$143,'BTHCTTK (TH131) NGÀY'!A88)</f>
        <v>0</v>
      </c>
      <c r="K88" s="69">
        <f t="shared" si="7"/>
        <v>150000000</v>
      </c>
      <c r="L88" s="69">
        <f t="shared" si="8"/>
        <v>0</v>
      </c>
      <c r="M88" t="b">
        <f t="shared" si="9"/>
        <v>0</v>
      </c>
    </row>
    <row r="89" spans="1:13" hidden="1" x14ac:dyDescent="0.25">
      <c r="A89" s="93" t="str">
        <f>DMTK!B88</f>
        <v>2112.04</v>
      </c>
      <c r="B89" s="65" t="str">
        <f>VLOOKUP(A89,DMTK!$B$5:$L$263,3,0)</f>
        <v>Máy xẻ gỗ</v>
      </c>
      <c r="C89" s="69">
        <f>SUMIFS(DMTK!$K$5:$K$263,DMTK!$B$5:$B$263,A89&amp;"*")</f>
        <v>0</v>
      </c>
      <c r="D89" s="69">
        <f>SUMIFS(DMTK!$L$5:$L$263,DMTK!$B$5:$B$263,'BTHCTTK (TH131) NGÀY'!A89&amp;"*")</f>
        <v>0</v>
      </c>
      <c r="E89" s="69">
        <f>SUMIFS(CT!$H$5:$H$143,CT!$A$5:$A$143,"&lt;"&amp;'BTHCTTK (TH131) NGÀY'!$D$3,CT!$D$5:$D$143,'BTHCTTK (TH131) NGÀY'!A89)</f>
        <v>0</v>
      </c>
      <c r="F89" s="69">
        <f>SUMIFS(CT!$H$5:$H$143,CT!$A$5:$A$143,"&lt;"&amp;'BTHCTTK (TH131) NGÀY'!$D$3,CT!$E$5:$E$143,'BTHCTTK (TH131) NGÀY'!A89)</f>
        <v>0</v>
      </c>
      <c r="G89" s="69">
        <f t="shared" si="5"/>
        <v>0</v>
      </c>
      <c r="H89" s="69">
        <f t="shared" si="6"/>
        <v>0</v>
      </c>
      <c r="I89" s="69">
        <f>SUMIFS(CT!$H$5:$H$143,CT!$A$5:$A$143,"&gt;="&amp;'BTHCTTK (TH131) NGÀY'!$D$3,CT!$A$5:$A$143,"&lt;="&amp;'BTHCTTK (TH131) NGÀY'!$G$3,CT!$D$5:$D$143,'BTHCTTK (TH131) NGÀY'!A89)</f>
        <v>140000000</v>
      </c>
      <c r="J89" s="69">
        <f>SUMIFS(CT!$H$5:$H$143,CT!$A$5:$A$143,"&gt;="&amp;$D$3,CT!$A$5:$A$143,"&lt;="&amp;$G$3,CT!$E$5:$E$143,'BTHCTTK (TH131) NGÀY'!A89)</f>
        <v>0</v>
      </c>
      <c r="K89" s="69">
        <f t="shared" si="7"/>
        <v>140000000</v>
      </c>
      <c r="L89" s="69">
        <f t="shared" si="8"/>
        <v>0</v>
      </c>
      <c r="M89" t="b">
        <f t="shared" si="9"/>
        <v>0</v>
      </c>
    </row>
    <row r="90" spans="1:13" hidden="1" x14ac:dyDescent="0.25">
      <c r="A90" s="93" t="str">
        <f>DMTK!B89</f>
        <v>2113</v>
      </c>
      <c r="B90" s="65" t="str">
        <f>VLOOKUP(A90,DMTK!$B$5:$L$263,3,0)</f>
        <v>Phương tiện vận tải, truyền dẫn</v>
      </c>
      <c r="C90" s="69">
        <f>SUMIFS(DMTK!$K$5:$K$263,DMTK!$B$5:$B$263,A90&amp;"*")</f>
        <v>220000000</v>
      </c>
      <c r="D90" s="69">
        <f>SUMIFS(DMTK!$L$5:$L$263,DMTK!$B$5:$B$263,'BTHCTTK (TH131) NGÀY'!A90&amp;"*")</f>
        <v>0</v>
      </c>
      <c r="E90" s="69">
        <f>SUMIFS(CT!$H$5:$H$143,CT!$A$5:$A$143,"&lt;"&amp;'BTHCTTK (TH131) NGÀY'!$D$3,CT!$D$5:$D$143,'BTHCTTK (TH131) NGÀY'!A90)</f>
        <v>0</v>
      </c>
      <c r="F90" s="69">
        <f>SUMIFS(CT!$H$5:$H$143,CT!$A$5:$A$143,"&lt;"&amp;'BTHCTTK (TH131) NGÀY'!$D$3,CT!$E$5:$E$143,'BTHCTTK (TH131) NGÀY'!A90)</f>
        <v>0</v>
      </c>
      <c r="G90" s="69">
        <f t="shared" si="5"/>
        <v>220000000</v>
      </c>
      <c r="H90" s="69">
        <f t="shared" si="6"/>
        <v>0</v>
      </c>
      <c r="I90" s="69">
        <f>SUMIFS(CT!$H$5:$H$143,CT!$A$5:$A$143,"&gt;="&amp;'BTHCTTK (TH131) NGÀY'!$D$3,CT!$A$5:$A$143,"&lt;="&amp;'BTHCTTK (TH131) NGÀY'!$G$3,CT!$D$5:$D$143,'BTHCTTK (TH131) NGÀY'!A90)</f>
        <v>0</v>
      </c>
      <c r="J90" s="69">
        <f>SUMIFS(CT!$H$5:$H$143,CT!$A$5:$A$143,"&gt;="&amp;$D$3,CT!$A$5:$A$143,"&lt;="&amp;$G$3,CT!$E$5:$E$143,'BTHCTTK (TH131) NGÀY'!A90)</f>
        <v>0</v>
      </c>
      <c r="K90" s="69">
        <f t="shared" si="7"/>
        <v>220000000</v>
      </c>
      <c r="L90" s="69">
        <f t="shared" si="8"/>
        <v>0</v>
      </c>
      <c r="M90" t="b">
        <f t="shared" si="9"/>
        <v>0</v>
      </c>
    </row>
    <row r="91" spans="1:13" hidden="1" x14ac:dyDescent="0.25">
      <c r="A91" s="93" t="str">
        <f>DMTK!B90</f>
        <v>2114.01</v>
      </c>
      <c r="B91" s="65" t="str">
        <f>VLOOKUP(A91,DMTK!$B$5:$L$263,3,0)</f>
        <v>Máy vi tính</v>
      </c>
      <c r="C91" s="69">
        <f>SUMIFS(DMTK!$K$5:$K$263,DMTK!$B$5:$B$263,A91&amp;"*")</f>
        <v>50779000</v>
      </c>
      <c r="D91" s="69">
        <f>SUMIFS(DMTK!$L$5:$L$263,DMTK!$B$5:$B$263,'BTHCTTK (TH131) NGÀY'!A91&amp;"*")</f>
        <v>0</v>
      </c>
      <c r="E91" s="69">
        <f>SUMIFS(CT!$H$5:$H$143,CT!$A$5:$A$143,"&lt;"&amp;'BTHCTTK (TH131) NGÀY'!$D$3,CT!$D$5:$D$143,'BTHCTTK (TH131) NGÀY'!A91)</f>
        <v>0</v>
      </c>
      <c r="F91" s="69">
        <f>SUMIFS(CT!$H$5:$H$143,CT!$A$5:$A$143,"&lt;"&amp;'BTHCTTK (TH131) NGÀY'!$D$3,CT!$E$5:$E$143,'BTHCTTK (TH131) NGÀY'!A91)</f>
        <v>0</v>
      </c>
      <c r="G91" s="69">
        <f t="shared" si="5"/>
        <v>50779000</v>
      </c>
      <c r="H91" s="69">
        <f t="shared" si="6"/>
        <v>0</v>
      </c>
      <c r="I91" s="69">
        <f>SUMIFS(CT!$H$5:$H$143,CT!$A$5:$A$143,"&gt;="&amp;'BTHCTTK (TH131) NGÀY'!$D$3,CT!$A$5:$A$143,"&lt;="&amp;'BTHCTTK (TH131) NGÀY'!$G$3,CT!$D$5:$D$143,'BTHCTTK (TH131) NGÀY'!A91)</f>
        <v>0</v>
      </c>
      <c r="J91" s="69">
        <f>SUMIFS(CT!$H$5:$H$143,CT!$A$5:$A$143,"&gt;="&amp;$D$3,CT!$A$5:$A$143,"&lt;="&amp;$G$3,CT!$E$5:$E$143,'BTHCTTK (TH131) NGÀY'!A91)</f>
        <v>0</v>
      </c>
      <c r="K91" s="69">
        <f t="shared" si="7"/>
        <v>50779000</v>
      </c>
      <c r="L91" s="69">
        <f t="shared" si="8"/>
        <v>0</v>
      </c>
      <c r="M91" t="b">
        <f t="shared" si="9"/>
        <v>0</v>
      </c>
    </row>
    <row r="92" spans="1:13" hidden="1" x14ac:dyDescent="0.25">
      <c r="A92" s="93" t="str">
        <f>DMTK!B91</f>
        <v>2114.02</v>
      </c>
      <c r="B92" s="65" t="str">
        <f>VLOOKUP(A92,DMTK!$B$5:$L$263,3,0)</f>
        <v>Máy photocopy</v>
      </c>
      <c r="C92" s="69">
        <f>SUMIFS(DMTK!$K$5:$K$263,DMTK!$B$5:$B$263,A92&amp;"*")</f>
        <v>125000000</v>
      </c>
      <c r="D92" s="69">
        <f>SUMIFS(DMTK!$L$5:$L$263,DMTK!$B$5:$B$263,'BTHCTTK (TH131) NGÀY'!A92&amp;"*")</f>
        <v>0</v>
      </c>
      <c r="E92" s="69">
        <f>SUMIFS(CT!$H$5:$H$143,CT!$A$5:$A$143,"&lt;"&amp;'BTHCTTK (TH131) NGÀY'!$D$3,CT!$D$5:$D$143,'BTHCTTK (TH131) NGÀY'!A92)</f>
        <v>0</v>
      </c>
      <c r="F92" s="69">
        <f>SUMIFS(CT!$H$5:$H$143,CT!$A$5:$A$143,"&lt;"&amp;'BTHCTTK (TH131) NGÀY'!$D$3,CT!$E$5:$E$143,'BTHCTTK (TH131) NGÀY'!A92)</f>
        <v>0</v>
      </c>
      <c r="G92" s="69">
        <f t="shared" si="5"/>
        <v>125000000</v>
      </c>
      <c r="H92" s="69">
        <f t="shared" si="6"/>
        <v>0</v>
      </c>
      <c r="I92" s="69">
        <f>SUMIFS(CT!$H$5:$H$143,CT!$A$5:$A$143,"&gt;="&amp;'BTHCTTK (TH131) NGÀY'!$D$3,CT!$A$5:$A$143,"&lt;="&amp;'BTHCTTK (TH131) NGÀY'!$G$3,CT!$D$5:$D$143,'BTHCTTK (TH131) NGÀY'!A92)</f>
        <v>0</v>
      </c>
      <c r="J92" s="69">
        <f>SUMIFS(CT!$H$5:$H$143,CT!$A$5:$A$143,"&gt;="&amp;$D$3,CT!$A$5:$A$143,"&lt;="&amp;$G$3,CT!$E$5:$E$143,'BTHCTTK (TH131) NGÀY'!A92)</f>
        <v>0</v>
      </c>
      <c r="K92" s="69">
        <f t="shared" si="7"/>
        <v>125000000</v>
      </c>
      <c r="L92" s="69">
        <f t="shared" si="8"/>
        <v>0</v>
      </c>
      <c r="M92" t="b">
        <f t="shared" si="9"/>
        <v>0</v>
      </c>
    </row>
    <row r="93" spans="1:13" hidden="1" x14ac:dyDescent="0.25">
      <c r="A93" s="93" t="str">
        <f>DMTK!B92</f>
        <v>2118</v>
      </c>
      <c r="B93" s="65" t="str">
        <f>VLOOKUP(A93,DMTK!$B$5:$L$263,3,0)</f>
        <v>TSCĐ khác</v>
      </c>
      <c r="C93" s="69">
        <f>SUMIFS(DMTK!$K$5:$K$263,DMTK!$B$5:$B$263,A93&amp;"*")</f>
        <v>0</v>
      </c>
      <c r="D93" s="69">
        <f>SUMIFS(DMTK!$L$5:$L$263,DMTK!$B$5:$B$263,'BTHCTTK (TH131) NGÀY'!A93&amp;"*")</f>
        <v>0</v>
      </c>
      <c r="E93" s="69">
        <f>SUMIFS(CT!$H$5:$H$143,CT!$A$5:$A$143,"&lt;"&amp;'BTHCTTK (TH131) NGÀY'!$D$3,CT!$D$5:$D$143,'BTHCTTK (TH131) NGÀY'!A93)</f>
        <v>0</v>
      </c>
      <c r="F93" s="69">
        <f>SUMIFS(CT!$H$5:$H$143,CT!$A$5:$A$143,"&lt;"&amp;'BTHCTTK (TH131) NGÀY'!$D$3,CT!$E$5:$E$143,'BTHCTTK (TH131) NGÀY'!A93)</f>
        <v>0</v>
      </c>
      <c r="G93" s="69">
        <f t="shared" si="5"/>
        <v>0</v>
      </c>
      <c r="H93" s="69">
        <f t="shared" si="6"/>
        <v>0</v>
      </c>
      <c r="I93" s="69">
        <f>SUMIFS(CT!$H$5:$H$143,CT!$A$5:$A$143,"&gt;="&amp;'BTHCTTK (TH131) NGÀY'!$D$3,CT!$A$5:$A$143,"&lt;="&amp;'BTHCTTK (TH131) NGÀY'!$G$3,CT!$D$5:$D$143,'BTHCTTK (TH131) NGÀY'!A93)</f>
        <v>0</v>
      </c>
      <c r="J93" s="69">
        <f>SUMIFS(CT!$H$5:$H$143,CT!$A$5:$A$143,"&gt;="&amp;$D$3,CT!$A$5:$A$143,"&lt;="&amp;$G$3,CT!$E$5:$E$143,'BTHCTTK (TH131) NGÀY'!A93)</f>
        <v>0</v>
      </c>
      <c r="K93" s="69">
        <f t="shared" si="7"/>
        <v>0</v>
      </c>
      <c r="L93" s="69">
        <f t="shared" si="8"/>
        <v>0</v>
      </c>
      <c r="M93" t="b">
        <f t="shared" si="9"/>
        <v>0</v>
      </c>
    </row>
    <row r="94" spans="1:13" hidden="1" x14ac:dyDescent="0.25">
      <c r="A94" s="93" t="str">
        <f>DMTK!B93</f>
        <v>2121</v>
      </c>
      <c r="B94" s="65">
        <f>VLOOKUP(A94,DMTK!$B$5:$L$263,3,0)</f>
        <v>0</v>
      </c>
      <c r="C94" s="69">
        <f>SUMIFS(DMTK!$K$5:$K$263,DMTK!$B$5:$B$263,A94&amp;"*")</f>
        <v>0</v>
      </c>
      <c r="D94" s="69">
        <f>SUMIFS(DMTK!$L$5:$L$263,DMTK!$B$5:$B$263,'BTHCTTK (TH131) NGÀY'!A94&amp;"*")</f>
        <v>0</v>
      </c>
      <c r="E94" s="69">
        <f>SUMIFS(CT!$H$5:$H$143,CT!$A$5:$A$143,"&lt;"&amp;'BTHCTTK (TH131) NGÀY'!$D$3,CT!$D$5:$D$143,'BTHCTTK (TH131) NGÀY'!A94)</f>
        <v>0</v>
      </c>
      <c r="F94" s="69">
        <f>SUMIFS(CT!$H$5:$H$143,CT!$A$5:$A$143,"&lt;"&amp;'BTHCTTK (TH131) NGÀY'!$D$3,CT!$E$5:$E$143,'BTHCTTK (TH131) NGÀY'!A94)</f>
        <v>0</v>
      </c>
      <c r="G94" s="69">
        <f t="shared" si="5"/>
        <v>0</v>
      </c>
      <c r="H94" s="69">
        <f t="shared" si="6"/>
        <v>0</v>
      </c>
      <c r="I94" s="69">
        <f>SUMIFS(CT!$H$5:$H$143,CT!$A$5:$A$143,"&gt;="&amp;'BTHCTTK (TH131) NGÀY'!$D$3,CT!$A$5:$A$143,"&lt;="&amp;'BTHCTTK (TH131) NGÀY'!$G$3,CT!$D$5:$D$143,'BTHCTTK (TH131) NGÀY'!A94)</f>
        <v>0</v>
      </c>
      <c r="J94" s="69">
        <f>SUMIFS(CT!$H$5:$H$143,CT!$A$5:$A$143,"&gt;="&amp;$D$3,CT!$A$5:$A$143,"&lt;="&amp;$G$3,CT!$E$5:$E$143,'BTHCTTK (TH131) NGÀY'!A94)</f>
        <v>0</v>
      </c>
      <c r="K94" s="69">
        <f t="shared" si="7"/>
        <v>0</v>
      </c>
      <c r="L94" s="69">
        <f t="shared" si="8"/>
        <v>0</v>
      </c>
      <c r="M94" t="b">
        <f t="shared" si="9"/>
        <v>0</v>
      </c>
    </row>
    <row r="95" spans="1:13" hidden="1" x14ac:dyDescent="0.25">
      <c r="A95" s="93" t="str">
        <f>DMTK!B94</f>
        <v>2131</v>
      </c>
      <c r="B95" s="65">
        <f>VLOOKUP(A95,DMTK!$B$5:$L$263,3,0)</f>
        <v>0</v>
      </c>
      <c r="C95" s="69">
        <f>SUMIFS(DMTK!$K$5:$K$263,DMTK!$B$5:$B$263,A95&amp;"*")</f>
        <v>0</v>
      </c>
      <c r="D95" s="69">
        <f>SUMIFS(DMTK!$L$5:$L$263,DMTK!$B$5:$B$263,'BTHCTTK (TH131) NGÀY'!A95&amp;"*")</f>
        <v>0</v>
      </c>
      <c r="E95" s="69">
        <f>SUMIFS(CT!$H$5:$H$143,CT!$A$5:$A$143,"&lt;"&amp;'BTHCTTK (TH131) NGÀY'!$D$3,CT!$D$5:$D$143,'BTHCTTK (TH131) NGÀY'!A95)</f>
        <v>0</v>
      </c>
      <c r="F95" s="69">
        <f>SUMIFS(CT!$H$5:$H$143,CT!$A$5:$A$143,"&lt;"&amp;'BTHCTTK (TH131) NGÀY'!$D$3,CT!$E$5:$E$143,'BTHCTTK (TH131) NGÀY'!A95)</f>
        <v>0</v>
      </c>
      <c r="G95" s="69">
        <f t="shared" si="5"/>
        <v>0</v>
      </c>
      <c r="H95" s="69">
        <f t="shared" si="6"/>
        <v>0</v>
      </c>
      <c r="I95" s="69">
        <f>SUMIFS(CT!$H$5:$H$143,CT!$A$5:$A$143,"&gt;="&amp;'BTHCTTK (TH131) NGÀY'!$D$3,CT!$A$5:$A$143,"&lt;="&amp;'BTHCTTK (TH131) NGÀY'!$G$3,CT!$D$5:$D$143,'BTHCTTK (TH131) NGÀY'!A95)</f>
        <v>0</v>
      </c>
      <c r="J95" s="69">
        <f>SUMIFS(CT!$H$5:$H$143,CT!$A$5:$A$143,"&gt;="&amp;$D$3,CT!$A$5:$A$143,"&lt;="&amp;$G$3,CT!$E$5:$E$143,'BTHCTTK (TH131) NGÀY'!A95)</f>
        <v>0</v>
      </c>
      <c r="K95" s="69">
        <f t="shared" si="7"/>
        <v>0</v>
      </c>
      <c r="L95" s="69">
        <f t="shared" si="8"/>
        <v>0</v>
      </c>
      <c r="M95" t="b">
        <f t="shared" si="9"/>
        <v>0</v>
      </c>
    </row>
    <row r="96" spans="1:13" hidden="1" x14ac:dyDescent="0.25">
      <c r="A96" s="93" t="str">
        <f>DMTK!B95</f>
        <v>2141</v>
      </c>
      <c r="B96" s="65" t="str">
        <f>VLOOKUP(A96,DMTK!$B$5:$L$263,3,0)</f>
        <v>Hao mòn TSCĐ hữu hình</v>
      </c>
      <c r="C96" s="69">
        <f>SUMIFS(DMTK!$K$5:$K$263,DMTK!$B$5:$B$263,A96&amp;"*")</f>
        <v>0</v>
      </c>
      <c r="D96" s="69">
        <f>SUMIFS(DMTK!$L$5:$L$263,DMTK!$B$5:$B$263,'BTHCTTK (TH131) NGÀY'!A96&amp;"*")</f>
        <v>90000000</v>
      </c>
      <c r="E96" s="69">
        <f>SUMIFS(CT!$H$5:$H$143,CT!$A$5:$A$143,"&lt;"&amp;'BTHCTTK (TH131) NGÀY'!$D$3,CT!$D$5:$D$143,'BTHCTTK (TH131) NGÀY'!A96)</f>
        <v>0</v>
      </c>
      <c r="F96" s="69">
        <f>SUMIFS(CT!$H$5:$H$143,CT!$A$5:$A$143,"&lt;"&amp;'BTHCTTK (TH131) NGÀY'!$D$3,CT!$E$5:$E$143,'BTHCTTK (TH131) NGÀY'!A96)</f>
        <v>0</v>
      </c>
      <c r="G96" s="69">
        <f t="shared" si="5"/>
        <v>0</v>
      </c>
      <c r="H96" s="69">
        <f t="shared" si="6"/>
        <v>90000000</v>
      </c>
      <c r="I96" s="69">
        <f>SUMIFS(CT!$H$5:$H$143,CT!$A$5:$A$143,"&gt;="&amp;'BTHCTTK (TH131) NGÀY'!$D$3,CT!$A$5:$A$143,"&lt;="&amp;'BTHCTTK (TH131) NGÀY'!$G$3,CT!$D$5:$D$143,'BTHCTTK (TH131) NGÀY'!A96)</f>
        <v>0</v>
      </c>
      <c r="J96" s="69">
        <f>SUMIFS(CT!$H$5:$H$143,CT!$A$5:$A$143,"&gt;="&amp;$D$3,CT!$A$5:$A$143,"&lt;="&amp;$G$3,CT!$E$5:$E$143,'BTHCTTK (TH131) NGÀY'!A96)</f>
        <v>2124999</v>
      </c>
      <c r="K96" s="69">
        <f t="shared" si="7"/>
        <v>0</v>
      </c>
      <c r="L96" s="69">
        <f t="shared" si="8"/>
        <v>92124999</v>
      </c>
      <c r="M96" t="b">
        <f t="shared" si="9"/>
        <v>0</v>
      </c>
    </row>
    <row r="97" spans="1:13" hidden="1" x14ac:dyDescent="0.25">
      <c r="A97" s="93" t="str">
        <f>DMTK!B96</f>
        <v>2147</v>
      </c>
      <c r="B97" s="65" t="str">
        <f>VLOOKUP(A97,DMTK!$B$5:$L$263,3,0)</f>
        <v>Hao mòn bất động sản đầu tư</v>
      </c>
      <c r="C97" s="69">
        <f>SUMIFS(DMTK!$K$5:$K$263,DMTK!$B$5:$B$263,A97&amp;"*")</f>
        <v>0</v>
      </c>
      <c r="D97" s="69">
        <f>SUMIFS(DMTK!$L$5:$L$263,DMTK!$B$5:$B$263,'BTHCTTK (TH131) NGÀY'!A97&amp;"*")</f>
        <v>0</v>
      </c>
      <c r="E97" s="69">
        <f>SUMIFS(CT!$H$5:$H$143,CT!$A$5:$A$143,"&lt;"&amp;'BTHCTTK (TH131) NGÀY'!$D$3,CT!$D$5:$D$143,'BTHCTTK (TH131) NGÀY'!A97)</f>
        <v>0</v>
      </c>
      <c r="F97" s="69">
        <f>SUMIFS(CT!$H$5:$H$143,CT!$A$5:$A$143,"&lt;"&amp;'BTHCTTK (TH131) NGÀY'!$D$3,CT!$E$5:$E$143,'BTHCTTK (TH131) NGÀY'!A97)</f>
        <v>0</v>
      </c>
      <c r="G97" s="69">
        <f t="shared" si="5"/>
        <v>0</v>
      </c>
      <c r="H97" s="69">
        <f t="shared" si="6"/>
        <v>0</v>
      </c>
      <c r="I97" s="69">
        <f>SUMIFS(CT!$H$5:$H$143,CT!$A$5:$A$143,"&gt;="&amp;'BTHCTTK (TH131) NGÀY'!$D$3,CT!$A$5:$A$143,"&lt;="&amp;'BTHCTTK (TH131) NGÀY'!$G$3,CT!$D$5:$D$143,'BTHCTTK (TH131) NGÀY'!A97)</f>
        <v>0</v>
      </c>
      <c r="J97" s="69">
        <f>SUMIFS(CT!$H$5:$H$143,CT!$A$5:$A$143,"&gt;="&amp;$D$3,CT!$A$5:$A$143,"&lt;="&amp;$G$3,CT!$E$5:$E$143,'BTHCTTK (TH131) NGÀY'!A97)</f>
        <v>0</v>
      </c>
      <c r="K97" s="69">
        <f t="shared" si="7"/>
        <v>0</v>
      </c>
      <c r="L97" s="69">
        <f t="shared" si="8"/>
        <v>0</v>
      </c>
      <c r="M97" t="b">
        <f t="shared" si="9"/>
        <v>0</v>
      </c>
    </row>
    <row r="98" spans="1:13" hidden="1" x14ac:dyDescent="0.25">
      <c r="A98" s="93" t="str">
        <f>DMTK!B97</f>
        <v>217</v>
      </c>
      <c r="B98" s="65" t="str">
        <f>VLOOKUP(A98,DMTK!$B$5:$L$263,3,0)</f>
        <v>Bất động sản đầu tư</v>
      </c>
      <c r="C98" s="69">
        <f>SUMIFS(DMTK!$K$5:$K$263,DMTK!$B$5:$B$263,A98&amp;"*")</f>
        <v>0</v>
      </c>
      <c r="D98" s="69">
        <f>SUMIFS(DMTK!$L$5:$L$263,DMTK!$B$5:$B$263,'BTHCTTK (TH131) NGÀY'!A98&amp;"*")</f>
        <v>0</v>
      </c>
      <c r="E98" s="69">
        <f>SUMIFS(CT!$H$5:$H$143,CT!$A$5:$A$143,"&lt;"&amp;'BTHCTTK (TH131) NGÀY'!$D$3,CT!$D$5:$D$143,'BTHCTTK (TH131) NGÀY'!A98)</f>
        <v>0</v>
      </c>
      <c r="F98" s="69">
        <f>SUMIFS(CT!$H$5:$H$143,CT!$A$5:$A$143,"&lt;"&amp;'BTHCTTK (TH131) NGÀY'!$D$3,CT!$E$5:$E$143,'BTHCTTK (TH131) NGÀY'!A98)</f>
        <v>0</v>
      </c>
      <c r="G98" s="69">
        <f t="shared" si="5"/>
        <v>0</v>
      </c>
      <c r="H98" s="69">
        <f t="shared" si="6"/>
        <v>0</v>
      </c>
      <c r="I98" s="69">
        <f>SUMIFS(CT!$H$5:$H$143,CT!$A$5:$A$143,"&gt;="&amp;'BTHCTTK (TH131) NGÀY'!$D$3,CT!$A$5:$A$143,"&lt;="&amp;'BTHCTTK (TH131) NGÀY'!$G$3,CT!$D$5:$D$143,'BTHCTTK (TH131) NGÀY'!A98)</f>
        <v>0</v>
      </c>
      <c r="J98" s="69">
        <f>SUMIFS(CT!$H$5:$H$143,CT!$A$5:$A$143,"&gt;="&amp;$D$3,CT!$A$5:$A$143,"&lt;="&amp;$G$3,CT!$E$5:$E$143,'BTHCTTK (TH131) NGÀY'!A98)</f>
        <v>0</v>
      </c>
      <c r="K98" s="69">
        <f t="shared" si="7"/>
        <v>0</v>
      </c>
      <c r="L98" s="69">
        <f t="shared" si="8"/>
        <v>0</v>
      </c>
      <c r="M98" t="b">
        <f t="shared" si="9"/>
        <v>0</v>
      </c>
    </row>
    <row r="99" spans="1:13" hidden="1" x14ac:dyDescent="0.25">
      <c r="A99" s="93" t="str">
        <f>DMTK!B98</f>
        <v>221</v>
      </c>
      <c r="B99" s="65" t="str">
        <f>VLOOKUP(A99,DMTK!$B$5:$L$263,3,0)</f>
        <v>Đầu tư vào công ty con</v>
      </c>
      <c r="C99" s="69">
        <f>SUMIFS(DMTK!$K$5:$K$263,DMTK!$B$5:$B$263,A99&amp;"*")</f>
        <v>0</v>
      </c>
      <c r="D99" s="69">
        <f>SUMIFS(DMTK!$L$5:$L$263,DMTK!$B$5:$B$263,'BTHCTTK (TH131) NGÀY'!A99&amp;"*")</f>
        <v>0</v>
      </c>
      <c r="E99" s="69">
        <f>SUMIFS(CT!$H$5:$H$143,CT!$A$5:$A$143,"&lt;"&amp;'BTHCTTK (TH131) NGÀY'!$D$3,CT!$D$5:$D$143,'BTHCTTK (TH131) NGÀY'!A99)</f>
        <v>0</v>
      </c>
      <c r="F99" s="69">
        <f>SUMIFS(CT!$H$5:$H$143,CT!$A$5:$A$143,"&lt;"&amp;'BTHCTTK (TH131) NGÀY'!$D$3,CT!$E$5:$E$143,'BTHCTTK (TH131) NGÀY'!A99)</f>
        <v>0</v>
      </c>
      <c r="G99" s="69">
        <f t="shared" si="5"/>
        <v>0</v>
      </c>
      <c r="H99" s="69">
        <f t="shared" si="6"/>
        <v>0</v>
      </c>
      <c r="I99" s="69">
        <f>SUMIFS(CT!$H$5:$H$143,CT!$A$5:$A$143,"&gt;="&amp;'BTHCTTK (TH131) NGÀY'!$D$3,CT!$A$5:$A$143,"&lt;="&amp;'BTHCTTK (TH131) NGÀY'!$G$3,CT!$D$5:$D$143,'BTHCTTK (TH131) NGÀY'!A99)</f>
        <v>0</v>
      </c>
      <c r="J99" s="69">
        <f>SUMIFS(CT!$H$5:$H$143,CT!$A$5:$A$143,"&gt;="&amp;$D$3,CT!$A$5:$A$143,"&lt;="&amp;$G$3,CT!$E$5:$E$143,'BTHCTTK (TH131) NGÀY'!A99)</f>
        <v>0</v>
      </c>
      <c r="K99" s="69">
        <f t="shared" si="7"/>
        <v>0</v>
      </c>
      <c r="L99" s="69">
        <f t="shared" si="8"/>
        <v>0</v>
      </c>
      <c r="M99" t="b">
        <f t="shared" si="9"/>
        <v>0</v>
      </c>
    </row>
    <row r="100" spans="1:13" hidden="1" x14ac:dyDescent="0.25">
      <c r="A100" s="93" t="str">
        <f>DMTK!B99</f>
        <v>222</v>
      </c>
      <c r="B100" s="65" t="str">
        <f>VLOOKUP(A100,DMTK!$B$5:$L$263,3,0)</f>
        <v>Đầu tư vào công ty liên doanh, liên kết</v>
      </c>
      <c r="C100" s="69">
        <f>SUMIFS(DMTK!$K$5:$K$263,DMTK!$B$5:$B$263,A100&amp;"*")</f>
        <v>26000000</v>
      </c>
      <c r="D100" s="69">
        <f>SUMIFS(DMTK!$L$5:$L$263,DMTK!$B$5:$B$263,'BTHCTTK (TH131) NGÀY'!A100&amp;"*")</f>
        <v>0</v>
      </c>
      <c r="E100" s="69">
        <f>SUMIFS(CT!$H$5:$H$143,CT!$A$5:$A$143,"&lt;"&amp;'BTHCTTK (TH131) NGÀY'!$D$3,CT!$D$5:$D$143,'BTHCTTK (TH131) NGÀY'!A100)</f>
        <v>0</v>
      </c>
      <c r="F100" s="69">
        <f>SUMIFS(CT!$H$5:$H$143,CT!$A$5:$A$143,"&lt;"&amp;'BTHCTTK (TH131) NGÀY'!$D$3,CT!$E$5:$E$143,'BTHCTTK (TH131) NGÀY'!A100)</f>
        <v>0</v>
      </c>
      <c r="G100" s="69">
        <f t="shared" si="5"/>
        <v>26000000</v>
      </c>
      <c r="H100" s="69">
        <f t="shared" si="6"/>
        <v>0</v>
      </c>
      <c r="I100" s="69">
        <f>SUMIFS(CT!$H$5:$H$143,CT!$A$5:$A$143,"&gt;="&amp;'BTHCTTK (TH131) NGÀY'!$D$3,CT!$A$5:$A$143,"&lt;="&amp;'BTHCTTK (TH131) NGÀY'!$G$3,CT!$D$5:$D$143,'BTHCTTK (TH131) NGÀY'!A100)</f>
        <v>0</v>
      </c>
      <c r="J100" s="69">
        <f>SUMIFS(CT!$H$5:$H$143,CT!$A$5:$A$143,"&gt;="&amp;$D$3,CT!$A$5:$A$143,"&lt;="&amp;$G$3,CT!$E$5:$E$143,'BTHCTTK (TH131) NGÀY'!A100)</f>
        <v>0</v>
      </c>
      <c r="K100" s="69">
        <f t="shared" si="7"/>
        <v>26000000</v>
      </c>
      <c r="L100" s="69">
        <f t="shared" si="8"/>
        <v>0</v>
      </c>
      <c r="M100" t="b">
        <f t="shared" si="9"/>
        <v>0</v>
      </c>
    </row>
    <row r="101" spans="1:13" hidden="1" x14ac:dyDescent="0.25">
      <c r="A101" s="93" t="str">
        <f>DMTK!B100</f>
        <v>2281</v>
      </c>
      <c r="B101" s="65" t="str">
        <f>VLOOKUP(A101,DMTK!$B$5:$L$263,3,0)</f>
        <v>Đầu tư góp vốn vào đơn vị khác</v>
      </c>
      <c r="C101" s="69">
        <f>SUMIFS(DMTK!$K$5:$K$263,DMTK!$B$5:$B$263,A101&amp;"*")</f>
        <v>80000000</v>
      </c>
      <c r="D101" s="69">
        <f>SUMIFS(DMTK!$L$5:$L$263,DMTK!$B$5:$B$263,'BTHCTTK (TH131) NGÀY'!A101&amp;"*")</f>
        <v>0</v>
      </c>
      <c r="E101" s="69">
        <f>SUMIFS(CT!$H$5:$H$143,CT!$A$5:$A$143,"&lt;"&amp;'BTHCTTK (TH131) NGÀY'!$D$3,CT!$D$5:$D$143,'BTHCTTK (TH131) NGÀY'!A101)</f>
        <v>0</v>
      </c>
      <c r="F101" s="69">
        <f>SUMIFS(CT!$H$5:$H$143,CT!$A$5:$A$143,"&lt;"&amp;'BTHCTTK (TH131) NGÀY'!$D$3,CT!$E$5:$E$143,'BTHCTTK (TH131) NGÀY'!A101)</f>
        <v>0</v>
      </c>
      <c r="G101" s="69">
        <f t="shared" si="5"/>
        <v>80000000</v>
      </c>
      <c r="H101" s="69">
        <f t="shared" si="6"/>
        <v>0</v>
      </c>
      <c r="I101" s="69">
        <f>SUMIFS(CT!$H$5:$H$143,CT!$A$5:$A$143,"&gt;="&amp;'BTHCTTK (TH131) NGÀY'!$D$3,CT!$A$5:$A$143,"&lt;="&amp;'BTHCTTK (TH131) NGÀY'!$G$3,CT!$D$5:$D$143,'BTHCTTK (TH131) NGÀY'!A101)</f>
        <v>0</v>
      </c>
      <c r="J101" s="69">
        <f>SUMIFS(CT!$H$5:$H$143,CT!$A$5:$A$143,"&gt;="&amp;$D$3,CT!$A$5:$A$143,"&lt;="&amp;$G$3,CT!$E$5:$E$143,'BTHCTTK (TH131) NGÀY'!A101)</f>
        <v>0</v>
      </c>
      <c r="K101" s="69">
        <f t="shared" si="7"/>
        <v>80000000</v>
      </c>
      <c r="L101" s="69">
        <f t="shared" si="8"/>
        <v>0</v>
      </c>
      <c r="M101" t="b">
        <f t="shared" si="9"/>
        <v>0</v>
      </c>
    </row>
    <row r="102" spans="1:13" hidden="1" x14ac:dyDescent="0.25">
      <c r="A102" s="93" t="str">
        <f>DMTK!B101</f>
        <v>22881</v>
      </c>
      <c r="B102" s="65" t="str">
        <f>VLOOKUP(A102,DMTK!$B$5:$L$263,3,0)</f>
        <v>Đầu tư khác</v>
      </c>
      <c r="C102" s="69">
        <f>SUMIFS(DMTK!$K$5:$K$263,DMTK!$B$5:$B$263,A102&amp;"*")</f>
        <v>30000000</v>
      </c>
      <c r="D102" s="69">
        <f>SUMIFS(DMTK!$L$5:$L$263,DMTK!$B$5:$B$263,'BTHCTTK (TH131) NGÀY'!A102&amp;"*")</f>
        <v>0</v>
      </c>
      <c r="E102" s="69">
        <f>SUMIFS(CT!$H$5:$H$143,CT!$A$5:$A$143,"&lt;"&amp;'BTHCTTK (TH131) NGÀY'!$D$3,CT!$D$5:$D$143,'BTHCTTK (TH131) NGÀY'!A102)</f>
        <v>0</v>
      </c>
      <c r="F102" s="69">
        <f>SUMIFS(CT!$H$5:$H$143,CT!$A$5:$A$143,"&lt;"&amp;'BTHCTTK (TH131) NGÀY'!$D$3,CT!$E$5:$E$143,'BTHCTTK (TH131) NGÀY'!A102)</f>
        <v>0</v>
      </c>
      <c r="G102" s="69">
        <f t="shared" si="5"/>
        <v>30000000</v>
      </c>
      <c r="H102" s="69">
        <f t="shared" si="6"/>
        <v>0</v>
      </c>
      <c r="I102" s="69">
        <f>SUMIFS(CT!$H$5:$H$143,CT!$A$5:$A$143,"&gt;="&amp;'BTHCTTK (TH131) NGÀY'!$D$3,CT!$A$5:$A$143,"&lt;="&amp;'BTHCTTK (TH131) NGÀY'!$G$3,CT!$D$5:$D$143,'BTHCTTK (TH131) NGÀY'!A102)</f>
        <v>0</v>
      </c>
      <c r="J102" s="69">
        <f>SUMIFS(CT!$H$5:$H$143,CT!$A$5:$A$143,"&gt;="&amp;$D$3,CT!$A$5:$A$143,"&lt;="&amp;$G$3,CT!$E$5:$E$143,'BTHCTTK (TH131) NGÀY'!A102)</f>
        <v>0</v>
      </c>
      <c r="K102" s="69">
        <f t="shared" si="7"/>
        <v>30000000</v>
      </c>
      <c r="L102" s="69">
        <f t="shared" si="8"/>
        <v>0</v>
      </c>
      <c r="M102" t="b">
        <f t="shared" si="9"/>
        <v>0</v>
      </c>
    </row>
    <row r="103" spans="1:13" hidden="1" x14ac:dyDescent="0.25">
      <c r="A103" s="93" t="str">
        <f>DMTK!B102</f>
        <v>2291</v>
      </c>
      <c r="B103" s="65" t="str">
        <f>VLOOKUP(A103,DMTK!$B$5:$L$263,3,0)</f>
        <v>Dự phòng giảm giá chứng khoán kinh doanh</v>
      </c>
      <c r="C103" s="69">
        <f>SUMIFS(DMTK!$K$5:$K$263,DMTK!$B$5:$B$263,A103&amp;"*")</f>
        <v>0</v>
      </c>
      <c r="D103" s="69">
        <f>SUMIFS(DMTK!$L$5:$L$263,DMTK!$B$5:$B$263,'BTHCTTK (TH131) NGÀY'!A103&amp;"*")</f>
        <v>0</v>
      </c>
      <c r="E103" s="69">
        <f>SUMIFS(CT!$H$5:$H$143,CT!$A$5:$A$143,"&lt;"&amp;'BTHCTTK (TH131) NGÀY'!$D$3,CT!$D$5:$D$143,'BTHCTTK (TH131) NGÀY'!A103)</f>
        <v>0</v>
      </c>
      <c r="F103" s="69">
        <f>SUMIFS(CT!$H$5:$H$143,CT!$A$5:$A$143,"&lt;"&amp;'BTHCTTK (TH131) NGÀY'!$D$3,CT!$E$5:$E$143,'BTHCTTK (TH131) NGÀY'!A103)</f>
        <v>0</v>
      </c>
      <c r="G103" s="69">
        <f t="shared" si="5"/>
        <v>0</v>
      </c>
      <c r="H103" s="69">
        <f t="shared" si="6"/>
        <v>0</v>
      </c>
      <c r="I103" s="69">
        <f>SUMIFS(CT!$H$5:$H$143,CT!$A$5:$A$143,"&gt;="&amp;'BTHCTTK (TH131) NGÀY'!$D$3,CT!$A$5:$A$143,"&lt;="&amp;'BTHCTTK (TH131) NGÀY'!$G$3,CT!$D$5:$D$143,'BTHCTTK (TH131) NGÀY'!A103)</f>
        <v>0</v>
      </c>
      <c r="J103" s="69">
        <f>SUMIFS(CT!$H$5:$H$143,CT!$A$5:$A$143,"&gt;="&amp;$D$3,CT!$A$5:$A$143,"&lt;="&amp;$G$3,CT!$E$5:$E$143,'BTHCTTK (TH131) NGÀY'!A103)</f>
        <v>0</v>
      </c>
      <c r="K103" s="69">
        <f t="shared" si="7"/>
        <v>0</v>
      </c>
      <c r="L103" s="69">
        <f t="shared" si="8"/>
        <v>0</v>
      </c>
      <c r="M103" t="b">
        <f t="shared" si="9"/>
        <v>0</v>
      </c>
    </row>
    <row r="104" spans="1:13" hidden="1" x14ac:dyDescent="0.25">
      <c r="A104" s="93" t="str">
        <f>DMTK!B103</f>
        <v>2292</v>
      </c>
      <c r="B104" s="65" t="str">
        <f>VLOOKUP(A104,DMTK!$B$5:$L$263,3,0)</f>
        <v>Dự phòng tổn thất đầu tư vào đơn vị khác</v>
      </c>
      <c r="C104" s="69">
        <f>SUMIFS(DMTK!$K$5:$K$263,DMTK!$B$5:$B$263,A104&amp;"*")</f>
        <v>0</v>
      </c>
      <c r="D104" s="69">
        <f>SUMIFS(DMTK!$L$5:$L$263,DMTK!$B$5:$B$263,'BTHCTTK (TH131) NGÀY'!A104&amp;"*")</f>
        <v>0</v>
      </c>
      <c r="E104" s="69">
        <f>SUMIFS(CT!$H$5:$H$143,CT!$A$5:$A$143,"&lt;"&amp;'BTHCTTK (TH131) NGÀY'!$D$3,CT!$D$5:$D$143,'BTHCTTK (TH131) NGÀY'!A104)</f>
        <v>0</v>
      </c>
      <c r="F104" s="69">
        <f>SUMIFS(CT!$H$5:$H$143,CT!$A$5:$A$143,"&lt;"&amp;'BTHCTTK (TH131) NGÀY'!$D$3,CT!$E$5:$E$143,'BTHCTTK (TH131) NGÀY'!A104)</f>
        <v>0</v>
      </c>
      <c r="G104" s="69">
        <f t="shared" si="5"/>
        <v>0</v>
      </c>
      <c r="H104" s="69">
        <f t="shared" si="6"/>
        <v>0</v>
      </c>
      <c r="I104" s="69">
        <f>SUMIFS(CT!$H$5:$H$143,CT!$A$5:$A$143,"&gt;="&amp;'BTHCTTK (TH131) NGÀY'!$D$3,CT!$A$5:$A$143,"&lt;="&amp;'BTHCTTK (TH131) NGÀY'!$G$3,CT!$D$5:$D$143,'BTHCTTK (TH131) NGÀY'!A104)</f>
        <v>0</v>
      </c>
      <c r="J104" s="69">
        <f>SUMIFS(CT!$H$5:$H$143,CT!$A$5:$A$143,"&gt;="&amp;$D$3,CT!$A$5:$A$143,"&lt;="&amp;$G$3,CT!$E$5:$E$143,'BTHCTTK (TH131) NGÀY'!A104)</f>
        <v>0</v>
      </c>
      <c r="K104" s="69">
        <f t="shared" si="7"/>
        <v>0</v>
      </c>
      <c r="L104" s="69">
        <f t="shared" si="8"/>
        <v>0</v>
      </c>
      <c r="M104" t="b">
        <f t="shared" si="9"/>
        <v>0</v>
      </c>
    </row>
    <row r="105" spans="1:13" hidden="1" x14ac:dyDescent="0.25">
      <c r="A105" s="93" t="str">
        <f>DMTK!B104</f>
        <v>22931</v>
      </c>
      <c r="B105" s="65" t="str">
        <f>VLOOKUP(A105,DMTK!$B$5:$L$263,3,0)</f>
        <v>Dự phòng phải thu khó đòi</v>
      </c>
      <c r="C105" s="69">
        <f>SUMIFS(DMTK!$K$5:$K$263,DMTK!$B$5:$B$263,A105&amp;"*")</f>
        <v>0</v>
      </c>
      <c r="D105" s="69">
        <f>SUMIFS(DMTK!$L$5:$L$263,DMTK!$B$5:$B$263,'BTHCTTK (TH131) NGÀY'!A105&amp;"*")</f>
        <v>30000000</v>
      </c>
      <c r="E105" s="69">
        <f>SUMIFS(CT!$H$5:$H$143,CT!$A$5:$A$143,"&lt;"&amp;'BTHCTTK (TH131) NGÀY'!$D$3,CT!$D$5:$D$143,'BTHCTTK (TH131) NGÀY'!A105)</f>
        <v>0</v>
      </c>
      <c r="F105" s="69">
        <f>SUMIFS(CT!$H$5:$H$143,CT!$A$5:$A$143,"&lt;"&amp;'BTHCTTK (TH131) NGÀY'!$D$3,CT!$E$5:$E$143,'BTHCTTK (TH131) NGÀY'!A105)</f>
        <v>0</v>
      </c>
      <c r="G105" s="69">
        <f t="shared" si="5"/>
        <v>0</v>
      </c>
      <c r="H105" s="69">
        <f t="shared" si="6"/>
        <v>30000000</v>
      </c>
      <c r="I105" s="69">
        <f>SUMIFS(CT!$H$5:$H$143,CT!$A$5:$A$143,"&gt;="&amp;'BTHCTTK (TH131) NGÀY'!$D$3,CT!$A$5:$A$143,"&lt;="&amp;'BTHCTTK (TH131) NGÀY'!$G$3,CT!$D$5:$D$143,'BTHCTTK (TH131) NGÀY'!A105)</f>
        <v>0</v>
      </c>
      <c r="J105" s="69">
        <f>SUMIFS(CT!$H$5:$H$143,CT!$A$5:$A$143,"&gt;="&amp;$D$3,CT!$A$5:$A$143,"&lt;="&amp;$G$3,CT!$E$5:$E$143,'BTHCTTK (TH131) NGÀY'!A105)</f>
        <v>0</v>
      </c>
      <c r="K105" s="69">
        <f t="shared" si="7"/>
        <v>0</v>
      </c>
      <c r="L105" s="69">
        <f t="shared" si="8"/>
        <v>30000000</v>
      </c>
      <c r="M105" t="b">
        <f t="shared" si="9"/>
        <v>0</v>
      </c>
    </row>
    <row r="106" spans="1:13" hidden="1" x14ac:dyDescent="0.25">
      <c r="A106" s="93" t="str">
        <f>DMTK!B105</f>
        <v>22932</v>
      </c>
      <c r="B106" s="65" t="str">
        <f>VLOOKUP(A106,DMTK!$B$5:$L$263,3,0)</f>
        <v>Dự phòng phải thu khó đòi (dài hạn)</v>
      </c>
      <c r="C106" s="69">
        <f>SUMIFS(DMTK!$K$5:$K$263,DMTK!$B$5:$B$263,A106&amp;"*")</f>
        <v>0</v>
      </c>
      <c r="D106" s="69">
        <f>SUMIFS(DMTK!$L$5:$L$263,DMTK!$B$5:$B$263,'BTHCTTK (TH131) NGÀY'!A106&amp;"*")</f>
        <v>0</v>
      </c>
      <c r="E106" s="69">
        <f>SUMIFS(CT!$H$5:$H$143,CT!$A$5:$A$143,"&lt;"&amp;'BTHCTTK (TH131) NGÀY'!$D$3,CT!$D$5:$D$143,'BTHCTTK (TH131) NGÀY'!A106)</f>
        <v>0</v>
      </c>
      <c r="F106" s="69">
        <f>SUMIFS(CT!$H$5:$H$143,CT!$A$5:$A$143,"&lt;"&amp;'BTHCTTK (TH131) NGÀY'!$D$3,CT!$E$5:$E$143,'BTHCTTK (TH131) NGÀY'!A106)</f>
        <v>0</v>
      </c>
      <c r="G106" s="69">
        <f t="shared" si="5"/>
        <v>0</v>
      </c>
      <c r="H106" s="69">
        <f t="shared" si="6"/>
        <v>0</v>
      </c>
      <c r="I106" s="69">
        <f>SUMIFS(CT!$H$5:$H$143,CT!$A$5:$A$143,"&gt;="&amp;'BTHCTTK (TH131) NGÀY'!$D$3,CT!$A$5:$A$143,"&lt;="&amp;'BTHCTTK (TH131) NGÀY'!$G$3,CT!$D$5:$D$143,'BTHCTTK (TH131) NGÀY'!A106)</f>
        <v>0</v>
      </c>
      <c r="J106" s="69">
        <f>SUMIFS(CT!$H$5:$H$143,CT!$A$5:$A$143,"&gt;="&amp;$D$3,CT!$A$5:$A$143,"&lt;="&amp;$G$3,CT!$E$5:$E$143,'BTHCTTK (TH131) NGÀY'!A106)</f>
        <v>0</v>
      </c>
      <c r="K106" s="69">
        <f t="shared" si="7"/>
        <v>0</v>
      </c>
      <c r="L106" s="69">
        <f t="shared" si="8"/>
        <v>0</v>
      </c>
      <c r="M106" t="b">
        <f t="shared" si="9"/>
        <v>0</v>
      </c>
    </row>
    <row r="107" spans="1:13" hidden="1" x14ac:dyDescent="0.25">
      <c r="A107" s="93" t="str">
        <f>DMTK!B106</f>
        <v>2294</v>
      </c>
      <c r="B107" s="65" t="str">
        <f>VLOOKUP(A107,DMTK!$B$5:$L$263,3,0)</f>
        <v>Dự phòng giảm giá hàng tồn kho</v>
      </c>
      <c r="C107" s="69">
        <f>SUMIFS(DMTK!$K$5:$K$263,DMTK!$B$5:$B$263,A107&amp;"*")</f>
        <v>0</v>
      </c>
      <c r="D107" s="69">
        <f>SUMIFS(DMTK!$L$5:$L$263,DMTK!$B$5:$B$263,'BTHCTTK (TH131) NGÀY'!A107&amp;"*")</f>
        <v>80000000</v>
      </c>
      <c r="E107" s="69">
        <f>SUMIFS(CT!$H$5:$H$143,CT!$A$5:$A$143,"&lt;"&amp;'BTHCTTK (TH131) NGÀY'!$D$3,CT!$D$5:$D$143,'BTHCTTK (TH131) NGÀY'!A107)</f>
        <v>0</v>
      </c>
      <c r="F107" s="69">
        <f>SUMIFS(CT!$H$5:$H$143,CT!$A$5:$A$143,"&lt;"&amp;'BTHCTTK (TH131) NGÀY'!$D$3,CT!$E$5:$E$143,'BTHCTTK (TH131) NGÀY'!A107)</f>
        <v>0</v>
      </c>
      <c r="G107" s="69">
        <f t="shared" si="5"/>
        <v>0</v>
      </c>
      <c r="H107" s="69">
        <f t="shared" si="6"/>
        <v>80000000</v>
      </c>
      <c r="I107" s="69">
        <f>SUMIFS(CT!$H$5:$H$143,CT!$A$5:$A$143,"&gt;="&amp;'BTHCTTK (TH131) NGÀY'!$D$3,CT!$A$5:$A$143,"&lt;="&amp;'BTHCTTK (TH131) NGÀY'!$G$3,CT!$D$5:$D$143,'BTHCTTK (TH131) NGÀY'!A107)</f>
        <v>0</v>
      </c>
      <c r="J107" s="69">
        <f>SUMIFS(CT!$H$5:$H$143,CT!$A$5:$A$143,"&gt;="&amp;$D$3,CT!$A$5:$A$143,"&lt;="&amp;$G$3,CT!$E$5:$E$143,'BTHCTTK (TH131) NGÀY'!A107)</f>
        <v>0</v>
      </c>
      <c r="K107" s="69">
        <f t="shared" si="7"/>
        <v>0</v>
      </c>
      <c r="L107" s="69">
        <f t="shared" si="8"/>
        <v>80000000</v>
      </c>
      <c r="M107" t="b">
        <f t="shared" si="9"/>
        <v>0</v>
      </c>
    </row>
    <row r="108" spans="1:13" hidden="1" x14ac:dyDescent="0.25">
      <c r="A108" s="93" t="str">
        <f>DMTK!B107</f>
        <v>2411</v>
      </c>
      <c r="B108" s="65" t="str">
        <f>VLOOKUP(A108,DMTK!$B$5:$L$263,3,0)</f>
        <v>Mua sắm TSCĐ</v>
      </c>
      <c r="C108" s="69">
        <f>SUMIFS(DMTK!$K$5:$K$263,DMTK!$B$5:$B$263,A108&amp;"*")</f>
        <v>250000000</v>
      </c>
      <c r="D108" s="69">
        <f>SUMIFS(DMTK!$L$5:$L$263,DMTK!$B$5:$B$263,'BTHCTTK (TH131) NGÀY'!A108&amp;"*")</f>
        <v>0</v>
      </c>
      <c r="E108" s="69">
        <f>SUMIFS(CT!$H$5:$H$143,CT!$A$5:$A$143,"&lt;"&amp;'BTHCTTK (TH131) NGÀY'!$D$3,CT!$D$5:$D$143,'BTHCTTK (TH131) NGÀY'!A108)</f>
        <v>0</v>
      </c>
      <c r="F108" s="69">
        <f>SUMIFS(CT!$H$5:$H$143,CT!$A$5:$A$143,"&lt;"&amp;'BTHCTTK (TH131) NGÀY'!$D$3,CT!$E$5:$E$143,'BTHCTTK (TH131) NGÀY'!A108)</f>
        <v>0</v>
      </c>
      <c r="G108" s="69">
        <f t="shared" si="5"/>
        <v>250000000</v>
      </c>
      <c r="H108" s="69">
        <f t="shared" si="6"/>
        <v>0</v>
      </c>
      <c r="I108" s="69">
        <f>SUMIFS(CT!$H$5:$H$143,CT!$A$5:$A$143,"&gt;="&amp;'BTHCTTK (TH131) NGÀY'!$D$3,CT!$A$5:$A$143,"&lt;="&amp;'BTHCTTK (TH131) NGÀY'!$G$3,CT!$D$5:$D$143,'BTHCTTK (TH131) NGÀY'!A108)</f>
        <v>0</v>
      </c>
      <c r="J108" s="69">
        <f>SUMIFS(CT!$H$5:$H$143,CT!$A$5:$A$143,"&gt;="&amp;$D$3,CT!$A$5:$A$143,"&lt;="&amp;$G$3,CT!$E$5:$E$143,'BTHCTTK (TH131) NGÀY'!A108)</f>
        <v>0</v>
      </c>
      <c r="K108" s="69">
        <f t="shared" si="7"/>
        <v>250000000</v>
      </c>
      <c r="L108" s="69">
        <f t="shared" si="8"/>
        <v>0</v>
      </c>
      <c r="M108" t="b">
        <f t="shared" si="9"/>
        <v>0</v>
      </c>
    </row>
    <row r="109" spans="1:13" hidden="1" x14ac:dyDescent="0.25">
      <c r="A109" s="93" t="str">
        <f>DMTK!B108</f>
        <v>2412</v>
      </c>
      <c r="B109" s="65" t="str">
        <f>VLOOKUP(A109,DMTK!$B$5:$L$263,3,0)</f>
        <v>Xây dựng cơ bản</v>
      </c>
      <c r="C109" s="69">
        <f>SUMIFS(DMTK!$K$5:$K$263,DMTK!$B$5:$B$263,A109&amp;"*")</f>
        <v>213760000</v>
      </c>
      <c r="D109" s="69">
        <f>SUMIFS(DMTK!$L$5:$L$263,DMTK!$B$5:$B$263,'BTHCTTK (TH131) NGÀY'!A109&amp;"*")</f>
        <v>0</v>
      </c>
      <c r="E109" s="69">
        <f>SUMIFS(CT!$H$5:$H$143,CT!$A$5:$A$143,"&lt;"&amp;'BTHCTTK (TH131) NGÀY'!$D$3,CT!$D$5:$D$143,'BTHCTTK (TH131) NGÀY'!A109)</f>
        <v>0</v>
      </c>
      <c r="F109" s="69">
        <f>SUMIFS(CT!$H$5:$H$143,CT!$A$5:$A$143,"&lt;"&amp;'BTHCTTK (TH131) NGÀY'!$D$3,CT!$E$5:$E$143,'BTHCTTK (TH131) NGÀY'!A109)</f>
        <v>0</v>
      </c>
      <c r="G109" s="69">
        <f t="shared" si="5"/>
        <v>213760000</v>
      </c>
      <c r="H109" s="69">
        <f t="shared" si="6"/>
        <v>0</v>
      </c>
      <c r="I109" s="69">
        <f>SUMIFS(CT!$H$5:$H$143,CT!$A$5:$A$143,"&gt;="&amp;'BTHCTTK (TH131) NGÀY'!$D$3,CT!$A$5:$A$143,"&lt;="&amp;'BTHCTTK (TH131) NGÀY'!$G$3,CT!$D$5:$D$143,'BTHCTTK (TH131) NGÀY'!A109)</f>
        <v>0</v>
      </c>
      <c r="J109" s="69">
        <f>SUMIFS(CT!$H$5:$H$143,CT!$A$5:$A$143,"&gt;="&amp;$D$3,CT!$A$5:$A$143,"&lt;="&amp;$G$3,CT!$E$5:$E$143,'BTHCTTK (TH131) NGÀY'!A109)</f>
        <v>0</v>
      </c>
      <c r="K109" s="69">
        <f t="shared" si="7"/>
        <v>213760000</v>
      </c>
      <c r="L109" s="69">
        <f t="shared" si="8"/>
        <v>0</v>
      </c>
      <c r="M109" t="b">
        <f t="shared" si="9"/>
        <v>0</v>
      </c>
    </row>
    <row r="110" spans="1:13" hidden="1" x14ac:dyDescent="0.25">
      <c r="A110" s="93" t="str">
        <f>DMTK!B109</f>
        <v>2413</v>
      </c>
      <c r="B110" s="65" t="str">
        <f>VLOOKUP(A110,DMTK!$B$5:$L$263,3,0)</f>
        <v>Sửa chữa lớn TSCĐ</v>
      </c>
      <c r="C110" s="69">
        <f>SUMIFS(DMTK!$K$5:$K$263,DMTK!$B$5:$B$263,A110&amp;"*")</f>
        <v>0</v>
      </c>
      <c r="D110" s="69">
        <f>SUMIFS(DMTK!$L$5:$L$263,DMTK!$B$5:$B$263,'BTHCTTK (TH131) NGÀY'!A110&amp;"*")</f>
        <v>0</v>
      </c>
      <c r="E110" s="69">
        <f>SUMIFS(CT!$H$5:$H$143,CT!$A$5:$A$143,"&lt;"&amp;'BTHCTTK (TH131) NGÀY'!$D$3,CT!$D$5:$D$143,'BTHCTTK (TH131) NGÀY'!A110)</f>
        <v>0</v>
      </c>
      <c r="F110" s="69">
        <f>SUMIFS(CT!$H$5:$H$143,CT!$A$5:$A$143,"&lt;"&amp;'BTHCTTK (TH131) NGÀY'!$D$3,CT!$E$5:$E$143,'BTHCTTK (TH131) NGÀY'!A110)</f>
        <v>0</v>
      </c>
      <c r="G110" s="69">
        <f t="shared" si="5"/>
        <v>0</v>
      </c>
      <c r="H110" s="69">
        <f t="shared" si="6"/>
        <v>0</v>
      </c>
      <c r="I110" s="69">
        <f>SUMIFS(CT!$H$5:$H$143,CT!$A$5:$A$143,"&gt;="&amp;'BTHCTTK (TH131) NGÀY'!$D$3,CT!$A$5:$A$143,"&lt;="&amp;'BTHCTTK (TH131) NGÀY'!$G$3,CT!$D$5:$D$143,'BTHCTTK (TH131) NGÀY'!A110)</f>
        <v>0</v>
      </c>
      <c r="J110" s="69">
        <f>SUMIFS(CT!$H$5:$H$143,CT!$A$5:$A$143,"&gt;="&amp;$D$3,CT!$A$5:$A$143,"&lt;="&amp;$G$3,CT!$E$5:$E$143,'BTHCTTK (TH131) NGÀY'!A110)</f>
        <v>0</v>
      </c>
      <c r="K110" s="69">
        <f t="shared" si="7"/>
        <v>0</v>
      </c>
      <c r="L110" s="69">
        <f t="shared" si="8"/>
        <v>0</v>
      </c>
      <c r="M110" t="b">
        <f t="shared" si="9"/>
        <v>0</v>
      </c>
    </row>
    <row r="111" spans="1:13" hidden="1" x14ac:dyDescent="0.25">
      <c r="A111" s="93" t="str">
        <f>DMTK!B110</f>
        <v>2421.01</v>
      </c>
      <c r="B111" s="65" t="str">
        <f>VLOOKUP(A111,DMTK!$B$5:$L$263,3,0)</f>
        <v>Máy tính Casio (không quá 12 tháng)</v>
      </c>
      <c r="C111" s="69">
        <f>SUMIFS(DMTK!$K$5:$K$263,DMTK!$B$5:$B$263,A111&amp;"*")</f>
        <v>5000000</v>
      </c>
      <c r="D111" s="69">
        <f>SUMIFS(DMTK!$L$5:$L$263,DMTK!$B$5:$B$263,'BTHCTTK (TH131) NGÀY'!A111&amp;"*")</f>
        <v>0</v>
      </c>
      <c r="E111" s="69">
        <f>SUMIFS(CT!$H$5:$H$143,CT!$A$5:$A$143,"&lt;"&amp;'BTHCTTK (TH131) NGÀY'!$D$3,CT!$D$5:$D$143,'BTHCTTK (TH131) NGÀY'!A111)</f>
        <v>0</v>
      </c>
      <c r="F111" s="69">
        <f>SUMIFS(CT!$H$5:$H$143,CT!$A$5:$A$143,"&lt;"&amp;'BTHCTTK (TH131) NGÀY'!$D$3,CT!$E$5:$E$143,'BTHCTTK (TH131) NGÀY'!A111)</f>
        <v>0</v>
      </c>
      <c r="G111" s="69">
        <f t="shared" si="5"/>
        <v>5000000</v>
      </c>
      <c r="H111" s="69">
        <f t="shared" si="6"/>
        <v>0</v>
      </c>
      <c r="I111" s="69">
        <f>SUMIFS(CT!$H$5:$H$143,CT!$A$5:$A$143,"&gt;="&amp;'BTHCTTK (TH131) NGÀY'!$D$3,CT!$A$5:$A$143,"&lt;="&amp;'BTHCTTK (TH131) NGÀY'!$G$3,CT!$D$5:$D$143,'BTHCTTK (TH131) NGÀY'!A111)</f>
        <v>2500000</v>
      </c>
      <c r="J111" s="69">
        <f>SUMIFS(CT!$H$5:$H$143,CT!$A$5:$A$143,"&gt;="&amp;$D$3,CT!$A$5:$A$143,"&lt;="&amp;$G$3,CT!$E$5:$E$143,'BTHCTTK (TH131) NGÀY'!A111)</f>
        <v>500000</v>
      </c>
      <c r="K111" s="69">
        <f t="shared" si="7"/>
        <v>7000000</v>
      </c>
      <c r="L111" s="69">
        <f t="shared" si="8"/>
        <v>0</v>
      </c>
      <c r="M111" t="b">
        <f t="shared" si="9"/>
        <v>0</v>
      </c>
    </row>
    <row r="112" spans="1:13" hidden="1" x14ac:dyDescent="0.25">
      <c r="A112" s="93" t="str">
        <f>DMTK!B111</f>
        <v>2421.02</v>
      </c>
      <c r="B112" s="65" t="str">
        <f>VLOOKUP(A112,DMTK!$B$5:$L$263,3,0)</f>
        <v>Kệ tủ (không quá 12 tháng)</v>
      </c>
      <c r="C112" s="69">
        <f>SUMIFS(DMTK!$K$5:$K$263,DMTK!$B$5:$B$263,A112&amp;"*")</f>
        <v>8000000</v>
      </c>
      <c r="D112" s="69">
        <f>SUMIFS(DMTK!$L$5:$L$263,DMTK!$B$5:$B$263,'BTHCTTK (TH131) NGÀY'!A112&amp;"*")</f>
        <v>0</v>
      </c>
      <c r="E112" s="69">
        <f>SUMIFS(CT!$H$5:$H$143,CT!$A$5:$A$143,"&lt;"&amp;'BTHCTTK (TH131) NGÀY'!$D$3,CT!$D$5:$D$143,'BTHCTTK (TH131) NGÀY'!A112)</f>
        <v>0</v>
      </c>
      <c r="F112" s="69">
        <f>SUMIFS(CT!$H$5:$H$143,CT!$A$5:$A$143,"&lt;"&amp;'BTHCTTK (TH131) NGÀY'!$D$3,CT!$E$5:$E$143,'BTHCTTK (TH131) NGÀY'!A112)</f>
        <v>0</v>
      </c>
      <c r="G112" s="69">
        <f t="shared" si="5"/>
        <v>8000000</v>
      </c>
      <c r="H112" s="69">
        <f t="shared" si="6"/>
        <v>0</v>
      </c>
      <c r="I112" s="69">
        <f>SUMIFS(CT!$H$5:$H$143,CT!$A$5:$A$143,"&gt;="&amp;'BTHCTTK (TH131) NGÀY'!$D$3,CT!$A$5:$A$143,"&lt;="&amp;'BTHCTTK (TH131) NGÀY'!$G$3,CT!$D$5:$D$143,'BTHCTTK (TH131) NGÀY'!A112)</f>
        <v>1000000</v>
      </c>
      <c r="J112" s="69">
        <f>SUMIFS(CT!$H$5:$H$143,CT!$A$5:$A$143,"&gt;="&amp;$D$3,CT!$A$5:$A$143,"&lt;="&amp;$G$3,CT!$E$5:$E$143,'BTHCTTK (TH131) NGÀY'!A112)</f>
        <v>250000</v>
      </c>
      <c r="K112" s="69">
        <f t="shared" si="7"/>
        <v>8750000</v>
      </c>
      <c r="L112" s="69">
        <f t="shared" si="8"/>
        <v>0</v>
      </c>
      <c r="M112" t="b">
        <f t="shared" si="9"/>
        <v>0</v>
      </c>
    </row>
    <row r="113" spans="1:13" hidden="1" x14ac:dyDescent="0.25">
      <c r="A113" s="93" t="str">
        <f>DMTK!B112</f>
        <v>2422.01</v>
      </c>
      <c r="B113" s="65" t="str">
        <f>VLOOKUP(A113,DMTK!$B$5:$L$263,3,0)</f>
        <v>Máy tính Casio (trên 12 tháng)</v>
      </c>
      <c r="C113" s="69">
        <f>SUMIFS(DMTK!$K$5:$K$263,DMTK!$B$5:$B$263,A113&amp;"*")</f>
        <v>0</v>
      </c>
      <c r="D113" s="69">
        <f>SUMIFS(DMTK!$L$5:$L$263,DMTK!$B$5:$B$263,'BTHCTTK (TH131) NGÀY'!A113&amp;"*")</f>
        <v>0</v>
      </c>
      <c r="E113" s="69">
        <f>SUMIFS(CT!$H$5:$H$143,CT!$A$5:$A$143,"&lt;"&amp;'BTHCTTK (TH131) NGÀY'!$D$3,CT!$D$5:$D$143,'BTHCTTK (TH131) NGÀY'!A113)</f>
        <v>0</v>
      </c>
      <c r="F113" s="69">
        <f>SUMIFS(CT!$H$5:$H$143,CT!$A$5:$A$143,"&lt;"&amp;'BTHCTTK (TH131) NGÀY'!$D$3,CT!$E$5:$E$143,'BTHCTTK (TH131) NGÀY'!A113)</f>
        <v>0</v>
      </c>
      <c r="G113" s="69">
        <f t="shared" si="5"/>
        <v>0</v>
      </c>
      <c r="H113" s="69">
        <f t="shared" si="6"/>
        <v>0</v>
      </c>
      <c r="I113" s="69">
        <f>SUMIFS(CT!$H$5:$H$143,CT!$A$5:$A$143,"&gt;="&amp;'BTHCTTK (TH131) NGÀY'!$D$3,CT!$A$5:$A$143,"&lt;="&amp;'BTHCTTK (TH131) NGÀY'!$G$3,CT!$D$5:$D$143,'BTHCTTK (TH131) NGÀY'!A113)</f>
        <v>0</v>
      </c>
      <c r="J113" s="69">
        <f>SUMIFS(CT!$H$5:$H$143,CT!$A$5:$A$143,"&gt;="&amp;$D$3,CT!$A$5:$A$143,"&lt;="&amp;$G$3,CT!$E$5:$E$143,'BTHCTTK (TH131) NGÀY'!A113)</f>
        <v>0</v>
      </c>
      <c r="K113" s="69">
        <f t="shared" si="7"/>
        <v>0</v>
      </c>
      <c r="L113" s="69">
        <f t="shared" si="8"/>
        <v>0</v>
      </c>
      <c r="M113" t="b">
        <f t="shared" si="9"/>
        <v>0</v>
      </c>
    </row>
    <row r="114" spans="1:13" hidden="1" x14ac:dyDescent="0.25">
      <c r="A114" s="93" t="str">
        <f>DMTK!B113</f>
        <v>2422.02</v>
      </c>
      <c r="B114" s="65" t="str">
        <f>VLOOKUP(A114,DMTK!$B$5:$L$263,3,0)</f>
        <v>Kệ tủ (trên 12 tháng)</v>
      </c>
      <c r="C114" s="69">
        <f>SUMIFS(DMTK!$K$5:$K$263,DMTK!$B$5:$B$263,A114&amp;"*")</f>
        <v>0</v>
      </c>
      <c r="D114" s="69">
        <f>SUMIFS(DMTK!$L$5:$L$263,DMTK!$B$5:$B$263,'BTHCTTK (TH131) NGÀY'!A114&amp;"*")</f>
        <v>0</v>
      </c>
      <c r="E114" s="69">
        <f>SUMIFS(CT!$H$5:$H$143,CT!$A$5:$A$143,"&lt;"&amp;'BTHCTTK (TH131) NGÀY'!$D$3,CT!$D$5:$D$143,'BTHCTTK (TH131) NGÀY'!A114)</f>
        <v>0</v>
      </c>
      <c r="F114" s="69">
        <f>SUMIFS(CT!$H$5:$H$143,CT!$A$5:$A$143,"&lt;"&amp;'BTHCTTK (TH131) NGÀY'!$D$3,CT!$E$5:$E$143,'BTHCTTK (TH131) NGÀY'!A114)</f>
        <v>0</v>
      </c>
      <c r="G114" s="69">
        <f t="shared" si="5"/>
        <v>0</v>
      </c>
      <c r="H114" s="69">
        <f t="shared" si="6"/>
        <v>0</v>
      </c>
      <c r="I114" s="69">
        <f>SUMIFS(CT!$H$5:$H$143,CT!$A$5:$A$143,"&gt;="&amp;'BTHCTTK (TH131) NGÀY'!$D$3,CT!$A$5:$A$143,"&lt;="&amp;'BTHCTTK (TH131) NGÀY'!$G$3,CT!$D$5:$D$143,'BTHCTTK (TH131) NGÀY'!A114)</f>
        <v>0</v>
      </c>
      <c r="J114" s="69">
        <f>SUMIFS(CT!$H$5:$H$143,CT!$A$5:$A$143,"&gt;="&amp;$D$3,CT!$A$5:$A$143,"&lt;="&amp;$G$3,CT!$E$5:$E$143,'BTHCTTK (TH131) NGÀY'!A114)</f>
        <v>0</v>
      </c>
      <c r="K114" s="69">
        <f t="shared" si="7"/>
        <v>0</v>
      </c>
      <c r="L114" s="69">
        <f t="shared" si="8"/>
        <v>0</v>
      </c>
      <c r="M114" t="b">
        <f t="shared" si="9"/>
        <v>0</v>
      </c>
    </row>
    <row r="115" spans="1:13" hidden="1" x14ac:dyDescent="0.25">
      <c r="A115" s="93" t="str">
        <f>DMTK!B114</f>
        <v>2422.03</v>
      </c>
      <c r="B115" s="65" t="str">
        <f>VLOOKUP(A115,DMTK!$B$5:$L$263,3,0)</f>
        <v>Chi phí sửa chữa lớn TSCĐ</v>
      </c>
      <c r="C115" s="69">
        <f>SUMIFS(DMTK!$K$5:$K$263,DMTK!$B$5:$B$263,A115&amp;"*")</f>
        <v>0</v>
      </c>
      <c r="D115" s="69">
        <f>SUMIFS(DMTK!$L$5:$L$263,DMTK!$B$5:$B$263,'BTHCTTK (TH131) NGÀY'!A115&amp;"*")</f>
        <v>0</v>
      </c>
      <c r="E115" s="69">
        <f>SUMIFS(CT!$H$5:$H$143,CT!$A$5:$A$143,"&lt;"&amp;'BTHCTTK (TH131) NGÀY'!$D$3,CT!$D$5:$D$143,'BTHCTTK (TH131) NGÀY'!A115)</f>
        <v>0</v>
      </c>
      <c r="F115" s="69">
        <f>SUMIFS(CT!$H$5:$H$143,CT!$A$5:$A$143,"&lt;"&amp;'BTHCTTK (TH131) NGÀY'!$D$3,CT!$E$5:$E$143,'BTHCTTK (TH131) NGÀY'!A115)</f>
        <v>0</v>
      </c>
      <c r="G115" s="69">
        <f t="shared" si="5"/>
        <v>0</v>
      </c>
      <c r="H115" s="69">
        <f t="shared" si="6"/>
        <v>0</v>
      </c>
      <c r="I115" s="69">
        <f>SUMIFS(CT!$H$5:$H$143,CT!$A$5:$A$143,"&gt;="&amp;'BTHCTTK (TH131) NGÀY'!$D$3,CT!$A$5:$A$143,"&lt;="&amp;'BTHCTTK (TH131) NGÀY'!$G$3,CT!$D$5:$D$143,'BTHCTTK (TH131) NGÀY'!A115)</f>
        <v>0</v>
      </c>
      <c r="J115" s="69">
        <f>SUMIFS(CT!$H$5:$H$143,CT!$A$5:$A$143,"&gt;="&amp;$D$3,CT!$A$5:$A$143,"&lt;="&amp;$G$3,CT!$E$5:$E$143,'BTHCTTK (TH131) NGÀY'!A115)</f>
        <v>0</v>
      </c>
      <c r="K115" s="69">
        <f t="shared" si="7"/>
        <v>0</v>
      </c>
      <c r="L115" s="69">
        <f t="shared" si="8"/>
        <v>0</v>
      </c>
      <c r="M115" t="b">
        <f t="shared" si="9"/>
        <v>0</v>
      </c>
    </row>
    <row r="116" spans="1:13" hidden="1" x14ac:dyDescent="0.25">
      <c r="A116" s="93" t="str">
        <f>DMTK!B115</f>
        <v>243</v>
      </c>
      <c r="B116" s="65" t="str">
        <f>VLOOKUP(A116,DMTK!$B$5:$L$263,3,0)</f>
        <v>Tài sản thuế thu nhập hoãn lại</v>
      </c>
      <c r="C116" s="69">
        <f>SUMIFS(DMTK!$K$5:$K$263,DMTK!$B$5:$B$263,A116&amp;"*")</f>
        <v>0</v>
      </c>
      <c r="D116" s="69">
        <f>SUMIFS(DMTK!$L$5:$L$263,DMTK!$B$5:$B$263,'BTHCTTK (TH131) NGÀY'!A116&amp;"*")</f>
        <v>0</v>
      </c>
      <c r="E116" s="69">
        <f>SUMIFS(CT!$H$5:$H$143,CT!$A$5:$A$143,"&lt;"&amp;'BTHCTTK (TH131) NGÀY'!$D$3,CT!$D$5:$D$143,'BTHCTTK (TH131) NGÀY'!A116)</f>
        <v>0</v>
      </c>
      <c r="F116" s="69">
        <f>SUMIFS(CT!$H$5:$H$143,CT!$A$5:$A$143,"&lt;"&amp;'BTHCTTK (TH131) NGÀY'!$D$3,CT!$E$5:$E$143,'BTHCTTK (TH131) NGÀY'!A116)</f>
        <v>0</v>
      </c>
      <c r="G116" s="69">
        <f t="shared" si="5"/>
        <v>0</v>
      </c>
      <c r="H116" s="69">
        <f t="shared" si="6"/>
        <v>0</v>
      </c>
      <c r="I116" s="69">
        <f>SUMIFS(CT!$H$5:$H$143,CT!$A$5:$A$143,"&gt;="&amp;'BTHCTTK (TH131) NGÀY'!$D$3,CT!$A$5:$A$143,"&lt;="&amp;'BTHCTTK (TH131) NGÀY'!$G$3,CT!$D$5:$D$143,'BTHCTTK (TH131) NGÀY'!A116)</f>
        <v>0</v>
      </c>
      <c r="J116" s="69">
        <f>SUMIFS(CT!$H$5:$H$143,CT!$A$5:$A$143,"&gt;="&amp;$D$3,CT!$A$5:$A$143,"&lt;="&amp;$G$3,CT!$E$5:$E$143,'BTHCTTK (TH131) NGÀY'!A116)</f>
        <v>0</v>
      </c>
      <c r="K116" s="69">
        <f t="shared" si="7"/>
        <v>0</v>
      </c>
      <c r="L116" s="69">
        <f t="shared" si="8"/>
        <v>0</v>
      </c>
      <c r="M116" t="b">
        <f t="shared" si="9"/>
        <v>0</v>
      </c>
    </row>
    <row r="117" spans="1:13" hidden="1" x14ac:dyDescent="0.25">
      <c r="A117" s="93" t="str">
        <f>DMTK!B116</f>
        <v>2441</v>
      </c>
      <c r="B117" s="65" t="str">
        <f>VLOOKUP(A117,DMTK!$B$5:$L$263,3,0)</f>
        <v>Cầm cố, thế chấp, ký quỹ, ký cược (không quá 12 tháng)</v>
      </c>
      <c r="C117" s="69">
        <f>SUMIFS(DMTK!$K$5:$K$263,DMTK!$B$5:$B$263,A117&amp;"*")</f>
        <v>130000000</v>
      </c>
      <c r="D117" s="69">
        <f>SUMIFS(DMTK!$L$5:$L$263,DMTK!$B$5:$B$263,'BTHCTTK (TH131) NGÀY'!A117&amp;"*")</f>
        <v>0</v>
      </c>
      <c r="E117" s="69">
        <f>SUMIFS(CT!$H$5:$H$143,CT!$A$5:$A$143,"&lt;"&amp;'BTHCTTK (TH131) NGÀY'!$D$3,CT!$D$5:$D$143,'BTHCTTK (TH131) NGÀY'!A117)</f>
        <v>0</v>
      </c>
      <c r="F117" s="69">
        <f>SUMIFS(CT!$H$5:$H$143,CT!$A$5:$A$143,"&lt;"&amp;'BTHCTTK (TH131) NGÀY'!$D$3,CT!$E$5:$E$143,'BTHCTTK (TH131) NGÀY'!A117)</f>
        <v>0</v>
      </c>
      <c r="G117" s="69">
        <f t="shared" si="5"/>
        <v>130000000</v>
      </c>
      <c r="H117" s="69">
        <f t="shared" si="6"/>
        <v>0</v>
      </c>
      <c r="I117" s="69">
        <f>SUMIFS(CT!$H$5:$H$143,CT!$A$5:$A$143,"&gt;="&amp;'BTHCTTK (TH131) NGÀY'!$D$3,CT!$A$5:$A$143,"&lt;="&amp;'BTHCTTK (TH131) NGÀY'!$G$3,CT!$D$5:$D$143,'BTHCTTK (TH131) NGÀY'!A117)</f>
        <v>0</v>
      </c>
      <c r="J117" s="69">
        <f>SUMIFS(CT!$H$5:$H$143,CT!$A$5:$A$143,"&gt;="&amp;$D$3,CT!$A$5:$A$143,"&lt;="&amp;$G$3,CT!$E$5:$E$143,'BTHCTTK (TH131) NGÀY'!A117)</f>
        <v>0</v>
      </c>
      <c r="K117" s="69">
        <f t="shared" si="7"/>
        <v>130000000</v>
      </c>
      <c r="L117" s="69">
        <f t="shared" si="8"/>
        <v>0</v>
      </c>
      <c r="M117" t="b">
        <f t="shared" si="9"/>
        <v>0</v>
      </c>
    </row>
    <row r="118" spans="1:13" hidden="1" x14ac:dyDescent="0.25">
      <c r="A118" s="93" t="str">
        <f>DMTK!B117</f>
        <v>2442</v>
      </c>
      <c r="B118" s="65" t="str">
        <f>VLOOKUP(A118,DMTK!$B$5:$L$263,3,0)</f>
        <v>Cầm cố, thế chấp, ký quỹ, ký cược (trên 12 tháng)</v>
      </c>
      <c r="C118" s="69">
        <f>SUMIFS(DMTK!$K$5:$K$263,DMTK!$B$5:$B$263,A118&amp;"*")</f>
        <v>0</v>
      </c>
      <c r="D118" s="69">
        <f>SUMIFS(DMTK!$L$5:$L$263,DMTK!$B$5:$B$263,'BTHCTTK (TH131) NGÀY'!A118&amp;"*")</f>
        <v>0</v>
      </c>
      <c r="E118" s="69">
        <f>SUMIFS(CT!$H$5:$H$143,CT!$A$5:$A$143,"&lt;"&amp;'BTHCTTK (TH131) NGÀY'!$D$3,CT!$D$5:$D$143,'BTHCTTK (TH131) NGÀY'!A118)</f>
        <v>0</v>
      </c>
      <c r="F118" s="69">
        <f>SUMIFS(CT!$H$5:$H$143,CT!$A$5:$A$143,"&lt;"&amp;'BTHCTTK (TH131) NGÀY'!$D$3,CT!$E$5:$E$143,'BTHCTTK (TH131) NGÀY'!A118)</f>
        <v>0</v>
      </c>
      <c r="G118" s="69">
        <f t="shared" si="5"/>
        <v>0</v>
      </c>
      <c r="H118" s="69">
        <f t="shared" si="6"/>
        <v>0</v>
      </c>
      <c r="I118" s="69">
        <f>SUMIFS(CT!$H$5:$H$143,CT!$A$5:$A$143,"&gt;="&amp;'BTHCTTK (TH131) NGÀY'!$D$3,CT!$A$5:$A$143,"&lt;="&amp;'BTHCTTK (TH131) NGÀY'!$G$3,CT!$D$5:$D$143,'BTHCTTK (TH131) NGÀY'!A118)</f>
        <v>0</v>
      </c>
      <c r="J118" s="69">
        <f>SUMIFS(CT!$H$5:$H$143,CT!$A$5:$A$143,"&gt;="&amp;$D$3,CT!$A$5:$A$143,"&lt;="&amp;$G$3,CT!$E$5:$E$143,'BTHCTTK (TH131) NGÀY'!A118)</f>
        <v>0</v>
      </c>
      <c r="K118" s="69">
        <f t="shared" si="7"/>
        <v>0</v>
      </c>
      <c r="L118" s="69">
        <f t="shared" si="8"/>
        <v>0</v>
      </c>
      <c r="M118" t="b">
        <f t="shared" si="9"/>
        <v>0</v>
      </c>
    </row>
    <row r="119" spans="1:13" hidden="1" x14ac:dyDescent="0.25">
      <c r="A119" s="93" t="str">
        <f>DMTK!B118</f>
        <v>3311.01</v>
      </c>
      <c r="B119" s="65" t="str">
        <f>VLOOKUP(A119,DMTK!$B$5:$L$263,3,0)</f>
        <v>Cty CP Mai Lan</v>
      </c>
      <c r="C119" s="69">
        <f>SUMIFS(DMTK!$K$5:$K$263,DMTK!$B$5:$B$263,A119&amp;"*")</f>
        <v>0</v>
      </c>
      <c r="D119" s="69">
        <f>SUMIFS(DMTK!$L$5:$L$263,DMTK!$B$5:$B$263,'BTHCTTK (TH131) NGÀY'!A119&amp;"*")</f>
        <v>139000000</v>
      </c>
      <c r="E119" s="69">
        <f>SUMIFS(CT!$H$5:$H$143,CT!$A$5:$A$143,"&lt;"&amp;'BTHCTTK (TH131) NGÀY'!$D$3,CT!$D$5:$D$143,'BTHCTTK (TH131) NGÀY'!A119)</f>
        <v>0</v>
      </c>
      <c r="F119" s="69">
        <f>SUMIFS(CT!$H$5:$H$143,CT!$A$5:$A$143,"&lt;"&amp;'BTHCTTK (TH131) NGÀY'!$D$3,CT!$E$5:$E$143,'BTHCTTK (TH131) NGÀY'!A119)</f>
        <v>4755000</v>
      </c>
      <c r="G119" s="69">
        <f t="shared" si="5"/>
        <v>0</v>
      </c>
      <c r="H119" s="69">
        <f t="shared" si="6"/>
        <v>143755000</v>
      </c>
      <c r="I119" s="69">
        <f>SUMIFS(CT!$H$5:$H$143,CT!$A$5:$A$143,"&gt;="&amp;'BTHCTTK (TH131) NGÀY'!$D$3,CT!$A$5:$A$143,"&lt;="&amp;'BTHCTTK (TH131) NGÀY'!$G$3,CT!$D$5:$D$143,'BTHCTTK (TH131) NGÀY'!A119)</f>
        <v>40000000</v>
      </c>
      <c r="J119" s="69">
        <f>SUMIFS(CT!$H$5:$H$143,CT!$A$5:$A$143,"&gt;="&amp;$D$3,CT!$A$5:$A$143,"&lt;="&amp;$G$3,CT!$E$5:$E$143,'BTHCTTK (TH131) NGÀY'!A119)</f>
        <v>0</v>
      </c>
      <c r="K119" s="69">
        <f t="shared" si="7"/>
        <v>0</v>
      </c>
      <c r="L119" s="69">
        <f t="shared" si="8"/>
        <v>103755000</v>
      </c>
      <c r="M119" t="b">
        <f t="shared" si="9"/>
        <v>0</v>
      </c>
    </row>
    <row r="120" spans="1:13" hidden="1" x14ac:dyDescent="0.25">
      <c r="A120" s="93" t="str">
        <f>DMTK!B119</f>
        <v>3311.02</v>
      </c>
      <c r="B120" s="65" t="str">
        <f>VLOOKUP(A120,DMTK!$B$5:$L$263,3,0)</f>
        <v>Cty TNHH Cường Phát</v>
      </c>
      <c r="C120" s="69">
        <f>SUMIFS(DMTK!$K$5:$K$263,DMTK!$B$5:$B$263,A120&amp;"*")</f>
        <v>0</v>
      </c>
      <c r="D120" s="69">
        <f>SUMIFS(DMTK!$L$5:$L$263,DMTK!$B$5:$B$263,'BTHCTTK (TH131) NGÀY'!A120&amp;"*")</f>
        <v>73000000</v>
      </c>
      <c r="E120" s="69">
        <f>SUMIFS(CT!$H$5:$H$143,CT!$A$5:$A$143,"&lt;"&amp;'BTHCTTK (TH131) NGÀY'!$D$3,CT!$D$5:$D$143,'BTHCTTK (TH131) NGÀY'!A120)</f>
        <v>0</v>
      </c>
      <c r="F120" s="69">
        <f>SUMIFS(CT!$H$5:$H$143,CT!$A$5:$A$143,"&lt;"&amp;'BTHCTTK (TH131) NGÀY'!$D$3,CT!$E$5:$E$143,'BTHCTTK (TH131) NGÀY'!A120)</f>
        <v>23500000</v>
      </c>
      <c r="G120" s="69">
        <f t="shared" si="5"/>
        <v>0</v>
      </c>
      <c r="H120" s="69">
        <f t="shared" si="6"/>
        <v>96500000</v>
      </c>
      <c r="I120" s="69">
        <f>SUMIFS(CT!$H$5:$H$143,CT!$A$5:$A$143,"&gt;="&amp;'BTHCTTK (TH131) NGÀY'!$D$3,CT!$A$5:$A$143,"&lt;="&amp;'BTHCTTK (TH131) NGÀY'!$G$3,CT!$D$5:$D$143,'BTHCTTK (TH131) NGÀY'!A120)</f>
        <v>0</v>
      </c>
      <c r="J120" s="69">
        <f>SUMIFS(CT!$H$5:$H$143,CT!$A$5:$A$143,"&gt;="&amp;$D$3,CT!$A$5:$A$143,"&lt;="&amp;$G$3,CT!$E$5:$E$143,'BTHCTTK (TH131) NGÀY'!A120)</f>
        <v>0</v>
      </c>
      <c r="K120" s="69">
        <f t="shared" si="7"/>
        <v>0</v>
      </c>
      <c r="L120" s="69">
        <f t="shared" si="8"/>
        <v>96500000</v>
      </c>
      <c r="M120" t="b">
        <f t="shared" si="9"/>
        <v>0</v>
      </c>
    </row>
    <row r="121" spans="1:13" hidden="1" x14ac:dyDescent="0.25">
      <c r="A121" s="93" t="str">
        <f>DMTK!B120</f>
        <v>3311.03</v>
      </c>
      <c r="B121" s="65" t="str">
        <f>VLOOKUP(A121,DMTK!$B$5:$L$263,3,0)</f>
        <v>Cty TNHH Minh Gia Phát</v>
      </c>
      <c r="C121" s="69">
        <f>SUMIFS(DMTK!$K$5:$K$263,DMTK!$B$5:$B$263,A121&amp;"*")</f>
        <v>0</v>
      </c>
      <c r="D121" s="69">
        <f>SUMIFS(DMTK!$L$5:$L$263,DMTK!$B$5:$B$263,'BTHCTTK (TH131) NGÀY'!A121&amp;"*")</f>
        <v>0</v>
      </c>
      <c r="E121" s="69">
        <f>SUMIFS(CT!$H$5:$H$143,CT!$A$5:$A$143,"&lt;"&amp;'BTHCTTK (TH131) NGÀY'!$D$3,CT!$D$5:$D$143,'BTHCTTK (TH131) NGÀY'!A121)</f>
        <v>0</v>
      </c>
      <c r="F121" s="69">
        <f>SUMIFS(CT!$H$5:$H$143,CT!$A$5:$A$143,"&lt;"&amp;'BTHCTTK (TH131) NGÀY'!$D$3,CT!$E$5:$E$143,'BTHCTTK (TH131) NGÀY'!A121)</f>
        <v>5500000</v>
      </c>
      <c r="G121" s="69">
        <f t="shared" si="5"/>
        <v>0</v>
      </c>
      <c r="H121" s="69">
        <f t="shared" si="6"/>
        <v>5500000</v>
      </c>
      <c r="I121" s="69">
        <f>SUMIFS(CT!$H$5:$H$143,CT!$A$5:$A$143,"&gt;="&amp;'BTHCTTK (TH131) NGÀY'!$D$3,CT!$A$5:$A$143,"&lt;="&amp;'BTHCTTK (TH131) NGÀY'!$G$3,CT!$D$5:$D$143,'BTHCTTK (TH131) NGÀY'!A121)</f>
        <v>50000000</v>
      </c>
      <c r="J121" s="69">
        <f>SUMIFS(CT!$H$5:$H$143,CT!$A$5:$A$143,"&gt;="&amp;$D$3,CT!$A$5:$A$143,"&lt;="&amp;$G$3,CT!$E$5:$E$143,'BTHCTTK (TH131) NGÀY'!A121)</f>
        <v>0</v>
      </c>
      <c r="K121" s="69">
        <f t="shared" si="7"/>
        <v>44500000</v>
      </c>
      <c r="L121" s="69">
        <f t="shared" si="8"/>
        <v>0</v>
      </c>
      <c r="M121" t="b">
        <f t="shared" si="9"/>
        <v>0</v>
      </c>
    </row>
    <row r="122" spans="1:13" hidden="1" x14ac:dyDescent="0.25">
      <c r="A122" s="93" t="str">
        <f>DMTK!B121</f>
        <v>33311</v>
      </c>
      <c r="B122" s="65" t="str">
        <f>VLOOKUP(A122,DMTK!$B$5:$L$263,3,0)</f>
        <v>Thuế GTGT đầu ra</v>
      </c>
      <c r="C122" s="69">
        <f>SUMIFS(DMTK!$K$5:$K$263,DMTK!$B$5:$B$263,A122&amp;"*")</f>
        <v>0</v>
      </c>
      <c r="D122" s="69">
        <f>SUMIFS(DMTK!$L$5:$L$263,DMTK!$B$5:$B$263,'BTHCTTK (TH131) NGÀY'!A122&amp;"*")</f>
        <v>14200000</v>
      </c>
      <c r="E122" s="69">
        <f>SUMIFS(CT!$H$5:$H$143,CT!$A$5:$A$143,"&lt;"&amp;'BTHCTTK (TH131) NGÀY'!$D$3,CT!$D$5:$D$143,'BTHCTTK (TH131) NGÀY'!A122)</f>
        <v>0</v>
      </c>
      <c r="F122" s="69">
        <f>SUMIFS(CT!$H$5:$H$143,CT!$A$5:$A$143,"&lt;"&amp;'BTHCTTK (TH131) NGÀY'!$D$3,CT!$E$5:$E$143,'BTHCTTK (TH131) NGÀY'!A122)</f>
        <v>0</v>
      </c>
      <c r="G122" s="69">
        <f t="shared" si="5"/>
        <v>0</v>
      </c>
      <c r="H122" s="69">
        <f t="shared" si="6"/>
        <v>14200000</v>
      </c>
      <c r="I122" s="69">
        <f>SUMIFS(CT!$H$5:$H$143,CT!$A$5:$A$143,"&gt;="&amp;'BTHCTTK (TH131) NGÀY'!$D$3,CT!$A$5:$A$143,"&lt;="&amp;'BTHCTTK (TH131) NGÀY'!$G$3,CT!$D$5:$D$143,'BTHCTTK (TH131) NGÀY'!A122)</f>
        <v>0</v>
      </c>
      <c r="J122" s="69">
        <f>SUMIFS(CT!$H$5:$H$143,CT!$A$5:$A$143,"&gt;="&amp;$D$3,CT!$A$5:$A$143,"&lt;="&amp;$G$3,CT!$E$5:$E$143,'BTHCTTK (TH131) NGÀY'!A122)</f>
        <v>3157500</v>
      </c>
      <c r="K122" s="69">
        <f t="shared" si="7"/>
        <v>0</v>
      </c>
      <c r="L122" s="69">
        <f t="shared" si="8"/>
        <v>17357500</v>
      </c>
      <c r="M122" t="b">
        <f t="shared" si="9"/>
        <v>0</v>
      </c>
    </row>
    <row r="123" spans="1:13" hidden="1" x14ac:dyDescent="0.25">
      <c r="A123" s="93" t="str">
        <f>DMTK!B122</f>
        <v>33312</v>
      </c>
      <c r="B123" s="65" t="str">
        <f>VLOOKUP(A123,DMTK!$B$5:$L$263,3,0)</f>
        <v>Thuế GTGT hàng nhập khẩu</v>
      </c>
      <c r="C123" s="69">
        <f>SUMIFS(DMTK!$K$5:$K$263,DMTK!$B$5:$B$263,A123&amp;"*")</f>
        <v>0</v>
      </c>
      <c r="D123" s="69">
        <f>SUMIFS(DMTK!$L$5:$L$263,DMTK!$B$5:$B$263,'BTHCTTK (TH131) NGÀY'!A123&amp;"*")</f>
        <v>8000000</v>
      </c>
      <c r="E123" s="69">
        <f>SUMIFS(CT!$H$5:$H$143,CT!$A$5:$A$143,"&lt;"&amp;'BTHCTTK (TH131) NGÀY'!$D$3,CT!$D$5:$D$143,'BTHCTTK (TH131) NGÀY'!A123)</f>
        <v>0</v>
      </c>
      <c r="F123" s="69">
        <f>SUMIFS(CT!$H$5:$H$143,CT!$A$5:$A$143,"&lt;"&amp;'BTHCTTK (TH131) NGÀY'!$D$3,CT!$E$5:$E$143,'BTHCTTK (TH131) NGÀY'!A123)</f>
        <v>0</v>
      </c>
      <c r="G123" s="69">
        <f t="shared" si="5"/>
        <v>0</v>
      </c>
      <c r="H123" s="69">
        <f t="shared" si="6"/>
        <v>8000000</v>
      </c>
      <c r="I123" s="69">
        <f>SUMIFS(CT!$H$5:$H$143,CT!$A$5:$A$143,"&gt;="&amp;'BTHCTTK (TH131) NGÀY'!$D$3,CT!$A$5:$A$143,"&lt;="&amp;'BTHCTTK (TH131) NGÀY'!$G$3,CT!$D$5:$D$143,'BTHCTTK (TH131) NGÀY'!A123)</f>
        <v>0</v>
      </c>
      <c r="J123" s="69">
        <f>SUMIFS(CT!$H$5:$H$143,CT!$A$5:$A$143,"&gt;="&amp;$D$3,CT!$A$5:$A$143,"&lt;="&amp;$G$3,CT!$E$5:$E$143,'BTHCTTK (TH131) NGÀY'!A123)</f>
        <v>0</v>
      </c>
      <c r="K123" s="69">
        <f t="shared" si="7"/>
        <v>0</v>
      </c>
      <c r="L123" s="69">
        <f t="shared" si="8"/>
        <v>8000000</v>
      </c>
      <c r="M123" t="b">
        <f t="shared" si="9"/>
        <v>0</v>
      </c>
    </row>
    <row r="124" spans="1:13" hidden="1" x14ac:dyDescent="0.25">
      <c r="A124" s="93" t="str">
        <f>DMTK!B123</f>
        <v>3332</v>
      </c>
      <c r="B124" s="65" t="str">
        <f>VLOOKUP(A124,DMTK!$B$5:$L$263,3,0)</f>
        <v>Thuế tiêu thụ đặc biệt</v>
      </c>
      <c r="C124" s="69">
        <f>SUMIFS(DMTK!$K$5:$K$263,DMTK!$B$5:$B$263,A124&amp;"*")</f>
        <v>0</v>
      </c>
      <c r="D124" s="69">
        <f>SUMIFS(DMTK!$L$5:$L$263,DMTK!$B$5:$B$263,'BTHCTTK (TH131) NGÀY'!A124&amp;"*")</f>
        <v>0</v>
      </c>
      <c r="E124" s="69">
        <f>SUMIFS(CT!$H$5:$H$143,CT!$A$5:$A$143,"&lt;"&amp;'BTHCTTK (TH131) NGÀY'!$D$3,CT!$D$5:$D$143,'BTHCTTK (TH131) NGÀY'!A124)</f>
        <v>0</v>
      </c>
      <c r="F124" s="69">
        <f>SUMIFS(CT!$H$5:$H$143,CT!$A$5:$A$143,"&lt;"&amp;'BTHCTTK (TH131) NGÀY'!$D$3,CT!$E$5:$E$143,'BTHCTTK (TH131) NGÀY'!A124)</f>
        <v>0</v>
      </c>
      <c r="G124" s="69">
        <f t="shared" si="5"/>
        <v>0</v>
      </c>
      <c r="H124" s="69">
        <f t="shared" si="6"/>
        <v>0</v>
      </c>
      <c r="I124" s="69">
        <f>SUMIFS(CT!$H$5:$H$143,CT!$A$5:$A$143,"&gt;="&amp;'BTHCTTK (TH131) NGÀY'!$D$3,CT!$A$5:$A$143,"&lt;="&amp;'BTHCTTK (TH131) NGÀY'!$G$3,CT!$D$5:$D$143,'BTHCTTK (TH131) NGÀY'!A124)</f>
        <v>0</v>
      </c>
      <c r="J124" s="69">
        <f>SUMIFS(CT!$H$5:$H$143,CT!$A$5:$A$143,"&gt;="&amp;$D$3,CT!$A$5:$A$143,"&lt;="&amp;$G$3,CT!$E$5:$E$143,'BTHCTTK (TH131) NGÀY'!A124)</f>
        <v>0</v>
      </c>
      <c r="K124" s="69">
        <f t="shared" si="7"/>
        <v>0</v>
      </c>
      <c r="L124" s="69">
        <f t="shared" si="8"/>
        <v>0</v>
      </c>
      <c r="M124" t="b">
        <f t="shared" si="9"/>
        <v>0</v>
      </c>
    </row>
    <row r="125" spans="1:13" hidden="1" x14ac:dyDescent="0.25">
      <c r="A125" s="93" t="str">
        <f>DMTK!B124</f>
        <v>3333</v>
      </c>
      <c r="B125" s="65" t="str">
        <f>VLOOKUP(A125,DMTK!$B$5:$L$263,3,0)</f>
        <v>Thuế xuất, nhập khẩu</v>
      </c>
      <c r="C125" s="69">
        <f>SUMIFS(DMTK!$K$5:$K$263,DMTK!$B$5:$B$263,A125&amp;"*")</f>
        <v>0</v>
      </c>
      <c r="D125" s="69">
        <f>SUMIFS(DMTK!$L$5:$L$263,DMTK!$B$5:$B$263,'BTHCTTK (TH131) NGÀY'!A125&amp;"*")</f>
        <v>0</v>
      </c>
      <c r="E125" s="69">
        <f>SUMIFS(CT!$H$5:$H$143,CT!$A$5:$A$143,"&lt;"&amp;'BTHCTTK (TH131) NGÀY'!$D$3,CT!$D$5:$D$143,'BTHCTTK (TH131) NGÀY'!A125)</f>
        <v>0</v>
      </c>
      <c r="F125" s="69">
        <f>SUMIFS(CT!$H$5:$H$143,CT!$A$5:$A$143,"&lt;"&amp;'BTHCTTK (TH131) NGÀY'!$D$3,CT!$E$5:$E$143,'BTHCTTK (TH131) NGÀY'!A125)</f>
        <v>0</v>
      </c>
      <c r="G125" s="69">
        <f t="shared" si="5"/>
        <v>0</v>
      </c>
      <c r="H125" s="69">
        <f t="shared" si="6"/>
        <v>0</v>
      </c>
      <c r="I125" s="69">
        <f>SUMIFS(CT!$H$5:$H$143,CT!$A$5:$A$143,"&gt;="&amp;'BTHCTTK (TH131) NGÀY'!$D$3,CT!$A$5:$A$143,"&lt;="&amp;'BTHCTTK (TH131) NGÀY'!$G$3,CT!$D$5:$D$143,'BTHCTTK (TH131) NGÀY'!A125)</f>
        <v>0</v>
      </c>
      <c r="J125" s="69">
        <f>SUMIFS(CT!$H$5:$H$143,CT!$A$5:$A$143,"&gt;="&amp;$D$3,CT!$A$5:$A$143,"&lt;="&amp;$G$3,CT!$E$5:$E$143,'BTHCTTK (TH131) NGÀY'!A125)</f>
        <v>0</v>
      </c>
      <c r="K125" s="69">
        <f t="shared" si="7"/>
        <v>0</v>
      </c>
      <c r="L125" s="69">
        <f t="shared" si="8"/>
        <v>0</v>
      </c>
      <c r="M125" t="b">
        <f t="shared" si="9"/>
        <v>0</v>
      </c>
    </row>
    <row r="126" spans="1:13" hidden="1" x14ac:dyDescent="0.25">
      <c r="A126" s="93" t="str">
        <f>DMTK!B125</f>
        <v>3334</v>
      </c>
      <c r="B126" s="65" t="str">
        <f>VLOOKUP(A126,DMTK!$B$5:$L$263,3,0)</f>
        <v>Thuế thu nhập doanh nghiệp</v>
      </c>
      <c r="C126" s="69">
        <f>SUMIFS(DMTK!$K$5:$K$263,DMTK!$B$5:$B$263,A126&amp;"*")</f>
        <v>0</v>
      </c>
      <c r="D126" s="69">
        <f>SUMIFS(DMTK!$L$5:$L$263,DMTK!$B$5:$B$263,'BTHCTTK (TH131) NGÀY'!A126&amp;"*")</f>
        <v>12000000</v>
      </c>
      <c r="E126" s="69">
        <f>SUMIFS(CT!$H$5:$H$143,CT!$A$5:$A$143,"&lt;"&amp;'BTHCTTK (TH131) NGÀY'!$D$3,CT!$D$5:$D$143,'BTHCTTK (TH131) NGÀY'!A126)</f>
        <v>0</v>
      </c>
      <c r="F126" s="69">
        <f>SUMIFS(CT!$H$5:$H$143,CT!$A$5:$A$143,"&lt;"&amp;'BTHCTTK (TH131) NGÀY'!$D$3,CT!$E$5:$E$143,'BTHCTTK (TH131) NGÀY'!A126)</f>
        <v>0</v>
      </c>
      <c r="G126" s="69">
        <f t="shared" si="5"/>
        <v>0</v>
      </c>
      <c r="H126" s="69">
        <f t="shared" si="6"/>
        <v>12000000</v>
      </c>
      <c r="I126" s="69">
        <f>SUMIFS(CT!$H$5:$H$143,CT!$A$5:$A$143,"&gt;="&amp;'BTHCTTK (TH131) NGÀY'!$D$3,CT!$A$5:$A$143,"&lt;="&amp;'BTHCTTK (TH131) NGÀY'!$G$3,CT!$D$5:$D$143,'BTHCTTK (TH131) NGÀY'!A126)</f>
        <v>0</v>
      </c>
      <c r="J126" s="69">
        <f>SUMIFS(CT!$H$5:$H$143,CT!$A$5:$A$143,"&gt;="&amp;$D$3,CT!$A$5:$A$143,"&lt;="&amp;$G$3,CT!$E$5:$E$143,'BTHCTTK (TH131) NGÀY'!A126)</f>
        <v>0</v>
      </c>
      <c r="K126" s="69">
        <f t="shared" si="7"/>
        <v>0</v>
      </c>
      <c r="L126" s="69">
        <f t="shared" si="8"/>
        <v>12000000</v>
      </c>
      <c r="M126" t="b">
        <f t="shared" si="9"/>
        <v>0</v>
      </c>
    </row>
    <row r="127" spans="1:13" hidden="1" x14ac:dyDescent="0.25">
      <c r="A127" s="93" t="str">
        <f>DMTK!B126</f>
        <v>3335</v>
      </c>
      <c r="B127" s="65" t="str">
        <f>VLOOKUP(A127,DMTK!$B$5:$L$263,3,0)</f>
        <v>Thuế thu nhập cá nhân</v>
      </c>
      <c r="C127" s="69">
        <f>SUMIFS(DMTK!$K$5:$K$263,DMTK!$B$5:$B$263,A127&amp;"*")</f>
        <v>0</v>
      </c>
      <c r="D127" s="69">
        <f>SUMIFS(DMTK!$L$5:$L$263,DMTK!$B$5:$B$263,'BTHCTTK (TH131) NGÀY'!A127&amp;"*")</f>
        <v>0</v>
      </c>
      <c r="E127" s="69">
        <f>SUMIFS(CT!$H$5:$H$143,CT!$A$5:$A$143,"&lt;"&amp;'BTHCTTK (TH131) NGÀY'!$D$3,CT!$D$5:$D$143,'BTHCTTK (TH131) NGÀY'!A127)</f>
        <v>0</v>
      </c>
      <c r="F127" s="69">
        <f>SUMIFS(CT!$H$5:$H$143,CT!$A$5:$A$143,"&lt;"&amp;'BTHCTTK (TH131) NGÀY'!$D$3,CT!$E$5:$E$143,'BTHCTTK (TH131) NGÀY'!A127)</f>
        <v>0</v>
      </c>
      <c r="G127" s="69">
        <f t="shared" si="5"/>
        <v>0</v>
      </c>
      <c r="H127" s="69">
        <f t="shared" si="6"/>
        <v>0</v>
      </c>
      <c r="I127" s="69">
        <f>SUMIFS(CT!$H$5:$H$143,CT!$A$5:$A$143,"&gt;="&amp;'BTHCTTK (TH131) NGÀY'!$D$3,CT!$A$5:$A$143,"&lt;="&amp;'BTHCTTK (TH131) NGÀY'!$G$3,CT!$D$5:$D$143,'BTHCTTK (TH131) NGÀY'!A127)</f>
        <v>0</v>
      </c>
      <c r="J127" s="69">
        <f>SUMIFS(CT!$H$5:$H$143,CT!$A$5:$A$143,"&gt;="&amp;$D$3,CT!$A$5:$A$143,"&lt;="&amp;$G$3,CT!$E$5:$E$143,'BTHCTTK (TH131) NGÀY'!A127)</f>
        <v>0</v>
      </c>
      <c r="K127" s="69">
        <f t="shared" si="7"/>
        <v>0</v>
      </c>
      <c r="L127" s="69">
        <f t="shared" si="8"/>
        <v>0</v>
      </c>
      <c r="M127" t="b">
        <f t="shared" si="9"/>
        <v>0</v>
      </c>
    </row>
    <row r="128" spans="1:13" hidden="1" x14ac:dyDescent="0.25">
      <c r="A128" s="93" t="str">
        <f>DMTK!B127</f>
        <v>3336</v>
      </c>
      <c r="B128" s="65" t="str">
        <f>VLOOKUP(A128,DMTK!$B$5:$L$263,3,0)</f>
        <v>Thuế tài nguyên</v>
      </c>
      <c r="C128" s="69">
        <f>SUMIFS(DMTK!$K$5:$K$263,DMTK!$B$5:$B$263,A128&amp;"*")</f>
        <v>0</v>
      </c>
      <c r="D128" s="69">
        <f>SUMIFS(DMTK!$L$5:$L$263,DMTK!$B$5:$B$263,'BTHCTTK (TH131) NGÀY'!A128&amp;"*")</f>
        <v>0</v>
      </c>
      <c r="E128" s="69">
        <f>SUMIFS(CT!$H$5:$H$143,CT!$A$5:$A$143,"&lt;"&amp;'BTHCTTK (TH131) NGÀY'!$D$3,CT!$D$5:$D$143,'BTHCTTK (TH131) NGÀY'!A128)</f>
        <v>0</v>
      </c>
      <c r="F128" s="69">
        <f>SUMIFS(CT!$H$5:$H$143,CT!$A$5:$A$143,"&lt;"&amp;'BTHCTTK (TH131) NGÀY'!$D$3,CT!$E$5:$E$143,'BTHCTTK (TH131) NGÀY'!A128)</f>
        <v>0</v>
      </c>
      <c r="G128" s="69">
        <f t="shared" si="5"/>
        <v>0</v>
      </c>
      <c r="H128" s="69">
        <f t="shared" si="6"/>
        <v>0</v>
      </c>
      <c r="I128" s="69">
        <f>SUMIFS(CT!$H$5:$H$143,CT!$A$5:$A$143,"&gt;="&amp;'BTHCTTK (TH131) NGÀY'!$D$3,CT!$A$5:$A$143,"&lt;="&amp;'BTHCTTK (TH131) NGÀY'!$G$3,CT!$D$5:$D$143,'BTHCTTK (TH131) NGÀY'!A128)</f>
        <v>0</v>
      </c>
      <c r="J128" s="69">
        <f>SUMIFS(CT!$H$5:$H$143,CT!$A$5:$A$143,"&gt;="&amp;$D$3,CT!$A$5:$A$143,"&lt;="&amp;$G$3,CT!$E$5:$E$143,'BTHCTTK (TH131) NGÀY'!A128)</f>
        <v>0</v>
      </c>
      <c r="K128" s="69">
        <f t="shared" si="7"/>
        <v>0</v>
      </c>
      <c r="L128" s="69">
        <f t="shared" si="8"/>
        <v>0</v>
      </c>
      <c r="M128" t="b">
        <f t="shared" si="9"/>
        <v>0</v>
      </c>
    </row>
    <row r="129" spans="1:13" hidden="1" x14ac:dyDescent="0.25">
      <c r="A129" s="93" t="str">
        <f>DMTK!B128</f>
        <v>3337</v>
      </c>
      <c r="B129" s="65" t="str">
        <f>VLOOKUP(A129,DMTK!$B$5:$L$263,3,0)</f>
        <v>Thuế nhà đất, tiền thuê đất</v>
      </c>
      <c r="C129" s="69">
        <f>SUMIFS(DMTK!$K$5:$K$263,DMTK!$B$5:$B$263,A129&amp;"*")</f>
        <v>0</v>
      </c>
      <c r="D129" s="69">
        <f>SUMIFS(DMTK!$L$5:$L$263,DMTK!$B$5:$B$263,'BTHCTTK (TH131) NGÀY'!A129&amp;"*")</f>
        <v>0</v>
      </c>
      <c r="E129" s="69">
        <f>SUMIFS(CT!$H$5:$H$143,CT!$A$5:$A$143,"&lt;"&amp;'BTHCTTK (TH131) NGÀY'!$D$3,CT!$D$5:$D$143,'BTHCTTK (TH131) NGÀY'!A129)</f>
        <v>0</v>
      </c>
      <c r="F129" s="69">
        <f>SUMIFS(CT!$H$5:$H$143,CT!$A$5:$A$143,"&lt;"&amp;'BTHCTTK (TH131) NGÀY'!$D$3,CT!$E$5:$E$143,'BTHCTTK (TH131) NGÀY'!A129)</f>
        <v>0</v>
      </c>
      <c r="G129" s="69">
        <f t="shared" si="5"/>
        <v>0</v>
      </c>
      <c r="H129" s="69">
        <f t="shared" si="6"/>
        <v>0</v>
      </c>
      <c r="I129" s="69">
        <f>SUMIFS(CT!$H$5:$H$143,CT!$A$5:$A$143,"&gt;="&amp;'BTHCTTK (TH131) NGÀY'!$D$3,CT!$A$5:$A$143,"&lt;="&amp;'BTHCTTK (TH131) NGÀY'!$G$3,CT!$D$5:$D$143,'BTHCTTK (TH131) NGÀY'!A129)</f>
        <v>0</v>
      </c>
      <c r="J129" s="69">
        <f>SUMIFS(CT!$H$5:$H$143,CT!$A$5:$A$143,"&gt;="&amp;$D$3,CT!$A$5:$A$143,"&lt;="&amp;$G$3,CT!$E$5:$E$143,'BTHCTTK (TH131) NGÀY'!A129)</f>
        <v>0</v>
      </c>
      <c r="K129" s="69">
        <f t="shared" si="7"/>
        <v>0</v>
      </c>
      <c r="L129" s="69">
        <f t="shared" si="8"/>
        <v>0</v>
      </c>
      <c r="M129" t="b">
        <f t="shared" si="9"/>
        <v>0</v>
      </c>
    </row>
    <row r="130" spans="1:13" hidden="1" x14ac:dyDescent="0.25">
      <c r="A130" s="93" t="str">
        <f>DMTK!B129</f>
        <v>3338</v>
      </c>
      <c r="B130" s="65" t="str">
        <f>VLOOKUP(A130,DMTK!$B$5:$L$263,3,0)</f>
        <v>Thuế bảo vệ môi trường và các loại thuế khác</v>
      </c>
      <c r="C130" s="69">
        <f>SUMIFS(DMTK!$K$5:$K$263,DMTK!$B$5:$B$263,A130&amp;"*")</f>
        <v>0</v>
      </c>
      <c r="D130" s="69">
        <f>SUMIFS(DMTK!$L$5:$L$263,DMTK!$B$5:$B$263,'BTHCTTK (TH131) NGÀY'!A130&amp;"*")</f>
        <v>0</v>
      </c>
      <c r="E130" s="69">
        <f>SUMIFS(CT!$H$5:$H$143,CT!$A$5:$A$143,"&lt;"&amp;'BTHCTTK (TH131) NGÀY'!$D$3,CT!$D$5:$D$143,'BTHCTTK (TH131) NGÀY'!A130)</f>
        <v>0</v>
      </c>
      <c r="F130" s="69">
        <f>SUMIFS(CT!$H$5:$H$143,CT!$A$5:$A$143,"&lt;"&amp;'BTHCTTK (TH131) NGÀY'!$D$3,CT!$E$5:$E$143,'BTHCTTK (TH131) NGÀY'!A130)</f>
        <v>0</v>
      </c>
      <c r="G130" s="69">
        <f t="shared" si="5"/>
        <v>0</v>
      </c>
      <c r="H130" s="69">
        <f t="shared" si="6"/>
        <v>0</v>
      </c>
      <c r="I130" s="69">
        <f>SUMIFS(CT!$H$5:$H$143,CT!$A$5:$A$143,"&gt;="&amp;'BTHCTTK (TH131) NGÀY'!$D$3,CT!$A$5:$A$143,"&lt;="&amp;'BTHCTTK (TH131) NGÀY'!$G$3,CT!$D$5:$D$143,'BTHCTTK (TH131) NGÀY'!A130)</f>
        <v>0</v>
      </c>
      <c r="J130" s="69">
        <f>SUMIFS(CT!$H$5:$H$143,CT!$A$5:$A$143,"&gt;="&amp;$D$3,CT!$A$5:$A$143,"&lt;="&amp;$G$3,CT!$E$5:$E$143,'BTHCTTK (TH131) NGÀY'!A130)</f>
        <v>0</v>
      </c>
      <c r="K130" s="69">
        <f t="shared" si="7"/>
        <v>0</v>
      </c>
      <c r="L130" s="69">
        <f t="shared" si="8"/>
        <v>0</v>
      </c>
      <c r="M130" t="b">
        <f t="shared" si="9"/>
        <v>0</v>
      </c>
    </row>
    <row r="131" spans="1:13" hidden="1" x14ac:dyDescent="0.25">
      <c r="A131" s="93" t="str">
        <f>DMTK!B130</f>
        <v>3339</v>
      </c>
      <c r="B131" s="65" t="str">
        <f>VLOOKUP(A131,DMTK!$B$5:$L$263,3,0)</f>
        <v>Phí, lệ phí và các khoản phải nộp khác</v>
      </c>
      <c r="C131" s="69">
        <f>SUMIFS(DMTK!$K$5:$K$263,DMTK!$B$5:$B$263,A131&amp;"*")</f>
        <v>0</v>
      </c>
      <c r="D131" s="69">
        <f>SUMIFS(DMTK!$L$5:$L$263,DMTK!$B$5:$B$263,'BTHCTTK (TH131) NGÀY'!A131&amp;"*")</f>
        <v>0</v>
      </c>
      <c r="E131" s="69">
        <f>SUMIFS(CT!$H$5:$H$143,CT!$A$5:$A$143,"&lt;"&amp;'BTHCTTK (TH131) NGÀY'!$D$3,CT!$D$5:$D$143,'BTHCTTK (TH131) NGÀY'!A131)</f>
        <v>0</v>
      </c>
      <c r="F131" s="69">
        <f>SUMIFS(CT!$H$5:$H$143,CT!$A$5:$A$143,"&lt;"&amp;'BTHCTTK (TH131) NGÀY'!$D$3,CT!$E$5:$E$143,'BTHCTTK (TH131) NGÀY'!A131)</f>
        <v>0</v>
      </c>
      <c r="G131" s="69">
        <f t="shared" si="5"/>
        <v>0</v>
      </c>
      <c r="H131" s="69">
        <f t="shared" si="6"/>
        <v>0</v>
      </c>
      <c r="I131" s="69">
        <f>SUMIFS(CT!$H$5:$H$143,CT!$A$5:$A$143,"&gt;="&amp;'BTHCTTK (TH131) NGÀY'!$D$3,CT!$A$5:$A$143,"&lt;="&amp;'BTHCTTK (TH131) NGÀY'!$G$3,CT!$D$5:$D$143,'BTHCTTK (TH131) NGÀY'!A131)</f>
        <v>0</v>
      </c>
      <c r="J131" s="69">
        <f>SUMIFS(CT!$H$5:$H$143,CT!$A$5:$A$143,"&gt;="&amp;$D$3,CT!$A$5:$A$143,"&lt;="&amp;$G$3,CT!$E$5:$E$143,'BTHCTTK (TH131) NGÀY'!A131)</f>
        <v>0</v>
      </c>
      <c r="K131" s="69">
        <f t="shared" si="7"/>
        <v>0</v>
      </c>
      <c r="L131" s="69">
        <f t="shared" si="8"/>
        <v>0</v>
      </c>
      <c r="M131" t="b">
        <f t="shared" si="9"/>
        <v>0</v>
      </c>
    </row>
    <row r="132" spans="1:13" hidden="1" x14ac:dyDescent="0.25">
      <c r="A132" s="93" t="str">
        <f>DMTK!B131</f>
        <v>3341.01</v>
      </c>
      <c r="B132" s="65" t="str">
        <f>VLOOKUP(A132,DMTK!$B$5:$L$263,3,0)</f>
        <v>Lương CNSX Ghế tay vịn</v>
      </c>
      <c r="C132" s="69">
        <f>SUMIFS(DMTK!$K$5:$K$263,DMTK!$B$5:$B$263,A132&amp;"*")</f>
        <v>0</v>
      </c>
      <c r="D132" s="69">
        <f>SUMIFS(DMTK!$L$5:$L$263,DMTK!$B$5:$B$263,'BTHCTTK (TH131) NGÀY'!A132&amp;"*")</f>
        <v>12000000</v>
      </c>
      <c r="E132" s="69">
        <f>SUMIFS(CT!$H$5:$H$143,CT!$A$5:$A$143,"&lt;"&amp;'BTHCTTK (TH131) NGÀY'!$D$3,CT!$D$5:$D$143,'BTHCTTK (TH131) NGÀY'!A132)</f>
        <v>0</v>
      </c>
      <c r="F132" s="69">
        <f>SUMIFS(CT!$H$5:$H$143,CT!$A$5:$A$143,"&lt;"&amp;'BTHCTTK (TH131) NGÀY'!$D$3,CT!$E$5:$E$143,'BTHCTTK (TH131) NGÀY'!A132)</f>
        <v>0</v>
      </c>
      <c r="G132" s="69">
        <f t="shared" si="5"/>
        <v>0</v>
      </c>
      <c r="H132" s="69">
        <f t="shared" si="6"/>
        <v>12000000</v>
      </c>
      <c r="I132" s="69">
        <f>SUMIFS(CT!$H$5:$H$143,CT!$A$5:$A$143,"&gt;="&amp;'BTHCTTK (TH131) NGÀY'!$D$3,CT!$A$5:$A$143,"&lt;="&amp;'BTHCTTK (TH131) NGÀY'!$G$3,CT!$D$5:$D$143,'BTHCTTK (TH131) NGÀY'!A132)</f>
        <v>40000000</v>
      </c>
      <c r="J132" s="69">
        <f>SUMIFS(CT!$H$5:$H$143,CT!$A$5:$A$143,"&gt;="&amp;$D$3,CT!$A$5:$A$143,"&lt;="&amp;$G$3,CT!$E$5:$E$143,'BTHCTTK (TH131) NGÀY'!A132)</f>
        <v>40000000</v>
      </c>
      <c r="K132" s="69">
        <f t="shared" si="7"/>
        <v>0</v>
      </c>
      <c r="L132" s="69">
        <f t="shared" si="8"/>
        <v>12000000</v>
      </c>
      <c r="M132" t="b">
        <f t="shared" si="9"/>
        <v>0</v>
      </c>
    </row>
    <row r="133" spans="1:13" hidden="1" x14ac:dyDescent="0.25">
      <c r="A133" s="93" t="str">
        <f>DMTK!B132</f>
        <v>3341.02</v>
      </c>
      <c r="B133" s="65" t="str">
        <f>VLOOKUP(A133,DMTK!$B$5:$L$263,3,0)</f>
        <v>Lương CNSX Ghế không tay</v>
      </c>
      <c r="C133" s="69">
        <f>SUMIFS(DMTK!$K$5:$K$263,DMTK!$B$5:$B$263,A133&amp;"*")</f>
        <v>0</v>
      </c>
      <c r="D133" s="69">
        <f>SUMIFS(DMTK!$L$5:$L$263,DMTK!$B$5:$B$263,'BTHCTTK (TH131) NGÀY'!A133&amp;"*")</f>
        <v>8000000</v>
      </c>
      <c r="E133" s="69">
        <f>SUMIFS(CT!$H$5:$H$143,CT!$A$5:$A$143,"&lt;"&amp;'BTHCTTK (TH131) NGÀY'!$D$3,CT!$D$5:$D$143,'BTHCTTK (TH131) NGÀY'!A133)</f>
        <v>0</v>
      </c>
      <c r="F133" s="69">
        <f>SUMIFS(CT!$H$5:$H$143,CT!$A$5:$A$143,"&lt;"&amp;'BTHCTTK (TH131) NGÀY'!$D$3,CT!$E$5:$E$143,'BTHCTTK (TH131) NGÀY'!A133)</f>
        <v>0</v>
      </c>
      <c r="G133" s="69">
        <f t="shared" si="5"/>
        <v>0</v>
      </c>
      <c r="H133" s="69">
        <f t="shared" si="6"/>
        <v>8000000</v>
      </c>
      <c r="I133" s="69">
        <f>SUMIFS(CT!$H$5:$H$143,CT!$A$5:$A$143,"&gt;="&amp;'BTHCTTK (TH131) NGÀY'!$D$3,CT!$A$5:$A$143,"&lt;="&amp;'BTHCTTK (TH131) NGÀY'!$G$3,CT!$D$5:$D$143,'BTHCTTK (TH131) NGÀY'!A133)</f>
        <v>40000000</v>
      </c>
      <c r="J133" s="69">
        <f>SUMIFS(CT!$H$5:$H$143,CT!$A$5:$A$143,"&gt;="&amp;$D$3,CT!$A$5:$A$143,"&lt;="&amp;$G$3,CT!$E$5:$E$143,'BTHCTTK (TH131) NGÀY'!A133)</f>
        <v>40000000</v>
      </c>
      <c r="K133" s="69">
        <f t="shared" si="7"/>
        <v>0</v>
      </c>
      <c r="L133" s="69">
        <f t="shared" si="8"/>
        <v>8000000</v>
      </c>
      <c r="M133" t="b">
        <f t="shared" si="9"/>
        <v>0</v>
      </c>
    </row>
    <row r="134" spans="1:13" hidden="1" x14ac:dyDescent="0.25">
      <c r="A134" s="93" t="str">
        <f>DMTK!B133</f>
        <v>3341.03</v>
      </c>
      <c r="B134" s="65" t="str">
        <f>VLOOKUP(A134,DMTK!$B$5:$L$263,3,0)</f>
        <v>Lương CNSX Bàn tròn</v>
      </c>
      <c r="C134" s="69">
        <f>SUMIFS(DMTK!$K$5:$K$263,DMTK!$B$5:$B$263,A134&amp;"*")</f>
        <v>0</v>
      </c>
      <c r="D134" s="69">
        <f>SUMIFS(DMTK!$L$5:$L$263,DMTK!$B$5:$B$263,'BTHCTTK (TH131) NGÀY'!A134&amp;"*")</f>
        <v>10000000</v>
      </c>
      <c r="E134" s="69">
        <f>SUMIFS(CT!$H$5:$H$143,CT!$A$5:$A$143,"&lt;"&amp;'BTHCTTK (TH131) NGÀY'!$D$3,CT!$D$5:$D$143,'BTHCTTK (TH131) NGÀY'!A134)</f>
        <v>0</v>
      </c>
      <c r="F134" s="69">
        <f>SUMIFS(CT!$H$5:$H$143,CT!$A$5:$A$143,"&lt;"&amp;'BTHCTTK (TH131) NGÀY'!$D$3,CT!$E$5:$E$143,'BTHCTTK (TH131) NGÀY'!A134)</f>
        <v>0</v>
      </c>
      <c r="G134" s="69">
        <f t="shared" si="5"/>
        <v>0</v>
      </c>
      <c r="H134" s="69">
        <f t="shared" si="6"/>
        <v>10000000</v>
      </c>
      <c r="I134" s="69">
        <f>SUMIFS(CT!$H$5:$H$143,CT!$A$5:$A$143,"&gt;="&amp;'BTHCTTK (TH131) NGÀY'!$D$3,CT!$A$5:$A$143,"&lt;="&amp;'BTHCTTK (TH131) NGÀY'!$G$3,CT!$D$5:$D$143,'BTHCTTK (TH131) NGÀY'!A134)</f>
        <v>40000000</v>
      </c>
      <c r="J134" s="69">
        <f>SUMIFS(CT!$H$5:$H$143,CT!$A$5:$A$143,"&gt;="&amp;$D$3,CT!$A$5:$A$143,"&lt;="&amp;$G$3,CT!$E$5:$E$143,'BTHCTTK (TH131) NGÀY'!A134)</f>
        <v>40000000</v>
      </c>
      <c r="K134" s="69">
        <f t="shared" si="7"/>
        <v>0</v>
      </c>
      <c r="L134" s="69">
        <f t="shared" si="8"/>
        <v>10000000</v>
      </c>
      <c r="M134" t="b">
        <f t="shared" si="9"/>
        <v>0</v>
      </c>
    </row>
    <row r="135" spans="1:13" hidden="1" x14ac:dyDescent="0.25">
      <c r="A135" s="93" t="str">
        <f>DMTK!B134</f>
        <v>3341.04</v>
      </c>
      <c r="B135" s="65" t="str">
        <f>VLOOKUP(A135,DMTK!$B$5:$L$263,3,0)</f>
        <v>Lương CNSX Bàn oval</v>
      </c>
      <c r="C135" s="69">
        <f>SUMIFS(DMTK!$K$5:$K$263,DMTK!$B$5:$B$263,A135&amp;"*")</f>
        <v>0</v>
      </c>
      <c r="D135" s="69">
        <f>SUMIFS(DMTK!$L$5:$L$263,DMTK!$B$5:$B$263,'BTHCTTK (TH131) NGÀY'!A135&amp;"*")</f>
        <v>12000000</v>
      </c>
      <c r="E135" s="69">
        <f>SUMIFS(CT!$H$5:$H$143,CT!$A$5:$A$143,"&lt;"&amp;'BTHCTTK (TH131) NGÀY'!$D$3,CT!$D$5:$D$143,'BTHCTTK (TH131) NGÀY'!A135)</f>
        <v>0</v>
      </c>
      <c r="F135" s="69">
        <f>SUMIFS(CT!$H$5:$H$143,CT!$A$5:$A$143,"&lt;"&amp;'BTHCTTK (TH131) NGÀY'!$D$3,CT!$E$5:$E$143,'BTHCTTK (TH131) NGÀY'!A135)</f>
        <v>0</v>
      </c>
      <c r="G135" s="69">
        <f t="shared" ref="G135:G198" si="10">MAX(C135+E135-D135-F135,0)</f>
        <v>0</v>
      </c>
      <c r="H135" s="69">
        <f t="shared" ref="H135:H198" si="11">MAX(D135+F135-C135-E135,0)</f>
        <v>12000000</v>
      </c>
      <c r="I135" s="69">
        <f>SUMIFS(CT!$H$5:$H$143,CT!$A$5:$A$143,"&gt;="&amp;'BTHCTTK (TH131) NGÀY'!$D$3,CT!$A$5:$A$143,"&lt;="&amp;'BTHCTTK (TH131) NGÀY'!$G$3,CT!$D$5:$D$143,'BTHCTTK (TH131) NGÀY'!A135)</f>
        <v>40000000</v>
      </c>
      <c r="J135" s="69">
        <f>SUMIFS(CT!$H$5:$H$143,CT!$A$5:$A$143,"&gt;="&amp;$D$3,CT!$A$5:$A$143,"&lt;="&amp;$G$3,CT!$E$5:$E$143,'BTHCTTK (TH131) NGÀY'!A135)</f>
        <v>40000000</v>
      </c>
      <c r="K135" s="69">
        <f t="shared" ref="K135:K198" si="12">MAX(G135+I135-H135-J135,0)</f>
        <v>0</v>
      </c>
      <c r="L135" s="69">
        <f t="shared" ref="L135:L198" si="13">MAX(H135+J135-G135-I135,0)</f>
        <v>12000000</v>
      </c>
      <c r="M135" t="b">
        <f t="shared" ref="M135:M198" si="14">LEFT(A135,3)=$D$2</f>
        <v>0</v>
      </c>
    </row>
    <row r="136" spans="1:13" hidden="1" x14ac:dyDescent="0.25">
      <c r="A136" s="93" t="str">
        <f>DMTK!B135</f>
        <v>3341.05</v>
      </c>
      <c r="B136" s="65" t="str">
        <f>VLOOKUP(A136,DMTK!$B$5:$L$263,3,0)</f>
        <v>Lương CNSX Bàn chữ nhật</v>
      </c>
      <c r="C136" s="69">
        <f>SUMIFS(DMTK!$K$5:$K$263,DMTK!$B$5:$B$263,A136&amp;"*")</f>
        <v>0</v>
      </c>
      <c r="D136" s="69">
        <f>SUMIFS(DMTK!$L$5:$L$263,DMTK!$B$5:$B$263,'BTHCTTK (TH131) NGÀY'!A136&amp;"*")</f>
        <v>10000000</v>
      </c>
      <c r="E136" s="69">
        <f>SUMIFS(CT!$H$5:$H$143,CT!$A$5:$A$143,"&lt;"&amp;'BTHCTTK (TH131) NGÀY'!$D$3,CT!$D$5:$D$143,'BTHCTTK (TH131) NGÀY'!A136)</f>
        <v>0</v>
      </c>
      <c r="F136" s="69">
        <f>SUMIFS(CT!$H$5:$H$143,CT!$A$5:$A$143,"&lt;"&amp;'BTHCTTK (TH131) NGÀY'!$D$3,CT!$E$5:$E$143,'BTHCTTK (TH131) NGÀY'!A136)</f>
        <v>0</v>
      </c>
      <c r="G136" s="69">
        <f t="shared" si="10"/>
        <v>0</v>
      </c>
      <c r="H136" s="69">
        <f t="shared" si="11"/>
        <v>10000000</v>
      </c>
      <c r="I136" s="69">
        <f>SUMIFS(CT!$H$5:$H$143,CT!$A$5:$A$143,"&gt;="&amp;'BTHCTTK (TH131) NGÀY'!$D$3,CT!$A$5:$A$143,"&lt;="&amp;'BTHCTTK (TH131) NGÀY'!$G$3,CT!$D$5:$D$143,'BTHCTTK (TH131) NGÀY'!A136)</f>
        <v>40000000</v>
      </c>
      <c r="J136" s="69">
        <f>SUMIFS(CT!$H$5:$H$143,CT!$A$5:$A$143,"&gt;="&amp;$D$3,CT!$A$5:$A$143,"&lt;="&amp;$G$3,CT!$E$5:$E$143,'BTHCTTK (TH131) NGÀY'!A136)</f>
        <v>40000000</v>
      </c>
      <c r="K136" s="69">
        <f t="shared" si="12"/>
        <v>0</v>
      </c>
      <c r="L136" s="69">
        <f t="shared" si="13"/>
        <v>10000000</v>
      </c>
      <c r="M136" t="b">
        <f t="shared" si="14"/>
        <v>0</v>
      </c>
    </row>
    <row r="137" spans="1:13" hidden="1" x14ac:dyDescent="0.25">
      <c r="A137" s="93" t="str">
        <f>DMTK!B136</f>
        <v>3348.01</v>
      </c>
      <c r="B137" s="65" t="str">
        <f>VLOOKUP(A137,DMTK!$B$5:$L$263,3,0)</f>
        <v>Lương NV QLPX</v>
      </c>
      <c r="C137" s="69">
        <f>SUMIFS(DMTK!$K$5:$K$263,DMTK!$B$5:$B$263,A137&amp;"*")</f>
        <v>0</v>
      </c>
      <c r="D137" s="69">
        <f>SUMIFS(DMTK!$L$5:$L$263,DMTK!$B$5:$B$263,'BTHCTTK (TH131) NGÀY'!A137&amp;"*")</f>
        <v>53000000</v>
      </c>
      <c r="E137" s="69">
        <f>SUMIFS(CT!$H$5:$H$143,CT!$A$5:$A$143,"&lt;"&amp;'BTHCTTK (TH131) NGÀY'!$D$3,CT!$D$5:$D$143,'BTHCTTK (TH131) NGÀY'!A137)</f>
        <v>0</v>
      </c>
      <c r="F137" s="69">
        <f>SUMIFS(CT!$H$5:$H$143,CT!$A$5:$A$143,"&lt;"&amp;'BTHCTTK (TH131) NGÀY'!$D$3,CT!$E$5:$E$143,'BTHCTTK (TH131) NGÀY'!A137)</f>
        <v>0</v>
      </c>
      <c r="G137" s="69">
        <f t="shared" si="10"/>
        <v>0</v>
      </c>
      <c r="H137" s="69">
        <f t="shared" si="11"/>
        <v>53000000</v>
      </c>
      <c r="I137" s="69">
        <f>SUMIFS(CT!$H$5:$H$143,CT!$A$5:$A$143,"&gt;="&amp;'BTHCTTK (TH131) NGÀY'!$D$3,CT!$A$5:$A$143,"&lt;="&amp;'BTHCTTK (TH131) NGÀY'!$G$3,CT!$D$5:$D$143,'BTHCTTK (TH131) NGÀY'!A137)</f>
        <v>35000000</v>
      </c>
      <c r="J137" s="69">
        <f>SUMIFS(CT!$H$5:$H$143,CT!$A$5:$A$143,"&gt;="&amp;$D$3,CT!$A$5:$A$143,"&lt;="&amp;$G$3,CT!$E$5:$E$143,'BTHCTTK (TH131) NGÀY'!A137)</f>
        <v>35000000</v>
      </c>
      <c r="K137" s="69">
        <f t="shared" si="12"/>
        <v>0</v>
      </c>
      <c r="L137" s="69">
        <f t="shared" si="13"/>
        <v>53000000</v>
      </c>
      <c r="M137" t="b">
        <f t="shared" si="14"/>
        <v>0</v>
      </c>
    </row>
    <row r="138" spans="1:13" hidden="1" x14ac:dyDescent="0.25">
      <c r="A138" s="93" t="str">
        <f>DMTK!B137</f>
        <v>3348.02</v>
      </c>
      <c r="B138" s="65" t="str">
        <f>VLOOKUP(A138,DMTK!$B$5:$L$263,3,0)</f>
        <v>Lương NV bán hàng</v>
      </c>
      <c r="C138" s="69">
        <f>SUMIFS(DMTK!$K$5:$K$263,DMTK!$B$5:$B$263,A138&amp;"*")</f>
        <v>0</v>
      </c>
      <c r="D138" s="69">
        <f>SUMIFS(DMTK!$L$5:$L$263,DMTK!$B$5:$B$263,'BTHCTTK (TH131) NGÀY'!A138&amp;"*")</f>
        <v>3000000</v>
      </c>
      <c r="E138" s="69">
        <f>SUMIFS(CT!$H$5:$H$143,CT!$A$5:$A$143,"&lt;"&amp;'BTHCTTK (TH131) NGÀY'!$D$3,CT!$D$5:$D$143,'BTHCTTK (TH131) NGÀY'!A138)</f>
        <v>0</v>
      </c>
      <c r="F138" s="69">
        <f>SUMIFS(CT!$H$5:$H$143,CT!$A$5:$A$143,"&lt;"&amp;'BTHCTTK (TH131) NGÀY'!$D$3,CT!$E$5:$E$143,'BTHCTTK (TH131) NGÀY'!A138)</f>
        <v>0</v>
      </c>
      <c r="G138" s="69">
        <f t="shared" si="10"/>
        <v>0</v>
      </c>
      <c r="H138" s="69">
        <f t="shared" si="11"/>
        <v>3000000</v>
      </c>
      <c r="I138" s="69">
        <f>SUMIFS(CT!$H$5:$H$143,CT!$A$5:$A$143,"&gt;="&amp;'BTHCTTK (TH131) NGÀY'!$D$3,CT!$A$5:$A$143,"&lt;="&amp;'BTHCTTK (TH131) NGÀY'!$G$3,CT!$D$5:$D$143,'BTHCTTK (TH131) NGÀY'!A138)</f>
        <v>5000000</v>
      </c>
      <c r="J138" s="69">
        <f>SUMIFS(CT!$H$5:$H$143,CT!$A$5:$A$143,"&gt;="&amp;$D$3,CT!$A$5:$A$143,"&lt;="&amp;$G$3,CT!$E$5:$E$143,'BTHCTTK (TH131) NGÀY'!A138)</f>
        <v>5000000</v>
      </c>
      <c r="K138" s="69">
        <f t="shared" si="12"/>
        <v>0</v>
      </c>
      <c r="L138" s="69">
        <f t="shared" si="13"/>
        <v>3000000</v>
      </c>
      <c r="M138" t="b">
        <f t="shared" si="14"/>
        <v>0</v>
      </c>
    </row>
    <row r="139" spans="1:13" hidden="1" x14ac:dyDescent="0.25">
      <c r="A139" s="93" t="str">
        <f>DMTK!B138</f>
        <v>3348.03</v>
      </c>
      <c r="B139" s="65" t="str">
        <f>VLOOKUP(A139,DMTK!$B$5:$L$263,3,0)</f>
        <v>Lương CB QLDN</v>
      </c>
      <c r="C139" s="69">
        <f>SUMIFS(DMTK!$K$5:$K$263,DMTK!$B$5:$B$263,A139&amp;"*")</f>
        <v>0</v>
      </c>
      <c r="D139" s="69">
        <f>SUMIFS(DMTK!$L$5:$L$263,DMTK!$B$5:$B$263,'BTHCTTK (TH131) NGÀY'!A139&amp;"*")</f>
        <v>1500000</v>
      </c>
      <c r="E139" s="69">
        <f>SUMIFS(CT!$H$5:$H$143,CT!$A$5:$A$143,"&lt;"&amp;'BTHCTTK (TH131) NGÀY'!$D$3,CT!$D$5:$D$143,'BTHCTTK (TH131) NGÀY'!A139)</f>
        <v>0</v>
      </c>
      <c r="F139" s="69">
        <f>SUMIFS(CT!$H$5:$H$143,CT!$A$5:$A$143,"&lt;"&amp;'BTHCTTK (TH131) NGÀY'!$D$3,CT!$E$5:$E$143,'BTHCTTK (TH131) NGÀY'!A139)</f>
        <v>0</v>
      </c>
      <c r="G139" s="69">
        <f t="shared" si="10"/>
        <v>0</v>
      </c>
      <c r="H139" s="69">
        <f t="shared" si="11"/>
        <v>1500000</v>
      </c>
      <c r="I139" s="69">
        <f>SUMIFS(CT!$H$5:$H$143,CT!$A$5:$A$143,"&gt;="&amp;'BTHCTTK (TH131) NGÀY'!$D$3,CT!$A$5:$A$143,"&lt;="&amp;'BTHCTTK (TH131) NGÀY'!$G$3,CT!$D$5:$D$143,'BTHCTTK (TH131) NGÀY'!A139)</f>
        <v>7000000</v>
      </c>
      <c r="J139" s="69">
        <f>SUMIFS(CT!$H$5:$H$143,CT!$A$5:$A$143,"&gt;="&amp;$D$3,CT!$A$5:$A$143,"&lt;="&amp;$G$3,CT!$E$5:$E$143,'BTHCTTK (TH131) NGÀY'!A139)</f>
        <v>7000000</v>
      </c>
      <c r="K139" s="69">
        <f t="shared" si="12"/>
        <v>0</v>
      </c>
      <c r="L139" s="69">
        <f t="shared" si="13"/>
        <v>1500000</v>
      </c>
      <c r="M139" t="b">
        <f t="shared" si="14"/>
        <v>0</v>
      </c>
    </row>
    <row r="140" spans="1:13" hidden="1" x14ac:dyDescent="0.25">
      <c r="A140" s="93" t="str">
        <f>DMTK!B139</f>
        <v>3351</v>
      </c>
      <c r="B140" s="65" t="str">
        <f>VLOOKUP(A140,DMTK!$B$5:$L$263,3,0)</f>
        <v>Chi phí phải trả (ngắn hạn)</v>
      </c>
      <c r="C140" s="69">
        <f>SUMIFS(DMTK!$K$5:$K$263,DMTK!$B$5:$B$263,A140&amp;"*")</f>
        <v>0</v>
      </c>
      <c r="D140" s="69">
        <f>SUMIFS(DMTK!$L$5:$L$263,DMTK!$B$5:$B$263,'BTHCTTK (TH131) NGÀY'!A140&amp;"*")</f>
        <v>56000000</v>
      </c>
      <c r="E140" s="69">
        <f>SUMIFS(CT!$H$5:$H$143,CT!$A$5:$A$143,"&lt;"&amp;'BTHCTTK (TH131) NGÀY'!$D$3,CT!$D$5:$D$143,'BTHCTTK (TH131) NGÀY'!A140)</f>
        <v>0</v>
      </c>
      <c r="F140" s="69">
        <f>SUMIFS(CT!$H$5:$H$143,CT!$A$5:$A$143,"&lt;"&amp;'BTHCTTK (TH131) NGÀY'!$D$3,CT!$E$5:$E$143,'BTHCTTK (TH131) NGÀY'!A140)</f>
        <v>0</v>
      </c>
      <c r="G140" s="69">
        <f t="shared" si="10"/>
        <v>0</v>
      </c>
      <c r="H140" s="69">
        <f t="shared" si="11"/>
        <v>56000000</v>
      </c>
      <c r="I140" s="69">
        <f>SUMIFS(CT!$H$5:$H$143,CT!$A$5:$A$143,"&gt;="&amp;'BTHCTTK (TH131) NGÀY'!$D$3,CT!$A$5:$A$143,"&lt;="&amp;'BTHCTTK (TH131) NGÀY'!$G$3,CT!$D$5:$D$143,'BTHCTTK (TH131) NGÀY'!A140)</f>
        <v>0</v>
      </c>
      <c r="J140" s="69">
        <f>SUMIFS(CT!$H$5:$H$143,CT!$A$5:$A$143,"&gt;="&amp;$D$3,CT!$A$5:$A$143,"&lt;="&amp;$G$3,CT!$E$5:$E$143,'BTHCTTK (TH131) NGÀY'!A140)</f>
        <v>0</v>
      </c>
      <c r="K140" s="69">
        <f t="shared" si="12"/>
        <v>0</v>
      </c>
      <c r="L140" s="69">
        <f t="shared" si="13"/>
        <v>56000000</v>
      </c>
      <c r="M140" t="b">
        <f t="shared" si="14"/>
        <v>0</v>
      </c>
    </row>
    <row r="141" spans="1:13" hidden="1" x14ac:dyDescent="0.25">
      <c r="A141" s="93" t="str">
        <f>DMTK!B140</f>
        <v>3352</v>
      </c>
      <c r="B141" s="65" t="str">
        <f>VLOOKUP(A141,DMTK!$B$5:$L$263,3,0)</f>
        <v>Chi phí phải trả (dài hạn)</v>
      </c>
      <c r="C141" s="69">
        <f>SUMIFS(DMTK!$K$5:$K$263,DMTK!$B$5:$B$263,A141&amp;"*")</f>
        <v>0</v>
      </c>
      <c r="D141" s="69">
        <f>SUMIFS(DMTK!$L$5:$L$263,DMTK!$B$5:$B$263,'BTHCTTK (TH131) NGÀY'!A141&amp;"*")</f>
        <v>0</v>
      </c>
      <c r="E141" s="69">
        <f>SUMIFS(CT!$H$5:$H$143,CT!$A$5:$A$143,"&lt;"&amp;'BTHCTTK (TH131) NGÀY'!$D$3,CT!$D$5:$D$143,'BTHCTTK (TH131) NGÀY'!A141)</f>
        <v>0</v>
      </c>
      <c r="F141" s="69">
        <f>SUMIFS(CT!$H$5:$H$143,CT!$A$5:$A$143,"&lt;"&amp;'BTHCTTK (TH131) NGÀY'!$D$3,CT!$E$5:$E$143,'BTHCTTK (TH131) NGÀY'!A141)</f>
        <v>0</v>
      </c>
      <c r="G141" s="69">
        <f t="shared" si="10"/>
        <v>0</v>
      </c>
      <c r="H141" s="69">
        <f t="shared" si="11"/>
        <v>0</v>
      </c>
      <c r="I141" s="69">
        <f>SUMIFS(CT!$H$5:$H$143,CT!$A$5:$A$143,"&gt;="&amp;'BTHCTTK (TH131) NGÀY'!$D$3,CT!$A$5:$A$143,"&lt;="&amp;'BTHCTTK (TH131) NGÀY'!$G$3,CT!$D$5:$D$143,'BTHCTTK (TH131) NGÀY'!A141)</f>
        <v>0</v>
      </c>
      <c r="J141" s="69">
        <f>SUMIFS(CT!$H$5:$H$143,CT!$A$5:$A$143,"&gt;="&amp;$D$3,CT!$A$5:$A$143,"&lt;="&amp;$G$3,CT!$E$5:$E$143,'BTHCTTK (TH131) NGÀY'!A141)</f>
        <v>0</v>
      </c>
      <c r="K141" s="69">
        <f t="shared" si="12"/>
        <v>0</v>
      </c>
      <c r="L141" s="69">
        <f t="shared" si="13"/>
        <v>0</v>
      </c>
      <c r="M141" t="b">
        <f t="shared" si="14"/>
        <v>0</v>
      </c>
    </row>
    <row r="142" spans="1:13" hidden="1" x14ac:dyDescent="0.25">
      <c r="A142" s="93" t="str">
        <f>DMTK!B141</f>
        <v>3361</v>
      </c>
      <c r="B142" s="65" t="str">
        <f>VLOOKUP(A142,DMTK!$B$5:$L$263,3,0)</f>
        <v>Phải trả nội bộ về vốn kinh doanh</v>
      </c>
      <c r="C142" s="69">
        <f>SUMIFS(DMTK!$K$5:$K$263,DMTK!$B$5:$B$263,A142&amp;"*")</f>
        <v>0</v>
      </c>
      <c r="D142" s="69">
        <f>SUMIFS(DMTK!$L$5:$L$263,DMTK!$B$5:$B$263,'BTHCTTK (TH131) NGÀY'!A142&amp;"*")</f>
        <v>0</v>
      </c>
      <c r="E142" s="69">
        <f>SUMIFS(CT!$H$5:$H$143,CT!$A$5:$A$143,"&lt;"&amp;'BTHCTTK (TH131) NGÀY'!$D$3,CT!$D$5:$D$143,'BTHCTTK (TH131) NGÀY'!A142)</f>
        <v>0</v>
      </c>
      <c r="F142" s="69">
        <f>SUMIFS(CT!$H$5:$H$143,CT!$A$5:$A$143,"&lt;"&amp;'BTHCTTK (TH131) NGÀY'!$D$3,CT!$E$5:$E$143,'BTHCTTK (TH131) NGÀY'!A142)</f>
        <v>0</v>
      </c>
      <c r="G142" s="69">
        <f t="shared" si="10"/>
        <v>0</v>
      </c>
      <c r="H142" s="69">
        <f t="shared" si="11"/>
        <v>0</v>
      </c>
      <c r="I142" s="69">
        <f>SUMIFS(CT!$H$5:$H$143,CT!$A$5:$A$143,"&gt;="&amp;'BTHCTTK (TH131) NGÀY'!$D$3,CT!$A$5:$A$143,"&lt;="&amp;'BTHCTTK (TH131) NGÀY'!$G$3,CT!$D$5:$D$143,'BTHCTTK (TH131) NGÀY'!A142)</f>
        <v>0</v>
      </c>
      <c r="J142" s="69">
        <f>SUMIFS(CT!$H$5:$H$143,CT!$A$5:$A$143,"&gt;="&amp;$D$3,CT!$A$5:$A$143,"&lt;="&amp;$G$3,CT!$E$5:$E$143,'BTHCTTK (TH131) NGÀY'!A142)</f>
        <v>0</v>
      </c>
      <c r="K142" s="69">
        <f t="shared" si="12"/>
        <v>0</v>
      </c>
      <c r="L142" s="69">
        <f t="shared" si="13"/>
        <v>0</v>
      </c>
      <c r="M142" t="b">
        <f t="shared" si="14"/>
        <v>0</v>
      </c>
    </row>
    <row r="143" spans="1:13" hidden="1" x14ac:dyDescent="0.25">
      <c r="A143" s="93" t="str">
        <f>DMTK!B142</f>
        <v>33621</v>
      </c>
      <c r="B143" s="65" t="str">
        <f>VLOOKUP(A143,DMTK!$B$5:$L$263,3,0)</f>
        <v>Phải trả nội bộ về chênh lệch tỷ giá</v>
      </c>
      <c r="C143" s="69">
        <f>SUMIFS(DMTK!$K$5:$K$263,DMTK!$B$5:$B$263,A143&amp;"*")</f>
        <v>0</v>
      </c>
      <c r="D143" s="69">
        <f>SUMIFS(DMTK!$L$5:$L$263,DMTK!$B$5:$B$263,'BTHCTTK (TH131) NGÀY'!A143&amp;"*")</f>
        <v>0</v>
      </c>
      <c r="E143" s="69">
        <f>SUMIFS(CT!$H$5:$H$143,CT!$A$5:$A$143,"&lt;"&amp;'BTHCTTK (TH131) NGÀY'!$D$3,CT!$D$5:$D$143,'BTHCTTK (TH131) NGÀY'!A143)</f>
        <v>0</v>
      </c>
      <c r="F143" s="69">
        <f>SUMIFS(CT!$H$5:$H$143,CT!$A$5:$A$143,"&lt;"&amp;'BTHCTTK (TH131) NGÀY'!$D$3,CT!$E$5:$E$143,'BTHCTTK (TH131) NGÀY'!A143)</f>
        <v>0</v>
      </c>
      <c r="G143" s="69">
        <f t="shared" si="10"/>
        <v>0</v>
      </c>
      <c r="H143" s="69">
        <f t="shared" si="11"/>
        <v>0</v>
      </c>
      <c r="I143" s="69">
        <f>SUMIFS(CT!$H$5:$H$143,CT!$A$5:$A$143,"&gt;="&amp;'BTHCTTK (TH131) NGÀY'!$D$3,CT!$A$5:$A$143,"&lt;="&amp;'BTHCTTK (TH131) NGÀY'!$G$3,CT!$D$5:$D$143,'BTHCTTK (TH131) NGÀY'!A143)</f>
        <v>0</v>
      </c>
      <c r="J143" s="69">
        <f>SUMIFS(CT!$H$5:$H$143,CT!$A$5:$A$143,"&gt;="&amp;$D$3,CT!$A$5:$A$143,"&lt;="&amp;$G$3,CT!$E$5:$E$143,'BTHCTTK (TH131) NGÀY'!A143)</f>
        <v>0</v>
      </c>
      <c r="K143" s="69">
        <f t="shared" si="12"/>
        <v>0</v>
      </c>
      <c r="L143" s="69">
        <f t="shared" si="13"/>
        <v>0</v>
      </c>
      <c r="M143" t="b">
        <f t="shared" si="14"/>
        <v>0</v>
      </c>
    </row>
    <row r="144" spans="1:13" hidden="1" x14ac:dyDescent="0.25">
      <c r="A144" s="93" t="str">
        <f>DMTK!B143</f>
        <v>33622</v>
      </c>
      <c r="B144" s="65" t="str">
        <f>VLOOKUP(A144,DMTK!$B$5:$L$263,3,0)</f>
        <v>Phải trả nội bộ về chênh lệch tỷ giá (dài hạn)</v>
      </c>
      <c r="C144" s="69">
        <f>SUMIFS(DMTK!$K$5:$K$263,DMTK!$B$5:$B$263,A144&amp;"*")</f>
        <v>0</v>
      </c>
      <c r="D144" s="69">
        <f>SUMIFS(DMTK!$L$5:$L$263,DMTK!$B$5:$B$263,'BTHCTTK (TH131) NGÀY'!A144&amp;"*")</f>
        <v>0</v>
      </c>
      <c r="E144" s="69">
        <f>SUMIFS(CT!$H$5:$H$143,CT!$A$5:$A$143,"&lt;"&amp;'BTHCTTK (TH131) NGÀY'!$D$3,CT!$D$5:$D$143,'BTHCTTK (TH131) NGÀY'!A144)</f>
        <v>0</v>
      </c>
      <c r="F144" s="69">
        <f>SUMIFS(CT!$H$5:$H$143,CT!$A$5:$A$143,"&lt;"&amp;'BTHCTTK (TH131) NGÀY'!$D$3,CT!$E$5:$E$143,'BTHCTTK (TH131) NGÀY'!A144)</f>
        <v>0</v>
      </c>
      <c r="G144" s="69">
        <f t="shared" si="10"/>
        <v>0</v>
      </c>
      <c r="H144" s="69">
        <f t="shared" si="11"/>
        <v>0</v>
      </c>
      <c r="I144" s="69">
        <f>SUMIFS(CT!$H$5:$H$143,CT!$A$5:$A$143,"&gt;="&amp;'BTHCTTK (TH131) NGÀY'!$D$3,CT!$A$5:$A$143,"&lt;="&amp;'BTHCTTK (TH131) NGÀY'!$G$3,CT!$D$5:$D$143,'BTHCTTK (TH131) NGÀY'!A144)</f>
        <v>0</v>
      </c>
      <c r="J144" s="69">
        <f>SUMIFS(CT!$H$5:$H$143,CT!$A$5:$A$143,"&gt;="&amp;$D$3,CT!$A$5:$A$143,"&lt;="&amp;$G$3,CT!$E$5:$E$143,'BTHCTTK (TH131) NGÀY'!A144)</f>
        <v>0</v>
      </c>
      <c r="K144" s="69">
        <f t="shared" si="12"/>
        <v>0</v>
      </c>
      <c r="L144" s="69">
        <f t="shared" si="13"/>
        <v>0</v>
      </c>
      <c r="M144" t="b">
        <f t="shared" si="14"/>
        <v>0</v>
      </c>
    </row>
    <row r="145" spans="1:13" hidden="1" x14ac:dyDescent="0.25">
      <c r="A145" s="93" t="str">
        <f>DMTK!B144</f>
        <v>33631</v>
      </c>
      <c r="B145" s="65" t="str">
        <f>VLOOKUP(A145,DMTK!$B$5:$L$263,3,0)</f>
        <v>Phải trả nội bộ về chi phí đi vay đủ điều kiện được vốn hóa</v>
      </c>
      <c r="C145" s="69">
        <f>SUMIFS(DMTK!$K$5:$K$263,DMTK!$B$5:$B$263,A145&amp;"*")</f>
        <v>0</v>
      </c>
      <c r="D145" s="69">
        <f>SUMIFS(DMTK!$L$5:$L$263,DMTK!$B$5:$B$263,'BTHCTTK (TH131) NGÀY'!A145&amp;"*")</f>
        <v>0</v>
      </c>
      <c r="E145" s="69">
        <f>SUMIFS(CT!$H$5:$H$143,CT!$A$5:$A$143,"&lt;"&amp;'BTHCTTK (TH131) NGÀY'!$D$3,CT!$D$5:$D$143,'BTHCTTK (TH131) NGÀY'!A145)</f>
        <v>0</v>
      </c>
      <c r="F145" s="69">
        <f>SUMIFS(CT!$H$5:$H$143,CT!$A$5:$A$143,"&lt;"&amp;'BTHCTTK (TH131) NGÀY'!$D$3,CT!$E$5:$E$143,'BTHCTTK (TH131) NGÀY'!A145)</f>
        <v>0</v>
      </c>
      <c r="G145" s="69">
        <f t="shared" si="10"/>
        <v>0</v>
      </c>
      <c r="H145" s="69">
        <f t="shared" si="11"/>
        <v>0</v>
      </c>
      <c r="I145" s="69">
        <f>SUMIFS(CT!$H$5:$H$143,CT!$A$5:$A$143,"&gt;="&amp;'BTHCTTK (TH131) NGÀY'!$D$3,CT!$A$5:$A$143,"&lt;="&amp;'BTHCTTK (TH131) NGÀY'!$G$3,CT!$D$5:$D$143,'BTHCTTK (TH131) NGÀY'!A145)</f>
        <v>0</v>
      </c>
      <c r="J145" s="69">
        <f>SUMIFS(CT!$H$5:$H$143,CT!$A$5:$A$143,"&gt;="&amp;$D$3,CT!$A$5:$A$143,"&lt;="&amp;$G$3,CT!$E$5:$E$143,'BTHCTTK (TH131) NGÀY'!A145)</f>
        <v>0</v>
      </c>
      <c r="K145" s="69">
        <f t="shared" si="12"/>
        <v>0</v>
      </c>
      <c r="L145" s="69">
        <f t="shared" si="13"/>
        <v>0</v>
      </c>
      <c r="M145" t="b">
        <f t="shared" si="14"/>
        <v>0</v>
      </c>
    </row>
    <row r="146" spans="1:13" hidden="1" x14ac:dyDescent="0.25">
      <c r="A146" s="93" t="str">
        <f>DMTK!B145</f>
        <v>33632</v>
      </c>
      <c r="B146" s="65" t="str">
        <f>VLOOKUP(A146,DMTK!$B$5:$L$263,3,0)</f>
        <v>Phải trả nội bộ về chi phí đi vay đủ điều kiện được vốn hóa (dài hạn)</v>
      </c>
      <c r="C146" s="69">
        <f>SUMIFS(DMTK!$K$5:$K$263,DMTK!$B$5:$B$263,A146&amp;"*")</f>
        <v>0</v>
      </c>
      <c r="D146" s="69">
        <f>SUMIFS(DMTK!$L$5:$L$263,DMTK!$B$5:$B$263,'BTHCTTK (TH131) NGÀY'!A146&amp;"*")</f>
        <v>0</v>
      </c>
      <c r="E146" s="69">
        <f>SUMIFS(CT!$H$5:$H$143,CT!$A$5:$A$143,"&lt;"&amp;'BTHCTTK (TH131) NGÀY'!$D$3,CT!$D$5:$D$143,'BTHCTTK (TH131) NGÀY'!A146)</f>
        <v>0</v>
      </c>
      <c r="F146" s="69">
        <f>SUMIFS(CT!$H$5:$H$143,CT!$A$5:$A$143,"&lt;"&amp;'BTHCTTK (TH131) NGÀY'!$D$3,CT!$E$5:$E$143,'BTHCTTK (TH131) NGÀY'!A146)</f>
        <v>0</v>
      </c>
      <c r="G146" s="69">
        <f t="shared" si="10"/>
        <v>0</v>
      </c>
      <c r="H146" s="69">
        <f t="shared" si="11"/>
        <v>0</v>
      </c>
      <c r="I146" s="69">
        <f>SUMIFS(CT!$H$5:$H$143,CT!$A$5:$A$143,"&gt;="&amp;'BTHCTTK (TH131) NGÀY'!$D$3,CT!$A$5:$A$143,"&lt;="&amp;'BTHCTTK (TH131) NGÀY'!$G$3,CT!$D$5:$D$143,'BTHCTTK (TH131) NGÀY'!A146)</f>
        <v>0</v>
      </c>
      <c r="J146" s="69">
        <f>SUMIFS(CT!$H$5:$H$143,CT!$A$5:$A$143,"&gt;="&amp;$D$3,CT!$A$5:$A$143,"&lt;="&amp;$G$3,CT!$E$5:$E$143,'BTHCTTK (TH131) NGÀY'!A146)</f>
        <v>0</v>
      </c>
      <c r="K146" s="69">
        <f t="shared" si="12"/>
        <v>0</v>
      </c>
      <c r="L146" s="69">
        <f t="shared" si="13"/>
        <v>0</v>
      </c>
      <c r="M146" t="b">
        <f t="shared" si="14"/>
        <v>0</v>
      </c>
    </row>
    <row r="147" spans="1:13" hidden="1" x14ac:dyDescent="0.25">
      <c r="A147" s="93" t="str">
        <f>DMTK!B146</f>
        <v>33681</v>
      </c>
      <c r="B147" s="65" t="str">
        <f>VLOOKUP(A147,DMTK!$B$5:$L$263,3,0)</f>
        <v>Phải trả nội bộ khác</v>
      </c>
      <c r="C147" s="69">
        <f>SUMIFS(DMTK!$K$5:$K$263,DMTK!$B$5:$B$263,A147&amp;"*")</f>
        <v>0</v>
      </c>
      <c r="D147" s="69">
        <f>SUMIFS(DMTK!$L$5:$L$263,DMTK!$B$5:$B$263,'BTHCTTK (TH131) NGÀY'!A147&amp;"*")</f>
        <v>0</v>
      </c>
      <c r="E147" s="69">
        <f>SUMIFS(CT!$H$5:$H$143,CT!$A$5:$A$143,"&lt;"&amp;'BTHCTTK (TH131) NGÀY'!$D$3,CT!$D$5:$D$143,'BTHCTTK (TH131) NGÀY'!A147)</f>
        <v>0</v>
      </c>
      <c r="F147" s="69">
        <f>SUMIFS(CT!$H$5:$H$143,CT!$A$5:$A$143,"&lt;"&amp;'BTHCTTK (TH131) NGÀY'!$D$3,CT!$E$5:$E$143,'BTHCTTK (TH131) NGÀY'!A147)</f>
        <v>0</v>
      </c>
      <c r="G147" s="69">
        <f t="shared" si="10"/>
        <v>0</v>
      </c>
      <c r="H147" s="69">
        <f t="shared" si="11"/>
        <v>0</v>
      </c>
      <c r="I147" s="69">
        <f>SUMIFS(CT!$H$5:$H$143,CT!$A$5:$A$143,"&gt;="&amp;'BTHCTTK (TH131) NGÀY'!$D$3,CT!$A$5:$A$143,"&lt;="&amp;'BTHCTTK (TH131) NGÀY'!$G$3,CT!$D$5:$D$143,'BTHCTTK (TH131) NGÀY'!A147)</f>
        <v>0</v>
      </c>
      <c r="J147" s="69">
        <f>SUMIFS(CT!$H$5:$H$143,CT!$A$5:$A$143,"&gt;="&amp;$D$3,CT!$A$5:$A$143,"&lt;="&amp;$G$3,CT!$E$5:$E$143,'BTHCTTK (TH131) NGÀY'!A147)</f>
        <v>0</v>
      </c>
      <c r="K147" s="69">
        <f t="shared" si="12"/>
        <v>0</v>
      </c>
      <c r="L147" s="69">
        <f t="shared" si="13"/>
        <v>0</v>
      </c>
      <c r="M147" t="b">
        <f t="shared" si="14"/>
        <v>0</v>
      </c>
    </row>
    <row r="148" spans="1:13" hidden="1" x14ac:dyDescent="0.25">
      <c r="A148" s="93" t="str">
        <f>DMTK!B147</f>
        <v>33682</v>
      </c>
      <c r="B148" s="65" t="str">
        <f>VLOOKUP(A148,DMTK!$B$5:$L$263,3,0)</f>
        <v>Phải trả nội bộ khác (dài hạn)</v>
      </c>
      <c r="C148" s="69">
        <f>SUMIFS(DMTK!$K$5:$K$263,DMTK!$B$5:$B$263,A148&amp;"*")</f>
        <v>0</v>
      </c>
      <c r="D148" s="69">
        <f>SUMIFS(DMTK!$L$5:$L$263,DMTK!$B$5:$B$263,'BTHCTTK (TH131) NGÀY'!A148&amp;"*")</f>
        <v>0</v>
      </c>
      <c r="E148" s="69">
        <f>SUMIFS(CT!$H$5:$H$143,CT!$A$5:$A$143,"&lt;"&amp;'BTHCTTK (TH131) NGÀY'!$D$3,CT!$D$5:$D$143,'BTHCTTK (TH131) NGÀY'!A148)</f>
        <v>0</v>
      </c>
      <c r="F148" s="69">
        <f>SUMIFS(CT!$H$5:$H$143,CT!$A$5:$A$143,"&lt;"&amp;'BTHCTTK (TH131) NGÀY'!$D$3,CT!$E$5:$E$143,'BTHCTTK (TH131) NGÀY'!A148)</f>
        <v>0</v>
      </c>
      <c r="G148" s="69">
        <f t="shared" si="10"/>
        <v>0</v>
      </c>
      <c r="H148" s="69">
        <f t="shared" si="11"/>
        <v>0</v>
      </c>
      <c r="I148" s="69">
        <f>SUMIFS(CT!$H$5:$H$143,CT!$A$5:$A$143,"&gt;="&amp;'BTHCTTK (TH131) NGÀY'!$D$3,CT!$A$5:$A$143,"&lt;="&amp;'BTHCTTK (TH131) NGÀY'!$G$3,CT!$D$5:$D$143,'BTHCTTK (TH131) NGÀY'!A148)</f>
        <v>0</v>
      </c>
      <c r="J148" s="69">
        <f>SUMIFS(CT!$H$5:$H$143,CT!$A$5:$A$143,"&gt;="&amp;$D$3,CT!$A$5:$A$143,"&lt;="&amp;$G$3,CT!$E$5:$E$143,'BTHCTTK (TH131) NGÀY'!A148)</f>
        <v>0</v>
      </c>
      <c r="K148" s="69">
        <f t="shared" si="12"/>
        <v>0</v>
      </c>
      <c r="L148" s="69">
        <f t="shared" si="13"/>
        <v>0</v>
      </c>
      <c r="M148" t="b">
        <f t="shared" si="14"/>
        <v>0</v>
      </c>
    </row>
    <row r="149" spans="1:13" hidden="1" x14ac:dyDescent="0.25">
      <c r="A149" s="93" t="str">
        <f>DMTK!B148</f>
        <v>337</v>
      </c>
      <c r="B149" s="65" t="str">
        <f>VLOOKUP(A149,DMTK!$B$5:$L$263,3,0)</f>
        <v>Thanh toán theo tiến độ kế hoạch hợp đồng xây dựng</v>
      </c>
      <c r="C149" s="69">
        <f>SUMIFS(DMTK!$K$5:$K$263,DMTK!$B$5:$B$263,A149&amp;"*")</f>
        <v>0</v>
      </c>
      <c r="D149" s="69">
        <f>SUMIFS(DMTK!$L$5:$L$263,DMTK!$B$5:$B$263,'BTHCTTK (TH131) NGÀY'!A149&amp;"*")</f>
        <v>0</v>
      </c>
      <c r="E149" s="69">
        <f>SUMIFS(CT!$H$5:$H$143,CT!$A$5:$A$143,"&lt;"&amp;'BTHCTTK (TH131) NGÀY'!$D$3,CT!$D$5:$D$143,'BTHCTTK (TH131) NGÀY'!A149)</f>
        <v>0</v>
      </c>
      <c r="F149" s="69">
        <f>SUMIFS(CT!$H$5:$H$143,CT!$A$5:$A$143,"&lt;"&amp;'BTHCTTK (TH131) NGÀY'!$D$3,CT!$E$5:$E$143,'BTHCTTK (TH131) NGÀY'!A149)</f>
        <v>0</v>
      </c>
      <c r="G149" s="69">
        <f t="shared" si="10"/>
        <v>0</v>
      </c>
      <c r="H149" s="69">
        <f t="shared" si="11"/>
        <v>0</v>
      </c>
      <c r="I149" s="69">
        <f>SUMIFS(CT!$H$5:$H$143,CT!$A$5:$A$143,"&gt;="&amp;'BTHCTTK (TH131) NGÀY'!$D$3,CT!$A$5:$A$143,"&lt;="&amp;'BTHCTTK (TH131) NGÀY'!$G$3,CT!$D$5:$D$143,'BTHCTTK (TH131) NGÀY'!A149)</f>
        <v>0</v>
      </c>
      <c r="J149" s="69">
        <f>SUMIFS(CT!$H$5:$H$143,CT!$A$5:$A$143,"&gt;="&amp;$D$3,CT!$A$5:$A$143,"&lt;="&amp;$G$3,CT!$E$5:$E$143,'BTHCTTK (TH131) NGÀY'!A149)</f>
        <v>0</v>
      </c>
      <c r="K149" s="69">
        <f t="shared" si="12"/>
        <v>0</v>
      </c>
      <c r="L149" s="69">
        <f t="shared" si="13"/>
        <v>0</v>
      </c>
      <c r="M149" t="b">
        <f t="shared" si="14"/>
        <v>0</v>
      </c>
    </row>
    <row r="150" spans="1:13" hidden="1" x14ac:dyDescent="0.25">
      <c r="A150" s="93" t="str">
        <f>DMTK!B149</f>
        <v>3381</v>
      </c>
      <c r="B150" s="65" t="str">
        <f>VLOOKUP(A150,DMTK!$B$5:$L$263,3,0)</f>
        <v>Tài sản thừa chờ giải quyết</v>
      </c>
      <c r="C150" s="69">
        <f>SUMIFS(DMTK!$K$5:$K$263,DMTK!$B$5:$B$263,A150&amp;"*")</f>
        <v>0</v>
      </c>
      <c r="D150" s="69">
        <f>SUMIFS(DMTK!$L$5:$L$263,DMTK!$B$5:$B$263,'BTHCTTK (TH131) NGÀY'!A150&amp;"*")</f>
        <v>0</v>
      </c>
      <c r="E150" s="69">
        <f>SUMIFS(CT!$H$5:$H$143,CT!$A$5:$A$143,"&lt;"&amp;'BTHCTTK (TH131) NGÀY'!$D$3,CT!$D$5:$D$143,'BTHCTTK (TH131) NGÀY'!A150)</f>
        <v>0</v>
      </c>
      <c r="F150" s="69">
        <f>SUMIFS(CT!$H$5:$H$143,CT!$A$5:$A$143,"&lt;"&amp;'BTHCTTK (TH131) NGÀY'!$D$3,CT!$E$5:$E$143,'BTHCTTK (TH131) NGÀY'!A150)</f>
        <v>0</v>
      </c>
      <c r="G150" s="69">
        <f t="shared" si="10"/>
        <v>0</v>
      </c>
      <c r="H150" s="69">
        <f t="shared" si="11"/>
        <v>0</v>
      </c>
      <c r="I150" s="69">
        <f>SUMIFS(CT!$H$5:$H$143,CT!$A$5:$A$143,"&gt;="&amp;'BTHCTTK (TH131) NGÀY'!$D$3,CT!$A$5:$A$143,"&lt;="&amp;'BTHCTTK (TH131) NGÀY'!$G$3,CT!$D$5:$D$143,'BTHCTTK (TH131) NGÀY'!A150)</f>
        <v>0</v>
      </c>
      <c r="J150" s="69">
        <f>SUMIFS(CT!$H$5:$H$143,CT!$A$5:$A$143,"&gt;="&amp;$D$3,CT!$A$5:$A$143,"&lt;="&amp;$G$3,CT!$E$5:$E$143,'BTHCTTK (TH131) NGÀY'!A150)</f>
        <v>0</v>
      </c>
      <c r="K150" s="69">
        <f t="shared" si="12"/>
        <v>0</v>
      </c>
      <c r="L150" s="69">
        <f t="shared" si="13"/>
        <v>0</v>
      </c>
      <c r="M150" t="b">
        <f t="shared" si="14"/>
        <v>0</v>
      </c>
    </row>
    <row r="151" spans="1:13" hidden="1" x14ac:dyDescent="0.25">
      <c r="A151" s="93" t="str">
        <f>DMTK!B150</f>
        <v>3382</v>
      </c>
      <c r="B151" s="65" t="str">
        <f>VLOOKUP(A151,DMTK!$B$5:$L$263,3,0)</f>
        <v>Kinh phí công đoàn</v>
      </c>
      <c r="C151" s="69">
        <f>SUMIFS(DMTK!$K$5:$K$263,DMTK!$B$5:$B$263,A151&amp;"*")</f>
        <v>0</v>
      </c>
      <c r="D151" s="69">
        <f>SUMIFS(DMTK!$L$5:$L$263,DMTK!$B$5:$B$263,'BTHCTTK (TH131) NGÀY'!A151&amp;"*")</f>
        <v>0</v>
      </c>
      <c r="E151" s="69">
        <f>SUMIFS(CT!$H$5:$H$143,CT!$A$5:$A$143,"&lt;"&amp;'BTHCTTK (TH131) NGÀY'!$D$3,CT!$D$5:$D$143,'BTHCTTK (TH131) NGÀY'!A151)</f>
        <v>0</v>
      </c>
      <c r="F151" s="69">
        <f>SUMIFS(CT!$H$5:$H$143,CT!$A$5:$A$143,"&lt;"&amp;'BTHCTTK (TH131) NGÀY'!$D$3,CT!$E$5:$E$143,'BTHCTTK (TH131) NGÀY'!A151)</f>
        <v>0</v>
      </c>
      <c r="G151" s="69">
        <f t="shared" si="10"/>
        <v>0</v>
      </c>
      <c r="H151" s="69">
        <f t="shared" si="11"/>
        <v>0</v>
      </c>
      <c r="I151" s="69">
        <f>SUMIFS(CT!$H$5:$H$143,CT!$A$5:$A$143,"&gt;="&amp;'BTHCTTK (TH131) NGÀY'!$D$3,CT!$A$5:$A$143,"&lt;="&amp;'BTHCTTK (TH131) NGÀY'!$G$3,CT!$D$5:$D$143,'BTHCTTK (TH131) NGÀY'!A151)</f>
        <v>0</v>
      </c>
      <c r="J151" s="69">
        <f>SUMIFS(CT!$H$5:$H$143,CT!$A$5:$A$143,"&gt;="&amp;$D$3,CT!$A$5:$A$143,"&lt;="&amp;$G$3,CT!$E$5:$E$143,'BTHCTTK (TH131) NGÀY'!A151)</f>
        <v>4940000</v>
      </c>
      <c r="K151" s="69">
        <f t="shared" si="12"/>
        <v>0</v>
      </c>
      <c r="L151" s="69">
        <f t="shared" si="13"/>
        <v>4940000</v>
      </c>
      <c r="M151" t="b">
        <f t="shared" si="14"/>
        <v>0</v>
      </c>
    </row>
    <row r="152" spans="1:13" hidden="1" x14ac:dyDescent="0.25">
      <c r="A152" s="93" t="str">
        <f>DMTK!B151</f>
        <v>3383</v>
      </c>
      <c r="B152" s="65" t="str">
        <f>VLOOKUP(A152,DMTK!$B$5:$L$263,3,0)</f>
        <v>Bảo hiểm xã hội</v>
      </c>
      <c r="C152" s="69">
        <f>SUMIFS(DMTK!$K$5:$K$263,DMTK!$B$5:$B$263,A152&amp;"*")</f>
        <v>0</v>
      </c>
      <c r="D152" s="69">
        <f>SUMIFS(DMTK!$L$5:$L$263,DMTK!$B$5:$B$263,'BTHCTTK (TH131) NGÀY'!A152&amp;"*")</f>
        <v>20000000</v>
      </c>
      <c r="E152" s="69">
        <f>SUMIFS(CT!$H$5:$H$143,CT!$A$5:$A$143,"&lt;"&amp;'BTHCTTK (TH131) NGÀY'!$D$3,CT!$D$5:$D$143,'BTHCTTK (TH131) NGÀY'!A152)</f>
        <v>0</v>
      </c>
      <c r="F152" s="69">
        <f>SUMIFS(CT!$H$5:$H$143,CT!$A$5:$A$143,"&lt;"&amp;'BTHCTTK (TH131) NGÀY'!$D$3,CT!$E$5:$E$143,'BTHCTTK (TH131) NGÀY'!A152)</f>
        <v>0</v>
      </c>
      <c r="G152" s="69">
        <f t="shared" si="10"/>
        <v>0</v>
      </c>
      <c r="H152" s="69">
        <f t="shared" si="11"/>
        <v>20000000</v>
      </c>
      <c r="I152" s="69">
        <f>SUMIFS(CT!$H$5:$H$143,CT!$A$5:$A$143,"&gt;="&amp;'BTHCTTK (TH131) NGÀY'!$D$3,CT!$A$5:$A$143,"&lt;="&amp;'BTHCTTK (TH131) NGÀY'!$G$3,CT!$D$5:$D$143,'BTHCTTK (TH131) NGÀY'!A152)</f>
        <v>0</v>
      </c>
      <c r="J152" s="69">
        <f>SUMIFS(CT!$H$5:$H$143,CT!$A$5:$A$143,"&gt;="&amp;$D$3,CT!$A$5:$A$143,"&lt;="&amp;$G$3,CT!$E$5:$E$143,'BTHCTTK (TH131) NGÀY'!A152)</f>
        <v>39520000</v>
      </c>
      <c r="K152" s="69">
        <f t="shared" si="12"/>
        <v>0</v>
      </c>
      <c r="L152" s="69">
        <f t="shared" si="13"/>
        <v>59520000</v>
      </c>
      <c r="M152" t="b">
        <f t="shared" si="14"/>
        <v>0</v>
      </c>
    </row>
    <row r="153" spans="1:13" hidden="1" x14ac:dyDescent="0.25">
      <c r="A153" s="93" t="str">
        <f>DMTK!B152</f>
        <v>3384</v>
      </c>
      <c r="B153" s="65" t="str">
        <f>VLOOKUP(A153,DMTK!$B$5:$L$263,3,0)</f>
        <v>Bảo hiểm y tế</v>
      </c>
      <c r="C153" s="69">
        <f>SUMIFS(DMTK!$K$5:$K$263,DMTK!$B$5:$B$263,A153&amp;"*")</f>
        <v>0</v>
      </c>
      <c r="D153" s="69">
        <f>SUMIFS(DMTK!$L$5:$L$263,DMTK!$B$5:$B$263,'BTHCTTK (TH131) NGÀY'!A153&amp;"*")</f>
        <v>0</v>
      </c>
      <c r="E153" s="69">
        <f>SUMIFS(CT!$H$5:$H$143,CT!$A$5:$A$143,"&lt;"&amp;'BTHCTTK (TH131) NGÀY'!$D$3,CT!$D$5:$D$143,'BTHCTTK (TH131) NGÀY'!A153)</f>
        <v>0</v>
      </c>
      <c r="F153" s="69">
        <f>SUMIFS(CT!$H$5:$H$143,CT!$A$5:$A$143,"&lt;"&amp;'BTHCTTK (TH131) NGÀY'!$D$3,CT!$E$5:$E$143,'BTHCTTK (TH131) NGÀY'!A153)</f>
        <v>0</v>
      </c>
      <c r="G153" s="69">
        <f t="shared" si="10"/>
        <v>0</v>
      </c>
      <c r="H153" s="69">
        <f t="shared" si="11"/>
        <v>0</v>
      </c>
      <c r="I153" s="69">
        <f>SUMIFS(CT!$H$5:$H$143,CT!$A$5:$A$143,"&gt;="&amp;'BTHCTTK (TH131) NGÀY'!$D$3,CT!$A$5:$A$143,"&lt;="&amp;'BTHCTTK (TH131) NGÀY'!$G$3,CT!$D$5:$D$143,'BTHCTTK (TH131) NGÀY'!A153)</f>
        <v>0</v>
      </c>
      <c r="J153" s="69">
        <f>SUMIFS(CT!$H$5:$H$143,CT!$A$5:$A$143,"&gt;="&amp;$D$3,CT!$A$5:$A$143,"&lt;="&amp;$G$3,CT!$E$5:$E$143,'BTHCTTK (TH131) NGÀY'!A153)</f>
        <v>7410000</v>
      </c>
      <c r="K153" s="69">
        <f t="shared" si="12"/>
        <v>0</v>
      </c>
      <c r="L153" s="69">
        <f t="shared" si="13"/>
        <v>7410000</v>
      </c>
      <c r="M153" t="b">
        <f t="shared" si="14"/>
        <v>0</v>
      </c>
    </row>
    <row r="154" spans="1:13" hidden="1" x14ac:dyDescent="0.25">
      <c r="A154" s="93" t="str">
        <f>DMTK!B153</f>
        <v>3385</v>
      </c>
      <c r="B154" s="65" t="str">
        <f>VLOOKUP(A154,DMTK!$B$5:$L$263,3,0)</f>
        <v>Phải trả về cổ phần hóa</v>
      </c>
      <c r="C154" s="69">
        <f>SUMIFS(DMTK!$K$5:$K$263,DMTK!$B$5:$B$263,A154&amp;"*")</f>
        <v>0</v>
      </c>
      <c r="D154" s="69">
        <f>SUMIFS(DMTK!$L$5:$L$263,DMTK!$B$5:$B$263,'BTHCTTK (TH131) NGÀY'!A154&amp;"*")</f>
        <v>0</v>
      </c>
      <c r="E154" s="69">
        <f>SUMIFS(CT!$H$5:$H$143,CT!$A$5:$A$143,"&lt;"&amp;'BTHCTTK (TH131) NGÀY'!$D$3,CT!$D$5:$D$143,'BTHCTTK (TH131) NGÀY'!A154)</f>
        <v>0</v>
      </c>
      <c r="F154" s="69">
        <f>SUMIFS(CT!$H$5:$H$143,CT!$A$5:$A$143,"&lt;"&amp;'BTHCTTK (TH131) NGÀY'!$D$3,CT!$E$5:$E$143,'BTHCTTK (TH131) NGÀY'!A154)</f>
        <v>0</v>
      </c>
      <c r="G154" s="69">
        <f t="shared" si="10"/>
        <v>0</v>
      </c>
      <c r="H154" s="69">
        <f t="shared" si="11"/>
        <v>0</v>
      </c>
      <c r="I154" s="69">
        <f>SUMIFS(CT!$H$5:$H$143,CT!$A$5:$A$143,"&gt;="&amp;'BTHCTTK (TH131) NGÀY'!$D$3,CT!$A$5:$A$143,"&lt;="&amp;'BTHCTTK (TH131) NGÀY'!$G$3,CT!$D$5:$D$143,'BTHCTTK (TH131) NGÀY'!A154)</f>
        <v>0</v>
      </c>
      <c r="J154" s="69">
        <f>SUMIFS(CT!$H$5:$H$143,CT!$A$5:$A$143,"&gt;="&amp;$D$3,CT!$A$5:$A$143,"&lt;="&amp;$G$3,CT!$E$5:$E$143,'BTHCTTK (TH131) NGÀY'!A154)</f>
        <v>0</v>
      </c>
      <c r="K154" s="69">
        <f t="shared" si="12"/>
        <v>0</v>
      </c>
      <c r="L154" s="69">
        <f t="shared" si="13"/>
        <v>0</v>
      </c>
      <c r="M154" t="b">
        <f t="shared" si="14"/>
        <v>0</v>
      </c>
    </row>
    <row r="155" spans="1:13" hidden="1" x14ac:dyDescent="0.25">
      <c r="A155" s="93" t="str">
        <f>DMTK!B154</f>
        <v>3386</v>
      </c>
      <c r="B155" s="65" t="str">
        <f>VLOOKUP(A155,DMTK!$B$5:$L$263,3,0)</f>
        <v>Bảo hiểm thất nghiệp</v>
      </c>
      <c r="C155" s="69">
        <f>SUMIFS(DMTK!$K$5:$K$263,DMTK!$B$5:$B$263,A155&amp;"*")</f>
        <v>0</v>
      </c>
      <c r="D155" s="69">
        <f>SUMIFS(DMTK!$L$5:$L$263,DMTK!$B$5:$B$263,'BTHCTTK (TH131) NGÀY'!A155&amp;"*")</f>
        <v>0</v>
      </c>
      <c r="E155" s="69">
        <f>SUMIFS(CT!$H$5:$H$143,CT!$A$5:$A$143,"&lt;"&amp;'BTHCTTK (TH131) NGÀY'!$D$3,CT!$D$5:$D$143,'BTHCTTK (TH131) NGÀY'!A155)</f>
        <v>0</v>
      </c>
      <c r="F155" s="69">
        <f>SUMIFS(CT!$H$5:$H$143,CT!$A$5:$A$143,"&lt;"&amp;'BTHCTTK (TH131) NGÀY'!$D$3,CT!$E$5:$E$143,'BTHCTTK (TH131) NGÀY'!A155)</f>
        <v>0</v>
      </c>
      <c r="G155" s="69">
        <f t="shared" si="10"/>
        <v>0</v>
      </c>
      <c r="H155" s="69">
        <f t="shared" si="11"/>
        <v>0</v>
      </c>
      <c r="I155" s="69">
        <f>SUMIFS(CT!$H$5:$H$143,CT!$A$5:$A$143,"&gt;="&amp;'BTHCTTK (TH131) NGÀY'!$D$3,CT!$A$5:$A$143,"&lt;="&amp;'BTHCTTK (TH131) NGÀY'!$G$3,CT!$D$5:$D$143,'BTHCTTK (TH131) NGÀY'!A155)</f>
        <v>0</v>
      </c>
      <c r="J155" s="69">
        <f>SUMIFS(CT!$H$5:$H$143,CT!$A$5:$A$143,"&gt;="&amp;$D$3,CT!$A$5:$A$143,"&lt;="&amp;$G$3,CT!$E$5:$E$143,'BTHCTTK (TH131) NGÀY'!A155)</f>
        <v>0</v>
      </c>
      <c r="K155" s="69">
        <f t="shared" si="12"/>
        <v>0</v>
      </c>
      <c r="L155" s="69">
        <f t="shared" si="13"/>
        <v>0</v>
      </c>
      <c r="M155" t="b">
        <f t="shared" si="14"/>
        <v>0</v>
      </c>
    </row>
    <row r="156" spans="1:13" hidden="1" x14ac:dyDescent="0.25">
      <c r="A156" s="93" t="str">
        <f>DMTK!B155</f>
        <v>33871</v>
      </c>
      <c r="B156" s="65" t="str">
        <f>VLOOKUP(A156,DMTK!$B$5:$L$263,3,0)</f>
        <v>Doanh thu chưa thực hiện</v>
      </c>
      <c r="C156" s="69">
        <f>SUMIFS(DMTK!$K$5:$K$263,DMTK!$B$5:$B$263,A156&amp;"*")</f>
        <v>0</v>
      </c>
      <c r="D156" s="69">
        <f>SUMIFS(DMTK!$L$5:$L$263,DMTK!$B$5:$B$263,'BTHCTTK (TH131) NGÀY'!A156&amp;"*")</f>
        <v>0</v>
      </c>
      <c r="E156" s="69">
        <f>SUMIFS(CT!$H$5:$H$143,CT!$A$5:$A$143,"&lt;"&amp;'BTHCTTK (TH131) NGÀY'!$D$3,CT!$D$5:$D$143,'BTHCTTK (TH131) NGÀY'!A156)</f>
        <v>0</v>
      </c>
      <c r="F156" s="69">
        <f>SUMIFS(CT!$H$5:$H$143,CT!$A$5:$A$143,"&lt;"&amp;'BTHCTTK (TH131) NGÀY'!$D$3,CT!$E$5:$E$143,'BTHCTTK (TH131) NGÀY'!A156)</f>
        <v>0</v>
      </c>
      <c r="G156" s="69">
        <f t="shared" si="10"/>
        <v>0</v>
      </c>
      <c r="H156" s="69">
        <f t="shared" si="11"/>
        <v>0</v>
      </c>
      <c r="I156" s="69">
        <f>SUMIFS(CT!$H$5:$H$143,CT!$A$5:$A$143,"&gt;="&amp;'BTHCTTK (TH131) NGÀY'!$D$3,CT!$A$5:$A$143,"&lt;="&amp;'BTHCTTK (TH131) NGÀY'!$G$3,CT!$D$5:$D$143,'BTHCTTK (TH131) NGÀY'!A156)</f>
        <v>0</v>
      </c>
      <c r="J156" s="69">
        <f>SUMIFS(CT!$H$5:$H$143,CT!$A$5:$A$143,"&gt;="&amp;$D$3,CT!$A$5:$A$143,"&lt;="&amp;$G$3,CT!$E$5:$E$143,'BTHCTTK (TH131) NGÀY'!A156)</f>
        <v>0</v>
      </c>
      <c r="K156" s="69">
        <f t="shared" si="12"/>
        <v>0</v>
      </c>
      <c r="L156" s="69">
        <f t="shared" si="13"/>
        <v>0</v>
      </c>
      <c r="M156" t="b">
        <f t="shared" si="14"/>
        <v>0</v>
      </c>
    </row>
    <row r="157" spans="1:13" hidden="1" x14ac:dyDescent="0.25">
      <c r="A157" s="93" t="str">
        <f>DMTK!B156</f>
        <v>33872</v>
      </c>
      <c r="B157" s="65" t="str">
        <f>VLOOKUP(A157,DMTK!$B$5:$L$263,3,0)</f>
        <v>Doanh thu chưa thực hiện (sau 12 tháng)</v>
      </c>
      <c r="C157" s="69">
        <f>SUMIFS(DMTK!$K$5:$K$263,DMTK!$B$5:$B$263,A157&amp;"*")</f>
        <v>0</v>
      </c>
      <c r="D157" s="69">
        <f>SUMIFS(DMTK!$L$5:$L$263,DMTK!$B$5:$B$263,'BTHCTTK (TH131) NGÀY'!A157&amp;"*")</f>
        <v>0</v>
      </c>
      <c r="E157" s="69">
        <f>SUMIFS(CT!$H$5:$H$143,CT!$A$5:$A$143,"&lt;"&amp;'BTHCTTK (TH131) NGÀY'!$D$3,CT!$D$5:$D$143,'BTHCTTK (TH131) NGÀY'!A157)</f>
        <v>0</v>
      </c>
      <c r="F157" s="69">
        <f>SUMIFS(CT!$H$5:$H$143,CT!$A$5:$A$143,"&lt;"&amp;'BTHCTTK (TH131) NGÀY'!$D$3,CT!$E$5:$E$143,'BTHCTTK (TH131) NGÀY'!A157)</f>
        <v>0</v>
      </c>
      <c r="G157" s="69">
        <f t="shared" si="10"/>
        <v>0</v>
      </c>
      <c r="H157" s="69">
        <f t="shared" si="11"/>
        <v>0</v>
      </c>
      <c r="I157" s="69">
        <f>SUMIFS(CT!$H$5:$H$143,CT!$A$5:$A$143,"&gt;="&amp;'BTHCTTK (TH131) NGÀY'!$D$3,CT!$A$5:$A$143,"&lt;="&amp;'BTHCTTK (TH131) NGÀY'!$G$3,CT!$D$5:$D$143,'BTHCTTK (TH131) NGÀY'!A157)</f>
        <v>0</v>
      </c>
      <c r="J157" s="69">
        <f>SUMIFS(CT!$H$5:$H$143,CT!$A$5:$A$143,"&gt;="&amp;$D$3,CT!$A$5:$A$143,"&lt;="&amp;$G$3,CT!$E$5:$E$143,'BTHCTTK (TH131) NGÀY'!A157)</f>
        <v>0</v>
      </c>
      <c r="K157" s="69">
        <f t="shared" si="12"/>
        <v>0</v>
      </c>
      <c r="L157" s="69">
        <f t="shared" si="13"/>
        <v>0</v>
      </c>
      <c r="M157" t="b">
        <f t="shared" si="14"/>
        <v>0</v>
      </c>
    </row>
    <row r="158" spans="1:13" hidden="1" x14ac:dyDescent="0.25">
      <c r="A158" s="93" t="str">
        <f>DMTK!B157</f>
        <v>3388</v>
      </c>
      <c r="B158" s="65" t="str">
        <f>VLOOKUP(A158,DMTK!$B$5:$L$263,3,0)</f>
        <v>Phải trả, phải nộp khác</v>
      </c>
      <c r="C158" s="69">
        <f>SUMIFS(DMTK!$K$5:$K$263,DMTK!$B$5:$B$263,A158&amp;"*")</f>
        <v>0</v>
      </c>
      <c r="D158" s="69">
        <f>SUMIFS(DMTK!$L$5:$L$263,DMTK!$B$5:$B$263,'BTHCTTK (TH131) NGÀY'!A158&amp;"*")</f>
        <v>38800000</v>
      </c>
      <c r="E158" s="69">
        <f>SUMIFS(CT!$H$5:$H$143,CT!$A$5:$A$143,"&lt;"&amp;'BTHCTTK (TH131) NGÀY'!$D$3,CT!$D$5:$D$143,'BTHCTTK (TH131) NGÀY'!A158)</f>
        <v>0</v>
      </c>
      <c r="F158" s="69">
        <f>SUMIFS(CT!$H$5:$H$143,CT!$A$5:$A$143,"&lt;"&amp;'BTHCTTK (TH131) NGÀY'!$D$3,CT!$E$5:$E$143,'BTHCTTK (TH131) NGÀY'!A158)</f>
        <v>0</v>
      </c>
      <c r="G158" s="69">
        <f t="shared" si="10"/>
        <v>0</v>
      </c>
      <c r="H158" s="69">
        <f t="shared" si="11"/>
        <v>38800000</v>
      </c>
      <c r="I158" s="69">
        <f>SUMIFS(CT!$H$5:$H$143,CT!$A$5:$A$143,"&gt;="&amp;'BTHCTTK (TH131) NGÀY'!$D$3,CT!$A$5:$A$143,"&lt;="&amp;'BTHCTTK (TH131) NGÀY'!$G$3,CT!$D$5:$D$143,'BTHCTTK (TH131) NGÀY'!A158)</f>
        <v>0</v>
      </c>
      <c r="J158" s="69">
        <f>SUMIFS(CT!$H$5:$H$143,CT!$A$5:$A$143,"&gt;="&amp;$D$3,CT!$A$5:$A$143,"&lt;="&amp;$G$3,CT!$E$5:$E$143,'BTHCTTK (TH131) NGÀY'!A158)</f>
        <v>2470000</v>
      </c>
      <c r="K158" s="69">
        <f t="shared" si="12"/>
        <v>0</v>
      </c>
      <c r="L158" s="69">
        <f t="shared" si="13"/>
        <v>41270000</v>
      </c>
      <c r="M158" t="b">
        <f t="shared" si="14"/>
        <v>0</v>
      </c>
    </row>
    <row r="159" spans="1:13" hidden="1" x14ac:dyDescent="0.25">
      <c r="A159" s="93" t="str">
        <f>DMTK!B158</f>
        <v>3411</v>
      </c>
      <c r="B159" s="65" t="str">
        <f>VLOOKUP(A159,DMTK!$B$5:$L$263,3,0)</f>
        <v>Các khoản đi vay</v>
      </c>
      <c r="C159" s="69">
        <f>SUMIFS(DMTK!$K$5:$K$263,DMTK!$B$5:$B$263,A159&amp;"*")</f>
        <v>0</v>
      </c>
      <c r="D159" s="69">
        <f>SUMIFS(DMTK!$L$5:$L$263,DMTK!$B$5:$B$263,'BTHCTTK (TH131) NGÀY'!A159&amp;"*")</f>
        <v>385000000</v>
      </c>
      <c r="E159" s="69">
        <f>SUMIFS(CT!$H$5:$H$143,CT!$A$5:$A$143,"&lt;"&amp;'BTHCTTK (TH131) NGÀY'!$D$3,CT!$D$5:$D$143,'BTHCTTK (TH131) NGÀY'!A159)</f>
        <v>0</v>
      </c>
      <c r="F159" s="69">
        <f>SUMIFS(CT!$H$5:$H$143,CT!$A$5:$A$143,"&lt;"&amp;'BTHCTTK (TH131) NGÀY'!$D$3,CT!$E$5:$E$143,'BTHCTTK (TH131) NGÀY'!A159)</f>
        <v>0</v>
      </c>
      <c r="G159" s="69">
        <f t="shared" si="10"/>
        <v>0</v>
      </c>
      <c r="H159" s="69">
        <f t="shared" si="11"/>
        <v>385000000</v>
      </c>
      <c r="I159" s="69">
        <f>SUMIFS(CT!$H$5:$H$143,CT!$A$5:$A$143,"&gt;="&amp;'BTHCTTK (TH131) NGÀY'!$D$3,CT!$A$5:$A$143,"&lt;="&amp;'BTHCTTK (TH131) NGÀY'!$G$3,CT!$D$5:$D$143,'BTHCTTK (TH131) NGÀY'!A159)</f>
        <v>0</v>
      </c>
      <c r="J159" s="69">
        <f>SUMIFS(CT!$H$5:$H$143,CT!$A$5:$A$143,"&gt;="&amp;$D$3,CT!$A$5:$A$143,"&lt;="&amp;$G$3,CT!$E$5:$E$143,'BTHCTTK (TH131) NGÀY'!A159)</f>
        <v>0</v>
      </c>
      <c r="K159" s="69">
        <f t="shared" si="12"/>
        <v>0</v>
      </c>
      <c r="L159" s="69">
        <f t="shared" si="13"/>
        <v>385000000</v>
      </c>
      <c r="M159" t="b">
        <f t="shared" si="14"/>
        <v>0</v>
      </c>
    </row>
    <row r="160" spans="1:13" hidden="1" x14ac:dyDescent="0.25">
      <c r="A160" s="93" t="str">
        <f>DMTK!B159</f>
        <v>3412</v>
      </c>
      <c r="B160" s="65" t="str">
        <f>VLOOKUP(A160,DMTK!$B$5:$L$263,3,0)</f>
        <v>Nợ thuê tài chính</v>
      </c>
      <c r="C160" s="69">
        <f>SUMIFS(DMTK!$K$5:$K$263,DMTK!$B$5:$B$263,A160&amp;"*")</f>
        <v>0</v>
      </c>
      <c r="D160" s="69">
        <f>SUMIFS(DMTK!$L$5:$L$263,DMTK!$B$5:$B$263,'BTHCTTK (TH131) NGÀY'!A160&amp;"*")</f>
        <v>0</v>
      </c>
      <c r="E160" s="69">
        <f>SUMIFS(CT!$H$5:$H$143,CT!$A$5:$A$143,"&lt;"&amp;'BTHCTTK (TH131) NGÀY'!$D$3,CT!$D$5:$D$143,'BTHCTTK (TH131) NGÀY'!A160)</f>
        <v>0</v>
      </c>
      <c r="F160" s="69">
        <f>SUMIFS(CT!$H$5:$H$143,CT!$A$5:$A$143,"&lt;"&amp;'BTHCTTK (TH131) NGÀY'!$D$3,CT!$E$5:$E$143,'BTHCTTK (TH131) NGÀY'!A160)</f>
        <v>0</v>
      </c>
      <c r="G160" s="69">
        <f t="shared" si="10"/>
        <v>0</v>
      </c>
      <c r="H160" s="69">
        <f t="shared" si="11"/>
        <v>0</v>
      </c>
      <c r="I160" s="69">
        <f>SUMIFS(CT!$H$5:$H$143,CT!$A$5:$A$143,"&gt;="&amp;'BTHCTTK (TH131) NGÀY'!$D$3,CT!$A$5:$A$143,"&lt;="&amp;'BTHCTTK (TH131) NGÀY'!$G$3,CT!$D$5:$D$143,'BTHCTTK (TH131) NGÀY'!A160)</f>
        <v>0</v>
      </c>
      <c r="J160" s="69">
        <f>SUMIFS(CT!$H$5:$H$143,CT!$A$5:$A$143,"&gt;="&amp;$D$3,CT!$A$5:$A$143,"&lt;="&amp;$G$3,CT!$E$5:$E$143,'BTHCTTK (TH131) NGÀY'!A160)</f>
        <v>0</v>
      </c>
      <c r="K160" s="69">
        <f t="shared" si="12"/>
        <v>0</v>
      </c>
      <c r="L160" s="69">
        <f t="shared" si="13"/>
        <v>0</v>
      </c>
      <c r="M160" t="b">
        <f t="shared" si="14"/>
        <v>0</v>
      </c>
    </row>
    <row r="161" spans="1:13" hidden="1" x14ac:dyDescent="0.25">
      <c r="A161" s="93" t="str">
        <f>DMTK!B160</f>
        <v>34311</v>
      </c>
      <c r="B161" s="65" t="str">
        <f>VLOOKUP(A161,DMTK!$B$5:$L$263,3,0)</f>
        <v>Mệnh giá trái phiếu</v>
      </c>
      <c r="C161" s="69">
        <f>SUMIFS(DMTK!$K$5:$K$263,DMTK!$B$5:$B$263,A161&amp;"*")</f>
        <v>0</v>
      </c>
      <c r="D161" s="69">
        <f>SUMIFS(DMTK!$L$5:$L$263,DMTK!$B$5:$B$263,'BTHCTTK (TH131) NGÀY'!A161&amp;"*")</f>
        <v>0</v>
      </c>
      <c r="E161" s="69">
        <f>SUMIFS(CT!$H$5:$H$143,CT!$A$5:$A$143,"&lt;"&amp;'BTHCTTK (TH131) NGÀY'!$D$3,CT!$D$5:$D$143,'BTHCTTK (TH131) NGÀY'!A161)</f>
        <v>0</v>
      </c>
      <c r="F161" s="69">
        <f>SUMIFS(CT!$H$5:$H$143,CT!$A$5:$A$143,"&lt;"&amp;'BTHCTTK (TH131) NGÀY'!$D$3,CT!$E$5:$E$143,'BTHCTTK (TH131) NGÀY'!A161)</f>
        <v>0</v>
      </c>
      <c r="G161" s="69">
        <f t="shared" si="10"/>
        <v>0</v>
      </c>
      <c r="H161" s="69">
        <f t="shared" si="11"/>
        <v>0</v>
      </c>
      <c r="I161" s="69">
        <f>SUMIFS(CT!$H$5:$H$143,CT!$A$5:$A$143,"&gt;="&amp;'BTHCTTK (TH131) NGÀY'!$D$3,CT!$A$5:$A$143,"&lt;="&amp;'BTHCTTK (TH131) NGÀY'!$G$3,CT!$D$5:$D$143,'BTHCTTK (TH131) NGÀY'!A161)</f>
        <v>0</v>
      </c>
      <c r="J161" s="69">
        <f>SUMIFS(CT!$H$5:$H$143,CT!$A$5:$A$143,"&gt;="&amp;$D$3,CT!$A$5:$A$143,"&lt;="&amp;$G$3,CT!$E$5:$E$143,'BTHCTTK (TH131) NGÀY'!A161)</f>
        <v>0</v>
      </c>
      <c r="K161" s="69">
        <f t="shared" si="12"/>
        <v>0</v>
      </c>
      <c r="L161" s="69">
        <f t="shared" si="13"/>
        <v>0</v>
      </c>
      <c r="M161" t="b">
        <f t="shared" si="14"/>
        <v>0</v>
      </c>
    </row>
    <row r="162" spans="1:13" hidden="1" x14ac:dyDescent="0.25">
      <c r="A162" s="93" t="str">
        <f>DMTK!B161</f>
        <v>34312</v>
      </c>
      <c r="B162" s="65" t="str">
        <f>VLOOKUP(A162,DMTK!$B$5:$L$263,3,0)</f>
        <v>Chiết khấu trái phiếu</v>
      </c>
      <c r="C162" s="69">
        <f>SUMIFS(DMTK!$K$5:$K$263,DMTK!$B$5:$B$263,A162&amp;"*")</f>
        <v>0</v>
      </c>
      <c r="D162" s="69">
        <f>SUMIFS(DMTK!$L$5:$L$263,DMTK!$B$5:$B$263,'BTHCTTK (TH131) NGÀY'!A162&amp;"*")</f>
        <v>0</v>
      </c>
      <c r="E162" s="69">
        <f>SUMIFS(CT!$H$5:$H$143,CT!$A$5:$A$143,"&lt;"&amp;'BTHCTTK (TH131) NGÀY'!$D$3,CT!$D$5:$D$143,'BTHCTTK (TH131) NGÀY'!A162)</f>
        <v>0</v>
      </c>
      <c r="F162" s="69">
        <f>SUMIFS(CT!$H$5:$H$143,CT!$A$5:$A$143,"&lt;"&amp;'BTHCTTK (TH131) NGÀY'!$D$3,CT!$E$5:$E$143,'BTHCTTK (TH131) NGÀY'!A162)</f>
        <v>0</v>
      </c>
      <c r="G162" s="69">
        <f t="shared" si="10"/>
        <v>0</v>
      </c>
      <c r="H162" s="69">
        <f t="shared" si="11"/>
        <v>0</v>
      </c>
      <c r="I162" s="69">
        <f>SUMIFS(CT!$H$5:$H$143,CT!$A$5:$A$143,"&gt;="&amp;'BTHCTTK (TH131) NGÀY'!$D$3,CT!$A$5:$A$143,"&lt;="&amp;'BTHCTTK (TH131) NGÀY'!$G$3,CT!$D$5:$D$143,'BTHCTTK (TH131) NGÀY'!A162)</f>
        <v>0</v>
      </c>
      <c r="J162" s="69">
        <f>SUMIFS(CT!$H$5:$H$143,CT!$A$5:$A$143,"&gt;="&amp;$D$3,CT!$A$5:$A$143,"&lt;="&amp;$G$3,CT!$E$5:$E$143,'BTHCTTK (TH131) NGÀY'!A162)</f>
        <v>0</v>
      </c>
      <c r="K162" s="69">
        <f t="shared" si="12"/>
        <v>0</v>
      </c>
      <c r="L162" s="69">
        <f t="shared" si="13"/>
        <v>0</v>
      </c>
      <c r="M162" t="b">
        <f t="shared" si="14"/>
        <v>0</v>
      </c>
    </row>
    <row r="163" spans="1:13" hidden="1" x14ac:dyDescent="0.25">
      <c r="A163" s="93" t="str">
        <f>DMTK!B162</f>
        <v>34313</v>
      </c>
      <c r="B163" s="65" t="str">
        <f>VLOOKUP(A163,DMTK!$B$5:$L$263,3,0)</f>
        <v>Phụ trội trái phiếu</v>
      </c>
      <c r="C163" s="69">
        <f>SUMIFS(DMTK!$K$5:$K$263,DMTK!$B$5:$B$263,A163&amp;"*")</f>
        <v>0</v>
      </c>
      <c r="D163" s="69">
        <f>SUMIFS(DMTK!$L$5:$L$263,DMTK!$B$5:$B$263,'BTHCTTK (TH131) NGÀY'!A163&amp;"*")</f>
        <v>0</v>
      </c>
      <c r="E163" s="69">
        <f>SUMIFS(CT!$H$5:$H$143,CT!$A$5:$A$143,"&lt;"&amp;'BTHCTTK (TH131) NGÀY'!$D$3,CT!$D$5:$D$143,'BTHCTTK (TH131) NGÀY'!A163)</f>
        <v>0</v>
      </c>
      <c r="F163" s="69">
        <f>SUMIFS(CT!$H$5:$H$143,CT!$A$5:$A$143,"&lt;"&amp;'BTHCTTK (TH131) NGÀY'!$D$3,CT!$E$5:$E$143,'BTHCTTK (TH131) NGÀY'!A163)</f>
        <v>0</v>
      </c>
      <c r="G163" s="69">
        <f t="shared" si="10"/>
        <v>0</v>
      </c>
      <c r="H163" s="69">
        <f t="shared" si="11"/>
        <v>0</v>
      </c>
      <c r="I163" s="69">
        <f>SUMIFS(CT!$H$5:$H$143,CT!$A$5:$A$143,"&gt;="&amp;'BTHCTTK (TH131) NGÀY'!$D$3,CT!$A$5:$A$143,"&lt;="&amp;'BTHCTTK (TH131) NGÀY'!$G$3,CT!$D$5:$D$143,'BTHCTTK (TH131) NGÀY'!A163)</f>
        <v>0</v>
      </c>
      <c r="J163" s="69">
        <f>SUMIFS(CT!$H$5:$H$143,CT!$A$5:$A$143,"&gt;="&amp;$D$3,CT!$A$5:$A$143,"&lt;="&amp;$G$3,CT!$E$5:$E$143,'BTHCTTK (TH131) NGÀY'!A163)</f>
        <v>0</v>
      </c>
      <c r="K163" s="69">
        <f t="shared" si="12"/>
        <v>0</v>
      </c>
      <c r="L163" s="69">
        <f t="shared" si="13"/>
        <v>0</v>
      </c>
      <c r="M163" t="b">
        <f t="shared" si="14"/>
        <v>0</v>
      </c>
    </row>
    <row r="164" spans="1:13" hidden="1" x14ac:dyDescent="0.25">
      <c r="A164" s="93" t="str">
        <f>DMTK!B163</f>
        <v>3432</v>
      </c>
      <c r="B164" s="65" t="str">
        <f>VLOOKUP(A164,DMTK!$B$5:$L$263,3,0)</f>
        <v>Trái phiếu chuyển đổi</v>
      </c>
      <c r="C164" s="69">
        <f>SUMIFS(DMTK!$K$5:$K$263,DMTK!$B$5:$B$263,A164&amp;"*")</f>
        <v>0</v>
      </c>
      <c r="D164" s="69">
        <f>SUMIFS(DMTK!$L$5:$L$263,DMTK!$B$5:$B$263,'BTHCTTK (TH131) NGÀY'!A164&amp;"*")</f>
        <v>0</v>
      </c>
      <c r="E164" s="69">
        <f>SUMIFS(CT!$H$5:$H$143,CT!$A$5:$A$143,"&lt;"&amp;'BTHCTTK (TH131) NGÀY'!$D$3,CT!$D$5:$D$143,'BTHCTTK (TH131) NGÀY'!A164)</f>
        <v>0</v>
      </c>
      <c r="F164" s="69">
        <f>SUMIFS(CT!$H$5:$H$143,CT!$A$5:$A$143,"&lt;"&amp;'BTHCTTK (TH131) NGÀY'!$D$3,CT!$E$5:$E$143,'BTHCTTK (TH131) NGÀY'!A164)</f>
        <v>0</v>
      </c>
      <c r="G164" s="69">
        <f t="shared" si="10"/>
        <v>0</v>
      </c>
      <c r="H164" s="69">
        <f t="shared" si="11"/>
        <v>0</v>
      </c>
      <c r="I164" s="69">
        <f>SUMIFS(CT!$H$5:$H$143,CT!$A$5:$A$143,"&gt;="&amp;'BTHCTTK (TH131) NGÀY'!$D$3,CT!$A$5:$A$143,"&lt;="&amp;'BTHCTTK (TH131) NGÀY'!$G$3,CT!$D$5:$D$143,'BTHCTTK (TH131) NGÀY'!A164)</f>
        <v>0</v>
      </c>
      <c r="J164" s="69">
        <f>SUMIFS(CT!$H$5:$H$143,CT!$A$5:$A$143,"&gt;="&amp;$D$3,CT!$A$5:$A$143,"&lt;="&amp;$G$3,CT!$E$5:$E$143,'BTHCTTK (TH131) NGÀY'!A164)</f>
        <v>0</v>
      </c>
      <c r="K164" s="69">
        <f t="shared" si="12"/>
        <v>0</v>
      </c>
      <c r="L164" s="69">
        <f t="shared" si="13"/>
        <v>0</v>
      </c>
      <c r="M164" t="b">
        <f t="shared" si="14"/>
        <v>0</v>
      </c>
    </row>
    <row r="165" spans="1:13" hidden="1" x14ac:dyDescent="0.25">
      <c r="A165" s="93" t="str">
        <f>DMTK!B164</f>
        <v>344</v>
      </c>
      <c r="B165" s="65" t="str">
        <f>VLOOKUP(A165,DMTK!$B$5:$L$263,3,0)</f>
        <v>Nhận ký quỹ, ký cược</v>
      </c>
      <c r="C165" s="69">
        <f>SUMIFS(DMTK!$K$5:$K$263,DMTK!$B$5:$B$263,A165&amp;"*")</f>
        <v>0</v>
      </c>
      <c r="D165" s="69">
        <f>SUMIFS(DMTK!$L$5:$L$263,DMTK!$B$5:$B$263,'BTHCTTK (TH131) NGÀY'!A165&amp;"*")</f>
        <v>0</v>
      </c>
      <c r="E165" s="69">
        <f>SUMIFS(CT!$H$5:$H$143,CT!$A$5:$A$143,"&lt;"&amp;'BTHCTTK (TH131) NGÀY'!$D$3,CT!$D$5:$D$143,'BTHCTTK (TH131) NGÀY'!A165)</f>
        <v>0</v>
      </c>
      <c r="F165" s="69">
        <f>SUMIFS(CT!$H$5:$H$143,CT!$A$5:$A$143,"&lt;"&amp;'BTHCTTK (TH131) NGÀY'!$D$3,CT!$E$5:$E$143,'BTHCTTK (TH131) NGÀY'!A165)</f>
        <v>0</v>
      </c>
      <c r="G165" s="69">
        <f t="shared" si="10"/>
        <v>0</v>
      </c>
      <c r="H165" s="69">
        <f t="shared" si="11"/>
        <v>0</v>
      </c>
      <c r="I165" s="69">
        <f>SUMIFS(CT!$H$5:$H$143,CT!$A$5:$A$143,"&gt;="&amp;'BTHCTTK (TH131) NGÀY'!$D$3,CT!$A$5:$A$143,"&lt;="&amp;'BTHCTTK (TH131) NGÀY'!$G$3,CT!$D$5:$D$143,'BTHCTTK (TH131) NGÀY'!A165)</f>
        <v>0</v>
      </c>
      <c r="J165" s="69">
        <f>SUMIFS(CT!$H$5:$H$143,CT!$A$5:$A$143,"&gt;="&amp;$D$3,CT!$A$5:$A$143,"&lt;="&amp;$G$3,CT!$E$5:$E$143,'BTHCTTK (TH131) NGÀY'!A165)</f>
        <v>0</v>
      </c>
      <c r="K165" s="69">
        <f t="shared" si="12"/>
        <v>0</v>
      </c>
      <c r="L165" s="69">
        <f t="shared" si="13"/>
        <v>0</v>
      </c>
      <c r="M165" t="b">
        <f t="shared" si="14"/>
        <v>0</v>
      </c>
    </row>
    <row r="166" spans="1:13" hidden="1" x14ac:dyDescent="0.25">
      <c r="A166" s="93" t="str">
        <f>DMTK!B165</f>
        <v>347</v>
      </c>
      <c r="B166" s="65" t="str">
        <f>VLOOKUP(A166,DMTK!$B$5:$L$263,3,0)</f>
        <v>Thuế thu nhập hoãn lại phải trả</v>
      </c>
      <c r="C166" s="69">
        <f>SUMIFS(DMTK!$K$5:$K$263,DMTK!$B$5:$B$263,A166&amp;"*")</f>
        <v>0</v>
      </c>
      <c r="D166" s="69">
        <f>SUMIFS(DMTK!$L$5:$L$263,DMTK!$B$5:$B$263,'BTHCTTK (TH131) NGÀY'!A166&amp;"*")</f>
        <v>0</v>
      </c>
      <c r="E166" s="69">
        <f>SUMIFS(CT!$H$5:$H$143,CT!$A$5:$A$143,"&lt;"&amp;'BTHCTTK (TH131) NGÀY'!$D$3,CT!$D$5:$D$143,'BTHCTTK (TH131) NGÀY'!A166)</f>
        <v>0</v>
      </c>
      <c r="F166" s="69">
        <f>SUMIFS(CT!$H$5:$H$143,CT!$A$5:$A$143,"&lt;"&amp;'BTHCTTK (TH131) NGÀY'!$D$3,CT!$E$5:$E$143,'BTHCTTK (TH131) NGÀY'!A166)</f>
        <v>0</v>
      </c>
      <c r="G166" s="69">
        <f t="shared" si="10"/>
        <v>0</v>
      </c>
      <c r="H166" s="69">
        <f t="shared" si="11"/>
        <v>0</v>
      </c>
      <c r="I166" s="69">
        <f>SUMIFS(CT!$H$5:$H$143,CT!$A$5:$A$143,"&gt;="&amp;'BTHCTTK (TH131) NGÀY'!$D$3,CT!$A$5:$A$143,"&lt;="&amp;'BTHCTTK (TH131) NGÀY'!$G$3,CT!$D$5:$D$143,'BTHCTTK (TH131) NGÀY'!A166)</f>
        <v>0</v>
      </c>
      <c r="J166" s="69">
        <f>SUMIFS(CT!$H$5:$H$143,CT!$A$5:$A$143,"&gt;="&amp;$D$3,CT!$A$5:$A$143,"&lt;="&amp;$G$3,CT!$E$5:$E$143,'BTHCTTK (TH131) NGÀY'!A166)</f>
        <v>0</v>
      </c>
      <c r="K166" s="69">
        <f t="shared" si="12"/>
        <v>0</v>
      </c>
      <c r="L166" s="69">
        <f t="shared" si="13"/>
        <v>0</v>
      </c>
      <c r="M166" t="b">
        <f t="shared" si="14"/>
        <v>0</v>
      </c>
    </row>
    <row r="167" spans="1:13" hidden="1" x14ac:dyDescent="0.25">
      <c r="A167" s="93" t="str">
        <f>DMTK!B166</f>
        <v>3521</v>
      </c>
      <c r="B167" s="65" t="str">
        <f>VLOOKUP(A167,DMTK!$B$5:$L$263,3,0)</f>
        <v>Dự phòng bảo hành sản phẩm hàng hóa</v>
      </c>
      <c r="C167" s="69">
        <f>SUMIFS(DMTK!$K$5:$K$263,DMTK!$B$5:$B$263,A167&amp;"*")</f>
        <v>0</v>
      </c>
      <c r="D167" s="69">
        <f>SUMIFS(DMTK!$L$5:$L$263,DMTK!$B$5:$B$263,'BTHCTTK (TH131) NGÀY'!A167&amp;"*")</f>
        <v>22000000</v>
      </c>
      <c r="E167" s="69">
        <f>SUMIFS(CT!$H$5:$H$143,CT!$A$5:$A$143,"&lt;"&amp;'BTHCTTK (TH131) NGÀY'!$D$3,CT!$D$5:$D$143,'BTHCTTK (TH131) NGÀY'!A167)</f>
        <v>0</v>
      </c>
      <c r="F167" s="69">
        <f>SUMIFS(CT!$H$5:$H$143,CT!$A$5:$A$143,"&lt;"&amp;'BTHCTTK (TH131) NGÀY'!$D$3,CT!$E$5:$E$143,'BTHCTTK (TH131) NGÀY'!A167)</f>
        <v>0</v>
      </c>
      <c r="G167" s="69">
        <f t="shared" si="10"/>
        <v>0</v>
      </c>
      <c r="H167" s="69">
        <f t="shared" si="11"/>
        <v>22000000</v>
      </c>
      <c r="I167" s="69">
        <f>SUMIFS(CT!$H$5:$H$143,CT!$A$5:$A$143,"&gt;="&amp;'BTHCTTK (TH131) NGÀY'!$D$3,CT!$A$5:$A$143,"&lt;="&amp;'BTHCTTK (TH131) NGÀY'!$G$3,CT!$D$5:$D$143,'BTHCTTK (TH131) NGÀY'!A167)</f>
        <v>0</v>
      </c>
      <c r="J167" s="69">
        <f>SUMIFS(CT!$H$5:$H$143,CT!$A$5:$A$143,"&gt;="&amp;$D$3,CT!$A$5:$A$143,"&lt;="&amp;$G$3,CT!$E$5:$E$143,'BTHCTTK (TH131) NGÀY'!A167)</f>
        <v>0</v>
      </c>
      <c r="K167" s="69">
        <f t="shared" si="12"/>
        <v>0</v>
      </c>
      <c r="L167" s="69">
        <f t="shared" si="13"/>
        <v>22000000</v>
      </c>
      <c r="M167" t="b">
        <f t="shared" si="14"/>
        <v>0</v>
      </c>
    </row>
    <row r="168" spans="1:13" hidden="1" x14ac:dyDescent="0.25">
      <c r="A168" s="93" t="str">
        <f>DMTK!B167</f>
        <v>3522</v>
      </c>
      <c r="B168" s="65" t="str">
        <f>VLOOKUP(A168,DMTK!$B$5:$L$263,3,0)</f>
        <v>Dự phòng bảo hành công trình xây dựng</v>
      </c>
      <c r="C168" s="69">
        <f>SUMIFS(DMTK!$K$5:$K$263,DMTK!$B$5:$B$263,A168&amp;"*")</f>
        <v>0</v>
      </c>
      <c r="D168" s="69">
        <f>SUMIFS(DMTK!$L$5:$L$263,DMTK!$B$5:$B$263,'BTHCTTK (TH131) NGÀY'!A168&amp;"*")</f>
        <v>0</v>
      </c>
      <c r="E168" s="69">
        <f>SUMIFS(CT!$H$5:$H$143,CT!$A$5:$A$143,"&lt;"&amp;'BTHCTTK (TH131) NGÀY'!$D$3,CT!$D$5:$D$143,'BTHCTTK (TH131) NGÀY'!A168)</f>
        <v>0</v>
      </c>
      <c r="F168" s="69">
        <f>SUMIFS(CT!$H$5:$H$143,CT!$A$5:$A$143,"&lt;"&amp;'BTHCTTK (TH131) NGÀY'!$D$3,CT!$E$5:$E$143,'BTHCTTK (TH131) NGÀY'!A168)</f>
        <v>0</v>
      </c>
      <c r="G168" s="69">
        <f t="shared" si="10"/>
        <v>0</v>
      </c>
      <c r="H168" s="69">
        <f t="shared" si="11"/>
        <v>0</v>
      </c>
      <c r="I168" s="69">
        <f>SUMIFS(CT!$H$5:$H$143,CT!$A$5:$A$143,"&gt;="&amp;'BTHCTTK (TH131) NGÀY'!$D$3,CT!$A$5:$A$143,"&lt;="&amp;'BTHCTTK (TH131) NGÀY'!$G$3,CT!$D$5:$D$143,'BTHCTTK (TH131) NGÀY'!A168)</f>
        <v>0</v>
      </c>
      <c r="J168" s="69">
        <f>SUMIFS(CT!$H$5:$H$143,CT!$A$5:$A$143,"&gt;="&amp;$D$3,CT!$A$5:$A$143,"&lt;="&amp;$G$3,CT!$E$5:$E$143,'BTHCTTK (TH131) NGÀY'!A168)</f>
        <v>0</v>
      </c>
      <c r="K168" s="69">
        <f t="shared" si="12"/>
        <v>0</v>
      </c>
      <c r="L168" s="69">
        <f t="shared" si="13"/>
        <v>0</v>
      </c>
      <c r="M168" t="b">
        <f t="shared" si="14"/>
        <v>0</v>
      </c>
    </row>
    <row r="169" spans="1:13" hidden="1" x14ac:dyDescent="0.25">
      <c r="A169" s="93" t="str">
        <f>DMTK!B168</f>
        <v>3523</v>
      </c>
      <c r="B169" s="65" t="str">
        <f>VLOOKUP(A169,DMTK!$B$5:$L$263,3,0)</f>
        <v>Dự phòng tái cơ cấu doanh nghiệp</v>
      </c>
      <c r="C169" s="69">
        <f>SUMIFS(DMTK!$K$5:$K$263,DMTK!$B$5:$B$263,A169&amp;"*")</f>
        <v>0</v>
      </c>
      <c r="D169" s="69">
        <f>SUMIFS(DMTK!$L$5:$L$263,DMTK!$B$5:$B$263,'BTHCTTK (TH131) NGÀY'!A169&amp;"*")</f>
        <v>0</v>
      </c>
      <c r="E169" s="69">
        <f>SUMIFS(CT!$H$5:$H$143,CT!$A$5:$A$143,"&lt;"&amp;'BTHCTTK (TH131) NGÀY'!$D$3,CT!$D$5:$D$143,'BTHCTTK (TH131) NGÀY'!A169)</f>
        <v>0</v>
      </c>
      <c r="F169" s="69">
        <f>SUMIFS(CT!$H$5:$H$143,CT!$A$5:$A$143,"&lt;"&amp;'BTHCTTK (TH131) NGÀY'!$D$3,CT!$E$5:$E$143,'BTHCTTK (TH131) NGÀY'!A169)</f>
        <v>0</v>
      </c>
      <c r="G169" s="69">
        <f t="shared" si="10"/>
        <v>0</v>
      </c>
      <c r="H169" s="69">
        <f t="shared" si="11"/>
        <v>0</v>
      </c>
      <c r="I169" s="69">
        <f>SUMIFS(CT!$H$5:$H$143,CT!$A$5:$A$143,"&gt;="&amp;'BTHCTTK (TH131) NGÀY'!$D$3,CT!$A$5:$A$143,"&lt;="&amp;'BTHCTTK (TH131) NGÀY'!$G$3,CT!$D$5:$D$143,'BTHCTTK (TH131) NGÀY'!A169)</f>
        <v>0</v>
      </c>
      <c r="J169" s="69">
        <f>SUMIFS(CT!$H$5:$H$143,CT!$A$5:$A$143,"&gt;="&amp;$D$3,CT!$A$5:$A$143,"&lt;="&amp;$G$3,CT!$E$5:$E$143,'BTHCTTK (TH131) NGÀY'!A169)</f>
        <v>0</v>
      </c>
      <c r="K169" s="69">
        <f t="shared" si="12"/>
        <v>0</v>
      </c>
      <c r="L169" s="69">
        <f t="shared" si="13"/>
        <v>0</v>
      </c>
      <c r="M169" t="b">
        <f t="shared" si="14"/>
        <v>0</v>
      </c>
    </row>
    <row r="170" spans="1:13" hidden="1" x14ac:dyDescent="0.25">
      <c r="A170" s="93" t="str">
        <f>DMTK!B169</f>
        <v>3524</v>
      </c>
      <c r="B170" s="65" t="str">
        <f>VLOOKUP(A170,DMTK!$B$5:$L$263,3,0)</f>
        <v>Dự phòng phải trả khác</v>
      </c>
      <c r="C170" s="69">
        <f>SUMIFS(DMTK!$K$5:$K$263,DMTK!$B$5:$B$263,A170&amp;"*")</f>
        <v>0</v>
      </c>
      <c r="D170" s="69">
        <f>SUMIFS(DMTK!$L$5:$L$263,DMTK!$B$5:$B$263,'BTHCTTK (TH131) NGÀY'!A170&amp;"*")</f>
        <v>0</v>
      </c>
      <c r="E170" s="69">
        <f>SUMIFS(CT!$H$5:$H$143,CT!$A$5:$A$143,"&lt;"&amp;'BTHCTTK (TH131) NGÀY'!$D$3,CT!$D$5:$D$143,'BTHCTTK (TH131) NGÀY'!A170)</f>
        <v>0</v>
      </c>
      <c r="F170" s="69">
        <f>SUMIFS(CT!$H$5:$H$143,CT!$A$5:$A$143,"&lt;"&amp;'BTHCTTK (TH131) NGÀY'!$D$3,CT!$E$5:$E$143,'BTHCTTK (TH131) NGÀY'!A170)</f>
        <v>0</v>
      </c>
      <c r="G170" s="69">
        <f t="shared" si="10"/>
        <v>0</v>
      </c>
      <c r="H170" s="69">
        <f t="shared" si="11"/>
        <v>0</v>
      </c>
      <c r="I170" s="69">
        <f>SUMIFS(CT!$H$5:$H$143,CT!$A$5:$A$143,"&gt;="&amp;'BTHCTTK (TH131) NGÀY'!$D$3,CT!$A$5:$A$143,"&lt;="&amp;'BTHCTTK (TH131) NGÀY'!$G$3,CT!$D$5:$D$143,'BTHCTTK (TH131) NGÀY'!A170)</f>
        <v>0</v>
      </c>
      <c r="J170" s="69">
        <f>SUMIFS(CT!$H$5:$H$143,CT!$A$5:$A$143,"&gt;="&amp;$D$3,CT!$A$5:$A$143,"&lt;="&amp;$G$3,CT!$E$5:$E$143,'BTHCTTK (TH131) NGÀY'!A170)</f>
        <v>0</v>
      </c>
      <c r="K170" s="69">
        <f t="shared" si="12"/>
        <v>0</v>
      </c>
      <c r="L170" s="69">
        <f t="shared" si="13"/>
        <v>0</v>
      </c>
      <c r="M170" t="b">
        <f t="shared" si="14"/>
        <v>0</v>
      </c>
    </row>
    <row r="171" spans="1:13" hidden="1" x14ac:dyDescent="0.25">
      <c r="A171" s="93" t="str">
        <f>DMTK!B170</f>
        <v>3531</v>
      </c>
      <c r="B171" s="65" t="str">
        <f>VLOOKUP(A171,DMTK!$B$5:$L$263,3,0)</f>
        <v>Quỹ khen thưởng</v>
      </c>
      <c r="C171" s="69">
        <f>SUMIFS(DMTK!$K$5:$K$263,DMTK!$B$5:$B$263,A171&amp;"*")</f>
        <v>0</v>
      </c>
      <c r="D171" s="69">
        <f>SUMIFS(DMTK!$L$5:$L$263,DMTK!$B$5:$B$263,'BTHCTTK (TH131) NGÀY'!A171&amp;"*")</f>
        <v>37000000</v>
      </c>
      <c r="E171" s="69">
        <f>SUMIFS(CT!$H$5:$H$143,CT!$A$5:$A$143,"&lt;"&amp;'BTHCTTK (TH131) NGÀY'!$D$3,CT!$D$5:$D$143,'BTHCTTK (TH131) NGÀY'!A171)</f>
        <v>0</v>
      </c>
      <c r="F171" s="69">
        <f>SUMIFS(CT!$H$5:$H$143,CT!$A$5:$A$143,"&lt;"&amp;'BTHCTTK (TH131) NGÀY'!$D$3,CT!$E$5:$E$143,'BTHCTTK (TH131) NGÀY'!A171)</f>
        <v>0</v>
      </c>
      <c r="G171" s="69">
        <f t="shared" si="10"/>
        <v>0</v>
      </c>
      <c r="H171" s="69">
        <f t="shared" si="11"/>
        <v>37000000</v>
      </c>
      <c r="I171" s="69">
        <f>SUMIFS(CT!$H$5:$H$143,CT!$A$5:$A$143,"&gt;="&amp;'BTHCTTK (TH131) NGÀY'!$D$3,CT!$A$5:$A$143,"&lt;="&amp;'BTHCTTK (TH131) NGÀY'!$G$3,CT!$D$5:$D$143,'BTHCTTK (TH131) NGÀY'!A171)</f>
        <v>0</v>
      </c>
      <c r="J171" s="69">
        <f>SUMIFS(CT!$H$5:$H$143,CT!$A$5:$A$143,"&gt;="&amp;$D$3,CT!$A$5:$A$143,"&lt;="&amp;$G$3,CT!$E$5:$E$143,'BTHCTTK (TH131) NGÀY'!A171)</f>
        <v>0</v>
      </c>
      <c r="K171" s="69">
        <f t="shared" si="12"/>
        <v>0</v>
      </c>
      <c r="L171" s="69">
        <f t="shared" si="13"/>
        <v>37000000</v>
      </c>
      <c r="M171" t="b">
        <f t="shared" si="14"/>
        <v>0</v>
      </c>
    </row>
    <row r="172" spans="1:13" hidden="1" x14ac:dyDescent="0.25">
      <c r="A172" s="93" t="str">
        <f>DMTK!B171</f>
        <v>3532</v>
      </c>
      <c r="B172" s="65" t="str">
        <f>VLOOKUP(A172,DMTK!$B$5:$L$263,3,0)</f>
        <v>Quỹ phúc lợi</v>
      </c>
      <c r="C172" s="69">
        <f>SUMIFS(DMTK!$K$5:$K$263,DMTK!$B$5:$B$263,A172&amp;"*")</f>
        <v>0</v>
      </c>
      <c r="D172" s="69">
        <f>SUMIFS(DMTK!$L$5:$L$263,DMTK!$B$5:$B$263,'BTHCTTK (TH131) NGÀY'!A172&amp;"*")</f>
        <v>26000000</v>
      </c>
      <c r="E172" s="69">
        <f>SUMIFS(CT!$H$5:$H$143,CT!$A$5:$A$143,"&lt;"&amp;'BTHCTTK (TH131) NGÀY'!$D$3,CT!$D$5:$D$143,'BTHCTTK (TH131) NGÀY'!A172)</f>
        <v>0</v>
      </c>
      <c r="F172" s="69">
        <f>SUMIFS(CT!$H$5:$H$143,CT!$A$5:$A$143,"&lt;"&amp;'BTHCTTK (TH131) NGÀY'!$D$3,CT!$E$5:$E$143,'BTHCTTK (TH131) NGÀY'!A172)</f>
        <v>0</v>
      </c>
      <c r="G172" s="69">
        <f t="shared" si="10"/>
        <v>0</v>
      </c>
      <c r="H172" s="69">
        <f t="shared" si="11"/>
        <v>26000000</v>
      </c>
      <c r="I172" s="69">
        <f>SUMIFS(CT!$H$5:$H$143,CT!$A$5:$A$143,"&gt;="&amp;'BTHCTTK (TH131) NGÀY'!$D$3,CT!$A$5:$A$143,"&lt;="&amp;'BTHCTTK (TH131) NGÀY'!$G$3,CT!$D$5:$D$143,'BTHCTTK (TH131) NGÀY'!A172)</f>
        <v>0</v>
      </c>
      <c r="J172" s="69">
        <f>SUMIFS(CT!$H$5:$H$143,CT!$A$5:$A$143,"&gt;="&amp;$D$3,CT!$A$5:$A$143,"&lt;="&amp;$G$3,CT!$E$5:$E$143,'BTHCTTK (TH131) NGÀY'!A172)</f>
        <v>0</v>
      </c>
      <c r="K172" s="69">
        <f t="shared" si="12"/>
        <v>0</v>
      </c>
      <c r="L172" s="69">
        <f t="shared" si="13"/>
        <v>26000000</v>
      </c>
      <c r="M172" t="b">
        <f t="shared" si="14"/>
        <v>0</v>
      </c>
    </row>
    <row r="173" spans="1:13" hidden="1" x14ac:dyDescent="0.25">
      <c r="A173" s="93" t="str">
        <f>DMTK!B172</f>
        <v>3533</v>
      </c>
      <c r="B173" s="65" t="str">
        <f>VLOOKUP(A173,DMTK!$B$5:$L$263,3,0)</f>
        <v>Quỹ phúc lợi đã hình thành TSCĐ</v>
      </c>
      <c r="C173" s="69">
        <f>SUMIFS(DMTK!$K$5:$K$263,DMTK!$B$5:$B$263,A173&amp;"*")</f>
        <v>0</v>
      </c>
      <c r="D173" s="69">
        <f>SUMIFS(DMTK!$L$5:$L$263,DMTK!$B$5:$B$263,'BTHCTTK (TH131) NGÀY'!A173&amp;"*")</f>
        <v>20000000</v>
      </c>
      <c r="E173" s="69">
        <f>SUMIFS(CT!$H$5:$H$143,CT!$A$5:$A$143,"&lt;"&amp;'BTHCTTK (TH131) NGÀY'!$D$3,CT!$D$5:$D$143,'BTHCTTK (TH131) NGÀY'!A173)</f>
        <v>0</v>
      </c>
      <c r="F173" s="69">
        <f>SUMIFS(CT!$H$5:$H$143,CT!$A$5:$A$143,"&lt;"&amp;'BTHCTTK (TH131) NGÀY'!$D$3,CT!$E$5:$E$143,'BTHCTTK (TH131) NGÀY'!A173)</f>
        <v>0</v>
      </c>
      <c r="G173" s="69">
        <f t="shared" si="10"/>
        <v>0</v>
      </c>
      <c r="H173" s="69">
        <f t="shared" si="11"/>
        <v>20000000</v>
      </c>
      <c r="I173" s="69">
        <f>SUMIFS(CT!$H$5:$H$143,CT!$A$5:$A$143,"&gt;="&amp;'BTHCTTK (TH131) NGÀY'!$D$3,CT!$A$5:$A$143,"&lt;="&amp;'BTHCTTK (TH131) NGÀY'!$G$3,CT!$D$5:$D$143,'BTHCTTK (TH131) NGÀY'!A173)</f>
        <v>0</v>
      </c>
      <c r="J173" s="69">
        <f>SUMIFS(CT!$H$5:$H$143,CT!$A$5:$A$143,"&gt;="&amp;$D$3,CT!$A$5:$A$143,"&lt;="&amp;$G$3,CT!$E$5:$E$143,'BTHCTTK (TH131) NGÀY'!A173)</f>
        <v>0</v>
      </c>
      <c r="K173" s="69">
        <f t="shared" si="12"/>
        <v>0</v>
      </c>
      <c r="L173" s="69">
        <f t="shared" si="13"/>
        <v>20000000</v>
      </c>
      <c r="M173" t="b">
        <f t="shared" si="14"/>
        <v>0</v>
      </c>
    </row>
    <row r="174" spans="1:13" hidden="1" x14ac:dyDescent="0.25">
      <c r="A174" s="93" t="str">
        <f>DMTK!B173</f>
        <v>3534</v>
      </c>
      <c r="B174" s="65" t="str">
        <f>VLOOKUP(A174,DMTK!$B$5:$L$263,3,0)</f>
        <v>Quỹ thưởng ban điều hành công ty</v>
      </c>
      <c r="C174" s="69">
        <f>SUMIFS(DMTK!$K$5:$K$263,DMTK!$B$5:$B$263,A174&amp;"*")</f>
        <v>0</v>
      </c>
      <c r="D174" s="69">
        <f>SUMIFS(DMTK!$L$5:$L$263,DMTK!$B$5:$B$263,'BTHCTTK (TH131) NGÀY'!A174&amp;"*")</f>
        <v>0</v>
      </c>
      <c r="E174" s="69">
        <f>SUMIFS(CT!$H$5:$H$143,CT!$A$5:$A$143,"&lt;"&amp;'BTHCTTK (TH131) NGÀY'!$D$3,CT!$D$5:$D$143,'BTHCTTK (TH131) NGÀY'!A174)</f>
        <v>0</v>
      </c>
      <c r="F174" s="69">
        <f>SUMIFS(CT!$H$5:$H$143,CT!$A$5:$A$143,"&lt;"&amp;'BTHCTTK (TH131) NGÀY'!$D$3,CT!$E$5:$E$143,'BTHCTTK (TH131) NGÀY'!A174)</f>
        <v>0</v>
      </c>
      <c r="G174" s="69">
        <f t="shared" si="10"/>
        <v>0</v>
      </c>
      <c r="H174" s="69">
        <f t="shared" si="11"/>
        <v>0</v>
      </c>
      <c r="I174" s="69">
        <f>SUMIFS(CT!$H$5:$H$143,CT!$A$5:$A$143,"&gt;="&amp;'BTHCTTK (TH131) NGÀY'!$D$3,CT!$A$5:$A$143,"&lt;="&amp;'BTHCTTK (TH131) NGÀY'!$G$3,CT!$D$5:$D$143,'BTHCTTK (TH131) NGÀY'!A174)</f>
        <v>0</v>
      </c>
      <c r="J174" s="69">
        <f>SUMIFS(CT!$H$5:$H$143,CT!$A$5:$A$143,"&gt;="&amp;$D$3,CT!$A$5:$A$143,"&lt;="&amp;$G$3,CT!$E$5:$E$143,'BTHCTTK (TH131) NGÀY'!A174)</f>
        <v>0</v>
      </c>
      <c r="K174" s="69">
        <f t="shared" si="12"/>
        <v>0</v>
      </c>
      <c r="L174" s="69">
        <f t="shared" si="13"/>
        <v>0</v>
      </c>
      <c r="M174" t="b">
        <f t="shared" si="14"/>
        <v>0</v>
      </c>
    </row>
    <row r="175" spans="1:13" hidden="1" x14ac:dyDescent="0.25">
      <c r="A175" s="93" t="str">
        <f>DMTK!B174</f>
        <v>3561</v>
      </c>
      <c r="B175" s="65" t="str">
        <f>VLOOKUP(A175,DMTK!$B$5:$L$263,3,0)</f>
        <v>Quỹ phát triển khoa học và công nghệ</v>
      </c>
      <c r="C175" s="69">
        <f>SUMIFS(DMTK!$K$5:$K$263,DMTK!$B$5:$B$263,A175&amp;"*")</f>
        <v>0</v>
      </c>
      <c r="D175" s="69">
        <f>SUMIFS(DMTK!$L$5:$L$263,DMTK!$B$5:$B$263,'BTHCTTK (TH131) NGÀY'!A175&amp;"*")</f>
        <v>0</v>
      </c>
      <c r="E175" s="69">
        <f>SUMIFS(CT!$H$5:$H$143,CT!$A$5:$A$143,"&lt;"&amp;'BTHCTTK (TH131) NGÀY'!$D$3,CT!$D$5:$D$143,'BTHCTTK (TH131) NGÀY'!A175)</f>
        <v>0</v>
      </c>
      <c r="F175" s="69">
        <f>SUMIFS(CT!$H$5:$H$143,CT!$A$5:$A$143,"&lt;"&amp;'BTHCTTK (TH131) NGÀY'!$D$3,CT!$E$5:$E$143,'BTHCTTK (TH131) NGÀY'!A175)</f>
        <v>0</v>
      </c>
      <c r="G175" s="69">
        <f t="shared" si="10"/>
        <v>0</v>
      </c>
      <c r="H175" s="69">
        <f t="shared" si="11"/>
        <v>0</v>
      </c>
      <c r="I175" s="69">
        <f>SUMIFS(CT!$H$5:$H$143,CT!$A$5:$A$143,"&gt;="&amp;'BTHCTTK (TH131) NGÀY'!$D$3,CT!$A$5:$A$143,"&lt;="&amp;'BTHCTTK (TH131) NGÀY'!$G$3,CT!$D$5:$D$143,'BTHCTTK (TH131) NGÀY'!A175)</f>
        <v>0</v>
      </c>
      <c r="J175" s="69">
        <f>SUMIFS(CT!$H$5:$H$143,CT!$A$5:$A$143,"&gt;="&amp;$D$3,CT!$A$5:$A$143,"&lt;="&amp;$G$3,CT!$E$5:$E$143,'BTHCTTK (TH131) NGÀY'!A175)</f>
        <v>0</v>
      </c>
      <c r="K175" s="69">
        <f t="shared" si="12"/>
        <v>0</v>
      </c>
      <c r="L175" s="69">
        <f t="shared" si="13"/>
        <v>0</v>
      </c>
      <c r="M175" t="b">
        <f t="shared" si="14"/>
        <v>0</v>
      </c>
    </row>
    <row r="176" spans="1:13" hidden="1" x14ac:dyDescent="0.25">
      <c r="A176" s="93" t="str">
        <f>DMTK!B175</f>
        <v>3562</v>
      </c>
      <c r="B176" s="65" t="str">
        <f>VLOOKUP(A176,DMTK!$B$5:$L$263,3,0)</f>
        <v>Quỹ phát triển khoa học và công nghệ đã hình thành TSCĐ</v>
      </c>
      <c r="C176" s="69">
        <f>SUMIFS(DMTK!$K$5:$K$263,DMTK!$B$5:$B$263,A176&amp;"*")</f>
        <v>0</v>
      </c>
      <c r="D176" s="69">
        <f>SUMIFS(DMTK!$L$5:$L$263,DMTK!$B$5:$B$263,'BTHCTTK (TH131) NGÀY'!A176&amp;"*")</f>
        <v>0</v>
      </c>
      <c r="E176" s="69">
        <f>SUMIFS(CT!$H$5:$H$143,CT!$A$5:$A$143,"&lt;"&amp;'BTHCTTK (TH131) NGÀY'!$D$3,CT!$D$5:$D$143,'BTHCTTK (TH131) NGÀY'!A176)</f>
        <v>0</v>
      </c>
      <c r="F176" s="69">
        <f>SUMIFS(CT!$H$5:$H$143,CT!$A$5:$A$143,"&lt;"&amp;'BTHCTTK (TH131) NGÀY'!$D$3,CT!$E$5:$E$143,'BTHCTTK (TH131) NGÀY'!A176)</f>
        <v>0</v>
      </c>
      <c r="G176" s="69">
        <f t="shared" si="10"/>
        <v>0</v>
      </c>
      <c r="H176" s="69">
        <f t="shared" si="11"/>
        <v>0</v>
      </c>
      <c r="I176" s="69">
        <f>SUMIFS(CT!$H$5:$H$143,CT!$A$5:$A$143,"&gt;="&amp;'BTHCTTK (TH131) NGÀY'!$D$3,CT!$A$5:$A$143,"&lt;="&amp;'BTHCTTK (TH131) NGÀY'!$G$3,CT!$D$5:$D$143,'BTHCTTK (TH131) NGÀY'!A176)</f>
        <v>0</v>
      </c>
      <c r="J176" s="69">
        <f>SUMIFS(CT!$H$5:$H$143,CT!$A$5:$A$143,"&gt;="&amp;$D$3,CT!$A$5:$A$143,"&lt;="&amp;$G$3,CT!$E$5:$E$143,'BTHCTTK (TH131) NGÀY'!A176)</f>
        <v>0</v>
      </c>
      <c r="K176" s="69">
        <f t="shared" si="12"/>
        <v>0</v>
      </c>
      <c r="L176" s="69">
        <f t="shared" si="13"/>
        <v>0</v>
      </c>
      <c r="M176" t="b">
        <f t="shared" si="14"/>
        <v>0</v>
      </c>
    </row>
    <row r="177" spans="1:13" hidden="1" x14ac:dyDescent="0.25">
      <c r="A177" s="93" t="str">
        <f>DMTK!B176</f>
        <v>357</v>
      </c>
      <c r="B177" s="65" t="str">
        <f>VLOOKUP(A177,DMTK!$B$5:$L$263,3,0)</f>
        <v>Quỹ bình ổn giá</v>
      </c>
      <c r="C177" s="69">
        <f>SUMIFS(DMTK!$K$5:$K$263,DMTK!$B$5:$B$263,A177&amp;"*")</f>
        <v>0</v>
      </c>
      <c r="D177" s="69">
        <f>SUMIFS(DMTK!$L$5:$L$263,DMTK!$B$5:$B$263,'BTHCTTK (TH131) NGÀY'!A177&amp;"*")</f>
        <v>0</v>
      </c>
      <c r="E177" s="69">
        <f>SUMIFS(CT!$H$5:$H$143,CT!$A$5:$A$143,"&lt;"&amp;'BTHCTTK (TH131) NGÀY'!$D$3,CT!$D$5:$D$143,'BTHCTTK (TH131) NGÀY'!A177)</f>
        <v>0</v>
      </c>
      <c r="F177" s="69">
        <f>SUMIFS(CT!$H$5:$H$143,CT!$A$5:$A$143,"&lt;"&amp;'BTHCTTK (TH131) NGÀY'!$D$3,CT!$E$5:$E$143,'BTHCTTK (TH131) NGÀY'!A177)</f>
        <v>0</v>
      </c>
      <c r="G177" s="69">
        <f t="shared" si="10"/>
        <v>0</v>
      </c>
      <c r="H177" s="69">
        <f t="shared" si="11"/>
        <v>0</v>
      </c>
      <c r="I177" s="69">
        <f>SUMIFS(CT!$H$5:$H$143,CT!$A$5:$A$143,"&gt;="&amp;'BTHCTTK (TH131) NGÀY'!$D$3,CT!$A$5:$A$143,"&lt;="&amp;'BTHCTTK (TH131) NGÀY'!$G$3,CT!$D$5:$D$143,'BTHCTTK (TH131) NGÀY'!A177)</f>
        <v>0</v>
      </c>
      <c r="J177" s="69">
        <f>SUMIFS(CT!$H$5:$H$143,CT!$A$5:$A$143,"&gt;="&amp;$D$3,CT!$A$5:$A$143,"&lt;="&amp;$G$3,CT!$E$5:$E$143,'BTHCTTK (TH131) NGÀY'!A177)</f>
        <v>0</v>
      </c>
      <c r="K177" s="69">
        <f t="shared" si="12"/>
        <v>0</v>
      </c>
      <c r="L177" s="69">
        <f t="shared" si="13"/>
        <v>0</v>
      </c>
      <c r="M177" t="b">
        <f t="shared" si="14"/>
        <v>0</v>
      </c>
    </row>
    <row r="178" spans="1:13" hidden="1" x14ac:dyDescent="0.25">
      <c r="A178" s="93" t="str">
        <f>DMTK!B177</f>
        <v>41111</v>
      </c>
      <c r="B178" s="65" t="str">
        <f>VLOOKUP(A178,DMTK!$B$5:$L$263,3,0)</f>
        <v>Cổ phiếu phổ thông có quyền biểu quyết</v>
      </c>
      <c r="C178" s="69">
        <f>SUMIFS(DMTK!$K$5:$K$263,DMTK!$B$5:$B$263,A178&amp;"*")</f>
        <v>0</v>
      </c>
      <c r="D178" s="69">
        <f>SUMIFS(DMTK!$L$5:$L$263,DMTK!$B$5:$B$263,'BTHCTTK (TH131) NGÀY'!A178&amp;"*")</f>
        <v>1430000000</v>
      </c>
      <c r="E178" s="69">
        <f>SUMIFS(CT!$H$5:$H$143,CT!$A$5:$A$143,"&lt;"&amp;'BTHCTTK (TH131) NGÀY'!$D$3,CT!$D$5:$D$143,'BTHCTTK (TH131) NGÀY'!A178)</f>
        <v>0</v>
      </c>
      <c r="F178" s="69">
        <f>SUMIFS(CT!$H$5:$H$143,CT!$A$5:$A$143,"&lt;"&amp;'BTHCTTK (TH131) NGÀY'!$D$3,CT!$E$5:$E$143,'BTHCTTK (TH131) NGÀY'!A178)</f>
        <v>0</v>
      </c>
      <c r="G178" s="69">
        <f t="shared" si="10"/>
        <v>0</v>
      </c>
      <c r="H178" s="69">
        <f t="shared" si="11"/>
        <v>1430000000</v>
      </c>
      <c r="I178" s="69">
        <f>SUMIFS(CT!$H$5:$H$143,CT!$A$5:$A$143,"&gt;="&amp;'BTHCTTK (TH131) NGÀY'!$D$3,CT!$A$5:$A$143,"&lt;="&amp;'BTHCTTK (TH131) NGÀY'!$G$3,CT!$D$5:$D$143,'BTHCTTK (TH131) NGÀY'!A178)</f>
        <v>0</v>
      </c>
      <c r="J178" s="69">
        <f>SUMIFS(CT!$H$5:$H$143,CT!$A$5:$A$143,"&gt;="&amp;$D$3,CT!$A$5:$A$143,"&lt;="&amp;$G$3,CT!$E$5:$E$143,'BTHCTTK (TH131) NGÀY'!A178)</f>
        <v>0</v>
      </c>
      <c r="K178" s="69">
        <f t="shared" si="12"/>
        <v>0</v>
      </c>
      <c r="L178" s="69">
        <f t="shared" si="13"/>
        <v>1430000000</v>
      </c>
      <c r="M178" t="b">
        <f t="shared" si="14"/>
        <v>0</v>
      </c>
    </row>
    <row r="179" spans="1:13" hidden="1" x14ac:dyDescent="0.25">
      <c r="A179" s="93" t="str">
        <f>DMTK!B178</f>
        <v>41112</v>
      </c>
      <c r="B179" s="65" t="str">
        <f>VLOOKUP(A179,DMTK!$B$5:$L$263,3,0)</f>
        <v>Cổ phiếu ưu đãi</v>
      </c>
      <c r="C179" s="69">
        <f>SUMIFS(DMTK!$K$5:$K$263,DMTK!$B$5:$B$263,A179&amp;"*")</f>
        <v>0</v>
      </c>
      <c r="D179" s="69">
        <f>SUMIFS(DMTK!$L$5:$L$263,DMTK!$B$5:$B$263,'BTHCTTK (TH131) NGÀY'!A179&amp;"*")</f>
        <v>43641000</v>
      </c>
      <c r="E179" s="69">
        <f>SUMIFS(CT!$H$5:$H$143,CT!$A$5:$A$143,"&lt;"&amp;'BTHCTTK (TH131) NGÀY'!$D$3,CT!$D$5:$D$143,'BTHCTTK (TH131) NGÀY'!A179)</f>
        <v>0</v>
      </c>
      <c r="F179" s="69">
        <f>SUMIFS(CT!$H$5:$H$143,CT!$A$5:$A$143,"&lt;"&amp;'BTHCTTK (TH131) NGÀY'!$D$3,CT!$E$5:$E$143,'BTHCTTK (TH131) NGÀY'!A179)</f>
        <v>0</v>
      </c>
      <c r="G179" s="69">
        <f t="shared" si="10"/>
        <v>0</v>
      </c>
      <c r="H179" s="69">
        <f t="shared" si="11"/>
        <v>43641000</v>
      </c>
      <c r="I179" s="69">
        <f>SUMIFS(CT!$H$5:$H$143,CT!$A$5:$A$143,"&gt;="&amp;'BTHCTTK (TH131) NGÀY'!$D$3,CT!$A$5:$A$143,"&lt;="&amp;'BTHCTTK (TH131) NGÀY'!$G$3,CT!$D$5:$D$143,'BTHCTTK (TH131) NGÀY'!A179)</f>
        <v>0</v>
      </c>
      <c r="J179" s="69">
        <f>SUMIFS(CT!$H$5:$H$143,CT!$A$5:$A$143,"&gt;="&amp;$D$3,CT!$A$5:$A$143,"&lt;="&amp;$G$3,CT!$E$5:$E$143,'BTHCTTK (TH131) NGÀY'!A179)</f>
        <v>0</v>
      </c>
      <c r="K179" s="69">
        <f t="shared" si="12"/>
        <v>0</v>
      </c>
      <c r="L179" s="69">
        <f t="shared" si="13"/>
        <v>43641000</v>
      </c>
      <c r="M179" t="b">
        <f t="shared" si="14"/>
        <v>0</v>
      </c>
    </row>
    <row r="180" spans="1:13" hidden="1" x14ac:dyDescent="0.25">
      <c r="A180" s="93" t="str">
        <f>DMTK!B179</f>
        <v>4112</v>
      </c>
      <c r="B180" s="65" t="str">
        <f>VLOOKUP(A180,DMTK!$B$5:$L$263,3,0)</f>
        <v>Thặng dư vốn cổ phần</v>
      </c>
      <c r="C180" s="69">
        <f>SUMIFS(DMTK!$K$5:$K$263,DMTK!$B$5:$B$263,A180&amp;"*")</f>
        <v>0</v>
      </c>
      <c r="D180" s="69">
        <f>SUMIFS(DMTK!$L$5:$L$263,DMTK!$B$5:$B$263,'BTHCTTK (TH131) NGÀY'!A180&amp;"*")</f>
        <v>0</v>
      </c>
      <c r="E180" s="69">
        <f>SUMIFS(CT!$H$5:$H$143,CT!$A$5:$A$143,"&lt;"&amp;'BTHCTTK (TH131) NGÀY'!$D$3,CT!$D$5:$D$143,'BTHCTTK (TH131) NGÀY'!A180)</f>
        <v>0</v>
      </c>
      <c r="F180" s="69">
        <f>SUMIFS(CT!$H$5:$H$143,CT!$A$5:$A$143,"&lt;"&amp;'BTHCTTK (TH131) NGÀY'!$D$3,CT!$E$5:$E$143,'BTHCTTK (TH131) NGÀY'!A180)</f>
        <v>0</v>
      </c>
      <c r="G180" s="69">
        <f t="shared" si="10"/>
        <v>0</v>
      </c>
      <c r="H180" s="69">
        <f t="shared" si="11"/>
        <v>0</v>
      </c>
      <c r="I180" s="69">
        <f>SUMIFS(CT!$H$5:$H$143,CT!$A$5:$A$143,"&gt;="&amp;'BTHCTTK (TH131) NGÀY'!$D$3,CT!$A$5:$A$143,"&lt;="&amp;'BTHCTTK (TH131) NGÀY'!$G$3,CT!$D$5:$D$143,'BTHCTTK (TH131) NGÀY'!A180)</f>
        <v>0</v>
      </c>
      <c r="J180" s="69">
        <f>SUMIFS(CT!$H$5:$H$143,CT!$A$5:$A$143,"&gt;="&amp;$D$3,CT!$A$5:$A$143,"&lt;="&amp;$G$3,CT!$E$5:$E$143,'BTHCTTK (TH131) NGÀY'!A180)</f>
        <v>0</v>
      </c>
      <c r="K180" s="69">
        <f t="shared" si="12"/>
        <v>0</v>
      </c>
      <c r="L180" s="69">
        <f t="shared" si="13"/>
        <v>0</v>
      </c>
      <c r="M180" t="b">
        <f t="shared" si="14"/>
        <v>0</v>
      </c>
    </row>
    <row r="181" spans="1:13" hidden="1" x14ac:dyDescent="0.25">
      <c r="A181" s="93" t="str">
        <f>DMTK!B180</f>
        <v>4113</v>
      </c>
      <c r="B181" s="65" t="str">
        <f>VLOOKUP(A181,DMTK!$B$5:$L$263,3,0)</f>
        <v>Quyền chọn chuyển đổi trái phiếu</v>
      </c>
      <c r="C181" s="69">
        <f>SUMIFS(DMTK!$K$5:$K$263,DMTK!$B$5:$B$263,A181&amp;"*")</f>
        <v>0</v>
      </c>
      <c r="D181" s="69">
        <f>SUMIFS(DMTK!$L$5:$L$263,DMTK!$B$5:$B$263,'BTHCTTK (TH131) NGÀY'!A181&amp;"*")</f>
        <v>0</v>
      </c>
      <c r="E181" s="69">
        <f>SUMIFS(CT!$H$5:$H$143,CT!$A$5:$A$143,"&lt;"&amp;'BTHCTTK (TH131) NGÀY'!$D$3,CT!$D$5:$D$143,'BTHCTTK (TH131) NGÀY'!A181)</f>
        <v>0</v>
      </c>
      <c r="F181" s="69">
        <f>SUMIFS(CT!$H$5:$H$143,CT!$A$5:$A$143,"&lt;"&amp;'BTHCTTK (TH131) NGÀY'!$D$3,CT!$E$5:$E$143,'BTHCTTK (TH131) NGÀY'!A181)</f>
        <v>0</v>
      </c>
      <c r="G181" s="69">
        <f t="shared" si="10"/>
        <v>0</v>
      </c>
      <c r="H181" s="69">
        <f t="shared" si="11"/>
        <v>0</v>
      </c>
      <c r="I181" s="69">
        <f>SUMIFS(CT!$H$5:$H$143,CT!$A$5:$A$143,"&gt;="&amp;'BTHCTTK (TH131) NGÀY'!$D$3,CT!$A$5:$A$143,"&lt;="&amp;'BTHCTTK (TH131) NGÀY'!$G$3,CT!$D$5:$D$143,'BTHCTTK (TH131) NGÀY'!A181)</f>
        <v>0</v>
      </c>
      <c r="J181" s="69">
        <f>SUMIFS(CT!$H$5:$H$143,CT!$A$5:$A$143,"&gt;="&amp;$D$3,CT!$A$5:$A$143,"&lt;="&amp;$G$3,CT!$E$5:$E$143,'BTHCTTK (TH131) NGÀY'!A181)</f>
        <v>0</v>
      </c>
      <c r="K181" s="69">
        <f t="shared" si="12"/>
        <v>0</v>
      </c>
      <c r="L181" s="69">
        <f t="shared" si="13"/>
        <v>0</v>
      </c>
      <c r="M181" t="b">
        <f t="shared" si="14"/>
        <v>0</v>
      </c>
    </row>
    <row r="182" spans="1:13" hidden="1" x14ac:dyDescent="0.25">
      <c r="A182" s="93" t="str">
        <f>DMTK!B181</f>
        <v>4118</v>
      </c>
      <c r="B182" s="65" t="str">
        <f>VLOOKUP(A182,DMTK!$B$5:$L$263,3,0)</f>
        <v>Vốn khác</v>
      </c>
      <c r="C182" s="69">
        <f>SUMIFS(DMTK!$K$5:$K$263,DMTK!$B$5:$B$263,A182&amp;"*")</f>
        <v>0</v>
      </c>
      <c r="D182" s="69">
        <f>SUMIFS(DMTK!$L$5:$L$263,DMTK!$B$5:$B$263,'BTHCTTK (TH131) NGÀY'!A182&amp;"*")</f>
        <v>18898000</v>
      </c>
      <c r="E182" s="69">
        <f>SUMIFS(CT!$H$5:$H$143,CT!$A$5:$A$143,"&lt;"&amp;'BTHCTTK (TH131) NGÀY'!$D$3,CT!$D$5:$D$143,'BTHCTTK (TH131) NGÀY'!A182)</f>
        <v>0</v>
      </c>
      <c r="F182" s="69">
        <f>SUMIFS(CT!$H$5:$H$143,CT!$A$5:$A$143,"&lt;"&amp;'BTHCTTK (TH131) NGÀY'!$D$3,CT!$E$5:$E$143,'BTHCTTK (TH131) NGÀY'!A182)</f>
        <v>0</v>
      </c>
      <c r="G182" s="69">
        <f t="shared" si="10"/>
        <v>0</v>
      </c>
      <c r="H182" s="69">
        <f t="shared" si="11"/>
        <v>18898000</v>
      </c>
      <c r="I182" s="69">
        <f>SUMIFS(CT!$H$5:$H$143,CT!$A$5:$A$143,"&gt;="&amp;'BTHCTTK (TH131) NGÀY'!$D$3,CT!$A$5:$A$143,"&lt;="&amp;'BTHCTTK (TH131) NGÀY'!$G$3,CT!$D$5:$D$143,'BTHCTTK (TH131) NGÀY'!A182)</f>
        <v>0</v>
      </c>
      <c r="J182" s="69">
        <f>SUMIFS(CT!$H$5:$H$143,CT!$A$5:$A$143,"&gt;="&amp;$D$3,CT!$A$5:$A$143,"&lt;="&amp;$G$3,CT!$E$5:$E$143,'BTHCTTK (TH131) NGÀY'!A182)</f>
        <v>0</v>
      </c>
      <c r="K182" s="69">
        <f t="shared" si="12"/>
        <v>0</v>
      </c>
      <c r="L182" s="69">
        <f t="shared" si="13"/>
        <v>18898000</v>
      </c>
      <c r="M182" t="b">
        <f t="shared" si="14"/>
        <v>0</v>
      </c>
    </row>
    <row r="183" spans="1:13" hidden="1" x14ac:dyDescent="0.25">
      <c r="A183" s="93" t="str">
        <f>DMTK!B182</f>
        <v>412</v>
      </c>
      <c r="B183" s="65" t="str">
        <f>VLOOKUP(A183,DMTK!$B$5:$L$263,3,0)</f>
        <v>Chênh lệch đánh giá lại tài sản</v>
      </c>
      <c r="C183" s="69">
        <f>SUMIFS(DMTK!$K$5:$K$263,DMTK!$B$5:$B$263,A183&amp;"*")</f>
        <v>0</v>
      </c>
      <c r="D183" s="69">
        <f>SUMIFS(DMTK!$L$5:$L$263,DMTK!$B$5:$B$263,'BTHCTTK (TH131) NGÀY'!A183&amp;"*")</f>
        <v>0</v>
      </c>
      <c r="E183" s="69">
        <f>SUMIFS(CT!$H$5:$H$143,CT!$A$5:$A$143,"&lt;"&amp;'BTHCTTK (TH131) NGÀY'!$D$3,CT!$D$5:$D$143,'BTHCTTK (TH131) NGÀY'!A183)</f>
        <v>0</v>
      </c>
      <c r="F183" s="69">
        <f>SUMIFS(CT!$H$5:$H$143,CT!$A$5:$A$143,"&lt;"&amp;'BTHCTTK (TH131) NGÀY'!$D$3,CT!$E$5:$E$143,'BTHCTTK (TH131) NGÀY'!A183)</f>
        <v>0</v>
      </c>
      <c r="G183" s="69">
        <f t="shared" si="10"/>
        <v>0</v>
      </c>
      <c r="H183" s="69">
        <f t="shared" si="11"/>
        <v>0</v>
      </c>
      <c r="I183" s="69">
        <f>SUMIFS(CT!$H$5:$H$143,CT!$A$5:$A$143,"&gt;="&amp;'BTHCTTK (TH131) NGÀY'!$D$3,CT!$A$5:$A$143,"&lt;="&amp;'BTHCTTK (TH131) NGÀY'!$G$3,CT!$D$5:$D$143,'BTHCTTK (TH131) NGÀY'!A183)</f>
        <v>0</v>
      </c>
      <c r="J183" s="69">
        <f>SUMIFS(CT!$H$5:$H$143,CT!$A$5:$A$143,"&gt;="&amp;$D$3,CT!$A$5:$A$143,"&lt;="&amp;$G$3,CT!$E$5:$E$143,'BTHCTTK (TH131) NGÀY'!A183)</f>
        <v>0</v>
      </c>
      <c r="K183" s="69">
        <f t="shared" si="12"/>
        <v>0</v>
      </c>
      <c r="L183" s="69">
        <f t="shared" si="13"/>
        <v>0</v>
      </c>
      <c r="M183" t="b">
        <f t="shared" si="14"/>
        <v>0</v>
      </c>
    </row>
    <row r="184" spans="1:13" hidden="1" x14ac:dyDescent="0.25">
      <c r="A184" s="93" t="str">
        <f>DMTK!B183</f>
        <v>4131</v>
      </c>
      <c r="B184" s="65" t="str">
        <f>VLOOKUP(A184,DMTK!$B$5:$L$263,3,0)</f>
        <v>Chênh lệch tỷ giá do đánh giá lại các khoản mục tiền tệ có gốc ngoại tệ</v>
      </c>
      <c r="C184" s="69">
        <f>SUMIFS(DMTK!$K$5:$K$263,DMTK!$B$5:$B$263,A184&amp;"*")</f>
        <v>0</v>
      </c>
      <c r="D184" s="69">
        <f>SUMIFS(DMTK!$L$5:$L$263,DMTK!$B$5:$B$263,'BTHCTTK (TH131) NGÀY'!A184&amp;"*")</f>
        <v>0</v>
      </c>
      <c r="E184" s="69">
        <f>SUMIFS(CT!$H$5:$H$143,CT!$A$5:$A$143,"&lt;"&amp;'BTHCTTK (TH131) NGÀY'!$D$3,CT!$D$5:$D$143,'BTHCTTK (TH131) NGÀY'!A184)</f>
        <v>0</v>
      </c>
      <c r="F184" s="69">
        <f>SUMIFS(CT!$H$5:$H$143,CT!$A$5:$A$143,"&lt;"&amp;'BTHCTTK (TH131) NGÀY'!$D$3,CT!$E$5:$E$143,'BTHCTTK (TH131) NGÀY'!A184)</f>
        <v>0</v>
      </c>
      <c r="G184" s="69">
        <f t="shared" si="10"/>
        <v>0</v>
      </c>
      <c r="H184" s="69">
        <f t="shared" si="11"/>
        <v>0</v>
      </c>
      <c r="I184" s="69">
        <f>SUMIFS(CT!$H$5:$H$143,CT!$A$5:$A$143,"&gt;="&amp;'BTHCTTK (TH131) NGÀY'!$D$3,CT!$A$5:$A$143,"&lt;="&amp;'BTHCTTK (TH131) NGÀY'!$G$3,CT!$D$5:$D$143,'BTHCTTK (TH131) NGÀY'!A184)</f>
        <v>0</v>
      </c>
      <c r="J184" s="69">
        <f>SUMIFS(CT!$H$5:$H$143,CT!$A$5:$A$143,"&gt;="&amp;$D$3,CT!$A$5:$A$143,"&lt;="&amp;$G$3,CT!$E$5:$E$143,'BTHCTTK (TH131) NGÀY'!A184)</f>
        <v>0</v>
      </c>
      <c r="K184" s="69">
        <f t="shared" si="12"/>
        <v>0</v>
      </c>
      <c r="L184" s="69">
        <f t="shared" si="13"/>
        <v>0</v>
      </c>
      <c r="M184" t="b">
        <f t="shared" si="14"/>
        <v>0</v>
      </c>
    </row>
    <row r="185" spans="1:13" hidden="1" x14ac:dyDescent="0.25">
      <c r="A185" s="93" t="str">
        <f>DMTK!B184</f>
        <v>4132</v>
      </c>
      <c r="B185" s="65" t="str">
        <f>VLOOKUP(A185,DMTK!$B$5:$L$263,3,0)</f>
        <v>Chênh lệch tỷ giá hối đoái trong giai đoạn trước hoạt động</v>
      </c>
      <c r="C185" s="69">
        <f>SUMIFS(DMTK!$K$5:$K$263,DMTK!$B$5:$B$263,A185&amp;"*")</f>
        <v>0</v>
      </c>
      <c r="D185" s="69">
        <f>SUMIFS(DMTK!$L$5:$L$263,DMTK!$B$5:$B$263,'BTHCTTK (TH131) NGÀY'!A185&amp;"*")</f>
        <v>0</v>
      </c>
      <c r="E185" s="69">
        <f>SUMIFS(CT!$H$5:$H$143,CT!$A$5:$A$143,"&lt;"&amp;'BTHCTTK (TH131) NGÀY'!$D$3,CT!$D$5:$D$143,'BTHCTTK (TH131) NGÀY'!A185)</f>
        <v>0</v>
      </c>
      <c r="F185" s="69">
        <f>SUMIFS(CT!$H$5:$H$143,CT!$A$5:$A$143,"&lt;"&amp;'BTHCTTK (TH131) NGÀY'!$D$3,CT!$E$5:$E$143,'BTHCTTK (TH131) NGÀY'!A185)</f>
        <v>0</v>
      </c>
      <c r="G185" s="69">
        <f t="shared" si="10"/>
        <v>0</v>
      </c>
      <c r="H185" s="69">
        <f t="shared" si="11"/>
        <v>0</v>
      </c>
      <c r="I185" s="69">
        <f>SUMIFS(CT!$H$5:$H$143,CT!$A$5:$A$143,"&gt;="&amp;'BTHCTTK (TH131) NGÀY'!$D$3,CT!$A$5:$A$143,"&lt;="&amp;'BTHCTTK (TH131) NGÀY'!$G$3,CT!$D$5:$D$143,'BTHCTTK (TH131) NGÀY'!A185)</f>
        <v>0</v>
      </c>
      <c r="J185" s="69">
        <f>SUMIFS(CT!$H$5:$H$143,CT!$A$5:$A$143,"&gt;="&amp;$D$3,CT!$A$5:$A$143,"&lt;="&amp;$G$3,CT!$E$5:$E$143,'BTHCTTK (TH131) NGÀY'!A185)</f>
        <v>0</v>
      </c>
      <c r="K185" s="69">
        <f t="shared" si="12"/>
        <v>0</v>
      </c>
      <c r="L185" s="69">
        <f t="shared" si="13"/>
        <v>0</v>
      </c>
      <c r="M185" t="b">
        <f t="shared" si="14"/>
        <v>0</v>
      </c>
    </row>
    <row r="186" spans="1:13" hidden="1" x14ac:dyDescent="0.25">
      <c r="A186" s="93" t="str">
        <f>DMTK!B185</f>
        <v>414</v>
      </c>
      <c r="B186" s="65" t="str">
        <f>VLOOKUP(A186,DMTK!$B$5:$L$263,3,0)</f>
        <v>Quỹ đầu tư phát triển</v>
      </c>
      <c r="C186" s="69">
        <f>SUMIFS(DMTK!$K$5:$K$263,DMTK!$B$5:$B$263,A186&amp;"*")</f>
        <v>0</v>
      </c>
      <c r="D186" s="69">
        <f>SUMIFS(DMTK!$L$5:$L$263,DMTK!$B$5:$B$263,'BTHCTTK (TH131) NGÀY'!A186&amp;"*")</f>
        <v>120000000</v>
      </c>
      <c r="E186" s="69">
        <f>SUMIFS(CT!$H$5:$H$143,CT!$A$5:$A$143,"&lt;"&amp;'BTHCTTK (TH131) NGÀY'!$D$3,CT!$D$5:$D$143,'BTHCTTK (TH131) NGÀY'!A186)</f>
        <v>0</v>
      </c>
      <c r="F186" s="69">
        <f>SUMIFS(CT!$H$5:$H$143,CT!$A$5:$A$143,"&lt;"&amp;'BTHCTTK (TH131) NGÀY'!$D$3,CT!$E$5:$E$143,'BTHCTTK (TH131) NGÀY'!A186)</f>
        <v>0</v>
      </c>
      <c r="G186" s="69">
        <f t="shared" si="10"/>
        <v>0</v>
      </c>
      <c r="H186" s="69">
        <f t="shared" si="11"/>
        <v>120000000</v>
      </c>
      <c r="I186" s="69">
        <f>SUMIFS(CT!$H$5:$H$143,CT!$A$5:$A$143,"&gt;="&amp;'BTHCTTK (TH131) NGÀY'!$D$3,CT!$A$5:$A$143,"&lt;="&amp;'BTHCTTK (TH131) NGÀY'!$G$3,CT!$D$5:$D$143,'BTHCTTK (TH131) NGÀY'!A186)</f>
        <v>0</v>
      </c>
      <c r="J186" s="69">
        <f>SUMIFS(CT!$H$5:$H$143,CT!$A$5:$A$143,"&gt;="&amp;$D$3,CT!$A$5:$A$143,"&lt;="&amp;$G$3,CT!$E$5:$E$143,'BTHCTTK (TH131) NGÀY'!A186)</f>
        <v>0</v>
      </c>
      <c r="K186" s="69">
        <f t="shared" si="12"/>
        <v>0</v>
      </c>
      <c r="L186" s="69">
        <f t="shared" si="13"/>
        <v>120000000</v>
      </c>
      <c r="M186" t="b">
        <f t="shared" si="14"/>
        <v>0</v>
      </c>
    </row>
    <row r="187" spans="1:13" hidden="1" x14ac:dyDescent="0.25">
      <c r="A187" s="93" t="str">
        <f>DMTK!B186</f>
        <v>417</v>
      </c>
      <c r="B187" s="65" t="str">
        <f>VLOOKUP(A187,DMTK!$B$5:$L$263,3,0)</f>
        <v>Quỹ hỗ trợ sắp xếp doanh nghiệp</v>
      </c>
      <c r="C187" s="69">
        <f>SUMIFS(DMTK!$K$5:$K$263,DMTK!$B$5:$B$263,A187&amp;"*")</f>
        <v>0</v>
      </c>
      <c r="D187" s="69">
        <f>SUMIFS(DMTK!$L$5:$L$263,DMTK!$B$5:$B$263,'BTHCTTK (TH131) NGÀY'!A187&amp;"*")</f>
        <v>0</v>
      </c>
      <c r="E187" s="69">
        <f>SUMIFS(CT!$H$5:$H$143,CT!$A$5:$A$143,"&lt;"&amp;'BTHCTTK (TH131) NGÀY'!$D$3,CT!$D$5:$D$143,'BTHCTTK (TH131) NGÀY'!A187)</f>
        <v>0</v>
      </c>
      <c r="F187" s="69">
        <f>SUMIFS(CT!$H$5:$H$143,CT!$A$5:$A$143,"&lt;"&amp;'BTHCTTK (TH131) NGÀY'!$D$3,CT!$E$5:$E$143,'BTHCTTK (TH131) NGÀY'!A187)</f>
        <v>0</v>
      </c>
      <c r="G187" s="69">
        <f t="shared" si="10"/>
        <v>0</v>
      </c>
      <c r="H187" s="69">
        <f t="shared" si="11"/>
        <v>0</v>
      </c>
      <c r="I187" s="69">
        <f>SUMIFS(CT!$H$5:$H$143,CT!$A$5:$A$143,"&gt;="&amp;'BTHCTTK (TH131) NGÀY'!$D$3,CT!$A$5:$A$143,"&lt;="&amp;'BTHCTTK (TH131) NGÀY'!$G$3,CT!$D$5:$D$143,'BTHCTTK (TH131) NGÀY'!A187)</f>
        <v>0</v>
      </c>
      <c r="J187" s="69">
        <f>SUMIFS(CT!$H$5:$H$143,CT!$A$5:$A$143,"&gt;="&amp;$D$3,CT!$A$5:$A$143,"&lt;="&amp;$G$3,CT!$E$5:$E$143,'BTHCTTK (TH131) NGÀY'!A187)</f>
        <v>0</v>
      </c>
      <c r="K187" s="69">
        <f t="shared" si="12"/>
        <v>0</v>
      </c>
      <c r="L187" s="69">
        <f t="shared" si="13"/>
        <v>0</v>
      </c>
      <c r="M187" t="b">
        <f t="shared" si="14"/>
        <v>0</v>
      </c>
    </row>
    <row r="188" spans="1:13" hidden="1" x14ac:dyDescent="0.25">
      <c r="A188" s="93" t="str">
        <f>DMTK!B187</f>
        <v>418</v>
      </c>
      <c r="B188" s="65" t="str">
        <f>VLOOKUP(A188,DMTK!$B$5:$L$263,3,0)</f>
        <v>Các quỹ khác thuộc vốn chủ sở hữu</v>
      </c>
      <c r="C188" s="69">
        <f>SUMIFS(DMTK!$K$5:$K$263,DMTK!$B$5:$B$263,A188&amp;"*")</f>
        <v>0</v>
      </c>
      <c r="D188" s="69">
        <f>SUMIFS(DMTK!$L$5:$L$263,DMTK!$B$5:$B$263,'BTHCTTK (TH131) NGÀY'!A188&amp;"*")</f>
        <v>130000000</v>
      </c>
      <c r="E188" s="69">
        <f>SUMIFS(CT!$H$5:$H$143,CT!$A$5:$A$143,"&lt;"&amp;'BTHCTTK (TH131) NGÀY'!$D$3,CT!$D$5:$D$143,'BTHCTTK (TH131) NGÀY'!A188)</f>
        <v>0</v>
      </c>
      <c r="F188" s="69">
        <f>SUMIFS(CT!$H$5:$H$143,CT!$A$5:$A$143,"&lt;"&amp;'BTHCTTK (TH131) NGÀY'!$D$3,CT!$E$5:$E$143,'BTHCTTK (TH131) NGÀY'!A188)</f>
        <v>0</v>
      </c>
      <c r="G188" s="69">
        <f t="shared" si="10"/>
        <v>0</v>
      </c>
      <c r="H188" s="69">
        <f t="shared" si="11"/>
        <v>130000000</v>
      </c>
      <c r="I188" s="69">
        <f>SUMIFS(CT!$H$5:$H$143,CT!$A$5:$A$143,"&gt;="&amp;'BTHCTTK (TH131) NGÀY'!$D$3,CT!$A$5:$A$143,"&lt;="&amp;'BTHCTTK (TH131) NGÀY'!$G$3,CT!$D$5:$D$143,'BTHCTTK (TH131) NGÀY'!A188)</f>
        <v>0</v>
      </c>
      <c r="J188" s="69">
        <f>SUMIFS(CT!$H$5:$H$143,CT!$A$5:$A$143,"&gt;="&amp;$D$3,CT!$A$5:$A$143,"&lt;="&amp;$G$3,CT!$E$5:$E$143,'BTHCTTK (TH131) NGÀY'!A188)</f>
        <v>0</v>
      </c>
      <c r="K188" s="69">
        <f t="shared" si="12"/>
        <v>0</v>
      </c>
      <c r="L188" s="69">
        <f t="shared" si="13"/>
        <v>130000000</v>
      </c>
      <c r="M188" t="b">
        <f t="shared" si="14"/>
        <v>0</v>
      </c>
    </row>
    <row r="189" spans="1:13" hidden="1" x14ac:dyDescent="0.25">
      <c r="A189" s="93" t="str">
        <f>DMTK!B188</f>
        <v>419</v>
      </c>
      <c r="B189" s="65" t="str">
        <f>VLOOKUP(A189,DMTK!$B$5:$L$263,3,0)</f>
        <v>Cổ phiếu quỹ</v>
      </c>
      <c r="C189" s="69">
        <f>SUMIFS(DMTK!$K$5:$K$263,DMTK!$B$5:$B$263,A189&amp;"*")</f>
        <v>9449000</v>
      </c>
      <c r="D189" s="69">
        <f>SUMIFS(DMTK!$L$5:$L$263,DMTK!$B$5:$B$263,'BTHCTTK (TH131) NGÀY'!A189&amp;"*")</f>
        <v>0</v>
      </c>
      <c r="E189" s="69">
        <f>SUMIFS(CT!$H$5:$H$143,CT!$A$5:$A$143,"&lt;"&amp;'BTHCTTK (TH131) NGÀY'!$D$3,CT!$D$5:$D$143,'BTHCTTK (TH131) NGÀY'!A189)</f>
        <v>0</v>
      </c>
      <c r="F189" s="69">
        <f>SUMIFS(CT!$H$5:$H$143,CT!$A$5:$A$143,"&lt;"&amp;'BTHCTTK (TH131) NGÀY'!$D$3,CT!$E$5:$E$143,'BTHCTTK (TH131) NGÀY'!A189)</f>
        <v>0</v>
      </c>
      <c r="G189" s="69">
        <f t="shared" si="10"/>
        <v>9449000</v>
      </c>
      <c r="H189" s="69">
        <f t="shared" si="11"/>
        <v>0</v>
      </c>
      <c r="I189" s="69">
        <f>SUMIFS(CT!$H$5:$H$143,CT!$A$5:$A$143,"&gt;="&amp;'BTHCTTK (TH131) NGÀY'!$D$3,CT!$A$5:$A$143,"&lt;="&amp;'BTHCTTK (TH131) NGÀY'!$G$3,CT!$D$5:$D$143,'BTHCTTK (TH131) NGÀY'!A189)</f>
        <v>0</v>
      </c>
      <c r="J189" s="69">
        <f>SUMIFS(CT!$H$5:$H$143,CT!$A$5:$A$143,"&gt;="&amp;$D$3,CT!$A$5:$A$143,"&lt;="&amp;$G$3,CT!$E$5:$E$143,'BTHCTTK (TH131) NGÀY'!A189)</f>
        <v>0</v>
      </c>
      <c r="K189" s="69">
        <f t="shared" si="12"/>
        <v>9449000</v>
      </c>
      <c r="L189" s="69">
        <f t="shared" si="13"/>
        <v>0</v>
      </c>
      <c r="M189" t="b">
        <f t="shared" si="14"/>
        <v>0</v>
      </c>
    </row>
    <row r="190" spans="1:13" hidden="1" x14ac:dyDescent="0.25">
      <c r="A190" s="93" t="str">
        <f>DMTK!B189</f>
        <v>4211</v>
      </c>
      <c r="B190" s="65" t="str">
        <f>VLOOKUP(A190,DMTK!$B$5:$L$263,3,0)</f>
        <v>Lợi nhuận sau thuế chưa phân phối năm trước</v>
      </c>
      <c r="C190" s="69">
        <f>SUMIFS(DMTK!$K$5:$K$263,DMTK!$B$5:$B$263,A190&amp;"*")</f>
        <v>0</v>
      </c>
      <c r="D190" s="69">
        <f>SUMIFS(DMTK!$L$5:$L$263,DMTK!$B$5:$B$263,'BTHCTTK (TH131) NGÀY'!A190&amp;"*")</f>
        <v>204410000</v>
      </c>
      <c r="E190" s="69">
        <f>SUMIFS(CT!$H$5:$H$143,CT!$A$5:$A$143,"&lt;"&amp;'BTHCTTK (TH131) NGÀY'!$D$3,CT!$D$5:$D$143,'BTHCTTK (TH131) NGÀY'!A190)</f>
        <v>0</v>
      </c>
      <c r="F190" s="69">
        <f>SUMIFS(CT!$H$5:$H$143,CT!$A$5:$A$143,"&lt;"&amp;'BTHCTTK (TH131) NGÀY'!$D$3,CT!$E$5:$E$143,'BTHCTTK (TH131) NGÀY'!A190)</f>
        <v>0</v>
      </c>
      <c r="G190" s="69">
        <f t="shared" si="10"/>
        <v>0</v>
      </c>
      <c r="H190" s="69">
        <f t="shared" si="11"/>
        <v>204410000</v>
      </c>
      <c r="I190" s="69">
        <f>SUMIFS(CT!$H$5:$H$143,CT!$A$5:$A$143,"&gt;="&amp;'BTHCTTK (TH131) NGÀY'!$D$3,CT!$A$5:$A$143,"&lt;="&amp;'BTHCTTK (TH131) NGÀY'!$G$3,CT!$D$5:$D$143,'BTHCTTK (TH131) NGÀY'!A190)</f>
        <v>0</v>
      </c>
      <c r="J190" s="69">
        <f>SUMIFS(CT!$H$5:$H$143,CT!$A$5:$A$143,"&gt;="&amp;$D$3,CT!$A$5:$A$143,"&lt;="&amp;$G$3,CT!$E$5:$E$143,'BTHCTTK (TH131) NGÀY'!A190)</f>
        <v>0</v>
      </c>
      <c r="K190" s="69">
        <f t="shared" si="12"/>
        <v>0</v>
      </c>
      <c r="L190" s="69">
        <f t="shared" si="13"/>
        <v>204410000</v>
      </c>
      <c r="M190" t="b">
        <f t="shared" si="14"/>
        <v>0</v>
      </c>
    </row>
    <row r="191" spans="1:13" hidden="1" x14ac:dyDescent="0.25">
      <c r="A191" s="93" t="str">
        <f>DMTK!B190</f>
        <v>4212</v>
      </c>
      <c r="B191" s="65" t="str">
        <f>VLOOKUP(A191,DMTK!$B$5:$L$263,3,0)</f>
        <v>Lợi nhuận sau thuế chưa phân phối năm nay</v>
      </c>
      <c r="C191" s="69">
        <f>SUMIFS(DMTK!$K$5:$K$263,DMTK!$B$5:$B$263,A191&amp;"*")</f>
        <v>0</v>
      </c>
      <c r="D191" s="69">
        <f>SUMIFS(DMTK!$L$5:$L$263,DMTK!$B$5:$B$263,'BTHCTTK (TH131) NGÀY'!A191&amp;"*")</f>
        <v>0</v>
      </c>
      <c r="E191" s="69">
        <f>SUMIFS(CT!$H$5:$H$143,CT!$A$5:$A$143,"&lt;"&amp;'BTHCTTK (TH131) NGÀY'!$D$3,CT!$D$5:$D$143,'BTHCTTK (TH131) NGÀY'!A191)</f>
        <v>0</v>
      </c>
      <c r="F191" s="69">
        <f>SUMIFS(CT!$H$5:$H$143,CT!$A$5:$A$143,"&lt;"&amp;'BTHCTTK (TH131) NGÀY'!$D$3,CT!$E$5:$E$143,'BTHCTTK (TH131) NGÀY'!A191)</f>
        <v>0</v>
      </c>
      <c r="G191" s="69">
        <f t="shared" si="10"/>
        <v>0</v>
      </c>
      <c r="H191" s="69">
        <f t="shared" si="11"/>
        <v>0</v>
      </c>
      <c r="I191" s="69">
        <f>SUMIFS(CT!$H$5:$H$143,CT!$A$5:$A$143,"&gt;="&amp;'BTHCTTK (TH131) NGÀY'!$D$3,CT!$A$5:$A$143,"&lt;="&amp;'BTHCTTK (TH131) NGÀY'!$G$3,CT!$D$5:$D$143,'BTHCTTK (TH131) NGÀY'!A191)</f>
        <v>3387852</v>
      </c>
      <c r="J191" s="69">
        <f>SUMIFS(CT!$H$5:$H$143,CT!$A$5:$A$143,"&gt;="&amp;$D$3,CT!$A$5:$A$143,"&lt;="&amp;$G$3,CT!$E$5:$E$143,'BTHCTTK (TH131) NGÀY'!A191)</f>
        <v>2269619</v>
      </c>
      <c r="K191" s="69">
        <f t="shared" si="12"/>
        <v>1118233</v>
      </c>
      <c r="L191" s="69">
        <f t="shared" si="13"/>
        <v>0</v>
      </c>
      <c r="M191" t="b">
        <f t="shared" si="14"/>
        <v>0</v>
      </c>
    </row>
    <row r="192" spans="1:13" hidden="1" x14ac:dyDescent="0.25">
      <c r="A192" s="93" t="str">
        <f>DMTK!B191</f>
        <v>441</v>
      </c>
      <c r="B192" s="65" t="str">
        <f>VLOOKUP(A192,DMTK!$B$5:$L$263,3,0)</f>
        <v>Nguồn vốn đầu tư xây dựng cơ bản</v>
      </c>
      <c r="C192" s="69">
        <f>SUMIFS(DMTK!$K$5:$K$263,DMTK!$B$5:$B$263,A192&amp;"*")</f>
        <v>0</v>
      </c>
      <c r="D192" s="69">
        <f>SUMIFS(DMTK!$L$5:$L$263,DMTK!$B$5:$B$263,'BTHCTTK (TH131) NGÀY'!A192&amp;"*")</f>
        <v>300000000</v>
      </c>
      <c r="E192" s="69">
        <f>SUMIFS(CT!$H$5:$H$143,CT!$A$5:$A$143,"&lt;"&amp;'BTHCTTK (TH131) NGÀY'!$D$3,CT!$D$5:$D$143,'BTHCTTK (TH131) NGÀY'!A192)</f>
        <v>0</v>
      </c>
      <c r="F192" s="69">
        <f>SUMIFS(CT!$H$5:$H$143,CT!$A$5:$A$143,"&lt;"&amp;'BTHCTTK (TH131) NGÀY'!$D$3,CT!$E$5:$E$143,'BTHCTTK (TH131) NGÀY'!A192)</f>
        <v>0</v>
      </c>
      <c r="G192" s="69">
        <f t="shared" si="10"/>
        <v>0</v>
      </c>
      <c r="H192" s="69">
        <f t="shared" si="11"/>
        <v>300000000</v>
      </c>
      <c r="I192" s="69">
        <f>SUMIFS(CT!$H$5:$H$143,CT!$A$5:$A$143,"&gt;="&amp;'BTHCTTK (TH131) NGÀY'!$D$3,CT!$A$5:$A$143,"&lt;="&amp;'BTHCTTK (TH131) NGÀY'!$G$3,CT!$D$5:$D$143,'BTHCTTK (TH131) NGÀY'!A192)</f>
        <v>0</v>
      </c>
      <c r="J192" s="69">
        <f>SUMIFS(CT!$H$5:$H$143,CT!$A$5:$A$143,"&gt;="&amp;$D$3,CT!$A$5:$A$143,"&lt;="&amp;$G$3,CT!$E$5:$E$143,'BTHCTTK (TH131) NGÀY'!A192)</f>
        <v>0</v>
      </c>
      <c r="K192" s="69">
        <f t="shared" si="12"/>
        <v>0</v>
      </c>
      <c r="L192" s="69">
        <f t="shared" si="13"/>
        <v>300000000</v>
      </c>
      <c r="M192" t="b">
        <f t="shared" si="14"/>
        <v>0</v>
      </c>
    </row>
    <row r="193" spans="1:13" hidden="1" x14ac:dyDescent="0.25">
      <c r="A193" s="93" t="str">
        <f>DMTK!B192</f>
        <v>461</v>
      </c>
      <c r="B193" s="65" t="str">
        <f>VLOOKUP(A193,DMTK!$B$5:$L$263,3,0)</f>
        <v>Nguồn kinh phí sự nghiệp</v>
      </c>
      <c r="C193" s="69">
        <f>SUMIFS(DMTK!$K$5:$K$263,DMTK!$B$5:$B$263,A193&amp;"*")</f>
        <v>0</v>
      </c>
      <c r="D193" s="69">
        <f>SUMIFS(DMTK!$L$5:$L$263,DMTK!$B$5:$B$263,'BTHCTTK (TH131) NGÀY'!A193&amp;"*")</f>
        <v>0</v>
      </c>
      <c r="E193" s="69">
        <f>SUMIFS(CT!$H$5:$H$143,CT!$A$5:$A$143,"&lt;"&amp;'BTHCTTK (TH131) NGÀY'!$D$3,CT!$D$5:$D$143,'BTHCTTK (TH131) NGÀY'!A193)</f>
        <v>0</v>
      </c>
      <c r="F193" s="69">
        <f>SUMIFS(CT!$H$5:$H$143,CT!$A$5:$A$143,"&lt;"&amp;'BTHCTTK (TH131) NGÀY'!$D$3,CT!$E$5:$E$143,'BTHCTTK (TH131) NGÀY'!A193)</f>
        <v>0</v>
      </c>
      <c r="G193" s="69">
        <f t="shared" si="10"/>
        <v>0</v>
      </c>
      <c r="H193" s="69">
        <f t="shared" si="11"/>
        <v>0</v>
      </c>
      <c r="I193" s="69">
        <f>SUMIFS(CT!$H$5:$H$143,CT!$A$5:$A$143,"&gt;="&amp;'BTHCTTK (TH131) NGÀY'!$D$3,CT!$A$5:$A$143,"&lt;="&amp;'BTHCTTK (TH131) NGÀY'!$G$3,CT!$D$5:$D$143,'BTHCTTK (TH131) NGÀY'!A193)</f>
        <v>0</v>
      </c>
      <c r="J193" s="69">
        <f>SUMIFS(CT!$H$5:$H$143,CT!$A$5:$A$143,"&gt;="&amp;$D$3,CT!$A$5:$A$143,"&lt;="&amp;$G$3,CT!$E$5:$E$143,'BTHCTTK (TH131) NGÀY'!A193)</f>
        <v>0</v>
      </c>
      <c r="K193" s="69">
        <f t="shared" si="12"/>
        <v>0</v>
      </c>
      <c r="L193" s="69">
        <f t="shared" si="13"/>
        <v>0</v>
      </c>
      <c r="M193" t="b">
        <f t="shared" si="14"/>
        <v>0</v>
      </c>
    </row>
    <row r="194" spans="1:13" hidden="1" x14ac:dyDescent="0.25">
      <c r="A194" s="93" t="str">
        <f>DMTK!B193</f>
        <v>466</v>
      </c>
      <c r="B194" s="65" t="str">
        <f>VLOOKUP(A194,DMTK!$B$5:$L$263,3,0)</f>
        <v>Nguồn kinh phí đã hình thành TSCĐ</v>
      </c>
      <c r="C194" s="69">
        <f>SUMIFS(DMTK!$K$5:$K$263,DMTK!$B$5:$B$263,A194&amp;"*")</f>
        <v>0</v>
      </c>
      <c r="D194" s="69">
        <f>SUMIFS(DMTK!$L$5:$L$263,DMTK!$B$5:$B$263,'BTHCTTK (TH131) NGÀY'!A194&amp;"*")</f>
        <v>0</v>
      </c>
      <c r="E194" s="69">
        <f>SUMIFS(CT!$H$5:$H$143,CT!$A$5:$A$143,"&lt;"&amp;'BTHCTTK (TH131) NGÀY'!$D$3,CT!$D$5:$D$143,'BTHCTTK (TH131) NGÀY'!A194)</f>
        <v>0</v>
      </c>
      <c r="F194" s="69">
        <f>SUMIFS(CT!$H$5:$H$143,CT!$A$5:$A$143,"&lt;"&amp;'BTHCTTK (TH131) NGÀY'!$D$3,CT!$E$5:$E$143,'BTHCTTK (TH131) NGÀY'!A194)</f>
        <v>0</v>
      </c>
      <c r="G194" s="69">
        <f t="shared" si="10"/>
        <v>0</v>
      </c>
      <c r="H194" s="69">
        <f t="shared" si="11"/>
        <v>0</v>
      </c>
      <c r="I194" s="69">
        <f>SUMIFS(CT!$H$5:$H$143,CT!$A$5:$A$143,"&gt;="&amp;'BTHCTTK (TH131) NGÀY'!$D$3,CT!$A$5:$A$143,"&lt;="&amp;'BTHCTTK (TH131) NGÀY'!$G$3,CT!$D$5:$D$143,'BTHCTTK (TH131) NGÀY'!A194)</f>
        <v>0</v>
      </c>
      <c r="J194" s="69">
        <f>SUMIFS(CT!$H$5:$H$143,CT!$A$5:$A$143,"&gt;="&amp;$D$3,CT!$A$5:$A$143,"&lt;="&amp;$G$3,CT!$E$5:$E$143,'BTHCTTK (TH131) NGÀY'!A194)</f>
        <v>0</v>
      </c>
      <c r="K194" s="69">
        <f t="shared" si="12"/>
        <v>0</v>
      </c>
      <c r="L194" s="69">
        <f t="shared" si="13"/>
        <v>0</v>
      </c>
      <c r="M194" t="b">
        <f t="shared" si="14"/>
        <v>0</v>
      </c>
    </row>
    <row r="195" spans="1:13" hidden="1" x14ac:dyDescent="0.25">
      <c r="A195" s="93" t="str">
        <f>DMTK!B194</f>
        <v>5111</v>
      </c>
      <c r="B195" s="65" t="str">
        <f>VLOOKUP(A195,DMTK!$B$5:$L$263,3,0)</f>
        <v>Doanh thu bán hàng hóa</v>
      </c>
      <c r="C195" s="69">
        <f>SUMIFS(DMTK!$K$5:$K$263,DMTK!$B$5:$B$263,A195&amp;"*")</f>
        <v>0</v>
      </c>
      <c r="D195" s="69">
        <f>SUMIFS(DMTK!$L$5:$L$263,DMTK!$B$5:$B$263,'BTHCTTK (TH131) NGÀY'!A195&amp;"*")</f>
        <v>0</v>
      </c>
      <c r="E195" s="69">
        <f>SUMIFS(CT!$H$5:$H$143,CT!$A$5:$A$143,"&lt;"&amp;'BTHCTTK (TH131) NGÀY'!$D$3,CT!$D$5:$D$143,'BTHCTTK (TH131) NGÀY'!A195)</f>
        <v>0</v>
      </c>
      <c r="F195" s="69">
        <f>SUMIFS(CT!$H$5:$H$143,CT!$A$5:$A$143,"&lt;"&amp;'BTHCTTK (TH131) NGÀY'!$D$3,CT!$E$5:$E$143,'BTHCTTK (TH131) NGÀY'!A195)</f>
        <v>0</v>
      </c>
      <c r="G195" s="69">
        <f t="shared" si="10"/>
        <v>0</v>
      </c>
      <c r="H195" s="69">
        <f t="shared" si="11"/>
        <v>0</v>
      </c>
      <c r="I195" s="69">
        <f>SUMIFS(CT!$H$5:$H$143,CT!$A$5:$A$143,"&gt;="&amp;'BTHCTTK (TH131) NGÀY'!$D$3,CT!$A$5:$A$143,"&lt;="&amp;'BTHCTTK (TH131) NGÀY'!$G$3,CT!$D$5:$D$143,'BTHCTTK (TH131) NGÀY'!A195)</f>
        <v>0</v>
      </c>
      <c r="J195" s="69">
        <f>SUMIFS(CT!$H$5:$H$143,CT!$A$5:$A$143,"&gt;="&amp;$D$3,CT!$A$5:$A$143,"&lt;="&amp;$G$3,CT!$E$5:$E$143,'BTHCTTK (TH131) NGÀY'!A195)</f>
        <v>0</v>
      </c>
      <c r="K195" s="69">
        <f t="shared" si="12"/>
        <v>0</v>
      </c>
      <c r="L195" s="69">
        <f t="shared" si="13"/>
        <v>0</v>
      </c>
      <c r="M195" t="b">
        <f t="shared" si="14"/>
        <v>0</v>
      </c>
    </row>
    <row r="196" spans="1:13" hidden="1" x14ac:dyDescent="0.25">
      <c r="A196" s="93" t="str">
        <f>DMTK!B195</f>
        <v>5112.0101</v>
      </c>
      <c r="B196" s="65" t="str">
        <f>VLOOKUP(A196,DMTK!$B$5:$L$263,3,0)</f>
        <v>Doanh thu bán Ghế tay vịn</v>
      </c>
      <c r="C196" s="69">
        <f>SUMIFS(DMTK!$K$5:$K$263,DMTK!$B$5:$B$263,A196&amp;"*")</f>
        <v>0</v>
      </c>
      <c r="D196" s="69">
        <f>SUMIFS(DMTK!$L$5:$L$263,DMTK!$B$5:$B$263,'BTHCTTK (TH131) NGÀY'!A196&amp;"*")</f>
        <v>0</v>
      </c>
      <c r="E196" s="69">
        <f>SUMIFS(CT!$H$5:$H$143,CT!$A$5:$A$143,"&lt;"&amp;'BTHCTTK (TH131) NGÀY'!$D$3,CT!$D$5:$D$143,'BTHCTTK (TH131) NGÀY'!A196)</f>
        <v>0</v>
      </c>
      <c r="F196" s="69">
        <f>SUMIFS(CT!$H$5:$H$143,CT!$A$5:$A$143,"&lt;"&amp;'BTHCTTK (TH131) NGÀY'!$D$3,CT!$E$5:$E$143,'BTHCTTK (TH131) NGÀY'!A196)</f>
        <v>0</v>
      </c>
      <c r="G196" s="69">
        <f t="shared" si="10"/>
        <v>0</v>
      </c>
      <c r="H196" s="69">
        <f t="shared" si="11"/>
        <v>0</v>
      </c>
      <c r="I196" s="69">
        <f>SUMIFS(CT!$H$5:$H$143,CT!$A$5:$A$143,"&gt;="&amp;'BTHCTTK (TH131) NGÀY'!$D$3,CT!$A$5:$A$143,"&lt;="&amp;'BTHCTTK (TH131) NGÀY'!$G$3,CT!$D$5:$D$143,'BTHCTTK (TH131) NGÀY'!A196)</f>
        <v>30000000</v>
      </c>
      <c r="J196" s="69">
        <f>SUMIFS(CT!$H$5:$H$143,CT!$A$5:$A$143,"&gt;="&amp;$D$3,CT!$A$5:$A$143,"&lt;="&amp;$G$3,CT!$E$5:$E$143,'BTHCTTK (TH131) NGÀY'!A196)</f>
        <v>30000000</v>
      </c>
      <c r="K196" s="69">
        <f t="shared" si="12"/>
        <v>0</v>
      </c>
      <c r="L196" s="69">
        <f t="shared" si="13"/>
        <v>0</v>
      </c>
      <c r="M196" t="b">
        <f t="shared" si="14"/>
        <v>0</v>
      </c>
    </row>
    <row r="197" spans="1:13" hidden="1" x14ac:dyDescent="0.25">
      <c r="A197" s="93" t="str">
        <f>DMTK!B196</f>
        <v>5112.0102</v>
      </c>
      <c r="B197" s="65" t="str">
        <f>VLOOKUP(A197,DMTK!$B$5:$L$263,3,0)</f>
        <v>Doanh thu bán Ghế không tay</v>
      </c>
      <c r="C197" s="69">
        <f>SUMIFS(DMTK!$K$5:$K$263,DMTK!$B$5:$B$263,A197&amp;"*")</f>
        <v>0</v>
      </c>
      <c r="D197" s="69">
        <f>SUMIFS(DMTK!$L$5:$L$263,DMTK!$B$5:$B$263,'BTHCTTK (TH131) NGÀY'!A197&amp;"*")</f>
        <v>0</v>
      </c>
      <c r="E197" s="69">
        <f>SUMIFS(CT!$H$5:$H$143,CT!$A$5:$A$143,"&lt;"&amp;'BTHCTTK (TH131) NGÀY'!$D$3,CT!$D$5:$D$143,'BTHCTTK (TH131) NGÀY'!A197)</f>
        <v>0</v>
      </c>
      <c r="F197" s="69">
        <f>SUMIFS(CT!$H$5:$H$143,CT!$A$5:$A$143,"&lt;"&amp;'BTHCTTK (TH131) NGÀY'!$D$3,CT!$E$5:$E$143,'BTHCTTK (TH131) NGÀY'!A197)</f>
        <v>0</v>
      </c>
      <c r="G197" s="69">
        <f t="shared" si="10"/>
        <v>0</v>
      </c>
      <c r="H197" s="69">
        <f t="shared" si="11"/>
        <v>0</v>
      </c>
      <c r="I197" s="69">
        <f>SUMIFS(CT!$H$5:$H$143,CT!$A$5:$A$143,"&gt;="&amp;'BTHCTTK (TH131) NGÀY'!$D$3,CT!$A$5:$A$143,"&lt;="&amp;'BTHCTTK (TH131) NGÀY'!$G$3,CT!$D$5:$D$143,'BTHCTTK (TH131) NGÀY'!A197)</f>
        <v>28000000</v>
      </c>
      <c r="J197" s="69">
        <f>SUMIFS(CT!$H$5:$H$143,CT!$A$5:$A$143,"&gt;="&amp;$D$3,CT!$A$5:$A$143,"&lt;="&amp;$G$3,CT!$E$5:$E$143,'BTHCTTK (TH131) NGÀY'!A197)</f>
        <v>28000000</v>
      </c>
      <c r="K197" s="69">
        <f t="shared" si="12"/>
        <v>0</v>
      </c>
      <c r="L197" s="69">
        <f t="shared" si="13"/>
        <v>0</v>
      </c>
      <c r="M197" t="b">
        <f t="shared" si="14"/>
        <v>0</v>
      </c>
    </row>
    <row r="198" spans="1:13" hidden="1" x14ac:dyDescent="0.25">
      <c r="A198" s="93" t="str">
        <f>DMTK!B197</f>
        <v>5112.0201</v>
      </c>
      <c r="B198" s="65" t="str">
        <f>VLOOKUP(A198,DMTK!$B$5:$L$263,3,0)</f>
        <v>Doanh thu bán  Bàn tròn</v>
      </c>
      <c r="C198" s="69">
        <f>SUMIFS(DMTK!$K$5:$K$263,DMTK!$B$5:$B$263,A198&amp;"*")</f>
        <v>0</v>
      </c>
      <c r="D198" s="69">
        <f>SUMIFS(DMTK!$L$5:$L$263,DMTK!$B$5:$B$263,'BTHCTTK (TH131) NGÀY'!A198&amp;"*")</f>
        <v>0</v>
      </c>
      <c r="E198" s="69">
        <f>SUMIFS(CT!$H$5:$H$143,CT!$A$5:$A$143,"&lt;"&amp;'BTHCTTK (TH131) NGÀY'!$D$3,CT!$D$5:$D$143,'BTHCTTK (TH131) NGÀY'!A198)</f>
        <v>0</v>
      </c>
      <c r="F198" s="69">
        <f>SUMIFS(CT!$H$5:$H$143,CT!$A$5:$A$143,"&lt;"&amp;'BTHCTTK (TH131) NGÀY'!$D$3,CT!$E$5:$E$143,'BTHCTTK (TH131) NGÀY'!A198)</f>
        <v>0</v>
      </c>
      <c r="G198" s="69">
        <f t="shared" si="10"/>
        <v>0</v>
      </c>
      <c r="H198" s="69">
        <f t="shared" si="11"/>
        <v>0</v>
      </c>
      <c r="I198" s="69">
        <f>SUMIFS(CT!$H$5:$H$143,CT!$A$5:$A$143,"&gt;="&amp;'BTHCTTK (TH131) NGÀY'!$D$3,CT!$A$5:$A$143,"&lt;="&amp;'BTHCTTK (TH131) NGÀY'!$G$3,CT!$D$5:$D$143,'BTHCTTK (TH131) NGÀY'!A198)</f>
        <v>0</v>
      </c>
      <c r="J198" s="69">
        <f>SUMIFS(CT!$H$5:$H$143,CT!$A$5:$A$143,"&gt;="&amp;$D$3,CT!$A$5:$A$143,"&lt;="&amp;$G$3,CT!$E$5:$E$143,'BTHCTTK (TH131) NGÀY'!A198)</f>
        <v>0</v>
      </c>
      <c r="K198" s="69">
        <f t="shared" si="12"/>
        <v>0</v>
      </c>
      <c r="L198" s="69">
        <f t="shared" si="13"/>
        <v>0</v>
      </c>
      <c r="M198" t="b">
        <f t="shared" si="14"/>
        <v>0</v>
      </c>
    </row>
    <row r="199" spans="1:13" hidden="1" x14ac:dyDescent="0.25">
      <c r="A199" s="93" t="str">
        <f>DMTK!B198</f>
        <v>5112.0202</v>
      </c>
      <c r="B199" s="65" t="str">
        <f>VLOOKUP(A199,DMTK!$B$5:$L$263,3,0)</f>
        <v>Doanh thu bán Bàn oval</v>
      </c>
      <c r="C199" s="69">
        <f>SUMIFS(DMTK!$K$5:$K$263,DMTK!$B$5:$B$263,A199&amp;"*")</f>
        <v>0</v>
      </c>
      <c r="D199" s="69">
        <f>SUMIFS(DMTK!$L$5:$L$263,DMTK!$B$5:$B$263,'BTHCTTK (TH131) NGÀY'!A199&amp;"*")</f>
        <v>0</v>
      </c>
      <c r="E199" s="69">
        <f>SUMIFS(CT!$H$5:$H$143,CT!$A$5:$A$143,"&lt;"&amp;'BTHCTTK (TH131) NGÀY'!$D$3,CT!$D$5:$D$143,'BTHCTTK (TH131) NGÀY'!A199)</f>
        <v>0</v>
      </c>
      <c r="F199" s="69">
        <f>SUMIFS(CT!$H$5:$H$143,CT!$A$5:$A$143,"&lt;"&amp;'BTHCTTK (TH131) NGÀY'!$D$3,CT!$E$5:$E$143,'BTHCTTK (TH131) NGÀY'!A199)</f>
        <v>0</v>
      </c>
      <c r="G199" s="69">
        <f t="shared" ref="G199:G262" si="15">MAX(C199+E199-D199-F199,0)</f>
        <v>0</v>
      </c>
      <c r="H199" s="69">
        <f t="shared" ref="H199:H262" si="16">MAX(D199+F199-C199-E199,0)</f>
        <v>0</v>
      </c>
      <c r="I199" s="69">
        <f>SUMIFS(CT!$H$5:$H$143,CT!$A$5:$A$143,"&gt;="&amp;'BTHCTTK (TH131) NGÀY'!$D$3,CT!$A$5:$A$143,"&lt;="&amp;'BTHCTTK (TH131) NGÀY'!$G$3,CT!$D$5:$D$143,'BTHCTTK (TH131) NGÀY'!A199)</f>
        <v>30000000</v>
      </c>
      <c r="J199" s="69">
        <f>SUMIFS(CT!$H$5:$H$143,CT!$A$5:$A$143,"&gt;="&amp;$D$3,CT!$A$5:$A$143,"&lt;="&amp;$G$3,CT!$E$5:$E$143,'BTHCTTK (TH131) NGÀY'!A199)</f>
        <v>30000000</v>
      </c>
      <c r="K199" s="69">
        <f t="shared" ref="K199:K262" si="17">MAX(G199+I199-H199-J199,0)</f>
        <v>0</v>
      </c>
      <c r="L199" s="69">
        <f t="shared" ref="L199:L262" si="18">MAX(H199+J199-G199-I199,0)</f>
        <v>0</v>
      </c>
      <c r="M199" t="b">
        <f t="shared" ref="M199:M262" si="19">LEFT(A199,3)=$D$2</f>
        <v>0</v>
      </c>
    </row>
    <row r="200" spans="1:13" hidden="1" x14ac:dyDescent="0.25">
      <c r="A200" s="93" t="str">
        <f>DMTK!B199</f>
        <v>5112.0203</v>
      </c>
      <c r="B200" s="65" t="str">
        <f>VLOOKUP(A200,DMTK!$B$5:$L$263,3,0)</f>
        <v>Doanh thu bán Bàn chữ nhật</v>
      </c>
      <c r="C200" s="69">
        <f>SUMIFS(DMTK!$K$5:$K$263,DMTK!$B$5:$B$263,A200&amp;"*")</f>
        <v>0</v>
      </c>
      <c r="D200" s="69">
        <f>SUMIFS(DMTK!$L$5:$L$263,DMTK!$B$5:$B$263,'BTHCTTK (TH131) NGÀY'!A200&amp;"*")</f>
        <v>0</v>
      </c>
      <c r="E200" s="69">
        <f>SUMIFS(CT!$H$5:$H$143,CT!$A$5:$A$143,"&lt;"&amp;'BTHCTTK (TH131) NGÀY'!$D$3,CT!$D$5:$D$143,'BTHCTTK (TH131) NGÀY'!A200)</f>
        <v>0</v>
      </c>
      <c r="F200" s="69">
        <f>SUMIFS(CT!$H$5:$H$143,CT!$A$5:$A$143,"&lt;"&amp;'BTHCTTK (TH131) NGÀY'!$D$3,CT!$E$5:$E$143,'BTHCTTK (TH131) NGÀY'!A200)</f>
        <v>0</v>
      </c>
      <c r="G200" s="69">
        <f t="shared" si="15"/>
        <v>0</v>
      </c>
      <c r="H200" s="69">
        <f t="shared" si="16"/>
        <v>0</v>
      </c>
      <c r="I200" s="69">
        <f>SUMIFS(CT!$H$5:$H$143,CT!$A$5:$A$143,"&gt;="&amp;'BTHCTTK (TH131) NGÀY'!$D$3,CT!$A$5:$A$143,"&lt;="&amp;'BTHCTTK (TH131) NGÀY'!$G$3,CT!$D$5:$D$143,'BTHCTTK (TH131) NGÀY'!A200)</f>
        <v>0</v>
      </c>
      <c r="J200" s="69">
        <f>SUMIFS(CT!$H$5:$H$143,CT!$A$5:$A$143,"&gt;="&amp;$D$3,CT!$A$5:$A$143,"&lt;="&amp;$G$3,CT!$E$5:$E$143,'BTHCTTK (TH131) NGÀY'!A200)</f>
        <v>0</v>
      </c>
      <c r="K200" s="69">
        <f t="shared" si="17"/>
        <v>0</v>
      </c>
      <c r="L200" s="69">
        <f t="shared" si="18"/>
        <v>0</v>
      </c>
      <c r="M200" t="b">
        <f t="shared" si="19"/>
        <v>0</v>
      </c>
    </row>
    <row r="201" spans="1:13" hidden="1" x14ac:dyDescent="0.25">
      <c r="A201" s="93" t="str">
        <f>DMTK!B200</f>
        <v>5113</v>
      </c>
      <c r="B201" s="65" t="str">
        <f>VLOOKUP(A201,DMTK!$B$5:$L$263,3,0)</f>
        <v>Doanh thu cung cấp dịch vụ</v>
      </c>
      <c r="C201" s="69">
        <f>SUMIFS(DMTK!$K$5:$K$263,DMTK!$B$5:$B$263,A201&amp;"*")</f>
        <v>0</v>
      </c>
      <c r="D201" s="69">
        <f>SUMIFS(DMTK!$L$5:$L$263,DMTK!$B$5:$B$263,'BTHCTTK (TH131) NGÀY'!A201&amp;"*")</f>
        <v>0</v>
      </c>
      <c r="E201" s="69">
        <f>SUMIFS(CT!$H$5:$H$143,CT!$A$5:$A$143,"&lt;"&amp;'BTHCTTK (TH131) NGÀY'!$D$3,CT!$D$5:$D$143,'BTHCTTK (TH131) NGÀY'!A201)</f>
        <v>0</v>
      </c>
      <c r="F201" s="69">
        <f>SUMIFS(CT!$H$5:$H$143,CT!$A$5:$A$143,"&lt;"&amp;'BTHCTTK (TH131) NGÀY'!$D$3,CT!$E$5:$E$143,'BTHCTTK (TH131) NGÀY'!A201)</f>
        <v>0</v>
      </c>
      <c r="G201" s="69">
        <f t="shared" si="15"/>
        <v>0</v>
      </c>
      <c r="H201" s="69">
        <f t="shared" si="16"/>
        <v>0</v>
      </c>
      <c r="I201" s="69">
        <f>SUMIFS(CT!$H$5:$H$143,CT!$A$5:$A$143,"&gt;="&amp;'BTHCTTK (TH131) NGÀY'!$D$3,CT!$A$5:$A$143,"&lt;="&amp;'BTHCTTK (TH131) NGÀY'!$G$3,CT!$D$5:$D$143,'BTHCTTK (TH131) NGÀY'!A201)</f>
        <v>0</v>
      </c>
      <c r="J201" s="69">
        <f>SUMIFS(CT!$H$5:$H$143,CT!$A$5:$A$143,"&gt;="&amp;$D$3,CT!$A$5:$A$143,"&lt;="&amp;$G$3,CT!$E$5:$E$143,'BTHCTTK (TH131) NGÀY'!A201)</f>
        <v>0</v>
      </c>
      <c r="K201" s="69">
        <f t="shared" si="17"/>
        <v>0</v>
      </c>
      <c r="L201" s="69">
        <f t="shared" si="18"/>
        <v>0</v>
      </c>
      <c r="M201" t="b">
        <f t="shared" si="19"/>
        <v>0</v>
      </c>
    </row>
    <row r="202" spans="1:13" hidden="1" x14ac:dyDescent="0.25">
      <c r="A202" s="93" t="str">
        <f>DMTK!B201</f>
        <v>5114</v>
      </c>
      <c r="B202" s="65" t="str">
        <f>VLOOKUP(A202,DMTK!$B$5:$L$263,3,0)</f>
        <v>Doanh thu trợ cấp, trợ giá</v>
      </c>
      <c r="C202" s="69">
        <f>SUMIFS(DMTK!$K$5:$K$263,DMTK!$B$5:$B$263,A202&amp;"*")</f>
        <v>0</v>
      </c>
      <c r="D202" s="69">
        <f>SUMIFS(DMTK!$L$5:$L$263,DMTK!$B$5:$B$263,'BTHCTTK (TH131) NGÀY'!A202&amp;"*")</f>
        <v>0</v>
      </c>
      <c r="E202" s="69">
        <f>SUMIFS(CT!$H$5:$H$143,CT!$A$5:$A$143,"&lt;"&amp;'BTHCTTK (TH131) NGÀY'!$D$3,CT!$D$5:$D$143,'BTHCTTK (TH131) NGÀY'!A202)</f>
        <v>0</v>
      </c>
      <c r="F202" s="69">
        <f>SUMIFS(CT!$H$5:$H$143,CT!$A$5:$A$143,"&lt;"&amp;'BTHCTTK (TH131) NGÀY'!$D$3,CT!$E$5:$E$143,'BTHCTTK (TH131) NGÀY'!A202)</f>
        <v>0</v>
      </c>
      <c r="G202" s="69">
        <f t="shared" si="15"/>
        <v>0</v>
      </c>
      <c r="H202" s="69">
        <f t="shared" si="16"/>
        <v>0</v>
      </c>
      <c r="I202" s="69">
        <f>SUMIFS(CT!$H$5:$H$143,CT!$A$5:$A$143,"&gt;="&amp;'BTHCTTK (TH131) NGÀY'!$D$3,CT!$A$5:$A$143,"&lt;="&amp;'BTHCTTK (TH131) NGÀY'!$G$3,CT!$D$5:$D$143,'BTHCTTK (TH131) NGÀY'!A202)</f>
        <v>0</v>
      </c>
      <c r="J202" s="69">
        <f>SUMIFS(CT!$H$5:$H$143,CT!$A$5:$A$143,"&gt;="&amp;$D$3,CT!$A$5:$A$143,"&lt;="&amp;$G$3,CT!$E$5:$E$143,'BTHCTTK (TH131) NGÀY'!A202)</f>
        <v>0</v>
      </c>
      <c r="K202" s="69">
        <f t="shared" si="17"/>
        <v>0</v>
      </c>
      <c r="L202" s="69">
        <f t="shared" si="18"/>
        <v>0</v>
      </c>
      <c r="M202" t="b">
        <f t="shared" si="19"/>
        <v>0</v>
      </c>
    </row>
    <row r="203" spans="1:13" hidden="1" x14ac:dyDescent="0.25">
      <c r="A203" s="93" t="str">
        <f>DMTK!B202</f>
        <v>5117</v>
      </c>
      <c r="B203" s="65" t="str">
        <f>VLOOKUP(A203,DMTK!$B$5:$L$263,3,0)</f>
        <v>Doanh thu kinh doanh bất động sản đầu tư</v>
      </c>
      <c r="C203" s="69">
        <f>SUMIFS(DMTK!$K$5:$K$263,DMTK!$B$5:$B$263,A203&amp;"*")</f>
        <v>0</v>
      </c>
      <c r="D203" s="69">
        <f>SUMIFS(DMTK!$L$5:$L$263,DMTK!$B$5:$B$263,'BTHCTTK (TH131) NGÀY'!A203&amp;"*")</f>
        <v>0</v>
      </c>
      <c r="E203" s="69">
        <f>SUMIFS(CT!$H$5:$H$143,CT!$A$5:$A$143,"&lt;"&amp;'BTHCTTK (TH131) NGÀY'!$D$3,CT!$D$5:$D$143,'BTHCTTK (TH131) NGÀY'!A203)</f>
        <v>0</v>
      </c>
      <c r="F203" s="69">
        <f>SUMIFS(CT!$H$5:$H$143,CT!$A$5:$A$143,"&lt;"&amp;'BTHCTTK (TH131) NGÀY'!$D$3,CT!$E$5:$E$143,'BTHCTTK (TH131) NGÀY'!A203)</f>
        <v>0</v>
      </c>
      <c r="G203" s="69">
        <f t="shared" si="15"/>
        <v>0</v>
      </c>
      <c r="H203" s="69">
        <f t="shared" si="16"/>
        <v>0</v>
      </c>
      <c r="I203" s="69">
        <f>SUMIFS(CT!$H$5:$H$143,CT!$A$5:$A$143,"&gt;="&amp;'BTHCTTK (TH131) NGÀY'!$D$3,CT!$A$5:$A$143,"&lt;="&amp;'BTHCTTK (TH131) NGÀY'!$G$3,CT!$D$5:$D$143,'BTHCTTK (TH131) NGÀY'!A203)</f>
        <v>0</v>
      </c>
      <c r="J203" s="69">
        <f>SUMIFS(CT!$H$5:$H$143,CT!$A$5:$A$143,"&gt;="&amp;$D$3,CT!$A$5:$A$143,"&lt;="&amp;$G$3,CT!$E$5:$E$143,'BTHCTTK (TH131) NGÀY'!A203)</f>
        <v>0</v>
      </c>
      <c r="K203" s="69">
        <f t="shared" si="17"/>
        <v>0</v>
      </c>
      <c r="L203" s="69">
        <f t="shared" si="18"/>
        <v>0</v>
      </c>
      <c r="M203" t="b">
        <f t="shared" si="19"/>
        <v>0</v>
      </c>
    </row>
    <row r="204" spans="1:13" hidden="1" x14ac:dyDescent="0.25">
      <c r="A204" s="93" t="str">
        <f>DMTK!B203</f>
        <v>515</v>
      </c>
      <c r="B204" s="65" t="str">
        <f>VLOOKUP(A204,DMTK!$B$5:$L$263,3,0)</f>
        <v>Doanh thu hoạt động tài chính</v>
      </c>
      <c r="C204" s="69">
        <f>SUMIFS(DMTK!$K$5:$K$263,DMTK!$B$5:$B$263,A204&amp;"*")</f>
        <v>0</v>
      </c>
      <c r="D204" s="69">
        <f>SUMIFS(DMTK!$L$5:$L$263,DMTK!$B$5:$B$263,'BTHCTTK (TH131) NGÀY'!A204&amp;"*")</f>
        <v>0</v>
      </c>
      <c r="E204" s="69">
        <f>SUMIFS(CT!$H$5:$H$143,CT!$A$5:$A$143,"&lt;"&amp;'BTHCTTK (TH131) NGÀY'!$D$3,CT!$D$5:$D$143,'BTHCTTK (TH131) NGÀY'!A204)</f>
        <v>0</v>
      </c>
      <c r="F204" s="69">
        <f>SUMIFS(CT!$H$5:$H$143,CT!$A$5:$A$143,"&lt;"&amp;'BTHCTTK (TH131) NGÀY'!$D$3,CT!$E$5:$E$143,'BTHCTTK (TH131) NGÀY'!A204)</f>
        <v>0</v>
      </c>
      <c r="G204" s="69">
        <f t="shared" si="15"/>
        <v>0</v>
      </c>
      <c r="H204" s="69">
        <f t="shared" si="16"/>
        <v>0</v>
      </c>
      <c r="I204" s="69">
        <f>SUMIFS(CT!$H$5:$H$143,CT!$A$5:$A$143,"&gt;="&amp;'BTHCTTK (TH131) NGÀY'!$D$3,CT!$A$5:$A$143,"&lt;="&amp;'BTHCTTK (TH131) NGÀY'!$G$3,CT!$D$5:$D$143,'BTHCTTK (TH131) NGÀY'!A204)</f>
        <v>0</v>
      </c>
      <c r="J204" s="69">
        <f>SUMIFS(CT!$H$5:$H$143,CT!$A$5:$A$143,"&gt;="&amp;$D$3,CT!$A$5:$A$143,"&lt;="&amp;$G$3,CT!$E$5:$E$143,'BTHCTTK (TH131) NGÀY'!A204)</f>
        <v>0</v>
      </c>
      <c r="K204" s="69">
        <f t="shared" si="17"/>
        <v>0</v>
      </c>
      <c r="L204" s="69">
        <f t="shared" si="18"/>
        <v>0</v>
      </c>
      <c r="M204" t="b">
        <f t="shared" si="19"/>
        <v>0</v>
      </c>
    </row>
    <row r="205" spans="1:13" hidden="1" x14ac:dyDescent="0.25">
      <c r="A205" s="93" t="str">
        <f>DMTK!B204</f>
        <v>5211</v>
      </c>
      <c r="B205" s="65" t="str">
        <f>VLOOKUP(A205,DMTK!$B$5:$L$263,3,0)</f>
        <v>Chiết khấu thương mại</v>
      </c>
      <c r="C205" s="69">
        <f>SUMIFS(DMTK!$K$5:$K$263,DMTK!$B$5:$B$263,A205&amp;"*")</f>
        <v>0</v>
      </c>
      <c r="D205" s="69">
        <f>SUMIFS(DMTK!$L$5:$L$263,DMTK!$B$5:$B$263,'BTHCTTK (TH131) NGÀY'!A205&amp;"*")</f>
        <v>0</v>
      </c>
      <c r="E205" s="69">
        <f>SUMIFS(CT!$H$5:$H$143,CT!$A$5:$A$143,"&lt;"&amp;'BTHCTTK (TH131) NGÀY'!$D$3,CT!$D$5:$D$143,'BTHCTTK (TH131) NGÀY'!A205)</f>
        <v>0</v>
      </c>
      <c r="F205" s="69">
        <f>SUMIFS(CT!$H$5:$H$143,CT!$A$5:$A$143,"&lt;"&amp;'BTHCTTK (TH131) NGÀY'!$D$3,CT!$E$5:$E$143,'BTHCTTK (TH131) NGÀY'!A205)</f>
        <v>0</v>
      </c>
      <c r="G205" s="69">
        <f t="shared" si="15"/>
        <v>0</v>
      </c>
      <c r="H205" s="69">
        <f t="shared" si="16"/>
        <v>0</v>
      </c>
      <c r="I205" s="69">
        <f>SUMIFS(CT!$H$5:$H$143,CT!$A$5:$A$143,"&gt;="&amp;'BTHCTTK (TH131) NGÀY'!$D$3,CT!$A$5:$A$143,"&lt;="&amp;'BTHCTTK (TH131) NGÀY'!$G$3,CT!$D$5:$D$143,'BTHCTTK (TH131) NGÀY'!A205)</f>
        <v>0</v>
      </c>
      <c r="J205" s="69">
        <f>SUMIFS(CT!$H$5:$H$143,CT!$A$5:$A$143,"&gt;="&amp;$D$3,CT!$A$5:$A$143,"&lt;="&amp;$G$3,CT!$E$5:$E$143,'BTHCTTK (TH131) NGÀY'!A205)</f>
        <v>0</v>
      </c>
      <c r="K205" s="69">
        <f t="shared" si="17"/>
        <v>0</v>
      </c>
      <c r="L205" s="69">
        <f t="shared" si="18"/>
        <v>0</v>
      </c>
      <c r="M205" t="b">
        <f t="shared" si="19"/>
        <v>0</v>
      </c>
    </row>
    <row r="206" spans="1:13" hidden="1" x14ac:dyDescent="0.25">
      <c r="A206" s="93" t="str">
        <f>DMTK!B205</f>
        <v>5212</v>
      </c>
      <c r="B206" s="65" t="str">
        <f>VLOOKUP(A206,DMTK!$B$5:$L$263,3,0)</f>
        <v>Giảm giá hàng bán</v>
      </c>
      <c r="C206" s="69">
        <f>SUMIFS(DMTK!$K$5:$K$263,DMTK!$B$5:$B$263,A206&amp;"*")</f>
        <v>0</v>
      </c>
      <c r="D206" s="69">
        <f>SUMIFS(DMTK!$L$5:$L$263,DMTK!$B$5:$B$263,'BTHCTTK (TH131) NGÀY'!A206&amp;"*")</f>
        <v>0</v>
      </c>
      <c r="E206" s="69">
        <f>SUMIFS(CT!$H$5:$H$143,CT!$A$5:$A$143,"&lt;"&amp;'BTHCTTK (TH131) NGÀY'!$D$3,CT!$D$5:$D$143,'BTHCTTK (TH131) NGÀY'!A206)</f>
        <v>0</v>
      </c>
      <c r="F206" s="69">
        <f>SUMIFS(CT!$H$5:$H$143,CT!$A$5:$A$143,"&lt;"&amp;'BTHCTTK (TH131) NGÀY'!$D$3,CT!$E$5:$E$143,'BTHCTTK (TH131) NGÀY'!A206)</f>
        <v>0</v>
      </c>
      <c r="G206" s="69">
        <f t="shared" si="15"/>
        <v>0</v>
      </c>
      <c r="H206" s="69">
        <f t="shared" si="16"/>
        <v>0</v>
      </c>
      <c r="I206" s="69">
        <f>SUMIFS(CT!$H$5:$H$143,CT!$A$5:$A$143,"&gt;="&amp;'BTHCTTK (TH131) NGÀY'!$D$3,CT!$A$5:$A$143,"&lt;="&amp;'BTHCTTK (TH131) NGÀY'!$G$3,CT!$D$5:$D$143,'BTHCTTK (TH131) NGÀY'!A206)</f>
        <v>0</v>
      </c>
      <c r="J206" s="69">
        <f>SUMIFS(CT!$H$5:$H$143,CT!$A$5:$A$143,"&gt;="&amp;$D$3,CT!$A$5:$A$143,"&lt;="&amp;$G$3,CT!$E$5:$E$143,'BTHCTTK (TH131) NGÀY'!A206)</f>
        <v>0</v>
      </c>
      <c r="K206" s="69">
        <f t="shared" si="17"/>
        <v>0</v>
      </c>
      <c r="L206" s="69">
        <f t="shared" si="18"/>
        <v>0</v>
      </c>
      <c r="M206" t="b">
        <f t="shared" si="19"/>
        <v>0</v>
      </c>
    </row>
    <row r="207" spans="1:13" hidden="1" x14ac:dyDescent="0.25">
      <c r="A207" s="93" t="str">
        <f>DMTK!B206</f>
        <v>5213</v>
      </c>
      <c r="B207" s="65" t="str">
        <f>VLOOKUP(A207,DMTK!$B$5:$L$263,3,0)</f>
        <v>Hàng bán bị trả lại</v>
      </c>
      <c r="C207" s="69">
        <f>SUMIFS(DMTK!$K$5:$K$263,DMTK!$B$5:$B$263,A207&amp;"*")</f>
        <v>0</v>
      </c>
      <c r="D207" s="69">
        <f>SUMIFS(DMTK!$L$5:$L$263,DMTK!$B$5:$B$263,'BTHCTTK (TH131) NGÀY'!A207&amp;"*")</f>
        <v>0</v>
      </c>
      <c r="E207" s="69">
        <f>SUMIFS(CT!$H$5:$H$143,CT!$A$5:$A$143,"&lt;"&amp;'BTHCTTK (TH131) NGÀY'!$D$3,CT!$D$5:$D$143,'BTHCTTK (TH131) NGÀY'!A207)</f>
        <v>0</v>
      </c>
      <c r="F207" s="69">
        <f>SUMIFS(CT!$H$5:$H$143,CT!$A$5:$A$143,"&lt;"&amp;'BTHCTTK (TH131) NGÀY'!$D$3,CT!$E$5:$E$143,'BTHCTTK (TH131) NGÀY'!A207)</f>
        <v>0</v>
      </c>
      <c r="G207" s="69">
        <f t="shared" si="15"/>
        <v>0</v>
      </c>
      <c r="H207" s="69">
        <f t="shared" si="16"/>
        <v>0</v>
      </c>
      <c r="I207" s="69">
        <f>SUMIFS(CT!$H$5:$H$143,CT!$A$5:$A$143,"&gt;="&amp;'BTHCTTK (TH131) NGÀY'!$D$3,CT!$A$5:$A$143,"&lt;="&amp;'BTHCTTK (TH131) NGÀY'!$G$3,CT!$D$5:$D$143,'BTHCTTK (TH131) NGÀY'!A207)</f>
        <v>0</v>
      </c>
      <c r="J207" s="69">
        <f>SUMIFS(CT!$H$5:$H$143,CT!$A$5:$A$143,"&gt;="&amp;$D$3,CT!$A$5:$A$143,"&lt;="&amp;$G$3,CT!$E$5:$E$143,'BTHCTTK (TH131) NGÀY'!A207)</f>
        <v>0</v>
      </c>
      <c r="K207" s="69">
        <f t="shared" si="17"/>
        <v>0</v>
      </c>
      <c r="L207" s="69">
        <f t="shared" si="18"/>
        <v>0</v>
      </c>
      <c r="M207" t="b">
        <f t="shared" si="19"/>
        <v>0</v>
      </c>
    </row>
    <row r="208" spans="1:13" hidden="1" x14ac:dyDescent="0.25">
      <c r="A208" s="93" t="str">
        <f>DMTK!B207</f>
        <v>6111</v>
      </c>
      <c r="B208" s="65" t="str">
        <f>VLOOKUP(A208,DMTK!$B$5:$L$263,3,0)</f>
        <v>Mua nguyên liệu, vật liệu</v>
      </c>
      <c r="C208" s="69">
        <f>SUMIFS(DMTK!$K$5:$K$263,DMTK!$B$5:$B$263,A208&amp;"*")</f>
        <v>0</v>
      </c>
      <c r="D208" s="69">
        <f>SUMIFS(DMTK!$L$5:$L$263,DMTK!$B$5:$B$263,'BTHCTTK (TH131) NGÀY'!A208&amp;"*")</f>
        <v>0</v>
      </c>
      <c r="E208" s="69">
        <f>SUMIFS(CT!$H$5:$H$143,CT!$A$5:$A$143,"&lt;"&amp;'BTHCTTK (TH131) NGÀY'!$D$3,CT!$D$5:$D$143,'BTHCTTK (TH131) NGÀY'!A208)</f>
        <v>0</v>
      </c>
      <c r="F208" s="69">
        <f>SUMIFS(CT!$H$5:$H$143,CT!$A$5:$A$143,"&lt;"&amp;'BTHCTTK (TH131) NGÀY'!$D$3,CT!$E$5:$E$143,'BTHCTTK (TH131) NGÀY'!A208)</f>
        <v>0</v>
      </c>
      <c r="G208" s="69">
        <f t="shared" si="15"/>
        <v>0</v>
      </c>
      <c r="H208" s="69">
        <f t="shared" si="16"/>
        <v>0</v>
      </c>
      <c r="I208" s="69">
        <f>SUMIFS(CT!$H$5:$H$143,CT!$A$5:$A$143,"&gt;="&amp;'BTHCTTK (TH131) NGÀY'!$D$3,CT!$A$5:$A$143,"&lt;="&amp;'BTHCTTK (TH131) NGÀY'!$G$3,CT!$D$5:$D$143,'BTHCTTK (TH131) NGÀY'!A208)</f>
        <v>0</v>
      </c>
      <c r="J208" s="69">
        <f>SUMIFS(CT!$H$5:$H$143,CT!$A$5:$A$143,"&gt;="&amp;$D$3,CT!$A$5:$A$143,"&lt;="&amp;$G$3,CT!$E$5:$E$143,'BTHCTTK (TH131) NGÀY'!A208)</f>
        <v>0</v>
      </c>
      <c r="K208" s="69">
        <f t="shared" si="17"/>
        <v>0</v>
      </c>
      <c r="L208" s="69">
        <f t="shared" si="18"/>
        <v>0</v>
      </c>
      <c r="M208" t="b">
        <f t="shared" si="19"/>
        <v>0</v>
      </c>
    </row>
    <row r="209" spans="1:13" hidden="1" x14ac:dyDescent="0.25">
      <c r="A209" s="93" t="str">
        <f>DMTK!B208</f>
        <v>6112</v>
      </c>
      <c r="B209" s="65" t="str">
        <f>VLOOKUP(A209,DMTK!$B$5:$L$263,3,0)</f>
        <v>Mua hàng hóa</v>
      </c>
      <c r="C209" s="69">
        <f>SUMIFS(DMTK!$K$5:$K$263,DMTK!$B$5:$B$263,A209&amp;"*")</f>
        <v>0</v>
      </c>
      <c r="D209" s="69">
        <f>SUMIFS(DMTK!$L$5:$L$263,DMTK!$B$5:$B$263,'BTHCTTK (TH131) NGÀY'!A209&amp;"*")</f>
        <v>0</v>
      </c>
      <c r="E209" s="69">
        <f>SUMIFS(CT!$H$5:$H$143,CT!$A$5:$A$143,"&lt;"&amp;'BTHCTTK (TH131) NGÀY'!$D$3,CT!$D$5:$D$143,'BTHCTTK (TH131) NGÀY'!A209)</f>
        <v>0</v>
      </c>
      <c r="F209" s="69">
        <f>SUMIFS(CT!$H$5:$H$143,CT!$A$5:$A$143,"&lt;"&amp;'BTHCTTK (TH131) NGÀY'!$D$3,CT!$E$5:$E$143,'BTHCTTK (TH131) NGÀY'!A209)</f>
        <v>0</v>
      </c>
      <c r="G209" s="69">
        <f t="shared" si="15"/>
        <v>0</v>
      </c>
      <c r="H209" s="69">
        <f t="shared" si="16"/>
        <v>0</v>
      </c>
      <c r="I209" s="69">
        <f>SUMIFS(CT!$H$5:$H$143,CT!$A$5:$A$143,"&gt;="&amp;'BTHCTTK (TH131) NGÀY'!$D$3,CT!$A$5:$A$143,"&lt;="&amp;'BTHCTTK (TH131) NGÀY'!$G$3,CT!$D$5:$D$143,'BTHCTTK (TH131) NGÀY'!A209)</f>
        <v>0</v>
      </c>
      <c r="J209" s="69">
        <f>SUMIFS(CT!$H$5:$H$143,CT!$A$5:$A$143,"&gt;="&amp;$D$3,CT!$A$5:$A$143,"&lt;="&amp;$G$3,CT!$E$5:$E$143,'BTHCTTK (TH131) NGÀY'!A209)</f>
        <v>0</v>
      </c>
      <c r="K209" s="69">
        <f t="shared" si="17"/>
        <v>0</v>
      </c>
      <c r="L209" s="69">
        <f t="shared" si="18"/>
        <v>0</v>
      </c>
      <c r="M209" t="b">
        <f t="shared" si="19"/>
        <v>0</v>
      </c>
    </row>
    <row r="210" spans="1:13" hidden="1" x14ac:dyDescent="0.25">
      <c r="A210" s="93" t="str">
        <f>DMTK!B209</f>
        <v>6211.01</v>
      </c>
      <c r="B210" s="65" t="str">
        <f>VLOOKUP(A210,DMTK!$B$5:$L$263,3,0)</f>
        <v>CFNVL Ghế tay vịn</v>
      </c>
      <c r="C210" s="69">
        <f>SUMIFS(DMTK!$K$5:$K$263,DMTK!$B$5:$B$263,A210&amp;"*")</f>
        <v>0</v>
      </c>
      <c r="D210" s="69">
        <f>SUMIFS(DMTK!$L$5:$L$263,DMTK!$B$5:$B$263,'BTHCTTK (TH131) NGÀY'!A210&amp;"*")</f>
        <v>0</v>
      </c>
      <c r="E210" s="69">
        <f>SUMIFS(CT!$H$5:$H$143,CT!$A$5:$A$143,"&lt;"&amp;'BTHCTTK (TH131) NGÀY'!$D$3,CT!$D$5:$D$143,'BTHCTTK (TH131) NGÀY'!A210)</f>
        <v>0</v>
      </c>
      <c r="F210" s="69">
        <f>SUMIFS(CT!$H$5:$H$143,CT!$A$5:$A$143,"&lt;"&amp;'BTHCTTK (TH131) NGÀY'!$D$3,CT!$E$5:$E$143,'BTHCTTK (TH131) NGÀY'!A210)</f>
        <v>0</v>
      </c>
      <c r="G210" s="69">
        <f t="shared" si="15"/>
        <v>0</v>
      </c>
      <c r="H210" s="69">
        <f t="shared" si="16"/>
        <v>0</v>
      </c>
      <c r="I210" s="69">
        <f>SUMIFS(CT!$H$5:$H$143,CT!$A$5:$A$143,"&gt;="&amp;'BTHCTTK (TH131) NGÀY'!$D$3,CT!$A$5:$A$143,"&lt;="&amp;'BTHCTTK (TH131) NGÀY'!$G$3,CT!$D$5:$D$143,'BTHCTTK (TH131) NGÀY'!A210)</f>
        <v>14432200</v>
      </c>
      <c r="J210" s="69">
        <f>SUMIFS(CT!$H$5:$H$143,CT!$A$5:$A$143,"&gt;="&amp;$D$3,CT!$A$5:$A$143,"&lt;="&amp;$G$3,CT!$E$5:$E$143,'BTHCTTK (TH131) NGÀY'!A210)</f>
        <v>14432200</v>
      </c>
      <c r="K210" s="69">
        <f t="shared" si="17"/>
        <v>0</v>
      </c>
      <c r="L210" s="69">
        <f t="shared" si="18"/>
        <v>0</v>
      </c>
      <c r="M210" t="b">
        <f t="shared" si="19"/>
        <v>0</v>
      </c>
    </row>
    <row r="211" spans="1:13" hidden="1" x14ac:dyDescent="0.25">
      <c r="A211" s="93" t="str">
        <f>DMTK!B210</f>
        <v>6211.02</v>
      </c>
      <c r="B211" s="65" t="str">
        <f>VLOOKUP(A211,DMTK!$B$5:$L$263,3,0)</f>
        <v>CFNVL Ghế không tay</v>
      </c>
      <c r="C211" s="69">
        <f>SUMIFS(DMTK!$K$5:$K$263,DMTK!$B$5:$B$263,A211&amp;"*")</f>
        <v>0</v>
      </c>
      <c r="D211" s="69">
        <f>SUMIFS(DMTK!$L$5:$L$263,DMTK!$B$5:$B$263,'BTHCTTK (TH131) NGÀY'!A211&amp;"*")</f>
        <v>0</v>
      </c>
      <c r="E211" s="69">
        <f>SUMIFS(CT!$H$5:$H$143,CT!$A$5:$A$143,"&lt;"&amp;'BTHCTTK (TH131) NGÀY'!$D$3,CT!$D$5:$D$143,'BTHCTTK (TH131) NGÀY'!A211)</f>
        <v>0</v>
      </c>
      <c r="F211" s="69">
        <f>SUMIFS(CT!$H$5:$H$143,CT!$A$5:$A$143,"&lt;"&amp;'BTHCTTK (TH131) NGÀY'!$D$3,CT!$E$5:$E$143,'BTHCTTK (TH131) NGÀY'!A211)</f>
        <v>0</v>
      </c>
      <c r="G211" s="69">
        <f t="shared" si="15"/>
        <v>0</v>
      </c>
      <c r="H211" s="69">
        <f t="shared" si="16"/>
        <v>0</v>
      </c>
      <c r="I211" s="69">
        <f>SUMIFS(CT!$H$5:$H$143,CT!$A$5:$A$143,"&gt;="&amp;'BTHCTTK (TH131) NGÀY'!$D$3,CT!$A$5:$A$143,"&lt;="&amp;'BTHCTTK (TH131) NGÀY'!$G$3,CT!$D$5:$D$143,'BTHCTTK (TH131) NGÀY'!A211)</f>
        <v>0</v>
      </c>
      <c r="J211" s="69">
        <f>SUMIFS(CT!$H$5:$H$143,CT!$A$5:$A$143,"&gt;="&amp;$D$3,CT!$A$5:$A$143,"&lt;="&amp;$G$3,CT!$E$5:$E$143,'BTHCTTK (TH131) NGÀY'!A211)</f>
        <v>0</v>
      </c>
      <c r="K211" s="69">
        <f t="shared" si="17"/>
        <v>0</v>
      </c>
      <c r="L211" s="69">
        <f t="shared" si="18"/>
        <v>0</v>
      </c>
      <c r="M211" t="b">
        <f t="shared" si="19"/>
        <v>0</v>
      </c>
    </row>
    <row r="212" spans="1:13" hidden="1" x14ac:dyDescent="0.25">
      <c r="A212" s="93" t="str">
        <f>DMTK!B211</f>
        <v>6211.03</v>
      </c>
      <c r="B212" s="65" t="str">
        <f>VLOOKUP(A212,DMTK!$B$5:$L$263,3,0)</f>
        <v>CFNVL Bàn tròn</v>
      </c>
      <c r="C212" s="69">
        <f>SUMIFS(DMTK!$K$5:$K$263,DMTK!$B$5:$B$263,A212&amp;"*")</f>
        <v>0</v>
      </c>
      <c r="D212" s="69">
        <f>SUMIFS(DMTK!$L$5:$L$263,DMTK!$B$5:$B$263,'BTHCTTK (TH131) NGÀY'!A212&amp;"*")</f>
        <v>0</v>
      </c>
      <c r="E212" s="69">
        <f>SUMIFS(CT!$H$5:$H$143,CT!$A$5:$A$143,"&lt;"&amp;'BTHCTTK (TH131) NGÀY'!$D$3,CT!$D$5:$D$143,'BTHCTTK (TH131) NGÀY'!A212)</f>
        <v>0</v>
      </c>
      <c r="F212" s="69">
        <f>SUMIFS(CT!$H$5:$H$143,CT!$A$5:$A$143,"&lt;"&amp;'BTHCTTK (TH131) NGÀY'!$D$3,CT!$E$5:$E$143,'BTHCTTK (TH131) NGÀY'!A212)</f>
        <v>0</v>
      </c>
      <c r="G212" s="69">
        <f t="shared" si="15"/>
        <v>0</v>
      </c>
      <c r="H212" s="69">
        <f t="shared" si="16"/>
        <v>0</v>
      </c>
      <c r="I212" s="69">
        <f>SUMIFS(CT!$H$5:$H$143,CT!$A$5:$A$143,"&gt;="&amp;'BTHCTTK (TH131) NGÀY'!$D$3,CT!$A$5:$A$143,"&lt;="&amp;'BTHCTTK (TH131) NGÀY'!$G$3,CT!$D$5:$D$143,'BTHCTTK (TH131) NGÀY'!A212)</f>
        <v>3646000</v>
      </c>
      <c r="J212" s="69">
        <f>SUMIFS(CT!$H$5:$H$143,CT!$A$5:$A$143,"&gt;="&amp;$D$3,CT!$A$5:$A$143,"&lt;="&amp;$G$3,CT!$E$5:$E$143,'BTHCTTK (TH131) NGÀY'!A212)</f>
        <v>3646000</v>
      </c>
      <c r="K212" s="69">
        <f t="shared" si="17"/>
        <v>0</v>
      </c>
      <c r="L212" s="69">
        <f t="shared" si="18"/>
        <v>0</v>
      </c>
      <c r="M212" t="b">
        <f t="shared" si="19"/>
        <v>0</v>
      </c>
    </row>
    <row r="213" spans="1:13" hidden="1" x14ac:dyDescent="0.25">
      <c r="A213" s="93" t="str">
        <f>DMTK!B212</f>
        <v>6211.04</v>
      </c>
      <c r="B213" s="65" t="str">
        <f>VLOOKUP(A213,DMTK!$B$5:$L$263,3,0)</f>
        <v>CFNVL Bàn oval</v>
      </c>
      <c r="C213" s="69">
        <f>SUMIFS(DMTK!$K$5:$K$263,DMTK!$B$5:$B$263,A213&amp;"*")</f>
        <v>0</v>
      </c>
      <c r="D213" s="69">
        <f>SUMIFS(DMTK!$L$5:$L$263,DMTK!$B$5:$B$263,'BTHCTTK (TH131) NGÀY'!A213&amp;"*")</f>
        <v>0</v>
      </c>
      <c r="E213" s="69">
        <f>SUMIFS(CT!$H$5:$H$143,CT!$A$5:$A$143,"&lt;"&amp;'BTHCTTK (TH131) NGÀY'!$D$3,CT!$D$5:$D$143,'BTHCTTK (TH131) NGÀY'!A213)</f>
        <v>0</v>
      </c>
      <c r="F213" s="69">
        <f>SUMIFS(CT!$H$5:$H$143,CT!$A$5:$A$143,"&lt;"&amp;'BTHCTTK (TH131) NGÀY'!$D$3,CT!$E$5:$E$143,'BTHCTTK (TH131) NGÀY'!A213)</f>
        <v>0</v>
      </c>
      <c r="G213" s="69">
        <f t="shared" si="15"/>
        <v>0</v>
      </c>
      <c r="H213" s="69">
        <f t="shared" si="16"/>
        <v>0</v>
      </c>
      <c r="I213" s="69">
        <f>SUMIFS(CT!$H$5:$H$143,CT!$A$5:$A$143,"&gt;="&amp;'BTHCTTK (TH131) NGÀY'!$D$3,CT!$A$5:$A$143,"&lt;="&amp;'BTHCTTK (TH131) NGÀY'!$G$3,CT!$D$5:$D$143,'BTHCTTK (TH131) NGÀY'!A213)</f>
        <v>0</v>
      </c>
      <c r="J213" s="69">
        <f>SUMIFS(CT!$H$5:$H$143,CT!$A$5:$A$143,"&gt;="&amp;$D$3,CT!$A$5:$A$143,"&lt;="&amp;$G$3,CT!$E$5:$E$143,'BTHCTTK (TH131) NGÀY'!A213)</f>
        <v>0</v>
      </c>
      <c r="K213" s="69">
        <f t="shared" si="17"/>
        <v>0</v>
      </c>
      <c r="L213" s="69">
        <f t="shared" si="18"/>
        <v>0</v>
      </c>
      <c r="M213" t="b">
        <f t="shared" si="19"/>
        <v>0</v>
      </c>
    </row>
    <row r="214" spans="1:13" hidden="1" x14ac:dyDescent="0.25">
      <c r="A214" s="93" t="str">
        <f>DMTK!B213</f>
        <v>6211.05</v>
      </c>
      <c r="B214" s="65" t="str">
        <f>VLOOKUP(A214,DMTK!$B$5:$L$263,3,0)</f>
        <v>CFNVL Bàn chữ nhật</v>
      </c>
      <c r="C214" s="69">
        <f>SUMIFS(DMTK!$K$5:$K$263,DMTK!$B$5:$B$263,A214&amp;"*")</f>
        <v>0</v>
      </c>
      <c r="D214" s="69">
        <f>SUMIFS(DMTK!$L$5:$L$263,DMTK!$B$5:$B$263,'BTHCTTK (TH131) NGÀY'!A214&amp;"*")</f>
        <v>0</v>
      </c>
      <c r="E214" s="69">
        <f>SUMIFS(CT!$H$5:$H$143,CT!$A$5:$A$143,"&lt;"&amp;'BTHCTTK (TH131) NGÀY'!$D$3,CT!$D$5:$D$143,'BTHCTTK (TH131) NGÀY'!A214)</f>
        <v>0</v>
      </c>
      <c r="F214" s="69">
        <f>SUMIFS(CT!$H$5:$H$143,CT!$A$5:$A$143,"&lt;"&amp;'BTHCTTK (TH131) NGÀY'!$D$3,CT!$E$5:$E$143,'BTHCTTK (TH131) NGÀY'!A214)</f>
        <v>0</v>
      </c>
      <c r="G214" s="69">
        <f t="shared" si="15"/>
        <v>0</v>
      </c>
      <c r="H214" s="69">
        <f t="shared" si="16"/>
        <v>0</v>
      </c>
      <c r="I214" s="69">
        <f>SUMIFS(CT!$H$5:$H$143,CT!$A$5:$A$143,"&gt;="&amp;'BTHCTTK (TH131) NGÀY'!$D$3,CT!$A$5:$A$143,"&lt;="&amp;'BTHCTTK (TH131) NGÀY'!$G$3,CT!$D$5:$D$143,'BTHCTTK (TH131) NGÀY'!A214)</f>
        <v>0</v>
      </c>
      <c r="J214" s="69">
        <f>SUMIFS(CT!$H$5:$H$143,CT!$A$5:$A$143,"&gt;="&amp;$D$3,CT!$A$5:$A$143,"&lt;="&amp;$G$3,CT!$E$5:$E$143,'BTHCTTK (TH131) NGÀY'!A214)</f>
        <v>0</v>
      </c>
      <c r="K214" s="69">
        <f t="shared" si="17"/>
        <v>0</v>
      </c>
      <c r="L214" s="69">
        <f t="shared" si="18"/>
        <v>0</v>
      </c>
      <c r="M214" t="b">
        <f t="shared" si="19"/>
        <v>0</v>
      </c>
    </row>
    <row r="215" spans="1:13" hidden="1" x14ac:dyDescent="0.25">
      <c r="A215" s="93" t="str">
        <f>DMTK!B214</f>
        <v>622.01</v>
      </c>
      <c r="B215" s="65" t="str">
        <f>VLOOKUP(A215,DMTK!$B$5:$L$263,3,0)</f>
        <v>CFNC Ghế tay vịn</v>
      </c>
      <c r="C215" s="69">
        <f>SUMIFS(DMTK!$K$5:$K$263,DMTK!$B$5:$B$263,A215&amp;"*")</f>
        <v>0</v>
      </c>
      <c r="D215" s="69">
        <f>SUMIFS(DMTK!$L$5:$L$263,DMTK!$B$5:$B$263,'BTHCTTK (TH131) NGÀY'!A215&amp;"*")</f>
        <v>0</v>
      </c>
      <c r="E215" s="69">
        <f>SUMIFS(CT!$H$5:$H$143,CT!$A$5:$A$143,"&lt;"&amp;'BTHCTTK (TH131) NGÀY'!$D$3,CT!$D$5:$D$143,'BTHCTTK (TH131) NGÀY'!A215)</f>
        <v>0</v>
      </c>
      <c r="F215" s="69">
        <f>SUMIFS(CT!$H$5:$H$143,CT!$A$5:$A$143,"&lt;"&amp;'BTHCTTK (TH131) NGÀY'!$D$3,CT!$E$5:$E$143,'BTHCTTK (TH131) NGÀY'!A215)</f>
        <v>0</v>
      </c>
      <c r="G215" s="69">
        <f t="shared" si="15"/>
        <v>0</v>
      </c>
      <c r="H215" s="69">
        <f t="shared" si="16"/>
        <v>0</v>
      </c>
      <c r="I215" s="69">
        <f>SUMIFS(CT!$H$5:$H$143,CT!$A$5:$A$143,"&gt;="&amp;'BTHCTTK (TH131) NGÀY'!$D$3,CT!$A$5:$A$143,"&lt;="&amp;'BTHCTTK (TH131) NGÀY'!$G$3,CT!$D$5:$D$143,'BTHCTTK (TH131) NGÀY'!A215)</f>
        <v>48800000</v>
      </c>
      <c r="J215" s="69">
        <f>SUMIFS(CT!$H$5:$H$143,CT!$A$5:$A$143,"&gt;="&amp;$D$3,CT!$A$5:$A$143,"&lt;="&amp;$G$3,CT!$E$5:$E$143,'BTHCTTK (TH131) NGÀY'!A215)</f>
        <v>48800000</v>
      </c>
      <c r="K215" s="69">
        <f t="shared" si="17"/>
        <v>0</v>
      </c>
      <c r="L215" s="69">
        <f t="shared" si="18"/>
        <v>0</v>
      </c>
      <c r="M215" t="b">
        <f t="shared" si="19"/>
        <v>0</v>
      </c>
    </row>
    <row r="216" spans="1:13" hidden="1" x14ac:dyDescent="0.25">
      <c r="A216" s="93" t="str">
        <f>DMTK!B215</f>
        <v>622.02</v>
      </c>
      <c r="B216" s="65" t="str">
        <f>VLOOKUP(A216,DMTK!$B$5:$L$263,3,0)</f>
        <v>CFNC Ghế không tay</v>
      </c>
      <c r="C216" s="69">
        <f>SUMIFS(DMTK!$K$5:$K$263,DMTK!$B$5:$B$263,A216&amp;"*")</f>
        <v>0</v>
      </c>
      <c r="D216" s="69">
        <f>SUMIFS(DMTK!$L$5:$L$263,DMTK!$B$5:$B$263,'BTHCTTK (TH131) NGÀY'!A216&amp;"*")</f>
        <v>0</v>
      </c>
      <c r="E216" s="69">
        <f>SUMIFS(CT!$H$5:$H$143,CT!$A$5:$A$143,"&lt;"&amp;'BTHCTTK (TH131) NGÀY'!$D$3,CT!$D$5:$D$143,'BTHCTTK (TH131) NGÀY'!A216)</f>
        <v>0</v>
      </c>
      <c r="F216" s="69">
        <f>SUMIFS(CT!$H$5:$H$143,CT!$A$5:$A$143,"&lt;"&amp;'BTHCTTK (TH131) NGÀY'!$D$3,CT!$E$5:$E$143,'BTHCTTK (TH131) NGÀY'!A216)</f>
        <v>0</v>
      </c>
      <c r="G216" s="69">
        <f t="shared" si="15"/>
        <v>0</v>
      </c>
      <c r="H216" s="69">
        <f t="shared" si="16"/>
        <v>0</v>
      </c>
      <c r="I216" s="69">
        <f>SUMIFS(CT!$H$5:$H$143,CT!$A$5:$A$143,"&gt;="&amp;'BTHCTTK (TH131) NGÀY'!$D$3,CT!$A$5:$A$143,"&lt;="&amp;'BTHCTTK (TH131) NGÀY'!$G$3,CT!$D$5:$D$143,'BTHCTTK (TH131) NGÀY'!A216)</f>
        <v>48800000</v>
      </c>
      <c r="J216" s="69">
        <f>SUMIFS(CT!$H$5:$H$143,CT!$A$5:$A$143,"&gt;="&amp;$D$3,CT!$A$5:$A$143,"&lt;="&amp;$G$3,CT!$E$5:$E$143,'BTHCTTK (TH131) NGÀY'!A216)</f>
        <v>48800000</v>
      </c>
      <c r="K216" s="69">
        <f t="shared" si="17"/>
        <v>0</v>
      </c>
      <c r="L216" s="69">
        <f t="shared" si="18"/>
        <v>0</v>
      </c>
      <c r="M216" t="b">
        <f t="shared" si="19"/>
        <v>0</v>
      </c>
    </row>
    <row r="217" spans="1:13" hidden="1" x14ac:dyDescent="0.25">
      <c r="A217" s="93" t="str">
        <f>DMTK!B216</f>
        <v>622.03</v>
      </c>
      <c r="B217" s="65" t="str">
        <f>VLOOKUP(A217,DMTK!$B$5:$L$263,3,0)</f>
        <v>CFNC Bàn tròn</v>
      </c>
      <c r="C217" s="69">
        <f>SUMIFS(DMTK!$K$5:$K$263,DMTK!$B$5:$B$263,A217&amp;"*")</f>
        <v>0</v>
      </c>
      <c r="D217" s="69">
        <f>SUMIFS(DMTK!$L$5:$L$263,DMTK!$B$5:$B$263,'BTHCTTK (TH131) NGÀY'!A217&amp;"*")</f>
        <v>0</v>
      </c>
      <c r="E217" s="69">
        <f>SUMIFS(CT!$H$5:$H$143,CT!$A$5:$A$143,"&lt;"&amp;'BTHCTTK (TH131) NGÀY'!$D$3,CT!$D$5:$D$143,'BTHCTTK (TH131) NGÀY'!A217)</f>
        <v>0</v>
      </c>
      <c r="F217" s="69">
        <f>SUMIFS(CT!$H$5:$H$143,CT!$A$5:$A$143,"&lt;"&amp;'BTHCTTK (TH131) NGÀY'!$D$3,CT!$E$5:$E$143,'BTHCTTK (TH131) NGÀY'!A217)</f>
        <v>0</v>
      </c>
      <c r="G217" s="69">
        <f t="shared" si="15"/>
        <v>0</v>
      </c>
      <c r="H217" s="69">
        <f t="shared" si="16"/>
        <v>0</v>
      </c>
      <c r="I217" s="69">
        <f>SUMIFS(CT!$H$5:$H$143,CT!$A$5:$A$143,"&gt;="&amp;'BTHCTTK (TH131) NGÀY'!$D$3,CT!$A$5:$A$143,"&lt;="&amp;'BTHCTTK (TH131) NGÀY'!$G$3,CT!$D$5:$D$143,'BTHCTTK (TH131) NGÀY'!A217)</f>
        <v>48800000</v>
      </c>
      <c r="J217" s="69">
        <f>SUMIFS(CT!$H$5:$H$143,CT!$A$5:$A$143,"&gt;="&amp;$D$3,CT!$A$5:$A$143,"&lt;="&amp;$G$3,CT!$E$5:$E$143,'BTHCTTK (TH131) NGÀY'!A217)</f>
        <v>48800000</v>
      </c>
      <c r="K217" s="69">
        <f t="shared" si="17"/>
        <v>0</v>
      </c>
      <c r="L217" s="69">
        <f t="shared" si="18"/>
        <v>0</v>
      </c>
      <c r="M217" t="b">
        <f t="shared" si="19"/>
        <v>0</v>
      </c>
    </row>
    <row r="218" spans="1:13" hidden="1" x14ac:dyDescent="0.25">
      <c r="A218" s="93" t="str">
        <f>DMTK!B217</f>
        <v>622.04</v>
      </c>
      <c r="B218" s="65" t="str">
        <f>VLOOKUP(A218,DMTK!$B$5:$L$263,3,0)</f>
        <v>CFNCBàn oval</v>
      </c>
      <c r="C218" s="69">
        <f>SUMIFS(DMTK!$K$5:$K$263,DMTK!$B$5:$B$263,A218&amp;"*")</f>
        <v>0</v>
      </c>
      <c r="D218" s="69">
        <f>SUMIFS(DMTK!$L$5:$L$263,DMTK!$B$5:$B$263,'BTHCTTK (TH131) NGÀY'!A218&amp;"*")</f>
        <v>0</v>
      </c>
      <c r="E218" s="69">
        <f>SUMIFS(CT!$H$5:$H$143,CT!$A$5:$A$143,"&lt;"&amp;'BTHCTTK (TH131) NGÀY'!$D$3,CT!$D$5:$D$143,'BTHCTTK (TH131) NGÀY'!A218)</f>
        <v>0</v>
      </c>
      <c r="F218" s="69">
        <f>SUMIFS(CT!$H$5:$H$143,CT!$A$5:$A$143,"&lt;"&amp;'BTHCTTK (TH131) NGÀY'!$D$3,CT!$E$5:$E$143,'BTHCTTK (TH131) NGÀY'!A218)</f>
        <v>0</v>
      </c>
      <c r="G218" s="69">
        <f t="shared" si="15"/>
        <v>0</v>
      </c>
      <c r="H218" s="69">
        <f t="shared" si="16"/>
        <v>0</v>
      </c>
      <c r="I218" s="69">
        <f>SUMIFS(CT!$H$5:$H$143,CT!$A$5:$A$143,"&gt;="&amp;'BTHCTTK (TH131) NGÀY'!$D$3,CT!$A$5:$A$143,"&lt;="&amp;'BTHCTTK (TH131) NGÀY'!$G$3,CT!$D$5:$D$143,'BTHCTTK (TH131) NGÀY'!A218)</f>
        <v>48800000</v>
      </c>
      <c r="J218" s="69">
        <f>SUMIFS(CT!$H$5:$H$143,CT!$A$5:$A$143,"&gt;="&amp;$D$3,CT!$A$5:$A$143,"&lt;="&amp;$G$3,CT!$E$5:$E$143,'BTHCTTK (TH131) NGÀY'!A218)</f>
        <v>48800000</v>
      </c>
      <c r="K218" s="69">
        <f t="shared" si="17"/>
        <v>0</v>
      </c>
      <c r="L218" s="69">
        <f t="shared" si="18"/>
        <v>0</v>
      </c>
      <c r="M218" t="b">
        <f t="shared" si="19"/>
        <v>0</v>
      </c>
    </row>
    <row r="219" spans="1:13" hidden="1" x14ac:dyDescent="0.25">
      <c r="A219" s="93" t="str">
        <f>DMTK!B218</f>
        <v>622.05</v>
      </c>
      <c r="B219" s="65" t="str">
        <f>VLOOKUP(A219,DMTK!$B$5:$L$263,3,0)</f>
        <v>CFNC Bàn chữ nhật</v>
      </c>
      <c r="C219" s="69">
        <f>SUMIFS(DMTK!$K$5:$K$263,DMTK!$B$5:$B$263,A219&amp;"*")</f>
        <v>0</v>
      </c>
      <c r="D219" s="69">
        <f>SUMIFS(DMTK!$L$5:$L$263,DMTK!$B$5:$B$263,'BTHCTTK (TH131) NGÀY'!A219&amp;"*")</f>
        <v>0</v>
      </c>
      <c r="E219" s="69">
        <f>SUMIFS(CT!$H$5:$H$143,CT!$A$5:$A$143,"&lt;"&amp;'BTHCTTK (TH131) NGÀY'!$D$3,CT!$D$5:$D$143,'BTHCTTK (TH131) NGÀY'!A219)</f>
        <v>0</v>
      </c>
      <c r="F219" s="69">
        <f>SUMIFS(CT!$H$5:$H$143,CT!$A$5:$A$143,"&lt;"&amp;'BTHCTTK (TH131) NGÀY'!$D$3,CT!$E$5:$E$143,'BTHCTTK (TH131) NGÀY'!A219)</f>
        <v>0</v>
      </c>
      <c r="G219" s="69">
        <f t="shared" si="15"/>
        <v>0</v>
      </c>
      <c r="H219" s="69">
        <f t="shared" si="16"/>
        <v>0</v>
      </c>
      <c r="I219" s="69">
        <f>SUMIFS(CT!$H$5:$H$143,CT!$A$5:$A$143,"&gt;="&amp;'BTHCTTK (TH131) NGÀY'!$D$3,CT!$A$5:$A$143,"&lt;="&amp;'BTHCTTK (TH131) NGÀY'!$G$3,CT!$D$5:$D$143,'BTHCTTK (TH131) NGÀY'!A219)</f>
        <v>48800000</v>
      </c>
      <c r="J219" s="69">
        <f>SUMIFS(CT!$H$5:$H$143,CT!$A$5:$A$143,"&gt;="&amp;$D$3,CT!$A$5:$A$143,"&lt;="&amp;$G$3,CT!$E$5:$E$143,'BTHCTTK (TH131) NGÀY'!A219)</f>
        <v>48800000</v>
      </c>
      <c r="K219" s="69">
        <f t="shared" si="17"/>
        <v>0</v>
      </c>
      <c r="L219" s="69">
        <f t="shared" si="18"/>
        <v>0</v>
      </c>
      <c r="M219" t="b">
        <f t="shared" si="19"/>
        <v>0</v>
      </c>
    </row>
    <row r="220" spans="1:13" hidden="1" x14ac:dyDescent="0.25">
      <c r="A220" s="93" t="str">
        <f>DMTK!B219</f>
        <v>6231</v>
      </c>
      <c r="B220" s="65" t="str">
        <f>VLOOKUP(A220,DMTK!$B$5:$L$263,3,0)</f>
        <v>Chi phí nhân công</v>
      </c>
      <c r="C220" s="69">
        <f>SUMIFS(DMTK!$K$5:$K$263,DMTK!$B$5:$B$263,A220&amp;"*")</f>
        <v>0</v>
      </c>
      <c r="D220" s="69">
        <f>SUMIFS(DMTK!$L$5:$L$263,DMTK!$B$5:$B$263,'BTHCTTK (TH131) NGÀY'!A220&amp;"*")</f>
        <v>0</v>
      </c>
      <c r="E220" s="69">
        <f>SUMIFS(CT!$H$5:$H$143,CT!$A$5:$A$143,"&lt;"&amp;'BTHCTTK (TH131) NGÀY'!$D$3,CT!$D$5:$D$143,'BTHCTTK (TH131) NGÀY'!A220)</f>
        <v>0</v>
      </c>
      <c r="F220" s="69">
        <f>SUMIFS(CT!$H$5:$H$143,CT!$A$5:$A$143,"&lt;"&amp;'BTHCTTK (TH131) NGÀY'!$D$3,CT!$E$5:$E$143,'BTHCTTK (TH131) NGÀY'!A220)</f>
        <v>0</v>
      </c>
      <c r="G220" s="69">
        <f t="shared" si="15"/>
        <v>0</v>
      </c>
      <c r="H220" s="69">
        <f t="shared" si="16"/>
        <v>0</v>
      </c>
      <c r="I220" s="69">
        <f>SUMIFS(CT!$H$5:$H$143,CT!$A$5:$A$143,"&gt;="&amp;'BTHCTTK (TH131) NGÀY'!$D$3,CT!$A$5:$A$143,"&lt;="&amp;'BTHCTTK (TH131) NGÀY'!$G$3,CT!$D$5:$D$143,'BTHCTTK (TH131) NGÀY'!A220)</f>
        <v>0</v>
      </c>
      <c r="J220" s="69">
        <f>SUMIFS(CT!$H$5:$H$143,CT!$A$5:$A$143,"&gt;="&amp;$D$3,CT!$A$5:$A$143,"&lt;="&amp;$G$3,CT!$E$5:$E$143,'BTHCTTK (TH131) NGÀY'!A220)</f>
        <v>0</v>
      </c>
      <c r="K220" s="69">
        <f t="shared" si="17"/>
        <v>0</v>
      </c>
      <c r="L220" s="69">
        <f t="shared" si="18"/>
        <v>0</v>
      </c>
      <c r="M220" t="b">
        <f t="shared" si="19"/>
        <v>0</v>
      </c>
    </row>
    <row r="221" spans="1:13" hidden="1" x14ac:dyDescent="0.25">
      <c r="A221" s="93" t="str">
        <f>DMTK!B220</f>
        <v>6232</v>
      </c>
      <c r="B221" s="65" t="str">
        <f>VLOOKUP(A221,DMTK!$B$5:$L$263,3,0)</f>
        <v>Chi phí nguyên, vật liệu</v>
      </c>
      <c r="C221" s="69">
        <f>SUMIFS(DMTK!$K$5:$K$263,DMTK!$B$5:$B$263,A221&amp;"*")</f>
        <v>0</v>
      </c>
      <c r="D221" s="69">
        <f>SUMIFS(DMTK!$L$5:$L$263,DMTK!$B$5:$B$263,'BTHCTTK (TH131) NGÀY'!A221&amp;"*")</f>
        <v>0</v>
      </c>
      <c r="E221" s="69">
        <f>SUMIFS(CT!$H$5:$H$143,CT!$A$5:$A$143,"&lt;"&amp;'BTHCTTK (TH131) NGÀY'!$D$3,CT!$D$5:$D$143,'BTHCTTK (TH131) NGÀY'!A221)</f>
        <v>0</v>
      </c>
      <c r="F221" s="69">
        <f>SUMIFS(CT!$H$5:$H$143,CT!$A$5:$A$143,"&lt;"&amp;'BTHCTTK (TH131) NGÀY'!$D$3,CT!$E$5:$E$143,'BTHCTTK (TH131) NGÀY'!A221)</f>
        <v>0</v>
      </c>
      <c r="G221" s="69">
        <f t="shared" si="15"/>
        <v>0</v>
      </c>
      <c r="H221" s="69">
        <f t="shared" si="16"/>
        <v>0</v>
      </c>
      <c r="I221" s="69">
        <f>SUMIFS(CT!$H$5:$H$143,CT!$A$5:$A$143,"&gt;="&amp;'BTHCTTK (TH131) NGÀY'!$D$3,CT!$A$5:$A$143,"&lt;="&amp;'BTHCTTK (TH131) NGÀY'!$G$3,CT!$D$5:$D$143,'BTHCTTK (TH131) NGÀY'!A221)</f>
        <v>0</v>
      </c>
      <c r="J221" s="69">
        <f>SUMIFS(CT!$H$5:$H$143,CT!$A$5:$A$143,"&gt;="&amp;$D$3,CT!$A$5:$A$143,"&lt;="&amp;$G$3,CT!$E$5:$E$143,'BTHCTTK (TH131) NGÀY'!A221)</f>
        <v>0</v>
      </c>
      <c r="K221" s="69">
        <f t="shared" si="17"/>
        <v>0</v>
      </c>
      <c r="L221" s="69">
        <f t="shared" si="18"/>
        <v>0</v>
      </c>
      <c r="M221" t="b">
        <f t="shared" si="19"/>
        <v>0</v>
      </c>
    </row>
    <row r="222" spans="1:13" hidden="1" x14ac:dyDescent="0.25">
      <c r="A222" s="93" t="str">
        <f>DMTK!B221</f>
        <v>6233</v>
      </c>
      <c r="B222" s="65" t="str">
        <f>VLOOKUP(A222,DMTK!$B$5:$L$263,3,0)</f>
        <v>Chi phí dụng cụ sản xuất</v>
      </c>
      <c r="C222" s="69">
        <f>SUMIFS(DMTK!$K$5:$K$263,DMTK!$B$5:$B$263,A222&amp;"*")</f>
        <v>0</v>
      </c>
      <c r="D222" s="69">
        <f>SUMIFS(DMTK!$L$5:$L$263,DMTK!$B$5:$B$263,'BTHCTTK (TH131) NGÀY'!A222&amp;"*")</f>
        <v>0</v>
      </c>
      <c r="E222" s="69">
        <f>SUMIFS(CT!$H$5:$H$143,CT!$A$5:$A$143,"&lt;"&amp;'BTHCTTK (TH131) NGÀY'!$D$3,CT!$D$5:$D$143,'BTHCTTK (TH131) NGÀY'!A222)</f>
        <v>0</v>
      </c>
      <c r="F222" s="69">
        <f>SUMIFS(CT!$H$5:$H$143,CT!$A$5:$A$143,"&lt;"&amp;'BTHCTTK (TH131) NGÀY'!$D$3,CT!$E$5:$E$143,'BTHCTTK (TH131) NGÀY'!A222)</f>
        <v>0</v>
      </c>
      <c r="G222" s="69">
        <f t="shared" si="15"/>
        <v>0</v>
      </c>
      <c r="H222" s="69">
        <f t="shared" si="16"/>
        <v>0</v>
      </c>
      <c r="I222" s="69">
        <f>SUMIFS(CT!$H$5:$H$143,CT!$A$5:$A$143,"&gt;="&amp;'BTHCTTK (TH131) NGÀY'!$D$3,CT!$A$5:$A$143,"&lt;="&amp;'BTHCTTK (TH131) NGÀY'!$G$3,CT!$D$5:$D$143,'BTHCTTK (TH131) NGÀY'!A222)</f>
        <v>0</v>
      </c>
      <c r="J222" s="69">
        <f>SUMIFS(CT!$H$5:$H$143,CT!$A$5:$A$143,"&gt;="&amp;$D$3,CT!$A$5:$A$143,"&lt;="&amp;$G$3,CT!$E$5:$E$143,'BTHCTTK (TH131) NGÀY'!A222)</f>
        <v>0</v>
      </c>
      <c r="K222" s="69">
        <f t="shared" si="17"/>
        <v>0</v>
      </c>
      <c r="L222" s="69">
        <f t="shared" si="18"/>
        <v>0</v>
      </c>
      <c r="M222" t="b">
        <f t="shared" si="19"/>
        <v>0</v>
      </c>
    </row>
    <row r="223" spans="1:13" hidden="1" x14ac:dyDescent="0.25">
      <c r="A223" s="93" t="str">
        <f>DMTK!B222</f>
        <v>6234</v>
      </c>
      <c r="B223" s="65" t="str">
        <f>VLOOKUP(A223,DMTK!$B$5:$L$263,3,0)</f>
        <v>Chi phí khấu hao máy thi công</v>
      </c>
      <c r="C223" s="69">
        <f>SUMIFS(DMTK!$K$5:$K$263,DMTK!$B$5:$B$263,A223&amp;"*")</f>
        <v>0</v>
      </c>
      <c r="D223" s="69">
        <f>SUMIFS(DMTK!$L$5:$L$263,DMTK!$B$5:$B$263,'BTHCTTK (TH131) NGÀY'!A223&amp;"*")</f>
        <v>0</v>
      </c>
      <c r="E223" s="69">
        <f>SUMIFS(CT!$H$5:$H$143,CT!$A$5:$A$143,"&lt;"&amp;'BTHCTTK (TH131) NGÀY'!$D$3,CT!$D$5:$D$143,'BTHCTTK (TH131) NGÀY'!A223)</f>
        <v>0</v>
      </c>
      <c r="F223" s="69">
        <f>SUMIFS(CT!$H$5:$H$143,CT!$A$5:$A$143,"&lt;"&amp;'BTHCTTK (TH131) NGÀY'!$D$3,CT!$E$5:$E$143,'BTHCTTK (TH131) NGÀY'!A223)</f>
        <v>0</v>
      </c>
      <c r="G223" s="69">
        <f t="shared" si="15"/>
        <v>0</v>
      </c>
      <c r="H223" s="69">
        <f t="shared" si="16"/>
        <v>0</v>
      </c>
      <c r="I223" s="69">
        <f>SUMIFS(CT!$H$5:$H$143,CT!$A$5:$A$143,"&gt;="&amp;'BTHCTTK (TH131) NGÀY'!$D$3,CT!$A$5:$A$143,"&lt;="&amp;'BTHCTTK (TH131) NGÀY'!$G$3,CT!$D$5:$D$143,'BTHCTTK (TH131) NGÀY'!A223)</f>
        <v>0</v>
      </c>
      <c r="J223" s="69">
        <f>SUMIFS(CT!$H$5:$H$143,CT!$A$5:$A$143,"&gt;="&amp;$D$3,CT!$A$5:$A$143,"&lt;="&amp;$G$3,CT!$E$5:$E$143,'BTHCTTK (TH131) NGÀY'!A223)</f>
        <v>0</v>
      </c>
      <c r="K223" s="69">
        <f t="shared" si="17"/>
        <v>0</v>
      </c>
      <c r="L223" s="69">
        <f t="shared" si="18"/>
        <v>0</v>
      </c>
      <c r="M223" t="b">
        <f t="shared" si="19"/>
        <v>0</v>
      </c>
    </row>
    <row r="224" spans="1:13" hidden="1" x14ac:dyDescent="0.25">
      <c r="A224" s="93" t="str">
        <f>DMTK!B223</f>
        <v>6237</v>
      </c>
      <c r="B224" s="65" t="str">
        <f>VLOOKUP(A224,DMTK!$B$5:$L$263,3,0)</f>
        <v>Chi phí dịch vụ mua ngoài</v>
      </c>
      <c r="C224" s="69">
        <f>SUMIFS(DMTK!$K$5:$K$263,DMTK!$B$5:$B$263,A224&amp;"*")</f>
        <v>0</v>
      </c>
      <c r="D224" s="69">
        <f>SUMIFS(DMTK!$L$5:$L$263,DMTK!$B$5:$B$263,'BTHCTTK (TH131) NGÀY'!A224&amp;"*")</f>
        <v>0</v>
      </c>
      <c r="E224" s="69">
        <f>SUMIFS(CT!$H$5:$H$143,CT!$A$5:$A$143,"&lt;"&amp;'BTHCTTK (TH131) NGÀY'!$D$3,CT!$D$5:$D$143,'BTHCTTK (TH131) NGÀY'!A224)</f>
        <v>0</v>
      </c>
      <c r="F224" s="69">
        <f>SUMIFS(CT!$H$5:$H$143,CT!$A$5:$A$143,"&lt;"&amp;'BTHCTTK (TH131) NGÀY'!$D$3,CT!$E$5:$E$143,'BTHCTTK (TH131) NGÀY'!A224)</f>
        <v>0</v>
      </c>
      <c r="G224" s="69">
        <f t="shared" si="15"/>
        <v>0</v>
      </c>
      <c r="H224" s="69">
        <f t="shared" si="16"/>
        <v>0</v>
      </c>
      <c r="I224" s="69">
        <f>SUMIFS(CT!$H$5:$H$143,CT!$A$5:$A$143,"&gt;="&amp;'BTHCTTK (TH131) NGÀY'!$D$3,CT!$A$5:$A$143,"&lt;="&amp;'BTHCTTK (TH131) NGÀY'!$G$3,CT!$D$5:$D$143,'BTHCTTK (TH131) NGÀY'!A224)</f>
        <v>0</v>
      </c>
      <c r="J224" s="69">
        <f>SUMIFS(CT!$H$5:$H$143,CT!$A$5:$A$143,"&gt;="&amp;$D$3,CT!$A$5:$A$143,"&lt;="&amp;$G$3,CT!$E$5:$E$143,'BTHCTTK (TH131) NGÀY'!A224)</f>
        <v>0</v>
      </c>
      <c r="K224" s="69">
        <f t="shared" si="17"/>
        <v>0</v>
      </c>
      <c r="L224" s="69">
        <f t="shared" si="18"/>
        <v>0</v>
      </c>
      <c r="M224" t="b">
        <f t="shared" si="19"/>
        <v>0</v>
      </c>
    </row>
    <row r="225" spans="1:13" hidden="1" x14ac:dyDescent="0.25">
      <c r="A225" s="93" t="str">
        <f>DMTK!B224</f>
        <v>6238</v>
      </c>
      <c r="B225" s="65" t="str">
        <f>VLOOKUP(A225,DMTK!$B$5:$L$263,3,0)</f>
        <v>Chi phí bằng tiền khác</v>
      </c>
      <c r="C225" s="69">
        <f>SUMIFS(DMTK!$K$5:$K$263,DMTK!$B$5:$B$263,A225&amp;"*")</f>
        <v>0</v>
      </c>
      <c r="D225" s="69">
        <f>SUMIFS(DMTK!$L$5:$L$263,DMTK!$B$5:$B$263,'BTHCTTK (TH131) NGÀY'!A225&amp;"*")</f>
        <v>0</v>
      </c>
      <c r="E225" s="69">
        <f>SUMIFS(CT!$H$5:$H$143,CT!$A$5:$A$143,"&lt;"&amp;'BTHCTTK (TH131) NGÀY'!$D$3,CT!$D$5:$D$143,'BTHCTTK (TH131) NGÀY'!A225)</f>
        <v>0</v>
      </c>
      <c r="F225" s="69">
        <f>SUMIFS(CT!$H$5:$H$143,CT!$A$5:$A$143,"&lt;"&amp;'BTHCTTK (TH131) NGÀY'!$D$3,CT!$E$5:$E$143,'BTHCTTK (TH131) NGÀY'!A225)</f>
        <v>0</v>
      </c>
      <c r="G225" s="69">
        <f t="shared" si="15"/>
        <v>0</v>
      </c>
      <c r="H225" s="69">
        <f t="shared" si="16"/>
        <v>0</v>
      </c>
      <c r="I225" s="69">
        <f>SUMIFS(CT!$H$5:$H$143,CT!$A$5:$A$143,"&gt;="&amp;'BTHCTTK (TH131) NGÀY'!$D$3,CT!$A$5:$A$143,"&lt;="&amp;'BTHCTTK (TH131) NGÀY'!$G$3,CT!$D$5:$D$143,'BTHCTTK (TH131) NGÀY'!A225)</f>
        <v>0</v>
      </c>
      <c r="J225" s="69">
        <f>SUMIFS(CT!$H$5:$H$143,CT!$A$5:$A$143,"&gt;="&amp;$D$3,CT!$A$5:$A$143,"&lt;="&amp;$G$3,CT!$E$5:$E$143,'BTHCTTK (TH131) NGÀY'!A225)</f>
        <v>0</v>
      </c>
      <c r="K225" s="69">
        <f t="shared" si="17"/>
        <v>0</v>
      </c>
      <c r="L225" s="69">
        <f t="shared" si="18"/>
        <v>0</v>
      </c>
      <c r="M225" t="b">
        <f t="shared" si="19"/>
        <v>0</v>
      </c>
    </row>
    <row r="226" spans="1:13" hidden="1" x14ac:dyDescent="0.25">
      <c r="A226" s="93" t="str">
        <f>DMTK!B225</f>
        <v>6271</v>
      </c>
      <c r="B226" s="65" t="str">
        <f>VLOOKUP(A226,DMTK!$B$5:$L$263,3,0)</f>
        <v>Chi phí nhân viên phân xưởng</v>
      </c>
      <c r="C226" s="69">
        <f>SUMIFS(DMTK!$K$5:$K$263,DMTK!$B$5:$B$263,A226&amp;"*")</f>
        <v>0</v>
      </c>
      <c r="D226" s="69">
        <f>SUMIFS(DMTK!$L$5:$L$263,DMTK!$B$5:$B$263,'BTHCTTK (TH131) NGÀY'!A226&amp;"*")</f>
        <v>0</v>
      </c>
      <c r="E226" s="69">
        <f>SUMIFS(CT!$H$5:$H$143,CT!$A$5:$A$143,"&lt;"&amp;'BTHCTTK (TH131) NGÀY'!$D$3,CT!$D$5:$D$143,'BTHCTTK (TH131) NGÀY'!A226)</f>
        <v>0</v>
      </c>
      <c r="F226" s="69">
        <f>SUMIFS(CT!$H$5:$H$143,CT!$A$5:$A$143,"&lt;"&amp;'BTHCTTK (TH131) NGÀY'!$D$3,CT!$E$5:$E$143,'BTHCTTK (TH131) NGÀY'!A226)</f>
        <v>0</v>
      </c>
      <c r="G226" s="69">
        <f t="shared" si="15"/>
        <v>0</v>
      </c>
      <c r="H226" s="69">
        <f t="shared" si="16"/>
        <v>0</v>
      </c>
      <c r="I226" s="69">
        <f>SUMIFS(CT!$H$5:$H$143,CT!$A$5:$A$143,"&gt;="&amp;'BTHCTTK (TH131) NGÀY'!$D$3,CT!$A$5:$A$143,"&lt;="&amp;'BTHCTTK (TH131) NGÀY'!$G$3,CT!$D$5:$D$143,'BTHCTTK (TH131) NGÀY'!A226)</f>
        <v>42700000</v>
      </c>
      <c r="J226" s="69">
        <f>SUMIFS(CT!$H$5:$H$143,CT!$A$5:$A$143,"&gt;="&amp;$D$3,CT!$A$5:$A$143,"&lt;="&amp;$G$3,CT!$E$5:$E$143,'BTHCTTK (TH131) NGÀY'!A226)</f>
        <v>42700000</v>
      </c>
      <c r="K226" s="69">
        <f t="shared" si="17"/>
        <v>0</v>
      </c>
      <c r="L226" s="69">
        <f t="shared" si="18"/>
        <v>0</v>
      </c>
      <c r="M226" t="b">
        <f t="shared" si="19"/>
        <v>0</v>
      </c>
    </row>
    <row r="227" spans="1:13" hidden="1" x14ac:dyDescent="0.25">
      <c r="A227" s="93" t="str">
        <f>DMTK!B226</f>
        <v>6272</v>
      </c>
      <c r="B227" s="65" t="str">
        <f>VLOOKUP(A227,DMTK!$B$5:$L$263,3,0)</f>
        <v>Chi phí nguyên, vật liệu</v>
      </c>
      <c r="C227" s="69">
        <f>SUMIFS(DMTK!$K$5:$K$263,DMTK!$B$5:$B$263,A227&amp;"*")</f>
        <v>0</v>
      </c>
      <c r="D227" s="69">
        <f>SUMIFS(DMTK!$L$5:$L$263,DMTK!$B$5:$B$263,'BTHCTTK (TH131) NGÀY'!A227&amp;"*")</f>
        <v>0</v>
      </c>
      <c r="E227" s="69">
        <f>SUMIFS(CT!$H$5:$H$143,CT!$A$5:$A$143,"&lt;"&amp;'BTHCTTK (TH131) NGÀY'!$D$3,CT!$D$5:$D$143,'BTHCTTK (TH131) NGÀY'!A227)</f>
        <v>0</v>
      </c>
      <c r="F227" s="69">
        <f>SUMIFS(CT!$H$5:$H$143,CT!$A$5:$A$143,"&lt;"&amp;'BTHCTTK (TH131) NGÀY'!$D$3,CT!$E$5:$E$143,'BTHCTTK (TH131) NGÀY'!A227)</f>
        <v>0</v>
      </c>
      <c r="G227" s="69">
        <f t="shared" si="15"/>
        <v>0</v>
      </c>
      <c r="H227" s="69">
        <f t="shared" si="16"/>
        <v>0</v>
      </c>
      <c r="I227" s="69">
        <f>SUMIFS(CT!$H$5:$H$143,CT!$A$5:$A$143,"&gt;="&amp;'BTHCTTK (TH131) NGÀY'!$D$3,CT!$A$5:$A$143,"&lt;="&amp;'BTHCTTK (TH131) NGÀY'!$G$3,CT!$D$5:$D$143,'BTHCTTK (TH131) NGÀY'!A227)</f>
        <v>0</v>
      </c>
      <c r="J227" s="69">
        <f>SUMIFS(CT!$H$5:$H$143,CT!$A$5:$A$143,"&gt;="&amp;$D$3,CT!$A$5:$A$143,"&lt;="&amp;$G$3,CT!$E$5:$E$143,'BTHCTTK (TH131) NGÀY'!A227)</f>
        <v>0</v>
      </c>
      <c r="K227" s="69">
        <f t="shared" si="17"/>
        <v>0</v>
      </c>
      <c r="L227" s="69">
        <f t="shared" si="18"/>
        <v>0</v>
      </c>
      <c r="M227" t="b">
        <f t="shared" si="19"/>
        <v>0</v>
      </c>
    </row>
    <row r="228" spans="1:13" hidden="1" x14ac:dyDescent="0.25">
      <c r="A228" s="93" t="str">
        <f>DMTK!B227</f>
        <v>6273</v>
      </c>
      <c r="B228" s="65" t="str">
        <f>VLOOKUP(A228,DMTK!$B$5:$L$263,3,0)</f>
        <v>Chi phí dụng cụ sản xuất</v>
      </c>
      <c r="C228" s="69">
        <f>SUMIFS(DMTK!$K$5:$K$263,DMTK!$B$5:$B$263,A228&amp;"*")</f>
        <v>0</v>
      </c>
      <c r="D228" s="69">
        <f>SUMIFS(DMTK!$L$5:$L$263,DMTK!$B$5:$B$263,'BTHCTTK (TH131) NGÀY'!A228&amp;"*")</f>
        <v>0</v>
      </c>
      <c r="E228" s="69">
        <f>SUMIFS(CT!$H$5:$H$143,CT!$A$5:$A$143,"&lt;"&amp;'BTHCTTK (TH131) NGÀY'!$D$3,CT!$D$5:$D$143,'BTHCTTK (TH131) NGÀY'!A228)</f>
        <v>0</v>
      </c>
      <c r="F228" s="69">
        <f>SUMIFS(CT!$H$5:$H$143,CT!$A$5:$A$143,"&lt;"&amp;'BTHCTTK (TH131) NGÀY'!$D$3,CT!$E$5:$E$143,'BTHCTTK (TH131) NGÀY'!A228)</f>
        <v>0</v>
      </c>
      <c r="G228" s="69">
        <f t="shared" si="15"/>
        <v>0</v>
      </c>
      <c r="H228" s="69">
        <f t="shared" si="16"/>
        <v>0</v>
      </c>
      <c r="I228" s="69">
        <f>SUMIFS(CT!$H$5:$H$143,CT!$A$5:$A$143,"&gt;="&amp;'BTHCTTK (TH131) NGÀY'!$D$3,CT!$A$5:$A$143,"&lt;="&amp;'BTHCTTK (TH131) NGÀY'!$G$3,CT!$D$5:$D$143,'BTHCTTK (TH131) NGÀY'!A228)</f>
        <v>500000</v>
      </c>
      <c r="J228" s="69">
        <f>SUMIFS(CT!$H$5:$H$143,CT!$A$5:$A$143,"&gt;="&amp;$D$3,CT!$A$5:$A$143,"&lt;="&amp;$G$3,CT!$E$5:$E$143,'BTHCTTK (TH131) NGÀY'!A228)</f>
        <v>500000</v>
      </c>
      <c r="K228" s="69">
        <f t="shared" si="17"/>
        <v>0</v>
      </c>
      <c r="L228" s="69">
        <f t="shared" si="18"/>
        <v>0</v>
      </c>
      <c r="M228" t="b">
        <f t="shared" si="19"/>
        <v>0</v>
      </c>
    </row>
    <row r="229" spans="1:13" hidden="1" x14ac:dyDescent="0.25">
      <c r="A229" s="93" t="str">
        <f>DMTK!B228</f>
        <v>6274</v>
      </c>
      <c r="B229" s="65" t="str">
        <f>VLOOKUP(A229,DMTK!$B$5:$L$263,3,0)</f>
        <v>Chi phí khấu hao TSCĐ</v>
      </c>
      <c r="C229" s="69">
        <f>SUMIFS(DMTK!$K$5:$K$263,DMTK!$B$5:$B$263,A229&amp;"*")</f>
        <v>0</v>
      </c>
      <c r="D229" s="69">
        <f>SUMIFS(DMTK!$L$5:$L$263,DMTK!$B$5:$B$263,'BTHCTTK (TH131) NGÀY'!A229&amp;"*")</f>
        <v>0</v>
      </c>
      <c r="E229" s="69">
        <f>SUMIFS(CT!$H$5:$H$143,CT!$A$5:$A$143,"&lt;"&amp;'BTHCTTK (TH131) NGÀY'!$D$3,CT!$D$5:$D$143,'BTHCTTK (TH131) NGÀY'!A229)</f>
        <v>0</v>
      </c>
      <c r="F229" s="69">
        <f>SUMIFS(CT!$H$5:$H$143,CT!$A$5:$A$143,"&lt;"&amp;'BTHCTTK (TH131) NGÀY'!$D$3,CT!$E$5:$E$143,'BTHCTTK (TH131) NGÀY'!A229)</f>
        <v>0</v>
      </c>
      <c r="G229" s="69">
        <f t="shared" si="15"/>
        <v>0</v>
      </c>
      <c r="H229" s="69">
        <f t="shared" si="16"/>
        <v>0</v>
      </c>
      <c r="I229" s="69">
        <f>SUMIFS(CT!$H$5:$H$143,CT!$A$5:$A$143,"&gt;="&amp;'BTHCTTK (TH131) NGÀY'!$D$3,CT!$A$5:$A$143,"&lt;="&amp;'BTHCTTK (TH131) NGÀY'!$G$3,CT!$D$5:$D$143,'BTHCTTK (TH131) NGÀY'!A229)</f>
        <v>1666666</v>
      </c>
      <c r="J229" s="69">
        <f>SUMIFS(CT!$H$5:$H$143,CT!$A$5:$A$143,"&gt;="&amp;$D$3,CT!$A$5:$A$143,"&lt;="&amp;$G$3,CT!$E$5:$E$143,'BTHCTTK (TH131) NGÀY'!A229)</f>
        <v>1666666</v>
      </c>
      <c r="K229" s="69">
        <f t="shared" si="17"/>
        <v>0</v>
      </c>
      <c r="L229" s="69">
        <f t="shared" si="18"/>
        <v>0</v>
      </c>
      <c r="M229" t="b">
        <f t="shared" si="19"/>
        <v>0</v>
      </c>
    </row>
    <row r="230" spans="1:13" hidden="1" x14ac:dyDescent="0.25">
      <c r="A230" s="93" t="str">
        <f>DMTK!B229</f>
        <v>6277</v>
      </c>
      <c r="B230" s="65" t="str">
        <f>VLOOKUP(A230,DMTK!$B$5:$L$263,3,0)</f>
        <v>Chi phí dịch vụ mua ngoài</v>
      </c>
      <c r="C230" s="69">
        <f>SUMIFS(DMTK!$K$5:$K$263,DMTK!$B$5:$B$263,A230&amp;"*")</f>
        <v>0</v>
      </c>
      <c r="D230" s="69">
        <f>SUMIFS(DMTK!$L$5:$L$263,DMTK!$B$5:$B$263,'BTHCTTK (TH131) NGÀY'!A230&amp;"*")</f>
        <v>0</v>
      </c>
      <c r="E230" s="69">
        <f>SUMIFS(CT!$H$5:$H$143,CT!$A$5:$A$143,"&lt;"&amp;'BTHCTTK (TH131) NGÀY'!$D$3,CT!$D$5:$D$143,'BTHCTTK (TH131) NGÀY'!A230)</f>
        <v>0</v>
      </c>
      <c r="F230" s="69">
        <f>SUMIFS(CT!$H$5:$H$143,CT!$A$5:$A$143,"&lt;"&amp;'BTHCTTK (TH131) NGÀY'!$D$3,CT!$E$5:$E$143,'BTHCTTK (TH131) NGÀY'!A230)</f>
        <v>0</v>
      </c>
      <c r="G230" s="69">
        <f t="shared" si="15"/>
        <v>0</v>
      </c>
      <c r="H230" s="69">
        <f t="shared" si="16"/>
        <v>0</v>
      </c>
      <c r="I230" s="69">
        <f>SUMIFS(CT!$H$5:$H$143,CT!$A$5:$A$143,"&gt;="&amp;'BTHCTTK (TH131) NGÀY'!$D$3,CT!$A$5:$A$143,"&lt;="&amp;'BTHCTTK (TH131) NGÀY'!$G$3,CT!$D$5:$D$143,'BTHCTTK (TH131) NGÀY'!A230)</f>
        <v>0</v>
      </c>
      <c r="J230" s="69">
        <f>SUMIFS(CT!$H$5:$H$143,CT!$A$5:$A$143,"&gt;="&amp;$D$3,CT!$A$5:$A$143,"&lt;="&amp;$G$3,CT!$E$5:$E$143,'BTHCTTK (TH131) NGÀY'!A230)</f>
        <v>0</v>
      </c>
      <c r="K230" s="69">
        <f t="shared" si="17"/>
        <v>0</v>
      </c>
      <c r="L230" s="69">
        <f t="shared" si="18"/>
        <v>0</v>
      </c>
      <c r="M230" t="b">
        <f t="shared" si="19"/>
        <v>0</v>
      </c>
    </row>
    <row r="231" spans="1:13" hidden="1" x14ac:dyDescent="0.25">
      <c r="A231" s="93" t="str">
        <f>DMTK!B230</f>
        <v>6278</v>
      </c>
      <c r="B231" s="65" t="str">
        <f>VLOOKUP(A231,DMTK!$B$5:$L$263,3,0)</f>
        <v>Chi phí bằng tiền khác</v>
      </c>
      <c r="C231" s="69">
        <f>SUMIFS(DMTK!$K$5:$K$263,DMTK!$B$5:$B$263,A231&amp;"*")</f>
        <v>0</v>
      </c>
      <c r="D231" s="69">
        <f>SUMIFS(DMTK!$L$5:$L$263,DMTK!$B$5:$B$263,'BTHCTTK (TH131) NGÀY'!A231&amp;"*")</f>
        <v>0</v>
      </c>
      <c r="E231" s="69">
        <f>SUMIFS(CT!$H$5:$H$143,CT!$A$5:$A$143,"&lt;"&amp;'BTHCTTK (TH131) NGÀY'!$D$3,CT!$D$5:$D$143,'BTHCTTK (TH131) NGÀY'!A231)</f>
        <v>0</v>
      </c>
      <c r="F231" s="69">
        <f>SUMIFS(CT!$H$5:$H$143,CT!$A$5:$A$143,"&lt;"&amp;'BTHCTTK (TH131) NGÀY'!$D$3,CT!$E$5:$E$143,'BTHCTTK (TH131) NGÀY'!A231)</f>
        <v>0</v>
      </c>
      <c r="G231" s="69">
        <f t="shared" si="15"/>
        <v>0</v>
      </c>
      <c r="H231" s="69">
        <f t="shared" si="16"/>
        <v>0</v>
      </c>
      <c r="I231" s="69">
        <f>SUMIFS(CT!$H$5:$H$143,CT!$A$5:$A$143,"&gt;="&amp;'BTHCTTK (TH131) NGÀY'!$D$3,CT!$A$5:$A$143,"&lt;="&amp;'BTHCTTK (TH131) NGÀY'!$G$3,CT!$D$5:$D$143,'BTHCTTK (TH131) NGÀY'!A231)</f>
        <v>0</v>
      </c>
      <c r="J231" s="69">
        <f>SUMIFS(CT!$H$5:$H$143,CT!$A$5:$A$143,"&gt;="&amp;$D$3,CT!$A$5:$A$143,"&lt;="&amp;$G$3,CT!$E$5:$E$143,'BTHCTTK (TH131) NGÀY'!A231)</f>
        <v>0</v>
      </c>
      <c r="K231" s="69">
        <f t="shared" si="17"/>
        <v>0</v>
      </c>
      <c r="L231" s="69">
        <f t="shared" si="18"/>
        <v>0</v>
      </c>
      <c r="M231" t="b">
        <f t="shared" si="19"/>
        <v>0</v>
      </c>
    </row>
    <row r="232" spans="1:13" hidden="1" x14ac:dyDescent="0.25">
      <c r="A232" s="93" t="str">
        <f>DMTK!B231</f>
        <v>631</v>
      </c>
      <c r="B232" s="65" t="str">
        <f>VLOOKUP(A232,DMTK!$B$5:$L$263,3,0)</f>
        <v>Giá thành sản xuất</v>
      </c>
      <c r="C232" s="69">
        <f>SUMIFS(DMTK!$K$5:$K$263,DMTK!$B$5:$B$263,A232&amp;"*")</f>
        <v>0</v>
      </c>
      <c r="D232" s="69">
        <f>SUMIFS(DMTK!$L$5:$L$263,DMTK!$B$5:$B$263,'BTHCTTK (TH131) NGÀY'!A232&amp;"*")</f>
        <v>0</v>
      </c>
      <c r="E232" s="69">
        <f>SUMIFS(CT!$H$5:$H$143,CT!$A$5:$A$143,"&lt;"&amp;'BTHCTTK (TH131) NGÀY'!$D$3,CT!$D$5:$D$143,'BTHCTTK (TH131) NGÀY'!A232)</f>
        <v>0</v>
      </c>
      <c r="F232" s="69">
        <f>SUMIFS(CT!$H$5:$H$143,CT!$A$5:$A$143,"&lt;"&amp;'BTHCTTK (TH131) NGÀY'!$D$3,CT!$E$5:$E$143,'BTHCTTK (TH131) NGÀY'!A232)</f>
        <v>0</v>
      </c>
      <c r="G232" s="69">
        <f t="shared" si="15"/>
        <v>0</v>
      </c>
      <c r="H232" s="69">
        <f t="shared" si="16"/>
        <v>0</v>
      </c>
      <c r="I232" s="69">
        <f>SUMIFS(CT!$H$5:$H$143,CT!$A$5:$A$143,"&gt;="&amp;'BTHCTTK (TH131) NGÀY'!$D$3,CT!$A$5:$A$143,"&lt;="&amp;'BTHCTTK (TH131) NGÀY'!$G$3,CT!$D$5:$D$143,'BTHCTTK (TH131) NGÀY'!A232)</f>
        <v>0</v>
      </c>
      <c r="J232" s="69">
        <f>SUMIFS(CT!$H$5:$H$143,CT!$A$5:$A$143,"&gt;="&amp;$D$3,CT!$A$5:$A$143,"&lt;="&amp;$G$3,CT!$E$5:$E$143,'BTHCTTK (TH131) NGÀY'!A232)</f>
        <v>0</v>
      </c>
      <c r="K232" s="69">
        <f t="shared" si="17"/>
        <v>0</v>
      </c>
      <c r="L232" s="69">
        <f t="shared" si="18"/>
        <v>0</v>
      </c>
      <c r="M232" t="b">
        <f t="shared" si="19"/>
        <v>0</v>
      </c>
    </row>
    <row r="233" spans="1:13" hidden="1" x14ac:dyDescent="0.25">
      <c r="A233" s="93" t="str">
        <f>DMTK!B232</f>
        <v>632.0101</v>
      </c>
      <c r="B233" s="65" t="str">
        <f>VLOOKUP(A233,DMTK!$B$5:$L$263,3,0)</f>
        <v>GVHB Ghế tay vịn</v>
      </c>
      <c r="C233" s="69">
        <f>SUMIFS(DMTK!$K$5:$K$263,DMTK!$B$5:$B$263,A233&amp;"*")</f>
        <v>0</v>
      </c>
      <c r="D233" s="69">
        <f>SUMIFS(DMTK!$L$5:$L$263,DMTK!$B$5:$B$263,'BTHCTTK (TH131) NGÀY'!A233&amp;"*")</f>
        <v>0</v>
      </c>
      <c r="E233" s="69">
        <f>SUMIFS(CT!$H$5:$H$143,CT!$A$5:$A$143,"&lt;"&amp;'BTHCTTK (TH131) NGÀY'!$D$3,CT!$D$5:$D$143,'BTHCTTK (TH131) NGÀY'!A233)</f>
        <v>0</v>
      </c>
      <c r="F233" s="69">
        <f>SUMIFS(CT!$H$5:$H$143,CT!$A$5:$A$143,"&lt;"&amp;'BTHCTTK (TH131) NGÀY'!$D$3,CT!$E$5:$E$143,'BTHCTTK (TH131) NGÀY'!A233)</f>
        <v>0</v>
      </c>
      <c r="G233" s="69">
        <f t="shared" si="15"/>
        <v>0</v>
      </c>
      <c r="H233" s="69">
        <f t="shared" si="16"/>
        <v>0</v>
      </c>
      <c r="I233" s="69">
        <f>SUMIFS(CT!$H$5:$H$143,CT!$A$5:$A$143,"&gt;="&amp;'BTHCTTK (TH131) NGÀY'!$D$3,CT!$A$5:$A$143,"&lt;="&amp;'BTHCTTK (TH131) NGÀY'!$G$3,CT!$D$5:$D$143,'BTHCTTK (TH131) NGÀY'!A233)</f>
        <v>25123700</v>
      </c>
      <c r="J233" s="69">
        <f>SUMIFS(CT!$H$5:$H$143,CT!$A$5:$A$143,"&gt;="&amp;$D$3,CT!$A$5:$A$143,"&lt;="&amp;$G$3,CT!$E$5:$E$143,'BTHCTTK (TH131) NGÀY'!A233)</f>
        <v>25123700</v>
      </c>
      <c r="K233" s="69">
        <f t="shared" si="17"/>
        <v>0</v>
      </c>
      <c r="L233" s="69">
        <f t="shared" si="18"/>
        <v>0</v>
      </c>
      <c r="M233" t="b">
        <f t="shared" si="19"/>
        <v>0</v>
      </c>
    </row>
    <row r="234" spans="1:13" hidden="1" x14ac:dyDescent="0.25">
      <c r="A234" s="93" t="str">
        <f>DMTK!B233</f>
        <v>632.0102</v>
      </c>
      <c r="B234" s="65" t="str">
        <f>VLOOKUP(A234,DMTK!$B$5:$L$263,3,0)</f>
        <v>GVHB Ghế không tay</v>
      </c>
      <c r="C234" s="69">
        <f>SUMIFS(DMTK!$K$5:$K$263,DMTK!$B$5:$B$263,A234&amp;"*")</f>
        <v>0</v>
      </c>
      <c r="D234" s="69">
        <f>SUMIFS(DMTK!$L$5:$L$263,DMTK!$B$5:$B$263,'BTHCTTK (TH131) NGÀY'!A234&amp;"*")</f>
        <v>0</v>
      </c>
      <c r="E234" s="69">
        <f>SUMIFS(CT!$H$5:$H$143,CT!$A$5:$A$143,"&lt;"&amp;'BTHCTTK (TH131) NGÀY'!$D$3,CT!$D$5:$D$143,'BTHCTTK (TH131) NGÀY'!A234)</f>
        <v>0</v>
      </c>
      <c r="F234" s="69">
        <f>SUMIFS(CT!$H$5:$H$143,CT!$A$5:$A$143,"&lt;"&amp;'BTHCTTK (TH131) NGÀY'!$D$3,CT!$E$5:$E$143,'BTHCTTK (TH131) NGÀY'!A234)</f>
        <v>0</v>
      </c>
      <c r="G234" s="69">
        <f t="shared" si="15"/>
        <v>0</v>
      </c>
      <c r="H234" s="69">
        <f t="shared" si="16"/>
        <v>0</v>
      </c>
      <c r="I234" s="69">
        <f>SUMIFS(CT!$H$5:$H$143,CT!$A$5:$A$143,"&gt;="&amp;'BTHCTTK (TH131) NGÀY'!$D$3,CT!$A$5:$A$143,"&lt;="&amp;'BTHCTTK (TH131) NGÀY'!$G$3,CT!$D$5:$D$143,'BTHCTTK (TH131) NGÀY'!A234)</f>
        <v>20346200</v>
      </c>
      <c r="J234" s="69">
        <f>SUMIFS(CT!$H$5:$H$143,CT!$A$5:$A$143,"&gt;="&amp;$D$3,CT!$A$5:$A$143,"&lt;="&amp;$G$3,CT!$E$5:$E$143,'BTHCTTK (TH131) NGÀY'!A234)</f>
        <v>20346200</v>
      </c>
      <c r="K234" s="69">
        <f t="shared" si="17"/>
        <v>0</v>
      </c>
      <c r="L234" s="69">
        <f t="shared" si="18"/>
        <v>0</v>
      </c>
      <c r="M234" t="b">
        <f t="shared" si="19"/>
        <v>0</v>
      </c>
    </row>
    <row r="235" spans="1:13" hidden="1" x14ac:dyDescent="0.25">
      <c r="A235" s="93" t="str">
        <f>DMTK!B234</f>
        <v>632.0201</v>
      </c>
      <c r="B235" s="65" t="str">
        <f>VLOOKUP(A235,DMTK!$B$5:$L$263,3,0)</f>
        <v>GVHB Bàn tròn</v>
      </c>
      <c r="C235" s="69">
        <f>SUMIFS(DMTK!$K$5:$K$263,DMTK!$B$5:$B$263,A235&amp;"*")</f>
        <v>0</v>
      </c>
      <c r="D235" s="69">
        <f>SUMIFS(DMTK!$L$5:$L$263,DMTK!$B$5:$B$263,'BTHCTTK (TH131) NGÀY'!A235&amp;"*")</f>
        <v>0</v>
      </c>
      <c r="E235" s="69">
        <f>SUMIFS(CT!$H$5:$H$143,CT!$A$5:$A$143,"&lt;"&amp;'BTHCTTK (TH131) NGÀY'!$D$3,CT!$D$5:$D$143,'BTHCTTK (TH131) NGÀY'!A235)</f>
        <v>0</v>
      </c>
      <c r="F235" s="69">
        <f>SUMIFS(CT!$H$5:$H$143,CT!$A$5:$A$143,"&lt;"&amp;'BTHCTTK (TH131) NGÀY'!$D$3,CT!$E$5:$E$143,'BTHCTTK (TH131) NGÀY'!A235)</f>
        <v>0</v>
      </c>
      <c r="G235" s="69">
        <f t="shared" si="15"/>
        <v>0</v>
      </c>
      <c r="H235" s="69">
        <f t="shared" si="16"/>
        <v>0</v>
      </c>
      <c r="I235" s="69">
        <f>SUMIFS(CT!$H$5:$H$143,CT!$A$5:$A$143,"&gt;="&amp;'BTHCTTK (TH131) NGÀY'!$D$3,CT!$A$5:$A$143,"&lt;="&amp;'BTHCTTK (TH131) NGÀY'!$G$3,CT!$D$5:$D$143,'BTHCTTK (TH131) NGÀY'!A235)</f>
        <v>0</v>
      </c>
      <c r="J235" s="69">
        <f>SUMIFS(CT!$H$5:$H$143,CT!$A$5:$A$143,"&gt;="&amp;$D$3,CT!$A$5:$A$143,"&lt;="&amp;$G$3,CT!$E$5:$E$143,'BTHCTTK (TH131) NGÀY'!A235)</f>
        <v>0</v>
      </c>
      <c r="K235" s="69">
        <f t="shared" si="17"/>
        <v>0</v>
      </c>
      <c r="L235" s="69">
        <f t="shared" si="18"/>
        <v>0</v>
      </c>
      <c r="M235" t="b">
        <f t="shared" si="19"/>
        <v>0</v>
      </c>
    </row>
    <row r="236" spans="1:13" hidden="1" x14ac:dyDescent="0.25">
      <c r="A236" s="93" t="str">
        <f>DMTK!B235</f>
        <v>632.0202</v>
      </c>
      <c r="B236" s="65" t="str">
        <f>VLOOKUP(A236,DMTK!$B$5:$L$263,3,0)</f>
        <v>GVHB Bàn oval</v>
      </c>
      <c r="C236" s="69">
        <f>SUMIFS(DMTK!$K$5:$K$263,DMTK!$B$5:$B$263,A236&amp;"*")</f>
        <v>0</v>
      </c>
      <c r="D236" s="69">
        <f>SUMIFS(DMTK!$L$5:$L$263,DMTK!$B$5:$B$263,'BTHCTTK (TH131) NGÀY'!A236&amp;"*")</f>
        <v>0</v>
      </c>
      <c r="E236" s="69">
        <f>SUMIFS(CT!$H$5:$H$143,CT!$A$5:$A$143,"&lt;"&amp;'BTHCTTK (TH131) NGÀY'!$D$3,CT!$D$5:$D$143,'BTHCTTK (TH131) NGÀY'!A236)</f>
        <v>0</v>
      </c>
      <c r="F236" s="69">
        <f>SUMIFS(CT!$H$5:$H$143,CT!$A$5:$A$143,"&lt;"&amp;'BTHCTTK (TH131) NGÀY'!$D$3,CT!$E$5:$E$143,'BTHCTTK (TH131) NGÀY'!A236)</f>
        <v>0</v>
      </c>
      <c r="G236" s="69">
        <f t="shared" si="15"/>
        <v>0</v>
      </c>
      <c r="H236" s="69">
        <f t="shared" si="16"/>
        <v>0</v>
      </c>
      <c r="I236" s="69">
        <f>SUMIFS(CT!$H$5:$H$143,CT!$A$5:$A$143,"&gt;="&amp;'BTHCTTK (TH131) NGÀY'!$D$3,CT!$A$5:$A$143,"&lt;="&amp;'BTHCTTK (TH131) NGÀY'!$G$3,CT!$D$5:$D$143,'BTHCTTK (TH131) NGÀY'!A236)</f>
        <v>25000000</v>
      </c>
      <c r="J236" s="69">
        <f>SUMIFS(CT!$H$5:$H$143,CT!$A$5:$A$143,"&gt;="&amp;$D$3,CT!$A$5:$A$143,"&lt;="&amp;$G$3,CT!$E$5:$E$143,'BTHCTTK (TH131) NGÀY'!A236)</f>
        <v>25000000</v>
      </c>
      <c r="K236" s="69">
        <f t="shared" si="17"/>
        <v>0</v>
      </c>
      <c r="L236" s="69">
        <f t="shared" si="18"/>
        <v>0</v>
      </c>
      <c r="M236" t="b">
        <f t="shared" si="19"/>
        <v>0</v>
      </c>
    </row>
    <row r="237" spans="1:13" hidden="1" x14ac:dyDescent="0.25">
      <c r="A237" s="93" t="str">
        <f>DMTK!B236</f>
        <v>632.0203</v>
      </c>
      <c r="B237" s="65" t="str">
        <f>VLOOKUP(A237,DMTK!$B$5:$L$263,3,0)</f>
        <v>GVHB Bàn chữ nhật</v>
      </c>
      <c r="C237" s="69">
        <f>SUMIFS(DMTK!$K$5:$K$263,DMTK!$B$5:$B$263,A237&amp;"*")</f>
        <v>0</v>
      </c>
      <c r="D237" s="69">
        <f>SUMIFS(DMTK!$L$5:$L$263,DMTK!$B$5:$B$263,'BTHCTTK (TH131) NGÀY'!A237&amp;"*")</f>
        <v>0</v>
      </c>
      <c r="E237" s="69">
        <f>SUMIFS(CT!$H$5:$H$143,CT!$A$5:$A$143,"&lt;"&amp;'BTHCTTK (TH131) NGÀY'!$D$3,CT!$D$5:$D$143,'BTHCTTK (TH131) NGÀY'!A237)</f>
        <v>0</v>
      </c>
      <c r="F237" s="69">
        <f>SUMIFS(CT!$H$5:$H$143,CT!$A$5:$A$143,"&lt;"&amp;'BTHCTTK (TH131) NGÀY'!$D$3,CT!$E$5:$E$143,'BTHCTTK (TH131) NGÀY'!A237)</f>
        <v>0</v>
      </c>
      <c r="G237" s="69">
        <f t="shared" si="15"/>
        <v>0</v>
      </c>
      <c r="H237" s="69">
        <f t="shared" si="16"/>
        <v>0</v>
      </c>
      <c r="I237" s="69">
        <f>SUMIFS(CT!$H$5:$H$143,CT!$A$5:$A$143,"&gt;="&amp;'BTHCTTK (TH131) NGÀY'!$D$3,CT!$A$5:$A$143,"&lt;="&amp;'BTHCTTK (TH131) NGÀY'!$G$3,CT!$D$5:$D$143,'BTHCTTK (TH131) NGÀY'!A237)</f>
        <v>0</v>
      </c>
      <c r="J237" s="69">
        <f>SUMIFS(CT!$H$5:$H$143,CT!$A$5:$A$143,"&gt;="&amp;$D$3,CT!$A$5:$A$143,"&lt;="&amp;$G$3,CT!$E$5:$E$143,'BTHCTTK (TH131) NGÀY'!A237)</f>
        <v>0</v>
      </c>
      <c r="K237" s="69">
        <f t="shared" si="17"/>
        <v>0</v>
      </c>
      <c r="L237" s="69">
        <f t="shared" si="18"/>
        <v>0</v>
      </c>
      <c r="M237" t="b">
        <f t="shared" si="19"/>
        <v>0</v>
      </c>
    </row>
    <row r="238" spans="1:13" hidden="1" x14ac:dyDescent="0.25">
      <c r="A238" s="93" t="str">
        <f>DMTK!B237</f>
        <v>635</v>
      </c>
      <c r="B238" s="65" t="str">
        <f>VLOOKUP(A238,DMTK!$B$5:$L$263,3,0)</f>
        <v>Chi phí tài chính</v>
      </c>
      <c r="C238" s="69">
        <f>SUMIFS(DMTK!$K$5:$K$263,DMTK!$B$5:$B$263,A238&amp;"*")</f>
        <v>0</v>
      </c>
      <c r="D238" s="69">
        <f>SUMIFS(DMTK!$L$5:$L$263,DMTK!$B$5:$B$263,'BTHCTTK (TH131) NGÀY'!A238&amp;"*")</f>
        <v>0</v>
      </c>
      <c r="E238" s="69">
        <f>SUMIFS(CT!$H$5:$H$143,CT!$A$5:$A$143,"&lt;"&amp;'BTHCTTK (TH131) NGÀY'!$D$3,CT!$D$5:$D$143,'BTHCTTK (TH131) NGÀY'!A238)</f>
        <v>0</v>
      </c>
      <c r="F238" s="69">
        <f>SUMIFS(CT!$H$5:$H$143,CT!$A$5:$A$143,"&lt;"&amp;'BTHCTTK (TH131) NGÀY'!$D$3,CT!$E$5:$E$143,'BTHCTTK (TH131) NGÀY'!A238)</f>
        <v>0</v>
      </c>
      <c r="G238" s="69">
        <f t="shared" si="15"/>
        <v>0</v>
      </c>
      <c r="H238" s="69">
        <f t="shared" si="16"/>
        <v>0</v>
      </c>
      <c r="I238" s="69">
        <f>SUMIFS(CT!$H$5:$H$143,CT!$A$5:$A$143,"&gt;="&amp;'BTHCTTK (TH131) NGÀY'!$D$3,CT!$A$5:$A$143,"&lt;="&amp;'BTHCTTK (TH131) NGÀY'!$G$3,CT!$D$5:$D$143,'BTHCTTK (TH131) NGÀY'!A238)</f>
        <v>0</v>
      </c>
      <c r="J238" s="69">
        <f>SUMIFS(CT!$H$5:$H$143,CT!$A$5:$A$143,"&gt;="&amp;$D$3,CT!$A$5:$A$143,"&lt;="&amp;$G$3,CT!$E$5:$E$143,'BTHCTTK (TH131) NGÀY'!A238)</f>
        <v>0</v>
      </c>
      <c r="K238" s="69">
        <f t="shared" si="17"/>
        <v>0</v>
      </c>
      <c r="L238" s="69">
        <f t="shared" si="18"/>
        <v>0</v>
      </c>
      <c r="M238" t="b">
        <f t="shared" si="19"/>
        <v>0</v>
      </c>
    </row>
    <row r="239" spans="1:13" hidden="1" x14ac:dyDescent="0.25">
      <c r="A239" s="93" t="str">
        <f>DMTK!B238</f>
        <v>6351</v>
      </c>
      <c r="B239" s="65" t="str">
        <f>VLOOKUP(A239,DMTK!$B$5:$L$263,3,0)</f>
        <v>Chi phí lãi vay</v>
      </c>
      <c r="C239" s="69">
        <f>SUMIFS(DMTK!$K$5:$K$263,DMTK!$B$5:$B$263,A239&amp;"*")</f>
        <v>0</v>
      </c>
      <c r="D239" s="69">
        <f>SUMIFS(DMTK!$L$5:$L$263,DMTK!$B$5:$B$263,'BTHCTTK (TH131) NGÀY'!A239&amp;"*")</f>
        <v>0</v>
      </c>
      <c r="E239" s="69">
        <f>SUMIFS(CT!$H$5:$H$143,CT!$A$5:$A$143,"&lt;"&amp;'BTHCTTK (TH131) NGÀY'!$D$3,CT!$D$5:$D$143,'BTHCTTK (TH131) NGÀY'!A239)</f>
        <v>0</v>
      </c>
      <c r="F239" s="69">
        <f>SUMIFS(CT!$H$5:$H$143,CT!$A$5:$A$143,"&lt;"&amp;'BTHCTTK (TH131) NGÀY'!$D$3,CT!$E$5:$E$143,'BTHCTTK (TH131) NGÀY'!A239)</f>
        <v>0</v>
      </c>
      <c r="G239" s="69">
        <f t="shared" si="15"/>
        <v>0</v>
      </c>
      <c r="H239" s="69">
        <f t="shared" si="16"/>
        <v>0</v>
      </c>
      <c r="I239" s="69">
        <f>SUMIFS(CT!$H$5:$H$143,CT!$A$5:$A$143,"&gt;="&amp;'BTHCTTK (TH131) NGÀY'!$D$3,CT!$A$5:$A$143,"&lt;="&amp;'BTHCTTK (TH131) NGÀY'!$G$3,CT!$D$5:$D$143,'BTHCTTK (TH131) NGÀY'!A239)</f>
        <v>0</v>
      </c>
      <c r="J239" s="69">
        <f>SUMIFS(CT!$H$5:$H$143,CT!$A$5:$A$143,"&gt;="&amp;$D$3,CT!$A$5:$A$143,"&lt;="&amp;$G$3,CT!$E$5:$E$143,'BTHCTTK (TH131) NGÀY'!A239)</f>
        <v>0</v>
      </c>
      <c r="K239" s="69">
        <f t="shared" si="17"/>
        <v>0</v>
      </c>
      <c r="L239" s="69">
        <f t="shared" si="18"/>
        <v>0</v>
      </c>
      <c r="M239" t="b">
        <f t="shared" si="19"/>
        <v>0</v>
      </c>
    </row>
    <row r="240" spans="1:13" hidden="1" x14ac:dyDescent="0.25">
      <c r="A240" s="93" t="str">
        <f>DMTK!B239</f>
        <v>6411</v>
      </c>
      <c r="B240" s="65" t="str">
        <f>VLOOKUP(A240,DMTK!$B$5:$L$263,3,0)</f>
        <v xml:space="preserve">Chi phí nhân viên </v>
      </c>
      <c r="C240" s="69">
        <f>SUMIFS(DMTK!$K$5:$K$263,DMTK!$B$5:$B$263,A240&amp;"*")</f>
        <v>0</v>
      </c>
      <c r="D240" s="69">
        <f>SUMIFS(DMTK!$L$5:$L$263,DMTK!$B$5:$B$263,'BTHCTTK (TH131) NGÀY'!A240&amp;"*")</f>
        <v>0</v>
      </c>
      <c r="E240" s="69">
        <f>SUMIFS(CT!$H$5:$H$143,CT!$A$5:$A$143,"&lt;"&amp;'BTHCTTK (TH131) NGÀY'!$D$3,CT!$D$5:$D$143,'BTHCTTK (TH131) NGÀY'!A240)</f>
        <v>0</v>
      </c>
      <c r="F240" s="69">
        <f>SUMIFS(CT!$H$5:$H$143,CT!$A$5:$A$143,"&lt;"&amp;'BTHCTTK (TH131) NGÀY'!$D$3,CT!$E$5:$E$143,'BTHCTTK (TH131) NGÀY'!A240)</f>
        <v>0</v>
      </c>
      <c r="G240" s="69">
        <f t="shared" si="15"/>
        <v>0</v>
      </c>
      <c r="H240" s="69">
        <f t="shared" si="16"/>
        <v>0</v>
      </c>
      <c r="I240" s="69">
        <f>SUMIFS(CT!$H$5:$H$143,CT!$A$5:$A$143,"&gt;="&amp;'BTHCTTK (TH131) NGÀY'!$D$3,CT!$A$5:$A$143,"&lt;="&amp;'BTHCTTK (TH131) NGÀY'!$G$3,CT!$D$5:$D$143,'BTHCTTK (TH131) NGÀY'!A240)</f>
        <v>6100000</v>
      </c>
      <c r="J240" s="69">
        <f>SUMIFS(CT!$H$5:$H$143,CT!$A$5:$A$143,"&gt;="&amp;$D$3,CT!$A$5:$A$143,"&lt;="&amp;$G$3,CT!$E$5:$E$143,'BTHCTTK (TH131) NGÀY'!A240)</f>
        <v>6100000</v>
      </c>
      <c r="K240" s="69">
        <f t="shared" si="17"/>
        <v>0</v>
      </c>
      <c r="L240" s="69">
        <f t="shared" si="18"/>
        <v>0</v>
      </c>
      <c r="M240" t="b">
        <f t="shared" si="19"/>
        <v>0</v>
      </c>
    </row>
    <row r="241" spans="1:13" hidden="1" x14ac:dyDescent="0.25">
      <c r="A241" s="93" t="str">
        <f>DMTK!B240</f>
        <v>6412</v>
      </c>
      <c r="B241" s="65" t="str">
        <f>VLOOKUP(A241,DMTK!$B$5:$L$263,3,0)</f>
        <v>Chi phí nguyên vật liệu, bao bì</v>
      </c>
      <c r="C241" s="69">
        <f>SUMIFS(DMTK!$K$5:$K$263,DMTK!$B$5:$B$263,A241&amp;"*")</f>
        <v>0</v>
      </c>
      <c r="D241" s="69">
        <f>SUMIFS(DMTK!$L$5:$L$263,DMTK!$B$5:$B$263,'BTHCTTK (TH131) NGÀY'!A241&amp;"*")</f>
        <v>0</v>
      </c>
      <c r="E241" s="69">
        <f>SUMIFS(CT!$H$5:$H$143,CT!$A$5:$A$143,"&lt;"&amp;'BTHCTTK (TH131) NGÀY'!$D$3,CT!$D$5:$D$143,'BTHCTTK (TH131) NGÀY'!A241)</f>
        <v>0</v>
      </c>
      <c r="F241" s="69">
        <f>SUMIFS(CT!$H$5:$H$143,CT!$A$5:$A$143,"&lt;"&amp;'BTHCTTK (TH131) NGÀY'!$D$3,CT!$E$5:$E$143,'BTHCTTK (TH131) NGÀY'!A241)</f>
        <v>0</v>
      </c>
      <c r="G241" s="69">
        <f t="shared" si="15"/>
        <v>0</v>
      </c>
      <c r="H241" s="69">
        <f t="shared" si="16"/>
        <v>0</v>
      </c>
      <c r="I241" s="69">
        <f>SUMIFS(CT!$H$5:$H$143,CT!$A$5:$A$143,"&gt;="&amp;'BTHCTTK (TH131) NGÀY'!$D$3,CT!$A$5:$A$143,"&lt;="&amp;'BTHCTTK (TH131) NGÀY'!$G$3,CT!$D$5:$D$143,'BTHCTTK (TH131) NGÀY'!A241)</f>
        <v>0</v>
      </c>
      <c r="J241" s="69">
        <f>SUMIFS(CT!$H$5:$H$143,CT!$A$5:$A$143,"&gt;="&amp;$D$3,CT!$A$5:$A$143,"&lt;="&amp;$G$3,CT!$E$5:$E$143,'BTHCTTK (TH131) NGÀY'!A241)</f>
        <v>0</v>
      </c>
      <c r="K241" s="69">
        <f t="shared" si="17"/>
        <v>0</v>
      </c>
      <c r="L241" s="69">
        <f t="shared" si="18"/>
        <v>0</v>
      </c>
      <c r="M241" t="b">
        <f t="shared" si="19"/>
        <v>0</v>
      </c>
    </row>
    <row r="242" spans="1:13" hidden="1" x14ac:dyDescent="0.25">
      <c r="A242" s="93" t="str">
        <f>DMTK!B241</f>
        <v>6413</v>
      </c>
      <c r="B242" s="65" t="str">
        <f>VLOOKUP(A242,DMTK!$B$5:$L$263,3,0)</f>
        <v>Chi phí dụng cụ, đồ dùng</v>
      </c>
      <c r="C242" s="69">
        <f>SUMIFS(DMTK!$K$5:$K$263,DMTK!$B$5:$B$263,A242&amp;"*")</f>
        <v>0</v>
      </c>
      <c r="D242" s="69">
        <f>SUMIFS(DMTK!$L$5:$L$263,DMTK!$B$5:$B$263,'BTHCTTK (TH131) NGÀY'!A242&amp;"*")</f>
        <v>0</v>
      </c>
      <c r="E242" s="69">
        <f>SUMIFS(CT!$H$5:$H$143,CT!$A$5:$A$143,"&lt;"&amp;'BTHCTTK (TH131) NGÀY'!$D$3,CT!$D$5:$D$143,'BTHCTTK (TH131) NGÀY'!A242)</f>
        <v>0</v>
      </c>
      <c r="F242" s="69">
        <f>SUMIFS(CT!$H$5:$H$143,CT!$A$5:$A$143,"&lt;"&amp;'BTHCTTK (TH131) NGÀY'!$D$3,CT!$E$5:$E$143,'BTHCTTK (TH131) NGÀY'!A242)</f>
        <v>0</v>
      </c>
      <c r="G242" s="69">
        <f t="shared" si="15"/>
        <v>0</v>
      </c>
      <c r="H242" s="69">
        <f t="shared" si="16"/>
        <v>0</v>
      </c>
      <c r="I242" s="69">
        <f>SUMIFS(CT!$H$5:$H$143,CT!$A$5:$A$143,"&gt;="&amp;'BTHCTTK (TH131) NGÀY'!$D$3,CT!$A$5:$A$143,"&lt;="&amp;'BTHCTTK (TH131) NGÀY'!$G$3,CT!$D$5:$D$143,'BTHCTTK (TH131) NGÀY'!A242)</f>
        <v>250000</v>
      </c>
      <c r="J242" s="69">
        <f>SUMIFS(CT!$H$5:$H$143,CT!$A$5:$A$143,"&gt;="&amp;$D$3,CT!$A$5:$A$143,"&lt;="&amp;$G$3,CT!$E$5:$E$143,'BTHCTTK (TH131) NGÀY'!A242)</f>
        <v>250000</v>
      </c>
      <c r="K242" s="69">
        <f t="shared" si="17"/>
        <v>0</v>
      </c>
      <c r="L242" s="69">
        <f t="shared" si="18"/>
        <v>0</v>
      </c>
      <c r="M242" t="b">
        <f t="shared" si="19"/>
        <v>0</v>
      </c>
    </row>
    <row r="243" spans="1:13" hidden="1" x14ac:dyDescent="0.25">
      <c r="A243" s="93" t="str">
        <f>DMTK!B242</f>
        <v>6414</v>
      </c>
      <c r="B243" s="65" t="str">
        <f>VLOOKUP(A243,DMTK!$B$5:$L$263,3,0)</f>
        <v>Chi phí khấu hao TSCĐ</v>
      </c>
      <c r="C243" s="69">
        <f>SUMIFS(DMTK!$K$5:$K$263,DMTK!$B$5:$B$263,A243&amp;"*")</f>
        <v>0</v>
      </c>
      <c r="D243" s="69">
        <f>SUMIFS(DMTK!$L$5:$L$263,DMTK!$B$5:$B$263,'BTHCTTK (TH131) NGÀY'!A243&amp;"*")</f>
        <v>0</v>
      </c>
      <c r="E243" s="69">
        <f>SUMIFS(CT!$H$5:$H$143,CT!$A$5:$A$143,"&lt;"&amp;'BTHCTTK (TH131) NGÀY'!$D$3,CT!$D$5:$D$143,'BTHCTTK (TH131) NGÀY'!A243)</f>
        <v>0</v>
      </c>
      <c r="F243" s="69">
        <f>SUMIFS(CT!$H$5:$H$143,CT!$A$5:$A$143,"&lt;"&amp;'BTHCTTK (TH131) NGÀY'!$D$3,CT!$E$5:$E$143,'BTHCTTK (TH131) NGÀY'!A243)</f>
        <v>0</v>
      </c>
      <c r="G243" s="69">
        <f t="shared" si="15"/>
        <v>0</v>
      </c>
      <c r="H243" s="69">
        <f t="shared" si="16"/>
        <v>0</v>
      </c>
      <c r="I243" s="69">
        <f>SUMIFS(CT!$H$5:$H$143,CT!$A$5:$A$143,"&gt;="&amp;'BTHCTTK (TH131) NGÀY'!$D$3,CT!$A$5:$A$143,"&lt;="&amp;'BTHCTTK (TH131) NGÀY'!$G$3,CT!$D$5:$D$143,'BTHCTTK (TH131) NGÀY'!A243)</f>
        <v>0</v>
      </c>
      <c r="J243" s="69">
        <f>SUMIFS(CT!$H$5:$H$143,CT!$A$5:$A$143,"&gt;="&amp;$D$3,CT!$A$5:$A$143,"&lt;="&amp;$G$3,CT!$E$5:$E$143,'BTHCTTK (TH131) NGÀY'!A243)</f>
        <v>0</v>
      </c>
      <c r="K243" s="69">
        <f t="shared" si="17"/>
        <v>0</v>
      </c>
      <c r="L243" s="69">
        <f t="shared" si="18"/>
        <v>0</v>
      </c>
      <c r="M243" t="b">
        <f t="shared" si="19"/>
        <v>0</v>
      </c>
    </row>
    <row r="244" spans="1:13" hidden="1" x14ac:dyDescent="0.25">
      <c r="A244" s="93" t="str">
        <f>DMTK!B243</f>
        <v>6415</v>
      </c>
      <c r="B244" s="65" t="str">
        <f>VLOOKUP(A244,DMTK!$B$5:$L$263,3,0)</f>
        <v>Chi phí bảo hành</v>
      </c>
      <c r="C244" s="69">
        <f>SUMIFS(DMTK!$K$5:$K$263,DMTK!$B$5:$B$263,A244&amp;"*")</f>
        <v>0</v>
      </c>
      <c r="D244" s="69">
        <f>SUMIFS(DMTK!$L$5:$L$263,DMTK!$B$5:$B$263,'BTHCTTK (TH131) NGÀY'!A244&amp;"*")</f>
        <v>0</v>
      </c>
      <c r="E244" s="69">
        <f>SUMIFS(CT!$H$5:$H$143,CT!$A$5:$A$143,"&lt;"&amp;'BTHCTTK (TH131) NGÀY'!$D$3,CT!$D$5:$D$143,'BTHCTTK (TH131) NGÀY'!A244)</f>
        <v>0</v>
      </c>
      <c r="F244" s="69">
        <f>SUMIFS(CT!$H$5:$H$143,CT!$A$5:$A$143,"&lt;"&amp;'BTHCTTK (TH131) NGÀY'!$D$3,CT!$E$5:$E$143,'BTHCTTK (TH131) NGÀY'!A244)</f>
        <v>0</v>
      </c>
      <c r="G244" s="69">
        <f t="shared" si="15"/>
        <v>0</v>
      </c>
      <c r="H244" s="69">
        <f t="shared" si="16"/>
        <v>0</v>
      </c>
      <c r="I244" s="69">
        <f>SUMIFS(CT!$H$5:$H$143,CT!$A$5:$A$143,"&gt;="&amp;'BTHCTTK (TH131) NGÀY'!$D$3,CT!$A$5:$A$143,"&lt;="&amp;'BTHCTTK (TH131) NGÀY'!$G$3,CT!$D$5:$D$143,'BTHCTTK (TH131) NGÀY'!A244)</f>
        <v>0</v>
      </c>
      <c r="J244" s="69">
        <f>SUMIFS(CT!$H$5:$H$143,CT!$A$5:$A$143,"&gt;="&amp;$D$3,CT!$A$5:$A$143,"&lt;="&amp;$G$3,CT!$E$5:$E$143,'BTHCTTK (TH131) NGÀY'!A244)</f>
        <v>0</v>
      </c>
      <c r="K244" s="69">
        <f t="shared" si="17"/>
        <v>0</v>
      </c>
      <c r="L244" s="69">
        <f t="shared" si="18"/>
        <v>0</v>
      </c>
      <c r="M244" t="b">
        <f t="shared" si="19"/>
        <v>0</v>
      </c>
    </row>
    <row r="245" spans="1:13" hidden="1" x14ac:dyDescent="0.25">
      <c r="A245" s="93" t="str">
        <f>DMTK!B244</f>
        <v>6417</v>
      </c>
      <c r="B245" s="65" t="str">
        <f>VLOOKUP(A245,DMTK!$B$5:$L$263,3,0)</f>
        <v>Chi phí dịch vụ mua ngoài</v>
      </c>
      <c r="C245" s="69">
        <f>SUMIFS(DMTK!$K$5:$K$263,DMTK!$B$5:$B$263,A245&amp;"*")</f>
        <v>0</v>
      </c>
      <c r="D245" s="69">
        <f>SUMIFS(DMTK!$L$5:$L$263,DMTK!$B$5:$B$263,'BTHCTTK (TH131) NGÀY'!A245&amp;"*")</f>
        <v>0</v>
      </c>
      <c r="E245" s="69">
        <f>SUMIFS(CT!$H$5:$H$143,CT!$A$5:$A$143,"&lt;"&amp;'BTHCTTK (TH131) NGÀY'!$D$3,CT!$D$5:$D$143,'BTHCTTK (TH131) NGÀY'!A245)</f>
        <v>0</v>
      </c>
      <c r="F245" s="69">
        <f>SUMIFS(CT!$H$5:$H$143,CT!$A$5:$A$143,"&lt;"&amp;'BTHCTTK (TH131) NGÀY'!$D$3,CT!$E$5:$E$143,'BTHCTTK (TH131) NGÀY'!A245)</f>
        <v>0</v>
      </c>
      <c r="G245" s="69">
        <f t="shared" si="15"/>
        <v>0</v>
      </c>
      <c r="H245" s="69">
        <f t="shared" si="16"/>
        <v>0</v>
      </c>
      <c r="I245" s="69">
        <f>SUMIFS(CT!$H$5:$H$143,CT!$A$5:$A$143,"&gt;="&amp;'BTHCTTK (TH131) NGÀY'!$D$3,CT!$A$5:$A$143,"&lt;="&amp;'BTHCTTK (TH131) NGÀY'!$G$3,CT!$D$5:$D$143,'BTHCTTK (TH131) NGÀY'!A245)</f>
        <v>0</v>
      </c>
      <c r="J245" s="69">
        <f>SUMIFS(CT!$H$5:$H$143,CT!$A$5:$A$143,"&gt;="&amp;$D$3,CT!$A$5:$A$143,"&lt;="&amp;$G$3,CT!$E$5:$E$143,'BTHCTTK (TH131) NGÀY'!A245)</f>
        <v>0</v>
      </c>
      <c r="K245" s="69">
        <f t="shared" si="17"/>
        <v>0</v>
      </c>
      <c r="L245" s="69">
        <f t="shared" si="18"/>
        <v>0</v>
      </c>
      <c r="M245" t="b">
        <f t="shared" si="19"/>
        <v>0</v>
      </c>
    </row>
    <row r="246" spans="1:13" hidden="1" x14ac:dyDescent="0.25">
      <c r="A246" s="93" t="str">
        <f>DMTK!B245</f>
        <v>6418</v>
      </c>
      <c r="B246" s="65" t="str">
        <f>VLOOKUP(A246,DMTK!$B$5:$L$263,3,0)</f>
        <v>Chi phí bằng tiền khác</v>
      </c>
      <c r="C246" s="69">
        <f>SUMIFS(DMTK!$K$5:$K$263,DMTK!$B$5:$B$263,A246&amp;"*")</f>
        <v>0</v>
      </c>
      <c r="D246" s="69">
        <f>SUMIFS(DMTK!$L$5:$L$263,DMTK!$B$5:$B$263,'BTHCTTK (TH131) NGÀY'!A246&amp;"*")</f>
        <v>0</v>
      </c>
      <c r="E246" s="69">
        <f>SUMIFS(CT!$H$5:$H$143,CT!$A$5:$A$143,"&lt;"&amp;'BTHCTTK (TH131) NGÀY'!$D$3,CT!$D$5:$D$143,'BTHCTTK (TH131) NGÀY'!A246)</f>
        <v>0</v>
      </c>
      <c r="F246" s="69">
        <f>SUMIFS(CT!$H$5:$H$143,CT!$A$5:$A$143,"&lt;"&amp;'BTHCTTK (TH131) NGÀY'!$D$3,CT!$E$5:$E$143,'BTHCTTK (TH131) NGÀY'!A246)</f>
        <v>0</v>
      </c>
      <c r="G246" s="69">
        <f t="shared" si="15"/>
        <v>0</v>
      </c>
      <c r="H246" s="69">
        <f t="shared" si="16"/>
        <v>0</v>
      </c>
      <c r="I246" s="69">
        <f>SUMIFS(CT!$H$5:$H$143,CT!$A$5:$A$143,"&gt;="&amp;'BTHCTTK (TH131) NGÀY'!$D$3,CT!$A$5:$A$143,"&lt;="&amp;'BTHCTTK (TH131) NGÀY'!$G$3,CT!$D$5:$D$143,'BTHCTTK (TH131) NGÀY'!A246)</f>
        <v>0</v>
      </c>
      <c r="J246" s="69">
        <f>SUMIFS(CT!$H$5:$H$143,CT!$A$5:$A$143,"&gt;="&amp;$D$3,CT!$A$5:$A$143,"&lt;="&amp;$G$3,CT!$E$5:$E$143,'BTHCTTK (TH131) NGÀY'!A246)</f>
        <v>0</v>
      </c>
      <c r="K246" s="69">
        <f t="shared" si="17"/>
        <v>0</v>
      </c>
      <c r="L246" s="69">
        <f t="shared" si="18"/>
        <v>0</v>
      </c>
      <c r="M246" t="b">
        <f t="shared" si="19"/>
        <v>0</v>
      </c>
    </row>
    <row r="247" spans="1:13" hidden="1" x14ac:dyDescent="0.25">
      <c r="A247" s="93" t="str">
        <f>DMTK!B246</f>
        <v>6421</v>
      </c>
      <c r="B247" s="65" t="str">
        <f>VLOOKUP(A247,DMTK!$B$5:$L$263,3,0)</f>
        <v>Chi phí nhân viên quản lý</v>
      </c>
      <c r="C247" s="69">
        <f>SUMIFS(DMTK!$K$5:$K$263,DMTK!$B$5:$B$263,A247&amp;"*")</f>
        <v>0</v>
      </c>
      <c r="D247" s="69">
        <f>SUMIFS(DMTK!$L$5:$L$263,DMTK!$B$5:$B$263,'BTHCTTK (TH131) NGÀY'!A247&amp;"*")</f>
        <v>0</v>
      </c>
      <c r="E247" s="69">
        <f>SUMIFS(CT!$H$5:$H$143,CT!$A$5:$A$143,"&lt;"&amp;'BTHCTTK (TH131) NGÀY'!$D$3,CT!$D$5:$D$143,'BTHCTTK (TH131) NGÀY'!A247)</f>
        <v>0</v>
      </c>
      <c r="F247" s="69">
        <f>SUMIFS(CT!$H$5:$H$143,CT!$A$5:$A$143,"&lt;"&amp;'BTHCTTK (TH131) NGÀY'!$D$3,CT!$E$5:$E$143,'BTHCTTK (TH131) NGÀY'!A247)</f>
        <v>0</v>
      </c>
      <c r="G247" s="69">
        <f t="shared" si="15"/>
        <v>0</v>
      </c>
      <c r="H247" s="69">
        <f t="shared" si="16"/>
        <v>0</v>
      </c>
      <c r="I247" s="69">
        <f>SUMIFS(CT!$H$5:$H$143,CT!$A$5:$A$143,"&gt;="&amp;'BTHCTTK (TH131) NGÀY'!$D$3,CT!$A$5:$A$143,"&lt;="&amp;'BTHCTTK (TH131) NGÀY'!$G$3,CT!$D$5:$D$143,'BTHCTTK (TH131) NGÀY'!A247)</f>
        <v>8540000</v>
      </c>
      <c r="J247" s="69">
        <f>SUMIFS(CT!$H$5:$H$143,CT!$A$5:$A$143,"&gt;="&amp;$D$3,CT!$A$5:$A$143,"&lt;="&amp;$G$3,CT!$E$5:$E$143,'BTHCTTK (TH131) NGÀY'!A247)</f>
        <v>8540000</v>
      </c>
      <c r="K247" s="69">
        <f t="shared" si="17"/>
        <v>0</v>
      </c>
      <c r="L247" s="69">
        <f t="shared" si="18"/>
        <v>0</v>
      </c>
      <c r="M247" t="b">
        <f t="shared" si="19"/>
        <v>0</v>
      </c>
    </row>
    <row r="248" spans="1:13" hidden="1" x14ac:dyDescent="0.25">
      <c r="A248" s="93" t="str">
        <f>DMTK!B247</f>
        <v>6422</v>
      </c>
      <c r="B248" s="65" t="str">
        <f>VLOOKUP(A248,DMTK!$B$5:$L$263,3,0)</f>
        <v>Chi phí vật liệu quản lý</v>
      </c>
      <c r="C248" s="69">
        <f>SUMIFS(DMTK!$K$5:$K$263,DMTK!$B$5:$B$263,A248&amp;"*")</f>
        <v>0</v>
      </c>
      <c r="D248" s="69">
        <f>SUMIFS(DMTK!$L$5:$L$263,DMTK!$B$5:$B$263,'BTHCTTK (TH131) NGÀY'!A248&amp;"*")</f>
        <v>0</v>
      </c>
      <c r="E248" s="69">
        <f>SUMIFS(CT!$H$5:$H$143,CT!$A$5:$A$143,"&lt;"&amp;'BTHCTTK (TH131) NGÀY'!$D$3,CT!$D$5:$D$143,'BTHCTTK (TH131) NGÀY'!A248)</f>
        <v>0</v>
      </c>
      <c r="F248" s="69">
        <f>SUMIFS(CT!$H$5:$H$143,CT!$A$5:$A$143,"&lt;"&amp;'BTHCTTK (TH131) NGÀY'!$D$3,CT!$E$5:$E$143,'BTHCTTK (TH131) NGÀY'!A248)</f>
        <v>0</v>
      </c>
      <c r="G248" s="69">
        <f t="shared" si="15"/>
        <v>0</v>
      </c>
      <c r="H248" s="69">
        <f t="shared" si="16"/>
        <v>0</v>
      </c>
      <c r="I248" s="69">
        <f>SUMIFS(CT!$H$5:$H$143,CT!$A$5:$A$143,"&gt;="&amp;'BTHCTTK (TH131) NGÀY'!$D$3,CT!$A$5:$A$143,"&lt;="&amp;'BTHCTTK (TH131) NGÀY'!$G$3,CT!$D$5:$D$143,'BTHCTTK (TH131) NGÀY'!A248)</f>
        <v>0</v>
      </c>
      <c r="J248" s="69">
        <f>SUMIFS(CT!$H$5:$H$143,CT!$A$5:$A$143,"&gt;="&amp;$D$3,CT!$A$5:$A$143,"&lt;="&amp;$G$3,CT!$E$5:$E$143,'BTHCTTK (TH131) NGÀY'!A248)</f>
        <v>0</v>
      </c>
      <c r="K248" s="69">
        <f t="shared" si="17"/>
        <v>0</v>
      </c>
      <c r="L248" s="69">
        <f t="shared" si="18"/>
        <v>0</v>
      </c>
      <c r="M248" t="b">
        <f t="shared" si="19"/>
        <v>0</v>
      </c>
    </row>
    <row r="249" spans="1:13" hidden="1" x14ac:dyDescent="0.25">
      <c r="A249" s="93" t="str">
        <f>DMTK!B248</f>
        <v>6423</v>
      </c>
      <c r="B249" s="65" t="str">
        <f>VLOOKUP(A249,DMTK!$B$5:$L$263,3,0)</f>
        <v>Chi phí đồ dùng văn phòng</v>
      </c>
      <c r="C249" s="69">
        <f>SUMIFS(DMTK!$K$5:$K$263,DMTK!$B$5:$B$263,A249&amp;"*")</f>
        <v>0</v>
      </c>
      <c r="D249" s="69">
        <f>SUMIFS(DMTK!$L$5:$L$263,DMTK!$B$5:$B$263,'BTHCTTK (TH131) NGÀY'!A249&amp;"*")</f>
        <v>0</v>
      </c>
      <c r="E249" s="69">
        <f>SUMIFS(CT!$H$5:$H$143,CT!$A$5:$A$143,"&lt;"&amp;'BTHCTTK (TH131) NGÀY'!$D$3,CT!$D$5:$D$143,'BTHCTTK (TH131) NGÀY'!A249)</f>
        <v>0</v>
      </c>
      <c r="F249" s="69">
        <f>SUMIFS(CT!$H$5:$H$143,CT!$A$5:$A$143,"&lt;"&amp;'BTHCTTK (TH131) NGÀY'!$D$3,CT!$E$5:$E$143,'BTHCTTK (TH131) NGÀY'!A249)</f>
        <v>0</v>
      </c>
      <c r="G249" s="69">
        <f t="shared" si="15"/>
        <v>0</v>
      </c>
      <c r="H249" s="69">
        <f t="shared" si="16"/>
        <v>0</v>
      </c>
      <c r="I249" s="69">
        <f>SUMIFS(CT!$H$5:$H$143,CT!$A$5:$A$143,"&gt;="&amp;'BTHCTTK (TH131) NGÀY'!$D$3,CT!$A$5:$A$143,"&lt;="&amp;'BTHCTTK (TH131) NGÀY'!$G$3,CT!$D$5:$D$143,'BTHCTTK (TH131) NGÀY'!A249)</f>
        <v>500000</v>
      </c>
      <c r="J249" s="69">
        <f>SUMIFS(CT!$H$5:$H$143,CT!$A$5:$A$143,"&gt;="&amp;$D$3,CT!$A$5:$A$143,"&lt;="&amp;$G$3,CT!$E$5:$E$143,'BTHCTTK (TH131) NGÀY'!A249)</f>
        <v>500000</v>
      </c>
      <c r="K249" s="69">
        <f t="shared" si="17"/>
        <v>0</v>
      </c>
      <c r="L249" s="69">
        <f t="shared" si="18"/>
        <v>0</v>
      </c>
      <c r="M249" t="b">
        <f t="shared" si="19"/>
        <v>0</v>
      </c>
    </row>
    <row r="250" spans="1:13" hidden="1" x14ac:dyDescent="0.25">
      <c r="A250" s="93" t="str">
        <f>DMTK!B249</f>
        <v>6424</v>
      </c>
      <c r="B250" s="65" t="str">
        <f>VLOOKUP(A250,DMTK!$B$5:$L$263,3,0)</f>
        <v>Chi phí khấu hao TSCĐ</v>
      </c>
      <c r="C250" s="69">
        <f>SUMIFS(DMTK!$K$5:$K$263,DMTK!$B$5:$B$263,A250&amp;"*")</f>
        <v>0</v>
      </c>
      <c r="D250" s="69">
        <f>SUMIFS(DMTK!$L$5:$L$263,DMTK!$B$5:$B$263,'BTHCTTK (TH131) NGÀY'!A250&amp;"*")</f>
        <v>0</v>
      </c>
      <c r="E250" s="69">
        <f>SUMIFS(CT!$H$5:$H$143,CT!$A$5:$A$143,"&lt;"&amp;'BTHCTTK (TH131) NGÀY'!$D$3,CT!$D$5:$D$143,'BTHCTTK (TH131) NGÀY'!A250)</f>
        <v>0</v>
      </c>
      <c r="F250" s="69">
        <f>SUMIFS(CT!$H$5:$H$143,CT!$A$5:$A$143,"&lt;"&amp;'BTHCTTK (TH131) NGÀY'!$D$3,CT!$E$5:$E$143,'BTHCTTK (TH131) NGÀY'!A250)</f>
        <v>0</v>
      </c>
      <c r="G250" s="69">
        <f t="shared" si="15"/>
        <v>0</v>
      </c>
      <c r="H250" s="69">
        <f t="shared" si="16"/>
        <v>0</v>
      </c>
      <c r="I250" s="69">
        <f>SUMIFS(CT!$H$5:$H$143,CT!$A$5:$A$143,"&gt;="&amp;'BTHCTTK (TH131) NGÀY'!$D$3,CT!$A$5:$A$143,"&lt;="&amp;'BTHCTTK (TH131) NGÀY'!$G$3,CT!$D$5:$D$143,'BTHCTTK (TH131) NGÀY'!A250)</f>
        <v>458333</v>
      </c>
      <c r="J250" s="69">
        <f>SUMIFS(CT!$H$5:$H$143,CT!$A$5:$A$143,"&gt;="&amp;$D$3,CT!$A$5:$A$143,"&lt;="&amp;$G$3,CT!$E$5:$E$143,'BTHCTTK (TH131) NGÀY'!A250)</f>
        <v>458333</v>
      </c>
      <c r="K250" s="69">
        <f t="shared" si="17"/>
        <v>0</v>
      </c>
      <c r="L250" s="69">
        <f t="shared" si="18"/>
        <v>0</v>
      </c>
      <c r="M250" t="b">
        <f t="shared" si="19"/>
        <v>0</v>
      </c>
    </row>
    <row r="251" spans="1:13" hidden="1" x14ac:dyDescent="0.25">
      <c r="A251" s="93" t="str">
        <f>DMTK!B250</f>
        <v>6425</v>
      </c>
      <c r="B251" s="65" t="str">
        <f>VLOOKUP(A251,DMTK!$B$5:$L$263,3,0)</f>
        <v>Thuế, phí và lệ phí</v>
      </c>
      <c r="C251" s="69">
        <f>SUMIFS(DMTK!$K$5:$K$263,DMTK!$B$5:$B$263,A251&amp;"*")</f>
        <v>0</v>
      </c>
      <c r="D251" s="69">
        <f>SUMIFS(DMTK!$L$5:$L$263,DMTK!$B$5:$B$263,'BTHCTTK (TH131) NGÀY'!A251&amp;"*")</f>
        <v>0</v>
      </c>
      <c r="E251" s="69">
        <f>SUMIFS(CT!$H$5:$H$143,CT!$A$5:$A$143,"&lt;"&amp;'BTHCTTK (TH131) NGÀY'!$D$3,CT!$D$5:$D$143,'BTHCTTK (TH131) NGÀY'!A251)</f>
        <v>0</v>
      </c>
      <c r="F251" s="69">
        <f>SUMIFS(CT!$H$5:$H$143,CT!$A$5:$A$143,"&lt;"&amp;'BTHCTTK (TH131) NGÀY'!$D$3,CT!$E$5:$E$143,'BTHCTTK (TH131) NGÀY'!A251)</f>
        <v>0</v>
      </c>
      <c r="G251" s="69">
        <f t="shared" si="15"/>
        <v>0</v>
      </c>
      <c r="H251" s="69">
        <f t="shared" si="16"/>
        <v>0</v>
      </c>
      <c r="I251" s="69">
        <f>SUMIFS(CT!$H$5:$H$143,CT!$A$5:$A$143,"&gt;="&amp;'BTHCTTK (TH131) NGÀY'!$D$3,CT!$A$5:$A$143,"&lt;="&amp;'BTHCTTK (TH131) NGÀY'!$G$3,CT!$D$5:$D$143,'BTHCTTK (TH131) NGÀY'!A251)</f>
        <v>0</v>
      </c>
      <c r="J251" s="69">
        <f>SUMIFS(CT!$H$5:$H$143,CT!$A$5:$A$143,"&gt;="&amp;$D$3,CT!$A$5:$A$143,"&lt;="&amp;$G$3,CT!$E$5:$E$143,'BTHCTTK (TH131) NGÀY'!A251)</f>
        <v>0</v>
      </c>
      <c r="K251" s="69">
        <f t="shared" si="17"/>
        <v>0</v>
      </c>
      <c r="L251" s="69">
        <f t="shared" si="18"/>
        <v>0</v>
      </c>
      <c r="M251" t="b">
        <f t="shared" si="19"/>
        <v>0</v>
      </c>
    </row>
    <row r="252" spans="1:13" hidden="1" x14ac:dyDescent="0.25">
      <c r="A252" s="93" t="str">
        <f>DMTK!B251</f>
        <v>6426</v>
      </c>
      <c r="B252" s="65" t="str">
        <f>VLOOKUP(A252,DMTK!$B$5:$L$263,3,0)</f>
        <v>Chi phí dự phòng</v>
      </c>
      <c r="C252" s="69">
        <f>SUMIFS(DMTK!$K$5:$K$263,DMTK!$B$5:$B$263,A252&amp;"*")</f>
        <v>0</v>
      </c>
      <c r="D252" s="69">
        <f>SUMIFS(DMTK!$L$5:$L$263,DMTK!$B$5:$B$263,'BTHCTTK (TH131) NGÀY'!A252&amp;"*")</f>
        <v>0</v>
      </c>
      <c r="E252" s="69">
        <f>SUMIFS(CT!$H$5:$H$143,CT!$A$5:$A$143,"&lt;"&amp;'BTHCTTK (TH131) NGÀY'!$D$3,CT!$D$5:$D$143,'BTHCTTK (TH131) NGÀY'!A252)</f>
        <v>0</v>
      </c>
      <c r="F252" s="69">
        <f>SUMIFS(CT!$H$5:$H$143,CT!$A$5:$A$143,"&lt;"&amp;'BTHCTTK (TH131) NGÀY'!$D$3,CT!$E$5:$E$143,'BTHCTTK (TH131) NGÀY'!A252)</f>
        <v>0</v>
      </c>
      <c r="G252" s="69">
        <f t="shared" si="15"/>
        <v>0</v>
      </c>
      <c r="H252" s="69">
        <f t="shared" si="16"/>
        <v>0</v>
      </c>
      <c r="I252" s="69">
        <f>SUMIFS(CT!$H$5:$H$143,CT!$A$5:$A$143,"&gt;="&amp;'BTHCTTK (TH131) NGÀY'!$D$3,CT!$A$5:$A$143,"&lt;="&amp;'BTHCTTK (TH131) NGÀY'!$G$3,CT!$D$5:$D$143,'BTHCTTK (TH131) NGÀY'!A252)</f>
        <v>0</v>
      </c>
      <c r="J252" s="69">
        <f>SUMIFS(CT!$H$5:$H$143,CT!$A$5:$A$143,"&gt;="&amp;$D$3,CT!$A$5:$A$143,"&lt;="&amp;$G$3,CT!$E$5:$E$143,'BTHCTTK (TH131) NGÀY'!A252)</f>
        <v>0</v>
      </c>
      <c r="K252" s="69">
        <f t="shared" si="17"/>
        <v>0</v>
      </c>
      <c r="L252" s="69">
        <f t="shared" si="18"/>
        <v>0</v>
      </c>
      <c r="M252" t="b">
        <f t="shared" si="19"/>
        <v>0</v>
      </c>
    </row>
    <row r="253" spans="1:13" hidden="1" x14ac:dyDescent="0.25">
      <c r="A253" s="93" t="str">
        <f>DMTK!B252</f>
        <v>6427</v>
      </c>
      <c r="B253" s="65" t="str">
        <f>VLOOKUP(A253,DMTK!$B$5:$L$263,3,0)</f>
        <v>Chi phí dịch vụ mua ngoài</v>
      </c>
      <c r="C253" s="69">
        <f>SUMIFS(DMTK!$K$5:$K$263,DMTK!$B$5:$B$263,A253&amp;"*")</f>
        <v>0</v>
      </c>
      <c r="D253" s="69">
        <f>SUMIFS(DMTK!$L$5:$L$263,DMTK!$B$5:$B$263,'BTHCTTK (TH131) NGÀY'!A253&amp;"*")</f>
        <v>0</v>
      </c>
      <c r="E253" s="69">
        <f>SUMIFS(CT!$H$5:$H$143,CT!$A$5:$A$143,"&lt;"&amp;'BTHCTTK (TH131) NGÀY'!$D$3,CT!$D$5:$D$143,'BTHCTTK (TH131) NGÀY'!A253)</f>
        <v>0</v>
      </c>
      <c r="F253" s="69">
        <f>SUMIFS(CT!$H$5:$H$143,CT!$A$5:$A$143,"&lt;"&amp;'BTHCTTK (TH131) NGÀY'!$D$3,CT!$E$5:$E$143,'BTHCTTK (TH131) NGÀY'!A253)</f>
        <v>0</v>
      </c>
      <c r="G253" s="69">
        <f t="shared" si="15"/>
        <v>0</v>
      </c>
      <c r="H253" s="69">
        <f t="shared" si="16"/>
        <v>0</v>
      </c>
      <c r="I253" s="69">
        <f>SUMIFS(CT!$H$5:$H$143,CT!$A$5:$A$143,"&gt;="&amp;'BTHCTTK (TH131) NGÀY'!$D$3,CT!$A$5:$A$143,"&lt;="&amp;'BTHCTTK (TH131) NGÀY'!$G$3,CT!$D$5:$D$143,'BTHCTTK (TH131) NGÀY'!A253)</f>
        <v>0</v>
      </c>
      <c r="J253" s="69">
        <f>SUMIFS(CT!$H$5:$H$143,CT!$A$5:$A$143,"&gt;="&amp;$D$3,CT!$A$5:$A$143,"&lt;="&amp;$G$3,CT!$E$5:$E$143,'BTHCTTK (TH131) NGÀY'!A253)</f>
        <v>0</v>
      </c>
      <c r="K253" s="69">
        <f t="shared" si="17"/>
        <v>0</v>
      </c>
      <c r="L253" s="69">
        <f t="shared" si="18"/>
        <v>0</v>
      </c>
      <c r="M253" t="b">
        <f t="shared" si="19"/>
        <v>0</v>
      </c>
    </row>
    <row r="254" spans="1:13" hidden="1" x14ac:dyDescent="0.25">
      <c r="A254" s="93" t="str">
        <f>DMTK!B253</f>
        <v>6428</v>
      </c>
      <c r="B254" s="65" t="str">
        <f>VLOOKUP(A254,DMTK!$B$5:$L$263,3,0)</f>
        <v>Chi phí bằng tiền khác</v>
      </c>
      <c r="C254" s="69">
        <f>SUMIFS(DMTK!$K$5:$K$263,DMTK!$B$5:$B$263,A254&amp;"*")</f>
        <v>0</v>
      </c>
      <c r="D254" s="69">
        <f>SUMIFS(DMTK!$L$5:$L$263,DMTK!$B$5:$B$263,'BTHCTTK (TH131) NGÀY'!A254&amp;"*")</f>
        <v>0</v>
      </c>
      <c r="E254" s="69">
        <f>SUMIFS(CT!$H$5:$H$143,CT!$A$5:$A$143,"&lt;"&amp;'BTHCTTK (TH131) NGÀY'!$D$3,CT!$D$5:$D$143,'BTHCTTK (TH131) NGÀY'!A254)</f>
        <v>1000000</v>
      </c>
      <c r="F254" s="69">
        <f>SUMIFS(CT!$H$5:$H$143,CT!$A$5:$A$143,"&lt;"&amp;'BTHCTTK (TH131) NGÀY'!$D$3,CT!$E$5:$E$143,'BTHCTTK (TH131) NGÀY'!A254)</f>
        <v>0</v>
      </c>
      <c r="G254" s="69">
        <f t="shared" si="15"/>
        <v>1000000</v>
      </c>
      <c r="H254" s="69">
        <f t="shared" si="16"/>
        <v>0</v>
      </c>
      <c r="I254" s="69">
        <f>SUMIFS(CT!$H$5:$H$143,CT!$A$5:$A$143,"&gt;="&amp;'BTHCTTK (TH131) NGÀY'!$D$3,CT!$A$5:$A$143,"&lt;="&amp;'BTHCTTK (TH131) NGÀY'!$G$3,CT!$D$5:$D$143,'BTHCTTK (TH131) NGÀY'!A254)</f>
        <v>1800000</v>
      </c>
      <c r="J254" s="69">
        <f>SUMIFS(CT!$H$5:$H$143,CT!$A$5:$A$143,"&gt;="&amp;$D$3,CT!$A$5:$A$143,"&lt;="&amp;$G$3,CT!$E$5:$E$143,'BTHCTTK (TH131) NGÀY'!A254)</f>
        <v>2800000</v>
      </c>
      <c r="K254" s="69">
        <f t="shared" si="17"/>
        <v>0</v>
      </c>
      <c r="L254" s="69">
        <f t="shared" si="18"/>
        <v>0</v>
      </c>
      <c r="M254" t="b">
        <f t="shared" si="19"/>
        <v>0</v>
      </c>
    </row>
    <row r="255" spans="1:13" hidden="1" x14ac:dyDescent="0.25">
      <c r="A255" s="93" t="str">
        <f>DMTK!B254</f>
        <v>711</v>
      </c>
      <c r="B255" s="65" t="str">
        <f>VLOOKUP(A255,DMTK!$B$5:$L$263,3,0)</f>
        <v>Thu nhập khác</v>
      </c>
      <c r="C255" s="69">
        <f>SUMIFS(DMTK!$K$5:$K$263,DMTK!$B$5:$B$263,A255&amp;"*")</f>
        <v>0</v>
      </c>
      <c r="D255" s="69">
        <f>SUMIFS(DMTK!$L$5:$L$263,DMTK!$B$5:$B$263,'BTHCTTK (TH131) NGÀY'!A255&amp;"*")</f>
        <v>0</v>
      </c>
      <c r="E255" s="69">
        <f>SUMIFS(CT!$H$5:$H$143,CT!$A$5:$A$143,"&lt;"&amp;'BTHCTTK (TH131) NGÀY'!$D$3,CT!$D$5:$D$143,'BTHCTTK (TH131) NGÀY'!A255)</f>
        <v>0</v>
      </c>
      <c r="F255" s="69">
        <f>SUMIFS(CT!$H$5:$H$143,CT!$A$5:$A$143,"&lt;"&amp;'BTHCTTK (TH131) NGÀY'!$D$3,CT!$E$5:$E$143,'BTHCTTK (TH131) NGÀY'!A255)</f>
        <v>0</v>
      </c>
      <c r="G255" s="69">
        <f t="shared" si="15"/>
        <v>0</v>
      </c>
      <c r="H255" s="69">
        <f t="shared" si="16"/>
        <v>0</v>
      </c>
      <c r="I255" s="69">
        <f>SUMIFS(CT!$H$5:$H$143,CT!$A$5:$A$143,"&gt;="&amp;'BTHCTTK (TH131) NGÀY'!$D$3,CT!$A$5:$A$143,"&lt;="&amp;'BTHCTTK (TH131) NGÀY'!$G$3,CT!$D$5:$D$143,'BTHCTTK (TH131) NGÀY'!A255)</f>
        <v>0</v>
      </c>
      <c r="J255" s="69">
        <f>SUMIFS(CT!$H$5:$H$143,CT!$A$5:$A$143,"&gt;="&amp;$D$3,CT!$A$5:$A$143,"&lt;="&amp;$G$3,CT!$E$5:$E$143,'BTHCTTK (TH131) NGÀY'!A255)</f>
        <v>0</v>
      </c>
      <c r="K255" s="69">
        <f t="shared" si="17"/>
        <v>0</v>
      </c>
      <c r="L255" s="69">
        <f t="shared" si="18"/>
        <v>0</v>
      </c>
      <c r="M255" t="b">
        <f t="shared" si="19"/>
        <v>0</v>
      </c>
    </row>
    <row r="256" spans="1:13" hidden="1" x14ac:dyDescent="0.25">
      <c r="A256" s="93" t="str">
        <f>DMTK!B255</f>
        <v>811</v>
      </c>
      <c r="B256" s="65" t="str">
        <f>VLOOKUP(A256,DMTK!$B$5:$L$263,3,0)</f>
        <v>Chi phí khác</v>
      </c>
      <c r="C256" s="69">
        <f>SUMIFS(DMTK!$K$5:$K$263,DMTK!$B$5:$B$263,A256&amp;"*")</f>
        <v>0</v>
      </c>
      <c r="D256" s="69">
        <f>SUMIFS(DMTK!$L$5:$L$263,DMTK!$B$5:$B$263,'BTHCTTK (TH131) NGÀY'!A256&amp;"*")</f>
        <v>0</v>
      </c>
      <c r="E256" s="69">
        <f>SUMIFS(CT!$H$5:$H$143,CT!$A$5:$A$143,"&lt;"&amp;'BTHCTTK (TH131) NGÀY'!$D$3,CT!$D$5:$D$143,'BTHCTTK (TH131) NGÀY'!A256)</f>
        <v>0</v>
      </c>
      <c r="F256" s="69">
        <f>SUMIFS(CT!$H$5:$H$143,CT!$A$5:$A$143,"&lt;"&amp;'BTHCTTK (TH131) NGÀY'!$D$3,CT!$E$5:$E$143,'BTHCTTK (TH131) NGÀY'!A256)</f>
        <v>0</v>
      </c>
      <c r="G256" s="69">
        <f t="shared" si="15"/>
        <v>0</v>
      </c>
      <c r="H256" s="69">
        <f t="shared" si="16"/>
        <v>0</v>
      </c>
      <c r="I256" s="69">
        <f>SUMIFS(CT!$H$5:$H$143,CT!$A$5:$A$143,"&gt;="&amp;'BTHCTTK (TH131) NGÀY'!$D$3,CT!$A$5:$A$143,"&lt;="&amp;'BTHCTTK (TH131) NGÀY'!$G$3,CT!$D$5:$D$143,'BTHCTTK (TH131) NGÀY'!A256)</f>
        <v>0</v>
      </c>
      <c r="J256" s="69">
        <f>SUMIFS(CT!$H$5:$H$143,CT!$A$5:$A$143,"&gt;="&amp;$D$3,CT!$A$5:$A$143,"&lt;="&amp;$G$3,CT!$E$5:$E$143,'BTHCTTK (TH131) NGÀY'!A256)</f>
        <v>0</v>
      </c>
      <c r="K256" s="69">
        <f t="shared" si="17"/>
        <v>0</v>
      </c>
      <c r="L256" s="69">
        <f t="shared" si="18"/>
        <v>0</v>
      </c>
      <c r="M256" t="b">
        <f t="shared" si="19"/>
        <v>0</v>
      </c>
    </row>
    <row r="257" spans="1:13" hidden="1" x14ac:dyDescent="0.25">
      <c r="A257" s="93" t="str">
        <f>DMTK!B256</f>
        <v>8211</v>
      </c>
      <c r="B257" s="65" t="str">
        <f>VLOOKUP(A257,DMTK!$B$5:$L$263,3,0)</f>
        <v>Chi phí thuế TNDN hiện hành</v>
      </c>
      <c r="C257" s="69">
        <f>SUMIFS(DMTK!$K$5:$K$263,DMTK!$B$5:$B$263,A257&amp;"*")</f>
        <v>0</v>
      </c>
      <c r="D257" s="69">
        <f>SUMIFS(DMTK!$L$5:$L$263,DMTK!$B$5:$B$263,'BTHCTTK (TH131) NGÀY'!A257&amp;"*")</f>
        <v>0</v>
      </c>
      <c r="E257" s="69">
        <f>SUMIFS(CT!$H$5:$H$143,CT!$A$5:$A$143,"&lt;"&amp;'BTHCTTK (TH131) NGÀY'!$D$3,CT!$D$5:$D$143,'BTHCTTK (TH131) NGÀY'!A257)</f>
        <v>0</v>
      </c>
      <c r="F257" s="69">
        <f>SUMIFS(CT!$H$5:$H$143,CT!$A$5:$A$143,"&lt;"&amp;'BTHCTTK (TH131) NGÀY'!$D$3,CT!$E$5:$E$143,'BTHCTTK (TH131) NGÀY'!A257)</f>
        <v>0</v>
      </c>
      <c r="G257" s="69">
        <f t="shared" si="15"/>
        <v>0</v>
      </c>
      <c r="H257" s="69">
        <f t="shared" si="16"/>
        <v>0</v>
      </c>
      <c r="I257" s="69">
        <f>SUMIFS(CT!$H$5:$H$143,CT!$A$5:$A$143,"&gt;="&amp;'BTHCTTK (TH131) NGÀY'!$D$3,CT!$A$5:$A$143,"&lt;="&amp;'BTHCTTK (TH131) NGÀY'!$G$3,CT!$D$5:$D$143,'BTHCTTK (TH131) NGÀY'!A257)</f>
        <v>0</v>
      </c>
      <c r="J257" s="69">
        <f>SUMIFS(CT!$H$5:$H$143,CT!$A$5:$A$143,"&gt;="&amp;$D$3,CT!$A$5:$A$143,"&lt;="&amp;$G$3,CT!$E$5:$E$143,'BTHCTTK (TH131) NGÀY'!A257)</f>
        <v>0</v>
      </c>
      <c r="K257" s="69">
        <f t="shared" si="17"/>
        <v>0</v>
      </c>
      <c r="L257" s="69">
        <f t="shared" si="18"/>
        <v>0</v>
      </c>
      <c r="M257" t="b">
        <f t="shared" si="19"/>
        <v>0</v>
      </c>
    </row>
    <row r="258" spans="1:13" hidden="1" x14ac:dyDescent="0.25">
      <c r="A258" s="93" t="str">
        <f>DMTK!B257</f>
        <v>8212</v>
      </c>
      <c r="B258" s="65" t="str">
        <f>VLOOKUP(A258,DMTK!$B$5:$L$263,3,0)</f>
        <v>Chi phí thuế TNDN hoãn lại</v>
      </c>
      <c r="C258" s="69">
        <f>SUMIFS(DMTK!$K$5:$K$263,DMTK!$B$5:$B$263,A258&amp;"*")</f>
        <v>0</v>
      </c>
      <c r="D258" s="69">
        <f>SUMIFS(DMTK!$L$5:$L$263,DMTK!$B$5:$B$263,'BTHCTTK (TH131) NGÀY'!A258&amp;"*")</f>
        <v>0</v>
      </c>
      <c r="E258" s="69">
        <f>SUMIFS(CT!$H$5:$H$143,CT!$A$5:$A$143,"&lt;"&amp;'BTHCTTK (TH131) NGÀY'!$D$3,CT!$D$5:$D$143,'BTHCTTK (TH131) NGÀY'!A258)</f>
        <v>0</v>
      </c>
      <c r="F258" s="69">
        <f>SUMIFS(CT!$H$5:$H$143,CT!$A$5:$A$143,"&lt;"&amp;'BTHCTTK (TH131) NGÀY'!$D$3,CT!$E$5:$E$143,'BTHCTTK (TH131) NGÀY'!A258)</f>
        <v>0</v>
      </c>
      <c r="G258" s="69">
        <f t="shared" si="15"/>
        <v>0</v>
      </c>
      <c r="H258" s="69">
        <f t="shared" si="16"/>
        <v>0</v>
      </c>
      <c r="I258" s="69">
        <f>SUMIFS(CT!$H$5:$H$143,CT!$A$5:$A$143,"&gt;="&amp;'BTHCTTK (TH131) NGÀY'!$D$3,CT!$A$5:$A$143,"&lt;="&amp;'BTHCTTK (TH131) NGÀY'!$G$3,CT!$D$5:$D$143,'BTHCTTK (TH131) NGÀY'!A258)</f>
        <v>0</v>
      </c>
      <c r="J258" s="69">
        <f>SUMIFS(CT!$H$5:$H$143,CT!$A$5:$A$143,"&gt;="&amp;$D$3,CT!$A$5:$A$143,"&lt;="&amp;$G$3,CT!$E$5:$E$143,'BTHCTTK (TH131) NGÀY'!A258)</f>
        <v>0</v>
      </c>
      <c r="K258" s="69">
        <f t="shared" si="17"/>
        <v>0</v>
      </c>
      <c r="L258" s="69">
        <f t="shared" si="18"/>
        <v>0</v>
      </c>
      <c r="M258" t="b">
        <f t="shared" si="19"/>
        <v>0</v>
      </c>
    </row>
    <row r="259" spans="1:13" hidden="1" x14ac:dyDescent="0.25">
      <c r="A259" s="93" t="str">
        <f>DMTK!B258</f>
        <v>9111.0101</v>
      </c>
      <c r="B259" s="65" t="str">
        <f>VLOOKUP(A259,DMTK!$B$5:$L$263,3,0)</f>
        <v>Xác định kết quả kinh doanh (GTV)</v>
      </c>
      <c r="C259" s="69">
        <f>SUMIFS(DMTK!$K$5:$K$263,DMTK!$B$5:$B$263,A259&amp;"*")</f>
        <v>0</v>
      </c>
      <c r="D259" s="69">
        <f>SUMIFS(DMTK!$L$5:$L$263,DMTK!$B$5:$B$263,'BTHCTTK (TH131) NGÀY'!A259&amp;"*")</f>
        <v>0</v>
      </c>
      <c r="E259" s="69">
        <f>SUMIFS(CT!$H$5:$H$143,CT!$A$5:$A$143,"&lt;"&amp;'BTHCTTK (TH131) NGÀY'!$D$3,CT!$D$5:$D$143,'BTHCTTK (TH131) NGÀY'!A259)</f>
        <v>0</v>
      </c>
      <c r="F259" s="69">
        <f>SUMIFS(CT!$H$5:$H$143,CT!$A$5:$A$143,"&lt;"&amp;'BTHCTTK (TH131) NGÀY'!$D$3,CT!$E$5:$E$143,'BTHCTTK (TH131) NGÀY'!A259)</f>
        <v>0</v>
      </c>
      <c r="G259" s="69">
        <f t="shared" si="15"/>
        <v>0</v>
      </c>
      <c r="H259" s="69">
        <f t="shared" si="16"/>
        <v>0</v>
      </c>
      <c r="I259" s="69">
        <f>SUMIFS(CT!$H$5:$H$143,CT!$A$5:$A$143,"&gt;="&amp;'BTHCTTK (TH131) NGÀY'!$D$3,CT!$A$5:$A$143,"&lt;="&amp;'BTHCTTK (TH131) NGÀY'!$G$3,CT!$D$5:$D$143,'BTHCTTK (TH131) NGÀY'!A259)</f>
        <v>31772143</v>
      </c>
      <c r="J259" s="69">
        <f>SUMIFS(CT!$H$5:$H$143,CT!$A$5:$A$143,"&gt;="&amp;$D$3,CT!$A$5:$A$143,"&lt;="&amp;$G$3,CT!$E$5:$E$143,'BTHCTTK (TH131) NGÀY'!A259)</f>
        <v>31772143</v>
      </c>
      <c r="K259" s="69">
        <f t="shared" si="17"/>
        <v>0</v>
      </c>
      <c r="L259" s="69">
        <f t="shared" si="18"/>
        <v>0</v>
      </c>
      <c r="M259" t="b">
        <f t="shared" si="19"/>
        <v>0</v>
      </c>
    </row>
    <row r="260" spans="1:13" hidden="1" x14ac:dyDescent="0.25">
      <c r="A260" s="93" t="str">
        <f>DMTK!B259</f>
        <v>9111.0102</v>
      </c>
      <c r="B260" s="65" t="str">
        <f>VLOOKUP(A260,DMTK!$B$5:$L$263,3,0)</f>
        <v>Xác định kết quả kinh doanh (GKT)</v>
      </c>
      <c r="C260" s="69">
        <f>SUMIFS(DMTK!$K$5:$K$263,DMTK!$B$5:$B$263,A260&amp;"*")</f>
        <v>0</v>
      </c>
      <c r="D260" s="69">
        <f>SUMIFS(DMTK!$L$5:$L$263,DMTK!$B$5:$B$263,'BTHCTTK (TH131) NGÀY'!A260&amp;"*")</f>
        <v>0</v>
      </c>
      <c r="E260" s="69">
        <f>SUMIFS(CT!$H$5:$H$143,CT!$A$5:$A$143,"&lt;"&amp;'BTHCTTK (TH131) NGÀY'!$D$3,CT!$D$5:$D$143,'BTHCTTK (TH131) NGÀY'!A260)</f>
        <v>0</v>
      </c>
      <c r="F260" s="69">
        <f>SUMIFS(CT!$H$5:$H$143,CT!$A$5:$A$143,"&lt;"&amp;'BTHCTTK (TH131) NGÀY'!$D$3,CT!$E$5:$E$143,'BTHCTTK (TH131) NGÀY'!A260)</f>
        <v>0</v>
      </c>
      <c r="G260" s="69">
        <f t="shared" si="15"/>
        <v>0</v>
      </c>
      <c r="H260" s="69">
        <f t="shared" si="16"/>
        <v>0</v>
      </c>
      <c r="I260" s="69">
        <f>SUMIFS(CT!$H$5:$H$143,CT!$A$5:$A$143,"&gt;="&amp;'BTHCTTK (TH131) NGÀY'!$D$3,CT!$A$5:$A$143,"&lt;="&amp;'BTHCTTK (TH131) NGÀY'!$G$3,CT!$D$5:$D$143,'BTHCTTK (TH131) NGÀY'!A260)</f>
        <v>28000000</v>
      </c>
      <c r="J260" s="69">
        <f>SUMIFS(CT!$H$5:$H$143,CT!$A$5:$A$143,"&gt;="&amp;$D$3,CT!$A$5:$A$143,"&lt;="&amp;$G$3,CT!$E$5:$E$143,'BTHCTTK (TH131) NGÀY'!A260)</f>
        <v>28000000</v>
      </c>
      <c r="K260" s="69">
        <f t="shared" si="17"/>
        <v>0</v>
      </c>
      <c r="L260" s="69">
        <f t="shared" si="18"/>
        <v>0</v>
      </c>
      <c r="M260" t="b">
        <f t="shared" si="19"/>
        <v>0</v>
      </c>
    </row>
    <row r="261" spans="1:13" hidden="1" x14ac:dyDescent="0.25">
      <c r="A261" s="93" t="str">
        <f>DMTK!B260</f>
        <v>9111.0201</v>
      </c>
      <c r="B261" s="65" t="str">
        <f>VLOOKUP(A261,DMTK!$B$5:$L$263,3,0)</f>
        <v>Xác định kết quả kinh doanh (BT)</v>
      </c>
      <c r="C261" s="69">
        <f>SUMIFS(DMTK!$K$5:$K$263,DMTK!$B$5:$B$263,A261&amp;"*")</f>
        <v>0</v>
      </c>
      <c r="D261" s="69">
        <f>SUMIFS(DMTK!$L$5:$L$263,DMTK!$B$5:$B$263,'BTHCTTK (TH131) NGÀY'!A261&amp;"*")</f>
        <v>0</v>
      </c>
      <c r="E261" s="69">
        <f>SUMIFS(CT!$H$5:$H$143,CT!$A$5:$A$143,"&lt;"&amp;'BTHCTTK (TH131) NGÀY'!$D$3,CT!$D$5:$D$143,'BTHCTTK (TH131) NGÀY'!A261)</f>
        <v>0</v>
      </c>
      <c r="F261" s="69">
        <f>SUMIFS(CT!$H$5:$H$143,CT!$A$5:$A$143,"&lt;"&amp;'BTHCTTK (TH131) NGÀY'!$D$3,CT!$E$5:$E$143,'BTHCTTK (TH131) NGÀY'!A261)</f>
        <v>0</v>
      </c>
      <c r="G261" s="69">
        <f t="shared" si="15"/>
        <v>0</v>
      </c>
      <c r="H261" s="69">
        <f t="shared" si="16"/>
        <v>0</v>
      </c>
      <c r="I261" s="69">
        <f>SUMIFS(CT!$H$5:$H$143,CT!$A$5:$A$143,"&gt;="&amp;'BTHCTTK (TH131) NGÀY'!$D$3,CT!$A$5:$A$143,"&lt;="&amp;'BTHCTTK (TH131) NGÀY'!$G$3,CT!$D$5:$D$143,'BTHCTTK (TH131) NGÀY'!A261)</f>
        <v>0</v>
      </c>
      <c r="J261" s="69">
        <f>SUMIFS(CT!$H$5:$H$143,CT!$A$5:$A$143,"&gt;="&amp;$D$3,CT!$A$5:$A$143,"&lt;="&amp;$G$3,CT!$E$5:$E$143,'BTHCTTK (TH131) NGÀY'!A261)</f>
        <v>0</v>
      </c>
      <c r="K261" s="69">
        <f t="shared" si="17"/>
        <v>0</v>
      </c>
      <c r="L261" s="69">
        <f t="shared" si="18"/>
        <v>0</v>
      </c>
      <c r="M261" t="b">
        <f t="shared" si="19"/>
        <v>0</v>
      </c>
    </row>
    <row r="262" spans="1:13" hidden="1" x14ac:dyDescent="0.25">
      <c r="A262" s="93" t="str">
        <f>DMTK!B261</f>
        <v>9111.0202</v>
      </c>
      <c r="B262" s="65" t="str">
        <f>VLOOKUP(A262,DMTK!$B$5:$L$263,3,0)</f>
        <v>Xác định kết quả kinh doanh (BO)</v>
      </c>
      <c r="C262" s="69">
        <f>SUMIFS(DMTK!$K$5:$K$263,DMTK!$B$5:$B$263,A262&amp;"*")</f>
        <v>0</v>
      </c>
      <c r="D262" s="69">
        <f>SUMIFS(DMTK!$L$5:$L$263,DMTK!$B$5:$B$263,'BTHCTTK (TH131) NGÀY'!A262&amp;"*")</f>
        <v>0</v>
      </c>
      <c r="E262" s="69">
        <f>SUMIFS(CT!$H$5:$H$143,CT!$A$5:$A$143,"&lt;"&amp;'BTHCTTK (TH131) NGÀY'!$D$3,CT!$D$5:$D$143,'BTHCTTK (TH131) NGÀY'!A262)</f>
        <v>0</v>
      </c>
      <c r="F262" s="69">
        <f>SUMIFS(CT!$H$5:$H$143,CT!$A$5:$A$143,"&lt;"&amp;'BTHCTTK (TH131) NGÀY'!$D$3,CT!$E$5:$E$143,'BTHCTTK (TH131) NGÀY'!A262)</f>
        <v>0</v>
      </c>
      <c r="G262" s="69">
        <f t="shared" si="15"/>
        <v>0</v>
      </c>
      <c r="H262" s="69">
        <f t="shared" si="16"/>
        <v>0</v>
      </c>
      <c r="I262" s="69">
        <f>SUMIFS(CT!$H$5:$H$143,CT!$A$5:$A$143,"&gt;="&amp;'BTHCTTK (TH131) NGÀY'!$D$3,CT!$A$5:$A$143,"&lt;="&amp;'BTHCTTK (TH131) NGÀY'!$G$3,CT!$D$5:$D$143,'BTHCTTK (TH131) NGÀY'!A262)</f>
        <v>31615709</v>
      </c>
      <c r="J262" s="69">
        <f>SUMIFS(CT!$H$5:$H$143,CT!$A$5:$A$143,"&gt;="&amp;$D$3,CT!$A$5:$A$143,"&lt;="&amp;$G$3,CT!$E$5:$E$143,'BTHCTTK (TH131) NGÀY'!A262)</f>
        <v>31615709</v>
      </c>
      <c r="K262" s="69">
        <f t="shared" si="17"/>
        <v>0</v>
      </c>
      <c r="L262" s="69">
        <f t="shared" si="18"/>
        <v>0</v>
      </c>
      <c r="M262" t="b">
        <f t="shared" si="19"/>
        <v>0</v>
      </c>
    </row>
    <row r="263" spans="1:13" hidden="1" x14ac:dyDescent="0.25">
      <c r="A263" s="93" t="str">
        <f>DMTK!B262</f>
        <v>9111.0203</v>
      </c>
      <c r="B263" s="65" t="str">
        <f>VLOOKUP(A263,DMTK!$B$5:$L$263,3,0)</f>
        <v>Xác định kết quả kinh doanh (BCN)</v>
      </c>
      <c r="C263" s="69">
        <f>SUMIFS(DMTK!$K$5:$K$263,DMTK!$B$5:$B$263,A263&amp;"*")</f>
        <v>0</v>
      </c>
      <c r="D263" s="69">
        <f>SUMIFS(DMTK!$L$5:$L$263,DMTK!$B$5:$B$263,'BTHCTTK (TH131) NGÀY'!A263&amp;"*")</f>
        <v>0</v>
      </c>
      <c r="E263" s="69">
        <f>SUMIFS(CT!$H$5:$H$143,CT!$A$5:$A$143,"&lt;"&amp;'BTHCTTK (TH131) NGÀY'!$D$3,CT!$D$5:$D$143,'BTHCTTK (TH131) NGÀY'!A263)</f>
        <v>0</v>
      </c>
      <c r="F263" s="69">
        <f>SUMIFS(CT!$H$5:$H$143,CT!$A$5:$A$143,"&lt;"&amp;'BTHCTTK (TH131) NGÀY'!$D$3,CT!$E$5:$E$143,'BTHCTTK (TH131) NGÀY'!A263)</f>
        <v>0</v>
      </c>
      <c r="G263" s="69">
        <f t="shared" ref="G263:G264" si="20">MAX(C263+E263-D263-F263,0)</f>
        <v>0</v>
      </c>
      <c r="H263" s="69">
        <f t="shared" ref="H263:H264" si="21">MAX(D263+F263-C263-E263,0)</f>
        <v>0</v>
      </c>
      <c r="I263" s="69">
        <f>SUMIFS(CT!$H$5:$H$143,CT!$A$5:$A$143,"&gt;="&amp;'BTHCTTK (TH131) NGÀY'!$D$3,CT!$A$5:$A$143,"&lt;="&amp;'BTHCTTK (TH131) NGÀY'!$G$3,CT!$D$5:$D$143,'BTHCTTK (TH131) NGÀY'!A263)</f>
        <v>0</v>
      </c>
      <c r="J263" s="69">
        <f>SUMIFS(CT!$H$5:$H$143,CT!$A$5:$A$143,"&gt;="&amp;$D$3,CT!$A$5:$A$143,"&lt;="&amp;$G$3,CT!$E$5:$E$143,'BTHCTTK (TH131) NGÀY'!A263)</f>
        <v>0</v>
      </c>
      <c r="K263" s="69">
        <f t="shared" ref="K263:K264" si="22">MAX(G263+I263-H263-J263,0)</f>
        <v>0</v>
      </c>
      <c r="L263" s="69">
        <f t="shared" ref="L263:L264" si="23">MAX(H263+J263-G263-I263,0)</f>
        <v>0</v>
      </c>
      <c r="M263" t="b">
        <f t="shared" ref="M263:M264" si="24">LEFT(A263,3)=$D$2</f>
        <v>0</v>
      </c>
    </row>
    <row r="264" spans="1:13" hidden="1" x14ac:dyDescent="0.25">
      <c r="A264" s="93" t="str">
        <f>DMTK!B263</f>
        <v>9111.0303</v>
      </c>
      <c r="B264" s="65" t="str">
        <f>VLOOKUP(A264,DMTK!$B$5:$L$263,3,0)</f>
        <v>Xác định kết quả kinh doanh</v>
      </c>
      <c r="C264" s="69">
        <f>SUMIFS(DMTK!$K$5:$K$263,DMTK!$B$5:$B$263,A264&amp;"*")</f>
        <v>0</v>
      </c>
      <c r="D264" s="69">
        <f>SUMIFS(DMTK!$L$5:$L$263,DMTK!$B$5:$B$263,'BTHCTTK (TH131) NGÀY'!A264&amp;"*")</f>
        <v>0</v>
      </c>
      <c r="E264" s="69">
        <f>SUMIFS(CT!$H$5:$H$143,CT!$A$5:$A$143,"&lt;"&amp;'BTHCTTK (TH131) NGÀY'!$D$3,CT!$D$5:$D$143,'BTHCTTK (TH131) NGÀY'!A264)</f>
        <v>0</v>
      </c>
      <c r="F264" s="69">
        <f>SUMIFS(CT!$H$5:$H$143,CT!$A$5:$A$143,"&lt;"&amp;'BTHCTTK (TH131) NGÀY'!$D$3,CT!$E$5:$E$143,'BTHCTTK (TH131) NGÀY'!A264)</f>
        <v>0</v>
      </c>
      <c r="G264" s="69">
        <f t="shared" si="20"/>
        <v>0</v>
      </c>
      <c r="H264" s="69">
        <f t="shared" si="21"/>
        <v>0</v>
      </c>
      <c r="I264" s="69">
        <f>SUMIFS(CT!$H$5:$H$143,CT!$A$5:$A$143,"&gt;="&amp;'BTHCTTK (TH131) NGÀY'!$D$3,CT!$A$5:$A$143,"&lt;="&amp;'BTHCTTK (TH131) NGÀY'!$G$3,CT!$D$5:$D$143,'BTHCTTK (TH131) NGÀY'!A264)</f>
        <v>0</v>
      </c>
      <c r="J264" s="69">
        <f>SUMIFS(CT!$H$5:$H$143,CT!$A$5:$A$143,"&gt;="&amp;$D$3,CT!$A$5:$A$143,"&lt;="&amp;$G$3,CT!$E$5:$E$143,'BTHCTTK (TH131) NGÀY'!A264)</f>
        <v>0</v>
      </c>
      <c r="K264" s="69">
        <f t="shared" si="22"/>
        <v>0</v>
      </c>
      <c r="L264" s="69">
        <f t="shared" si="23"/>
        <v>0</v>
      </c>
      <c r="M264" t="b">
        <f t="shared" si="24"/>
        <v>0</v>
      </c>
    </row>
    <row r="265" spans="1:13" x14ac:dyDescent="0.25">
      <c r="B265" s="72" t="s">
        <v>904</v>
      </c>
      <c r="C265" s="81">
        <f>SUBTOTAL(9,C6:C264)</f>
        <v>227000000</v>
      </c>
      <c r="D265" s="81">
        <f t="shared" ref="D265:L265" si="25">SUBTOTAL(9,D6:D264)</f>
        <v>52000000</v>
      </c>
      <c r="E265" s="81">
        <f t="shared" si="25"/>
        <v>0</v>
      </c>
      <c r="F265" s="81">
        <f t="shared" si="25"/>
        <v>25000000</v>
      </c>
      <c r="G265" s="81">
        <f t="shared" si="25"/>
        <v>202000000</v>
      </c>
      <c r="H265" s="81">
        <f t="shared" si="25"/>
        <v>52000000</v>
      </c>
      <c r="I265" s="81">
        <f t="shared" si="25"/>
        <v>91157500</v>
      </c>
      <c r="J265" s="81">
        <f t="shared" si="25"/>
        <v>30000000</v>
      </c>
      <c r="K265" s="81">
        <f t="shared" si="25"/>
        <v>263157500</v>
      </c>
      <c r="L265" s="81">
        <f t="shared" si="25"/>
        <v>52000000</v>
      </c>
      <c r="M265" s="72" t="b">
        <v>1</v>
      </c>
    </row>
    <row r="266" spans="1:13" x14ac:dyDescent="0.25">
      <c r="B266" s="72" t="s">
        <v>905</v>
      </c>
      <c r="C266" s="81">
        <f>MAX(C265-D265,0)</f>
        <v>175000000</v>
      </c>
      <c r="D266" s="81">
        <f>MAX(D265-C265)</f>
        <v>-175000000</v>
      </c>
      <c r="E266" s="72"/>
      <c r="F266" s="72"/>
      <c r="G266" s="72"/>
      <c r="H266" s="72"/>
      <c r="I266" s="72"/>
      <c r="J266" s="72"/>
      <c r="K266" s="81">
        <f>MAX(K265-L265,0)</f>
        <v>211157500</v>
      </c>
      <c r="L266" s="81">
        <f>MAX(L265-K265,0)</f>
        <v>0</v>
      </c>
      <c r="M266" s="72"/>
    </row>
  </sheetData>
  <autoFilter ref="M4:M266" xr:uid="{C82E6FEB-C1F8-4594-B793-9A8938769721}">
    <filterColumn colId="0">
      <filters blank="1">
        <filter val="TRUE"/>
      </filters>
    </filterColumn>
  </autoFilter>
  <mergeCells count="9">
    <mergeCell ref="M4:M5"/>
    <mergeCell ref="A1:L1"/>
    <mergeCell ref="A4:A5"/>
    <mergeCell ref="G4:H4"/>
    <mergeCell ref="I4:J4"/>
    <mergeCell ref="K4:L4"/>
    <mergeCell ref="B4:B5"/>
    <mergeCell ref="E4:F4"/>
    <mergeCell ref="C4:D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62C0D9-E8EF-4645-94E2-1C72FAF97562}">
          <x14:formula1>
            <xm:f>HTTK1!$A$5:$A$80</xm:f>
          </x14:formula1>
          <xm:sqref>D2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9E00-3B9D-4941-9104-FD6071BB7473}">
  <sheetPr filterMode="1">
    <tabColor theme="4" tint="0.39997558519241921"/>
  </sheetPr>
  <dimension ref="A1:M266"/>
  <sheetViews>
    <sheetView workbookViewId="0">
      <selection activeCell="F2" sqref="F2"/>
    </sheetView>
  </sheetViews>
  <sheetFormatPr defaultRowHeight="13.2" x14ac:dyDescent="0.25"/>
  <cols>
    <col min="1" max="1" width="13.44140625" customWidth="1"/>
    <col min="2" max="2" width="73.44140625" customWidth="1"/>
    <col min="3" max="3" width="9.77734375" customWidth="1"/>
    <col min="4" max="4" width="15.33203125" customWidth="1"/>
    <col min="5" max="5" width="16.44140625" customWidth="1"/>
    <col min="6" max="6" width="16.77734375" customWidth="1"/>
    <col min="7" max="7" width="15.44140625" customWidth="1"/>
    <col min="8" max="8" width="20" customWidth="1"/>
    <col min="9" max="9" width="26.44140625" customWidth="1"/>
    <col min="10" max="10" width="14.33203125" customWidth="1"/>
    <col min="11" max="11" width="16.6640625" customWidth="1"/>
    <col min="12" max="12" width="12.6640625" customWidth="1"/>
    <col min="13" max="13" width="18.77734375" customWidth="1"/>
  </cols>
  <sheetData>
    <row r="1" spans="1:13" ht="16.8" x14ac:dyDescent="0.3">
      <c r="A1" s="176" t="s">
        <v>906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</row>
    <row r="2" spans="1:13" ht="16.8" x14ac:dyDescent="0.3">
      <c r="A2" s="87"/>
      <c r="B2" s="87"/>
      <c r="C2" s="87"/>
      <c r="D2" s="87"/>
      <c r="E2" s="87"/>
      <c r="F2" s="87" t="s">
        <v>834</v>
      </c>
      <c r="G2" s="101" t="s">
        <v>744</v>
      </c>
      <c r="H2" s="87" t="s">
        <v>872</v>
      </c>
      <c r="I2" s="87" t="str">
        <f>VLOOKUP(G2,HTTK1!$A$5:$F$80,3,0)</f>
        <v>Nguyên liệu, vật liệu</v>
      </c>
      <c r="J2" s="87"/>
      <c r="K2" s="87"/>
      <c r="L2" s="87"/>
      <c r="M2" s="87"/>
    </row>
    <row r="4" spans="1:13" ht="16.8" x14ac:dyDescent="0.25">
      <c r="A4" s="170" t="s">
        <v>907</v>
      </c>
      <c r="B4" s="170" t="s">
        <v>908</v>
      </c>
      <c r="C4" s="170" t="s">
        <v>220</v>
      </c>
      <c r="D4" s="170" t="s">
        <v>909</v>
      </c>
      <c r="E4" s="170"/>
      <c r="F4" s="170" t="s">
        <v>910</v>
      </c>
      <c r="G4" s="170"/>
      <c r="H4" s="170" t="s">
        <v>911</v>
      </c>
      <c r="I4" s="170"/>
      <c r="J4" s="170" t="s">
        <v>912</v>
      </c>
      <c r="K4" s="170"/>
      <c r="L4" s="170"/>
      <c r="M4" s="165" t="s">
        <v>858</v>
      </c>
    </row>
    <row r="5" spans="1:13" ht="16.8" x14ac:dyDescent="0.25">
      <c r="A5" s="170"/>
      <c r="B5" s="170"/>
      <c r="C5" s="170"/>
      <c r="D5" s="100" t="s">
        <v>885</v>
      </c>
      <c r="E5" s="100" t="s">
        <v>886</v>
      </c>
      <c r="F5" s="100" t="s">
        <v>885</v>
      </c>
      <c r="G5" s="100" t="s">
        <v>886</v>
      </c>
      <c r="H5" s="100" t="s">
        <v>885</v>
      </c>
      <c r="I5" s="100" t="s">
        <v>886</v>
      </c>
      <c r="J5" s="100" t="s">
        <v>885</v>
      </c>
      <c r="K5" s="100" t="s">
        <v>886</v>
      </c>
      <c r="L5" s="100" t="s">
        <v>882</v>
      </c>
      <c r="M5" s="165"/>
    </row>
    <row r="6" spans="1:13" ht="16.8" x14ac:dyDescent="0.25">
      <c r="A6" s="149">
        <v>1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9">
        <v>10</v>
      </c>
      <c r="K6" s="149">
        <v>11</v>
      </c>
      <c r="L6" s="149">
        <v>12</v>
      </c>
      <c r="M6" s="149">
        <v>13</v>
      </c>
    </row>
    <row r="7" spans="1:13" hidden="1" x14ac:dyDescent="0.25">
      <c r="A7" s="93" t="str">
        <f>DMTK!B5</f>
        <v>1111</v>
      </c>
      <c r="B7" s="65" t="str">
        <f>VLOOKUP(A7,DMTK!$B$5:$Q$263,3,0)</f>
        <v>Tiền Việt Nam</v>
      </c>
      <c r="C7" s="65" t="str">
        <f>VLOOKUP(A7,DMTK!$B$5:$Q$263,16,0)</f>
        <v xml:space="preserve"> </v>
      </c>
      <c r="D7" s="69">
        <f>VLOOKUP(A7,DMTK!$B$5:$Q$263,4,0)</f>
        <v>0</v>
      </c>
      <c r="E7" s="69">
        <f>VLOOKUP(A7,DMTK!$B$5:$Q$263,5,0)</f>
        <v>400000000</v>
      </c>
      <c r="F7" s="69">
        <f>SUMIFS(CT!$F$5:$F$143,CT!$D$5:$D$143,BTHCTVTHH!A7)</f>
        <v>0</v>
      </c>
      <c r="G7" s="69">
        <f>SUMIFS(CT!$H$5:$H$143,CT!$D$5:$D$143,BTHCTVTHH!A7)</f>
        <v>25200000</v>
      </c>
      <c r="H7" s="69">
        <f>SUMIFS(CT!$F$5:$F$143,CT!$E$5:$E$143,BTHCTVTHH!A7)</f>
        <v>0</v>
      </c>
      <c r="I7" s="69">
        <f>SUMIFS(CT!$H$5:$H$143,CT!$E$5:$E$143,BTHCTVTHH!A7)</f>
        <v>404100000</v>
      </c>
      <c r="J7" s="69">
        <f>D7+F7-H7</f>
        <v>0</v>
      </c>
      <c r="K7" s="69">
        <f>E7+G7-I7</f>
        <v>21100000</v>
      </c>
      <c r="L7" s="69">
        <f>IF(J7&lt;&gt;0,K7/J7,0)</f>
        <v>0</v>
      </c>
      <c r="M7" s="65" t="b">
        <f>LEFT(A7,3)=$G$2</f>
        <v>0</v>
      </c>
    </row>
    <row r="8" spans="1:13" hidden="1" x14ac:dyDescent="0.25">
      <c r="A8" s="93" t="str">
        <f>DMTK!B6</f>
        <v>1112</v>
      </c>
      <c r="B8" s="65" t="str">
        <f>VLOOKUP(A8,DMTK!$B$5:$Q$263,3,0)</f>
        <v>Ngoại tệ</v>
      </c>
      <c r="C8" s="65" t="str">
        <f>VLOOKUP(A8,DMTK!$B$5:$Q$263,16,0)</f>
        <v xml:space="preserve"> </v>
      </c>
      <c r="D8" s="69">
        <f>VLOOKUP(A8,DMTK!$B$5:$Q$263,4,0)</f>
        <v>0</v>
      </c>
      <c r="E8" s="69">
        <f>VLOOKUP(A8,DMTK!$B$5:$Q$263,5,0)</f>
        <v>0</v>
      </c>
      <c r="F8" s="69">
        <f>SUMIFS(CT!$F$5:$F$143,CT!$D$5:$D$143,BTHCTVTHH!A8)</f>
        <v>0</v>
      </c>
      <c r="G8" s="69">
        <f>SUMIFS(CT!$H$5:$H$143,CT!$D$5:$D$143,BTHCTVTHH!A8)</f>
        <v>0</v>
      </c>
      <c r="H8" s="69">
        <f>SUMIFS(CT!$F$5:$F$143,CT!$E$5:$E$143,BTHCTVTHH!A8)</f>
        <v>0</v>
      </c>
      <c r="I8" s="69">
        <f>SUMIFS(CT!$H$5:$H$143,CT!$E$5:$E$143,BTHCTVTHH!A8)</f>
        <v>0</v>
      </c>
      <c r="J8" s="69">
        <f t="shared" ref="J8:J71" si="0">D8+F8-H8</f>
        <v>0</v>
      </c>
      <c r="K8" s="69">
        <f t="shared" ref="K8:K71" si="1">E8+G8-I8</f>
        <v>0</v>
      </c>
      <c r="L8" s="69">
        <f t="shared" ref="L8:L71" si="2">IF(J8&lt;&gt;0,K8/J8,0)</f>
        <v>0</v>
      </c>
      <c r="M8" s="65" t="b">
        <f t="shared" ref="M8:M71" si="3">LEFT(A8,3)=$G$2</f>
        <v>0</v>
      </c>
    </row>
    <row r="9" spans="1:13" hidden="1" x14ac:dyDescent="0.25">
      <c r="A9" s="93" t="str">
        <f>DMTK!B7</f>
        <v>1113</v>
      </c>
      <c r="B9" s="65" t="str">
        <f>VLOOKUP(A9,DMTK!$B$5:$Q$263,3,0)</f>
        <v>Vàng tiền tệ</v>
      </c>
      <c r="C9" s="65" t="str">
        <f>VLOOKUP(A9,DMTK!$B$5:$Q$263,16,0)</f>
        <v xml:space="preserve"> </v>
      </c>
      <c r="D9" s="69">
        <f>VLOOKUP(A9,DMTK!$B$5:$Q$263,4,0)</f>
        <v>0</v>
      </c>
      <c r="E9" s="69">
        <f>VLOOKUP(A9,DMTK!$B$5:$Q$263,5,0)</f>
        <v>0</v>
      </c>
      <c r="F9" s="69">
        <f>SUMIFS(CT!$F$5:$F$143,CT!$D$5:$D$143,BTHCTVTHH!A9)</f>
        <v>0</v>
      </c>
      <c r="G9" s="69">
        <f>SUMIFS(CT!$H$5:$H$143,CT!$D$5:$D$143,BTHCTVTHH!A9)</f>
        <v>0</v>
      </c>
      <c r="H9" s="69">
        <f>SUMIFS(CT!$F$5:$F$143,CT!$E$5:$E$143,BTHCTVTHH!A9)</f>
        <v>0</v>
      </c>
      <c r="I9" s="69">
        <f>SUMIFS(CT!$H$5:$H$143,CT!$E$5:$E$143,BTHCTVTHH!A9)</f>
        <v>0</v>
      </c>
      <c r="J9" s="69">
        <f t="shared" si="0"/>
        <v>0</v>
      </c>
      <c r="K9" s="69">
        <f t="shared" si="1"/>
        <v>0</v>
      </c>
      <c r="L9" s="69">
        <f t="shared" si="2"/>
        <v>0</v>
      </c>
      <c r="M9" s="65" t="b">
        <f t="shared" si="3"/>
        <v>0</v>
      </c>
    </row>
    <row r="10" spans="1:13" hidden="1" x14ac:dyDescent="0.25">
      <c r="A10" s="93" t="str">
        <f>DMTK!B8</f>
        <v>1121.01</v>
      </c>
      <c r="B10" s="65" t="str">
        <f>VLOOKUP(A10,DMTK!$B$5:$Q$263,3,0)</f>
        <v>Tiền Việt Nam NH Ngoại Thương</v>
      </c>
      <c r="C10" s="65" t="str">
        <f>VLOOKUP(A10,DMTK!$B$5:$Q$263,16,0)</f>
        <v xml:space="preserve"> </v>
      </c>
      <c r="D10" s="69">
        <f>VLOOKUP(A10,DMTK!$B$5:$Q$263,4,0)</f>
        <v>0</v>
      </c>
      <c r="E10" s="69">
        <f>VLOOKUP(A10,DMTK!$B$5:$Q$263,5,0)</f>
        <v>258221000</v>
      </c>
      <c r="F10" s="69">
        <f>SUMIFS(CT!$F$5:$F$143,CT!$D$5:$D$143,BTHCTVTHH!A10)</f>
        <v>0</v>
      </c>
      <c r="G10" s="69">
        <f>SUMIFS(CT!$H$5:$H$143,CT!$D$5:$D$143,BTHCTVTHH!A10)</f>
        <v>0</v>
      </c>
      <c r="H10" s="69">
        <f>SUMIFS(CT!$F$5:$F$143,CT!$E$5:$E$143,BTHCTVTHH!A10)</f>
        <v>0</v>
      </c>
      <c r="I10" s="69">
        <f>SUMIFS(CT!$H$5:$H$143,CT!$E$5:$E$143,BTHCTVTHH!A10)</f>
        <v>90000000</v>
      </c>
      <c r="J10" s="69">
        <f t="shared" si="0"/>
        <v>0</v>
      </c>
      <c r="K10" s="69">
        <f t="shared" si="1"/>
        <v>168221000</v>
      </c>
      <c r="L10" s="69">
        <f t="shared" si="2"/>
        <v>0</v>
      </c>
      <c r="M10" s="65" t="b">
        <f t="shared" si="3"/>
        <v>0</v>
      </c>
    </row>
    <row r="11" spans="1:13" hidden="1" x14ac:dyDescent="0.25">
      <c r="A11" s="93" t="str">
        <f>DMTK!B9</f>
        <v>1121.02</v>
      </c>
      <c r="B11" s="65" t="str">
        <f>VLOOKUP(A11,DMTK!$B$5:$Q$263,3,0)</f>
        <v>Tiền Việt Nam NH Đông Á</v>
      </c>
      <c r="C11" s="65" t="str">
        <f>VLOOKUP(A11,DMTK!$B$5:$Q$263,16,0)</f>
        <v xml:space="preserve"> </v>
      </c>
      <c r="D11" s="69">
        <f>VLOOKUP(A11,DMTK!$B$5:$Q$263,4,0)</f>
        <v>0</v>
      </c>
      <c r="E11" s="69">
        <f>VLOOKUP(A11,DMTK!$B$5:$Q$263,5,0)</f>
        <v>60000000</v>
      </c>
      <c r="F11" s="69">
        <f>SUMIFS(CT!$F$5:$F$143,CT!$D$5:$D$143,BTHCTVTHH!A11)</f>
        <v>0</v>
      </c>
      <c r="G11" s="69">
        <f>SUMIFS(CT!$H$5:$H$143,CT!$D$5:$D$143,BTHCTVTHH!A11)</f>
        <v>30000000</v>
      </c>
      <c r="H11" s="69">
        <f>SUMIFS(CT!$F$5:$F$143,CT!$E$5:$E$143,BTHCTVTHH!A11)</f>
        <v>0</v>
      </c>
      <c r="I11" s="69">
        <f>SUMIFS(CT!$H$5:$H$143,CT!$E$5:$E$143,BTHCTVTHH!A11)</f>
        <v>0</v>
      </c>
      <c r="J11" s="69">
        <f t="shared" si="0"/>
        <v>0</v>
      </c>
      <c r="K11" s="69">
        <f t="shared" si="1"/>
        <v>90000000</v>
      </c>
      <c r="L11" s="69">
        <f t="shared" si="2"/>
        <v>0</v>
      </c>
      <c r="M11" s="65" t="b">
        <f t="shared" si="3"/>
        <v>0</v>
      </c>
    </row>
    <row r="12" spans="1:13" hidden="1" x14ac:dyDescent="0.25">
      <c r="A12" s="93" t="str">
        <f>DMTK!B10</f>
        <v>1121.03</v>
      </c>
      <c r="B12" s="65" t="str">
        <f>VLOOKUP(A12,DMTK!$B$5:$Q$263,3,0)</f>
        <v>Tiền Việt Nam NH Á Châu</v>
      </c>
      <c r="C12" s="65" t="str">
        <f>VLOOKUP(A12,DMTK!$B$5:$Q$263,16,0)</f>
        <v xml:space="preserve"> </v>
      </c>
      <c r="D12" s="69">
        <f>VLOOKUP(A12,DMTK!$B$5:$Q$263,4,0)</f>
        <v>0</v>
      </c>
      <c r="E12" s="69">
        <f>VLOOKUP(A12,DMTK!$B$5:$Q$263,5,0)</f>
        <v>40000000</v>
      </c>
      <c r="F12" s="69">
        <f>SUMIFS(CT!$F$5:$F$143,CT!$D$5:$D$143,BTHCTVTHH!A12)</f>
        <v>0</v>
      </c>
      <c r="G12" s="69">
        <f>SUMIFS(CT!$H$5:$H$143,CT!$D$5:$D$143,BTHCTVTHH!A12)</f>
        <v>0</v>
      </c>
      <c r="H12" s="69">
        <f>SUMIFS(CT!$F$5:$F$143,CT!$E$5:$E$143,BTHCTVTHH!A12)</f>
        <v>0</v>
      </c>
      <c r="I12" s="69">
        <f>SUMIFS(CT!$H$5:$H$143,CT!$E$5:$E$143,BTHCTVTHH!A12)</f>
        <v>0</v>
      </c>
      <c r="J12" s="69">
        <f t="shared" si="0"/>
        <v>0</v>
      </c>
      <c r="K12" s="69">
        <f t="shared" si="1"/>
        <v>40000000</v>
      </c>
      <c r="L12" s="69">
        <f t="shared" si="2"/>
        <v>0</v>
      </c>
      <c r="M12" s="65" t="b">
        <f t="shared" si="3"/>
        <v>0</v>
      </c>
    </row>
    <row r="13" spans="1:13" hidden="1" x14ac:dyDescent="0.25">
      <c r="A13" s="93" t="str">
        <f>DMTK!B11</f>
        <v>1122</v>
      </c>
      <c r="B13" s="65" t="str">
        <f>VLOOKUP(A13,DMTK!$B$5:$Q$263,3,0)</f>
        <v>Ngoại tệ</v>
      </c>
      <c r="C13" s="65" t="str">
        <f>VLOOKUP(A13,DMTK!$B$5:$Q$263,16,0)</f>
        <v xml:space="preserve"> </v>
      </c>
      <c r="D13" s="69">
        <f>VLOOKUP(A13,DMTK!$B$5:$Q$263,4,0)</f>
        <v>0</v>
      </c>
      <c r="E13" s="69">
        <f>VLOOKUP(A13,DMTK!$B$5:$Q$263,5,0)</f>
        <v>0</v>
      </c>
      <c r="F13" s="69">
        <f>SUMIFS(CT!$F$5:$F$143,CT!$D$5:$D$143,BTHCTVTHH!A13)</f>
        <v>0</v>
      </c>
      <c r="G13" s="69">
        <f>SUMIFS(CT!$H$5:$H$143,CT!$D$5:$D$143,BTHCTVTHH!A13)</f>
        <v>0</v>
      </c>
      <c r="H13" s="69">
        <f>SUMIFS(CT!$F$5:$F$143,CT!$E$5:$E$143,BTHCTVTHH!A13)</f>
        <v>0</v>
      </c>
      <c r="I13" s="69">
        <f>SUMIFS(CT!$H$5:$H$143,CT!$E$5:$E$143,BTHCTVTHH!A13)</f>
        <v>0</v>
      </c>
      <c r="J13" s="69">
        <f t="shared" si="0"/>
        <v>0</v>
      </c>
      <c r="K13" s="69">
        <f t="shared" si="1"/>
        <v>0</v>
      </c>
      <c r="L13" s="69">
        <f t="shared" si="2"/>
        <v>0</v>
      </c>
      <c r="M13" s="65" t="b">
        <f t="shared" si="3"/>
        <v>0</v>
      </c>
    </row>
    <row r="14" spans="1:13" hidden="1" x14ac:dyDescent="0.25">
      <c r="A14" s="93" t="str">
        <f>DMTK!B12</f>
        <v>1123</v>
      </c>
      <c r="B14" s="65" t="str">
        <f>VLOOKUP(A14,DMTK!$B$5:$Q$263,3,0)</f>
        <v>Vàng tiền tệ</v>
      </c>
      <c r="C14" s="65" t="str">
        <f>VLOOKUP(A14,DMTK!$B$5:$Q$263,16,0)</f>
        <v xml:space="preserve"> </v>
      </c>
      <c r="D14" s="69">
        <f>VLOOKUP(A14,DMTK!$B$5:$Q$263,4,0)</f>
        <v>0</v>
      </c>
      <c r="E14" s="69">
        <f>VLOOKUP(A14,DMTK!$B$5:$Q$263,5,0)</f>
        <v>0</v>
      </c>
      <c r="F14" s="69">
        <f>SUMIFS(CT!$F$5:$F$143,CT!$D$5:$D$143,BTHCTVTHH!A14)</f>
        <v>0</v>
      </c>
      <c r="G14" s="69">
        <f>SUMIFS(CT!$H$5:$H$143,CT!$D$5:$D$143,BTHCTVTHH!A14)</f>
        <v>0</v>
      </c>
      <c r="H14" s="69">
        <f>SUMIFS(CT!$F$5:$F$143,CT!$E$5:$E$143,BTHCTVTHH!A14)</f>
        <v>0</v>
      </c>
      <c r="I14" s="69">
        <f>SUMIFS(CT!$H$5:$H$143,CT!$E$5:$E$143,BTHCTVTHH!A14)</f>
        <v>0</v>
      </c>
      <c r="J14" s="69">
        <f t="shared" si="0"/>
        <v>0</v>
      </c>
      <c r="K14" s="69">
        <f t="shared" si="1"/>
        <v>0</v>
      </c>
      <c r="L14" s="69">
        <f t="shared" si="2"/>
        <v>0</v>
      </c>
      <c r="M14" s="65" t="b">
        <f t="shared" si="3"/>
        <v>0</v>
      </c>
    </row>
    <row r="15" spans="1:13" hidden="1" x14ac:dyDescent="0.25">
      <c r="A15" s="93" t="str">
        <f>DMTK!B13</f>
        <v>1131</v>
      </c>
      <c r="B15" s="65" t="str">
        <f>VLOOKUP(A15,DMTK!$B$5:$Q$263,3,0)</f>
        <v>Tiền Việt Nam</v>
      </c>
      <c r="C15" s="65" t="str">
        <f>VLOOKUP(A15,DMTK!$B$5:$Q$263,16,0)</f>
        <v xml:space="preserve"> </v>
      </c>
      <c r="D15" s="69">
        <f>VLOOKUP(A15,DMTK!$B$5:$Q$263,4,0)</f>
        <v>0</v>
      </c>
      <c r="E15" s="69">
        <f>VLOOKUP(A15,DMTK!$B$5:$Q$263,5,0)</f>
        <v>0</v>
      </c>
      <c r="F15" s="69">
        <f>SUMIFS(CT!$F$5:$F$143,CT!$D$5:$D$143,BTHCTVTHH!A15)</f>
        <v>0</v>
      </c>
      <c r="G15" s="69">
        <f>SUMIFS(CT!$H$5:$H$143,CT!$D$5:$D$143,BTHCTVTHH!A15)</f>
        <v>0</v>
      </c>
      <c r="H15" s="69">
        <f>SUMIFS(CT!$F$5:$F$143,CT!$E$5:$E$143,BTHCTVTHH!A15)</f>
        <v>0</v>
      </c>
      <c r="I15" s="69">
        <f>SUMIFS(CT!$H$5:$H$143,CT!$E$5:$E$143,BTHCTVTHH!A15)</f>
        <v>0</v>
      </c>
      <c r="J15" s="69">
        <f t="shared" si="0"/>
        <v>0</v>
      </c>
      <c r="K15" s="69">
        <f t="shared" si="1"/>
        <v>0</v>
      </c>
      <c r="L15" s="69">
        <f t="shared" si="2"/>
        <v>0</v>
      </c>
      <c r="M15" s="65" t="b">
        <f t="shared" si="3"/>
        <v>0</v>
      </c>
    </row>
    <row r="16" spans="1:13" hidden="1" x14ac:dyDescent="0.25">
      <c r="A16" s="93" t="str">
        <f>DMTK!B14</f>
        <v>1132</v>
      </c>
      <c r="B16" s="65" t="str">
        <f>VLOOKUP(A16,DMTK!$B$5:$Q$263,3,0)</f>
        <v>Ngoại tệ</v>
      </c>
      <c r="C16" s="65" t="str">
        <f>VLOOKUP(A16,DMTK!$B$5:$Q$263,16,0)</f>
        <v xml:space="preserve"> </v>
      </c>
      <c r="D16" s="69">
        <f>VLOOKUP(A16,DMTK!$B$5:$Q$263,4,0)</f>
        <v>0</v>
      </c>
      <c r="E16" s="69">
        <f>VLOOKUP(A16,DMTK!$B$5:$Q$263,5,0)</f>
        <v>0</v>
      </c>
      <c r="F16" s="69">
        <f>SUMIFS(CT!$F$5:$F$143,CT!$D$5:$D$143,BTHCTVTHH!A16)</f>
        <v>0</v>
      </c>
      <c r="G16" s="69">
        <f>SUMIFS(CT!$H$5:$H$143,CT!$D$5:$D$143,BTHCTVTHH!A16)</f>
        <v>0</v>
      </c>
      <c r="H16" s="69">
        <f>SUMIFS(CT!$F$5:$F$143,CT!$E$5:$E$143,BTHCTVTHH!A16)</f>
        <v>0</v>
      </c>
      <c r="I16" s="69">
        <f>SUMIFS(CT!$H$5:$H$143,CT!$E$5:$E$143,BTHCTVTHH!A16)</f>
        <v>0</v>
      </c>
      <c r="J16" s="69">
        <f t="shared" si="0"/>
        <v>0</v>
      </c>
      <c r="K16" s="69">
        <f t="shared" si="1"/>
        <v>0</v>
      </c>
      <c r="L16" s="69">
        <f t="shared" si="2"/>
        <v>0</v>
      </c>
      <c r="M16" s="65" t="b">
        <f t="shared" si="3"/>
        <v>0</v>
      </c>
    </row>
    <row r="17" spans="1:13" hidden="1" x14ac:dyDescent="0.25">
      <c r="A17" s="93" t="str">
        <f>DMTK!B15</f>
        <v>1211</v>
      </c>
      <c r="B17" s="65" t="str">
        <f>VLOOKUP(A17,DMTK!$B$5:$Q$263,3,0)</f>
        <v xml:space="preserve">Cổ phiếu </v>
      </c>
      <c r="C17" s="65" t="str">
        <f>VLOOKUP(A17,DMTK!$B$5:$Q$263,16,0)</f>
        <v xml:space="preserve"> </v>
      </c>
      <c r="D17" s="69">
        <f>VLOOKUP(A17,DMTK!$B$5:$Q$263,4,0)</f>
        <v>0</v>
      </c>
      <c r="E17" s="69">
        <f>VLOOKUP(A17,DMTK!$B$5:$Q$263,5,0)</f>
        <v>0</v>
      </c>
      <c r="F17" s="69">
        <f>SUMIFS(CT!$F$5:$F$143,CT!$D$5:$D$143,BTHCTVTHH!A17)</f>
        <v>0</v>
      </c>
      <c r="G17" s="69">
        <f>SUMIFS(CT!$H$5:$H$143,CT!$D$5:$D$143,BTHCTVTHH!A17)</f>
        <v>0</v>
      </c>
      <c r="H17" s="69">
        <f>SUMIFS(CT!$F$5:$F$143,CT!$E$5:$E$143,BTHCTVTHH!A17)</f>
        <v>0</v>
      </c>
      <c r="I17" s="69">
        <f>SUMIFS(CT!$H$5:$H$143,CT!$E$5:$E$143,BTHCTVTHH!A17)</f>
        <v>0</v>
      </c>
      <c r="J17" s="69">
        <f t="shared" si="0"/>
        <v>0</v>
      </c>
      <c r="K17" s="69">
        <f t="shared" si="1"/>
        <v>0</v>
      </c>
      <c r="L17" s="69">
        <f t="shared" si="2"/>
        <v>0</v>
      </c>
      <c r="M17" s="65" t="b">
        <f t="shared" si="3"/>
        <v>0</v>
      </c>
    </row>
    <row r="18" spans="1:13" hidden="1" x14ac:dyDescent="0.25">
      <c r="A18" s="93" t="str">
        <f>DMTK!B16</f>
        <v>1212</v>
      </c>
      <c r="B18" s="65" t="str">
        <f>VLOOKUP(A18,DMTK!$B$5:$Q$263,3,0)</f>
        <v>Trái phiếu</v>
      </c>
      <c r="C18" s="65" t="str">
        <f>VLOOKUP(A18,DMTK!$B$5:$Q$263,16,0)</f>
        <v xml:space="preserve"> </v>
      </c>
      <c r="D18" s="69">
        <f>VLOOKUP(A18,DMTK!$B$5:$Q$263,4,0)</f>
        <v>0</v>
      </c>
      <c r="E18" s="69">
        <f>VLOOKUP(A18,DMTK!$B$5:$Q$263,5,0)</f>
        <v>0</v>
      </c>
      <c r="F18" s="69">
        <f>SUMIFS(CT!$F$5:$F$143,CT!$D$5:$D$143,BTHCTVTHH!A18)</f>
        <v>0</v>
      </c>
      <c r="G18" s="69">
        <f>SUMIFS(CT!$H$5:$H$143,CT!$D$5:$D$143,BTHCTVTHH!A18)</f>
        <v>0</v>
      </c>
      <c r="H18" s="69">
        <f>SUMIFS(CT!$F$5:$F$143,CT!$E$5:$E$143,BTHCTVTHH!A18)</f>
        <v>0</v>
      </c>
      <c r="I18" s="69">
        <f>SUMIFS(CT!$H$5:$H$143,CT!$E$5:$E$143,BTHCTVTHH!A18)</f>
        <v>0</v>
      </c>
      <c r="J18" s="69">
        <f t="shared" si="0"/>
        <v>0</v>
      </c>
      <c r="K18" s="69">
        <f t="shared" si="1"/>
        <v>0</v>
      </c>
      <c r="L18" s="69">
        <f t="shared" si="2"/>
        <v>0</v>
      </c>
      <c r="M18" s="65" t="b">
        <f t="shared" si="3"/>
        <v>0</v>
      </c>
    </row>
    <row r="19" spans="1:13" hidden="1" x14ac:dyDescent="0.25">
      <c r="A19" s="93" t="str">
        <f>DMTK!B17</f>
        <v>12811</v>
      </c>
      <c r="B19" s="65" t="str">
        <f>VLOOKUP(A19,DMTK!$B$5:$Q$263,3,0)</f>
        <v>Tiền gửi có kỳ hạn (không quá 3 tháng)</v>
      </c>
      <c r="C19" s="65" t="str">
        <f>VLOOKUP(A19,DMTK!$B$5:$Q$263,16,0)</f>
        <v xml:space="preserve"> </v>
      </c>
      <c r="D19" s="69">
        <f>VLOOKUP(A19,DMTK!$B$5:$Q$263,4,0)</f>
        <v>0</v>
      </c>
      <c r="E19" s="69">
        <f>VLOOKUP(A19,DMTK!$B$5:$Q$263,5,0)</f>
        <v>100000000</v>
      </c>
      <c r="F19" s="69">
        <f>SUMIFS(CT!$F$5:$F$143,CT!$D$5:$D$143,BTHCTVTHH!A19)</f>
        <v>0</v>
      </c>
      <c r="G19" s="69">
        <f>SUMIFS(CT!$H$5:$H$143,CT!$D$5:$D$143,BTHCTVTHH!A19)</f>
        <v>0</v>
      </c>
      <c r="H19" s="69">
        <f>SUMIFS(CT!$F$5:$F$143,CT!$E$5:$E$143,BTHCTVTHH!A19)</f>
        <v>0</v>
      </c>
      <c r="I19" s="69">
        <f>SUMIFS(CT!$H$5:$H$143,CT!$E$5:$E$143,BTHCTVTHH!A19)</f>
        <v>0</v>
      </c>
      <c r="J19" s="69">
        <f t="shared" si="0"/>
        <v>0</v>
      </c>
      <c r="K19" s="69">
        <f t="shared" si="1"/>
        <v>100000000</v>
      </c>
      <c r="L19" s="69">
        <f t="shared" si="2"/>
        <v>0</v>
      </c>
      <c r="M19" s="65" t="b">
        <f t="shared" si="3"/>
        <v>0</v>
      </c>
    </row>
    <row r="20" spans="1:13" hidden="1" x14ac:dyDescent="0.25">
      <c r="A20" s="93" t="str">
        <f>DMTK!B18</f>
        <v>12812</v>
      </c>
      <c r="B20" s="65" t="str">
        <f>VLOOKUP(A20,DMTK!$B$5:$Q$263,3,0)</f>
        <v>Tiền gửi có kỳ hạn (không quá 12 tháng)</v>
      </c>
      <c r="C20" s="65" t="str">
        <f>VLOOKUP(A20,DMTK!$B$5:$Q$263,16,0)</f>
        <v xml:space="preserve"> </v>
      </c>
      <c r="D20" s="69">
        <f>VLOOKUP(A20,DMTK!$B$5:$Q$263,4,0)</f>
        <v>0</v>
      </c>
      <c r="E20" s="69">
        <f>VLOOKUP(A20,DMTK!$B$5:$Q$263,5,0)</f>
        <v>0</v>
      </c>
      <c r="F20" s="69">
        <f>SUMIFS(CT!$F$5:$F$143,CT!$D$5:$D$143,BTHCTVTHH!A20)</f>
        <v>0</v>
      </c>
      <c r="G20" s="69">
        <f>SUMIFS(CT!$H$5:$H$143,CT!$D$5:$D$143,BTHCTVTHH!A20)</f>
        <v>0</v>
      </c>
      <c r="H20" s="69">
        <f>SUMIFS(CT!$F$5:$F$143,CT!$E$5:$E$143,BTHCTVTHH!A20)</f>
        <v>0</v>
      </c>
      <c r="I20" s="69">
        <f>SUMIFS(CT!$H$5:$H$143,CT!$E$5:$E$143,BTHCTVTHH!A20)</f>
        <v>0</v>
      </c>
      <c r="J20" s="69">
        <f t="shared" si="0"/>
        <v>0</v>
      </c>
      <c r="K20" s="69">
        <f t="shared" si="1"/>
        <v>0</v>
      </c>
      <c r="L20" s="69">
        <f t="shared" si="2"/>
        <v>0</v>
      </c>
      <c r="M20" s="65" t="b">
        <f t="shared" si="3"/>
        <v>0</v>
      </c>
    </row>
    <row r="21" spans="1:13" hidden="1" x14ac:dyDescent="0.25">
      <c r="A21" s="93" t="str">
        <f>DMTK!B19</f>
        <v>12831</v>
      </c>
      <c r="B21" s="65" t="str">
        <f>VLOOKUP(A21,DMTK!$B$5:$Q$263,3,0)</f>
        <v>Cho vay (không quá 12 tháng)</v>
      </c>
      <c r="C21" s="65" t="str">
        <f>VLOOKUP(A21,DMTK!$B$5:$Q$263,16,0)</f>
        <v xml:space="preserve"> </v>
      </c>
      <c r="D21" s="69">
        <f>VLOOKUP(A21,DMTK!$B$5:$Q$263,4,0)</f>
        <v>0</v>
      </c>
      <c r="E21" s="69">
        <f>VLOOKUP(A21,DMTK!$B$5:$Q$263,5,0)</f>
        <v>0</v>
      </c>
      <c r="F21" s="69">
        <f>SUMIFS(CT!$F$5:$F$143,CT!$D$5:$D$143,BTHCTVTHH!A21)</f>
        <v>0</v>
      </c>
      <c r="G21" s="69">
        <f>SUMIFS(CT!$H$5:$H$143,CT!$D$5:$D$143,BTHCTVTHH!A21)</f>
        <v>0</v>
      </c>
      <c r="H21" s="69">
        <f>SUMIFS(CT!$F$5:$F$143,CT!$E$5:$E$143,BTHCTVTHH!A21)</f>
        <v>0</v>
      </c>
      <c r="I21" s="69">
        <f>SUMIFS(CT!$H$5:$H$143,CT!$E$5:$E$143,BTHCTVTHH!A21)</f>
        <v>0</v>
      </c>
      <c r="J21" s="69">
        <f t="shared" si="0"/>
        <v>0</v>
      </c>
      <c r="K21" s="69">
        <f t="shared" si="1"/>
        <v>0</v>
      </c>
      <c r="L21" s="69">
        <f t="shared" si="2"/>
        <v>0</v>
      </c>
      <c r="M21" s="65" t="b">
        <f t="shared" si="3"/>
        <v>0</v>
      </c>
    </row>
    <row r="22" spans="1:13" hidden="1" x14ac:dyDescent="0.25">
      <c r="A22" s="93" t="str">
        <f>DMTK!B20</f>
        <v>12832</v>
      </c>
      <c r="B22" s="65" t="str">
        <f>VLOOKUP(A22,DMTK!$B$5:$Q$263,3,0)</f>
        <v>Cho vay (trên 12 tháng)</v>
      </c>
      <c r="C22" s="65" t="str">
        <f>VLOOKUP(A22,DMTK!$B$5:$Q$263,16,0)</f>
        <v xml:space="preserve"> </v>
      </c>
      <c r="D22" s="69">
        <f>VLOOKUP(A22,DMTK!$B$5:$Q$263,4,0)</f>
        <v>0</v>
      </c>
      <c r="E22" s="69">
        <f>VLOOKUP(A22,DMTK!$B$5:$Q$263,5,0)</f>
        <v>0</v>
      </c>
      <c r="F22" s="69">
        <f>SUMIFS(CT!$F$5:$F$143,CT!$D$5:$D$143,BTHCTVTHH!A22)</f>
        <v>0</v>
      </c>
      <c r="G22" s="69">
        <f>SUMIFS(CT!$H$5:$H$143,CT!$D$5:$D$143,BTHCTVTHH!A22)</f>
        <v>0</v>
      </c>
      <c r="H22" s="69">
        <f>SUMIFS(CT!$F$5:$F$143,CT!$E$5:$E$143,BTHCTVTHH!A22)</f>
        <v>0</v>
      </c>
      <c r="I22" s="69">
        <f>SUMIFS(CT!$H$5:$H$143,CT!$E$5:$E$143,BTHCTVTHH!A22)</f>
        <v>0</v>
      </c>
      <c r="J22" s="69">
        <f t="shared" si="0"/>
        <v>0</v>
      </c>
      <c r="K22" s="69">
        <f t="shared" si="1"/>
        <v>0</v>
      </c>
      <c r="L22" s="69">
        <f t="shared" si="2"/>
        <v>0</v>
      </c>
      <c r="M22" s="65" t="b">
        <f t="shared" si="3"/>
        <v>0</v>
      </c>
    </row>
    <row r="23" spans="1:13" hidden="1" x14ac:dyDescent="0.25">
      <c r="A23" s="93" t="str">
        <f>DMTK!B21</f>
        <v>12881</v>
      </c>
      <c r="B23" s="65" t="str">
        <f>VLOOKUP(A23,DMTK!$B$5:$Q$263,3,0)</f>
        <v>Các khoản đầu tư khác nắm giữ đến ngày đáo hạn</v>
      </c>
      <c r="C23" s="65" t="str">
        <f>VLOOKUP(A23,DMTK!$B$5:$Q$263,16,0)</f>
        <v xml:space="preserve"> </v>
      </c>
      <c r="D23" s="69">
        <f>VLOOKUP(A23,DMTK!$B$5:$Q$263,4,0)</f>
        <v>0</v>
      </c>
      <c r="E23" s="69">
        <f>VLOOKUP(A23,DMTK!$B$5:$Q$263,5,0)</f>
        <v>0</v>
      </c>
      <c r="F23" s="69">
        <f>SUMIFS(CT!$F$5:$F$143,CT!$D$5:$D$143,BTHCTVTHH!A23)</f>
        <v>0</v>
      </c>
      <c r="G23" s="69">
        <f>SUMIFS(CT!$H$5:$H$143,CT!$D$5:$D$143,BTHCTVTHH!A23)</f>
        <v>0</v>
      </c>
      <c r="H23" s="69">
        <f>SUMIFS(CT!$F$5:$F$143,CT!$E$5:$E$143,BTHCTVTHH!A23)</f>
        <v>0</v>
      </c>
      <c r="I23" s="69">
        <f>SUMIFS(CT!$H$5:$H$143,CT!$E$5:$E$143,BTHCTVTHH!A23)</f>
        <v>0</v>
      </c>
      <c r="J23" s="69">
        <f t="shared" si="0"/>
        <v>0</v>
      </c>
      <c r="K23" s="69">
        <f t="shared" si="1"/>
        <v>0</v>
      </c>
      <c r="L23" s="69">
        <f t="shared" si="2"/>
        <v>0</v>
      </c>
      <c r="M23" s="65" t="b">
        <f t="shared" si="3"/>
        <v>0</v>
      </c>
    </row>
    <row r="24" spans="1:13" hidden="1" x14ac:dyDescent="0.25">
      <c r="A24" s="93" t="str">
        <f>DMTK!B22</f>
        <v>12882</v>
      </c>
      <c r="B24" s="65" t="str">
        <f>VLOOKUP(A24,DMTK!$B$5:$Q$263,3,0)</f>
        <v>Các khoản đầu tư khác nắm giữ đến ngày đáo hạn (không quá 12 tháng)</v>
      </c>
      <c r="C24" s="65" t="str">
        <f>VLOOKUP(A24,DMTK!$B$5:$Q$263,16,0)</f>
        <v xml:space="preserve"> </v>
      </c>
      <c r="D24" s="69">
        <f>VLOOKUP(A24,DMTK!$B$5:$Q$263,4,0)</f>
        <v>0</v>
      </c>
      <c r="E24" s="69">
        <f>VLOOKUP(A24,DMTK!$B$5:$Q$263,5,0)</f>
        <v>0</v>
      </c>
      <c r="F24" s="69">
        <f>SUMIFS(CT!$F$5:$F$143,CT!$D$5:$D$143,BTHCTVTHH!A24)</f>
        <v>0</v>
      </c>
      <c r="G24" s="69">
        <f>SUMIFS(CT!$H$5:$H$143,CT!$D$5:$D$143,BTHCTVTHH!A24)</f>
        <v>0</v>
      </c>
      <c r="H24" s="69">
        <f>SUMIFS(CT!$F$5:$F$143,CT!$E$5:$E$143,BTHCTVTHH!A24)</f>
        <v>0</v>
      </c>
      <c r="I24" s="69">
        <f>SUMIFS(CT!$H$5:$H$143,CT!$E$5:$E$143,BTHCTVTHH!A24)</f>
        <v>0</v>
      </c>
      <c r="J24" s="69">
        <f t="shared" si="0"/>
        <v>0</v>
      </c>
      <c r="K24" s="69">
        <f t="shared" si="1"/>
        <v>0</v>
      </c>
      <c r="L24" s="69">
        <f t="shared" si="2"/>
        <v>0</v>
      </c>
      <c r="M24" s="65" t="b">
        <f t="shared" si="3"/>
        <v>0</v>
      </c>
    </row>
    <row r="25" spans="1:13" hidden="1" x14ac:dyDescent="0.25">
      <c r="A25" s="93" t="str">
        <f>DMTK!B23</f>
        <v>1311.01</v>
      </c>
      <c r="B25" s="65" t="str">
        <f>VLOOKUP(A25,DMTK!$B$5:$Q$263,3,0)</f>
        <v>Công ty Quang Minh (ngắn hạn)</v>
      </c>
      <c r="C25" s="65" t="str">
        <f>VLOOKUP(A25,DMTK!$B$5:$Q$263,16,0)</f>
        <v xml:space="preserve"> </v>
      </c>
      <c r="D25" s="69">
        <f>VLOOKUP(A25,DMTK!$B$5:$Q$263,4,0)</f>
        <v>0</v>
      </c>
      <c r="E25" s="69">
        <f>VLOOKUP(A25,DMTK!$B$5:$Q$263,5,0)</f>
        <v>100000000</v>
      </c>
      <c r="F25" s="69">
        <f>SUMIFS(CT!$F$5:$F$143,CT!$D$5:$D$143,BTHCTVTHH!A25)</f>
        <v>0</v>
      </c>
      <c r="G25" s="69">
        <f>SUMIFS(CT!$H$5:$H$143,CT!$D$5:$D$143,BTHCTVTHH!A25)</f>
        <v>0</v>
      </c>
      <c r="H25" s="69">
        <f>SUMIFS(CT!$F$5:$F$143,CT!$E$5:$E$143,BTHCTVTHH!A25)</f>
        <v>0</v>
      </c>
      <c r="I25" s="69">
        <f>SUMIFS(CT!$H$5:$H$143,CT!$E$5:$E$143,BTHCTVTHH!A25)</f>
        <v>20000000</v>
      </c>
      <c r="J25" s="69">
        <f t="shared" si="0"/>
        <v>0</v>
      </c>
      <c r="K25" s="69">
        <f t="shared" si="1"/>
        <v>80000000</v>
      </c>
      <c r="L25" s="69">
        <f t="shared" si="2"/>
        <v>0</v>
      </c>
      <c r="M25" s="65" t="b">
        <f t="shared" si="3"/>
        <v>0</v>
      </c>
    </row>
    <row r="26" spans="1:13" hidden="1" x14ac:dyDescent="0.25">
      <c r="A26" s="93" t="str">
        <f>DMTK!B24</f>
        <v>1311.02</v>
      </c>
      <c r="B26" s="65" t="str">
        <f>VLOOKUP(A26,DMTK!$B$5:$Q$263,3,0)</f>
        <v>Cty TNHH TMDV Mai Anh (ngắn hạn)</v>
      </c>
      <c r="C26" s="65" t="str">
        <f>VLOOKUP(A26,DMTK!$B$5:$Q$263,16,0)</f>
        <v xml:space="preserve"> </v>
      </c>
      <c r="D26" s="69">
        <f>VLOOKUP(A26,DMTK!$B$5:$Q$263,4,0)</f>
        <v>0</v>
      </c>
      <c r="E26" s="69">
        <f>VLOOKUP(A26,DMTK!$B$5:$Q$263,5,0)</f>
        <v>70000000</v>
      </c>
      <c r="F26" s="69">
        <f>SUMIFS(CT!$F$5:$F$143,CT!$D$5:$D$143,BTHCTVTHH!A26)</f>
        <v>0</v>
      </c>
      <c r="G26" s="69">
        <f>SUMIFS(CT!$H$5:$H$143,CT!$D$5:$D$143,BTHCTVTHH!A26)</f>
        <v>0</v>
      </c>
      <c r="H26" s="69">
        <f>SUMIFS(CT!$F$5:$F$143,CT!$E$5:$E$143,BTHCTVTHH!A26)</f>
        <v>0</v>
      </c>
      <c r="I26" s="69">
        <f>SUMIFS(CT!$H$5:$H$143,CT!$E$5:$E$143,BTHCTVTHH!A26)</f>
        <v>30000000</v>
      </c>
      <c r="J26" s="69">
        <f t="shared" si="0"/>
        <v>0</v>
      </c>
      <c r="K26" s="69">
        <f t="shared" si="1"/>
        <v>40000000</v>
      </c>
      <c r="L26" s="69">
        <f t="shared" si="2"/>
        <v>0</v>
      </c>
      <c r="M26" s="65" t="b">
        <f t="shared" si="3"/>
        <v>0</v>
      </c>
    </row>
    <row r="27" spans="1:13" hidden="1" x14ac:dyDescent="0.25">
      <c r="A27" s="93" t="str">
        <f>DMTK!B25</f>
        <v>1311.03</v>
      </c>
      <c r="B27" s="65" t="str">
        <f>VLOOKUP(A27,DMTK!$B$5:$Q$263,3,0)</f>
        <v>Cty TNHH Phương Nam (ngắn hạn)</v>
      </c>
      <c r="C27" s="65" t="str">
        <f>VLOOKUP(A27,DMTK!$B$5:$Q$263,16,0)</f>
        <v xml:space="preserve"> </v>
      </c>
      <c r="D27" s="69">
        <f>VLOOKUP(A27,DMTK!$B$5:$Q$263,4,0)</f>
        <v>0</v>
      </c>
      <c r="E27" s="69">
        <f>VLOOKUP(A27,DMTK!$B$5:$Q$263,5,0)</f>
        <v>57000000</v>
      </c>
      <c r="F27" s="69">
        <f>SUMIFS(CT!$F$5:$F$143,CT!$D$5:$D$143,BTHCTVTHH!A27)</f>
        <v>0</v>
      </c>
      <c r="G27" s="69">
        <f>SUMIFS(CT!$H$5:$H$143,CT!$D$5:$D$143,BTHCTVTHH!A27)</f>
        <v>0</v>
      </c>
      <c r="H27" s="69">
        <f>SUMIFS(CT!$F$5:$F$143,CT!$E$5:$E$143,BTHCTVTHH!A27)</f>
        <v>0</v>
      </c>
      <c r="I27" s="69">
        <f>SUMIFS(CT!$H$5:$H$143,CT!$E$5:$E$143,BTHCTVTHH!A27)</f>
        <v>5000000</v>
      </c>
      <c r="J27" s="69">
        <f t="shared" si="0"/>
        <v>0</v>
      </c>
      <c r="K27" s="69">
        <f t="shared" si="1"/>
        <v>52000000</v>
      </c>
      <c r="L27" s="69">
        <f t="shared" si="2"/>
        <v>0</v>
      </c>
      <c r="M27" s="65" t="b">
        <f t="shared" si="3"/>
        <v>0</v>
      </c>
    </row>
    <row r="28" spans="1:13" hidden="1" x14ac:dyDescent="0.25">
      <c r="A28" s="93" t="str">
        <f>DMTK!B26</f>
        <v>1311.04</v>
      </c>
      <c r="B28" s="65" t="str">
        <f>VLOOKUP(A28,DMTK!$B$5:$Q$263,3,0)</f>
        <v>Cty TNHH Kim Tín (ngắn hạn)</v>
      </c>
      <c r="C28" s="65" t="str">
        <f>VLOOKUP(A28,DMTK!$B$5:$Q$263,16,0)</f>
        <v xml:space="preserve"> </v>
      </c>
      <c r="D28" s="69">
        <f>VLOOKUP(A28,DMTK!$B$5:$Q$263,4,0)</f>
        <v>0</v>
      </c>
      <c r="E28" s="69">
        <f>VLOOKUP(A28,DMTK!$B$5:$Q$263,5,0)</f>
        <v>-52000000</v>
      </c>
      <c r="F28" s="69">
        <f>SUMIFS(CT!$F$5:$F$143,CT!$D$5:$D$143,BTHCTVTHH!A28)</f>
        <v>0</v>
      </c>
      <c r="G28" s="69">
        <f>SUMIFS(CT!$H$5:$H$143,CT!$D$5:$D$143,BTHCTVTHH!A28)</f>
        <v>0</v>
      </c>
      <c r="H28" s="69">
        <f>SUMIFS(CT!$F$5:$F$143,CT!$E$5:$E$143,BTHCTVTHH!A28)</f>
        <v>0</v>
      </c>
      <c r="I28" s="69">
        <f>SUMIFS(CT!$H$5:$H$143,CT!$E$5:$E$143,BTHCTVTHH!A28)</f>
        <v>0</v>
      </c>
      <c r="J28" s="69">
        <f t="shared" si="0"/>
        <v>0</v>
      </c>
      <c r="K28" s="69">
        <f t="shared" si="1"/>
        <v>-52000000</v>
      </c>
      <c r="L28" s="69">
        <f t="shared" si="2"/>
        <v>0</v>
      </c>
      <c r="M28" s="65" t="b">
        <f t="shared" si="3"/>
        <v>0</v>
      </c>
    </row>
    <row r="29" spans="1:13" hidden="1" x14ac:dyDescent="0.25">
      <c r="A29" s="93" t="str">
        <f>DMTK!B27</f>
        <v>1311.05</v>
      </c>
      <c r="B29" s="65" t="str">
        <f>VLOOKUP(A29,DMTK!$B$5:$Q$263,3,0)</f>
        <v>Cty TNHH Nam Việt (ngắn hạn)</v>
      </c>
      <c r="C29" s="65" t="str">
        <f>VLOOKUP(A29,DMTK!$B$5:$Q$263,16,0)</f>
        <v xml:space="preserve"> </v>
      </c>
      <c r="D29" s="69">
        <f>VLOOKUP(A29,DMTK!$B$5:$Q$263,4,0)</f>
        <v>0</v>
      </c>
      <c r="E29" s="69">
        <f>VLOOKUP(A29,DMTK!$B$5:$Q$263,5,0)</f>
        <v>0</v>
      </c>
      <c r="F29" s="69">
        <f>SUMIFS(CT!$F$5:$F$143,CT!$D$5:$D$143,BTHCTVTHH!A29)</f>
        <v>100</v>
      </c>
      <c r="G29" s="69">
        <f>SUMIFS(CT!$H$5:$H$143,CT!$D$5:$D$143,BTHCTVTHH!A29)</f>
        <v>30150000</v>
      </c>
      <c r="H29" s="69">
        <f>SUMIFS(CT!$F$5:$F$143,CT!$E$5:$E$143,BTHCTVTHH!A29)</f>
        <v>0</v>
      </c>
      <c r="I29" s="69">
        <f>SUMIFS(CT!$H$5:$H$143,CT!$E$5:$E$143,BTHCTVTHH!A29)</f>
        <v>0</v>
      </c>
      <c r="J29" s="69">
        <f t="shared" si="0"/>
        <v>100</v>
      </c>
      <c r="K29" s="69">
        <f t="shared" si="1"/>
        <v>30150000</v>
      </c>
      <c r="L29" s="69">
        <f t="shared" si="2"/>
        <v>301500</v>
      </c>
      <c r="M29" s="65" t="b">
        <f t="shared" si="3"/>
        <v>0</v>
      </c>
    </row>
    <row r="30" spans="1:13" hidden="1" x14ac:dyDescent="0.25">
      <c r="A30" s="93" t="str">
        <f>DMTK!B28</f>
        <v>1311.06</v>
      </c>
      <c r="B30" s="65" t="str">
        <f>VLOOKUP(A30,DMTK!$B$5:$Q$263,3,0)</f>
        <v>Cty XNK Vật Tư (ngắn hạn)</v>
      </c>
      <c r="C30" s="65" t="str">
        <f>VLOOKUP(A30,DMTK!$B$5:$Q$263,16,0)</f>
        <v xml:space="preserve"> </v>
      </c>
      <c r="D30" s="69">
        <f>VLOOKUP(A30,DMTK!$B$5:$Q$263,4,0)</f>
        <v>0</v>
      </c>
      <c r="E30" s="69">
        <f>VLOOKUP(A30,DMTK!$B$5:$Q$263,5,0)</f>
        <v>0</v>
      </c>
      <c r="F30" s="69">
        <f>SUMIFS(CT!$F$5:$F$143,CT!$D$5:$D$143,BTHCTVTHH!A30)</f>
        <v>150</v>
      </c>
      <c r="G30" s="69">
        <f>SUMIFS(CT!$H$5:$H$143,CT!$D$5:$D$143,BTHCTVTHH!A30)</f>
        <v>61007500</v>
      </c>
      <c r="H30" s="69">
        <f>SUMIFS(CT!$F$5:$F$143,CT!$E$5:$E$143,BTHCTVTHH!A30)</f>
        <v>0</v>
      </c>
      <c r="I30" s="69">
        <f>SUMIFS(CT!$H$5:$H$143,CT!$E$5:$E$143,BTHCTVTHH!A30)</f>
        <v>0</v>
      </c>
      <c r="J30" s="69">
        <f t="shared" si="0"/>
        <v>150</v>
      </c>
      <c r="K30" s="69">
        <f t="shared" si="1"/>
        <v>61007500</v>
      </c>
      <c r="L30" s="69">
        <f t="shared" si="2"/>
        <v>406716.66666666669</v>
      </c>
      <c r="M30" s="65" t="b">
        <f t="shared" si="3"/>
        <v>0</v>
      </c>
    </row>
    <row r="31" spans="1:13" hidden="1" x14ac:dyDescent="0.25">
      <c r="A31" s="93" t="str">
        <f>DMTK!B29</f>
        <v>1331</v>
      </c>
      <c r="B31" s="65" t="str">
        <f>VLOOKUP(A31,DMTK!$B$5:$Q$263,3,0)</f>
        <v>Thuế GTGT được khấu trừ của hàng hóa, dịch vụ</v>
      </c>
      <c r="C31" s="65" t="str">
        <f>VLOOKUP(A31,DMTK!$B$5:$Q$263,16,0)</f>
        <v xml:space="preserve"> </v>
      </c>
      <c r="D31" s="69">
        <f>VLOOKUP(A31,DMTK!$B$5:$Q$263,4,0)</f>
        <v>0</v>
      </c>
      <c r="E31" s="69">
        <f>VLOOKUP(A31,DMTK!$B$5:$Q$263,5,0)</f>
        <v>0</v>
      </c>
      <c r="F31" s="69">
        <f>SUMIFS(CT!$F$5:$F$143,CT!$D$5:$D$143,BTHCTVTHH!A31)</f>
        <v>0</v>
      </c>
      <c r="G31" s="69">
        <f>SUMIFS(CT!$H$5:$H$143,CT!$D$5:$D$143,BTHCTVTHH!A31)</f>
        <v>1655000</v>
      </c>
      <c r="H31" s="69">
        <f>SUMIFS(CT!$F$5:$F$143,CT!$E$5:$E$143,BTHCTVTHH!A31)</f>
        <v>0</v>
      </c>
      <c r="I31" s="69">
        <f>SUMIFS(CT!$H$5:$H$143,CT!$E$5:$E$143,BTHCTVTHH!A31)</f>
        <v>0</v>
      </c>
      <c r="J31" s="69">
        <f t="shared" si="0"/>
        <v>0</v>
      </c>
      <c r="K31" s="69">
        <f t="shared" si="1"/>
        <v>1655000</v>
      </c>
      <c r="L31" s="69">
        <f t="shared" si="2"/>
        <v>0</v>
      </c>
      <c r="M31" s="65" t="b">
        <f t="shared" si="3"/>
        <v>0</v>
      </c>
    </row>
    <row r="32" spans="1:13" hidden="1" x14ac:dyDescent="0.25">
      <c r="A32" s="93" t="str">
        <f>DMTK!B30</f>
        <v>1332</v>
      </c>
      <c r="B32" s="65" t="str">
        <f>VLOOKUP(A32,DMTK!$B$5:$Q$263,3,0)</f>
        <v>Thuế GTGT được khấu trừ của TSCĐ</v>
      </c>
      <c r="C32" s="65" t="str">
        <f>VLOOKUP(A32,DMTK!$B$5:$Q$263,16,0)</f>
        <v xml:space="preserve"> </v>
      </c>
      <c r="D32" s="69">
        <f>VLOOKUP(A32,DMTK!$B$5:$Q$263,4,0)</f>
        <v>0</v>
      </c>
      <c r="E32" s="69">
        <f>VLOOKUP(A32,DMTK!$B$5:$Q$263,5,0)</f>
        <v>0</v>
      </c>
      <c r="F32" s="69">
        <f>SUMIFS(CT!$F$5:$F$143,CT!$D$5:$D$143,BTHCTVTHH!A32)</f>
        <v>0</v>
      </c>
      <c r="G32" s="69">
        <f>SUMIFS(CT!$H$5:$H$143,CT!$D$5:$D$143,BTHCTVTHH!A32)</f>
        <v>14000000</v>
      </c>
      <c r="H32" s="69">
        <f>SUMIFS(CT!$F$5:$F$143,CT!$E$5:$E$143,BTHCTVTHH!A32)</f>
        <v>0</v>
      </c>
      <c r="I32" s="69">
        <f>SUMIFS(CT!$H$5:$H$143,CT!$E$5:$E$143,BTHCTVTHH!A32)</f>
        <v>0</v>
      </c>
      <c r="J32" s="69">
        <f t="shared" si="0"/>
        <v>0</v>
      </c>
      <c r="K32" s="69">
        <f t="shared" si="1"/>
        <v>14000000</v>
      </c>
      <c r="L32" s="69">
        <f t="shared" si="2"/>
        <v>0</v>
      </c>
      <c r="M32" s="65" t="b">
        <f t="shared" si="3"/>
        <v>0</v>
      </c>
    </row>
    <row r="33" spans="1:13" hidden="1" x14ac:dyDescent="0.25">
      <c r="A33" s="93" t="str">
        <f>DMTK!B31</f>
        <v>1361</v>
      </c>
      <c r="B33" s="65" t="str">
        <f>VLOOKUP(A33,DMTK!$B$5:$Q$263,3,0)</f>
        <v>Vốn kinh doanh ở các đơn vị trực thuộc</v>
      </c>
      <c r="C33" s="65" t="str">
        <f>VLOOKUP(A33,DMTK!$B$5:$Q$263,16,0)</f>
        <v xml:space="preserve"> </v>
      </c>
      <c r="D33" s="69">
        <f>VLOOKUP(A33,DMTK!$B$5:$Q$263,4,0)</f>
        <v>0</v>
      </c>
      <c r="E33" s="69">
        <f>VLOOKUP(A33,DMTK!$B$5:$Q$263,5,0)</f>
        <v>0</v>
      </c>
      <c r="F33" s="69">
        <f>SUMIFS(CT!$F$5:$F$143,CT!$D$5:$D$143,BTHCTVTHH!A33)</f>
        <v>0</v>
      </c>
      <c r="G33" s="69">
        <f>SUMIFS(CT!$H$5:$H$143,CT!$D$5:$D$143,BTHCTVTHH!A33)</f>
        <v>0</v>
      </c>
      <c r="H33" s="69">
        <f>SUMIFS(CT!$F$5:$F$143,CT!$E$5:$E$143,BTHCTVTHH!A33)</f>
        <v>0</v>
      </c>
      <c r="I33" s="69">
        <f>SUMIFS(CT!$H$5:$H$143,CT!$E$5:$E$143,BTHCTVTHH!A33)</f>
        <v>0</v>
      </c>
      <c r="J33" s="69">
        <f t="shared" si="0"/>
        <v>0</v>
      </c>
      <c r="K33" s="69">
        <f t="shared" si="1"/>
        <v>0</v>
      </c>
      <c r="L33" s="69">
        <f t="shared" si="2"/>
        <v>0</v>
      </c>
      <c r="M33" s="65" t="b">
        <f t="shared" si="3"/>
        <v>0</v>
      </c>
    </row>
    <row r="34" spans="1:13" hidden="1" x14ac:dyDescent="0.25">
      <c r="A34" s="93" t="str">
        <f>DMTK!B32</f>
        <v>13621</v>
      </c>
      <c r="B34" s="65" t="str">
        <f>VLOOKUP(A34,DMTK!$B$5:$Q$263,3,0)</f>
        <v>Phải thu nội bộ về chênh lệch tỷ giá (không quá 12 tháng)</v>
      </c>
      <c r="C34" s="65" t="str">
        <f>VLOOKUP(A34,DMTK!$B$5:$Q$263,16,0)</f>
        <v xml:space="preserve"> </v>
      </c>
      <c r="D34" s="69">
        <f>VLOOKUP(A34,DMTK!$B$5:$Q$263,4,0)</f>
        <v>0</v>
      </c>
      <c r="E34" s="69">
        <f>VLOOKUP(A34,DMTK!$B$5:$Q$263,5,0)</f>
        <v>0</v>
      </c>
      <c r="F34" s="69">
        <f>SUMIFS(CT!$F$5:$F$143,CT!$D$5:$D$143,BTHCTVTHH!A34)</f>
        <v>0</v>
      </c>
      <c r="G34" s="69">
        <f>SUMIFS(CT!$H$5:$H$143,CT!$D$5:$D$143,BTHCTVTHH!A34)</f>
        <v>0</v>
      </c>
      <c r="H34" s="69">
        <f>SUMIFS(CT!$F$5:$F$143,CT!$E$5:$E$143,BTHCTVTHH!A34)</f>
        <v>0</v>
      </c>
      <c r="I34" s="69">
        <f>SUMIFS(CT!$H$5:$H$143,CT!$E$5:$E$143,BTHCTVTHH!A34)</f>
        <v>0</v>
      </c>
      <c r="J34" s="69">
        <f t="shared" si="0"/>
        <v>0</v>
      </c>
      <c r="K34" s="69">
        <f t="shared" si="1"/>
        <v>0</v>
      </c>
      <c r="L34" s="69">
        <f t="shared" si="2"/>
        <v>0</v>
      </c>
      <c r="M34" s="65" t="b">
        <f t="shared" si="3"/>
        <v>0</v>
      </c>
    </row>
    <row r="35" spans="1:13" hidden="1" x14ac:dyDescent="0.25">
      <c r="A35" s="93" t="str">
        <f>DMTK!B33</f>
        <v>13622</v>
      </c>
      <c r="B35" s="65" t="str">
        <f>VLOOKUP(A35,DMTK!$B$5:$Q$263,3,0)</f>
        <v>Phải thu nội bộ về chênh lệch tỷ giá (trên 12 tháng)</v>
      </c>
      <c r="C35" s="65" t="str">
        <f>VLOOKUP(A35,DMTK!$B$5:$Q$263,16,0)</f>
        <v xml:space="preserve"> </v>
      </c>
      <c r="D35" s="69">
        <f>VLOOKUP(A35,DMTK!$B$5:$Q$263,4,0)</f>
        <v>0</v>
      </c>
      <c r="E35" s="69">
        <f>VLOOKUP(A35,DMTK!$B$5:$Q$263,5,0)</f>
        <v>0</v>
      </c>
      <c r="F35" s="69">
        <f>SUMIFS(CT!$F$5:$F$143,CT!$D$5:$D$143,BTHCTVTHH!A35)</f>
        <v>0</v>
      </c>
      <c r="G35" s="69">
        <f>SUMIFS(CT!$H$5:$H$143,CT!$D$5:$D$143,BTHCTVTHH!A35)</f>
        <v>0</v>
      </c>
      <c r="H35" s="69">
        <f>SUMIFS(CT!$F$5:$F$143,CT!$E$5:$E$143,BTHCTVTHH!A35)</f>
        <v>0</v>
      </c>
      <c r="I35" s="69">
        <f>SUMIFS(CT!$H$5:$H$143,CT!$E$5:$E$143,BTHCTVTHH!A35)</f>
        <v>0</v>
      </c>
      <c r="J35" s="69">
        <f t="shared" si="0"/>
        <v>0</v>
      </c>
      <c r="K35" s="69">
        <f t="shared" si="1"/>
        <v>0</v>
      </c>
      <c r="L35" s="69">
        <f t="shared" si="2"/>
        <v>0</v>
      </c>
      <c r="M35" s="65" t="b">
        <f t="shared" si="3"/>
        <v>0</v>
      </c>
    </row>
    <row r="36" spans="1:13" hidden="1" x14ac:dyDescent="0.25">
      <c r="A36" s="93" t="str">
        <f>DMTK!B34</f>
        <v>13631</v>
      </c>
      <c r="B36" s="65" t="str">
        <f>VLOOKUP(A36,DMTK!$B$5:$Q$263,3,0)</f>
        <v>Phải thu nội bộ về chi phí đi vay đủ điều kiện được vốn hóa (không quá 12 tháng)</v>
      </c>
      <c r="C36" s="65" t="str">
        <f>VLOOKUP(A36,DMTK!$B$5:$Q$263,16,0)</f>
        <v xml:space="preserve"> </v>
      </c>
      <c r="D36" s="69">
        <f>VLOOKUP(A36,DMTK!$B$5:$Q$263,4,0)</f>
        <v>0</v>
      </c>
      <c r="E36" s="69">
        <f>VLOOKUP(A36,DMTK!$B$5:$Q$263,5,0)</f>
        <v>0</v>
      </c>
      <c r="F36" s="69">
        <f>SUMIFS(CT!$F$5:$F$143,CT!$D$5:$D$143,BTHCTVTHH!A36)</f>
        <v>0</v>
      </c>
      <c r="G36" s="69">
        <f>SUMIFS(CT!$H$5:$H$143,CT!$D$5:$D$143,BTHCTVTHH!A36)</f>
        <v>0</v>
      </c>
      <c r="H36" s="69">
        <f>SUMIFS(CT!$F$5:$F$143,CT!$E$5:$E$143,BTHCTVTHH!A36)</f>
        <v>0</v>
      </c>
      <c r="I36" s="69">
        <f>SUMIFS(CT!$H$5:$H$143,CT!$E$5:$E$143,BTHCTVTHH!A36)</f>
        <v>0</v>
      </c>
      <c r="J36" s="69">
        <f t="shared" si="0"/>
        <v>0</v>
      </c>
      <c r="K36" s="69">
        <f t="shared" si="1"/>
        <v>0</v>
      </c>
      <c r="L36" s="69">
        <f t="shared" si="2"/>
        <v>0</v>
      </c>
      <c r="M36" s="65" t="b">
        <f t="shared" si="3"/>
        <v>0</v>
      </c>
    </row>
    <row r="37" spans="1:13" hidden="1" x14ac:dyDescent="0.25">
      <c r="A37" s="93" t="str">
        <f>DMTK!B35</f>
        <v>13632</v>
      </c>
      <c r="B37" s="65" t="str">
        <f>VLOOKUP(A37,DMTK!$B$5:$Q$263,3,0)</f>
        <v>Phải thu nội bộ về chi phí đi vay đủ điều kiện được vốn hóa (trên 12 tháng)</v>
      </c>
      <c r="C37" s="65" t="str">
        <f>VLOOKUP(A37,DMTK!$B$5:$Q$263,16,0)</f>
        <v xml:space="preserve"> </v>
      </c>
      <c r="D37" s="69">
        <f>VLOOKUP(A37,DMTK!$B$5:$Q$263,4,0)</f>
        <v>0</v>
      </c>
      <c r="E37" s="69">
        <f>VLOOKUP(A37,DMTK!$B$5:$Q$263,5,0)</f>
        <v>0</v>
      </c>
      <c r="F37" s="69">
        <f>SUMIFS(CT!$F$5:$F$143,CT!$D$5:$D$143,BTHCTVTHH!A37)</f>
        <v>0</v>
      </c>
      <c r="G37" s="69">
        <f>SUMIFS(CT!$H$5:$H$143,CT!$D$5:$D$143,BTHCTVTHH!A37)</f>
        <v>0</v>
      </c>
      <c r="H37" s="69">
        <f>SUMIFS(CT!$F$5:$F$143,CT!$E$5:$E$143,BTHCTVTHH!A37)</f>
        <v>0</v>
      </c>
      <c r="I37" s="69">
        <f>SUMIFS(CT!$H$5:$H$143,CT!$E$5:$E$143,BTHCTVTHH!A37)</f>
        <v>0</v>
      </c>
      <c r="J37" s="69">
        <f t="shared" si="0"/>
        <v>0</v>
      </c>
      <c r="K37" s="69">
        <f t="shared" si="1"/>
        <v>0</v>
      </c>
      <c r="L37" s="69">
        <f t="shared" si="2"/>
        <v>0</v>
      </c>
      <c r="M37" s="65" t="b">
        <f t="shared" si="3"/>
        <v>0</v>
      </c>
    </row>
    <row r="38" spans="1:13" hidden="1" x14ac:dyDescent="0.25">
      <c r="A38" s="93" t="str">
        <f>DMTK!B36</f>
        <v>13681</v>
      </c>
      <c r="B38" s="65" t="str">
        <f>VLOOKUP(A38,DMTK!$B$5:$Q$263,3,0)</f>
        <v>Phải thu nội bộ khác (không quá 12 tháng)</v>
      </c>
      <c r="C38" s="65" t="str">
        <f>VLOOKUP(A38,DMTK!$B$5:$Q$263,16,0)</f>
        <v xml:space="preserve"> </v>
      </c>
      <c r="D38" s="69">
        <f>VLOOKUP(A38,DMTK!$B$5:$Q$263,4,0)</f>
        <v>0</v>
      </c>
      <c r="E38" s="69">
        <f>VLOOKUP(A38,DMTK!$B$5:$Q$263,5,0)</f>
        <v>0</v>
      </c>
      <c r="F38" s="69">
        <f>SUMIFS(CT!$F$5:$F$143,CT!$D$5:$D$143,BTHCTVTHH!A38)</f>
        <v>0</v>
      </c>
      <c r="G38" s="69">
        <f>SUMIFS(CT!$H$5:$H$143,CT!$D$5:$D$143,BTHCTVTHH!A38)</f>
        <v>0</v>
      </c>
      <c r="H38" s="69">
        <f>SUMIFS(CT!$F$5:$F$143,CT!$E$5:$E$143,BTHCTVTHH!A38)</f>
        <v>0</v>
      </c>
      <c r="I38" s="69">
        <f>SUMIFS(CT!$H$5:$H$143,CT!$E$5:$E$143,BTHCTVTHH!A38)</f>
        <v>0</v>
      </c>
      <c r="J38" s="69">
        <f t="shared" si="0"/>
        <v>0</v>
      </c>
      <c r="K38" s="69">
        <f t="shared" si="1"/>
        <v>0</v>
      </c>
      <c r="L38" s="69">
        <f t="shared" si="2"/>
        <v>0</v>
      </c>
      <c r="M38" s="65" t="b">
        <f t="shared" si="3"/>
        <v>0</v>
      </c>
    </row>
    <row r="39" spans="1:13" hidden="1" x14ac:dyDescent="0.25">
      <c r="A39" s="93" t="str">
        <f>DMTK!B37</f>
        <v>13682</v>
      </c>
      <c r="B39" s="65" t="str">
        <f>VLOOKUP(A39,DMTK!$B$5:$Q$263,3,0)</f>
        <v>Phải thu nội bộ khác (trên 12 tháng)</v>
      </c>
      <c r="C39" s="65" t="str">
        <f>VLOOKUP(A39,DMTK!$B$5:$Q$263,16,0)</f>
        <v xml:space="preserve"> </v>
      </c>
      <c r="D39" s="69">
        <f>VLOOKUP(A39,DMTK!$B$5:$Q$263,4,0)</f>
        <v>0</v>
      </c>
      <c r="E39" s="69">
        <f>VLOOKUP(A39,DMTK!$B$5:$Q$263,5,0)</f>
        <v>0</v>
      </c>
      <c r="F39" s="69">
        <f>SUMIFS(CT!$F$5:$F$143,CT!$D$5:$D$143,BTHCTVTHH!A39)</f>
        <v>0</v>
      </c>
      <c r="G39" s="69">
        <f>SUMIFS(CT!$H$5:$H$143,CT!$D$5:$D$143,BTHCTVTHH!A39)</f>
        <v>0</v>
      </c>
      <c r="H39" s="69">
        <f>SUMIFS(CT!$F$5:$F$143,CT!$E$5:$E$143,BTHCTVTHH!A39)</f>
        <v>0</v>
      </c>
      <c r="I39" s="69">
        <f>SUMIFS(CT!$H$5:$H$143,CT!$E$5:$E$143,BTHCTVTHH!A39)</f>
        <v>0</v>
      </c>
      <c r="J39" s="69">
        <f t="shared" si="0"/>
        <v>0</v>
      </c>
      <c r="K39" s="69">
        <f t="shared" si="1"/>
        <v>0</v>
      </c>
      <c r="L39" s="69">
        <f t="shared" si="2"/>
        <v>0</v>
      </c>
      <c r="M39" s="65" t="b">
        <f t="shared" si="3"/>
        <v>0</v>
      </c>
    </row>
    <row r="40" spans="1:13" hidden="1" x14ac:dyDescent="0.25">
      <c r="A40" s="93" t="str">
        <f>DMTK!B38</f>
        <v>1381</v>
      </c>
      <c r="B40" s="65" t="str">
        <f>VLOOKUP(A40,DMTK!$B$5:$Q$263,3,0)</f>
        <v>Tài sản thiếu chờ xử lý</v>
      </c>
      <c r="C40" s="65" t="str">
        <f>VLOOKUP(A40,DMTK!$B$5:$Q$263,16,0)</f>
        <v xml:space="preserve"> </v>
      </c>
      <c r="D40" s="69">
        <f>VLOOKUP(A40,DMTK!$B$5:$Q$263,4,0)</f>
        <v>0</v>
      </c>
      <c r="E40" s="69">
        <f>VLOOKUP(A40,DMTK!$B$5:$Q$263,5,0)</f>
        <v>0</v>
      </c>
      <c r="F40" s="69">
        <f>SUMIFS(CT!$F$5:$F$143,CT!$D$5:$D$143,BTHCTVTHH!A40)</f>
        <v>0</v>
      </c>
      <c r="G40" s="69">
        <f>SUMIFS(CT!$H$5:$H$143,CT!$D$5:$D$143,BTHCTVTHH!A40)</f>
        <v>0</v>
      </c>
      <c r="H40" s="69">
        <f>SUMIFS(CT!$F$5:$F$143,CT!$E$5:$E$143,BTHCTVTHH!A40)</f>
        <v>0</v>
      </c>
      <c r="I40" s="69">
        <f>SUMIFS(CT!$H$5:$H$143,CT!$E$5:$E$143,BTHCTVTHH!A40)</f>
        <v>0</v>
      </c>
      <c r="J40" s="69">
        <f t="shared" si="0"/>
        <v>0</v>
      </c>
      <c r="K40" s="69">
        <f t="shared" si="1"/>
        <v>0</v>
      </c>
      <c r="L40" s="69">
        <f t="shared" si="2"/>
        <v>0</v>
      </c>
      <c r="M40" s="65" t="b">
        <f t="shared" si="3"/>
        <v>0</v>
      </c>
    </row>
    <row r="41" spans="1:13" hidden="1" x14ac:dyDescent="0.25">
      <c r="A41" s="93" t="str">
        <f>DMTK!B39</f>
        <v>13851</v>
      </c>
      <c r="B41" s="65" t="str">
        <f>VLOOKUP(A41,DMTK!$B$5:$Q$263,3,0)</f>
        <v>Phải thu về cổ phần hóa (không quá 12 tháng)</v>
      </c>
      <c r="C41" s="65" t="str">
        <f>VLOOKUP(A41,DMTK!$B$5:$Q$263,16,0)</f>
        <v xml:space="preserve"> </v>
      </c>
      <c r="D41" s="69">
        <f>VLOOKUP(A41,DMTK!$B$5:$Q$263,4,0)</f>
        <v>0</v>
      </c>
      <c r="E41" s="69">
        <f>VLOOKUP(A41,DMTK!$B$5:$Q$263,5,0)</f>
        <v>0</v>
      </c>
      <c r="F41" s="69">
        <f>SUMIFS(CT!$F$5:$F$143,CT!$D$5:$D$143,BTHCTVTHH!A41)</f>
        <v>0</v>
      </c>
      <c r="G41" s="69">
        <f>SUMIFS(CT!$H$5:$H$143,CT!$D$5:$D$143,BTHCTVTHH!A41)</f>
        <v>0</v>
      </c>
      <c r="H41" s="69">
        <f>SUMIFS(CT!$F$5:$F$143,CT!$E$5:$E$143,BTHCTVTHH!A41)</f>
        <v>0</v>
      </c>
      <c r="I41" s="69">
        <f>SUMIFS(CT!$H$5:$H$143,CT!$E$5:$E$143,BTHCTVTHH!A41)</f>
        <v>0</v>
      </c>
      <c r="J41" s="69">
        <f t="shared" si="0"/>
        <v>0</v>
      </c>
      <c r="K41" s="69">
        <f t="shared" si="1"/>
        <v>0</v>
      </c>
      <c r="L41" s="69">
        <f t="shared" si="2"/>
        <v>0</v>
      </c>
      <c r="M41" s="65" t="b">
        <f t="shared" si="3"/>
        <v>0</v>
      </c>
    </row>
    <row r="42" spans="1:13" hidden="1" x14ac:dyDescent="0.25">
      <c r="A42" s="93" t="str">
        <f>DMTK!B40</f>
        <v>13852</v>
      </c>
      <c r="B42" s="65" t="str">
        <f>VLOOKUP(A42,DMTK!$B$5:$Q$263,3,0)</f>
        <v>Phải thu về cổ phần hóa</v>
      </c>
      <c r="C42" s="65" t="str">
        <f>VLOOKUP(A42,DMTK!$B$5:$Q$263,16,0)</f>
        <v xml:space="preserve"> </v>
      </c>
      <c r="D42" s="69">
        <f>VLOOKUP(A42,DMTK!$B$5:$Q$263,4,0)</f>
        <v>0</v>
      </c>
      <c r="E42" s="69">
        <f>VLOOKUP(A42,DMTK!$B$5:$Q$263,5,0)</f>
        <v>0</v>
      </c>
      <c r="F42" s="69">
        <f>SUMIFS(CT!$F$5:$F$143,CT!$D$5:$D$143,BTHCTVTHH!A42)</f>
        <v>0</v>
      </c>
      <c r="G42" s="69">
        <f>SUMIFS(CT!$H$5:$H$143,CT!$D$5:$D$143,BTHCTVTHH!A42)</f>
        <v>0</v>
      </c>
      <c r="H42" s="69">
        <f>SUMIFS(CT!$F$5:$F$143,CT!$E$5:$E$143,BTHCTVTHH!A42)</f>
        <v>0</v>
      </c>
      <c r="I42" s="69">
        <f>SUMIFS(CT!$H$5:$H$143,CT!$E$5:$E$143,BTHCTVTHH!A42)</f>
        <v>0</v>
      </c>
      <c r="J42" s="69">
        <f t="shared" si="0"/>
        <v>0</v>
      </c>
      <c r="K42" s="69">
        <f t="shared" si="1"/>
        <v>0</v>
      </c>
      <c r="L42" s="69">
        <f t="shared" si="2"/>
        <v>0</v>
      </c>
      <c r="M42" s="65" t="b">
        <f t="shared" si="3"/>
        <v>0</v>
      </c>
    </row>
    <row r="43" spans="1:13" hidden="1" x14ac:dyDescent="0.25">
      <c r="A43" s="93" t="str">
        <f>DMTK!B41</f>
        <v>13881</v>
      </c>
      <c r="B43" s="65" t="str">
        <f>VLOOKUP(A43,DMTK!$B$5:$Q$263,3,0)</f>
        <v>Phải thu khác (không quá 12 tháng)</v>
      </c>
      <c r="C43" s="65" t="str">
        <f>VLOOKUP(A43,DMTK!$B$5:$Q$263,16,0)</f>
        <v xml:space="preserve"> </v>
      </c>
      <c r="D43" s="69">
        <f>VLOOKUP(A43,DMTK!$B$5:$Q$263,4,0)</f>
        <v>0</v>
      </c>
      <c r="E43" s="69">
        <f>VLOOKUP(A43,DMTK!$B$5:$Q$263,5,0)</f>
        <v>52200000</v>
      </c>
      <c r="F43" s="69">
        <f>SUMIFS(CT!$F$5:$F$143,CT!$D$5:$D$143,BTHCTVTHH!A43)</f>
        <v>0</v>
      </c>
      <c r="G43" s="69">
        <f>SUMIFS(CT!$H$5:$H$143,CT!$D$5:$D$143,BTHCTVTHH!A43)</f>
        <v>0</v>
      </c>
      <c r="H43" s="69">
        <f>SUMIFS(CT!$F$5:$F$143,CT!$E$5:$E$143,BTHCTVTHH!A43)</f>
        <v>0</v>
      </c>
      <c r="I43" s="69">
        <f>SUMIFS(CT!$H$5:$H$143,CT!$E$5:$E$143,BTHCTVTHH!A43)</f>
        <v>0</v>
      </c>
      <c r="J43" s="69">
        <f t="shared" si="0"/>
        <v>0</v>
      </c>
      <c r="K43" s="69">
        <f t="shared" si="1"/>
        <v>52200000</v>
      </c>
      <c r="L43" s="69">
        <f t="shared" si="2"/>
        <v>0</v>
      </c>
      <c r="M43" s="65" t="b">
        <f t="shared" si="3"/>
        <v>0</v>
      </c>
    </row>
    <row r="44" spans="1:13" hidden="1" x14ac:dyDescent="0.25">
      <c r="A44" s="93" t="str">
        <f>DMTK!B42</f>
        <v>13882</v>
      </c>
      <c r="B44" s="65" t="str">
        <f>VLOOKUP(A44,DMTK!$B$5:$Q$263,3,0)</f>
        <v>Phải thu khác (trên 12 tháng)</v>
      </c>
      <c r="C44" s="65" t="str">
        <f>VLOOKUP(A44,DMTK!$B$5:$Q$263,16,0)</f>
        <v xml:space="preserve"> </v>
      </c>
      <c r="D44" s="69">
        <f>VLOOKUP(A44,DMTK!$B$5:$Q$263,4,0)</f>
        <v>0</v>
      </c>
      <c r="E44" s="69">
        <f>VLOOKUP(A44,DMTK!$B$5:$Q$263,5,0)</f>
        <v>0</v>
      </c>
      <c r="F44" s="69">
        <f>SUMIFS(CT!$F$5:$F$143,CT!$D$5:$D$143,BTHCTVTHH!A44)</f>
        <v>0</v>
      </c>
      <c r="G44" s="69">
        <f>SUMIFS(CT!$H$5:$H$143,CT!$D$5:$D$143,BTHCTVTHH!A44)</f>
        <v>0</v>
      </c>
      <c r="H44" s="69">
        <f>SUMIFS(CT!$F$5:$F$143,CT!$E$5:$E$143,BTHCTVTHH!A44)</f>
        <v>0</v>
      </c>
      <c r="I44" s="69">
        <f>SUMIFS(CT!$H$5:$H$143,CT!$E$5:$E$143,BTHCTVTHH!A44)</f>
        <v>0</v>
      </c>
      <c r="J44" s="69">
        <f t="shared" si="0"/>
        <v>0</v>
      </c>
      <c r="K44" s="69">
        <f t="shared" si="1"/>
        <v>0</v>
      </c>
      <c r="L44" s="69">
        <f t="shared" si="2"/>
        <v>0</v>
      </c>
      <c r="M44" s="65" t="b">
        <f t="shared" si="3"/>
        <v>0</v>
      </c>
    </row>
    <row r="45" spans="1:13" hidden="1" x14ac:dyDescent="0.25">
      <c r="A45" s="93" t="str">
        <f>DMTK!B43</f>
        <v>141.0101</v>
      </c>
      <c r="B45" s="65" t="str">
        <f>VLOOKUP(A45,DMTK!$B$5:$Q$263,3,0)</f>
        <v>Vương Thiện Minh</v>
      </c>
      <c r="C45" s="65" t="str">
        <f>VLOOKUP(A45,DMTK!$B$5:$Q$263,16,0)</f>
        <v xml:space="preserve"> </v>
      </c>
      <c r="D45" s="69">
        <f>VLOOKUP(A45,DMTK!$B$5:$Q$263,4,0)</f>
        <v>0</v>
      </c>
      <c r="E45" s="69">
        <f>VLOOKUP(A45,DMTK!$B$5:$Q$263,5,0)</f>
        <v>200000</v>
      </c>
      <c r="F45" s="69">
        <f>SUMIFS(CT!$F$5:$F$143,CT!$D$5:$D$143,BTHCTVTHH!A45)</f>
        <v>0</v>
      </c>
      <c r="G45" s="69">
        <f>SUMIFS(CT!$H$5:$H$143,CT!$D$5:$D$143,BTHCTVTHH!A45)</f>
        <v>0</v>
      </c>
      <c r="H45" s="69">
        <f>SUMIFS(CT!$F$5:$F$143,CT!$E$5:$E$143,BTHCTVTHH!A45)</f>
        <v>0</v>
      </c>
      <c r="I45" s="69">
        <f>SUMIFS(CT!$H$5:$H$143,CT!$E$5:$E$143,BTHCTVTHH!A45)</f>
        <v>0</v>
      </c>
      <c r="J45" s="69">
        <f t="shared" si="0"/>
        <v>0</v>
      </c>
      <c r="K45" s="69">
        <f t="shared" si="1"/>
        <v>200000</v>
      </c>
      <c r="L45" s="69">
        <f t="shared" si="2"/>
        <v>0</v>
      </c>
      <c r="M45" s="65" t="b">
        <f t="shared" si="3"/>
        <v>0</v>
      </c>
    </row>
    <row r="46" spans="1:13" hidden="1" x14ac:dyDescent="0.25">
      <c r="A46" s="93" t="str">
        <f>DMTK!B44</f>
        <v>141.0102</v>
      </c>
      <c r="B46" s="65" t="str">
        <f>VLOOKUP(A46,DMTK!$B$5:$Q$263,3,0)</f>
        <v>Hồ Sĩ Nhật</v>
      </c>
      <c r="C46" s="65" t="str">
        <f>VLOOKUP(A46,DMTK!$B$5:$Q$263,16,0)</f>
        <v xml:space="preserve"> </v>
      </c>
      <c r="D46" s="69">
        <f>VLOOKUP(A46,DMTK!$B$5:$Q$263,4,0)</f>
        <v>0</v>
      </c>
      <c r="E46" s="69">
        <f>VLOOKUP(A46,DMTK!$B$5:$Q$263,5,0)</f>
        <v>1000000</v>
      </c>
      <c r="F46" s="69">
        <f>SUMIFS(CT!$F$5:$F$143,CT!$D$5:$D$143,BTHCTVTHH!A46)</f>
        <v>0</v>
      </c>
      <c r="G46" s="69">
        <f>SUMIFS(CT!$H$5:$H$143,CT!$D$5:$D$143,BTHCTVTHH!A46)</f>
        <v>2000000</v>
      </c>
      <c r="H46" s="69">
        <f>SUMIFS(CT!$F$5:$F$143,CT!$E$5:$E$143,BTHCTVTHH!A46)</f>
        <v>0</v>
      </c>
      <c r="I46" s="69">
        <f>SUMIFS(CT!$H$5:$H$143,CT!$E$5:$E$143,BTHCTVTHH!A46)</f>
        <v>2000000</v>
      </c>
      <c r="J46" s="69">
        <f t="shared" si="0"/>
        <v>0</v>
      </c>
      <c r="K46" s="69">
        <f t="shared" si="1"/>
        <v>1000000</v>
      </c>
      <c r="L46" s="69">
        <f t="shared" si="2"/>
        <v>0</v>
      </c>
      <c r="M46" s="65" t="b">
        <f t="shared" si="3"/>
        <v>0</v>
      </c>
    </row>
    <row r="47" spans="1:13" hidden="1" x14ac:dyDescent="0.25">
      <c r="A47" s="93" t="str">
        <f>DMTK!B45</f>
        <v>141.0103</v>
      </c>
      <c r="B47" s="65" t="str">
        <f>VLOOKUP(A47,DMTK!$B$5:$Q$263,3,0)</f>
        <v>Phạm Minh Duy</v>
      </c>
      <c r="C47" s="65" t="str">
        <f>VLOOKUP(A47,DMTK!$B$5:$Q$263,16,0)</f>
        <v xml:space="preserve"> </v>
      </c>
      <c r="D47" s="69">
        <f>VLOOKUP(A47,DMTK!$B$5:$Q$263,4,0)</f>
        <v>0</v>
      </c>
      <c r="E47" s="69">
        <f>VLOOKUP(A47,DMTK!$B$5:$Q$263,5,0)</f>
        <v>300000</v>
      </c>
      <c r="F47" s="69">
        <f>SUMIFS(CT!$F$5:$F$143,CT!$D$5:$D$143,BTHCTVTHH!A47)</f>
        <v>0</v>
      </c>
      <c r="G47" s="69">
        <f>SUMIFS(CT!$H$5:$H$143,CT!$D$5:$D$143,BTHCTVTHH!A47)</f>
        <v>0</v>
      </c>
      <c r="H47" s="69">
        <f>SUMIFS(CT!$F$5:$F$143,CT!$E$5:$E$143,BTHCTVTHH!A47)</f>
        <v>0</v>
      </c>
      <c r="I47" s="69">
        <f>SUMIFS(CT!$H$5:$H$143,CT!$E$5:$E$143,BTHCTVTHH!A47)</f>
        <v>0</v>
      </c>
      <c r="J47" s="69">
        <f t="shared" si="0"/>
        <v>0</v>
      </c>
      <c r="K47" s="69">
        <f t="shared" si="1"/>
        <v>300000</v>
      </c>
      <c r="L47" s="69">
        <f t="shared" si="2"/>
        <v>0</v>
      </c>
      <c r="M47" s="65" t="b">
        <f t="shared" si="3"/>
        <v>0</v>
      </c>
    </row>
    <row r="48" spans="1:13" hidden="1" x14ac:dyDescent="0.25">
      <c r="A48" s="93" t="str">
        <f>DMTK!B46</f>
        <v>141.0201</v>
      </c>
      <c r="B48" s="65" t="str">
        <f>VLOOKUP(A48,DMTK!$B$5:$Q$263,3,0)</f>
        <v>Đoàn Trâm Anh</v>
      </c>
      <c r="C48" s="65" t="str">
        <f>VLOOKUP(A48,DMTK!$B$5:$Q$263,16,0)</f>
        <v xml:space="preserve"> </v>
      </c>
      <c r="D48" s="69">
        <f>VLOOKUP(A48,DMTK!$B$5:$Q$263,4,0)</f>
        <v>0</v>
      </c>
      <c r="E48" s="69">
        <f>VLOOKUP(A48,DMTK!$B$5:$Q$263,5,0)</f>
        <v>1500000</v>
      </c>
      <c r="F48" s="69">
        <f>SUMIFS(CT!$F$5:$F$143,CT!$D$5:$D$143,BTHCTVTHH!A48)</f>
        <v>0</v>
      </c>
      <c r="G48" s="69">
        <f>SUMIFS(CT!$H$5:$H$143,CT!$D$5:$D$143,BTHCTVTHH!A48)</f>
        <v>0</v>
      </c>
      <c r="H48" s="69">
        <f>SUMIFS(CT!$F$5:$F$143,CT!$E$5:$E$143,BTHCTVTHH!A48)</f>
        <v>0</v>
      </c>
      <c r="I48" s="69">
        <f>SUMIFS(CT!$H$5:$H$143,CT!$E$5:$E$143,BTHCTVTHH!A48)</f>
        <v>0</v>
      </c>
      <c r="J48" s="69">
        <f t="shared" si="0"/>
        <v>0</v>
      </c>
      <c r="K48" s="69">
        <f t="shared" si="1"/>
        <v>1500000</v>
      </c>
      <c r="L48" s="69">
        <f t="shared" si="2"/>
        <v>0</v>
      </c>
      <c r="M48" s="65" t="b">
        <f t="shared" si="3"/>
        <v>0</v>
      </c>
    </row>
    <row r="49" spans="1:13" hidden="1" x14ac:dyDescent="0.25">
      <c r="A49" s="93" t="str">
        <f>DMTK!B47</f>
        <v>141.0202</v>
      </c>
      <c r="B49" s="65" t="str">
        <f>VLOOKUP(A49,DMTK!$B$5:$Q$263,3,0)</f>
        <v>Nguyễn Hoài Nam</v>
      </c>
      <c r="C49" s="65" t="str">
        <f>VLOOKUP(A49,DMTK!$B$5:$Q$263,16,0)</f>
        <v xml:space="preserve"> </v>
      </c>
      <c r="D49" s="69">
        <f>VLOOKUP(A49,DMTK!$B$5:$Q$263,4,0)</f>
        <v>0</v>
      </c>
      <c r="E49" s="69">
        <f>VLOOKUP(A49,DMTK!$B$5:$Q$263,5,0)</f>
        <v>500000</v>
      </c>
      <c r="F49" s="69">
        <f>SUMIFS(CT!$F$5:$F$143,CT!$D$5:$D$143,BTHCTVTHH!A49)</f>
        <v>0</v>
      </c>
      <c r="G49" s="69">
        <f>SUMIFS(CT!$H$5:$H$143,CT!$D$5:$D$143,BTHCTVTHH!A49)</f>
        <v>0</v>
      </c>
      <c r="H49" s="69">
        <f>SUMIFS(CT!$F$5:$F$143,CT!$E$5:$E$143,BTHCTVTHH!A49)</f>
        <v>0</v>
      </c>
      <c r="I49" s="69">
        <f>SUMIFS(CT!$H$5:$H$143,CT!$E$5:$E$143,BTHCTVTHH!A49)</f>
        <v>0</v>
      </c>
      <c r="J49" s="69">
        <f t="shared" si="0"/>
        <v>0</v>
      </c>
      <c r="K49" s="69">
        <f t="shared" si="1"/>
        <v>500000</v>
      </c>
      <c r="L49" s="69">
        <f t="shared" si="2"/>
        <v>0</v>
      </c>
      <c r="M49" s="65" t="b">
        <f t="shared" si="3"/>
        <v>0</v>
      </c>
    </row>
    <row r="50" spans="1:13" hidden="1" x14ac:dyDescent="0.25">
      <c r="A50" s="93" t="str">
        <f>DMTK!B48</f>
        <v>151</v>
      </c>
      <c r="B50" s="65" t="str">
        <f>VLOOKUP(A50,DMTK!$B$5:$Q$263,3,0)</f>
        <v>Hàng hóa đang đi đường</v>
      </c>
      <c r="C50" s="65" t="str">
        <f>VLOOKUP(A50,DMTK!$B$5:$Q$263,16,0)</f>
        <v xml:space="preserve"> </v>
      </c>
      <c r="D50" s="69">
        <f>VLOOKUP(A50,DMTK!$B$5:$Q$263,4,0)</f>
        <v>0</v>
      </c>
      <c r="E50" s="69">
        <f>VLOOKUP(A50,DMTK!$B$5:$Q$263,5,0)</f>
        <v>0</v>
      </c>
      <c r="F50" s="69">
        <f>SUMIFS(CT!$F$5:$F$143,CT!$D$5:$D$143,BTHCTVTHH!A50)</f>
        <v>0</v>
      </c>
      <c r="G50" s="69">
        <f>SUMIFS(CT!$H$5:$H$143,CT!$D$5:$D$143,BTHCTVTHH!A50)</f>
        <v>0</v>
      </c>
      <c r="H50" s="69">
        <f>SUMIFS(CT!$F$5:$F$143,CT!$E$5:$E$143,BTHCTVTHH!A50)</f>
        <v>0</v>
      </c>
      <c r="I50" s="69">
        <f>SUMIFS(CT!$H$5:$H$143,CT!$E$5:$E$143,BTHCTVTHH!A50)</f>
        <v>0</v>
      </c>
      <c r="J50" s="69">
        <f t="shared" si="0"/>
        <v>0</v>
      </c>
      <c r="K50" s="69">
        <f t="shared" si="1"/>
        <v>0</v>
      </c>
      <c r="L50" s="69">
        <f t="shared" si="2"/>
        <v>0</v>
      </c>
      <c r="M50" s="65" t="b">
        <f t="shared" si="3"/>
        <v>0</v>
      </c>
    </row>
    <row r="51" spans="1:13" x14ac:dyDescent="0.25">
      <c r="A51" s="93" t="str">
        <f>DMTK!B49</f>
        <v>1521.0101</v>
      </c>
      <c r="B51" s="65" t="str">
        <f>VLOOKUP(A51,DMTK!$B$5:$Q$263,3,0)</f>
        <v>Gỗ cao su</v>
      </c>
      <c r="C51" s="65" t="str">
        <f>VLOOKUP(A51,DMTK!$B$5:$Q$263,16,0)</f>
        <v>M3</v>
      </c>
      <c r="D51" s="69">
        <f>VLOOKUP(A51,DMTK!$B$5:$Q$263,4,0)</f>
        <v>10</v>
      </c>
      <c r="E51" s="69">
        <f>VLOOKUP(A51,DMTK!$B$5:$Q$263,5,0)</f>
        <v>33000000</v>
      </c>
      <c r="F51" s="69">
        <f>SUMIFS(CT!$F$5:$F$143,CT!$D$5:$D$143,BTHCTVTHH!A51)</f>
        <v>0</v>
      </c>
      <c r="G51" s="69">
        <f>SUMIFS(CT!$H$5:$H$143,CT!$D$5:$D$143,BTHCTVTHH!A51)</f>
        <v>0</v>
      </c>
      <c r="H51" s="69">
        <f>SUMIFS(CT!$F$5:$F$143,CT!$E$5:$E$143,BTHCTVTHH!A51)</f>
        <v>4</v>
      </c>
      <c r="I51" s="69">
        <f>SUMIFS(CT!$H$5:$H$143,CT!$E$5:$E$143,BTHCTVTHH!A51)</f>
        <v>13200000</v>
      </c>
      <c r="J51" s="69">
        <f t="shared" si="0"/>
        <v>6</v>
      </c>
      <c r="K51" s="69">
        <f t="shared" si="1"/>
        <v>19800000</v>
      </c>
      <c r="L51" s="69">
        <f t="shared" si="2"/>
        <v>3300000</v>
      </c>
      <c r="M51" s="65" t="b">
        <f t="shared" si="3"/>
        <v>1</v>
      </c>
    </row>
    <row r="52" spans="1:13" x14ac:dyDescent="0.25">
      <c r="A52" s="93" t="str">
        <f>DMTK!B50</f>
        <v>1521.0102</v>
      </c>
      <c r="B52" s="65" t="str">
        <f>VLOOKUP(A52,DMTK!$B$5:$Q$263,3,0)</f>
        <v>Gỗ tràm bông vàng</v>
      </c>
      <c r="C52" s="65" t="str">
        <f>VLOOKUP(A52,DMTK!$B$5:$Q$263,16,0)</f>
        <v>M3</v>
      </c>
      <c r="D52" s="69">
        <f>VLOOKUP(A52,DMTK!$B$5:$Q$263,4,0)</f>
        <v>5</v>
      </c>
      <c r="E52" s="69">
        <f>VLOOKUP(A52,DMTK!$B$5:$Q$263,5,0)</f>
        <v>22000000</v>
      </c>
      <c r="F52" s="69">
        <f>SUMIFS(CT!$F$5:$F$143,CT!$D$5:$D$143,BTHCTVTHH!A52)</f>
        <v>5</v>
      </c>
      <c r="G52" s="69">
        <f>SUMIFS(CT!$H$5:$H$143,CT!$D$5:$D$143,BTHCTVTHH!A52)</f>
        <v>22500000</v>
      </c>
      <c r="H52" s="69">
        <f>SUMIFS(CT!$F$5:$F$143,CT!$E$5:$E$143,BTHCTVTHH!A52)</f>
        <v>0</v>
      </c>
      <c r="I52" s="69">
        <f>SUMIFS(CT!$H$5:$H$143,CT!$E$5:$E$143,BTHCTVTHH!A52)</f>
        <v>0</v>
      </c>
      <c r="J52" s="69">
        <f t="shared" si="0"/>
        <v>10</v>
      </c>
      <c r="K52" s="69">
        <f t="shared" si="1"/>
        <v>44500000</v>
      </c>
      <c r="L52" s="69">
        <f t="shared" si="2"/>
        <v>4450000</v>
      </c>
      <c r="M52" s="65" t="b">
        <f t="shared" si="3"/>
        <v>1</v>
      </c>
    </row>
    <row r="53" spans="1:13" x14ac:dyDescent="0.25">
      <c r="A53" s="93" t="str">
        <f>DMTK!B51</f>
        <v>1521.0103</v>
      </c>
      <c r="B53" s="65" t="str">
        <f>VLOOKUP(A53,DMTK!$B$5:$Q$263,3,0)</f>
        <v>Gỗ thông</v>
      </c>
      <c r="C53" s="65" t="str">
        <f>VLOOKUP(A53,DMTK!$B$5:$Q$263,16,0)</f>
        <v>M3</v>
      </c>
      <c r="D53" s="69">
        <f>VLOOKUP(A53,DMTK!$B$5:$Q$263,4,0)</f>
        <v>4</v>
      </c>
      <c r="E53" s="69">
        <f>VLOOKUP(A53,DMTK!$B$5:$Q$263,5,0)</f>
        <v>14400000</v>
      </c>
      <c r="F53" s="69">
        <f>SUMIFS(CT!$F$5:$F$143,CT!$D$5:$D$143,BTHCTVTHH!A53)</f>
        <v>0</v>
      </c>
      <c r="G53" s="69">
        <f>SUMIFS(CT!$H$5:$H$143,CT!$D$5:$D$143,BTHCTVTHH!A53)</f>
        <v>0</v>
      </c>
      <c r="H53" s="69">
        <f>SUMIFS(CT!$F$5:$F$143,CT!$E$5:$E$143,BTHCTVTHH!A53)</f>
        <v>0</v>
      </c>
      <c r="I53" s="69">
        <f>SUMIFS(CT!$H$5:$H$143,CT!$E$5:$E$143,BTHCTVTHH!A53)</f>
        <v>0</v>
      </c>
      <c r="J53" s="69">
        <f t="shared" si="0"/>
        <v>4</v>
      </c>
      <c r="K53" s="69">
        <f t="shared" si="1"/>
        <v>14400000</v>
      </c>
      <c r="L53" s="69">
        <f t="shared" si="2"/>
        <v>3600000</v>
      </c>
      <c r="M53" s="65" t="b">
        <f t="shared" si="3"/>
        <v>1</v>
      </c>
    </row>
    <row r="54" spans="1:13" x14ac:dyDescent="0.25">
      <c r="A54" s="93" t="str">
        <f>DMTK!B52</f>
        <v>1521.0201</v>
      </c>
      <c r="B54" s="65" t="str">
        <f>VLOOKUP(A54,DMTK!$B$5:$Q$263,3,0)</f>
        <v>Ván MDF 9x6x8</v>
      </c>
      <c r="C54" s="65" t="str">
        <f>VLOOKUP(A54,DMTK!$B$5:$Q$263,16,0)</f>
        <v>M2</v>
      </c>
      <c r="D54" s="69">
        <f>VLOOKUP(A54,DMTK!$B$5:$Q$263,4,0)</f>
        <v>200</v>
      </c>
      <c r="E54" s="69">
        <f>VLOOKUP(A54,DMTK!$B$5:$Q$263,5,0)</f>
        <v>24000000</v>
      </c>
      <c r="F54" s="69">
        <f>SUMIFS(CT!$F$5:$F$143,CT!$D$5:$D$143,BTHCTVTHH!A54)</f>
        <v>0</v>
      </c>
      <c r="G54" s="69">
        <f>SUMIFS(CT!$H$5:$H$143,CT!$D$5:$D$143,BTHCTVTHH!A54)</f>
        <v>0</v>
      </c>
      <c r="H54" s="69">
        <f>SUMIFS(CT!$F$5:$F$143,CT!$E$5:$E$143,BTHCTVTHH!A54)</f>
        <v>30</v>
      </c>
      <c r="I54" s="69">
        <f>SUMIFS(CT!$H$5:$H$143,CT!$E$5:$E$143,BTHCTVTHH!A54)</f>
        <v>3600000</v>
      </c>
      <c r="J54" s="69">
        <f t="shared" si="0"/>
        <v>170</v>
      </c>
      <c r="K54" s="69">
        <f t="shared" si="1"/>
        <v>20400000</v>
      </c>
      <c r="L54" s="69">
        <f t="shared" si="2"/>
        <v>120000</v>
      </c>
      <c r="M54" s="65" t="b">
        <f t="shared" si="3"/>
        <v>1</v>
      </c>
    </row>
    <row r="55" spans="1:13" x14ac:dyDescent="0.25">
      <c r="A55" s="93" t="str">
        <f>DMTK!B53</f>
        <v>1521.0202</v>
      </c>
      <c r="B55" s="65" t="str">
        <f>VLOOKUP(A55,DMTK!$B$5:$Q$263,3,0)</f>
        <v>Ván MDF 9x4x8</v>
      </c>
      <c r="C55" s="65" t="str">
        <f>VLOOKUP(A55,DMTK!$B$5:$Q$263,16,0)</f>
        <v>M2</v>
      </c>
      <c r="D55" s="69">
        <f>VLOOKUP(A55,DMTK!$B$5:$Q$263,4,0)</f>
        <v>300</v>
      </c>
      <c r="E55" s="69">
        <f>VLOOKUP(A55,DMTK!$B$5:$Q$263,5,0)</f>
        <v>31200000</v>
      </c>
      <c r="F55" s="69">
        <f>SUMIFS(CT!$F$5:$F$143,CT!$D$5:$D$143,BTHCTVTHH!A55)</f>
        <v>0</v>
      </c>
      <c r="G55" s="69">
        <f>SUMIFS(CT!$H$5:$H$143,CT!$D$5:$D$143,BTHCTVTHH!A55)</f>
        <v>0</v>
      </c>
      <c r="H55" s="69">
        <f>SUMIFS(CT!$F$5:$F$143,CT!$E$5:$E$143,BTHCTVTHH!A55)</f>
        <v>0</v>
      </c>
      <c r="I55" s="69">
        <f>SUMIFS(CT!$H$5:$H$143,CT!$E$5:$E$143,BTHCTVTHH!A55)</f>
        <v>0</v>
      </c>
      <c r="J55" s="69">
        <f t="shared" si="0"/>
        <v>300</v>
      </c>
      <c r="K55" s="69">
        <f t="shared" si="1"/>
        <v>31200000</v>
      </c>
      <c r="L55" s="69">
        <f t="shared" si="2"/>
        <v>104000</v>
      </c>
      <c r="M55" s="65" t="b">
        <f t="shared" si="3"/>
        <v>1</v>
      </c>
    </row>
    <row r="56" spans="1:13" x14ac:dyDescent="0.25">
      <c r="A56" s="93" t="str">
        <f>DMTK!B54</f>
        <v>1521.0203</v>
      </c>
      <c r="B56" s="65" t="str">
        <f>VLOOKUP(A56,DMTK!$B$5:$Q$263,3,0)</f>
        <v>Ván MDF 4,5x6x8</v>
      </c>
      <c r="C56" s="65" t="str">
        <f>VLOOKUP(A56,DMTK!$B$5:$Q$263,16,0)</f>
        <v>M2</v>
      </c>
      <c r="D56" s="69">
        <f>VLOOKUP(A56,DMTK!$B$5:$Q$263,4,0)</f>
        <v>100</v>
      </c>
      <c r="E56" s="69">
        <f>VLOOKUP(A56,DMTK!$B$5:$Q$263,5,0)</f>
        <v>10000000</v>
      </c>
      <c r="F56" s="69">
        <f>SUMIFS(CT!$F$5:$F$143,CT!$D$5:$D$143,BTHCTVTHH!A56)</f>
        <v>0</v>
      </c>
      <c r="G56" s="69">
        <f>SUMIFS(CT!$H$5:$H$143,CT!$D$5:$D$143,BTHCTVTHH!A56)</f>
        <v>0</v>
      </c>
      <c r="H56" s="69">
        <f>SUMIFS(CT!$F$5:$F$143,CT!$E$5:$E$143,BTHCTVTHH!A56)</f>
        <v>0</v>
      </c>
      <c r="I56" s="69">
        <f>SUMIFS(CT!$H$5:$H$143,CT!$E$5:$E$143,BTHCTVTHH!A56)</f>
        <v>0</v>
      </c>
      <c r="J56" s="69">
        <f t="shared" si="0"/>
        <v>100</v>
      </c>
      <c r="K56" s="69">
        <f t="shared" si="1"/>
        <v>10000000</v>
      </c>
      <c r="L56" s="69">
        <f t="shared" si="2"/>
        <v>100000</v>
      </c>
      <c r="M56" s="65" t="b">
        <f t="shared" si="3"/>
        <v>1</v>
      </c>
    </row>
    <row r="57" spans="1:13" x14ac:dyDescent="0.25">
      <c r="A57" s="93" t="str">
        <f>DMTK!B55</f>
        <v>1521.0301</v>
      </c>
      <c r="B57" s="65" t="str">
        <f>VLOOKUP(A57,DMTK!$B$5:$Q$263,3,0)</f>
        <v>Keo AB</v>
      </c>
      <c r="C57" s="65" t="str">
        <f>VLOOKUP(A57,DMTK!$B$5:$Q$263,16,0)</f>
        <v>Kg</v>
      </c>
      <c r="D57" s="69">
        <f>VLOOKUP(A57,DMTK!$B$5:$Q$263,4,0)</f>
        <v>50</v>
      </c>
      <c r="E57" s="69">
        <f>VLOOKUP(A57,DMTK!$B$5:$Q$263,5,0)</f>
        <v>1200000</v>
      </c>
      <c r="F57" s="69">
        <f>SUMIFS(CT!$F$5:$F$143,CT!$D$5:$D$143,BTHCTVTHH!A57)</f>
        <v>200</v>
      </c>
      <c r="G57" s="69">
        <f>SUMIFS(CT!$H$5:$H$143,CT!$D$5:$D$143,BTHCTVTHH!A57)</f>
        <v>5000000</v>
      </c>
      <c r="H57" s="69">
        <f>SUMIFS(CT!$F$5:$F$143,CT!$E$5:$E$143,BTHCTVTHH!A57)</f>
        <v>0</v>
      </c>
      <c r="I57" s="69">
        <f>SUMIFS(CT!$H$5:$H$143,CT!$E$5:$E$143,BTHCTVTHH!A57)</f>
        <v>0</v>
      </c>
      <c r="J57" s="69">
        <f t="shared" si="0"/>
        <v>250</v>
      </c>
      <c r="K57" s="69">
        <f t="shared" si="1"/>
        <v>6200000</v>
      </c>
      <c r="L57" s="69">
        <f t="shared" si="2"/>
        <v>24800</v>
      </c>
      <c r="M57" s="65" t="b">
        <f t="shared" si="3"/>
        <v>1</v>
      </c>
    </row>
    <row r="58" spans="1:13" x14ac:dyDescent="0.25">
      <c r="A58" s="93" t="str">
        <f>DMTK!B56</f>
        <v>1521.0302</v>
      </c>
      <c r="B58" s="65" t="str">
        <f>VLOOKUP(A58,DMTK!$B$5:$Q$263,3,0)</f>
        <v>Keo ghép</v>
      </c>
      <c r="C58" s="65" t="str">
        <f>VLOOKUP(A58,DMTK!$B$5:$Q$263,16,0)</f>
        <v>Kg</v>
      </c>
      <c r="D58" s="69">
        <f>VLOOKUP(A58,DMTK!$B$5:$Q$263,4,0)</f>
        <v>150</v>
      </c>
      <c r="E58" s="69">
        <f>VLOOKUP(A58,DMTK!$B$5:$Q$263,5,0)</f>
        <v>7200000</v>
      </c>
      <c r="F58" s="69">
        <f>SUMIFS(CT!$F$5:$F$143,CT!$D$5:$D$143,BTHCTVTHH!A58)</f>
        <v>0</v>
      </c>
      <c r="G58" s="69">
        <f>SUMIFS(CT!$H$5:$H$143,CT!$D$5:$D$143,BTHCTVTHH!A58)</f>
        <v>0</v>
      </c>
      <c r="H58" s="69">
        <f>SUMIFS(CT!$F$5:$F$143,CT!$E$5:$E$143,BTHCTVTHH!A58)</f>
        <v>10</v>
      </c>
      <c r="I58" s="69">
        <f>SUMIFS(CT!$H$5:$H$143,CT!$E$5:$E$143,BTHCTVTHH!A58)</f>
        <v>480000</v>
      </c>
      <c r="J58" s="69">
        <f t="shared" si="0"/>
        <v>140</v>
      </c>
      <c r="K58" s="69">
        <f t="shared" si="1"/>
        <v>6720000</v>
      </c>
      <c r="L58" s="69">
        <f t="shared" si="2"/>
        <v>48000</v>
      </c>
      <c r="M58" s="65" t="b">
        <f t="shared" si="3"/>
        <v>1</v>
      </c>
    </row>
    <row r="59" spans="1:13" x14ac:dyDescent="0.25">
      <c r="A59" s="93" t="str">
        <f>DMTK!B57</f>
        <v>1521.0303</v>
      </c>
      <c r="B59" s="65" t="str">
        <f>VLOOKUP(A59,DMTK!$B$5:$Q$263,3,0)</f>
        <v>Keo 502</v>
      </c>
      <c r="C59" s="65" t="str">
        <f>VLOOKUP(A59,DMTK!$B$5:$Q$263,16,0)</f>
        <v>Lít</v>
      </c>
      <c r="D59" s="69">
        <f>VLOOKUP(A59,DMTK!$B$5:$Q$263,4,0)</f>
        <v>500</v>
      </c>
      <c r="E59" s="69">
        <f>VLOOKUP(A59,DMTK!$B$5:$Q$263,5,0)</f>
        <v>1150000</v>
      </c>
      <c r="F59" s="69">
        <f>SUMIFS(CT!$F$5:$F$143,CT!$D$5:$D$143,BTHCTVTHH!A59)</f>
        <v>0</v>
      </c>
      <c r="G59" s="69">
        <f>SUMIFS(CT!$H$5:$H$143,CT!$D$5:$D$143,BTHCTVTHH!A59)</f>
        <v>0</v>
      </c>
      <c r="H59" s="69">
        <f>SUMIFS(CT!$F$5:$F$143,CT!$E$5:$E$143,BTHCTVTHH!A59)</f>
        <v>20</v>
      </c>
      <c r="I59" s="69">
        <f>SUMIFS(CT!$H$5:$H$143,CT!$E$5:$E$143,BTHCTVTHH!A59)</f>
        <v>46000</v>
      </c>
      <c r="J59" s="69">
        <f t="shared" si="0"/>
        <v>480</v>
      </c>
      <c r="K59" s="69">
        <f t="shared" si="1"/>
        <v>1104000</v>
      </c>
      <c r="L59" s="69">
        <f t="shared" si="2"/>
        <v>2300</v>
      </c>
      <c r="M59" s="65" t="b">
        <f t="shared" si="3"/>
        <v>1</v>
      </c>
    </row>
    <row r="60" spans="1:13" x14ac:dyDescent="0.25">
      <c r="A60" s="93" t="str">
        <f>DMTK!B58</f>
        <v>1521.0401</v>
      </c>
      <c r="B60" s="65" t="str">
        <f>VLOOKUP(A60,DMTK!$B$5:$Q$263,3,0)</f>
        <v>AC chuối</v>
      </c>
      <c r="C60" s="65" t="str">
        <f>VLOOKUP(A60,DMTK!$B$5:$Q$263,16,0)</f>
        <v>Lít</v>
      </c>
      <c r="D60" s="69">
        <f>VLOOKUP(A60,DMTK!$B$5:$Q$263,4,0)</f>
        <v>100</v>
      </c>
      <c r="E60" s="69">
        <f>VLOOKUP(A60,DMTK!$B$5:$Q$263,5,0)</f>
        <v>1500000</v>
      </c>
      <c r="F60" s="69">
        <f>SUMIFS(CT!$F$5:$F$143,CT!$D$5:$D$143,BTHCTVTHH!A60)</f>
        <v>200</v>
      </c>
      <c r="G60" s="69">
        <f>SUMIFS(CT!$H$5:$H$143,CT!$D$5:$D$143,BTHCTVTHH!A60)</f>
        <v>3200000</v>
      </c>
      <c r="H60" s="69">
        <f>SUMIFS(CT!$F$5:$F$143,CT!$E$5:$E$143,BTHCTVTHH!A60)</f>
        <v>30</v>
      </c>
      <c r="I60" s="69">
        <f>SUMIFS(CT!$H$5:$H$143,CT!$E$5:$E$143,BTHCTVTHH!A60)</f>
        <v>469980</v>
      </c>
      <c r="J60" s="69">
        <f t="shared" si="0"/>
        <v>270</v>
      </c>
      <c r="K60" s="69">
        <f t="shared" si="1"/>
        <v>4230020</v>
      </c>
      <c r="L60" s="69">
        <f t="shared" si="2"/>
        <v>15666.740740740741</v>
      </c>
      <c r="M60" s="65" t="b">
        <f t="shared" si="3"/>
        <v>1</v>
      </c>
    </row>
    <row r="61" spans="1:13" x14ac:dyDescent="0.25">
      <c r="A61" s="93" t="str">
        <f>DMTK!B59</f>
        <v>1521.0402</v>
      </c>
      <c r="B61" s="65" t="str">
        <f>VLOOKUP(A61,DMTK!$B$5:$Q$263,3,0)</f>
        <v>NC chuối</v>
      </c>
      <c r="C61" s="65" t="str">
        <f>VLOOKUP(A61,DMTK!$B$5:$Q$263,16,0)</f>
        <v>Lít</v>
      </c>
      <c r="D61" s="69">
        <f>VLOOKUP(A61,DMTK!$B$5:$Q$263,4,0)</f>
        <v>50</v>
      </c>
      <c r="E61" s="69">
        <f>VLOOKUP(A61,DMTK!$B$5:$Q$263,5,0)</f>
        <v>850000</v>
      </c>
      <c r="F61" s="69">
        <f>SUMIFS(CT!$F$5:$F$143,CT!$D$5:$D$143,BTHCTVTHH!A61)</f>
        <v>0</v>
      </c>
      <c r="G61" s="69">
        <f>SUMIFS(CT!$H$5:$H$143,CT!$D$5:$D$143,BTHCTVTHH!A61)</f>
        <v>0</v>
      </c>
      <c r="H61" s="69">
        <f>SUMIFS(CT!$F$5:$F$143,CT!$E$5:$E$143,BTHCTVTHH!A61)</f>
        <v>0</v>
      </c>
      <c r="I61" s="69">
        <f>SUMIFS(CT!$H$5:$H$143,CT!$E$5:$E$143,BTHCTVTHH!A61)</f>
        <v>0</v>
      </c>
      <c r="J61" s="69">
        <f t="shared" si="0"/>
        <v>50</v>
      </c>
      <c r="K61" s="69">
        <f t="shared" si="1"/>
        <v>850000</v>
      </c>
      <c r="L61" s="69">
        <f t="shared" si="2"/>
        <v>17000</v>
      </c>
      <c r="M61" s="65" t="b">
        <f t="shared" si="3"/>
        <v>1</v>
      </c>
    </row>
    <row r="62" spans="1:13" x14ac:dyDescent="0.25">
      <c r="A62" s="93" t="str">
        <f>DMTK!B60</f>
        <v>1521.0403</v>
      </c>
      <c r="B62" s="65" t="str">
        <f>VLOOKUP(A62,DMTK!$B$5:$Q$263,3,0)</f>
        <v>Dầu thông</v>
      </c>
      <c r="C62" s="65" t="str">
        <f>VLOOKUP(A62,DMTK!$B$5:$Q$263,16,0)</f>
        <v>Lít</v>
      </c>
      <c r="D62" s="69">
        <f>VLOOKUP(A62,DMTK!$B$5:$Q$263,4,0)</f>
        <v>80</v>
      </c>
      <c r="E62" s="69">
        <f>VLOOKUP(A62,DMTK!$B$5:$Q$263,5,0)</f>
        <v>1040000</v>
      </c>
      <c r="F62" s="69">
        <f>SUMIFS(CT!$F$5:$F$143,CT!$D$5:$D$143,BTHCTVTHH!A62)</f>
        <v>100</v>
      </c>
      <c r="G62" s="69">
        <f>SUMIFS(CT!$H$5:$H$143,CT!$D$5:$D$143,BTHCTVTHH!A62)</f>
        <v>1500000</v>
      </c>
      <c r="H62" s="69">
        <f>SUMIFS(CT!$F$5:$F$143,CT!$E$5:$E$143,BTHCTVTHH!A62)</f>
        <v>20</v>
      </c>
      <c r="I62" s="69">
        <f>SUMIFS(CT!$H$5:$H$143,CT!$E$5:$E$143,BTHCTVTHH!A62)</f>
        <v>282220</v>
      </c>
      <c r="J62" s="69">
        <f t="shared" si="0"/>
        <v>160</v>
      </c>
      <c r="K62" s="69">
        <f t="shared" si="1"/>
        <v>2257780</v>
      </c>
      <c r="L62" s="69">
        <f t="shared" si="2"/>
        <v>14111.125</v>
      </c>
      <c r="M62" s="65" t="b">
        <f t="shared" si="3"/>
        <v>1</v>
      </c>
    </row>
    <row r="63" spans="1:13" x14ac:dyDescent="0.25">
      <c r="A63" s="93" t="str">
        <f>DMTK!B61</f>
        <v>1522</v>
      </c>
      <c r="B63" s="65" t="str">
        <f>VLOOKUP(A63,DMTK!$B$5:$Q$263,3,0)</f>
        <v>Nguyên vật liệu phụ</v>
      </c>
      <c r="C63" s="65" t="str">
        <f>VLOOKUP(A63,DMTK!$B$5:$Q$263,16,0)</f>
        <v xml:space="preserve"> </v>
      </c>
      <c r="D63" s="69">
        <f>VLOOKUP(A63,DMTK!$B$5:$Q$263,4,0)</f>
        <v>0</v>
      </c>
      <c r="E63" s="69">
        <f>VLOOKUP(A63,DMTK!$B$5:$Q$263,5,0)</f>
        <v>0</v>
      </c>
      <c r="F63" s="69">
        <f>SUMIFS(CT!$F$5:$F$143,CT!$D$5:$D$143,BTHCTVTHH!A63)</f>
        <v>0</v>
      </c>
      <c r="G63" s="69">
        <f>SUMIFS(CT!$H$5:$H$143,CT!$D$5:$D$143,BTHCTVTHH!A63)</f>
        <v>0</v>
      </c>
      <c r="H63" s="69">
        <f>SUMIFS(CT!$F$5:$F$143,CT!$E$5:$E$143,BTHCTVTHH!A63)</f>
        <v>0</v>
      </c>
      <c r="I63" s="69">
        <f>SUMIFS(CT!$H$5:$H$143,CT!$E$5:$E$143,BTHCTVTHH!A63)</f>
        <v>0</v>
      </c>
      <c r="J63" s="69">
        <f t="shared" si="0"/>
        <v>0</v>
      </c>
      <c r="K63" s="69">
        <f t="shared" si="1"/>
        <v>0</v>
      </c>
      <c r="L63" s="69">
        <f t="shared" si="2"/>
        <v>0</v>
      </c>
      <c r="M63" s="65" t="b">
        <f t="shared" si="3"/>
        <v>1</v>
      </c>
    </row>
    <row r="64" spans="1:13" hidden="1" x14ac:dyDescent="0.25">
      <c r="A64" s="93" t="str">
        <f>DMTK!B62</f>
        <v>1531.01</v>
      </c>
      <c r="B64" s="65" t="str">
        <f>VLOOKUP(A64,DMTK!$B$5:$Q$263,3,0)</f>
        <v>Máy tính Casio</v>
      </c>
      <c r="C64" s="65" t="str">
        <f>VLOOKUP(A64,DMTK!$B$5:$Q$263,16,0)</f>
        <v>Cái</v>
      </c>
      <c r="D64" s="69">
        <f>VLOOKUP(A64,DMTK!$B$5:$Q$263,4,0)</f>
        <v>15</v>
      </c>
      <c r="E64" s="69">
        <f>VLOOKUP(A64,DMTK!$B$5:$Q$263,5,0)</f>
        <v>7500000</v>
      </c>
      <c r="F64" s="69">
        <f>SUMIFS(CT!$F$5:$F$143,CT!$D$5:$D$143,BTHCTVTHH!A64)</f>
        <v>0</v>
      </c>
      <c r="G64" s="69">
        <f>SUMIFS(CT!$H$5:$H$143,CT!$D$5:$D$143,BTHCTVTHH!A64)</f>
        <v>0</v>
      </c>
      <c r="H64" s="69">
        <f>SUMIFS(CT!$F$5:$F$143,CT!$E$5:$E$143,BTHCTVTHH!A64)</f>
        <v>5</v>
      </c>
      <c r="I64" s="69">
        <f>SUMIFS(CT!$H$5:$H$143,CT!$E$5:$E$143,BTHCTVTHH!A64)</f>
        <v>2500000</v>
      </c>
      <c r="J64" s="69">
        <f t="shared" si="0"/>
        <v>10</v>
      </c>
      <c r="K64" s="69">
        <f t="shared" si="1"/>
        <v>5000000</v>
      </c>
      <c r="L64" s="69">
        <f t="shared" si="2"/>
        <v>500000</v>
      </c>
      <c r="M64" s="65" t="b">
        <f t="shared" si="3"/>
        <v>0</v>
      </c>
    </row>
    <row r="65" spans="1:13" hidden="1" x14ac:dyDescent="0.25">
      <c r="A65" s="93" t="str">
        <f>DMTK!B63</f>
        <v>1531.02</v>
      </c>
      <c r="B65" s="65" t="str">
        <f>VLOOKUP(A65,DMTK!$B$5:$Q$263,3,0)</f>
        <v>Kệ tủ</v>
      </c>
      <c r="C65" s="65" t="str">
        <f>VLOOKUP(A65,DMTK!$B$5:$Q$263,16,0)</f>
        <v>Cái</v>
      </c>
      <c r="D65" s="69">
        <f>VLOOKUP(A65,DMTK!$B$5:$Q$263,4,0)</f>
        <v>20</v>
      </c>
      <c r="E65" s="69">
        <f>VLOOKUP(A65,DMTK!$B$5:$Q$263,5,0)</f>
        <v>5000000</v>
      </c>
      <c r="F65" s="69">
        <f>SUMIFS(CT!$F$5:$F$143,CT!$D$5:$D$143,BTHCTVTHH!A65)</f>
        <v>0</v>
      </c>
      <c r="G65" s="69">
        <f>SUMIFS(CT!$H$5:$H$143,CT!$D$5:$D$143,BTHCTVTHH!A65)</f>
        <v>0</v>
      </c>
      <c r="H65" s="69">
        <f>SUMIFS(CT!$F$5:$F$143,CT!$E$5:$E$143,BTHCTVTHH!A65)</f>
        <v>4</v>
      </c>
      <c r="I65" s="69">
        <f>SUMIFS(CT!$H$5:$H$143,CT!$E$5:$E$143,BTHCTVTHH!A65)</f>
        <v>1000000</v>
      </c>
      <c r="J65" s="69">
        <f t="shared" si="0"/>
        <v>16</v>
      </c>
      <c r="K65" s="69">
        <f t="shared" si="1"/>
        <v>4000000</v>
      </c>
      <c r="L65" s="69">
        <f t="shared" si="2"/>
        <v>250000</v>
      </c>
      <c r="M65" s="65" t="b">
        <f t="shared" si="3"/>
        <v>0</v>
      </c>
    </row>
    <row r="66" spans="1:13" hidden="1" x14ac:dyDescent="0.25">
      <c r="A66" s="93" t="str">
        <f>DMTK!B64</f>
        <v>1531.03</v>
      </c>
      <c r="B66" s="65" t="str">
        <f>VLOOKUP(A66,DMTK!$B$5:$Q$263,3,0)</f>
        <v>Lưỡi cưa</v>
      </c>
      <c r="C66" s="65" t="str">
        <f>VLOOKUP(A66,DMTK!$B$5:$Q$263,16,0)</f>
        <v>Hộp</v>
      </c>
      <c r="D66" s="69">
        <f>VLOOKUP(A66,DMTK!$B$5:$Q$263,4,0)</f>
        <v>100</v>
      </c>
      <c r="E66" s="69">
        <f>VLOOKUP(A66,DMTK!$B$5:$Q$263,5,0)</f>
        <v>1000000</v>
      </c>
      <c r="F66" s="69">
        <f>SUMIFS(CT!$F$5:$F$143,CT!$D$5:$D$143,BTHCTVTHH!A66)</f>
        <v>0</v>
      </c>
      <c r="G66" s="69">
        <f>SUMIFS(CT!$H$5:$H$143,CT!$D$5:$D$143,BTHCTVTHH!A66)</f>
        <v>0</v>
      </c>
      <c r="H66" s="69">
        <f>SUMIFS(CT!$F$5:$F$143,CT!$E$5:$E$143,BTHCTVTHH!A66)</f>
        <v>10</v>
      </c>
      <c r="I66" s="69">
        <f>SUMIFS(CT!$H$5:$H$143,CT!$E$5:$E$143,BTHCTVTHH!A66)</f>
        <v>100000</v>
      </c>
      <c r="J66" s="69">
        <f t="shared" si="0"/>
        <v>90</v>
      </c>
      <c r="K66" s="69">
        <f t="shared" si="1"/>
        <v>900000</v>
      </c>
      <c r="L66" s="69">
        <f t="shared" si="2"/>
        <v>10000</v>
      </c>
      <c r="M66" s="65" t="b">
        <f t="shared" si="3"/>
        <v>0</v>
      </c>
    </row>
    <row r="67" spans="1:13" hidden="1" x14ac:dyDescent="0.25">
      <c r="A67" s="93" t="str">
        <f>DMTK!B65</f>
        <v>1531.04</v>
      </c>
      <c r="B67" s="65" t="str">
        <f>VLOOKUP(A67,DMTK!$B$5:$Q$263,3,0)</f>
        <v>Mũi khoan</v>
      </c>
      <c r="C67" s="65" t="str">
        <f>VLOOKUP(A67,DMTK!$B$5:$Q$263,16,0)</f>
        <v>Hộp</v>
      </c>
      <c r="D67" s="69">
        <f>VLOOKUP(A67,DMTK!$B$5:$Q$263,4,0)</f>
        <v>400</v>
      </c>
      <c r="E67" s="69">
        <f>VLOOKUP(A67,DMTK!$B$5:$Q$263,5,0)</f>
        <v>2000000</v>
      </c>
      <c r="F67" s="69">
        <f>SUMIFS(CT!$F$5:$F$143,CT!$D$5:$D$143,BTHCTVTHH!A67)</f>
        <v>0</v>
      </c>
      <c r="G67" s="69">
        <f>SUMIFS(CT!$H$5:$H$143,CT!$D$5:$D$143,BTHCTVTHH!A67)</f>
        <v>0</v>
      </c>
      <c r="H67" s="69">
        <f>SUMIFS(CT!$F$5:$F$143,CT!$E$5:$E$143,BTHCTVTHH!A67)</f>
        <v>20</v>
      </c>
      <c r="I67" s="69">
        <f>SUMIFS(CT!$H$5:$H$143,CT!$E$5:$E$143,BTHCTVTHH!A67)</f>
        <v>100000</v>
      </c>
      <c r="J67" s="69">
        <f t="shared" si="0"/>
        <v>380</v>
      </c>
      <c r="K67" s="69">
        <f t="shared" si="1"/>
        <v>1900000</v>
      </c>
      <c r="L67" s="69">
        <f t="shared" si="2"/>
        <v>5000</v>
      </c>
      <c r="M67" s="65" t="b">
        <f t="shared" si="3"/>
        <v>0</v>
      </c>
    </row>
    <row r="68" spans="1:13" hidden="1" x14ac:dyDescent="0.25">
      <c r="A68" s="93" t="str">
        <f>DMTK!B66</f>
        <v>1531.05</v>
      </c>
      <c r="B68" s="65" t="str">
        <f>VLOOKUP(A68,DMTK!$B$5:$Q$263,3,0)</f>
        <v>Dao thép</v>
      </c>
      <c r="C68" s="65" t="str">
        <f>VLOOKUP(A68,DMTK!$B$5:$Q$263,16,0)</f>
        <v>Hộp</v>
      </c>
      <c r="D68" s="69">
        <f>VLOOKUP(A68,DMTK!$B$5:$Q$263,4,0)</f>
        <v>100</v>
      </c>
      <c r="E68" s="69">
        <f>VLOOKUP(A68,DMTK!$B$5:$Q$263,5,0)</f>
        <v>1000000</v>
      </c>
      <c r="F68" s="69">
        <f>SUMIFS(CT!$F$5:$F$143,CT!$D$5:$D$143,BTHCTVTHH!A68)</f>
        <v>0</v>
      </c>
      <c r="G68" s="69">
        <f>SUMIFS(CT!$H$5:$H$143,CT!$D$5:$D$143,BTHCTVTHH!A68)</f>
        <v>0</v>
      </c>
      <c r="H68" s="69">
        <f>SUMIFS(CT!$F$5:$F$143,CT!$E$5:$E$143,BTHCTVTHH!A68)</f>
        <v>30</v>
      </c>
      <c r="I68" s="69">
        <f>SUMIFS(CT!$H$5:$H$143,CT!$E$5:$E$143,BTHCTVTHH!A68)</f>
        <v>300000</v>
      </c>
      <c r="J68" s="69">
        <f t="shared" si="0"/>
        <v>70</v>
      </c>
      <c r="K68" s="69">
        <f t="shared" si="1"/>
        <v>700000</v>
      </c>
      <c r="L68" s="69">
        <f t="shared" si="2"/>
        <v>10000</v>
      </c>
      <c r="M68" s="65" t="b">
        <f t="shared" si="3"/>
        <v>0</v>
      </c>
    </row>
    <row r="69" spans="1:13" hidden="1" x14ac:dyDescent="0.25">
      <c r="A69" s="93" t="str">
        <f>DMTK!B67</f>
        <v>154.01</v>
      </c>
      <c r="B69" s="65" t="str">
        <f>VLOOKUP(A69,DMTK!$B$5:$Q$263,3,0)</f>
        <v>Ghế tay vịn</v>
      </c>
      <c r="C69" s="65" t="str">
        <f>VLOOKUP(A69,DMTK!$B$5:$Q$263,16,0)</f>
        <v xml:space="preserve"> </v>
      </c>
      <c r="D69" s="69">
        <f>VLOOKUP(A69,DMTK!$B$5:$Q$263,4,0)</f>
        <v>0</v>
      </c>
      <c r="E69" s="69">
        <f>VLOOKUP(A69,DMTK!$B$5:$Q$263,5,0)</f>
        <v>70000000</v>
      </c>
      <c r="F69" s="69">
        <f>SUMIFS(CT!$F$5:$F$143,CT!$D$5:$D$143,BTHCTVTHH!A69)</f>
        <v>0</v>
      </c>
      <c r="G69" s="69">
        <f>SUMIFS(CT!$H$5:$H$143,CT!$D$5:$D$143,BTHCTVTHH!A69)</f>
        <v>99050185</v>
      </c>
      <c r="H69" s="69">
        <f>SUMIFS(CT!$F$5:$F$143,CT!$E$5:$E$143,BTHCTVTHH!A69)</f>
        <v>405</v>
      </c>
      <c r="I69" s="69">
        <f>SUMIFS(CT!$H$5:$H$143,CT!$E$5:$E$143,BTHCTVTHH!A69)</f>
        <v>102060000</v>
      </c>
      <c r="J69" s="69">
        <f t="shared" si="0"/>
        <v>-405</v>
      </c>
      <c r="K69" s="69">
        <f t="shared" si="1"/>
        <v>66990185</v>
      </c>
      <c r="L69" s="69">
        <f t="shared" si="2"/>
        <v>-165407.86419753087</v>
      </c>
      <c r="M69" s="65" t="b">
        <f t="shared" si="3"/>
        <v>0</v>
      </c>
    </row>
    <row r="70" spans="1:13" hidden="1" x14ac:dyDescent="0.25">
      <c r="A70" s="93" t="str">
        <f>DMTK!B68</f>
        <v>154.02</v>
      </c>
      <c r="B70" s="65" t="str">
        <f>VLOOKUP(A70,DMTK!$B$5:$Q$263,3,0)</f>
        <v>Ghế không tay</v>
      </c>
      <c r="C70" s="65" t="str">
        <f>VLOOKUP(A70,DMTK!$B$5:$Q$263,16,0)</f>
        <v xml:space="preserve"> </v>
      </c>
      <c r="D70" s="69">
        <f>VLOOKUP(A70,DMTK!$B$5:$Q$263,4,0)</f>
        <v>0</v>
      </c>
      <c r="E70" s="69">
        <f>VLOOKUP(A70,DMTK!$B$5:$Q$263,5,0)</f>
        <v>80000000</v>
      </c>
      <c r="F70" s="69">
        <f>SUMIFS(CT!$F$5:$F$143,CT!$D$5:$D$143,BTHCTVTHH!A70)</f>
        <v>0</v>
      </c>
      <c r="G70" s="69">
        <f>SUMIFS(CT!$H$5:$H$143,CT!$D$5:$D$143,BTHCTVTHH!A70)</f>
        <v>48800000</v>
      </c>
      <c r="H70" s="69">
        <f>SUMIFS(CT!$F$5:$F$143,CT!$E$5:$E$143,BTHCTVTHH!A70)</f>
        <v>300</v>
      </c>
      <c r="I70" s="69">
        <f>SUMIFS(CT!$H$5:$H$143,CT!$E$5:$E$143,BTHCTVTHH!A70)</f>
        <v>61800000</v>
      </c>
      <c r="J70" s="69">
        <f t="shared" si="0"/>
        <v>-300</v>
      </c>
      <c r="K70" s="69">
        <f t="shared" si="1"/>
        <v>67000000</v>
      </c>
      <c r="L70" s="69">
        <f t="shared" si="2"/>
        <v>-223333.33333333334</v>
      </c>
      <c r="M70" s="65" t="b">
        <f t="shared" si="3"/>
        <v>0</v>
      </c>
    </row>
    <row r="71" spans="1:13" hidden="1" x14ac:dyDescent="0.25">
      <c r="A71" s="93" t="str">
        <f>DMTK!B69</f>
        <v>154.03</v>
      </c>
      <c r="B71" s="65" t="str">
        <f>VLOOKUP(A71,DMTK!$B$5:$Q$263,3,0)</f>
        <v>Bàn tròn</v>
      </c>
      <c r="C71" s="65" t="str">
        <f>VLOOKUP(A71,DMTK!$B$5:$Q$263,16,0)</f>
        <v xml:space="preserve"> </v>
      </c>
      <c r="D71" s="69">
        <f>VLOOKUP(A71,DMTK!$B$5:$Q$263,4,0)</f>
        <v>0</v>
      </c>
      <c r="E71" s="69">
        <f>VLOOKUP(A71,DMTK!$B$5:$Q$263,5,0)</f>
        <v>7000000</v>
      </c>
      <c r="F71" s="69">
        <f>SUMIFS(CT!$F$5:$F$143,CT!$D$5:$D$143,BTHCTVTHH!A71)</f>
        <v>0</v>
      </c>
      <c r="G71" s="69">
        <f>SUMIFS(CT!$H$5:$H$143,CT!$D$5:$D$143,BTHCTVTHH!A71)</f>
        <v>61494681</v>
      </c>
      <c r="H71" s="69">
        <f>SUMIFS(CT!$F$5:$F$143,CT!$E$5:$E$143,BTHCTVTHH!A71)</f>
        <v>200</v>
      </c>
      <c r="I71" s="69">
        <f>SUMIFS(CT!$H$5:$H$143,CT!$E$5:$E$143,BTHCTVTHH!A71)</f>
        <v>61500000</v>
      </c>
      <c r="J71" s="69">
        <f t="shared" si="0"/>
        <v>-200</v>
      </c>
      <c r="K71" s="69">
        <f t="shared" si="1"/>
        <v>6994681</v>
      </c>
      <c r="L71" s="69">
        <f t="shared" si="2"/>
        <v>-34973.404999999999</v>
      </c>
      <c r="M71" s="65" t="b">
        <f t="shared" si="3"/>
        <v>0</v>
      </c>
    </row>
    <row r="72" spans="1:13" hidden="1" x14ac:dyDescent="0.25">
      <c r="A72" s="93" t="str">
        <f>DMTK!B70</f>
        <v>154.04</v>
      </c>
      <c r="B72" s="65" t="str">
        <f>VLOOKUP(A72,DMTK!$B$5:$Q$263,3,0)</f>
        <v>Bàn oval</v>
      </c>
      <c r="C72" s="65" t="str">
        <f>VLOOKUP(A72,DMTK!$B$5:$Q$263,16,0)</f>
        <v xml:space="preserve"> </v>
      </c>
      <c r="D72" s="69">
        <f>VLOOKUP(A72,DMTK!$B$5:$Q$263,4,0)</f>
        <v>0</v>
      </c>
      <c r="E72" s="69">
        <f>VLOOKUP(A72,DMTK!$B$5:$Q$263,5,0)</f>
        <v>43000000</v>
      </c>
      <c r="F72" s="69">
        <f>SUMIFS(CT!$F$5:$F$143,CT!$D$5:$D$143,BTHCTVTHH!A72)</f>
        <v>0</v>
      </c>
      <c r="G72" s="69">
        <f>SUMIFS(CT!$H$5:$H$143,CT!$D$5:$D$143,BTHCTVTHH!A72)</f>
        <v>48800000</v>
      </c>
      <c r="H72" s="69">
        <f>SUMIFS(CT!$F$5:$F$143,CT!$E$5:$E$143,BTHCTVTHH!A72)</f>
        <v>0</v>
      </c>
      <c r="I72" s="69">
        <f>SUMIFS(CT!$H$5:$H$143,CT!$E$5:$E$143,BTHCTVTHH!A72)</f>
        <v>0</v>
      </c>
      <c r="J72" s="69">
        <f t="shared" ref="J72:J135" si="4">D72+F72-H72</f>
        <v>0</v>
      </c>
      <c r="K72" s="69">
        <f t="shared" ref="K72:K135" si="5">E72+G72-I72</f>
        <v>91800000</v>
      </c>
      <c r="L72" s="69">
        <f t="shared" ref="L72:L135" si="6">IF(J72&lt;&gt;0,K72/J72,0)</f>
        <v>0</v>
      </c>
      <c r="M72" s="65" t="b">
        <f t="shared" ref="M72:M135" si="7">LEFT(A72,3)=$G$2</f>
        <v>0</v>
      </c>
    </row>
    <row r="73" spans="1:13" hidden="1" x14ac:dyDescent="0.25">
      <c r="A73" s="93" t="str">
        <f>DMTK!B71</f>
        <v>154.05</v>
      </c>
      <c r="B73" s="65" t="str">
        <f>VLOOKUP(A73,DMTK!$B$5:$Q$263,3,0)</f>
        <v>Bàn chữ nhật</v>
      </c>
      <c r="C73" s="65" t="str">
        <f>VLOOKUP(A73,DMTK!$B$5:$Q$263,16,0)</f>
        <v xml:space="preserve"> </v>
      </c>
      <c r="D73" s="69">
        <f>VLOOKUP(A73,DMTK!$B$5:$Q$263,4,0)</f>
        <v>0</v>
      </c>
      <c r="E73" s="69">
        <f>VLOOKUP(A73,DMTK!$B$5:$Q$263,5,0)</f>
        <v>22000000</v>
      </c>
      <c r="F73" s="69">
        <f>SUMIFS(CT!$F$5:$F$143,CT!$D$5:$D$143,BTHCTVTHH!A73)</f>
        <v>0</v>
      </c>
      <c r="G73" s="69">
        <f>SUMIFS(CT!$H$5:$H$143,CT!$D$5:$D$143,BTHCTVTHH!A73)</f>
        <v>48800000</v>
      </c>
      <c r="H73" s="69">
        <f>SUMIFS(CT!$F$5:$F$143,CT!$E$5:$E$143,BTHCTVTHH!A73)</f>
        <v>0</v>
      </c>
      <c r="I73" s="69">
        <f>SUMIFS(CT!$H$5:$H$143,CT!$E$5:$E$143,BTHCTVTHH!A73)</f>
        <v>0</v>
      </c>
      <c r="J73" s="69">
        <f t="shared" si="4"/>
        <v>0</v>
      </c>
      <c r="K73" s="69">
        <f t="shared" si="5"/>
        <v>70800000</v>
      </c>
      <c r="L73" s="69">
        <f t="shared" si="6"/>
        <v>0</v>
      </c>
      <c r="M73" s="65" t="b">
        <f t="shared" si="7"/>
        <v>0</v>
      </c>
    </row>
    <row r="74" spans="1:13" hidden="1" x14ac:dyDescent="0.25">
      <c r="A74" s="93" t="str">
        <f>DMTK!B72</f>
        <v>1551.0101</v>
      </c>
      <c r="B74" s="65" t="str">
        <f>VLOOKUP(A74,DMTK!$B$5:$Q$263,3,0)</f>
        <v>Ghế tay vịn</v>
      </c>
      <c r="C74" s="65" t="str">
        <f>VLOOKUP(A74,DMTK!$B$5:$Q$263,16,0)</f>
        <v>Cái</v>
      </c>
      <c r="D74" s="69">
        <f>VLOOKUP(A74,DMTK!$B$5:$Q$263,4,0)</f>
        <v>250</v>
      </c>
      <c r="E74" s="69">
        <f>VLOOKUP(A74,DMTK!$B$5:$Q$263,5,0)</f>
        <v>62500000</v>
      </c>
      <c r="F74" s="69">
        <f>SUMIFS(CT!$F$5:$F$143,CT!$D$5:$D$143,BTHCTVTHH!A74)</f>
        <v>405</v>
      </c>
      <c r="G74" s="69">
        <f>SUMIFS(CT!$H$5:$H$143,CT!$D$5:$D$143,BTHCTVTHH!A74)</f>
        <v>102060000</v>
      </c>
      <c r="H74" s="69">
        <f>SUMIFS(CT!$F$5:$F$143,CT!$E$5:$E$143,BTHCTVTHH!A74)</f>
        <v>100</v>
      </c>
      <c r="I74" s="69">
        <f>SUMIFS(CT!$H$5:$H$143,CT!$E$5:$E$143,BTHCTVTHH!A74)</f>
        <v>25123700</v>
      </c>
      <c r="J74" s="69">
        <f t="shared" si="4"/>
        <v>555</v>
      </c>
      <c r="K74" s="69">
        <f t="shared" si="5"/>
        <v>139436300</v>
      </c>
      <c r="L74" s="69">
        <f t="shared" si="6"/>
        <v>251236.57657657657</v>
      </c>
      <c r="M74" s="65" t="b">
        <f t="shared" si="7"/>
        <v>0</v>
      </c>
    </row>
    <row r="75" spans="1:13" hidden="1" x14ac:dyDescent="0.25">
      <c r="A75" s="93" t="str">
        <f>DMTK!B73</f>
        <v>1551.0102</v>
      </c>
      <c r="B75" s="65" t="str">
        <f>VLOOKUP(A75,DMTK!$B$5:$Q$263,3,0)</f>
        <v>Ghế không tay</v>
      </c>
      <c r="C75" s="65" t="str">
        <f>VLOOKUP(A75,DMTK!$B$5:$Q$263,16,0)</f>
        <v>Cái</v>
      </c>
      <c r="D75" s="69">
        <f>VLOOKUP(A75,DMTK!$B$5:$Q$263,4,0)</f>
        <v>220</v>
      </c>
      <c r="E75" s="69">
        <f>VLOOKUP(A75,DMTK!$B$5:$Q$263,5,0)</f>
        <v>44000000</v>
      </c>
      <c r="F75" s="69">
        <f>SUMIFS(CT!$F$5:$F$143,CT!$D$5:$D$143,BTHCTVTHH!A75)</f>
        <v>300</v>
      </c>
      <c r="G75" s="69">
        <f>SUMIFS(CT!$H$5:$H$143,CT!$D$5:$D$143,BTHCTVTHH!A75)</f>
        <v>61800000</v>
      </c>
      <c r="H75" s="69">
        <f>SUMIFS(CT!$F$5:$F$143,CT!$E$5:$E$143,BTHCTVTHH!A75)</f>
        <v>100</v>
      </c>
      <c r="I75" s="69">
        <f>SUMIFS(CT!$H$5:$H$143,CT!$E$5:$E$143,BTHCTVTHH!A75)</f>
        <v>20346200</v>
      </c>
      <c r="J75" s="69">
        <f t="shared" si="4"/>
        <v>420</v>
      </c>
      <c r="K75" s="69">
        <f t="shared" si="5"/>
        <v>85453800</v>
      </c>
      <c r="L75" s="69">
        <f t="shared" si="6"/>
        <v>203461.42857142858</v>
      </c>
      <c r="M75" s="65" t="b">
        <f t="shared" si="7"/>
        <v>0</v>
      </c>
    </row>
    <row r="76" spans="1:13" hidden="1" x14ac:dyDescent="0.25">
      <c r="A76" s="93" t="str">
        <f>DMTK!B74</f>
        <v>1551.0201</v>
      </c>
      <c r="B76" s="65" t="str">
        <f>VLOOKUP(A76,DMTK!$B$5:$Q$263,3,0)</f>
        <v>Bàn tròn</v>
      </c>
      <c r="C76" s="65" t="str">
        <f>VLOOKUP(A76,DMTK!$B$5:$Q$263,16,0)</f>
        <v>Cái</v>
      </c>
      <c r="D76" s="69">
        <f>VLOOKUP(A76,DMTK!$B$5:$Q$263,4,0)</f>
        <v>150</v>
      </c>
      <c r="E76" s="69">
        <f>VLOOKUP(A76,DMTK!$B$5:$Q$263,5,0)</f>
        <v>45000000</v>
      </c>
      <c r="F76" s="69">
        <f>SUMIFS(CT!$F$5:$F$143,CT!$D$5:$D$143,BTHCTVTHH!A76)</f>
        <v>200</v>
      </c>
      <c r="G76" s="69">
        <f>SUMIFS(CT!$H$5:$H$143,CT!$D$5:$D$143,BTHCTVTHH!A76)</f>
        <v>61500000</v>
      </c>
      <c r="H76" s="69">
        <f>SUMIFS(CT!$F$5:$F$143,CT!$E$5:$E$143,BTHCTVTHH!A76)</f>
        <v>0</v>
      </c>
      <c r="I76" s="69">
        <f>SUMIFS(CT!$H$5:$H$143,CT!$E$5:$E$143,BTHCTVTHH!A76)</f>
        <v>0</v>
      </c>
      <c r="J76" s="69">
        <f t="shared" si="4"/>
        <v>350</v>
      </c>
      <c r="K76" s="69">
        <f t="shared" si="5"/>
        <v>106500000</v>
      </c>
      <c r="L76" s="69">
        <f t="shared" si="6"/>
        <v>304285.71428571426</v>
      </c>
      <c r="M76" s="65" t="b">
        <f t="shared" si="7"/>
        <v>0</v>
      </c>
    </row>
    <row r="77" spans="1:13" hidden="1" x14ac:dyDescent="0.25">
      <c r="A77" s="93" t="str">
        <f>DMTK!B75</f>
        <v>1551.0202</v>
      </c>
      <c r="B77" s="65" t="str">
        <f>VLOOKUP(A77,DMTK!$B$5:$Q$263,3,0)</f>
        <v>Bàn oval</v>
      </c>
      <c r="C77" s="65" t="str">
        <f>VLOOKUP(A77,DMTK!$B$5:$Q$263,16,0)</f>
        <v>Cái</v>
      </c>
      <c r="D77" s="69">
        <f>VLOOKUP(A77,DMTK!$B$5:$Q$263,4,0)</f>
        <v>50</v>
      </c>
      <c r="E77" s="69">
        <f>VLOOKUP(A77,DMTK!$B$5:$Q$263,5,0)</f>
        <v>25000000</v>
      </c>
      <c r="F77" s="69">
        <f>SUMIFS(CT!$F$5:$F$143,CT!$D$5:$D$143,BTHCTVTHH!A77)</f>
        <v>0</v>
      </c>
      <c r="G77" s="69">
        <f>SUMIFS(CT!$H$5:$H$143,CT!$D$5:$D$143,BTHCTVTHH!A77)</f>
        <v>0</v>
      </c>
      <c r="H77" s="69">
        <f>SUMIFS(CT!$F$5:$F$143,CT!$E$5:$E$143,BTHCTVTHH!A77)</f>
        <v>50</v>
      </c>
      <c r="I77" s="69">
        <f>SUMIFS(CT!$H$5:$H$143,CT!$E$5:$E$143,BTHCTVTHH!A77)</f>
        <v>25000000</v>
      </c>
      <c r="J77" s="69">
        <f t="shared" si="4"/>
        <v>0</v>
      </c>
      <c r="K77" s="69">
        <f t="shared" si="5"/>
        <v>0</v>
      </c>
      <c r="L77" s="69">
        <f t="shared" si="6"/>
        <v>0</v>
      </c>
      <c r="M77" s="65" t="b">
        <f t="shared" si="7"/>
        <v>0</v>
      </c>
    </row>
    <row r="78" spans="1:13" hidden="1" x14ac:dyDescent="0.25">
      <c r="A78" s="93" t="str">
        <f>DMTK!B76</f>
        <v>1551.0203</v>
      </c>
      <c r="B78" s="65" t="str">
        <f>VLOOKUP(A78,DMTK!$B$5:$Q$263,3,0)</f>
        <v>Bàn chữ nhật</v>
      </c>
      <c r="C78" s="65" t="str">
        <f>VLOOKUP(A78,DMTK!$B$5:$Q$263,16,0)</f>
        <v>Cái</v>
      </c>
      <c r="D78" s="69">
        <f>VLOOKUP(A78,DMTK!$B$5:$Q$263,4,0)</f>
        <v>100</v>
      </c>
      <c r="E78" s="69">
        <f>VLOOKUP(A78,DMTK!$B$5:$Q$263,5,0)</f>
        <v>70000000</v>
      </c>
      <c r="F78" s="69">
        <f>SUMIFS(CT!$F$5:$F$143,CT!$D$5:$D$143,BTHCTVTHH!A78)</f>
        <v>0</v>
      </c>
      <c r="G78" s="69">
        <f>SUMIFS(CT!$H$5:$H$143,CT!$D$5:$D$143,BTHCTVTHH!A78)</f>
        <v>0</v>
      </c>
      <c r="H78" s="69">
        <f>SUMIFS(CT!$F$5:$F$143,CT!$E$5:$E$143,BTHCTVTHH!A78)</f>
        <v>0</v>
      </c>
      <c r="I78" s="69">
        <f>SUMIFS(CT!$H$5:$H$143,CT!$E$5:$E$143,BTHCTVTHH!A78)</f>
        <v>0</v>
      </c>
      <c r="J78" s="69">
        <f t="shared" si="4"/>
        <v>100</v>
      </c>
      <c r="K78" s="69">
        <f t="shared" si="5"/>
        <v>70000000</v>
      </c>
      <c r="L78" s="69">
        <f t="shared" si="6"/>
        <v>700000</v>
      </c>
      <c r="M78" s="65" t="b">
        <f t="shared" si="7"/>
        <v>0</v>
      </c>
    </row>
    <row r="79" spans="1:13" hidden="1" x14ac:dyDescent="0.25">
      <c r="A79" s="93" t="str">
        <f>DMTK!B77</f>
        <v>1561</v>
      </c>
      <c r="B79" s="65" t="str">
        <f>VLOOKUP(A79,DMTK!$B$5:$Q$263,3,0)</f>
        <v>Giá mua hàng hóa</v>
      </c>
      <c r="C79" s="65" t="str">
        <f>VLOOKUP(A79,DMTK!$B$5:$Q$263,16,0)</f>
        <v xml:space="preserve"> </v>
      </c>
      <c r="D79" s="69">
        <f>VLOOKUP(A79,DMTK!$B$5:$Q$263,4,0)</f>
        <v>0</v>
      </c>
      <c r="E79" s="69">
        <f>VLOOKUP(A79,DMTK!$B$5:$Q$263,5,0)</f>
        <v>0</v>
      </c>
      <c r="F79" s="69">
        <f>SUMIFS(CT!$F$5:$F$143,CT!$D$5:$D$143,BTHCTVTHH!A79)</f>
        <v>0</v>
      </c>
      <c r="G79" s="69">
        <f>SUMIFS(CT!$H$5:$H$143,CT!$D$5:$D$143,BTHCTVTHH!A79)</f>
        <v>0</v>
      </c>
      <c r="H79" s="69">
        <f>SUMIFS(CT!$F$5:$F$143,CT!$E$5:$E$143,BTHCTVTHH!A79)</f>
        <v>0</v>
      </c>
      <c r="I79" s="69">
        <f>SUMIFS(CT!$H$5:$H$143,CT!$E$5:$E$143,BTHCTVTHH!A79)</f>
        <v>0</v>
      </c>
      <c r="J79" s="69">
        <f t="shared" si="4"/>
        <v>0</v>
      </c>
      <c r="K79" s="69">
        <f t="shared" si="5"/>
        <v>0</v>
      </c>
      <c r="L79" s="69">
        <f t="shared" si="6"/>
        <v>0</v>
      </c>
      <c r="M79" s="65" t="b">
        <f t="shared" si="7"/>
        <v>0</v>
      </c>
    </row>
    <row r="80" spans="1:13" hidden="1" x14ac:dyDescent="0.25">
      <c r="A80" s="93" t="str">
        <f>DMTK!B78</f>
        <v>1562</v>
      </c>
      <c r="B80" s="65" t="str">
        <f>VLOOKUP(A80,DMTK!$B$5:$Q$263,3,0)</f>
        <v>Chi phí thu mua hàng hóa</v>
      </c>
      <c r="C80" s="65" t="str">
        <f>VLOOKUP(A80,DMTK!$B$5:$Q$263,16,0)</f>
        <v xml:space="preserve"> </v>
      </c>
      <c r="D80" s="69">
        <f>VLOOKUP(A80,DMTK!$B$5:$Q$263,4,0)</f>
        <v>0</v>
      </c>
      <c r="E80" s="69">
        <f>VLOOKUP(A80,DMTK!$B$5:$Q$263,5,0)</f>
        <v>0</v>
      </c>
      <c r="F80" s="69">
        <f>SUMIFS(CT!$F$5:$F$143,CT!$D$5:$D$143,BTHCTVTHH!A80)</f>
        <v>0</v>
      </c>
      <c r="G80" s="69">
        <f>SUMIFS(CT!$H$5:$H$143,CT!$D$5:$D$143,BTHCTVTHH!A80)</f>
        <v>0</v>
      </c>
      <c r="H80" s="69">
        <f>SUMIFS(CT!$F$5:$F$143,CT!$E$5:$E$143,BTHCTVTHH!A80)</f>
        <v>0</v>
      </c>
      <c r="I80" s="69">
        <f>SUMIFS(CT!$H$5:$H$143,CT!$E$5:$E$143,BTHCTVTHH!A80)</f>
        <v>0</v>
      </c>
      <c r="J80" s="69">
        <f t="shared" si="4"/>
        <v>0</v>
      </c>
      <c r="K80" s="69">
        <f t="shared" si="5"/>
        <v>0</v>
      </c>
      <c r="L80" s="69">
        <f t="shared" si="6"/>
        <v>0</v>
      </c>
      <c r="M80" s="65" t="b">
        <f t="shared" si="7"/>
        <v>0</v>
      </c>
    </row>
    <row r="81" spans="1:13" hidden="1" x14ac:dyDescent="0.25">
      <c r="A81" s="93" t="str">
        <f>DMTK!B79</f>
        <v>1567</v>
      </c>
      <c r="B81" s="65" t="str">
        <f>VLOOKUP(A81,DMTK!$B$5:$Q$263,3,0)</f>
        <v>Hàng hóa bất động sản</v>
      </c>
      <c r="C81" s="65" t="str">
        <f>VLOOKUP(A81,DMTK!$B$5:$Q$263,16,0)</f>
        <v xml:space="preserve"> </v>
      </c>
      <c r="D81" s="69">
        <f>VLOOKUP(A81,DMTK!$B$5:$Q$263,4,0)</f>
        <v>0</v>
      </c>
      <c r="E81" s="69">
        <f>VLOOKUP(A81,DMTK!$B$5:$Q$263,5,0)</f>
        <v>0</v>
      </c>
      <c r="F81" s="69">
        <f>SUMIFS(CT!$F$5:$F$143,CT!$D$5:$D$143,BTHCTVTHH!A81)</f>
        <v>0</v>
      </c>
      <c r="G81" s="69">
        <f>SUMIFS(CT!$H$5:$H$143,CT!$D$5:$D$143,BTHCTVTHH!A81)</f>
        <v>0</v>
      </c>
      <c r="H81" s="69">
        <f>SUMIFS(CT!$F$5:$F$143,CT!$E$5:$E$143,BTHCTVTHH!A81)</f>
        <v>0</v>
      </c>
      <c r="I81" s="69">
        <f>SUMIFS(CT!$H$5:$H$143,CT!$E$5:$E$143,BTHCTVTHH!A81)</f>
        <v>0</v>
      </c>
      <c r="J81" s="69">
        <f t="shared" si="4"/>
        <v>0</v>
      </c>
      <c r="K81" s="69">
        <f t="shared" si="5"/>
        <v>0</v>
      </c>
      <c r="L81" s="69">
        <f t="shared" si="6"/>
        <v>0</v>
      </c>
      <c r="M81" s="65" t="b">
        <f t="shared" si="7"/>
        <v>0</v>
      </c>
    </row>
    <row r="82" spans="1:13" hidden="1" x14ac:dyDescent="0.25">
      <c r="A82" s="93" t="str">
        <f>DMTK!B80</f>
        <v>157</v>
      </c>
      <c r="B82" s="65" t="str">
        <f>VLOOKUP(A82,DMTK!$B$5:$Q$263,3,0)</f>
        <v>Hàng gửi đi bán</v>
      </c>
      <c r="C82" s="65" t="str">
        <f>VLOOKUP(A82,DMTK!$B$5:$Q$263,16,0)</f>
        <v xml:space="preserve"> </v>
      </c>
      <c r="D82" s="69">
        <f>VLOOKUP(A82,DMTK!$B$5:$Q$263,4,0)</f>
        <v>0</v>
      </c>
      <c r="E82" s="69">
        <f>VLOOKUP(A82,DMTK!$B$5:$Q$263,5,0)</f>
        <v>0</v>
      </c>
      <c r="F82" s="69">
        <f>SUMIFS(CT!$F$5:$F$143,CT!$D$5:$D$143,BTHCTVTHH!A82)</f>
        <v>0</v>
      </c>
      <c r="G82" s="69">
        <f>SUMIFS(CT!$H$5:$H$143,CT!$D$5:$D$143,BTHCTVTHH!A82)</f>
        <v>0</v>
      </c>
      <c r="H82" s="69">
        <f>SUMIFS(CT!$F$5:$F$143,CT!$E$5:$E$143,BTHCTVTHH!A82)</f>
        <v>0</v>
      </c>
      <c r="I82" s="69">
        <f>SUMIFS(CT!$H$5:$H$143,CT!$E$5:$E$143,BTHCTVTHH!A82)</f>
        <v>0</v>
      </c>
      <c r="J82" s="69">
        <f t="shared" si="4"/>
        <v>0</v>
      </c>
      <c r="K82" s="69">
        <f t="shared" si="5"/>
        <v>0</v>
      </c>
      <c r="L82" s="69">
        <f t="shared" si="6"/>
        <v>0</v>
      </c>
      <c r="M82" s="65" t="b">
        <f t="shared" si="7"/>
        <v>0</v>
      </c>
    </row>
    <row r="83" spans="1:13" hidden="1" x14ac:dyDescent="0.25">
      <c r="A83" s="93" t="str">
        <f>DMTK!B81</f>
        <v>158</v>
      </c>
      <c r="B83" s="65" t="str">
        <f>VLOOKUP(A83,DMTK!$B$5:$Q$263,3,0)</f>
        <v>Hàng hóa kho bảo thuế</v>
      </c>
      <c r="C83" s="65" t="str">
        <f>VLOOKUP(A83,DMTK!$B$5:$Q$263,16,0)</f>
        <v xml:space="preserve"> </v>
      </c>
      <c r="D83" s="69">
        <f>VLOOKUP(A83,DMTK!$B$5:$Q$263,4,0)</f>
        <v>0</v>
      </c>
      <c r="E83" s="69">
        <f>VLOOKUP(A83,DMTK!$B$5:$Q$263,5,0)</f>
        <v>0</v>
      </c>
      <c r="F83" s="69">
        <f>SUMIFS(CT!$F$5:$F$143,CT!$D$5:$D$143,BTHCTVTHH!A83)</f>
        <v>0</v>
      </c>
      <c r="G83" s="69">
        <f>SUMIFS(CT!$H$5:$H$143,CT!$D$5:$D$143,BTHCTVTHH!A83)</f>
        <v>0</v>
      </c>
      <c r="H83" s="69">
        <f>SUMIFS(CT!$F$5:$F$143,CT!$E$5:$E$143,BTHCTVTHH!A83)</f>
        <v>0</v>
      </c>
      <c r="I83" s="69">
        <f>SUMIFS(CT!$H$5:$H$143,CT!$E$5:$E$143,BTHCTVTHH!A83)</f>
        <v>0</v>
      </c>
      <c r="J83" s="69">
        <f t="shared" si="4"/>
        <v>0</v>
      </c>
      <c r="K83" s="69">
        <f t="shared" si="5"/>
        <v>0</v>
      </c>
      <c r="L83" s="69">
        <f t="shared" si="6"/>
        <v>0</v>
      </c>
      <c r="M83" s="65" t="b">
        <f t="shared" si="7"/>
        <v>0</v>
      </c>
    </row>
    <row r="84" spans="1:13" hidden="1" x14ac:dyDescent="0.25">
      <c r="A84" s="93" t="str">
        <f>DMTK!B82</f>
        <v>1611</v>
      </c>
      <c r="B84" s="65" t="str">
        <f>VLOOKUP(A84,DMTK!$B$5:$Q$263,3,0)</f>
        <v>Chi sự nghiệp năm trước</v>
      </c>
      <c r="C84" s="65" t="str">
        <f>VLOOKUP(A84,DMTK!$B$5:$Q$263,16,0)</f>
        <v xml:space="preserve"> </v>
      </c>
      <c r="D84" s="69">
        <f>VLOOKUP(A84,DMTK!$B$5:$Q$263,4,0)</f>
        <v>0</v>
      </c>
      <c r="E84" s="69">
        <f>VLOOKUP(A84,DMTK!$B$5:$Q$263,5,0)</f>
        <v>0</v>
      </c>
      <c r="F84" s="69">
        <f>SUMIFS(CT!$F$5:$F$143,CT!$D$5:$D$143,BTHCTVTHH!A84)</f>
        <v>0</v>
      </c>
      <c r="G84" s="69">
        <f>SUMIFS(CT!$H$5:$H$143,CT!$D$5:$D$143,BTHCTVTHH!A84)</f>
        <v>0</v>
      </c>
      <c r="H84" s="69">
        <f>SUMIFS(CT!$F$5:$F$143,CT!$E$5:$E$143,BTHCTVTHH!A84)</f>
        <v>0</v>
      </c>
      <c r="I84" s="69">
        <f>SUMIFS(CT!$H$5:$H$143,CT!$E$5:$E$143,BTHCTVTHH!A84)</f>
        <v>0</v>
      </c>
      <c r="J84" s="69">
        <f t="shared" si="4"/>
        <v>0</v>
      </c>
      <c r="K84" s="69">
        <f t="shared" si="5"/>
        <v>0</v>
      </c>
      <c r="L84" s="69">
        <f t="shared" si="6"/>
        <v>0</v>
      </c>
      <c r="M84" s="65" t="b">
        <f t="shared" si="7"/>
        <v>0</v>
      </c>
    </row>
    <row r="85" spans="1:13" hidden="1" x14ac:dyDescent="0.25">
      <c r="A85" s="93" t="str">
        <f>DMTK!B83</f>
        <v>1612</v>
      </c>
      <c r="B85" s="65" t="str">
        <f>VLOOKUP(A85,DMTK!$B$5:$Q$263,3,0)</f>
        <v>Chi sự nghiệp năm nay</v>
      </c>
      <c r="C85" s="65" t="str">
        <f>VLOOKUP(A85,DMTK!$B$5:$Q$263,16,0)</f>
        <v xml:space="preserve"> </v>
      </c>
      <c r="D85" s="69">
        <f>VLOOKUP(A85,DMTK!$B$5:$Q$263,4,0)</f>
        <v>0</v>
      </c>
      <c r="E85" s="69">
        <f>VLOOKUP(A85,DMTK!$B$5:$Q$263,5,0)</f>
        <v>0</v>
      </c>
      <c r="F85" s="69">
        <f>SUMIFS(CT!$F$5:$F$143,CT!$D$5:$D$143,BTHCTVTHH!A85)</f>
        <v>0</v>
      </c>
      <c r="G85" s="69">
        <f>SUMIFS(CT!$H$5:$H$143,CT!$D$5:$D$143,BTHCTVTHH!A85)</f>
        <v>0</v>
      </c>
      <c r="H85" s="69">
        <f>SUMIFS(CT!$F$5:$F$143,CT!$E$5:$E$143,BTHCTVTHH!A85)</f>
        <v>0</v>
      </c>
      <c r="I85" s="69">
        <f>SUMIFS(CT!$H$5:$H$143,CT!$E$5:$E$143,BTHCTVTHH!A85)</f>
        <v>0</v>
      </c>
      <c r="J85" s="69">
        <f t="shared" si="4"/>
        <v>0</v>
      </c>
      <c r="K85" s="69">
        <f t="shared" si="5"/>
        <v>0</v>
      </c>
      <c r="L85" s="69">
        <f t="shared" si="6"/>
        <v>0</v>
      </c>
      <c r="M85" s="65" t="b">
        <f t="shared" si="7"/>
        <v>0</v>
      </c>
    </row>
    <row r="86" spans="1:13" hidden="1" x14ac:dyDescent="0.25">
      <c r="A86" s="93" t="str">
        <f>DMTK!B84</f>
        <v>171</v>
      </c>
      <c r="B86" s="65" t="str">
        <f>VLOOKUP(A86,DMTK!$B$5:$Q$263,3,0)</f>
        <v>Giao dịch mua bán lại trái phiếu chính phủ</v>
      </c>
      <c r="C86" s="65" t="str">
        <f>VLOOKUP(A86,DMTK!$B$5:$Q$263,16,0)</f>
        <v xml:space="preserve"> </v>
      </c>
      <c r="D86" s="69">
        <f>VLOOKUP(A86,DMTK!$B$5:$Q$263,4,0)</f>
        <v>0</v>
      </c>
      <c r="E86" s="69">
        <f>VLOOKUP(A86,DMTK!$B$5:$Q$263,5,0)</f>
        <v>0</v>
      </c>
      <c r="F86" s="69">
        <f>SUMIFS(CT!$F$5:$F$143,CT!$D$5:$D$143,BTHCTVTHH!A86)</f>
        <v>0</v>
      </c>
      <c r="G86" s="69">
        <f>SUMIFS(CT!$H$5:$H$143,CT!$D$5:$D$143,BTHCTVTHH!A86)</f>
        <v>0</v>
      </c>
      <c r="H86" s="69">
        <f>SUMIFS(CT!$F$5:$F$143,CT!$E$5:$E$143,BTHCTVTHH!A86)</f>
        <v>0</v>
      </c>
      <c r="I86" s="69">
        <f>SUMIFS(CT!$H$5:$H$143,CT!$E$5:$E$143,BTHCTVTHH!A86)</f>
        <v>0</v>
      </c>
      <c r="J86" s="69">
        <f t="shared" si="4"/>
        <v>0</v>
      </c>
      <c r="K86" s="69">
        <f t="shared" si="5"/>
        <v>0</v>
      </c>
      <c r="L86" s="69">
        <f t="shared" si="6"/>
        <v>0</v>
      </c>
      <c r="M86" s="65" t="b">
        <f t="shared" si="7"/>
        <v>0</v>
      </c>
    </row>
    <row r="87" spans="1:13" hidden="1" x14ac:dyDescent="0.25">
      <c r="A87" s="93" t="str">
        <f>DMTK!B85</f>
        <v>2111</v>
      </c>
      <c r="B87" s="65" t="str">
        <f>VLOOKUP(A87,DMTK!$B$5:$Q$263,3,0)</f>
        <v>Nhà cửa, vật kiến trúc</v>
      </c>
      <c r="C87" s="65" t="str">
        <f>VLOOKUP(A87,DMTK!$B$5:$Q$263,16,0)</f>
        <v xml:space="preserve"> </v>
      </c>
      <c r="D87" s="69">
        <f>VLOOKUP(A87,DMTK!$B$5:$Q$263,4,0)</f>
        <v>0</v>
      </c>
      <c r="E87" s="69">
        <f>VLOOKUP(A87,DMTK!$B$5:$Q$263,5,0)</f>
        <v>200000000</v>
      </c>
      <c r="F87" s="69">
        <f>SUMIFS(CT!$F$5:$F$143,CT!$D$5:$D$143,BTHCTVTHH!A87)</f>
        <v>0</v>
      </c>
      <c r="G87" s="69">
        <f>SUMIFS(CT!$H$5:$H$143,CT!$D$5:$D$143,BTHCTVTHH!A87)</f>
        <v>0</v>
      </c>
      <c r="H87" s="69">
        <f>SUMIFS(CT!$F$5:$F$143,CT!$E$5:$E$143,BTHCTVTHH!A87)</f>
        <v>0</v>
      </c>
      <c r="I87" s="69">
        <f>SUMIFS(CT!$H$5:$H$143,CT!$E$5:$E$143,BTHCTVTHH!A87)</f>
        <v>0</v>
      </c>
      <c r="J87" s="69">
        <f t="shared" si="4"/>
        <v>0</v>
      </c>
      <c r="K87" s="69">
        <f t="shared" si="5"/>
        <v>200000000</v>
      </c>
      <c r="L87" s="69">
        <f t="shared" si="6"/>
        <v>0</v>
      </c>
      <c r="M87" s="65" t="b">
        <f t="shared" si="7"/>
        <v>0</v>
      </c>
    </row>
    <row r="88" spans="1:13" hidden="1" x14ac:dyDescent="0.25">
      <c r="A88" s="93" t="str">
        <f>DMTK!B86</f>
        <v>2112.02</v>
      </c>
      <c r="B88" s="65" t="str">
        <f>VLOOKUP(A88,DMTK!$B$5:$Q$263,3,0)</f>
        <v>Máy cắt phôi HITACHI</v>
      </c>
      <c r="C88" s="65" t="str">
        <f>VLOOKUP(A88,DMTK!$B$5:$Q$263,16,0)</f>
        <v xml:space="preserve"> </v>
      </c>
      <c r="D88" s="69">
        <f>VLOOKUP(A88,DMTK!$B$5:$Q$263,4,0)</f>
        <v>0</v>
      </c>
      <c r="E88" s="69">
        <f>VLOOKUP(A88,DMTK!$B$5:$Q$263,5,0)</f>
        <v>188000000</v>
      </c>
      <c r="F88" s="69">
        <f>SUMIFS(CT!$F$5:$F$143,CT!$D$5:$D$143,BTHCTVTHH!A88)</f>
        <v>0</v>
      </c>
      <c r="G88" s="69">
        <f>SUMIFS(CT!$H$5:$H$143,CT!$D$5:$D$143,BTHCTVTHH!A88)</f>
        <v>0</v>
      </c>
      <c r="H88" s="69">
        <f>SUMIFS(CT!$F$5:$F$143,CT!$E$5:$E$143,BTHCTVTHH!A88)</f>
        <v>0</v>
      </c>
      <c r="I88" s="69">
        <f>SUMIFS(CT!$H$5:$H$143,CT!$E$5:$E$143,BTHCTVTHH!A88)</f>
        <v>0</v>
      </c>
      <c r="J88" s="69">
        <f t="shared" si="4"/>
        <v>0</v>
      </c>
      <c r="K88" s="69">
        <f t="shared" si="5"/>
        <v>188000000</v>
      </c>
      <c r="L88" s="69">
        <f t="shared" si="6"/>
        <v>0</v>
      </c>
      <c r="M88" s="65" t="b">
        <f t="shared" si="7"/>
        <v>0</v>
      </c>
    </row>
    <row r="89" spans="1:13" hidden="1" x14ac:dyDescent="0.25">
      <c r="A89" s="93" t="str">
        <f>DMTK!B87</f>
        <v>2112.03</v>
      </c>
      <c r="B89" s="65" t="str">
        <f>VLOOKUP(A89,DMTK!$B$5:$Q$263,3,0)</f>
        <v>Máy phun xi HITACHI</v>
      </c>
      <c r="C89" s="65" t="str">
        <f>VLOOKUP(A89,DMTK!$B$5:$Q$263,16,0)</f>
        <v xml:space="preserve"> </v>
      </c>
      <c r="D89" s="69">
        <f>VLOOKUP(A89,DMTK!$B$5:$Q$263,4,0)</f>
        <v>0</v>
      </c>
      <c r="E89" s="69">
        <f>VLOOKUP(A89,DMTK!$B$5:$Q$263,5,0)</f>
        <v>150000000</v>
      </c>
      <c r="F89" s="69">
        <f>SUMIFS(CT!$F$5:$F$143,CT!$D$5:$D$143,BTHCTVTHH!A89)</f>
        <v>0</v>
      </c>
      <c r="G89" s="69">
        <f>SUMIFS(CT!$H$5:$H$143,CT!$D$5:$D$143,BTHCTVTHH!A89)</f>
        <v>0</v>
      </c>
      <c r="H89" s="69">
        <f>SUMIFS(CT!$F$5:$F$143,CT!$E$5:$E$143,BTHCTVTHH!A89)</f>
        <v>0</v>
      </c>
      <c r="I89" s="69">
        <f>SUMIFS(CT!$H$5:$H$143,CT!$E$5:$E$143,BTHCTVTHH!A89)</f>
        <v>0</v>
      </c>
      <c r="J89" s="69">
        <f t="shared" si="4"/>
        <v>0</v>
      </c>
      <c r="K89" s="69">
        <f t="shared" si="5"/>
        <v>150000000</v>
      </c>
      <c r="L89" s="69">
        <f t="shared" si="6"/>
        <v>0</v>
      </c>
      <c r="M89" s="65" t="b">
        <f t="shared" si="7"/>
        <v>0</v>
      </c>
    </row>
    <row r="90" spans="1:13" hidden="1" x14ac:dyDescent="0.25">
      <c r="A90" s="93" t="str">
        <f>DMTK!B88</f>
        <v>2112.04</v>
      </c>
      <c r="B90" s="65" t="str">
        <f>VLOOKUP(A90,DMTK!$B$5:$Q$263,3,0)</f>
        <v>Máy xẻ gỗ</v>
      </c>
      <c r="C90" s="65" t="str">
        <f>VLOOKUP(A90,DMTK!$B$5:$Q$263,16,0)</f>
        <v xml:space="preserve"> </v>
      </c>
      <c r="D90" s="69">
        <f>VLOOKUP(A90,DMTK!$B$5:$Q$263,4,0)</f>
        <v>0</v>
      </c>
      <c r="E90" s="69">
        <f>VLOOKUP(A90,DMTK!$B$5:$Q$263,5,0)</f>
        <v>0</v>
      </c>
      <c r="F90" s="69">
        <f>SUMIFS(CT!$F$5:$F$143,CT!$D$5:$D$143,BTHCTVTHH!A90)</f>
        <v>0</v>
      </c>
      <c r="G90" s="69">
        <f>SUMIFS(CT!$H$5:$H$143,CT!$D$5:$D$143,BTHCTVTHH!A90)</f>
        <v>140000000</v>
      </c>
      <c r="H90" s="69">
        <f>SUMIFS(CT!$F$5:$F$143,CT!$E$5:$E$143,BTHCTVTHH!A90)</f>
        <v>0</v>
      </c>
      <c r="I90" s="69">
        <f>SUMIFS(CT!$H$5:$H$143,CT!$E$5:$E$143,BTHCTVTHH!A90)</f>
        <v>0</v>
      </c>
      <c r="J90" s="69">
        <f t="shared" si="4"/>
        <v>0</v>
      </c>
      <c r="K90" s="69">
        <f t="shared" si="5"/>
        <v>140000000</v>
      </c>
      <c r="L90" s="69">
        <f t="shared" si="6"/>
        <v>0</v>
      </c>
      <c r="M90" s="65" t="b">
        <f t="shared" si="7"/>
        <v>0</v>
      </c>
    </row>
    <row r="91" spans="1:13" hidden="1" x14ac:dyDescent="0.25">
      <c r="A91" s="93" t="str">
        <f>DMTK!B89</f>
        <v>2113</v>
      </c>
      <c r="B91" s="65" t="str">
        <f>VLOOKUP(A91,DMTK!$B$5:$Q$263,3,0)</f>
        <v>Phương tiện vận tải, truyền dẫn</v>
      </c>
      <c r="C91" s="65" t="str">
        <f>VLOOKUP(A91,DMTK!$B$5:$Q$263,16,0)</f>
        <v xml:space="preserve"> </v>
      </c>
      <c r="D91" s="69">
        <f>VLOOKUP(A91,DMTK!$B$5:$Q$263,4,0)</f>
        <v>0</v>
      </c>
      <c r="E91" s="69">
        <f>VLOOKUP(A91,DMTK!$B$5:$Q$263,5,0)</f>
        <v>220000000</v>
      </c>
      <c r="F91" s="69">
        <f>SUMIFS(CT!$F$5:$F$143,CT!$D$5:$D$143,BTHCTVTHH!A91)</f>
        <v>0</v>
      </c>
      <c r="G91" s="69">
        <f>SUMIFS(CT!$H$5:$H$143,CT!$D$5:$D$143,BTHCTVTHH!A91)</f>
        <v>0</v>
      </c>
      <c r="H91" s="69">
        <f>SUMIFS(CT!$F$5:$F$143,CT!$E$5:$E$143,BTHCTVTHH!A91)</f>
        <v>0</v>
      </c>
      <c r="I91" s="69">
        <f>SUMIFS(CT!$H$5:$H$143,CT!$E$5:$E$143,BTHCTVTHH!A91)</f>
        <v>0</v>
      </c>
      <c r="J91" s="69">
        <f t="shared" si="4"/>
        <v>0</v>
      </c>
      <c r="K91" s="69">
        <f t="shared" si="5"/>
        <v>220000000</v>
      </c>
      <c r="L91" s="69">
        <f t="shared" si="6"/>
        <v>0</v>
      </c>
      <c r="M91" s="65" t="b">
        <f t="shared" si="7"/>
        <v>0</v>
      </c>
    </row>
    <row r="92" spans="1:13" hidden="1" x14ac:dyDescent="0.25">
      <c r="A92" s="93" t="str">
        <f>DMTK!B90</f>
        <v>2114.01</v>
      </c>
      <c r="B92" s="65" t="str">
        <f>VLOOKUP(A92,DMTK!$B$5:$Q$263,3,0)</f>
        <v>Máy vi tính</v>
      </c>
      <c r="C92" s="65" t="str">
        <f>VLOOKUP(A92,DMTK!$B$5:$Q$263,16,0)</f>
        <v xml:space="preserve"> </v>
      </c>
      <c r="D92" s="69">
        <f>VLOOKUP(A92,DMTK!$B$5:$Q$263,4,0)</f>
        <v>0</v>
      </c>
      <c r="E92" s="69">
        <f>VLOOKUP(A92,DMTK!$B$5:$Q$263,5,0)</f>
        <v>50779000</v>
      </c>
      <c r="F92" s="69">
        <f>SUMIFS(CT!$F$5:$F$143,CT!$D$5:$D$143,BTHCTVTHH!A92)</f>
        <v>0</v>
      </c>
      <c r="G92" s="69">
        <f>SUMIFS(CT!$H$5:$H$143,CT!$D$5:$D$143,BTHCTVTHH!A92)</f>
        <v>0</v>
      </c>
      <c r="H92" s="69">
        <f>SUMIFS(CT!$F$5:$F$143,CT!$E$5:$E$143,BTHCTVTHH!A92)</f>
        <v>0</v>
      </c>
      <c r="I92" s="69">
        <f>SUMIFS(CT!$H$5:$H$143,CT!$E$5:$E$143,BTHCTVTHH!A92)</f>
        <v>0</v>
      </c>
      <c r="J92" s="69">
        <f t="shared" si="4"/>
        <v>0</v>
      </c>
      <c r="K92" s="69">
        <f t="shared" si="5"/>
        <v>50779000</v>
      </c>
      <c r="L92" s="69">
        <f t="shared" si="6"/>
        <v>0</v>
      </c>
      <c r="M92" s="65" t="b">
        <f t="shared" si="7"/>
        <v>0</v>
      </c>
    </row>
    <row r="93" spans="1:13" hidden="1" x14ac:dyDescent="0.25">
      <c r="A93" s="93" t="str">
        <f>DMTK!B91</f>
        <v>2114.02</v>
      </c>
      <c r="B93" s="65" t="str">
        <f>VLOOKUP(A93,DMTK!$B$5:$Q$263,3,0)</f>
        <v>Máy photocopy</v>
      </c>
      <c r="C93" s="65" t="str">
        <f>VLOOKUP(A93,DMTK!$B$5:$Q$263,16,0)</f>
        <v xml:space="preserve"> </v>
      </c>
      <c r="D93" s="69">
        <f>VLOOKUP(A93,DMTK!$B$5:$Q$263,4,0)</f>
        <v>0</v>
      </c>
      <c r="E93" s="69">
        <f>VLOOKUP(A93,DMTK!$B$5:$Q$263,5,0)</f>
        <v>125000000</v>
      </c>
      <c r="F93" s="69">
        <f>SUMIFS(CT!$F$5:$F$143,CT!$D$5:$D$143,BTHCTVTHH!A93)</f>
        <v>0</v>
      </c>
      <c r="G93" s="69">
        <f>SUMIFS(CT!$H$5:$H$143,CT!$D$5:$D$143,BTHCTVTHH!A93)</f>
        <v>0</v>
      </c>
      <c r="H93" s="69">
        <f>SUMIFS(CT!$F$5:$F$143,CT!$E$5:$E$143,BTHCTVTHH!A93)</f>
        <v>0</v>
      </c>
      <c r="I93" s="69">
        <f>SUMIFS(CT!$H$5:$H$143,CT!$E$5:$E$143,BTHCTVTHH!A93)</f>
        <v>0</v>
      </c>
      <c r="J93" s="69">
        <f t="shared" si="4"/>
        <v>0</v>
      </c>
      <c r="K93" s="69">
        <f t="shared" si="5"/>
        <v>125000000</v>
      </c>
      <c r="L93" s="69">
        <f t="shared" si="6"/>
        <v>0</v>
      </c>
      <c r="M93" s="65" t="b">
        <f t="shared" si="7"/>
        <v>0</v>
      </c>
    </row>
    <row r="94" spans="1:13" hidden="1" x14ac:dyDescent="0.25">
      <c r="A94" s="93" t="str">
        <f>DMTK!B92</f>
        <v>2118</v>
      </c>
      <c r="B94" s="65" t="str">
        <f>VLOOKUP(A94,DMTK!$B$5:$Q$263,3,0)</f>
        <v>TSCĐ khác</v>
      </c>
      <c r="C94" s="65" t="str">
        <f>VLOOKUP(A94,DMTK!$B$5:$Q$263,16,0)</f>
        <v xml:space="preserve"> </v>
      </c>
      <c r="D94" s="69">
        <f>VLOOKUP(A94,DMTK!$B$5:$Q$263,4,0)</f>
        <v>0</v>
      </c>
      <c r="E94" s="69">
        <f>VLOOKUP(A94,DMTK!$B$5:$Q$263,5,0)</f>
        <v>0</v>
      </c>
      <c r="F94" s="69">
        <f>SUMIFS(CT!$F$5:$F$143,CT!$D$5:$D$143,BTHCTVTHH!A94)</f>
        <v>0</v>
      </c>
      <c r="G94" s="69">
        <f>SUMIFS(CT!$H$5:$H$143,CT!$D$5:$D$143,BTHCTVTHH!A94)</f>
        <v>0</v>
      </c>
      <c r="H94" s="69">
        <f>SUMIFS(CT!$F$5:$F$143,CT!$E$5:$E$143,BTHCTVTHH!A94)</f>
        <v>0</v>
      </c>
      <c r="I94" s="69">
        <f>SUMIFS(CT!$H$5:$H$143,CT!$E$5:$E$143,BTHCTVTHH!A94)</f>
        <v>0</v>
      </c>
      <c r="J94" s="69">
        <f t="shared" si="4"/>
        <v>0</v>
      </c>
      <c r="K94" s="69">
        <f t="shared" si="5"/>
        <v>0</v>
      </c>
      <c r="L94" s="69">
        <f t="shared" si="6"/>
        <v>0</v>
      </c>
      <c r="M94" s="65" t="b">
        <f t="shared" si="7"/>
        <v>0</v>
      </c>
    </row>
    <row r="95" spans="1:13" hidden="1" x14ac:dyDescent="0.25">
      <c r="A95" s="93" t="str">
        <f>DMTK!B93</f>
        <v>2121</v>
      </c>
      <c r="B95" s="65">
        <f>VLOOKUP(A95,DMTK!$B$5:$Q$263,3,0)</f>
        <v>0</v>
      </c>
      <c r="C95" s="65">
        <f>VLOOKUP(A95,DMTK!$B$5:$Q$263,16,0)</f>
        <v>0</v>
      </c>
      <c r="D95" s="69">
        <f>VLOOKUP(A95,DMTK!$B$5:$Q$263,4,0)</f>
        <v>0</v>
      </c>
      <c r="E95" s="69">
        <f>VLOOKUP(A95,DMTK!$B$5:$Q$263,5,0)</f>
        <v>0</v>
      </c>
      <c r="F95" s="69">
        <f>SUMIFS(CT!$F$5:$F$143,CT!$D$5:$D$143,BTHCTVTHH!A95)</f>
        <v>0</v>
      </c>
      <c r="G95" s="69">
        <f>SUMIFS(CT!$H$5:$H$143,CT!$D$5:$D$143,BTHCTVTHH!A95)</f>
        <v>0</v>
      </c>
      <c r="H95" s="69">
        <f>SUMIFS(CT!$F$5:$F$143,CT!$E$5:$E$143,BTHCTVTHH!A95)</f>
        <v>0</v>
      </c>
      <c r="I95" s="69">
        <f>SUMIFS(CT!$H$5:$H$143,CT!$E$5:$E$143,BTHCTVTHH!A95)</f>
        <v>0</v>
      </c>
      <c r="J95" s="69">
        <f t="shared" si="4"/>
        <v>0</v>
      </c>
      <c r="K95" s="69">
        <f t="shared" si="5"/>
        <v>0</v>
      </c>
      <c r="L95" s="69">
        <f t="shared" si="6"/>
        <v>0</v>
      </c>
      <c r="M95" s="65" t="b">
        <f t="shared" si="7"/>
        <v>0</v>
      </c>
    </row>
    <row r="96" spans="1:13" hidden="1" x14ac:dyDescent="0.25">
      <c r="A96" s="93" t="str">
        <f>DMTK!B94</f>
        <v>2131</v>
      </c>
      <c r="B96" s="65">
        <f>VLOOKUP(A96,DMTK!$B$5:$Q$263,3,0)</f>
        <v>0</v>
      </c>
      <c r="C96" s="65">
        <f>VLOOKUP(A96,DMTK!$B$5:$Q$263,16,0)</f>
        <v>0</v>
      </c>
      <c r="D96" s="69">
        <f>VLOOKUP(A96,DMTK!$B$5:$Q$263,4,0)</f>
        <v>0</v>
      </c>
      <c r="E96" s="69">
        <f>VLOOKUP(A96,DMTK!$B$5:$Q$263,5,0)</f>
        <v>0</v>
      </c>
      <c r="F96" s="69">
        <f>SUMIFS(CT!$F$5:$F$143,CT!$D$5:$D$143,BTHCTVTHH!A96)</f>
        <v>0</v>
      </c>
      <c r="G96" s="69">
        <f>SUMIFS(CT!$H$5:$H$143,CT!$D$5:$D$143,BTHCTVTHH!A96)</f>
        <v>0</v>
      </c>
      <c r="H96" s="69">
        <f>SUMIFS(CT!$F$5:$F$143,CT!$E$5:$E$143,BTHCTVTHH!A96)</f>
        <v>0</v>
      </c>
      <c r="I96" s="69">
        <f>SUMIFS(CT!$H$5:$H$143,CT!$E$5:$E$143,BTHCTVTHH!A96)</f>
        <v>0</v>
      </c>
      <c r="J96" s="69">
        <f t="shared" si="4"/>
        <v>0</v>
      </c>
      <c r="K96" s="69">
        <f t="shared" si="5"/>
        <v>0</v>
      </c>
      <c r="L96" s="69">
        <f t="shared" si="6"/>
        <v>0</v>
      </c>
      <c r="M96" s="65" t="b">
        <f t="shared" si="7"/>
        <v>0</v>
      </c>
    </row>
    <row r="97" spans="1:13" hidden="1" x14ac:dyDescent="0.25">
      <c r="A97" s="93" t="str">
        <f>DMTK!B95</f>
        <v>2141</v>
      </c>
      <c r="B97" s="65" t="str">
        <f>VLOOKUP(A97,DMTK!$B$5:$Q$263,3,0)</f>
        <v>Hao mòn TSCĐ hữu hình</v>
      </c>
      <c r="C97" s="65" t="str">
        <f>VLOOKUP(A97,DMTK!$B$5:$Q$263,16,0)</f>
        <v xml:space="preserve"> </v>
      </c>
      <c r="D97" s="69">
        <f>VLOOKUP(A97,DMTK!$B$5:$Q$263,4,0)</f>
        <v>0</v>
      </c>
      <c r="E97" s="69">
        <f>VLOOKUP(A97,DMTK!$B$5:$Q$263,5,0)</f>
        <v>90000000</v>
      </c>
      <c r="F97" s="69">
        <f>SUMIFS(CT!$F$5:$F$143,CT!$D$5:$D$143,BTHCTVTHH!A97)</f>
        <v>0</v>
      </c>
      <c r="G97" s="69">
        <f>SUMIFS(CT!$H$5:$H$143,CT!$D$5:$D$143,BTHCTVTHH!A97)</f>
        <v>0</v>
      </c>
      <c r="H97" s="69">
        <f>SUMIFS(CT!$F$5:$F$143,CT!$E$5:$E$143,BTHCTVTHH!A97)</f>
        <v>0</v>
      </c>
      <c r="I97" s="69">
        <f>SUMIFS(CT!$H$5:$H$143,CT!$E$5:$E$143,BTHCTVTHH!A97)</f>
        <v>2124999</v>
      </c>
      <c r="J97" s="69">
        <f t="shared" si="4"/>
        <v>0</v>
      </c>
      <c r="K97" s="69">
        <f t="shared" si="5"/>
        <v>87875001</v>
      </c>
      <c r="L97" s="69">
        <f t="shared" si="6"/>
        <v>0</v>
      </c>
      <c r="M97" s="65" t="b">
        <f t="shared" si="7"/>
        <v>0</v>
      </c>
    </row>
    <row r="98" spans="1:13" hidden="1" x14ac:dyDescent="0.25">
      <c r="A98" s="93" t="str">
        <f>DMTK!B96</f>
        <v>2147</v>
      </c>
      <c r="B98" s="65" t="str">
        <f>VLOOKUP(A98,DMTK!$B$5:$Q$263,3,0)</f>
        <v>Hao mòn bất động sản đầu tư</v>
      </c>
      <c r="C98" s="65" t="str">
        <f>VLOOKUP(A98,DMTK!$B$5:$Q$263,16,0)</f>
        <v xml:space="preserve"> </v>
      </c>
      <c r="D98" s="69">
        <f>VLOOKUP(A98,DMTK!$B$5:$Q$263,4,0)</f>
        <v>0</v>
      </c>
      <c r="E98" s="69">
        <f>VLOOKUP(A98,DMTK!$B$5:$Q$263,5,0)</f>
        <v>0</v>
      </c>
      <c r="F98" s="69">
        <f>SUMIFS(CT!$F$5:$F$143,CT!$D$5:$D$143,BTHCTVTHH!A98)</f>
        <v>0</v>
      </c>
      <c r="G98" s="69">
        <f>SUMIFS(CT!$H$5:$H$143,CT!$D$5:$D$143,BTHCTVTHH!A98)</f>
        <v>0</v>
      </c>
      <c r="H98" s="69">
        <f>SUMIFS(CT!$F$5:$F$143,CT!$E$5:$E$143,BTHCTVTHH!A98)</f>
        <v>0</v>
      </c>
      <c r="I98" s="69">
        <f>SUMIFS(CT!$H$5:$H$143,CT!$E$5:$E$143,BTHCTVTHH!A98)</f>
        <v>0</v>
      </c>
      <c r="J98" s="69">
        <f t="shared" si="4"/>
        <v>0</v>
      </c>
      <c r="K98" s="69">
        <f t="shared" si="5"/>
        <v>0</v>
      </c>
      <c r="L98" s="69">
        <f t="shared" si="6"/>
        <v>0</v>
      </c>
      <c r="M98" s="65" t="b">
        <f t="shared" si="7"/>
        <v>0</v>
      </c>
    </row>
    <row r="99" spans="1:13" hidden="1" x14ac:dyDescent="0.25">
      <c r="A99" s="93" t="str">
        <f>DMTK!B97</f>
        <v>217</v>
      </c>
      <c r="B99" s="65" t="str">
        <f>VLOOKUP(A99,DMTK!$B$5:$Q$263,3,0)</f>
        <v>Bất động sản đầu tư</v>
      </c>
      <c r="C99" s="65" t="str">
        <f>VLOOKUP(A99,DMTK!$B$5:$Q$263,16,0)</f>
        <v xml:space="preserve"> </v>
      </c>
      <c r="D99" s="69">
        <f>VLOOKUP(A99,DMTK!$B$5:$Q$263,4,0)</f>
        <v>0</v>
      </c>
      <c r="E99" s="69">
        <f>VLOOKUP(A99,DMTK!$B$5:$Q$263,5,0)</f>
        <v>0</v>
      </c>
      <c r="F99" s="69">
        <f>SUMIFS(CT!$F$5:$F$143,CT!$D$5:$D$143,BTHCTVTHH!A99)</f>
        <v>0</v>
      </c>
      <c r="G99" s="69">
        <f>SUMIFS(CT!$H$5:$H$143,CT!$D$5:$D$143,BTHCTVTHH!A99)</f>
        <v>0</v>
      </c>
      <c r="H99" s="69">
        <f>SUMIFS(CT!$F$5:$F$143,CT!$E$5:$E$143,BTHCTVTHH!A99)</f>
        <v>0</v>
      </c>
      <c r="I99" s="69">
        <f>SUMIFS(CT!$H$5:$H$143,CT!$E$5:$E$143,BTHCTVTHH!A99)</f>
        <v>0</v>
      </c>
      <c r="J99" s="69">
        <f t="shared" si="4"/>
        <v>0</v>
      </c>
      <c r="K99" s="69">
        <f t="shared" si="5"/>
        <v>0</v>
      </c>
      <c r="L99" s="69">
        <f t="shared" si="6"/>
        <v>0</v>
      </c>
      <c r="M99" s="65" t="b">
        <f t="shared" si="7"/>
        <v>0</v>
      </c>
    </row>
    <row r="100" spans="1:13" hidden="1" x14ac:dyDescent="0.25">
      <c r="A100" s="93" t="str">
        <f>DMTK!B98</f>
        <v>221</v>
      </c>
      <c r="B100" s="65" t="str">
        <f>VLOOKUP(A100,DMTK!$B$5:$Q$263,3,0)</f>
        <v>Đầu tư vào công ty con</v>
      </c>
      <c r="C100" s="65" t="str">
        <f>VLOOKUP(A100,DMTK!$B$5:$Q$263,16,0)</f>
        <v xml:space="preserve"> </v>
      </c>
      <c r="D100" s="69">
        <f>VLOOKUP(A100,DMTK!$B$5:$Q$263,4,0)</f>
        <v>0</v>
      </c>
      <c r="E100" s="69">
        <f>VLOOKUP(A100,DMTK!$B$5:$Q$263,5,0)</f>
        <v>0</v>
      </c>
      <c r="F100" s="69">
        <f>SUMIFS(CT!$F$5:$F$143,CT!$D$5:$D$143,BTHCTVTHH!A100)</f>
        <v>0</v>
      </c>
      <c r="G100" s="69">
        <f>SUMIFS(CT!$H$5:$H$143,CT!$D$5:$D$143,BTHCTVTHH!A100)</f>
        <v>0</v>
      </c>
      <c r="H100" s="69">
        <f>SUMIFS(CT!$F$5:$F$143,CT!$E$5:$E$143,BTHCTVTHH!A100)</f>
        <v>0</v>
      </c>
      <c r="I100" s="69">
        <f>SUMIFS(CT!$H$5:$H$143,CT!$E$5:$E$143,BTHCTVTHH!A100)</f>
        <v>0</v>
      </c>
      <c r="J100" s="69">
        <f t="shared" si="4"/>
        <v>0</v>
      </c>
      <c r="K100" s="69">
        <f t="shared" si="5"/>
        <v>0</v>
      </c>
      <c r="L100" s="69">
        <f t="shared" si="6"/>
        <v>0</v>
      </c>
      <c r="M100" s="65" t="b">
        <f t="shared" si="7"/>
        <v>0</v>
      </c>
    </row>
    <row r="101" spans="1:13" hidden="1" x14ac:dyDescent="0.25">
      <c r="A101" s="93" t="str">
        <f>DMTK!B99</f>
        <v>222</v>
      </c>
      <c r="B101" s="65" t="str">
        <f>VLOOKUP(A101,DMTK!$B$5:$Q$263,3,0)</f>
        <v>Đầu tư vào công ty liên doanh, liên kết</v>
      </c>
      <c r="C101" s="65" t="str">
        <f>VLOOKUP(A101,DMTK!$B$5:$Q$263,16,0)</f>
        <v xml:space="preserve"> </v>
      </c>
      <c r="D101" s="69">
        <f>VLOOKUP(A101,DMTK!$B$5:$Q$263,4,0)</f>
        <v>0</v>
      </c>
      <c r="E101" s="69">
        <f>VLOOKUP(A101,DMTK!$B$5:$Q$263,5,0)</f>
        <v>26000000</v>
      </c>
      <c r="F101" s="69">
        <f>SUMIFS(CT!$F$5:$F$143,CT!$D$5:$D$143,BTHCTVTHH!A101)</f>
        <v>0</v>
      </c>
      <c r="G101" s="69">
        <f>SUMIFS(CT!$H$5:$H$143,CT!$D$5:$D$143,BTHCTVTHH!A101)</f>
        <v>0</v>
      </c>
      <c r="H101" s="69">
        <f>SUMIFS(CT!$F$5:$F$143,CT!$E$5:$E$143,BTHCTVTHH!A101)</f>
        <v>0</v>
      </c>
      <c r="I101" s="69">
        <f>SUMIFS(CT!$H$5:$H$143,CT!$E$5:$E$143,BTHCTVTHH!A101)</f>
        <v>0</v>
      </c>
      <c r="J101" s="69">
        <f t="shared" si="4"/>
        <v>0</v>
      </c>
      <c r="K101" s="69">
        <f t="shared" si="5"/>
        <v>26000000</v>
      </c>
      <c r="L101" s="69">
        <f t="shared" si="6"/>
        <v>0</v>
      </c>
      <c r="M101" s="65" t="b">
        <f t="shared" si="7"/>
        <v>0</v>
      </c>
    </row>
    <row r="102" spans="1:13" hidden="1" x14ac:dyDescent="0.25">
      <c r="A102" s="93" t="str">
        <f>DMTK!B100</f>
        <v>2281</v>
      </c>
      <c r="B102" s="65" t="str">
        <f>VLOOKUP(A102,DMTK!$B$5:$Q$263,3,0)</f>
        <v>Đầu tư góp vốn vào đơn vị khác</v>
      </c>
      <c r="C102" s="65" t="str">
        <f>VLOOKUP(A102,DMTK!$B$5:$Q$263,16,0)</f>
        <v xml:space="preserve"> </v>
      </c>
      <c r="D102" s="69">
        <f>VLOOKUP(A102,DMTK!$B$5:$Q$263,4,0)</f>
        <v>0</v>
      </c>
      <c r="E102" s="69">
        <f>VLOOKUP(A102,DMTK!$B$5:$Q$263,5,0)</f>
        <v>80000000</v>
      </c>
      <c r="F102" s="69">
        <f>SUMIFS(CT!$F$5:$F$143,CT!$D$5:$D$143,BTHCTVTHH!A102)</f>
        <v>0</v>
      </c>
      <c r="G102" s="69">
        <f>SUMIFS(CT!$H$5:$H$143,CT!$D$5:$D$143,BTHCTVTHH!A102)</f>
        <v>0</v>
      </c>
      <c r="H102" s="69">
        <f>SUMIFS(CT!$F$5:$F$143,CT!$E$5:$E$143,BTHCTVTHH!A102)</f>
        <v>0</v>
      </c>
      <c r="I102" s="69">
        <f>SUMIFS(CT!$H$5:$H$143,CT!$E$5:$E$143,BTHCTVTHH!A102)</f>
        <v>0</v>
      </c>
      <c r="J102" s="69">
        <f t="shared" si="4"/>
        <v>0</v>
      </c>
      <c r="K102" s="69">
        <f t="shared" si="5"/>
        <v>80000000</v>
      </c>
      <c r="L102" s="69">
        <f t="shared" si="6"/>
        <v>0</v>
      </c>
      <c r="M102" s="65" t="b">
        <f t="shared" si="7"/>
        <v>0</v>
      </c>
    </row>
    <row r="103" spans="1:13" hidden="1" x14ac:dyDescent="0.25">
      <c r="A103" s="93" t="str">
        <f>DMTK!B101</f>
        <v>22881</v>
      </c>
      <c r="B103" s="65" t="str">
        <f>VLOOKUP(A103,DMTK!$B$5:$Q$263,3,0)</f>
        <v>Đầu tư khác</v>
      </c>
      <c r="C103" s="65" t="str">
        <f>VLOOKUP(A103,DMTK!$B$5:$Q$263,16,0)</f>
        <v xml:space="preserve"> </v>
      </c>
      <c r="D103" s="69">
        <f>VLOOKUP(A103,DMTK!$B$5:$Q$263,4,0)</f>
        <v>0</v>
      </c>
      <c r="E103" s="69">
        <f>VLOOKUP(A103,DMTK!$B$5:$Q$263,5,0)</f>
        <v>30000000</v>
      </c>
      <c r="F103" s="69">
        <f>SUMIFS(CT!$F$5:$F$143,CT!$D$5:$D$143,BTHCTVTHH!A103)</f>
        <v>0</v>
      </c>
      <c r="G103" s="69">
        <f>SUMIFS(CT!$H$5:$H$143,CT!$D$5:$D$143,BTHCTVTHH!A103)</f>
        <v>0</v>
      </c>
      <c r="H103" s="69">
        <f>SUMIFS(CT!$F$5:$F$143,CT!$E$5:$E$143,BTHCTVTHH!A103)</f>
        <v>0</v>
      </c>
      <c r="I103" s="69">
        <f>SUMIFS(CT!$H$5:$H$143,CT!$E$5:$E$143,BTHCTVTHH!A103)</f>
        <v>0</v>
      </c>
      <c r="J103" s="69">
        <f t="shared" si="4"/>
        <v>0</v>
      </c>
      <c r="K103" s="69">
        <f t="shared" si="5"/>
        <v>30000000</v>
      </c>
      <c r="L103" s="69">
        <f t="shared" si="6"/>
        <v>0</v>
      </c>
      <c r="M103" s="65" t="b">
        <f t="shared" si="7"/>
        <v>0</v>
      </c>
    </row>
    <row r="104" spans="1:13" hidden="1" x14ac:dyDescent="0.25">
      <c r="A104" s="93" t="str">
        <f>DMTK!B102</f>
        <v>2291</v>
      </c>
      <c r="B104" s="65" t="str">
        <f>VLOOKUP(A104,DMTK!$B$5:$Q$263,3,0)</f>
        <v>Dự phòng giảm giá chứng khoán kinh doanh</v>
      </c>
      <c r="C104" s="65" t="str">
        <f>VLOOKUP(A104,DMTK!$B$5:$Q$263,16,0)</f>
        <v xml:space="preserve"> </v>
      </c>
      <c r="D104" s="69">
        <f>VLOOKUP(A104,DMTK!$B$5:$Q$263,4,0)</f>
        <v>0</v>
      </c>
      <c r="E104" s="69">
        <f>VLOOKUP(A104,DMTK!$B$5:$Q$263,5,0)</f>
        <v>0</v>
      </c>
      <c r="F104" s="69">
        <f>SUMIFS(CT!$F$5:$F$143,CT!$D$5:$D$143,BTHCTVTHH!A104)</f>
        <v>0</v>
      </c>
      <c r="G104" s="69">
        <f>SUMIFS(CT!$H$5:$H$143,CT!$D$5:$D$143,BTHCTVTHH!A104)</f>
        <v>0</v>
      </c>
      <c r="H104" s="69">
        <f>SUMIFS(CT!$F$5:$F$143,CT!$E$5:$E$143,BTHCTVTHH!A104)</f>
        <v>0</v>
      </c>
      <c r="I104" s="69">
        <f>SUMIFS(CT!$H$5:$H$143,CT!$E$5:$E$143,BTHCTVTHH!A104)</f>
        <v>0</v>
      </c>
      <c r="J104" s="69">
        <f t="shared" si="4"/>
        <v>0</v>
      </c>
      <c r="K104" s="69">
        <f t="shared" si="5"/>
        <v>0</v>
      </c>
      <c r="L104" s="69">
        <f t="shared" si="6"/>
        <v>0</v>
      </c>
      <c r="M104" s="65" t="b">
        <f t="shared" si="7"/>
        <v>0</v>
      </c>
    </row>
    <row r="105" spans="1:13" hidden="1" x14ac:dyDescent="0.25">
      <c r="A105" s="93" t="str">
        <f>DMTK!B103</f>
        <v>2292</v>
      </c>
      <c r="B105" s="65" t="str">
        <f>VLOOKUP(A105,DMTK!$B$5:$Q$263,3,0)</f>
        <v>Dự phòng tổn thất đầu tư vào đơn vị khác</v>
      </c>
      <c r="C105" s="65" t="str">
        <f>VLOOKUP(A105,DMTK!$B$5:$Q$263,16,0)</f>
        <v xml:space="preserve"> </v>
      </c>
      <c r="D105" s="69">
        <f>VLOOKUP(A105,DMTK!$B$5:$Q$263,4,0)</f>
        <v>0</v>
      </c>
      <c r="E105" s="69">
        <f>VLOOKUP(A105,DMTK!$B$5:$Q$263,5,0)</f>
        <v>0</v>
      </c>
      <c r="F105" s="69">
        <f>SUMIFS(CT!$F$5:$F$143,CT!$D$5:$D$143,BTHCTVTHH!A105)</f>
        <v>0</v>
      </c>
      <c r="G105" s="69">
        <f>SUMIFS(CT!$H$5:$H$143,CT!$D$5:$D$143,BTHCTVTHH!A105)</f>
        <v>0</v>
      </c>
      <c r="H105" s="69">
        <f>SUMIFS(CT!$F$5:$F$143,CT!$E$5:$E$143,BTHCTVTHH!A105)</f>
        <v>0</v>
      </c>
      <c r="I105" s="69">
        <f>SUMIFS(CT!$H$5:$H$143,CT!$E$5:$E$143,BTHCTVTHH!A105)</f>
        <v>0</v>
      </c>
      <c r="J105" s="69">
        <f t="shared" si="4"/>
        <v>0</v>
      </c>
      <c r="K105" s="69">
        <f t="shared" si="5"/>
        <v>0</v>
      </c>
      <c r="L105" s="69">
        <f t="shared" si="6"/>
        <v>0</v>
      </c>
      <c r="M105" s="65" t="b">
        <f t="shared" si="7"/>
        <v>0</v>
      </c>
    </row>
    <row r="106" spans="1:13" hidden="1" x14ac:dyDescent="0.25">
      <c r="A106" s="93" t="str">
        <f>DMTK!B104</f>
        <v>22931</v>
      </c>
      <c r="B106" s="65" t="str">
        <f>VLOOKUP(A106,DMTK!$B$5:$Q$263,3,0)</f>
        <v>Dự phòng phải thu khó đòi</v>
      </c>
      <c r="C106" s="65" t="str">
        <f>VLOOKUP(A106,DMTK!$B$5:$Q$263,16,0)</f>
        <v xml:space="preserve"> </v>
      </c>
      <c r="D106" s="69">
        <f>VLOOKUP(A106,DMTK!$B$5:$Q$263,4,0)</f>
        <v>0</v>
      </c>
      <c r="E106" s="69">
        <f>VLOOKUP(A106,DMTK!$B$5:$Q$263,5,0)</f>
        <v>30000000</v>
      </c>
      <c r="F106" s="69">
        <f>SUMIFS(CT!$F$5:$F$143,CT!$D$5:$D$143,BTHCTVTHH!A106)</f>
        <v>0</v>
      </c>
      <c r="G106" s="69">
        <f>SUMIFS(CT!$H$5:$H$143,CT!$D$5:$D$143,BTHCTVTHH!A106)</f>
        <v>0</v>
      </c>
      <c r="H106" s="69">
        <f>SUMIFS(CT!$F$5:$F$143,CT!$E$5:$E$143,BTHCTVTHH!A106)</f>
        <v>0</v>
      </c>
      <c r="I106" s="69">
        <f>SUMIFS(CT!$H$5:$H$143,CT!$E$5:$E$143,BTHCTVTHH!A106)</f>
        <v>0</v>
      </c>
      <c r="J106" s="69">
        <f t="shared" si="4"/>
        <v>0</v>
      </c>
      <c r="K106" s="69">
        <f t="shared" si="5"/>
        <v>30000000</v>
      </c>
      <c r="L106" s="69">
        <f t="shared" si="6"/>
        <v>0</v>
      </c>
      <c r="M106" s="65" t="b">
        <f t="shared" si="7"/>
        <v>0</v>
      </c>
    </row>
    <row r="107" spans="1:13" hidden="1" x14ac:dyDescent="0.25">
      <c r="A107" s="93" t="str">
        <f>DMTK!B105</f>
        <v>22932</v>
      </c>
      <c r="B107" s="65" t="str">
        <f>VLOOKUP(A107,DMTK!$B$5:$Q$263,3,0)</f>
        <v>Dự phòng phải thu khó đòi (dài hạn)</v>
      </c>
      <c r="C107" s="65" t="str">
        <f>VLOOKUP(A107,DMTK!$B$5:$Q$263,16,0)</f>
        <v xml:space="preserve"> </v>
      </c>
      <c r="D107" s="69">
        <f>VLOOKUP(A107,DMTK!$B$5:$Q$263,4,0)</f>
        <v>0</v>
      </c>
      <c r="E107" s="69">
        <f>VLOOKUP(A107,DMTK!$B$5:$Q$263,5,0)</f>
        <v>0</v>
      </c>
      <c r="F107" s="69">
        <f>SUMIFS(CT!$F$5:$F$143,CT!$D$5:$D$143,BTHCTVTHH!A107)</f>
        <v>0</v>
      </c>
      <c r="G107" s="69">
        <f>SUMIFS(CT!$H$5:$H$143,CT!$D$5:$D$143,BTHCTVTHH!A107)</f>
        <v>0</v>
      </c>
      <c r="H107" s="69">
        <f>SUMIFS(CT!$F$5:$F$143,CT!$E$5:$E$143,BTHCTVTHH!A107)</f>
        <v>0</v>
      </c>
      <c r="I107" s="69">
        <f>SUMIFS(CT!$H$5:$H$143,CT!$E$5:$E$143,BTHCTVTHH!A107)</f>
        <v>0</v>
      </c>
      <c r="J107" s="69">
        <f t="shared" si="4"/>
        <v>0</v>
      </c>
      <c r="K107" s="69">
        <f t="shared" si="5"/>
        <v>0</v>
      </c>
      <c r="L107" s="69">
        <f t="shared" si="6"/>
        <v>0</v>
      </c>
      <c r="M107" s="65" t="b">
        <f t="shared" si="7"/>
        <v>0</v>
      </c>
    </row>
    <row r="108" spans="1:13" hidden="1" x14ac:dyDescent="0.25">
      <c r="A108" s="93" t="str">
        <f>DMTK!B106</f>
        <v>2294</v>
      </c>
      <c r="B108" s="65" t="str">
        <f>VLOOKUP(A108,DMTK!$B$5:$Q$263,3,0)</f>
        <v>Dự phòng giảm giá hàng tồn kho</v>
      </c>
      <c r="C108" s="65" t="str">
        <f>VLOOKUP(A108,DMTK!$B$5:$Q$263,16,0)</f>
        <v xml:space="preserve"> </v>
      </c>
      <c r="D108" s="69">
        <f>VLOOKUP(A108,DMTK!$B$5:$Q$263,4,0)</f>
        <v>0</v>
      </c>
      <c r="E108" s="69">
        <f>VLOOKUP(A108,DMTK!$B$5:$Q$263,5,0)</f>
        <v>80000000</v>
      </c>
      <c r="F108" s="69">
        <f>SUMIFS(CT!$F$5:$F$143,CT!$D$5:$D$143,BTHCTVTHH!A108)</f>
        <v>0</v>
      </c>
      <c r="G108" s="69">
        <f>SUMIFS(CT!$H$5:$H$143,CT!$D$5:$D$143,BTHCTVTHH!A108)</f>
        <v>0</v>
      </c>
      <c r="H108" s="69">
        <f>SUMIFS(CT!$F$5:$F$143,CT!$E$5:$E$143,BTHCTVTHH!A108)</f>
        <v>0</v>
      </c>
      <c r="I108" s="69">
        <f>SUMIFS(CT!$H$5:$H$143,CT!$E$5:$E$143,BTHCTVTHH!A108)</f>
        <v>0</v>
      </c>
      <c r="J108" s="69">
        <f t="shared" si="4"/>
        <v>0</v>
      </c>
      <c r="K108" s="69">
        <f t="shared" si="5"/>
        <v>80000000</v>
      </c>
      <c r="L108" s="69">
        <f t="shared" si="6"/>
        <v>0</v>
      </c>
      <c r="M108" s="65" t="b">
        <f t="shared" si="7"/>
        <v>0</v>
      </c>
    </row>
    <row r="109" spans="1:13" hidden="1" x14ac:dyDescent="0.25">
      <c r="A109" s="93" t="str">
        <f>DMTK!B107</f>
        <v>2411</v>
      </c>
      <c r="B109" s="65" t="str">
        <f>VLOOKUP(A109,DMTK!$B$5:$Q$263,3,0)</f>
        <v>Mua sắm TSCĐ</v>
      </c>
      <c r="C109" s="65" t="str">
        <f>VLOOKUP(A109,DMTK!$B$5:$Q$263,16,0)</f>
        <v xml:space="preserve"> </v>
      </c>
      <c r="D109" s="69">
        <f>VLOOKUP(A109,DMTK!$B$5:$Q$263,4,0)</f>
        <v>0</v>
      </c>
      <c r="E109" s="69">
        <f>VLOOKUP(A109,DMTK!$B$5:$Q$263,5,0)</f>
        <v>250000000</v>
      </c>
      <c r="F109" s="69">
        <f>SUMIFS(CT!$F$5:$F$143,CT!$D$5:$D$143,BTHCTVTHH!A109)</f>
        <v>0</v>
      </c>
      <c r="G109" s="69">
        <f>SUMIFS(CT!$H$5:$H$143,CT!$D$5:$D$143,BTHCTVTHH!A109)</f>
        <v>0</v>
      </c>
      <c r="H109" s="69">
        <f>SUMIFS(CT!$F$5:$F$143,CT!$E$5:$E$143,BTHCTVTHH!A109)</f>
        <v>0</v>
      </c>
      <c r="I109" s="69">
        <f>SUMIFS(CT!$H$5:$H$143,CT!$E$5:$E$143,BTHCTVTHH!A109)</f>
        <v>0</v>
      </c>
      <c r="J109" s="69">
        <f t="shared" si="4"/>
        <v>0</v>
      </c>
      <c r="K109" s="69">
        <f t="shared" si="5"/>
        <v>250000000</v>
      </c>
      <c r="L109" s="69">
        <f t="shared" si="6"/>
        <v>0</v>
      </c>
      <c r="M109" s="65" t="b">
        <f t="shared" si="7"/>
        <v>0</v>
      </c>
    </row>
    <row r="110" spans="1:13" hidden="1" x14ac:dyDescent="0.25">
      <c r="A110" s="93" t="str">
        <f>DMTK!B108</f>
        <v>2412</v>
      </c>
      <c r="B110" s="65" t="str">
        <f>VLOOKUP(A110,DMTK!$B$5:$Q$263,3,0)</f>
        <v>Xây dựng cơ bản</v>
      </c>
      <c r="C110" s="65" t="str">
        <f>VLOOKUP(A110,DMTK!$B$5:$Q$263,16,0)</f>
        <v xml:space="preserve"> </v>
      </c>
      <c r="D110" s="69">
        <f>VLOOKUP(A110,DMTK!$B$5:$Q$263,4,0)</f>
        <v>0</v>
      </c>
      <c r="E110" s="69">
        <f>VLOOKUP(A110,DMTK!$B$5:$Q$263,5,0)</f>
        <v>213760000</v>
      </c>
      <c r="F110" s="69">
        <f>SUMIFS(CT!$F$5:$F$143,CT!$D$5:$D$143,BTHCTVTHH!A110)</f>
        <v>0</v>
      </c>
      <c r="G110" s="69">
        <f>SUMIFS(CT!$H$5:$H$143,CT!$D$5:$D$143,BTHCTVTHH!A110)</f>
        <v>0</v>
      </c>
      <c r="H110" s="69">
        <f>SUMIFS(CT!$F$5:$F$143,CT!$E$5:$E$143,BTHCTVTHH!A110)</f>
        <v>0</v>
      </c>
      <c r="I110" s="69">
        <f>SUMIFS(CT!$H$5:$H$143,CT!$E$5:$E$143,BTHCTVTHH!A110)</f>
        <v>0</v>
      </c>
      <c r="J110" s="69">
        <f t="shared" si="4"/>
        <v>0</v>
      </c>
      <c r="K110" s="69">
        <f t="shared" si="5"/>
        <v>213760000</v>
      </c>
      <c r="L110" s="69">
        <f t="shared" si="6"/>
        <v>0</v>
      </c>
      <c r="M110" s="65" t="b">
        <f t="shared" si="7"/>
        <v>0</v>
      </c>
    </row>
    <row r="111" spans="1:13" hidden="1" x14ac:dyDescent="0.25">
      <c r="A111" s="93" t="str">
        <f>DMTK!B109</f>
        <v>2413</v>
      </c>
      <c r="B111" s="65" t="str">
        <f>VLOOKUP(A111,DMTK!$B$5:$Q$263,3,0)</f>
        <v>Sửa chữa lớn TSCĐ</v>
      </c>
      <c r="C111" s="65" t="str">
        <f>VLOOKUP(A111,DMTK!$B$5:$Q$263,16,0)</f>
        <v xml:space="preserve"> </v>
      </c>
      <c r="D111" s="69">
        <f>VLOOKUP(A111,DMTK!$B$5:$Q$263,4,0)</f>
        <v>0</v>
      </c>
      <c r="E111" s="69">
        <f>VLOOKUP(A111,DMTK!$B$5:$Q$263,5,0)</f>
        <v>0</v>
      </c>
      <c r="F111" s="69">
        <f>SUMIFS(CT!$F$5:$F$143,CT!$D$5:$D$143,BTHCTVTHH!A111)</f>
        <v>0</v>
      </c>
      <c r="G111" s="69">
        <f>SUMIFS(CT!$H$5:$H$143,CT!$D$5:$D$143,BTHCTVTHH!A111)</f>
        <v>0</v>
      </c>
      <c r="H111" s="69">
        <f>SUMIFS(CT!$F$5:$F$143,CT!$E$5:$E$143,BTHCTVTHH!A111)</f>
        <v>0</v>
      </c>
      <c r="I111" s="69">
        <f>SUMIFS(CT!$H$5:$H$143,CT!$E$5:$E$143,BTHCTVTHH!A111)</f>
        <v>0</v>
      </c>
      <c r="J111" s="69">
        <f t="shared" si="4"/>
        <v>0</v>
      </c>
      <c r="K111" s="69">
        <f t="shared" si="5"/>
        <v>0</v>
      </c>
      <c r="L111" s="69">
        <f t="shared" si="6"/>
        <v>0</v>
      </c>
      <c r="M111" s="65" t="b">
        <f t="shared" si="7"/>
        <v>0</v>
      </c>
    </row>
    <row r="112" spans="1:13" hidden="1" x14ac:dyDescent="0.25">
      <c r="A112" s="93" t="str">
        <f>DMTK!B110</f>
        <v>2421.01</v>
      </c>
      <c r="B112" s="65" t="str">
        <f>VLOOKUP(A112,DMTK!$B$5:$Q$263,3,0)</f>
        <v>Máy tính Casio (không quá 12 tháng)</v>
      </c>
      <c r="C112" s="65" t="str">
        <f>VLOOKUP(A112,DMTK!$B$5:$Q$263,16,0)</f>
        <v xml:space="preserve"> </v>
      </c>
      <c r="D112" s="69">
        <f>VLOOKUP(A112,DMTK!$B$5:$Q$263,4,0)</f>
        <v>0</v>
      </c>
      <c r="E112" s="69">
        <f>VLOOKUP(A112,DMTK!$B$5:$Q$263,5,0)</f>
        <v>5000000</v>
      </c>
      <c r="F112" s="69">
        <f>SUMIFS(CT!$F$5:$F$143,CT!$D$5:$D$143,BTHCTVTHH!A112)</f>
        <v>5</v>
      </c>
      <c r="G112" s="69">
        <f>SUMIFS(CT!$H$5:$H$143,CT!$D$5:$D$143,BTHCTVTHH!A112)</f>
        <v>2500000</v>
      </c>
      <c r="H112" s="69">
        <f>SUMIFS(CT!$F$5:$F$143,CT!$E$5:$E$143,BTHCTVTHH!A112)</f>
        <v>0</v>
      </c>
      <c r="I112" s="69">
        <f>SUMIFS(CT!$H$5:$H$143,CT!$E$5:$E$143,BTHCTVTHH!A112)</f>
        <v>500000</v>
      </c>
      <c r="J112" s="69">
        <f t="shared" si="4"/>
        <v>5</v>
      </c>
      <c r="K112" s="69">
        <f t="shared" si="5"/>
        <v>7000000</v>
      </c>
      <c r="L112" s="69">
        <f t="shared" si="6"/>
        <v>1400000</v>
      </c>
      <c r="M112" s="65" t="b">
        <f t="shared" si="7"/>
        <v>0</v>
      </c>
    </row>
    <row r="113" spans="1:13" hidden="1" x14ac:dyDescent="0.25">
      <c r="A113" s="93" t="str">
        <f>DMTK!B111</f>
        <v>2421.02</v>
      </c>
      <c r="B113" s="65" t="str">
        <f>VLOOKUP(A113,DMTK!$B$5:$Q$263,3,0)</f>
        <v>Kệ tủ (không quá 12 tháng)</v>
      </c>
      <c r="C113" s="65" t="str">
        <f>VLOOKUP(A113,DMTK!$B$5:$Q$263,16,0)</f>
        <v xml:space="preserve"> </v>
      </c>
      <c r="D113" s="69">
        <f>VLOOKUP(A113,DMTK!$B$5:$Q$263,4,0)</f>
        <v>0</v>
      </c>
      <c r="E113" s="69">
        <f>VLOOKUP(A113,DMTK!$B$5:$Q$263,5,0)</f>
        <v>8000000</v>
      </c>
      <c r="F113" s="69">
        <f>SUMIFS(CT!$F$5:$F$143,CT!$D$5:$D$143,BTHCTVTHH!A113)</f>
        <v>4</v>
      </c>
      <c r="G113" s="69">
        <f>SUMIFS(CT!$H$5:$H$143,CT!$D$5:$D$143,BTHCTVTHH!A113)</f>
        <v>1000000</v>
      </c>
      <c r="H113" s="69">
        <f>SUMIFS(CT!$F$5:$F$143,CT!$E$5:$E$143,BTHCTVTHH!A113)</f>
        <v>0</v>
      </c>
      <c r="I113" s="69">
        <f>SUMIFS(CT!$H$5:$H$143,CT!$E$5:$E$143,BTHCTVTHH!A113)</f>
        <v>250000</v>
      </c>
      <c r="J113" s="69">
        <f t="shared" si="4"/>
        <v>4</v>
      </c>
      <c r="K113" s="69">
        <f t="shared" si="5"/>
        <v>8750000</v>
      </c>
      <c r="L113" s="69">
        <f t="shared" si="6"/>
        <v>2187500</v>
      </c>
      <c r="M113" s="65" t="b">
        <f t="shared" si="7"/>
        <v>0</v>
      </c>
    </row>
    <row r="114" spans="1:13" hidden="1" x14ac:dyDescent="0.25">
      <c r="A114" s="93" t="str">
        <f>DMTK!B112</f>
        <v>2422.01</v>
      </c>
      <c r="B114" s="65" t="str">
        <f>VLOOKUP(A114,DMTK!$B$5:$Q$263,3,0)</f>
        <v>Máy tính Casio (trên 12 tháng)</v>
      </c>
      <c r="C114" s="65" t="str">
        <f>VLOOKUP(A114,DMTK!$B$5:$Q$263,16,0)</f>
        <v xml:space="preserve"> </v>
      </c>
      <c r="D114" s="69">
        <f>VLOOKUP(A114,DMTK!$B$5:$Q$263,4,0)</f>
        <v>0</v>
      </c>
      <c r="E114" s="69">
        <f>VLOOKUP(A114,DMTK!$B$5:$Q$263,5,0)</f>
        <v>0</v>
      </c>
      <c r="F114" s="69">
        <f>SUMIFS(CT!$F$5:$F$143,CT!$D$5:$D$143,BTHCTVTHH!A114)</f>
        <v>0</v>
      </c>
      <c r="G114" s="69">
        <f>SUMIFS(CT!$H$5:$H$143,CT!$D$5:$D$143,BTHCTVTHH!A114)</f>
        <v>0</v>
      </c>
      <c r="H114" s="69">
        <f>SUMIFS(CT!$F$5:$F$143,CT!$E$5:$E$143,BTHCTVTHH!A114)</f>
        <v>0</v>
      </c>
      <c r="I114" s="69">
        <f>SUMIFS(CT!$H$5:$H$143,CT!$E$5:$E$143,BTHCTVTHH!A114)</f>
        <v>0</v>
      </c>
      <c r="J114" s="69">
        <f t="shared" si="4"/>
        <v>0</v>
      </c>
      <c r="K114" s="69">
        <f t="shared" si="5"/>
        <v>0</v>
      </c>
      <c r="L114" s="69">
        <f t="shared" si="6"/>
        <v>0</v>
      </c>
      <c r="M114" s="65" t="b">
        <f t="shared" si="7"/>
        <v>0</v>
      </c>
    </row>
    <row r="115" spans="1:13" hidden="1" x14ac:dyDescent="0.25">
      <c r="A115" s="93" t="str">
        <f>DMTK!B113</f>
        <v>2422.02</v>
      </c>
      <c r="B115" s="65" t="str">
        <f>VLOOKUP(A115,DMTK!$B$5:$Q$263,3,0)</f>
        <v>Kệ tủ (trên 12 tháng)</v>
      </c>
      <c r="C115" s="65" t="str">
        <f>VLOOKUP(A115,DMTK!$B$5:$Q$263,16,0)</f>
        <v xml:space="preserve"> </v>
      </c>
      <c r="D115" s="69">
        <f>VLOOKUP(A115,DMTK!$B$5:$Q$263,4,0)</f>
        <v>0</v>
      </c>
      <c r="E115" s="69">
        <f>VLOOKUP(A115,DMTK!$B$5:$Q$263,5,0)</f>
        <v>0</v>
      </c>
      <c r="F115" s="69">
        <f>SUMIFS(CT!$F$5:$F$143,CT!$D$5:$D$143,BTHCTVTHH!A115)</f>
        <v>0</v>
      </c>
      <c r="G115" s="69">
        <f>SUMIFS(CT!$H$5:$H$143,CT!$D$5:$D$143,BTHCTVTHH!A115)</f>
        <v>0</v>
      </c>
      <c r="H115" s="69">
        <f>SUMIFS(CT!$F$5:$F$143,CT!$E$5:$E$143,BTHCTVTHH!A115)</f>
        <v>0</v>
      </c>
      <c r="I115" s="69">
        <f>SUMIFS(CT!$H$5:$H$143,CT!$E$5:$E$143,BTHCTVTHH!A115)</f>
        <v>0</v>
      </c>
      <c r="J115" s="69">
        <f t="shared" si="4"/>
        <v>0</v>
      </c>
      <c r="K115" s="69">
        <f t="shared" si="5"/>
        <v>0</v>
      </c>
      <c r="L115" s="69">
        <f t="shared" si="6"/>
        <v>0</v>
      </c>
      <c r="M115" s="65" t="b">
        <f t="shared" si="7"/>
        <v>0</v>
      </c>
    </row>
    <row r="116" spans="1:13" hidden="1" x14ac:dyDescent="0.25">
      <c r="A116" s="93" t="str">
        <f>DMTK!B114</f>
        <v>2422.03</v>
      </c>
      <c r="B116" s="65" t="str">
        <f>VLOOKUP(A116,DMTK!$B$5:$Q$263,3,0)</f>
        <v>Chi phí sửa chữa lớn TSCĐ</v>
      </c>
      <c r="C116" s="65" t="str">
        <f>VLOOKUP(A116,DMTK!$B$5:$Q$263,16,0)</f>
        <v xml:space="preserve"> </v>
      </c>
      <c r="D116" s="69">
        <f>VLOOKUP(A116,DMTK!$B$5:$Q$263,4,0)</f>
        <v>0</v>
      </c>
      <c r="E116" s="69">
        <f>VLOOKUP(A116,DMTK!$B$5:$Q$263,5,0)</f>
        <v>0</v>
      </c>
      <c r="F116" s="69">
        <f>SUMIFS(CT!$F$5:$F$143,CT!$D$5:$D$143,BTHCTVTHH!A116)</f>
        <v>0</v>
      </c>
      <c r="G116" s="69">
        <f>SUMIFS(CT!$H$5:$H$143,CT!$D$5:$D$143,BTHCTVTHH!A116)</f>
        <v>0</v>
      </c>
      <c r="H116" s="69">
        <f>SUMIFS(CT!$F$5:$F$143,CT!$E$5:$E$143,BTHCTVTHH!A116)</f>
        <v>0</v>
      </c>
      <c r="I116" s="69">
        <f>SUMIFS(CT!$H$5:$H$143,CT!$E$5:$E$143,BTHCTVTHH!A116)</f>
        <v>0</v>
      </c>
      <c r="J116" s="69">
        <f t="shared" si="4"/>
        <v>0</v>
      </c>
      <c r="K116" s="69">
        <f t="shared" si="5"/>
        <v>0</v>
      </c>
      <c r="L116" s="69">
        <f t="shared" si="6"/>
        <v>0</v>
      </c>
      <c r="M116" s="65" t="b">
        <f t="shared" si="7"/>
        <v>0</v>
      </c>
    </row>
    <row r="117" spans="1:13" hidden="1" x14ac:dyDescent="0.25">
      <c r="A117" s="93" t="str">
        <f>DMTK!B115</f>
        <v>243</v>
      </c>
      <c r="B117" s="65" t="str">
        <f>VLOOKUP(A117,DMTK!$B$5:$Q$263,3,0)</f>
        <v>Tài sản thuế thu nhập hoãn lại</v>
      </c>
      <c r="C117" s="65" t="str">
        <f>VLOOKUP(A117,DMTK!$B$5:$Q$263,16,0)</f>
        <v xml:space="preserve"> </v>
      </c>
      <c r="D117" s="69">
        <f>VLOOKUP(A117,DMTK!$B$5:$Q$263,4,0)</f>
        <v>0</v>
      </c>
      <c r="E117" s="69">
        <f>VLOOKUP(A117,DMTK!$B$5:$Q$263,5,0)</f>
        <v>0</v>
      </c>
      <c r="F117" s="69">
        <f>SUMIFS(CT!$F$5:$F$143,CT!$D$5:$D$143,BTHCTVTHH!A117)</f>
        <v>0</v>
      </c>
      <c r="G117" s="69">
        <f>SUMIFS(CT!$H$5:$H$143,CT!$D$5:$D$143,BTHCTVTHH!A117)</f>
        <v>0</v>
      </c>
      <c r="H117" s="69">
        <f>SUMIFS(CT!$F$5:$F$143,CT!$E$5:$E$143,BTHCTVTHH!A117)</f>
        <v>0</v>
      </c>
      <c r="I117" s="69">
        <f>SUMIFS(CT!$H$5:$H$143,CT!$E$5:$E$143,BTHCTVTHH!A117)</f>
        <v>0</v>
      </c>
      <c r="J117" s="69">
        <f t="shared" si="4"/>
        <v>0</v>
      </c>
      <c r="K117" s="69">
        <f t="shared" si="5"/>
        <v>0</v>
      </c>
      <c r="L117" s="69">
        <f t="shared" si="6"/>
        <v>0</v>
      </c>
      <c r="M117" s="65" t="b">
        <f t="shared" si="7"/>
        <v>0</v>
      </c>
    </row>
    <row r="118" spans="1:13" hidden="1" x14ac:dyDescent="0.25">
      <c r="A118" s="93" t="str">
        <f>DMTK!B116</f>
        <v>2441</v>
      </c>
      <c r="B118" s="65" t="str">
        <f>VLOOKUP(A118,DMTK!$B$5:$Q$263,3,0)</f>
        <v>Cầm cố, thế chấp, ký quỹ, ký cược (không quá 12 tháng)</v>
      </c>
      <c r="C118" s="65" t="str">
        <f>VLOOKUP(A118,DMTK!$B$5:$Q$263,16,0)</f>
        <v xml:space="preserve"> </v>
      </c>
      <c r="D118" s="69">
        <f>VLOOKUP(A118,DMTK!$B$5:$Q$263,4,0)</f>
        <v>0</v>
      </c>
      <c r="E118" s="69">
        <f>VLOOKUP(A118,DMTK!$B$5:$Q$263,5,0)</f>
        <v>130000000</v>
      </c>
      <c r="F118" s="69">
        <f>SUMIFS(CT!$F$5:$F$143,CT!$D$5:$D$143,BTHCTVTHH!A118)</f>
        <v>0</v>
      </c>
      <c r="G118" s="69">
        <f>SUMIFS(CT!$H$5:$H$143,CT!$D$5:$D$143,BTHCTVTHH!A118)</f>
        <v>0</v>
      </c>
      <c r="H118" s="69">
        <f>SUMIFS(CT!$F$5:$F$143,CT!$E$5:$E$143,BTHCTVTHH!A118)</f>
        <v>0</v>
      </c>
      <c r="I118" s="69">
        <f>SUMIFS(CT!$H$5:$H$143,CT!$E$5:$E$143,BTHCTVTHH!A118)</f>
        <v>0</v>
      </c>
      <c r="J118" s="69">
        <f t="shared" si="4"/>
        <v>0</v>
      </c>
      <c r="K118" s="69">
        <f t="shared" si="5"/>
        <v>130000000</v>
      </c>
      <c r="L118" s="69">
        <f t="shared" si="6"/>
        <v>0</v>
      </c>
      <c r="M118" s="65" t="b">
        <f t="shared" si="7"/>
        <v>0</v>
      </c>
    </row>
    <row r="119" spans="1:13" hidden="1" x14ac:dyDescent="0.25">
      <c r="A119" s="93" t="str">
        <f>DMTK!B117</f>
        <v>2442</v>
      </c>
      <c r="B119" s="65" t="str">
        <f>VLOOKUP(A119,DMTK!$B$5:$Q$263,3,0)</f>
        <v>Cầm cố, thế chấp, ký quỹ, ký cược (trên 12 tháng)</v>
      </c>
      <c r="C119" s="65" t="str">
        <f>VLOOKUP(A119,DMTK!$B$5:$Q$263,16,0)</f>
        <v xml:space="preserve"> </v>
      </c>
      <c r="D119" s="69">
        <f>VLOOKUP(A119,DMTK!$B$5:$Q$263,4,0)</f>
        <v>0</v>
      </c>
      <c r="E119" s="69">
        <f>VLOOKUP(A119,DMTK!$B$5:$Q$263,5,0)</f>
        <v>0</v>
      </c>
      <c r="F119" s="69">
        <f>SUMIFS(CT!$F$5:$F$143,CT!$D$5:$D$143,BTHCTVTHH!A119)</f>
        <v>0</v>
      </c>
      <c r="G119" s="69">
        <f>SUMIFS(CT!$H$5:$H$143,CT!$D$5:$D$143,BTHCTVTHH!A119)</f>
        <v>0</v>
      </c>
      <c r="H119" s="69">
        <f>SUMIFS(CT!$F$5:$F$143,CT!$E$5:$E$143,BTHCTVTHH!A119)</f>
        <v>0</v>
      </c>
      <c r="I119" s="69">
        <f>SUMIFS(CT!$H$5:$H$143,CT!$E$5:$E$143,BTHCTVTHH!A119)</f>
        <v>0</v>
      </c>
      <c r="J119" s="69">
        <f t="shared" si="4"/>
        <v>0</v>
      </c>
      <c r="K119" s="69">
        <f t="shared" si="5"/>
        <v>0</v>
      </c>
      <c r="L119" s="69">
        <f t="shared" si="6"/>
        <v>0</v>
      </c>
      <c r="M119" s="65" t="b">
        <f t="shared" si="7"/>
        <v>0</v>
      </c>
    </row>
    <row r="120" spans="1:13" hidden="1" x14ac:dyDescent="0.25">
      <c r="A120" s="93" t="str">
        <f>DMTK!B118</f>
        <v>3311.01</v>
      </c>
      <c r="B120" s="65" t="str">
        <f>VLOOKUP(A120,DMTK!$B$5:$Q$263,3,0)</f>
        <v>Cty CP Mai Lan</v>
      </c>
      <c r="C120" s="65" t="str">
        <f>VLOOKUP(A120,DMTK!$B$5:$Q$263,16,0)</f>
        <v xml:space="preserve"> </v>
      </c>
      <c r="D120" s="69">
        <f>VLOOKUP(A120,DMTK!$B$5:$Q$263,4,0)</f>
        <v>0</v>
      </c>
      <c r="E120" s="69">
        <f>VLOOKUP(A120,DMTK!$B$5:$Q$263,5,0)</f>
        <v>139000000</v>
      </c>
      <c r="F120" s="69">
        <f>SUMIFS(CT!$F$5:$F$143,CT!$D$5:$D$143,BTHCTVTHH!A120)</f>
        <v>0</v>
      </c>
      <c r="G120" s="69">
        <f>SUMIFS(CT!$H$5:$H$143,CT!$D$5:$D$143,BTHCTVTHH!A120)</f>
        <v>40000000</v>
      </c>
      <c r="H120" s="69">
        <f>SUMIFS(CT!$F$5:$F$143,CT!$E$5:$E$143,BTHCTVTHH!A120)</f>
        <v>300</v>
      </c>
      <c r="I120" s="69">
        <f>SUMIFS(CT!$H$5:$H$143,CT!$E$5:$E$143,BTHCTVTHH!A120)</f>
        <v>4755000</v>
      </c>
      <c r="J120" s="69">
        <f t="shared" si="4"/>
        <v>-300</v>
      </c>
      <c r="K120" s="69">
        <f t="shared" si="5"/>
        <v>174245000</v>
      </c>
      <c r="L120" s="69">
        <f t="shared" si="6"/>
        <v>-580816.66666666663</v>
      </c>
      <c r="M120" s="65" t="b">
        <f t="shared" si="7"/>
        <v>0</v>
      </c>
    </row>
    <row r="121" spans="1:13" hidden="1" x14ac:dyDescent="0.25">
      <c r="A121" s="93" t="str">
        <f>DMTK!B119</f>
        <v>3311.02</v>
      </c>
      <c r="B121" s="65" t="str">
        <f>VLOOKUP(A121,DMTK!$B$5:$Q$263,3,0)</f>
        <v>Cty TNHH Cường Phát</v>
      </c>
      <c r="C121" s="65" t="str">
        <f>VLOOKUP(A121,DMTK!$B$5:$Q$263,16,0)</f>
        <v xml:space="preserve"> </v>
      </c>
      <c r="D121" s="69">
        <f>VLOOKUP(A121,DMTK!$B$5:$Q$263,4,0)</f>
        <v>0</v>
      </c>
      <c r="E121" s="69">
        <f>VLOOKUP(A121,DMTK!$B$5:$Q$263,5,0)</f>
        <v>73000000</v>
      </c>
      <c r="F121" s="69">
        <f>SUMIFS(CT!$F$5:$F$143,CT!$D$5:$D$143,BTHCTVTHH!A121)</f>
        <v>0</v>
      </c>
      <c r="G121" s="69">
        <f>SUMIFS(CT!$H$5:$H$143,CT!$D$5:$D$143,BTHCTVTHH!A121)</f>
        <v>0</v>
      </c>
      <c r="H121" s="69">
        <f>SUMIFS(CT!$F$5:$F$143,CT!$E$5:$E$143,BTHCTVTHH!A121)</f>
        <v>5</v>
      </c>
      <c r="I121" s="69">
        <f>SUMIFS(CT!$H$5:$H$143,CT!$E$5:$E$143,BTHCTVTHH!A121)</f>
        <v>23500000</v>
      </c>
      <c r="J121" s="69">
        <f t="shared" si="4"/>
        <v>-5</v>
      </c>
      <c r="K121" s="69">
        <f t="shared" si="5"/>
        <v>49500000</v>
      </c>
      <c r="L121" s="69">
        <f t="shared" si="6"/>
        <v>-9900000</v>
      </c>
      <c r="M121" s="65" t="b">
        <f t="shared" si="7"/>
        <v>0</v>
      </c>
    </row>
    <row r="122" spans="1:13" hidden="1" x14ac:dyDescent="0.25">
      <c r="A122" s="93" t="str">
        <f>DMTK!B120</f>
        <v>3311.03</v>
      </c>
      <c r="B122" s="65" t="str">
        <f>VLOOKUP(A122,DMTK!$B$5:$Q$263,3,0)</f>
        <v>Cty TNHH Minh Gia Phát</v>
      </c>
      <c r="C122" s="65" t="str">
        <f>VLOOKUP(A122,DMTK!$B$5:$Q$263,16,0)</f>
        <v xml:space="preserve"> </v>
      </c>
      <c r="D122" s="69">
        <f>VLOOKUP(A122,DMTK!$B$5:$Q$263,4,0)</f>
        <v>0</v>
      </c>
      <c r="E122" s="69">
        <f>VLOOKUP(A122,DMTK!$B$5:$Q$263,5,0)</f>
        <v>0</v>
      </c>
      <c r="F122" s="69">
        <f>SUMIFS(CT!$F$5:$F$143,CT!$D$5:$D$143,BTHCTVTHH!A122)</f>
        <v>0</v>
      </c>
      <c r="G122" s="69">
        <f>SUMIFS(CT!$H$5:$H$143,CT!$D$5:$D$143,BTHCTVTHH!A122)</f>
        <v>50000000</v>
      </c>
      <c r="H122" s="69">
        <f>SUMIFS(CT!$F$5:$F$143,CT!$E$5:$E$143,BTHCTVTHH!A122)</f>
        <v>200</v>
      </c>
      <c r="I122" s="69">
        <f>SUMIFS(CT!$H$5:$H$143,CT!$E$5:$E$143,BTHCTVTHH!A122)</f>
        <v>5500000</v>
      </c>
      <c r="J122" s="69">
        <f t="shared" si="4"/>
        <v>-200</v>
      </c>
      <c r="K122" s="69">
        <f t="shared" si="5"/>
        <v>44500000</v>
      </c>
      <c r="L122" s="69">
        <f t="shared" si="6"/>
        <v>-222500</v>
      </c>
      <c r="M122" s="65" t="b">
        <f t="shared" si="7"/>
        <v>0</v>
      </c>
    </row>
    <row r="123" spans="1:13" hidden="1" x14ac:dyDescent="0.25">
      <c r="A123" s="93" t="str">
        <f>DMTK!B121</f>
        <v>33311</v>
      </c>
      <c r="B123" s="65" t="str">
        <f>VLOOKUP(A123,DMTK!$B$5:$Q$263,3,0)</f>
        <v>Thuế GTGT đầu ra</v>
      </c>
      <c r="C123" s="65" t="str">
        <f>VLOOKUP(A123,DMTK!$B$5:$Q$263,16,0)</f>
        <v xml:space="preserve"> </v>
      </c>
      <c r="D123" s="69">
        <f>VLOOKUP(A123,DMTK!$B$5:$Q$263,4,0)</f>
        <v>0</v>
      </c>
      <c r="E123" s="69">
        <f>VLOOKUP(A123,DMTK!$B$5:$Q$263,5,0)</f>
        <v>14200000</v>
      </c>
      <c r="F123" s="69">
        <f>SUMIFS(CT!$F$5:$F$143,CT!$D$5:$D$143,BTHCTVTHH!A123)</f>
        <v>0</v>
      </c>
      <c r="G123" s="69">
        <f>SUMIFS(CT!$H$5:$H$143,CT!$D$5:$D$143,BTHCTVTHH!A123)</f>
        <v>0</v>
      </c>
      <c r="H123" s="69">
        <f>SUMIFS(CT!$F$5:$F$143,CT!$E$5:$E$143,BTHCTVTHH!A123)</f>
        <v>0</v>
      </c>
      <c r="I123" s="69">
        <f>SUMIFS(CT!$H$5:$H$143,CT!$E$5:$E$143,BTHCTVTHH!A123)</f>
        <v>3157500</v>
      </c>
      <c r="J123" s="69">
        <f t="shared" si="4"/>
        <v>0</v>
      </c>
      <c r="K123" s="69">
        <f t="shared" si="5"/>
        <v>11042500</v>
      </c>
      <c r="L123" s="69">
        <f t="shared" si="6"/>
        <v>0</v>
      </c>
      <c r="M123" s="65" t="b">
        <f t="shared" si="7"/>
        <v>0</v>
      </c>
    </row>
    <row r="124" spans="1:13" hidden="1" x14ac:dyDescent="0.25">
      <c r="A124" s="93" t="str">
        <f>DMTK!B122</f>
        <v>33312</v>
      </c>
      <c r="B124" s="65" t="str">
        <f>VLOOKUP(A124,DMTK!$B$5:$Q$263,3,0)</f>
        <v>Thuế GTGT hàng nhập khẩu</v>
      </c>
      <c r="C124" s="65" t="str">
        <f>VLOOKUP(A124,DMTK!$B$5:$Q$263,16,0)</f>
        <v xml:space="preserve"> </v>
      </c>
      <c r="D124" s="69">
        <f>VLOOKUP(A124,DMTK!$B$5:$Q$263,4,0)</f>
        <v>0</v>
      </c>
      <c r="E124" s="69">
        <f>VLOOKUP(A124,DMTK!$B$5:$Q$263,5,0)</f>
        <v>8000000</v>
      </c>
      <c r="F124" s="69">
        <f>SUMIFS(CT!$F$5:$F$143,CT!$D$5:$D$143,BTHCTVTHH!A124)</f>
        <v>0</v>
      </c>
      <c r="G124" s="69">
        <f>SUMIFS(CT!$H$5:$H$143,CT!$D$5:$D$143,BTHCTVTHH!A124)</f>
        <v>0</v>
      </c>
      <c r="H124" s="69">
        <f>SUMIFS(CT!$F$5:$F$143,CT!$E$5:$E$143,BTHCTVTHH!A124)</f>
        <v>0</v>
      </c>
      <c r="I124" s="69">
        <f>SUMIFS(CT!$H$5:$H$143,CT!$E$5:$E$143,BTHCTVTHH!A124)</f>
        <v>0</v>
      </c>
      <c r="J124" s="69">
        <f t="shared" si="4"/>
        <v>0</v>
      </c>
      <c r="K124" s="69">
        <f t="shared" si="5"/>
        <v>8000000</v>
      </c>
      <c r="L124" s="69">
        <f t="shared" si="6"/>
        <v>0</v>
      </c>
      <c r="M124" s="65" t="b">
        <f t="shared" si="7"/>
        <v>0</v>
      </c>
    </row>
    <row r="125" spans="1:13" hidden="1" x14ac:dyDescent="0.25">
      <c r="A125" s="93" t="str">
        <f>DMTK!B123</f>
        <v>3332</v>
      </c>
      <c r="B125" s="65" t="str">
        <f>VLOOKUP(A125,DMTK!$B$5:$Q$263,3,0)</f>
        <v>Thuế tiêu thụ đặc biệt</v>
      </c>
      <c r="C125" s="65" t="str">
        <f>VLOOKUP(A125,DMTK!$B$5:$Q$263,16,0)</f>
        <v xml:space="preserve"> </v>
      </c>
      <c r="D125" s="69">
        <f>VLOOKUP(A125,DMTK!$B$5:$Q$263,4,0)</f>
        <v>0</v>
      </c>
      <c r="E125" s="69">
        <f>VLOOKUP(A125,DMTK!$B$5:$Q$263,5,0)</f>
        <v>0</v>
      </c>
      <c r="F125" s="69">
        <f>SUMIFS(CT!$F$5:$F$143,CT!$D$5:$D$143,BTHCTVTHH!A125)</f>
        <v>0</v>
      </c>
      <c r="G125" s="69">
        <f>SUMIFS(CT!$H$5:$H$143,CT!$D$5:$D$143,BTHCTVTHH!A125)</f>
        <v>0</v>
      </c>
      <c r="H125" s="69">
        <f>SUMIFS(CT!$F$5:$F$143,CT!$E$5:$E$143,BTHCTVTHH!A125)</f>
        <v>0</v>
      </c>
      <c r="I125" s="69">
        <f>SUMIFS(CT!$H$5:$H$143,CT!$E$5:$E$143,BTHCTVTHH!A125)</f>
        <v>0</v>
      </c>
      <c r="J125" s="69">
        <f t="shared" si="4"/>
        <v>0</v>
      </c>
      <c r="K125" s="69">
        <f t="shared" si="5"/>
        <v>0</v>
      </c>
      <c r="L125" s="69">
        <f t="shared" si="6"/>
        <v>0</v>
      </c>
      <c r="M125" s="65" t="b">
        <f t="shared" si="7"/>
        <v>0</v>
      </c>
    </row>
    <row r="126" spans="1:13" hidden="1" x14ac:dyDescent="0.25">
      <c r="A126" s="93" t="str">
        <f>DMTK!B124</f>
        <v>3333</v>
      </c>
      <c r="B126" s="65" t="str">
        <f>VLOOKUP(A126,DMTK!$B$5:$Q$263,3,0)</f>
        <v>Thuế xuất, nhập khẩu</v>
      </c>
      <c r="C126" s="65" t="str">
        <f>VLOOKUP(A126,DMTK!$B$5:$Q$263,16,0)</f>
        <v xml:space="preserve"> </v>
      </c>
      <c r="D126" s="69">
        <f>VLOOKUP(A126,DMTK!$B$5:$Q$263,4,0)</f>
        <v>0</v>
      </c>
      <c r="E126" s="69">
        <f>VLOOKUP(A126,DMTK!$B$5:$Q$263,5,0)</f>
        <v>0</v>
      </c>
      <c r="F126" s="69">
        <f>SUMIFS(CT!$F$5:$F$143,CT!$D$5:$D$143,BTHCTVTHH!A126)</f>
        <v>0</v>
      </c>
      <c r="G126" s="69">
        <f>SUMIFS(CT!$H$5:$H$143,CT!$D$5:$D$143,BTHCTVTHH!A126)</f>
        <v>0</v>
      </c>
      <c r="H126" s="69">
        <f>SUMIFS(CT!$F$5:$F$143,CT!$E$5:$E$143,BTHCTVTHH!A126)</f>
        <v>0</v>
      </c>
      <c r="I126" s="69">
        <f>SUMIFS(CT!$H$5:$H$143,CT!$E$5:$E$143,BTHCTVTHH!A126)</f>
        <v>0</v>
      </c>
      <c r="J126" s="69">
        <f t="shared" si="4"/>
        <v>0</v>
      </c>
      <c r="K126" s="69">
        <f t="shared" si="5"/>
        <v>0</v>
      </c>
      <c r="L126" s="69">
        <f t="shared" si="6"/>
        <v>0</v>
      </c>
      <c r="M126" s="65" t="b">
        <f t="shared" si="7"/>
        <v>0</v>
      </c>
    </row>
    <row r="127" spans="1:13" hidden="1" x14ac:dyDescent="0.25">
      <c r="A127" s="93" t="str">
        <f>DMTK!B125</f>
        <v>3334</v>
      </c>
      <c r="B127" s="65" t="str">
        <f>VLOOKUP(A127,DMTK!$B$5:$Q$263,3,0)</f>
        <v>Thuế thu nhập doanh nghiệp</v>
      </c>
      <c r="C127" s="65" t="str">
        <f>VLOOKUP(A127,DMTK!$B$5:$Q$263,16,0)</f>
        <v xml:space="preserve"> </v>
      </c>
      <c r="D127" s="69">
        <f>VLOOKUP(A127,DMTK!$B$5:$Q$263,4,0)</f>
        <v>0</v>
      </c>
      <c r="E127" s="69">
        <f>VLOOKUP(A127,DMTK!$B$5:$Q$263,5,0)</f>
        <v>12000000</v>
      </c>
      <c r="F127" s="69">
        <f>SUMIFS(CT!$F$5:$F$143,CT!$D$5:$D$143,BTHCTVTHH!A127)</f>
        <v>0</v>
      </c>
      <c r="G127" s="69">
        <f>SUMIFS(CT!$H$5:$H$143,CT!$D$5:$D$143,BTHCTVTHH!A127)</f>
        <v>0</v>
      </c>
      <c r="H127" s="69">
        <f>SUMIFS(CT!$F$5:$F$143,CT!$E$5:$E$143,BTHCTVTHH!A127)</f>
        <v>0</v>
      </c>
      <c r="I127" s="69">
        <f>SUMIFS(CT!$H$5:$H$143,CT!$E$5:$E$143,BTHCTVTHH!A127)</f>
        <v>0</v>
      </c>
      <c r="J127" s="69">
        <f t="shared" si="4"/>
        <v>0</v>
      </c>
      <c r="K127" s="69">
        <f t="shared" si="5"/>
        <v>12000000</v>
      </c>
      <c r="L127" s="69">
        <f t="shared" si="6"/>
        <v>0</v>
      </c>
      <c r="M127" s="65" t="b">
        <f t="shared" si="7"/>
        <v>0</v>
      </c>
    </row>
    <row r="128" spans="1:13" hidden="1" x14ac:dyDescent="0.25">
      <c r="A128" s="93" t="str">
        <f>DMTK!B126</f>
        <v>3335</v>
      </c>
      <c r="B128" s="65" t="str">
        <f>VLOOKUP(A128,DMTK!$B$5:$Q$263,3,0)</f>
        <v>Thuế thu nhập cá nhân</v>
      </c>
      <c r="C128" s="65" t="str">
        <f>VLOOKUP(A128,DMTK!$B$5:$Q$263,16,0)</f>
        <v xml:space="preserve"> </v>
      </c>
      <c r="D128" s="69">
        <f>VLOOKUP(A128,DMTK!$B$5:$Q$263,4,0)</f>
        <v>0</v>
      </c>
      <c r="E128" s="69">
        <f>VLOOKUP(A128,DMTK!$B$5:$Q$263,5,0)</f>
        <v>0</v>
      </c>
      <c r="F128" s="69">
        <f>SUMIFS(CT!$F$5:$F$143,CT!$D$5:$D$143,BTHCTVTHH!A128)</f>
        <v>0</v>
      </c>
      <c r="G128" s="69">
        <f>SUMIFS(CT!$H$5:$H$143,CT!$D$5:$D$143,BTHCTVTHH!A128)</f>
        <v>0</v>
      </c>
      <c r="H128" s="69">
        <f>SUMIFS(CT!$F$5:$F$143,CT!$E$5:$E$143,BTHCTVTHH!A128)</f>
        <v>0</v>
      </c>
      <c r="I128" s="69">
        <f>SUMIFS(CT!$H$5:$H$143,CT!$E$5:$E$143,BTHCTVTHH!A128)</f>
        <v>0</v>
      </c>
      <c r="J128" s="69">
        <f t="shared" si="4"/>
        <v>0</v>
      </c>
      <c r="K128" s="69">
        <f t="shared" si="5"/>
        <v>0</v>
      </c>
      <c r="L128" s="69">
        <f t="shared" si="6"/>
        <v>0</v>
      </c>
      <c r="M128" s="65" t="b">
        <f t="shared" si="7"/>
        <v>0</v>
      </c>
    </row>
    <row r="129" spans="1:13" hidden="1" x14ac:dyDescent="0.25">
      <c r="A129" s="93" t="str">
        <f>DMTK!B127</f>
        <v>3336</v>
      </c>
      <c r="B129" s="65" t="str">
        <f>VLOOKUP(A129,DMTK!$B$5:$Q$263,3,0)</f>
        <v>Thuế tài nguyên</v>
      </c>
      <c r="C129" s="65" t="str">
        <f>VLOOKUP(A129,DMTK!$B$5:$Q$263,16,0)</f>
        <v xml:space="preserve"> </v>
      </c>
      <c r="D129" s="69">
        <f>VLOOKUP(A129,DMTK!$B$5:$Q$263,4,0)</f>
        <v>0</v>
      </c>
      <c r="E129" s="69">
        <f>VLOOKUP(A129,DMTK!$B$5:$Q$263,5,0)</f>
        <v>0</v>
      </c>
      <c r="F129" s="69">
        <f>SUMIFS(CT!$F$5:$F$143,CT!$D$5:$D$143,BTHCTVTHH!A129)</f>
        <v>0</v>
      </c>
      <c r="G129" s="69">
        <f>SUMIFS(CT!$H$5:$H$143,CT!$D$5:$D$143,BTHCTVTHH!A129)</f>
        <v>0</v>
      </c>
      <c r="H129" s="69">
        <f>SUMIFS(CT!$F$5:$F$143,CT!$E$5:$E$143,BTHCTVTHH!A129)</f>
        <v>0</v>
      </c>
      <c r="I129" s="69">
        <f>SUMIFS(CT!$H$5:$H$143,CT!$E$5:$E$143,BTHCTVTHH!A129)</f>
        <v>0</v>
      </c>
      <c r="J129" s="69">
        <f t="shared" si="4"/>
        <v>0</v>
      </c>
      <c r="K129" s="69">
        <f t="shared" si="5"/>
        <v>0</v>
      </c>
      <c r="L129" s="69">
        <f t="shared" si="6"/>
        <v>0</v>
      </c>
      <c r="M129" s="65" t="b">
        <f t="shared" si="7"/>
        <v>0</v>
      </c>
    </row>
    <row r="130" spans="1:13" hidden="1" x14ac:dyDescent="0.25">
      <c r="A130" s="93" t="str">
        <f>DMTK!B128</f>
        <v>3337</v>
      </c>
      <c r="B130" s="65" t="str">
        <f>VLOOKUP(A130,DMTK!$B$5:$Q$263,3,0)</f>
        <v>Thuế nhà đất, tiền thuê đất</v>
      </c>
      <c r="C130" s="65" t="str">
        <f>VLOOKUP(A130,DMTK!$B$5:$Q$263,16,0)</f>
        <v xml:space="preserve"> </v>
      </c>
      <c r="D130" s="69">
        <f>VLOOKUP(A130,DMTK!$B$5:$Q$263,4,0)</f>
        <v>0</v>
      </c>
      <c r="E130" s="69">
        <f>VLOOKUP(A130,DMTK!$B$5:$Q$263,5,0)</f>
        <v>0</v>
      </c>
      <c r="F130" s="69">
        <f>SUMIFS(CT!$F$5:$F$143,CT!$D$5:$D$143,BTHCTVTHH!A130)</f>
        <v>0</v>
      </c>
      <c r="G130" s="69">
        <f>SUMIFS(CT!$H$5:$H$143,CT!$D$5:$D$143,BTHCTVTHH!A130)</f>
        <v>0</v>
      </c>
      <c r="H130" s="69">
        <f>SUMIFS(CT!$F$5:$F$143,CT!$E$5:$E$143,BTHCTVTHH!A130)</f>
        <v>0</v>
      </c>
      <c r="I130" s="69">
        <f>SUMIFS(CT!$H$5:$H$143,CT!$E$5:$E$143,BTHCTVTHH!A130)</f>
        <v>0</v>
      </c>
      <c r="J130" s="69">
        <f t="shared" si="4"/>
        <v>0</v>
      </c>
      <c r="K130" s="69">
        <f t="shared" si="5"/>
        <v>0</v>
      </c>
      <c r="L130" s="69">
        <f t="shared" si="6"/>
        <v>0</v>
      </c>
      <c r="M130" s="65" t="b">
        <f t="shared" si="7"/>
        <v>0</v>
      </c>
    </row>
    <row r="131" spans="1:13" hidden="1" x14ac:dyDescent="0.25">
      <c r="A131" s="93" t="str">
        <f>DMTK!B129</f>
        <v>3338</v>
      </c>
      <c r="B131" s="65" t="str">
        <f>VLOOKUP(A131,DMTK!$B$5:$Q$263,3,0)</f>
        <v>Thuế bảo vệ môi trường và các loại thuế khác</v>
      </c>
      <c r="C131" s="65" t="str">
        <f>VLOOKUP(A131,DMTK!$B$5:$Q$263,16,0)</f>
        <v xml:space="preserve"> </v>
      </c>
      <c r="D131" s="69">
        <f>VLOOKUP(A131,DMTK!$B$5:$Q$263,4,0)</f>
        <v>0</v>
      </c>
      <c r="E131" s="69">
        <f>VLOOKUP(A131,DMTK!$B$5:$Q$263,5,0)</f>
        <v>0</v>
      </c>
      <c r="F131" s="69">
        <f>SUMIFS(CT!$F$5:$F$143,CT!$D$5:$D$143,BTHCTVTHH!A131)</f>
        <v>0</v>
      </c>
      <c r="G131" s="69">
        <f>SUMIFS(CT!$H$5:$H$143,CT!$D$5:$D$143,BTHCTVTHH!A131)</f>
        <v>0</v>
      </c>
      <c r="H131" s="69">
        <f>SUMIFS(CT!$F$5:$F$143,CT!$E$5:$E$143,BTHCTVTHH!A131)</f>
        <v>0</v>
      </c>
      <c r="I131" s="69">
        <f>SUMIFS(CT!$H$5:$H$143,CT!$E$5:$E$143,BTHCTVTHH!A131)</f>
        <v>0</v>
      </c>
      <c r="J131" s="69">
        <f t="shared" si="4"/>
        <v>0</v>
      </c>
      <c r="K131" s="69">
        <f t="shared" si="5"/>
        <v>0</v>
      </c>
      <c r="L131" s="69">
        <f t="shared" si="6"/>
        <v>0</v>
      </c>
      <c r="M131" s="65" t="b">
        <f t="shared" si="7"/>
        <v>0</v>
      </c>
    </row>
    <row r="132" spans="1:13" hidden="1" x14ac:dyDescent="0.25">
      <c r="A132" s="93" t="str">
        <f>DMTK!B130</f>
        <v>3339</v>
      </c>
      <c r="B132" s="65" t="str">
        <f>VLOOKUP(A132,DMTK!$B$5:$Q$263,3,0)</f>
        <v>Phí, lệ phí và các khoản phải nộp khác</v>
      </c>
      <c r="C132" s="65" t="str">
        <f>VLOOKUP(A132,DMTK!$B$5:$Q$263,16,0)</f>
        <v xml:space="preserve"> </v>
      </c>
      <c r="D132" s="69">
        <f>VLOOKUP(A132,DMTK!$B$5:$Q$263,4,0)</f>
        <v>0</v>
      </c>
      <c r="E132" s="69">
        <f>VLOOKUP(A132,DMTK!$B$5:$Q$263,5,0)</f>
        <v>0</v>
      </c>
      <c r="F132" s="69">
        <f>SUMIFS(CT!$F$5:$F$143,CT!$D$5:$D$143,BTHCTVTHH!A132)</f>
        <v>0</v>
      </c>
      <c r="G132" s="69">
        <f>SUMIFS(CT!$H$5:$H$143,CT!$D$5:$D$143,BTHCTVTHH!A132)</f>
        <v>0</v>
      </c>
      <c r="H132" s="69">
        <f>SUMIFS(CT!$F$5:$F$143,CT!$E$5:$E$143,BTHCTVTHH!A132)</f>
        <v>0</v>
      </c>
      <c r="I132" s="69">
        <f>SUMIFS(CT!$H$5:$H$143,CT!$E$5:$E$143,BTHCTVTHH!A132)</f>
        <v>0</v>
      </c>
      <c r="J132" s="69">
        <f t="shared" si="4"/>
        <v>0</v>
      </c>
      <c r="K132" s="69">
        <f t="shared" si="5"/>
        <v>0</v>
      </c>
      <c r="L132" s="69">
        <f t="shared" si="6"/>
        <v>0</v>
      </c>
      <c r="M132" s="65" t="b">
        <f t="shared" si="7"/>
        <v>0</v>
      </c>
    </row>
    <row r="133" spans="1:13" hidden="1" x14ac:dyDescent="0.25">
      <c r="A133" s="93" t="str">
        <f>DMTK!B131</f>
        <v>3341.01</v>
      </c>
      <c r="B133" s="65" t="str">
        <f>VLOOKUP(A133,DMTK!$B$5:$Q$263,3,0)</f>
        <v>Lương CNSX Ghế tay vịn</v>
      </c>
      <c r="C133" s="65" t="str">
        <f>VLOOKUP(A133,DMTK!$B$5:$Q$263,16,0)</f>
        <v xml:space="preserve"> </v>
      </c>
      <c r="D133" s="69">
        <f>VLOOKUP(A133,DMTK!$B$5:$Q$263,4,0)</f>
        <v>0</v>
      </c>
      <c r="E133" s="69">
        <f>VLOOKUP(A133,DMTK!$B$5:$Q$263,5,0)</f>
        <v>12000000</v>
      </c>
      <c r="F133" s="69">
        <f>SUMIFS(CT!$F$5:$F$143,CT!$D$5:$D$143,BTHCTVTHH!A133)</f>
        <v>0</v>
      </c>
      <c r="G133" s="69">
        <f>SUMIFS(CT!$H$5:$H$143,CT!$D$5:$D$143,BTHCTVTHH!A133)</f>
        <v>40000000</v>
      </c>
      <c r="H133" s="69">
        <f>SUMIFS(CT!$F$5:$F$143,CT!$E$5:$E$143,BTHCTVTHH!A133)</f>
        <v>0</v>
      </c>
      <c r="I133" s="69">
        <f>SUMIFS(CT!$H$5:$H$143,CT!$E$5:$E$143,BTHCTVTHH!A133)</f>
        <v>40000000</v>
      </c>
      <c r="J133" s="69">
        <f t="shared" si="4"/>
        <v>0</v>
      </c>
      <c r="K133" s="69">
        <f t="shared" si="5"/>
        <v>12000000</v>
      </c>
      <c r="L133" s="69">
        <f t="shared" si="6"/>
        <v>0</v>
      </c>
      <c r="M133" s="65" t="b">
        <f t="shared" si="7"/>
        <v>0</v>
      </c>
    </row>
    <row r="134" spans="1:13" hidden="1" x14ac:dyDescent="0.25">
      <c r="A134" s="93" t="str">
        <f>DMTK!B132</f>
        <v>3341.02</v>
      </c>
      <c r="B134" s="65" t="str">
        <f>VLOOKUP(A134,DMTK!$B$5:$Q$263,3,0)</f>
        <v>Lương CNSX Ghế không tay</v>
      </c>
      <c r="C134" s="65" t="str">
        <f>VLOOKUP(A134,DMTK!$B$5:$Q$263,16,0)</f>
        <v xml:space="preserve"> </v>
      </c>
      <c r="D134" s="69">
        <f>VLOOKUP(A134,DMTK!$B$5:$Q$263,4,0)</f>
        <v>0</v>
      </c>
      <c r="E134" s="69">
        <f>VLOOKUP(A134,DMTK!$B$5:$Q$263,5,0)</f>
        <v>8000000</v>
      </c>
      <c r="F134" s="69">
        <f>SUMIFS(CT!$F$5:$F$143,CT!$D$5:$D$143,BTHCTVTHH!A134)</f>
        <v>0</v>
      </c>
      <c r="G134" s="69">
        <f>SUMIFS(CT!$H$5:$H$143,CT!$D$5:$D$143,BTHCTVTHH!A134)</f>
        <v>40000000</v>
      </c>
      <c r="H134" s="69">
        <f>SUMIFS(CT!$F$5:$F$143,CT!$E$5:$E$143,BTHCTVTHH!A134)</f>
        <v>0</v>
      </c>
      <c r="I134" s="69">
        <f>SUMIFS(CT!$H$5:$H$143,CT!$E$5:$E$143,BTHCTVTHH!A134)</f>
        <v>40000000</v>
      </c>
      <c r="J134" s="69">
        <f t="shared" si="4"/>
        <v>0</v>
      </c>
      <c r="K134" s="69">
        <f t="shared" si="5"/>
        <v>8000000</v>
      </c>
      <c r="L134" s="69">
        <f t="shared" si="6"/>
        <v>0</v>
      </c>
      <c r="M134" s="65" t="b">
        <f t="shared" si="7"/>
        <v>0</v>
      </c>
    </row>
    <row r="135" spans="1:13" hidden="1" x14ac:dyDescent="0.25">
      <c r="A135" s="93" t="str">
        <f>DMTK!B133</f>
        <v>3341.03</v>
      </c>
      <c r="B135" s="65" t="str">
        <f>VLOOKUP(A135,DMTK!$B$5:$Q$263,3,0)</f>
        <v>Lương CNSX Bàn tròn</v>
      </c>
      <c r="C135" s="65" t="str">
        <f>VLOOKUP(A135,DMTK!$B$5:$Q$263,16,0)</f>
        <v xml:space="preserve"> </v>
      </c>
      <c r="D135" s="69">
        <f>VLOOKUP(A135,DMTK!$B$5:$Q$263,4,0)</f>
        <v>0</v>
      </c>
      <c r="E135" s="69">
        <f>VLOOKUP(A135,DMTK!$B$5:$Q$263,5,0)</f>
        <v>10000000</v>
      </c>
      <c r="F135" s="69">
        <f>SUMIFS(CT!$F$5:$F$143,CT!$D$5:$D$143,BTHCTVTHH!A135)</f>
        <v>0</v>
      </c>
      <c r="G135" s="69">
        <f>SUMIFS(CT!$H$5:$H$143,CT!$D$5:$D$143,BTHCTVTHH!A135)</f>
        <v>40000000</v>
      </c>
      <c r="H135" s="69">
        <f>SUMIFS(CT!$F$5:$F$143,CT!$E$5:$E$143,BTHCTVTHH!A135)</f>
        <v>0</v>
      </c>
      <c r="I135" s="69">
        <f>SUMIFS(CT!$H$5:$H$143,CT!$E$5:$E$143,BTHCTVTHH!A135)</f>
        <v>40000000</v>
      </c>
      <c r="J135" s="69">
        <f t="shared" si="4"/>
        <v>0</v>
      </c>
      <c r="K135" s="69">
        <f t="shared" si="5"/>
        <v>10000000</v>
      </c>
      <c r="L135" s="69">
        <f t="shared" si="6"/>
        <v>0</v>
      </c>
      <c r="M135" s="65" t="b">
        <f t="shared" si="7"/>
        <v>0</v>
      </c>
    </row>
    <row r="136" spans="1:13" hidden="1" x14ac:dyDescent="0.25">
      <c r="A136" s="93" t="str">
        <f>DMTK!B134</f>
        <v>3341.04</v>
      </c>
      <c r="B136" s="65" t="str">
        <f>VLOOKUP(A136,DMTK!$B$5:$Q$263,3,0)</f>
        <v>Lương CNSX Bàn oval</v>
      </c>
      <c r="C136" s="65" t="str">
        <f>VLOOKUP(A136,DMTK!$B$5:$Q$263,16,0)</f>
        <v xml:space="preserve"> </v>
      </c>
      <c r="D136" s="69">
        <f>VLOOKUP(A136,DMTK!$B$5:$Q$263,4,0)</f>
        <v>0</v>
      </c>
      <c r="E136" s="69">
        <f>VLOOKUP(A136,DMTK!$B$5:$Q$263,5,0)</f>
        <v>12000000</v>
      </c>
      <c r="F136" s="69">
        <f>SUMIFS(CT!$F$5:$F$143,CT!$D$5:$D$143,BTHCTVTHH!A136)</f>
        <v>0</v>
      </c>
      <c r="G136" s="69">
        <f>SUMIFS(CT!$H$5:$H$143,CT!$D$5:$D$143,BTHCTVTHH!A136)</f>
        <v>40000000</v>
      </c>
      <c r="H136" s="69">
        <f>SUMIFS(CT!$F$5:$F$143,CT!$E$5:$E$143,BTHCTVTHH!A136)</f>
        <v>0</v>
      </c>
      <c r="I136" s="69">
        <f>SUMIFS(CT!$H$5:$H$143,CT!$E$5:$E$143,BTHCTVTHH!A136)</f>
        <v>40000000</v>
      </c>
      <c r="J136" s="69">
        <f t="shared" ref="J136:J199" si="8">D136+F136-H136</f>
        <v>0</v>
      </c>
      <c r="K136" s="69">
        <f t="shared" ref="K136:K199" si="9">E136+G136-I136</f>
        <v>12000000</v>
      </c>
      <c r="L136" s="69">
        <f t="shared" ref="L136:L199" si="10">IF(J136&lt;&gt;0,K136/J136,0)</f>
        <v>0</v>
      </c>
      <c r="M136" s="65" t="b">
        <f t="shared" ref="M136:M199" si="11">LEFT(A136,3)=$G$2</f>
        <v>0</v>
      </c>
    </row>
    <row r="137" spans="1:13" hidden="1" x14ac:dyDescent="0.25">
      <c r="A137" s="93" t="str">
        <f>DMTK!B135</f>
        <v>3341.05</v>
      </c>
      <c r="B137" s="65" t="str">
        <f>VLOOKUP(A137,DMTK!$B$5:$Q$263,3,0)</f>
        <v>Lương CNSX Bàn chữ nhật</v>
      </c>
      <c r="C137" s="65" t="str">
        <f>VLOOKUP(A137,DMTK!$B$5:$Q$263,16,0)</f>
        <v xml:space="preserve"> </v>
      </c>
      <c r="D137" s="69">
        <f>VLOOKUP(A137,DMTK!$B$5:$Q$263,4,0)</f>
        <v>0</v>
      </c>
      <c r="E137" s="69">
        <f>VLOOKUP(A137,DMTK!$B$5:$Q$263,5,0)</f>
        <v>10000000</v>
      </c>
      <c r="F137" s="69">
        <f>SUMIFS(CT!$F$5:$F$143,CT!$D$5:$D$143,BTHCTVTHH!A137)</f>
        <v>0</v>
      </c>
      <c r="G137" s="69">
        <f>SUMIFS(CT!$H$5:$H$143,CT!$D$5:$D$143,BTHCTVTHH!A137)</f>
        <v>40000000</v>
      </c>
      <c r="H137" s="69">
        <f>SUMIFS(CT!$F$5:$F$143,CT!$E$5:$E$143,BTHCTVTHH!A137)</f>
        <v>0</v>
      </c>
      <c r="I137" s="69">
        <f>SUMIFS(CT!$H$5:$H$143,CT!$E$5:$E$143,BTHCTVTHH!A137)</f>
        <v>40000000</v>
      </c>
      <c r="J137" s="69">
        <f t="shared" si="8"/>
        <v>0</v>
      </c>
      <c r="K137" s="69">
        <f t="shared" si="9"/>
        <v>10000000</v>
      </c>
      <c r="L137" s="69">
        <f t="shared" si="10"/>
        <v>0</v>
      </c>
      <c r="M137" s="65" t="b">
        <f t="shared" si="11"/>
        <v>0</v>
      </c>
    </row>
    <row r="138" spans="1:13" hidden="1" x14ac:dyDescent="0.25">
      <c r="A138" s="93" t="str">
        <f>DMTK!B136</f>
        <v>3348.01</v>
      </c>
      <c r="B138" s="65" t="str">
        <f>VLOOKUP(A138,DMTK!$B$5:$Q$263,3,0)</f>
        <v>Lương NV QLPX</v>
      </c>
      <c r="C138" s="65" t="str">
        <f>VLOOKUP(A138,DMTK!$B$5:$Q$263,16,0)</f>
        <v xml:space="preserve"> </v>
      </c>
      <c r="D138" s="69">
        <f>VLOOKUP(A138,DMTK!$B$5:$Q$263,4,0)</f>
        <v>0</v>
      </c>
      <c r="E138" s="69">
        <f>VLOOKUP(A138,DMTK!$B$5:$Q$263,5,0)</f>
        <v>53000000</v>
      </c>
      <c r="F138" s="69">
        <f>SUMIFS(CT!$F$5:$F$143,CT!$D$5:$D$143,BTHCTVTHH!A138)</f>
        <v>0</v>
      </c>
      <c r="G138" s="69">
        <f>SUMIFS(CT!$H$5:$H$143,CT!$D$5:$D$143,BTHCTVTHH!A138)</f>
        <v>35000000</v>
      </c>
      <c r="H138" s="69">
        <f>SUMIFS(CT!$F$5:$F$143,CT!$E$5:$E$143,BTHCTVTHH!A138)</f>
        <v>0</v>
      </c>
      <c r="I138" s="69">
        <f>SUMIFS(CT!$H$5:$H$143,CT!$E$5:$E$143,BTHCTVTHH!A138)</f>
        <v>35000000</v>
      </c>
      <c r="J138" s="69">
        <f t="shared" si="8"/>
        <v>0</v>
      </c>
      <c r="K138" s="69">
        <f t="shared" si="9"/>
        <v>53000000</v>
      </c>
      <c r="L138" s="69">
        <f t="shared" si="10"/>
        <v>0</v>
      </c>
      <c r="M138" s="65" t="b">
        <f t="shared" si="11"/>
        <v>0</v>
      </c>
    </row>
    <row r="139" spans="1:13" hidden="1" x14ac:dyDescent="0.25">
      <c r="A139" s="93" t="str">
        <f>DMTK!B137</f>
        <v>3348.02</v>
      </c>
      <c r="B139" s="65" t="str">
        <f>VLOOKUP(A139,DMTK!$B$5:$Q$263,3,0)</f>
        <v>Lương NV bán hàng</v>
      </c>
      <c r="C139" s="65" t="str">
        <f>VLOOKUP(A139,DMTK!$B$5:$Q$263,16,0)</f>
        <v xml:space="preserve"> </v>
      </c>
      <c r="D139" s="69">
        <f>VLOOKUP(A139,DMTK!$B$5:$Q$263,4,0)</f>
        <v>0</v>
      </c>
      <c r="E139" s="69">
        <f>VLOOKUP(A139,DMTK!$B$5:$Q$263,5,0)</f>
        <v>3000000</v>
      </c>
      <c r="F139" s="69">
        <f>SUMIFS(CT!$F$5:$F$143,CT!$D$5:$D$143,BTHCTVTHH!A139)</f>
        <v>0</v>
      </c>
      <c r="G139" s="69">
        <f>SUMIFS(CT!$H$5:$H$143,CT!$D$5:$D$143,BTHCTVTHH!A139)</f>
        <v>5000000</v>
      </c>
      <c r="H139" s="69">
        <f>SUMIFS(CT!$F$5:$F$143,CT!$E$5:$E$143,BTHCTVTHH!A139)</f>
        <v>0</v>
      </c>
      <c r="I139" s="69">
        <f>SUMIFS(CT!$H$5:$H$143,CT!$E$5:$E$143,BTHCTVTHH!A139)</f>
        <v>5000000</v>
      </c>
      <c r="J139" s="69">
        <f t="shared" si="8"/>
        <v>0</v>
      </c>
      <c r="K139" s="69">
        <f t="shared" si="9"/>
        <v>3000000</v>
      </c>
      <c r="L139" s="69">
        <f t="shared" si="10"/>
        <v>0</v>
      </c>
      <c r="M139" s="65" t="b">
        <f t="shared" si="11"/>
        <v>0</v>
      </c>
    </row>
    <row r="140" spans="1:13" hidden="1" x14ac:dyDescent="0.25">
      <c r="A140" s="93" t="str">
        <f>DMTK!B138</f>
        <v>3348.03</v>
      </c>
      <c r="B140" s="65" t="str">
        <f>VLOOKUP(A140,DMTK!$B$5:$Q$263,3,0)</f>
        <v>Lương CB QLDN</v>
      </c>
      <c r="C140" s="65" t="str">
        <f>VLOOKUP(A140,DMTK!$B$5:$Q$263,16,0)</f>
        <v xml:space="preserve"> </v>
      </c>
      <c r="D140" s="69">
        <f>VLOOKUP(A140,DMTK!$B$5:$Q$263,4,0)</f>
        <v>0</v>
      </c>
      <c r="E140" s="69">
        <f>VLOOKUP(A140,DMTK!$B$5:$Q$263,5,0)</f>
        <v>1500000</v>
      </c>
      <c r="F140" s="69">
        <f>SUMIFS(CT!$F$5:$F$143,CT!$D$5:$D$143,BTHCTVTHH!A140)</f>
        <v>0</v>
      </c>
      <c r="G140" s="69">
        <f>SUMIFS(CT!$H$5:$H$143,CT!$D$5:$D$143,BTHCTVTHH!A140)</f>
        <v>7000000</v>
      </c>
      <c r="H140" s="69">
        <f>SUMIFS(CT!$F$5:$F$143,CT!$E$5:$E$143,BTHCTVTHH!A140)</f>
        <v>0</v>
      </c>
      <c r="I140" s="69">
        <f>SUMIFS(CT!$H$5:$H$143,CT!$E$5:$E$143,BTHCTVTHH!A140)</f>
        <v>7000000</v>
      </c>
      <c r="J140" s="69">
        <f t="shared" si="8"/>
        <v>0</v>
      </c>
      <c r="K140" s="69">
        <f t="shared" si="9"/>
        <v>1500000</v>
      </c>
      <c r="L140" s="69">
        <f t="shared" si="10"/>
        <v>0</v>
      </c>
      <c r="M140" s="65" t="b">
        <f t="shared" si="11"/>
        <v>0</v>
      </c>
    </row>
    <row r="141" spans="1:13" hidden="1" x14ac:dyDescent="0.25">
      <c r="A141" s="93" t="str">
        <f>DMTK!B139</f>
        <v>3351</v>
      </c>
      <c r="B141" s="65" t="str">
        <f>VLOOKUP(A141,DMTK!$B$5:$Q$263,3,0)</f>
        <v>Chi phí phải trả (ngắn hạn)</v>
      </c>
      <c r="C141" s="65" t="str">
        <f>VLOOKUP(A141,DMTK!$B$5:$Q$263,16,0)</f>
        <v xml:space="preserve"> </v>
      </c>
      <c r="D141" s="69">
        <f>VLOOKUP(A141,DMTK!$B$5:$Q$263,4,0)</f>
        <v>0</v>
      </c>
      <c r="E141" s="69">
        <f>VLOOKUP(A141,DMTK!$B$5:$Q$263,5,0)</f>
        <v>56000000</v>
      </c>
      <c r="F141" s="69">
        <f>SUMIFS(CT!$F$5:$F$143,CT!$D$5:$D$143,BTHCTVTHH!A141)</f>
        <v>0</v>
      </c>
      <c r="G141" s="69">
        <f>SUMIFS(CT!$H$5:$H$143,CT!$D$5:$D$143,BTHCTVTHH!A141)</f>
        <v>0</v>
      </c>
      <c r="H141" s="69">
        <f>SUMIFS(CT!$F$5:$F$143,CT!$E$5:$E$143,BTHCTVTHH!A141)</f>
        <v>0</v>
      </c>
      <c r="I141" s="69">
        <f>SUMIFS(CT!$H$5:$H$143,CT!$E$5:$E$143,BTHCTVTHH!A141)</f>
        <v>0</v>
      </c>
      <c r="J141" s="69">
        <f t="shared" si="8"/>
        <v>0</v>
      </c>
      <c r="K141" s="69">
        <f t="shared" si="9"/>
        <v>56000000</v>
      </c>
      <c r="L141" s="69">
        <f t="shared" si="10"/>
        <v>0</v>
      </c>
      <c r="M141" s="65" t="b">
        <f t="shared" si="11"/>
        <v>0</v>
      </c>
    </row>
    <row r="142" spans="1:13" hidden="1" x14ac:dyDescent="0.25">
      <c r="A142" s="93" t="str">
        <f>DMTK!B140</f>
        <v>3352</v>
      </c>
      <c r="B142" s="65" t="str">
        <f>VLOOKUP(A142,DMTK!$B$5:$Q$263,3,0)</f>
        <v>Chi phí phải trả (dài hạn)</v>
      </c>
      <c r="C142" s="65" t="str">
        <f>VLOOKUP(A142,DMTK!$B$5:$Q$263,16,0)</f>
        <v xml:space="preserve"> </v>
      </c>
      <c r="D142" s="69">
        <f>VLOOKUP(A142,DMTK!$B$5:$Q$263,4,0)</f>
        <v>0</v>
      </c>
      <c r="E142" s="69">
        <f>VLOOKUP(A142,DMTK!$B$5:$Q$263,5,0)</f>
        <v>0</v>
      </c>
      <c r="F142" s="69">
        <f>SUMIFS(CT!$F$5:$F$143,CT!$D$5:$D$143,BTHCTVTHH!A142)</f>
        <v>0</v>
      </c>
      <c r="G142" s="69">
        <f>SUMIFS(CT!$H$5:$H$143,CT!$D$5:$D$143,BTHCTVTHH!A142)</f>
        <v>0</v>
      </c>
      <c r="H142" s="69">
        <f>SUMIFS(CT!$F$5:$F$143,CT!$E$5:$E$143,BTHCTVTHH!A142)</f>
        <v>0</v>
      </c>
      <c r="I142" s="69">
        <f>SUMIFS(CT!$H$5:$H$143,CT!$E$5:$E$143,BTHCTVTHH!A142)</f>
        <v>0</v>
      </c>
      <c r="J142" s="69">
        <f t="shared" si="8"/>
        <v>0</v>
      </c>
      <c r="K142" s="69">
        <f t="shared" si="9"/>
        <v>0</v>
      </c>
      <c r="L142" s="69">
        <f t="shared" si="10"/>
        <v>0</v>
      </c>
      <c r="M142" s="65" t="b">
        <f t="shared" si="11"/>
        <v>0</v>
      </c>
    </row>
    <row r="143" spans="1:13" hidden="1" x14ac:dyDescent="0.25">
      <c r="A143" s="93" t="str">
        <f>DMTK!B141</f>
        <v>3361</v>
      </c>
      <c r="B143" s="65" t="str">
        <f>VLOOKUP(A143,DMTK!$B$5:$Q$263,3,0)</f>
        <v>Phải trả nội bộ về vốn kinh doanh</v>
      </c>
      <c r="C143" s="65" t="str">
        <f>VLOOKUP(A143,DMTK!$B$5:$Q$263,16,0)</f>
        <v xml:space="preserve"> </v>
      </c>
      <c r="D143" s="69">
        <f>VLOOKUP(A143,DMTK!$B$5:$Q$263,4,0)</f>
        <v>0</v>
      </c>
      <c r="E143" s="69">
        <f>VLOOKUP(A143,DMTK!$B$5:$Q$263,5,0)</f>
        <v>0</v>
      </c>
      <c r="F143" s="69">
        <f>SUMIFS(CT!$F$5:$F$143,CT!$D$5:$D$143,BTHCTVTHH!A143)</f>
        <v>0</v>
      </c>
      <c r="G143" s="69">
        <f>SUMIFS(CT!$H$5:$H$143,CT!$D$5:$D$143,BTHCTVTHH!A143)</f>
        <v>0</v>
      </c>
      <c r="H143" s="69">
        <f>SUMIFS(CT!$F$5:$F$143,CT!$E$5:$E$143,BTHCTVTHH!A143)</f>
        <v>0</v>
      </c>
      <c r="I143" s="69">
        <f>SUMIFS(CT!$H$5:$H$143,CT!$E$5:$E$143,BTHCTVTHH!A143)</f>
        <v>0</v>
      </c>
      <c r="J143" s="69">
        <f t="shared" si="8"/>
        <v>0</v>
      </c>
      <c r="K143" s="69">
        <f t="shared" si="9"/>
        <v>0</v>
      </c>
      <c r="L143" s="69">
        <f t="shared" si="10"/>
        <v>0</v>
      </c>
      <c r="M143" s="65" t="b">
        <f t="shared" si="11"/>
        <v>0</v>
      </c>
    </row>
    <row r="144" spans="1:13" hidden="1" x14ac:dyDescent="0.25">
      <c r="A144" s="93" t="str">
        <f>DMTK!B142</f>
        <v>33621</v>
      </c>
      <c r="B144" s="65" t="str">
        <f>VLOOKUP(A144,DMTK!$B$5:$Q$263,3,0)</f>
        <v>Phải trả nội bộ về chênh lệch tỷ giá</v>
      </c>
      <c r="C144" s="65" t="str">
        <f>VLOOKUP(A144,DMTK!$B$5:$Q$263,16,0)</f>
        <v xml:space="preserve"> </v>
      </c>
      <c r="D144" s="69">
        <f>VLOOKUP(A144,DMTK!$B$5:$Q$263,4,0)</f>
        <v>0</v>
      </c>
      <c r="E144" s="69">
        <f>VLOOKUP(A144,DMTK!$B$5:$Q$263,5,0)</f>
        <v>0</v>
      </c>
      <c r="F144" s="69">
        <f>SUMIFS(CT!$F$5:$F$143,CT!$D$5:$D$143,BTHCTVTHH!A144)</f>
        <v>0</v>
      </c>
      <c r="G144" s="69">
        <f>SUMIFS(CT!$H$5:$H$143,CT!$D$5:$D$143,BTHCTVTHH!A144)</f>
        <v>0</v>
      </c>
      <c r="H144" s="69">
        <f>SUMIFS(CT!$F$5:$F$143,CT!$E$5:$E$143,BTHCTVTHH!A144)</f>
        <v>0</v>
      </c>
      <c r="I144" s="69">
        <f>SUMIFS(CT!$H$5:$H$143,CT!$E$5:$E$143,BTHCTVTHH!A144)</f>
        <v>0</v>
      </c>
      <c r="J144" s="69">
        <f t="shared" si="8"/>
        <v>0</v>
      </c>
      <c r="K144" s="69">
        <f t="shared" si="9"/>
        <v>0</v>
      </c>
      <c r="L144" s="69">
        <f t="shared" si="10"/>
        <v>0</v>
      </c>
      <c r="M144" s="65" t="b">
        <f t="shared" si="11"/>
        <v>0</v>
      </c>
    </row>
    <row r="145" spans="1:13" hidden="1" x14ac:dyDescent="0.25">
      <c r="A145" s="93" t="str">
        <f>DMTK!B143</f>
        <v>33622</v>
      </c>
      <c r="B145" s="65" t="str">
        <f>VLOOKUP(A145,DMTK!$B$5:$Q$263,3,0)</f>
        <v>Phải trả nội bộ về chênh lệch tỷ giá (dài hạn)</v>
      </c>
      <c r="C145" s="65" t="str">
        <f>VLOOKUP(A145,DMTK!$B$5:$Q$263,16,0)</f>
        <v xml:space="preserve"> </v>
      </c>
      <c r="D145" s="69">
        <f>VLOOKUP(A145,DMTK!$B$5:$Q$263,4,0)</f>
        <v>0</v>
      </c>
      <c r="E145" s="69">
        <f>VLOOKUP(A145,DMTK!$B$5:$Q$263,5,0)</f>
        <v>0</v>
      </c>
      <c r="F145" s="69">
        <f>SUMIFS(CT!$F$5:$F$143,CT!$D$5:$D$143,BTHCTVTHH!A145)</f>
        <v>0</v>
      </c>
      <c r="G145" s="69">
        <f>SUMIFS(CT!$H$5:$H$143,CT!$D$5:$D$143,BTHCTVTHH!A145)</f>
        <v>0</v>
      </c>
      <c r="H145" s="69">
        <f>SUMIFS(CT!$F$5:$F$143,CT!$E$5:$E$143,BTHCTVTHH!A145)</f>
        <v>0</v>
      </c>
      <c r="I145" s="69">
        <f>SUMIFS(CT!$H$5:$H$143,CT!$E$5:$E$143,BTHCTVTHH!A145)</f>
        <v>0</v>
      </c>
      <c r="J145" s="69">
        <f t="shared" si="8"/>
        <v>0</v>
      </c>
      <c r="K145" s="69">
        <f t="shared" si="9"/>
        <v>0</v>
      </c>
      <c r="L145" s="69">
        <f t="shared" si="10"/>
        <v>0</v>
      </c>
      <c r="M145" s="65" t="b">
        <f t="shared" si="11"/>
        <v>0</v>
      </c>
    </row>
    <row r="146" spans="1:13" hidden="1" x14ac:dyDescent="0.25">
      <c r="A146" s="93" t="str">
        <f>DMTK!B144</f>
        <v>33631</v>
      </c>
      <c r="B146" s="65" t="str">
        <f>VLOOKUP(A146,DMTK!$B$5:$Q$263,3,0)</f>
        <v>Phải trả nội bộ về chi phí đi vay đủ điều kiện được vốn hóa</v>
      </c>
      <c r="C146" s="65" t="str">
        <f>VLOOKUP(A146,DMTK!$B$5:$Q$263,16,0)</f>
        <v xml:space="preserve"> </v>
      </c>
      <c r="D146" s="69">
        <f>VLOOKUP(A146,DMTK!$B$5:$Q$263,4,0)</f>
        <v>0</v>
      </c>
      <c r="E146" s="69">
        <f>VLOOKUP(A146,DMTK!$B$5:$Q$263,5,0)</f>
        <v>0</v>
      </c>
      <c r="F146" s="69">
        <f>SUMIFS(CT!$F$5:$F$143,CT!$D$5:$D$143,BTHCTVTHH!A146)</f>
        <v>0</v>
      </c>
      <c r="G146" s="69">
        <f>SUMIFS(CT!$H$5:$H$143,CT!$D$5:$D$143,BTHCTVTHH!A146)</f>
        <v>0</v>
      </c>
      <c r="H146" s="69">
        <f>SUMIFS(CT!$F$5:$F$143,CT!$E$5:$E$143,BTHCTVTHH!A146)</f>
        <v>0</v>
      </c>
      <c r="I146" s="69">
        <f>SUMIFS(CT!$H$5:$H$143,CT!$E$5:$E$143,BTHCTVTHH!A146)</f>
        <v>0</v>
      </c>
      <c r="J146" s="69">
        <f t="shared" si="8"/>
        <v>0</v>
      </c>
      <c r="K146" s="69">
        <f t="shared" si="9"/>
        <v>0</v>
      </c>
      <c r="L146" s="69">
        <f t="shared" si="10"/>
        <v>0</v>
      </c>
      <c r="M146" s="65" t="b">
        <f t="shared" si="11"/>
        <v>0</v>
      </c>
    </row>
    <row r="147" spans="1:13" hidden="1" x14ac:dyDescent="0.25">
      <c r="A147" s="93" t="str">
        <f>DMTK!B145</f>
        <v>33632</v>
      </c>
      <c r="B147" s="65" t="str">
        <f>VLOOKUP(A147,DMTK!$B$5:$Q$263,3,0)</f>
        <v>Phải trả nội bộ về chi phí đi vay đủ điều kiện được vốn hóa (dài hạn)</v>
      </c>
      <c r="C147" s="65" t="str">
        <f>VLOOKUP(A147,DMTK!$B$5:$Q$263,16,0)</f>
        <v xml:space="preserve"> </v>
      </c>
      <c r="D147" s="69">
        <f>VLOOKUP(A147,DMTK!$B$5:$Q$263,4,0)</f>
        <v>0</v>
      </c>
      <c r="E147" s="69">
        <f>VLOOKUP(A147,DMTK!$B$5:$Q$263,5,0)</f>
        <v>0</v>
      </c>
      <c r="F147" s="69">
        <f>SUMIFS(CT!$F$5:$F$143,CT!$D$5:$D$143,BTHCTVTHH!A147)</f>
        <v>0</v>
      </c>
      <c r="G147" s="69">
        <f>SUMIFS(CT!$H$5:$H$143,CT!$D$5:$D$143,BTHCTVTHH!A147)</f>
        <v>0</v>
      </c>
      <c r="H147" s="69">
        <f>SUMIFS(CT!$F$5:$F$143,CT!$E$5:$E$143,BTHCTVTHH!A147)</f>
        <v>0</v>
      </c>
      <c r="I147" s="69">
        <f>SUMIFS(CT!$H$5:$H$143,CT!$E$5:$E$143,BTHCTVTHH!A147)</f>
        <v>0</v>
      </c>
      <c r="J147" s="69">
        <f t="shared" si="8"/>
        <v>0</v>
      </c>
      <c r="K147" s="69">
        <f t="shared" si="9"/>
        <v>0</v>
      </c>
      <c r="L147" s="69">
        <f t="shared" si="10"/>
        <v>0</v>
      </c>
      <c r="M147" s="65" t="b">
        <f t="shared" si="11"/>
        <v>0</v>
      </c>
    </row>
    <row r="148" spans="1:13" hidden="1" x14ac:dyDescent="0.25">
      <c r="A148" s="93" t="str">
        <f>DMTK!B146</f>
        <v>33681</v>
      </c>
      <c r="B148" s="65" t="str">
        <f>VLOOKUP(A148,DMTK!$B$5:$Q$263,3,0)</f>
        <v>Phải trả nội bộ khác</v>
      </c>
      <c r="C148" s="65" t="str">
        <f>VLOOKUP(A148,DMTK!$B$5:$Q$263,16,0)</f>
        <v xml:space="preserve"> </v>
      </c>
      <c r="D148" s="69">
        <f>VLOOKUP(A148,DMTK!$B$5:$Q$263,4,0)</f>
        <v>0</v>
      </c>
      <c r="E148" s="69">
        <f>VLOOKUP(A148,DMTK!$B$5:$Q$263,5,0)</f>
        <v>0</v>
      </c>
      <c r="F148" s="69">
        <f>SUMIFS(CT!$F$5:$F$143,CT!$D$5:$D$143,BTHCTVTHH!A148)</f>
        <v>0</v>
      </c>
      <c r="G148" s="69">
        <f>SUMIFS(CT!$H$5:$H$143,CT!$D$5:$D$143,BTHCTVTHH!A148)</f>
        <v>0</v>
      </c>
      <c r="H148" s="69">
        <f>SUMIFS(CT!$F$5:$F$143,CT!$E$5:$E$143,BTHCTVTHH!A148)</f>
        <v>0</v>
      </c>
      <c r="I148" s="69">
        <f>SUMIFS(CT!$H$5:$H$143,CT!$E$5:$E$143,BTHCTVTHH!A148)</f>
        <v>0</v>
      </c>
      <c r="J148" s="69">
        <f t="shared" si="8"/>
        <v>0</v>
      </c>
      <c r="K148" s="69">
        <f t="shared" si="9"/>
        <v>0</v>
      </c>
      <c r="L148" s="69">
        <f t="shared" si="10"/>
        <v>0</v>
      </c>
      <c r="M148" s="65" t="b">
        <f t="shared" si="11"/>
        <v>0</v>
      </c>
    </row>
    <row r="149" spans="1:13" hidden="1" x14ac:dyDescent="0.25">
      <c r="A149" s="93" t="str">
        <f>DMTK!B147</f>
        <v>33682</v>
      </c>
      <c r="B149" s="65" t="str">
        <f>VLOOKUP(A149,DMTK!$B$5:$Q$263,3,0)</f>
        <v>Phải trả nội bộ khác (dài hạn)</v>
      </c>
      <c r="C149" s="65" t="str">
        <f>VLOOKUP(A149,DMTK!$B$5:$Q$263,16,0)</f>
        <v xml:space="preserve"> </v>
      </c>
      <c r="D149" s="69">
        <f>VLOOKUP(A149,DMTK!$B$5:$Q$263,4,0)</f>
        <v>0</v>
      </c>
      <c r="E149" s="69">
        <f>VLOOKUP(A149,DMTK!$B$5:$Q$263,5,0)</f>
        <v>0</v>
      </c>
      <c r="F149" s="69">
        <f>SUMIFS(CT!$F$5:$F$143,CT!$D$5:$D$143,BTHCTVTHH!A149)</f>
        <v>0</v>
      </c>
      <c r="G149" s="69">
        <f>SUMIFS(CT!$H$5:$H$143,CT!$D$5:$D$143,BTHCTVTHH!A149)</f>
        <v>0</v>
      </c>
      <c r="H149" s="69">
        <f>SUMIFS(CT!$F$5:$F$143,CT!$E$5:$E$143,BTHCTVTHH!A149)</f>
        <v>0</v>
      </c>
      <c r="I149" s="69">
        <f>SUMIFS(CT!$H$5:$H$143,CT!$E$5:$E$143,BTHCTVTHH!A149)</f>
        <v>0</v>
      </c>
      <c r="J149" s="69">
        <f t="shared" si="8"/>
        <v>0</v>
      </c>
      <c r="K149" s="69">
        <f t="shared" si="9"/>
        <v>0</v>
      </c>
      <c r="L149" s="69">
        <f t="shared" si="10"/>
        <v>0</v>
      </c>
      <c r="M149" s="65" t="b">
        <f t="shared" si="11"/>
        <v>0</v>
      </c>
    </row>
    <row r="150" spans="1:13" hidden="1" x14ac:dyDescent="0.25">
      <c r="A150" s="93" t="str">
        <f>DMTK!B148</f>
        <v>337</v>
      </c>
      <c r="B150" s="65" t="str">
        <f>VLOOKUP(A150,DMTK!$B$5:$Q$263,3,0)</f>
        <v>Thanh toán theo tiến độ kế hoạch hợp đồng xây dựng</v>
      </c>
      <c r="C150" s="65" t="str">
        <f>VLOOKUP(A150,DMTK!$B$5:$Q$263,16,0)</f>
        <v xml:space="preserve"> </v>
      </c>
      <c r="D150" s="69">
        <f>VLOOKUP(A150,DMTK!$B$5:$Q$263,4,0)</f>
        <v>0</v>
      </c>
      <c r="E150" s="69">
        <f>VLOOKUP(A150,DMTK!$B$5:$Q$263,5,0)</f>
        <v>0</v>
      </c>
      <c r="F150" s="69">
        <f>SUMIFS(CT!$F$5:$F$143,CT!$D$5:$D$143,BTHCTVTHH!A150)</f>
        <v>0</v>
      </c>
      <c r="G150" s="69">
        <f>SUMIFS(CT!$H$5:$H$143,CT!$D$5:$D$143,BTHCTVTHH!A150)</f>
        <v>0</v>
      </c>
      <c r="H150" s="69">
        <f>SUMIFS(CT!$F$5:$F$143,CT!$E$5:$E$143,BTHCTVTHH!A150)</f>
        <v>0</v>
      </c>
      <c r="I150" s="69">
        <f>SUMIFS(CT!$H$5:$H$143,CT!$E$5:$E$143,BTHCTVTHH!A150)</f>
        <v>0</v>
      </c>
      <c r="J150" s="69">
        <f t="shared" si="8"/>
        <v>0</v>
      </c>
      <c r="K150" s="69">
        <f t="shared" si="9"/>
        <v>0</v>
      </c>
      <c r="L150" s="69">
        <f t="shared" si="10"/>
        <v>0</v>
      </c>
      <c r="M150" s="65" t="b">
        <f t="shared" si="11"/>
        <v>0</v>
      </c>
    </row>
    <row r="151" spans="1:13" hidden="1" x14ac:dyDescent="0.25">
      <c r="A151" s="93" t="str">
        <f>DMTK!B149</f>
        <v>3381</v>
      </c>
      <c r="B151" s="65" t="str">
        <f>VLOOKUP(A151,DMTK!$B$5:$Q$263,3,0)</f>
        <v>Tài sản thừa chờ giải quyết</v>
      </c>
      <c r="C151" s="65" t="str">
        <f>VLOOKUP(A151,DMTK!$B$5:$Q$263,16,0)</f>
        <v xml:space="preserve"> </v>
      </c>
      <c r="D151" s="69">
        <f>VLOOKUP(A151,DMTK!$B$5:$Q$263,4,0)</f>
        <v>0</v>
      </c>
      <c r="E151" s="69">
        <f>VLOOKUP(A151,DMTK!$B$5:$Q$263,5,0)</f>
        <v>0</v>
      </c>
      <c r="F151" s="69">
        <f>SUMIFS(CT!$F$5:$F$143,CT!$D$5:$D$143,BTHCTVTHH!A151)</f>
        <v>0</v>
      </c>
      <c r="G151" s="69">
        <f>SUMIFS(CT!$H$5:$H$143,CT!$D$5:$D$143,BTHCTVTHH!A151)</f>
        <v>0</v>
      </c>
      <c r="H151" s="69">
        <f>SUMIFS(CT!$F$5:$F$143,CT!$E$5:$E$143,BTHCTVTHH!A151)</f>
        <v>0</v>
      </c>
      <c r="I151" s="69">
        <f>SUMIFS(CT!$H$5:$H$143,CT!$E$5:$E$143,BTHCTVTHH!A151)</f>
        <v>0</v>
      </c>
      <c r="J151" s="69">
        <f t="shared" si="8"/>
        <v>0</v>
      </c>
      <c r="K151" s="69">
        <f t="shared" si="9"/>
        <v>0</v>
      </c>
      <c r="L151" s="69">
        <f t="shared" si="10"/>
        <v>0</v>
      </c>
      <c r="M151" s="65" t="b">
        <f t="shared" si="11"/>
        <v>0</v>
      </c>
    </row>
    <row r="152" spans="1:13" hidden="1" x14ac:dyDescent="0.25">
      <c r="A152" s="93" t="str">
        <f>DMTK!B150</f>
        <v>3382</v>
      </c>
      <c r="B152" s="65" t="str">
        <f>VLOOKUP(A152,DMTK!$B$5:$Q$263,3,0)</f>
        <v>Kinh phí công đoàn</v>
      </c>
      <c r="C152" s="65" t="str">
        <f>VLOOKUP(A152,DMTK!$B$5:$Q$263,16,0)</f>
        <v xml:space="preserve"> </v>
      </c>
      <c r="D152" s="69">
        <f>VLOOKUP(A152,DMTK!$B$5:$Q$263,4,0)</f>
        <v>0</v>
      </c>
      <c r="E152" s="69">
        <f>VLOOKUP(A152,DMTK!$B$5:$Q$263,5,0)</f>
        <v>0</v>
      </c>
      <c r="F152" s="69">
        <f>SUMIFS(CT!$F$5:$F$143,CT!$D$5:$D$143,BTHCTVTHH!A152)</f>
        <v>0</v>
      </c>
      <c r="G152" s="69">
        <f>SUMIFS(CT!$H$5:$H$143,CT!$D$5:$D$143,BTHCTVTHH!A152)</f>
        <v>0</v>
      </c>
      <c r="H152" s="69">
        <f>SUMIFS(CT!$F$5:$F$143,CT!$E$5:$E$143,BTHCTVTHH!A152)</f>
        <v>0</v>
      </c>
      <c r="I152" s="69">
        <f>SUMIFS(CT!$H$5:$H$143,CT!$E$5:$E$143,BTHCTVTHH!A152)</f>
        <v>4940000</v>
      </c>
      <c r="J152" s="69">
        <f t="shared" si="8"/>
        <v>0</v>
      </c>
      <c r="K152" s="69">
        <f t="shared" si="9"/>
        <v>-4940000</v>
      </c>
      <c r="L152" s="69">
        <f t="shared" si="10"/>
        <v>0</v>
      </c>
      <c r="M152" s="65" t="b">
        <f t="shared" si="11"/>
        <v>0</v>
      </c>
    </row>
    <row r="153" spans="1:13" hidden="1" x14ac:dyDescent="0.25">
      <c r="A153" s="93" t="str">
        <f>DMTK!B151</f>
        <v>3383</v>
      </c>
      <c r="B153" s="65" t="str">
        <f>VLOOKUP(A153,DMTK!$B$5:$Q$263,3,0)</f>
        <v>Bảo hiểm xã hội</v>
      </c>
      <c r="C153" s="65" t="str">
        <f>VLOOKUP(A153,DMTK!$B$5:$Q$263,16,0)</f>
        <v xml:space="preserve"> </v>
      </c>
      <c r="D153" s="69">
        <f>VLOOKUP(A153,DMTK!$B$5:$Q$263,4,0)</f>
        <v>0</v>
      </c>
      <c r="E153" s="69">
        <f>VLOOKUP(A153,DMTK!$B$5:$Q$263,5,0)</f>
        <v>20000000</v>
      </c>
      <c r="F153" s="69">
        <f>SUMIFS(CT!$F$5:$F$143,CT!$D$5:$D$143,BTHCTVTHH!A153)</f>
        <v>0</v>
      </c>
      <c r="G153" s="69">
        <f>SUMIFS(CT!$H$5:$H$143,CT!$D$5:$D$143,BTHCTVTHH!A153)</f>
        <v>0</v>
      </c>
      <c r="H153" s="69">
        <f>SUMIFS(CT!$F$5:$F$143,CT!$E$5:$E$143,BTHCTVTHH!A153)</f>
        <v>0</v>
      </c>
      <c r="I153" s="69">
        <f>SUMIFS(CT!$H$5:$H$143,CT!$E$5:$E$143,BTHCTVTHH!A153)</f>
        <v>39520000</v>
      </c>
      <c r="J153" s="69">
        <f t="shared" si="8"/>
        <v>0</v>
      </c>
      <c r="K153" s="69">
        <f t="shared" si="9"/>
        <v>-19520000</v>
      </c>
      <c r="L153" s="69">
        <f t="shared" si="10"/>
        <v>0</v>
      </c>
      <c r="M153" s="65" t="b">
        <f t="shared" si="11"/>
        <v>0</v>
      </c>
    </row>
    <row r="154" spans="1:13" hidden="1" x14ac:dyDescent="0.25">
      <c r="A154" s="93" t="str">
        <f>DMTK!B152</f>
        <v>3384</v>
      </c>
      <c r="B154" s="65" t="str">
        <f>VLOOKUP(A154,DMTK!$B$5:$Q$263,3,0)</f>
        <v>Bảo hiểm y tế</v>
      </c>
      <c r="C154" s="65" t="str">
        <f>VLOOKUP(A154,DMTK!$B$5:$Q$263,16,0)</f>
        <v xml:space="preserve"> </v>
      </c>
      <c r="D154" s="69">
        <f>VLOOKUP(A154,DMTK!$B$5:$Q$263,4,0)</f>
        <v>0</v>
      </c>
      <c r="E154" s="69">
        <f>VLOOKUP(A154,DMTK!$B$5:$Q$263,5,0)</f>
        <v>0</v>
      </c>
      <c r="F154" s="69">
        <f>SUMIFS(CT!$F$5:$F$143,CT!$D$5:$D$143,BTHCTVTHH!A154)</f>
        <v>0</v>
      </c>
      <c r="G154" s="69">
        <f>SUMIFS(CT!$H$5:$H$143,CT!$D$5:$D$143,BTHCTVTHH!A154)</f>
        <v>0</v>
      </c>
      <c r="H154" s="69">
        <f>SUMIFS(CT!$F$5:$F$143,CT!$E$5:$E$143,BTHCTVTHH!A154)</f>
        <v>0</v>
      </c>
      <c r="I154" s="69">
        <f>SUMIFS(CT!$H$5:$H$143,CT!$E$5:$E$143,BTHCTVTHH!A154)</f>
        <v>7410000</v>
      </c>
      <c r="J154" s="69">
        <f t="shared" si="8"/>
        <v>0</v>
      </c>
      <c r="K154" s="69">
        <f t="shared" si="9"/>
        <v>-7410000</v>
      </c>
      <c r="L154" s="69">
        <f t="shared" si="10"/>
        <v>0</v>
      </c>
      <c r="M154" s="65" t="b">
        <f t="shared" si="11"/>
        <v>0</v>
      </c>
    </row>
    <row r="155" spans="1:13" hidden="1" x14ac:dyDescent="0.25">
      <c r="A155" s="93" t="str">
        <f>DMTK!B153</f>
        <v>3385</v>
      </c>
      <c r="B155" s="65" t="str">
        <f>VLOOKUP(A155,DMTK!$B$5:$Q$263,3,0)</f>
        <v>Phải trả về cổ phần hóa</v>
      </c>
      <c r="C155" s="65" t="str">
        <f>VLOOKUP(A155,DMTK!$B$5:$Q$263,16,0)</f>
        <v xml:space="preserve"> </v>
      </c>
      <c r="D155" s="69">
        <f>VLOOKUP(A155,DMTK!$B$5:$Q$263,4,0)</f>
        <v>0</v>
      </c>
      <c r="E155" s="69">
        <f>VLOOKUP(A155,DMTK!$B$5:$Q$263,5,0)</f>
        <v>0</v>
      </c>
      <c r="F155" s="69">
        <f>SUMIFS(CT!$F$5:$F$143,CT!$D$5:$D$143,BTHCTVTHH!A155)</f>
        <v>0</v>
      </c>
      <c r="G155" s="69">
        <f>SUMIFS(CT!$H$5:$H$143,CT!$D$5:$D$143,BTHCTVTHH!A155)</f>
        <v>0</v>
      </c>
      <c r="H155" s="69">
        <f>SUMIFS(CT!$F$5:$F$143,CT!$E$5:$E$143,BTHCTVTHH!A155)</f>
        <v>0</v>
      </c>
      <c r="I155" s="69">
        <f>SUMIFS(CT!$H$5:$H$143,CT!$E$5:$E$143,BTHCTVTHH!A155)</f>
        <v>0</v>
      </c>
      <c r="J155" s="69">
        <f t="shared" si="8"/>
        <v>0</v>
      </c>
      <c r="K155" s="69">
        <f t="shared" si="9"/>
        <v>0</v>
      </c>
      <c r="L155" s="69">
        <f t="shared" si="10"/>
        <v>0</v>
      </c>
      <c r="M155" s="65" t="b">
        <f t="shared" si="11"/>
        <v>0</v>
      </c>
    </row>
    <row r="156" spans="1:13" hidden="1" x14ac:dyDescent="0.25">
      <c r="A156" s="93" t="str">
        <f>DMTK!B154</f>
        <v>3386</v>
      </c>
      <c r="B156" s="65" t="str">
        <f>VLOOKUP(A156,DMTK!$B$5:$Q$263,3,0)</f>
        <v>Bảo hiểm thất nghiệp</v>
      </c>
      <c r="C156" s="65" t="str">
        <f>VLOOKUP(A156,DMTK!$B$5:$Q$263,16,0)</f>
        <v xml:space="preserve"> </v>
      </c>
      <c r="D156" s="69">
        <f>VLOOKUP(A156,DMTK!$B$5:$Q$263,4,0)</f>
        <v>0</v>
      </c>
      <c r="E156" s="69">
        <f>VLOOKUP(A156,DMTK!$B$5:$Q$263,5,0)</f>
        <v>0</v>
      </c>
      <c r="F156" s="69">
        <f>SUMIFS(CT!$F$5:$F$143,CT!$D$5:$D$143,BTHCTVTHH!A156)</f>
        <v>0</v>
      </c>
      <c r="G156" s="69">
        <f>SUMIFS(CT!$H$5:$H$143,CT!$D$5:$D$143,BTHCTVTHH!A156)</f>
        <v>0</v>
      </c>
      <c r="H156" s="69">
        <f>SUMIFS(CT!$F$5:$F$143,CT!$E$5:$E$143,BTHCTVTHH!A156)</f>
        <v>0</v>
      </c>
      <c r="I156" s="69">
        <f>SUMIFS(CT!$H$5:$H$143,CT!$E$5:$E$143,BTHCTVTHH!A156)</f>
        <v>0</v>
      </c>
      <c r="J156" s="69">
        <f t="shared" si="8"/>
        <v>0</v>
      </c>
      <c r="K156" s="69">
        <f t="shared" si="9"/>
        <v>0</v>
      </c>
      <c r="L156" s="69">
        <f t="shared" si="10"/>
        <v>0</v>
      </c>
      <c r="M156" s="65" t="b">
        <f t="shared" si="11"/>
        <v>0</v>
      </c>
    </row>
    <row r="157" spans="1:13" hidden="1" x14ac:dyDescent="0.25">
      <c r="A157" s="93" t="str">
        <f>DMTK!B155</f>
        <v>33871</v>
      </c>
      <c r="B157" s="65" t="str">
        <f>VLOOKUP(A157,DMTK!$B$5:$Q$263,3,0)</f>
        <v>Doanh thu chưa thực hiện</v>
      </c>
      <c r="C157" s="65" t="str">
        <f>VLOOKUP(A157,DMTK!$B$5:$Q$263,16,0)</f>
        <v xml:space="preserve"> </v>
      </c>
      <c r="D157" s="69">
        <f>VLOOKUP(A157,DMTK!$B$5:$Q$263,4,0)</f>
        <v>0</v>
      </c>
      <c r="E157" s="69">
        <f>VLOOKUP(A157,DMTK!$B$5:$Q$263,5,0)</f>
        <v>0</v>
      </c>
      <c r="F157" s="69">
        <f>SUMIFS(CT!$F$5:$F$143,CT!$D$5:$D$143,BTHCTVTHH!A157)</f>
        <v>0</v>
      </c>
      <c r="G157" s="69">
        <f>SUMIFS(CT!$H$5:$H$143,CT!$D$5:$D$143,BTHCTVTHH!A157)</f>
        <v>0</v>
      </c>
      <c r="H157" s="69">
        <f>SUMIFS(CT!$F$5:$F$143,CT!$E$5:$E$143,BTHCTVTHH!A157)</f>
        <v>0</v>
      </c>
      <c r="I157" s="69">
        <f>SUMIFS(CT!$H$5:$H$143,CT!$E$5:$E$143,BTHCTVTHH!A157)</f>
        <v>0</v>
      </c>
      <c r="J157" s="69">
        <f t="shared" si="8"/>
        <v>0</v>
      </c>
      <c r="K157" s="69">
        <f t="shared" si="9"/>
        <v>0</v>
      </c>
      <c r="L157" s="69">
        <f t="shared" si="10"/>
        <v>0</v>
      </c>
      <c r="M157" s="65" t="b">
        <f t="shared" si="11"/>
        <v>0</v>
      </c>
    </row>
    <row r="158" spans="1:13" hidden="1" x14ac:dyDescent="0.25">
      <c r="A158" s="93" t="str">
        <f>DMTK!B156</f>
        <v>33872</v>
      </c>
      <c r="B158" s="65" t="str">
        <f>VLOOKUP(A158,DMTK!$B$5:$Q$263,3,0)</f>
        <v>Doanh thu chưa thực hiện (sau 12 tháng)</v>
      </c>
      <c r="C158" s="65" t="str">
        <f>VLOOKUP(A158,DMTK!$B$5:$Q$263,16,0)</f>
        <v xml:space="preserve"> </v>
      </c>
      <c r="D158" s="69">
        <f>VLOOKUP(A158,DMTK!$B$5:$Q$263,4,0)</f>
        <v>0</v>
      </c>
      <c r="E158" s="69">
        <f>VLOOKUP(A158,DMTK!$B$5:$Q$263,5,0)</f>
        <v>0</v>
      </c>
      <c r="F158" s="69">
        <f>SUMIFS(CT!$F$5:$F$143,CT!$D$5:$D$143,BTHCTVTHH!A158)</f>
        <v>0</v>
      </c>
      <c r="G158" s="69">
        <f>SUMIFS(CT!$H$5:$H$143,CT!$D$5:$D$143,BTHCTVTHH!A158)</f>
        <v>0</v>
      </c>
      <c r="H158" s="69">
        <f>SUMIFS(CT!$F$5:$F$143,CT!$E$5:$E$143,BTHCTVTHH!A158)</f>
        <v>0</v>
      </c>
      <c r="I158" s="69">
        <f>SUMIFS(CT!$H$5:$H$143,CT!$E$5:$E$143,BTHCTVTHH!A158)</f>
        <v>0</v>
      </c>
      <c r="J158" s="69">
        <f t="shared" si="8"/>
        <v>0</v>
      </c>
      <c r="K158" s="69">
        <f t="shared" si="9"/>
        <v>0</v>
      </c>
      <c r="L158" s="69">
        <f t="shared" si="10"/>
        <v>0</v>
      </c>
      <c r="M158" s="65" t="b">
        <f t="shared" si="11"/>
        <v>0</v>
      </c>
    </row>
    <row r="159" spans="1:13" hidden="1" x14ac:dyDescent="0.25">
      <c r="A159" s="93" t="str">
        <f>DMTK!B157</f>
        <v>3388</v>
      </c>
      <c r="B159" s="65" t="str">
        <f>VLOOKUP(A159,DMTK!$B$5:$Q$263,3,0)</f>
        <v>Phải trả, phải nộp khác</v>
      </c>
      <c r="C159" s="65" t="str">
        <f>VLOOKUP(A159,DMTK!$B$5:$Q$263,16,0)</f>
        <v xml:space="preserve"> </v>
      </c>
      <c r="D159" s="69">
        <f>VLOOKUP(A159,DMTK!$B$5:$Q$263,4,0)</f>
        <v>0</v>
      </c>
      <c r="E159" s="69">
        <f>VLOOKUP(A159,DMTK!$B$5:$Q$263,5,0)</f>
        <v>38800000</v>
      </c>
      <c r="F159" s="69">
        <f>SUMIFS(CT!$F$5:$F$143,CT!$D$5:$D$143,BTHCTVTHH!A159)</f>
        <v>0</v>
      </c>
      <c r="G159" s="69">
        <f>SUMIFS(CT!$H$5:$H$143,CT!$D$5:$D$143,BTHCTVTHH!A159)</f>
        <v>0</v>
      </c>
      <c r="H159" s="69">
        <f>SUMIFS(CT!$F$5:$F$143,CT!$E$5:$E$143,BTHCTVTHH!A159)</f>
        <v>0</v>
      </c>
      <c r="I159" s="69">
        <f>SUMIFS(CT!$H$5:$H$143,CT!$E$5:$E$143,BTHCTVTHH!A159)</f>
        <v>2470000</v>
      </c>
      <c r="J159" s="69">
        <f t="shared" si="8"/>
        <v>0</v>
      </c>
      <c r="K159" s="69">
        <f t="shared" si="9"/>
        <v>36330000</v>
      </c>
      <c r="L159" s="69">
        <f t="shared" si="10"/>
        <v>0</v>
      </c>
      <c r="M159" s="65" t="b">
        <f t="shared" si="11"/>
        <v>0</v>
      </c>
    </row>
    <row r="160" spans="1:13" hidden="1" x14ac:dyDescent="0.25">
      <c r="A160" s="93" t="str">
        <f>DMTK!B158</f>
        <v>3411</v>
      </c>
      <c r="B160" s="65" t="str">
        <f>VLOOKUP(A160,DMTK!$B$5:$Q$263,3,0)</f>
        <v>Các khoản đi vay</v>
      </c>
      <c r="C160" s="65" t="str">
        <f>VLOOKUP(A160,DMTK!$B$5:$Q$263,16,0)</f>
        <v xml:space="preserve"> </v>
      </c>
      <c r="D160" s="69">
        <f>VLOOKUP(A160,DMTK!$B$5:$Q$263,4,0)</f>
        <v>0</v>
      </c>
      <c r="E160" s="69">
        <f>VLOOKUP(A160,DMTK!$B$5:$Q$263,5,0)</f>
        <v>385000000</v>
      </c>
      <c r="F160" s="69">
        <f>SUMIFS(CT!$F$5:$F$143,CT!$D$5:$D$143,BTHCTVTHH!A160)</f>
        <v>0</v>
      </c>
      <c r="G160" s="69">
        <f>SUMIFS(CT!$H$5:$H$143,CT!$D$5:$D$143,BTHCTVTHH!A160)</f>
        <v>0</v>
      </c>
      <c r="H160" s="69">
        <f>SUMIFS(CT!$F$5:$F$143,CT!$E$5:$E$143,BTHCTVTHH!A160)</f>
        <v>0</v>
      </c>
      <c r="I160" s="69">
        <f>SUMIFS(CT!$H$5:$H$143,CT!$E$5:$E$143,BTHCTVTHH!A160)</f>
        <v>0</v>
      </c>
      <c r="J160" s="69">
        <f t="shared" si="8"/>
        <v>0</v>
      </c>
      <c r="K160" s="69">
        <f t="shared" si="9"/>
        <v>385000000</v>
      </c>
      <c r="L160" s="69">
        <f t="shared" si="10"/>
        <v>0</v>
      </c>
      <c r="M160" s="65" t="b">
        <f t="shared" si="11"/>
        <v>0</v>
      </c>
    </row>
    <row r="161" spans="1:13" hidden="1" x14ac:dyDescent="0.25">
      <c r="A161" s="93" t="str">
        <f>DMTK!B159</f>
        <v>3412</v>
      </c>
      <c r="B161" s="65" t="str">
        <f>VLOOKUP(A161,DMTK!$B$5:$Q$263,3,0)</f>
        <v>Nợ thuê tài chính</v>
      </c>
      <c r="C161" s="65" t="str">
        <f>VLOOKUP(A161,DMTK!$B$5:$Q$263,16,0)</f>
        <v xml:space="preserve"> </v>
      </c>
      <c r="D161" s="69">
        <f>VLOOKUP(A161,DMTK!$B$5:$Q$263,4,0)</f>
        <v>0</v>
      </c>
      <c r="E161" s="69">
        <f>VLOOKUP(A161,DMTK!$B$5:$Q$263,5,0)</f>
        <v>0</v>
      </c>
      <c r="F161" s="69">
        <f>SUMIFS(CT!$F$5:$F$143,CT!$D$5:$D$143,BTHCTVTHH!A161)</f>
        <v>0</v>
      </c>
      <c r="G161" s="69">
        <f>SUMIFS(CT!$H$5:$H$143,CT!$D$5:$D$143,BTHCTVTHH!A161)</f>
        <v>0</v>
      </c>
      <c r="H161" s="69">
        <f>SUMIFS(CT!$F$5:$F$143,CT!$E$5:$E$143,BTHCTVTHH!A161)</f>
        <v>0</v>
      </c>
      <c r="I161" s="69">
        <f>SUMIFS(CT!$H$5:$H$143,CT!$E$5:$E$143,BTHCTVTHH!A161)</f>
        <v>0</v>
      </c>
      <c r="J161" s="69">
        <f t="shared" si="8"/>
        <v>0</v>
      </c>
      <c r="K161" s="69">
        <f t="shared" si="9"/>
        <v>0</v>
      </c>
      <c r="L161" s="69">
        <f t="shared" si="10"/>
        <v>0</v>
      </c>
      <c r="M161" s="65" t="b">
        <f t="shared" si="11"/>
        <v>0</v>
      </c>
    </row>
    <row r="162" spans="1:13" hidden="1" x14ac:dyDescent="0.25">
      <c r="A162" s="93" t="str">
        <f>DMTK!B160</f>
        <v>34311</v>
      </c>
      <c r="B162" s="65" t="str">
        <f>VLOOKUP(A162,DMTK!$B$5:$Q$263,3,0)</f>
        <v>Mệnh giá trái phiếu</v>
      </c>
      <c r="C162" s="65" t="str">
        <f>VLOOKUP(A162,DMTK!$B$5:$Q$263,16,0)</f>
        <v xml:space="preserve"> </v>
      </c>
      <c r="D162" s="69">
        <f>VLOOKUP(A162,DMTK!$B$5:$Q$263,4,0)</f>
        <v>0</v>
      </c>
      <c r="E162" s="69">
        <f>VLOOKUP(A162,DMTK!$B$5:$Q$263,5,0)</f>
        <v>0</v>
      </c>
      <c r="F162" s="69">
        <f>SUMIFS(CT!$F$5:$F$143,CT!$D$5:$D$143,BTHCTVTHH!A162)</f>
        <v>0</v>
      </c>
      <c r="G162" s="69">
        <f>SUMIFS(CT!$H$5:$H$143,CT!$D$5:$D$143,BTHCTVTHH!A162)</f>
        <v>0</v>
      </c>
      <c r="H162" s="69">
        <f>SUMIFS(CT!$F$5:$F$143,CT!$E$5:$E$143,BTHCTVTHH!A162)</f>
        <v>0</v>
      </c>
      <c r="I162" s="69">
        <f>SUMIFS(CT!$H$5:$H$143,CT!$E$5:$E$143,BTHCTVTHH!A162)</f>
        <v>0</v>
      </c>
      <c r="J162" s="69">
        <f t="shared" si="8"/>
        <v>0</v>
      </c>
      <c r="K162" s="69">
        <f t="shared" si="9"/>
        <v>0</v>
      </c>
      <c r="L162" s="69">
        <f t="shared" si="10"/>
        <v>0</v>
      </c>
      <c r="M162" s="65" t="b">
        <f t="shared" si="11"/>
        <v>0</v>
      </c>
    </row>
    <row r="163" spans="1:13" hidden="1" x14ac:dyDescent="0.25">
      <c r="A163" s="93" t="str">
        <f>DMTK!B161</f>
        <v>34312</v>
      </c>
      <c r="B163" s="65" t="str">
        <f>VLOOKUP(A163,DMTK!$B$5:$Q$263,3,0)</f>
        <v>Chiết khấu trái phiếu</v>
      </c>
      <c r="C163" s="65" t="str">
        <f>VLOOKUP(A163,DMTK!$B$5:$Q$263,16,0)</f>
        <v xml:space="preserve"> </v>
      </c>
      <c r="D163" s="69">
        <f>VLOOKUP(A163,DMTK!$B$5:$Q$263,4,0)</f>
        <v>0</v>
      </c>
      <c r="E163" s="69">
        <f>VLOOKUP(A163,DMTK!$B$5:$Q$263,5,0)</f>
        <v>0</v>
      </c>
      <c r="F163" s="69">
        <f>SUMIFS(CT!$F$5:$F$143,CT!$D$5:$D$143,BTHCTVTHH!A163)</f>
        <v>0</v>
      </c>
      <c r="G163" s="69">
        <f>SUMIFS(CT!$H$5:$H$143,CT!$D$5:$D$143,BTHCTVTHH!A163)</f>
        <v>0</v>
      </c>
      <c r="H163" s="69">
        <f>SUMIFS(CT!$F$5:$F$143,CT!$E$5:$E$143,BTHCTVTHH!A163)</f>
        <v>0</v>
      </c>
      <c r="I163" s="69">
        <f>SUMIFS(CT!$H$5:$H$143,CT!$E$5:$E$143,BTHCTVTHH!A163)</f>
        <v>0</v>
      </c>
      <c r="J163" s="69">
        <f t="shared" si="8"/>
        <v>0</v>
      </c>
      <c r="K163" s="69">
        <f t="shared" si="9"/>
        <v>0</v>
      </c>
      <c r="L163" s="69">
        <f t="shared" si="10"/>
        <v>0</v>
      </c>
      <c r="M163" s="65" t="b">
        <f t="shared" si="11"/>
        <v>0</v>
      </c>
    </row>
    <row r="164" spans="1:13" hidden="1" x14ac:dyDescent="0.25">
      <c r="A164" s="93" t="str">
        <f>DMTK!B162</f>
        <v>34313</v>
      </c>
      <c r="B164" s="65" t="str">
        <f>VLOOKUP(A164,DMTK!$B$5:$Q$263,3,0)</f>
        <v>Phụ trội trái phiếu</v>
      </c>
      <c r="C164" s="65" t="str">
        <f>VLOOKUP(A164,DMTK!$B$5:$Q$263,16,0)</f>
        <v xml:space="preserve"> </v>
      </c>
      <c r="D164" s="69">
        <f>VLOOKUP(A164,DMTK!$B$5:$Q$263,4,0)</f>
        <v>0</v>
      </c>
      <c r="E164" s="69">
        <f>VLOOKUP(A164,DMTK!$B$5:$Q$263,5,0)</f>
        <v>0</v>
      </c>
      <c r="F164" s="69">
        <f>SUMIFS(CT!$F$5:$F$143,CT!$D$5:$D$143,BTHCTVTHH!A164)</f>
        <v>0</v>
      </c>
      <c r="G164" s="69">
        <f>SUMIFS(CT!$H$5:$H$143,CT!$D$5:$D$143,BTHCTVTHH!A164)</f>
        <v>0</v>
      </c>
      <c r="H164" s="69">
        <f>SUMIFS(CT!$F$5:$F$143,CT!$E$5:$E$143,BTHCTVTHH!A164)</f>
        <v>0</v>
      </c>
      <c r="I164" s="69">
        <f>SUMIFS(CT!$H$5:$H$143,CT!$E$5:$E$143,BTHCTVTHH!A164)</f>
        <v>0</v>
      </c>
      <c r="J164" s="69">
        <f t="shared" si="8"/>
        <v>0</v>
      </c>
      <c r="K164" s="69">
        <f t="shared" si="9"/>
        <v>0</v>
      </c>
      <c r="L164" s="69">
        <f t="shared" si="10"/>
        <v>0</v>
      </c>
      <c r="M164" s="65" t="b">
        <f t="shared" si="11"/>
        <v>0</v>
      </c>
    </row>
    <row r="165" spans="1:13" hidden="1" x14ac:dyDescent="0.25">
      <c r="A165" s="93" t="str">
        <f>DMTK!B163</f>
        <v>3432</v>
      </c>
      <c r="B165" s="65" t="str">
        <f>VLOOKUP(A165,DMTK!$B$5:$Q$263,3,0)</f>
        <v>Trái phiếu chuyển đổi</v>
      </c>
      <c r="C165" s="65" t="str">
        <f>VLOOKUP(A165,DMTK!$B$5:$Q$263,16,0)</f>
        <v xml:space="preserve"> </v>
      </c>
      <c r="D165" s="69">
        <f>VLOOKUP(A165,DMTK!$B$5:$Q$263,4,0)</f>
        <v>0</v>
      </c>
      <c r="E165" s="69">
        <f>VLOOKUP(A165,DMTK!$B$5:$Q$263,5,0)</f>
        <v>0</v>
      </c>
      <c r="F165" s="69">
        <f>SUMIFS(CT!$F$5:$F$143,CT!$D$5:$D$143,BTHCTVTHH!A165)</f>
        <v>0</v>
      </c>
      <c r="G165" s="69">
        <f>SUMIFS(CT!$H$5:$H$143,CT!$D$5:$D$143,BTHCTVTHH!A165)</f>
        <v>0</v>
      </c>
      <c r="H165" s="69">
        <f>SUMIFS(CT!$F$5:$F$143,CT!$E$5:$E$143,BTHCTVTHH!A165)</f>
        <v>0</v>
      </c>
      <c r="I165" s="69">
        <f>SUMIFS(CT!$H$5:$H$143,CT!$E$5:$E$143,BTHCTVTHH!A165)</f>
        <v>0</v>
      </c>
      <c r="J165" s="69">
        <f t="shared" si="8"/>
        <v>0</v>
      </c>
      <c r="K165" s="69">
        <f t="shared" si="9"/>
        <v>0</v>
      </c>
      <c r="L165" s="69">
        <f t="shared" si="10"/>
        <v>0</v>
      </c>
      <c r="M165" s="65" t="b">
        <f t="shared" si="11"/>
        <v>0</v>
      </c>
    </row>
    <row r="166" spans="1:13" hidden="1" x14ac:dyDescent="0.25">
      <c r="A166" s="93" t="str">
        <f>DMTK!B164</f>
        <v>344</v>
      </c>
      <c r="B166" s="65" t="str">
        <f>VLOOKUP(A166,DMTK!$B$5:$Q$263,3,0)</f>
        <v>Nhận ký quỹ, ký cược</v>
      </c>
      <c r="C166" s="65" t="str">
        <f>VLOOKUP(A166,DMTK!$B$5:$Q$263,16,0)</f>
        <v xml:space="preserve"> </v>
      </c>
      <c r="D166" s="69">
        <f>VLOOKUP(A166,DMTK!$B$5:$Q$263,4,0)</f>
        <v>0</v>
      </c>
      <c r="E166" s="69">
        <f>VLOOKUP(A166,DMTK!$B$5:$Q$263,5,0)</f>
        <v>0</v>
      </c>
      <c r="F166" s="69">
        <f>SUMIFS(CT!$F$5:$F$143,CT!$D$5:$D$143,BTHCTVTHH!A166)</f>
        <v>0</v>
      </c>
      <c r="G166" s="69">
        <f>SUMIFS(CT!$H$5:$H$143,CT!$D$5:$D$143,BTHCTVTHH!A166)</f>
        <v>0</v>
      </c>
      <c r="H166" s="69">
        <f>SUMIFS(CT!$F$5:$F$143,CT!$E$5:$E$143,BTHCTVTHH!A166)</f>
        <v>0</v>
      </c>
      <c r="I166" s="69">
        <f>SUMIFS(CT!$H$5:$H$143,CT!$E$5:$E$143,BTHCTVTHH!A166)</f>
        <v>0</v>
      </c>
      <c r="J166" s="69">
        <f t="shared" si="8"/>
        <v>0</v>
      </c>
      <c r="K166" s="69">
        <f t="shared" si="9"/>
        <v>0</v>
      </c>
      <c r="L166" s="69">
        <f t="shared" si="10"/>
        <v>0</v>
      </c>
      <c r="M166" s="65" t="b">
        <f t="shared" si="11"/>
        <v>0</v>
      </c>
    </row>
    <row r="167" spans="1:13" hidden="1" x14ac:dyDescent="0.25">
      <c r="A167" s="93" t="str">
        <f>DMTK!B165</f>
        <v>347</v>
      </c>
      <c r="B167" s="65" t="str">
        <f>VLOOKUP(A167,DMTK!$B$5:$Q$263,3,0)</f>
        <v>Thuế thu nhập hoãn lại phải trả</v>
      </c>
      <c r="C167" s="65" t="str">
        <f>VLOOKUP(A167,DMTK!$B$5:$Q$263,16,0)</f>
        <v xml:space="preserve"> </v>
      </c>
      <c r="D167" s="69">
        <f>VLOOKUP(A167,DMTK!$B$5:$Q$263,4,0)</f>
        <v>0</v>
      </c>
      <c r="E167" s="69">
        <f>VLOOKUP(A167,DMTK!$B$5:$Q$263,5,0)</f>
        <v>0</v>
      </c>
      <c r="F167" s="69">
        <f>SUMIFS(CT!$F$5:$F$143,CT!$D$5:$D$143,BTHCTVTHH!A167)</f>
        <v>0</v>
      </c>
      <c r="G167" s="69">
        <f>SUMIFS(CT!$H$5:$H$143,CT!$D$5:$D$143,BTHCTVTHH!A167)</f>
        <v>0</v>
      </c>
      <c r="H167" s="69">
        <f>SUMIFS(CT!$F$5:$F$143,CT!$E$5:$E$143,BTHCTVTHH!A167)</f>
        <v>0</v>
      </c>
      <c r="I167" s="69">
        <f>SUMIFS(CT!$H$5:$H$143,CT!$E$5:$E$143,BTHCTVTHH!A167)</f>
        <v>0</v>
      </c>
      <c r="J167" s="69">
        <f t="shared" si="8"/>
        <v>0</v>
      </c>
      <c r="K167" s="69">
        <f t="shared" si="9"/>
        <v>0</v>
      </c>
      <c r="L167" s="69">
        <f t="shared" si="10"/>
        <v>0</v>
      </c>
      <c r="M167" s="65" t="b">
        <f t="shared" si="11"/>
        <v>0</v>
      </c>
    </row>
    <row r="168" spans="1:13" hidden="1" x14ac:dyDescent="0.25">
      <c r="A168" s="93" t="str">
        <f>DMTK!B166</f>
        <v>3521</v>
      </c>
      <c r="B168" s="65" t="str">
        <f>VLOOKUP(A168,DMTK!$B$5:$Q$263,3,0)</f>
        <v>Dự phòng bảo hành sản phẩm hàng hóa</v>
      </c>
      <c r="C168" s="65" t="str">
        <f>VLOOKUP(A168,DMTK!$B$5:$Q$263,16,0)</f>
        <v xml:space="preserve"> </v>
      </c>
      <c r="D168" s="69">
        <f>VLOOKUP(A168,DMTK!$B$5:$Q$263,4,0)</f>
        <v>0</v>
      </c>
      <c r="E168" s="69">
        <f>VLOOKUP(A168,DMTK!$B$5:$Q$263,5,0)</f>
        <v>22000000</v>
      </c>
      <c r="F168" s="69">
        <f>SUMIFS(CT!$F$5:$F$143,CT!$D$5:$D$143,BTHCTVTHH!A168)</f>
        <v>0</v>
      </c>
      <c r="G168" s="69">
        <f>SUMIFS(CT!$H$5:$H$143,CT!$D$5:$D$143,BTHCTVTHH!A168)</f>
        <v>0</v>
      </c>
      <c r="H168" s="69">
        <f>SUMIFS(CT!$F$5:$F$143,CT!$E$5:$E$143,BTHCTVTHH!A168)</f>
        <v>0</v>
      </c>
      <c r="I168" s="69">
        <f>SUMIFS(CT!$H$5:$H$143,CT!$E$5:$E$143,BTHCTVTHH!A168)</f>
        <v>0</v>
      </c>
      <c r="J168" s="69">
        <f t="shared" si="8"/>
        <v>0</v>
      </c>
      <c r="K168" s="69">
        <f t="shared" si="9"/>
        <v>22000000</v>
      </c>
      <c r="L168" s="69">
        <f t="shared" si="10"/>
        <v>0</v>
      </c>
      <c r="M168" s="65" t="b">
        <f t="shared" si="11"/>
        <v>0</v>
      </c>
    </row>
    <row r="169" spans="1:13" hidden="1" x14ac:dyDescent="0.25">
      <c r="A169" s="93" t="str">
        <f>DMTK!B167</f>
        <v>3522</v>
      </c>
      <c r="B169" s="65" t="str">
        <f>VLOOKUP(A169,DMTK!$B$5:$Q$263,3,0)</f>
        <v>Dự phòng bảo hành công trình xây dựng</v>
      </c>
      <c r="C169" s="65" t="str">
        <f>VLOOKUP(A169,DMTK!$B$5:$Q$263,16,0)</f>
        <v xml:space="preserve"> </v>
      </c>
      <c r="D169" s="69">
        <f>VLOOKUP(A169,DMTK!$B$5:$Q$263,4,0)</f>
        <v>0</v>
      </c>
      <c r="E169" s="69">
        <f>VLOOKUP(A169,DMTK!$B$5:$Q$263,5,0)</f>
        <v>0</v>
      </c>
      <c r="F169" s="69">
        <f>SUMIFS(CT!$F$5:$F$143,CT!$D$5:$D$143,BTHCTVTHH!A169)</f>
        <v>0</v>
      </c>
      <c r="G169" s="69">
        <f>SUMIFS(CT!$H$5:$H$143,CT!$D$5:$D$143,BTHCTVTHH!A169)</f>
        <v>0</v>
      </c>
      <c r="H169" s="69">
        <f>SUMIFS(CT!$F$5:$F$143,CT!$E$5:$E$143,BTHCTVTHH!A169)</f>
        <v>0</v>
      </c>
      <c r="I169" s="69">
        <f>SUMIFS(CT!$H$5:$H$143,CT!$E$5:$E$143,BTHCTVTHH!A169)</f>
        <v>0</v>
      </c>
      <c r="J169" s="69">
        <f t="shared" si="8"/>
        <v>0</v>
      </c>
      <c r="K169" s="69">
        <f t="shared" si="9"/>
        <v>0</v>
      </c>
      <c r="L169" s="69">
        <f t="shared" si="10"/>
        <v>0</v>
      </c>
      <c r="M169" s="65" t="b">
        <f t="shared" si="11"/>
        <v>0</v>
      </c>
    </row>
    <row r="170" spans="1:13" hidden="1" x14ac:dyDescent="0.25">
      <c r="A170" s="93" t="str">
        <f>DMTK!B168</f>
        <v>3523</v>
      </c>
      <c r="B170" s="65" t="str">
        <f>VLOOKUP(A170,DMTK!$B$5:$Q$263,3,0)</f>
        <v>Dự phòng tái cơ cấu doanh nghiệp</v>
      </c>
      <c r="C170" s="65" t="str">
        <f>VLOOKUP(A170,DMTK!$B$5:$Q$263,16,0)</f>
        <v xml:space="preserve"> </v>
      </c>
      <c r="D170" s="69">
        <f>VLOOKUP(A170,DMTK!$B$5:$Q$263,4,0)</f>
        <v>0</v>
      </c>
      <c r="E170" s="69">
        <f>VLOOKUP(A170,DMTK!$B$5:$Q$263,5,0)</f>
        <v>0</v>
      </c>
      <c r="F170" s="69">
        <f>SUMIFS(CT!$F$5:$F$143,CT!$D$5:$D$143,BTHCTVTHH!A170)</f>
        <v>0</v>
      </c>
      <c r="G170" s="69">
        <f>SUMIFS(CT!$H$5:$H$143,CT!$D$5:$D$143,BTHCTVTHH!A170)</f>
        <v>0</v>
      </c>
      <c r="H170" s="69">
        <f>SUMIFS(CT!$F$5:$F$143,CT!$E$5:$E$143,BTHCTVTHH!A170)</f>
        <v>0</v>
      </c>
      <c r="I170" s="69">
        <f>SUMIFS(CT!$H$5:$H$143,CT!$E$5:$E$143,BTHCTVTHH!A170)</f>
        <v>0</v>
      </c>
      <c r="J170" s="69">
        <f t="shared" si="8"/>
        <v>0</v>
      </c>
      <c r="K170" s="69">
        <f t="shared" si="9"/>
        <v>0</v>
      </c>
      <c r="L170" s="69">
        <f t="shared" si="10"/>
        <v>0</v>
      </c>
      <c r="M170" s="65" t="b">
        <f t="shared" si="11"/>
        <v>0</v>
      </c>
    </row>
    <row r="171" spans="1:13" hidden="1" x14ac:dyDescent="0.25">
      <c r="A171" s="93" t="str">
        <f>DMTK!B169</f>
        <v>3524</v>
      </c>
      <c r="B171" s="65" t="str">
        <f>VLOOKUP(A171,DMTK!$B$5:$Q$263,3,0)</f>
        <v>Dự phòng phải trả khác</v>
      </c>
      <c r="C171" s="65" t="str">
        <f>VLOOKUP(A171,DMTK!$B$5:$Q$263,16,0)</f>
        <v xml:space="preserve"> </v>
      </c>
      <c r="D171" s="69">
        <f>VLOOKUP(A171,DMTK!$B$5:$Q$263,4,0)</f>
        <v>0</v>
      </c>
      <c r="E171" s="69">
        <f>VLOOKUP(A171,DMTK!$B$5:$Q$263,5,0)</f>
        <v>0</v>
      </c>
      <c r="F171" s="69">
        <f>SUMIFS(CT!$F$5:$F$143,CT!$D$5:$D$143,BTHCTVTHH!A171)</f>
        <v>0</v>
      </c>
      <c r="G171" s="69">
        <f>SUMIFS(CT!$H$5:$H$143,CT!$D$5:$D$143,BTHCTVTHH!A171)</f>
        <v>0</v>
      </c>
      <c r="H171" s="69">
        <f>SUMIFS(CT!$F$5:$F$143,CT!$E$5:$E$143,BTHCTVTHH!A171)</f>
        <v>0</v>
      </c>
      <c r="I171" s="69">
        <f>SUMIFS(CT!$H$5:$H$143,CT!$E$5:$E$143,BTHCTVTHH!A171)</f>
        <v>0</v>
      </c>
      <c r="J171" s="69">
        <f t="shared" si="8"/>
        <v>0</v>
      </c>
      <c r="K171" s="69">
        <f t="shared" si="9"/>
        <v>0</v>
      </c>
      <c r="L171" s="69">
        <f t="shared" si="10"/>
        <v>0</v>
      </c>
      <c r="M171" s="65" t="b">
        <f t="shared" si="11"/>
        <v>0</v>
      </c>
    </row>
    <row r="172" spans="1:13" hidden="1" x14ac:dyDescent="0.25">
      <c r="A172" s="93" t="str">
        <f>DMTK!B170</f>
        <v>3531</v>
      </c>
      <c r="B172" s="65" t="str">
        <f>VLOOKUP(A172,DMTK!$B$5:$Q$263,3,0)</f>
        <v>Quỹ khen thưởng</v>
      </c>
      <c r="C172" s="65" t="str">
        <f>VLOOKUP(A172,DMTK!$B$5:$Q$263,16,0)</f>
        <v xml:space="preserve"> </v>
      </c>
      <c r="D172" s="69">
        <f>VLOOKUP(A172,DMTK!$B$5:$Q$263,4,0)</f>
        <v>0</v>
      </c>
      <c r="E172" s="69">
        <f>VLOOKUP(A172,DMTK!$B$5:$Q$263,5,0)</f>
        <v>37000000</v>
      </c>
      <c r="F172" s="69">
        <f>SUMIFS(CT!$F$5:$F$143,CT!$D$5:$D$143,BTHCTVTHH!A172)</f>
        <v>0</v>
      </c>
      <c r="G172" s="69">
        <f>SUMIFS(CT!$H$5:$H$143,CT!$D$5:$D$143,BTHCTVTHH!A172)</f>
        <v>0</v>
      </c>
      <c r="H172" s="69">
        <f>SUMIFS(CT!$F$5:$F$143,CT!$E$5:$E$143,BTHCTVTHH!A172)</f>
        <v>0</v>
      </c>
      <c r="I172" s="69">
        <f>SUMIFS(CT!$H$5:$H$143,CT!$E$5:$E$143,BTHCTVTHH!A172)</f>
        <v>0</v>
      </c>
      <c r="J172" s="69">
        <f t="shared" si="8"/>
        <v>0</v>
      </c>
      <c r="K172" s="69">
        <f t="shared" si="9"/>
        <v>37000000</v>
      </c>
      <c r="L172" s="69">
        <f t="shared" si="10"/>
        <v>0</v>
      </c>
      <c r="M172" s="65" t="b">
        <f t="shared" si="11"/>
        <v>0</v>
      </c>
    </row>
    <row r="173" spans="1:13" hidden="1" x14ac:dyDescent="0.25">
      <c r="A173" s="93" t="str">
        <f>DMTK!B171</f>
        <v>3532</v>
      </c>
      <c r="B173" s="65" t="str">
        <f>VLOOKUP(A173,DMTK!$B$5:$Q$263,3,0)</f>
        <v>Quỹ phúc lợi</v>
      </c>
      <c r="C173" s="65" t="str">
        <f>VLOOKUP(A173,DMTK!$B$5:$Q$263,16,0)</f>
        <v xml:space="preserve"> </v>
      </c>
      <c r="D173" s="69">
        <f>VLOOKUP(A173,DMTK!$B$5:$Q$263,4,0)</f>
        <v>0</v>
      </c>
      <c r="E173" s="69">
        <f>VLOOKUP(A173,DMTK!$B$5:$Q$263,5,0)</f>
        <v>26000000</v>
      </c>
      <c r="F173" s="69">
        <f>SUMIFS(CT!$F$5:$F$143,CT!$D$5:$D$143,BTHCTVTHH!A173)</f>
        <v>0</v>
      </c>
      <c r="G173" s="69">
        <f>SUMIFS(CT!$H$5:$H$143,CT!$D$5:$D$143,BTHCTVTHH!A173)</f>
        <v>0</v>
      </c>
      <c r="H173" s="69">
        <f>SUMIFS(CT!$F$5:$F$143,CT!$E$5:$E$143,BTHCTVTHH!A173)</f>
        <v>0</v>
      </c>
      <c r="I173" s="69">
        <f>SUMIFS(CT!$H$5:$H$143,CT!$E$5:$E$143,BTHCTVTHH!A173)</f>
        <v>0</v>
      </c>
      <c r="J173" s="69">
        <f t="shared" si="8"/>
        <v>0</v>
      </c>
      <c r="K173" s="69">
        <f t="shared" si="9"/>
        <v>26000000</v>
      </c>
      <c r="L173" s="69">
        <f t="shared" si="10"/>
        <v>0</v>
      </c>
      <c r="M173" s="65" t="b">
        <f t="shared" si="11"/>
        <v>0</v>
      </c>
    </row>
    <row r="174" spans="1:13" hidden="1" x14ac:dyDescent="0.25">
      <c r="A174" s="93" t="str">
        <f>DMTK!B172</f>
        <v>3533</v>
      </c>
      <c r="B174" s="65" t="str">
        <f>VLOOKUP(A174,DMTK!$B$5:$Q$263,3,0)</f>
        <v>Quỹ phúc lợi đã hình thành TSCĐ</v>
      </c>
      <c r="C174" s="65" t="str">
        <f>VLOOKUP(A174,DMTK!$B$5:$Q$263,16,0)</f>
        <v xml:space="preserve"> </v>
      </c>
      <c r="D174" s="69">
        <f>VLOOKUP(A174,DMTK!$B$5:$Q$263,4,0)</f>
        <v>0</v>
      </c>
      <c r="E174" s="69">
        <f>VLOOKUP(A174,DMTK!$B$5:$Q$263,5,0)</f>
        <v>20000000</v>
      </c>
      <c r="F174" s="69">
        <f>SUMIFS(CT!$F$5:$F$143,CT!$D$5:$D$143,BTHCTVTHH!A174)</f>
        <v>0</v>
      </c>
      <c r="G174" s="69">
        <f>SUMIFS(CT!$H$5:$H$143,CT!$D$5:$D$143,BTHCTVTHH!A174)</f>
        <v>0</v>
      </c>
      <c r="H174" s="69">
        <f>SUMIFS(CT!$F$5:$F$143,CT!$E$5:$E$143,BTHCTVTHH!A174)</f>
        <v>0</v>
      </c>
      <c r="I174" s="69">
        <f>SUMIFS(CT!$H$5:$H$143,CT!$E$5:$E$143,BTHCTVTHH!A174)</f>
        <v>0</v>
      </c>
      <c r="J174" s="69">
        <f t="shared" si="8"/>
        <v>0</v>
      </c>
      <c r="K174" s="69">
        <f t="shared" si="9"/>
        <v>20000000</v>
      </c>
      <c r="L174" s="69">
        <f t="shared" si="10"/>
        <v>0</v>
      </c>
      <c r="M174" s="65" t="b">
        <f t="shared" si="11"/>
        <v>0</v>
      </c>
    </row>
    <row r="175" spans="1:13" hidden="1" x14ac:dyDescent="0.25">
      <c r="A175" s="93" t="str">
        <f>DMTK!B173</f>
        <v>3534</v>
      </c>
      <c r="B175" s="65" t="str">
        <f>VLOOKUP(A175,DMTK!$B$5:$Q$263,3,0)</f>
        <v>Quỹ thưởng ban điều hành công ty</v>
      </c>
      <c r="C175" s="65" t="str">
        <f>VLOOKUP(A175,DMTK!$B$5:$Q$263,16,0)</f>
        <v xml:space="preserve"> </v>
      </c>
      <c r="D175" s="69">
        <f>VLOOKUP(A175,DMTK!$B$5:$Q$263,4,0)</f>
        <v>0</v>
      </c>
      <c r="E175" s="69">
        <f>VLOOKUP(A175,DMTK!$B$5:$Q$263,5,0)</f>
        <v>0</v>
      </c>
      <c r="F175" s="69">
        <f>SUMIFS(CT!$F$5:$F$143,CT!$D$5:$D$143,BTHCTVTHH!A175)</f>
        <v>0</v>
      </c>
      <c r="G175" s="69">
        <f>SUMIFS(CT!$H$5:$H$143,CT!$D$5:$D$143,BTHCTVTHH!A175)</f>
        <v>0</v>
      </c>
      <c r="H175" s="69">
        <f>SUMIFS(CT!$F$5:$F$143,CT!$E$5:$E$143,BTHCTVTHH!A175)</f>
        <v>0</v>
      </c>
      <c r="I175" s="69">
        <f>SUMIFS(CT!$H$5:$H$143,CT!$E$5:$E$143,BTHCTVTHH!A175)</f>
        <v>0</v>
      </c>
      <c r="J175" s="69">
        <f t="shared" si="8"/>
        <v>0</v>
      </c>
      <c r="K175" s="69">
        <f t="shared" si="9"/>
        <v>0</v>
      </c>
      <c r="L175" s="69">
        <f t="shared" si="10"/>
        <v>0</v>
      </c>
      <c r="M175" s="65" t="b">
        <f t="shared" si="11"/>
        <v>0</v>
      </c>
    </row>
    <row r="176" spans="1:13" hidden="1" x14ac:dyDescent="0.25">
      <c r="A176" s="93" t="str">
        <f>DMTK!B174</f>
        <v>3561</v>
      </c>
      <c r="B176" s="65" t="str">
        <f>VLOOKUP(A176,DMTK!$B$5:$Q$263,3,0)</f>
        <v>Quỹ phát triển khoa học và công nghệ</v>
      </c>
      <c r="C176" s="65" t="str">
        <f>VLOOKUP(A176,DMTK!$B$5:$Q$263,16,0)</f>
        <v xml:space="preserve"> </v>
      </c>
      <c r="D176" s="69">
        <f>VLOOKUP(A176,DMTK!$B$5:$Q$263,4,0)</f>
        <v>0</v>
      </c>
      <c r="E176" s="69">
        <f>VLOOKUP(A176,DMTK!$B$5:$Q$263,5,0)</f>
        <v>0</v>
      </c>
      <c r="F176" s="69">
        <f>SUMIFS(CT!$F$5:$F$143,CT!$D$5:$D$143,BTHCTVTHH!A176)</f>
        <v>0</v>
      </c>
      <c r="G176" s="69">
        <f>SUMIFS(CT!$H$5:$H$143,CT!$D$5:$D$143,BTHCTVTHH!A176)</f>
        <v>0</v>
      </c>
      <c r="H176" s="69">
        <f>SUMIFS(CT!$F$5:$F$143,CT!$E$5:$E$143,BTHCTVTHH!A176)</f>
        <v>0</v>
      </c>
      <c r="I176" s="69">
        <f>SUMIFS(CT!$H$5:$H$143,CT!$E$5:$E$143,BTHCTVTHH!A176)</f>
        <v>0</v>
      </c>
      <c r="J176" s="69">
        <f t="shared" si="8"/>
        <v>0</v>
      </c>
      <c r="K176" s="69">
        <f t="shared" si="9"/>
        <v>0</v>
      </c>
      <c r="L176" s="69">
        <f t="shared" si="10"/>
        <v>0</v>
      </c>
      <c r="M176" s="65" t="b">
        <f t="shared" si="11"/>
        <v>0</v>
      </c>
    </row>
    <row r="177" spans="1:13" hidden="1" x14ac:dyDescent="0.25">
      <c r="A177" s="93" t="str">
        <f>DMTK!B175</f>
        <v>3562</v>
      </c>
      <c r="B177" s="65" t="str">
        <f>VLOOKUP(A177,DMTK!$B$5:$Q$263,3,0)</f>
        <v>Quỹ phát triển khoa học và công nghệ đã hình thành TSCĐ</v>
      </c>
      <c r="C177" s="65" t="str">
        <f>VLOOKUP(A177,DMTK!$B$5:$Q$263,16,0)</f>
        <v xml:space="preserve"> </v>
      </c>
      <c r="D177" s="69">
        <f>VLOOKUP(A177,DMTK!$B$5:$Q$263,4,0)</f>
        <v>0</v>
      </c>
      <c r="E177" s="69">
        <f>VLOOKUP(A177,DMTK!$B$5:$Q$263,5,0)</f>
        <v>0</v>
      </c>
      <c r="F177" s="69">
        <f>SUMIFS(CT!$F$5:$F$143,CT!$D$5:$D$143,BTHCTVTHH!A177)</f>
        <v>0</v>
      </c>
      <c r="G177" s="69">
        <f>SUMIFS(CT!$H$5:$H$143,CT!$D$5:$D$143,BTHCTVTHH!A177)</f>
        <v>0</v>
      </c>
      <c r="H177" s="69">
        <f>SUMIFS(CT!$F$5:$F$143,CT!$E$5:$E$143,BTHCTVTHH!A177)</f>
        <v>0</v>
      </c>
      <c r="I177" s="69">
        <f>SUMIFS(CT!$H$5:$H$143,CT!$E$5:$E$143,BTHCTVTHH!A177)</f>
        <v>0</v>
      </c>
      <c r="J177" s="69">
        <f t="shared" si="8"/>
        <v>0</v>
      </c>
      <c r="K177" s="69">
        <f t="shared" si="9"/>
        <v>0</v>
      </c>
      <c r="L177" s="69">
        <f t="shared" si="10"/>
        <v>0</v>
      </c>
      <c r="M177" s="65" t="b">
        <f t="shared" si="11"/>
        <v>0</v>
      </c>
    </row>
    <row r="178" spans="1:13" hidden="1" x14ac:dyDescent="0.25">
      <c r="A178" s="93" t="str">
        <f>DMTK!B176</f>
        <v>357</v>
      </c>
      <c r="B178" s="65" t="str">
        <f>VLOOKUP(A178,DMTK!$B$5:$Q$263,3,0)</f>
        <v>Quỹ bình ổn giá</v>
      </c>
      <c r="C178" s="65" t="str">
        <f>VLOOKUP(A178,DMTK!$B$5:$Q$263,16,0)</f>
        <v xml:space="preserve"> </v>
      </c>
      <c r="D178" s="69">
        <f>VLOOKUP(A178,DMTK!$B$5:$Q$263,4,0)</f>
        <v>0</v>
      </c>
      <c r="E178" s="69">
        <f>VLOOKUP(A178,DMTK!$B$5:$Q$263,5,0)</f>
        <v>0</v>
      </c>
      <c r="F178" s="69">
        <f>SUMIFS(CT!$F$5:$F$143,CT!$D$5:$D$143,BTHCTVTHH!A178)</f>
        <v>0</v>
      </c>
      <c r="G178" s="69">
        <f>SUMIFS(CT!$H$5:$H$143,CT!$D$5:$D$143,BTHCTVTHH!A178)</f>
        <v>0</v>
      </c>
      <c r="H178" s="69">
        <f>SUMIFS(CT!$F$5:$F$143,CT!$E$5:$E$143,BTHCTVTHH!A178)</f>
        <v>0</v>
      </c>
      <c r="I178" s="69">
        <f>SUMIFS(CT!$H$5:$H$143,CT!$E$5:$E$143,BTHCTVTHH!A178)</f>
        <v>0</v>
      </c>
      <c r="J178" s="69">
        <f t="shared" si="8"/>
        <v>0</v>
      </c>
      <c r="K178" s="69">
        <f t="shared" si="9"/>
        <v>0</v>
      </c>
      <c r="L178" s="69">
        <f t="shared" si="10"/>
        <v>0</v>
      </c>
      <c r="M178" s="65" t="b">
        <f t="shared" si="11"/>
        <v>0</v>
      </c>
    </row>
    <row r="179" spans="1:13" hidden="1" x14ac:dyDescent="0.25">
      <c r="A179" s="93" t="str">
        <f>DMTK!B177</f>
        <v>41111</v>
      </c>
      <c r="B179" s="65" t="str">
        <f>VLOOKUP(A179,DMTK!$B$5:$Q$263,3,0)</f>
        <v>Cổ phiếu phổ thông có quyền biểu quyết</v>
      </c>
      <c r="C179" s="65" t="str">
        <f>VLOOKUP(A179,DMTK!$B$5:$Q$263,16,0)</f>
        <v xml:space="preserve"> </v>
      </c>
      <c r="D179" s="69">
        <f>VLOOKUP(A179,DMTK!$B$5:$Q$263,4,0)</f>
        <v>0</v>
      </c>
      <c r="E179" s="69">
        <f>VLOOKUP(A179,DMTK!$B$5:$Q$263,5,0)</f>
        <v>1430000000</v>
      </c>
      <c r="F179" s="69">
        <f>SUMIFS(CT!$F$5:$F$143,CT!$D$5:$D$143,BTHCTVTHH!A179)</f>
        <v>0</v>
      </c>
      <c r="G179" s="69">
        <f>SUMIFS(CT!$H$5:$H$143,CT!$D$5:$D$143,BTHCTVTHH!A179)</f>
        <v>0</v>
      </c>
      <c r="H179" s="69">
        <f>SUMIFS(CT!$F$5:$F$143,CT!$E$5:$E$143,BTHCTVTHH!A179)</f>
        <v>0</v>
      </c>
      <c r="I179" s="69">
        <f>SUMIFS(CT!$H$5:$H$143,CT!$E$5:$E$143,BTHCTVTHH!A179)</f>
        <v>0</v>
      </c>
      <c r="J179" s="69">
        <f t="shared" si="8"/>
        <v>0</v>
      </c>
      <c r="K179" s="69">
        <f t="shared" si="9"/>
        <v>1430000000</v>
      </c>
      <c r="L179" s="69">
        <f t="shared" si="10"/>
        <v>0</v>
      </c>
      <c r="M179" s="65" t="b">
        <f t="shared" si="11"/>
        <v>0</v>
      </c>
    </row>
    <row r="180" spans="1:13" hidden="1" x14ac:dyDescent="0.25">
      <c r="A180" s="93" t="str">
        <f>DMTK!B178</f>
        <v>41112</v>
      </c>
      <c r="B180" s="65" t="str">
        <f>VLOOKUP(A180,DMTK!$B$5:$Q$263,3,0)</f>
        <v>Cổ phiếu ưu đãi</v>
      </c>
      <c r="C180" s="65" t="str">
        <f>VLOOKUP(A180,DMTK!$B$5:$Q$263,16,0)</f>
        <v xml:space="preserve"> </v>
      </c>
      <c r="D180" s="69">
        <f>VLOOKUP(A180,DMTK!$B$5:$Q$263,4,0)</f>
        <v>0</v>
      </c>
      <c r="E180" s="69">
        <f>VLOOKUP(A180,DMTK!$B$5:$Q$263,5,0)</f>
        <v>43641000</v>
      </c>
      <c r="F180" s="69">
        <f>SUMIFS(CT!$F$5:$F$143,CT!$D$5:$D$143,BTHCTVTHH!A180)</f>
        <v>0</v>
      </c>
      <c r="G180" s="69">
        <f>SUMIFS(CT!$H$5:$H$143,CT!$D$5:$D$143,BTHCTVTHH!A180)</f>
        <v>0</v>
      </c>
      <c r="H180" s="69">
        <f>SUMIFS(CT!$F$5:$F$143,CT!$E$5:$E$143,BTHCTVTHH!A180)</f>
        <v>0</v>
      </c>
      <c r="I180" s="69">
        <f>SUMIFS(CT!$H$5:$H$143,CT!$E$5:$E$143,BTHCTVTHH!A180)</f>
        <v>0</v>
      </c>
      <c r="J180" s="69">
        <f t="shared" si="8"/>
        <v>0</v>
      </c>
      <c r="K180" s="69">
        <f t="shared" si="9"/>
        <v>43641000</v>
      </c>
      <c r="L180" s="69">
        <f t="shared" si="10"/>
        <v>0</v>
      </c>
      <c r="M180" s="65" t="b">
        <f t="shared" si="11"/>
        <v>0</v>
      </c>
    </row>
    <row r="181" spans="1:13" hidden="1" x14ac:dyDescent="0.25">
      <c r="A181" s="93" t="str">
        <f>DMTK!B179</f>
        <v>4112</v>
      </c>
      <c r="B181" s="65" t="str">
        <f>VLOOKUP(A181,DMTK!$B$5:$Q$263,3,0)</f>
        <v>Thặng dư vốn cổ phần</v>
      </c>
      <c r="C181" s="65" t="str">
        <f>VLOOKUP(A181,DMTK!$B$5:$Q$263,16,0)</f>
        <v xml:space="preserve"> </v>
      </c>
      <c r="D181" s="69">
        <f>VLOOKUP(A181,DMTK!$B$5:$Q$263,4,0)</f>
        <v>0</v>
      </c>
      <c r="E181" s="69">
        <f>VLOOKUP(A181,DMTK!$B$5:$Q$263,5,0)</f>
        <v>0</v>
      </c>
      <c r="F181" s="69">
        <f>SUMIFS(CT!$F$5:$F$143,CT!$D$5:$D$143,BTHCTVTHH!A181)</f>
        <v>0</v>
      </c>
      <c r="G181" s="69">
        <f>SUMIFS(CT!$H$5:$H$143,CT!$D$5:$D$143,BTHCTVTHH!A181)</f>
        <v>0</v>
      </c>
      <c r="H181" s="69">
        <f>SUMIFS(CT!$F$5:$F$143,CT!$E$5:$E$143,BTHCTVTHH!A181)</f>
        <v>0</v>
      </c>
      <c r="I181" s="69">
        <f>SUMIFS(CT!$H$5:$H$143,CT!$E$5:$E$143,BTHCTVTHH!A181)</f>
        <v>0</v>
      </c>
      <c r="J181" s="69">
        <f t="shared" si="8"/>
        <v>0</v>
      </c>
      <c r="K181" s="69">
        <f t="shared" si="9"/>
        <v>0</v>
      </c>
      <c r="L181" s="69">
        <f t="shared" si="10"/>
        <v>0</v>
      </c>
      <c r="M181" s="65" t="b">
        <f t="shared" si="11"/>
        <v>0</v>
      </c>
    </row>
    <row r="182" spans="1:13" hidden="1" x14ac:dyDescent="0.25">
      <c r="A182" s="93" t="str">
        <f>DMTK!B180</f>
        <v>4113</v>
      </c>
      <c r="B182" s="65" t="str">
        <f>VLOOKUP(A182,DMTK!$B$5:$Q$263,3,0)</f>
        <v>Quyền chọn chuyển đổi trái phiếu</v>
      </c>
      <c r="C182" s="65" t="str">
        <f>VLOOKUP(A182,DMTK!$B$5:$Q$263,16,0)</f>
        <v xml:space="preserve"> </v>
      </c>
      <c r="D182" s="69">
        <f>VLOOKUP(A182,DMTK!$B$5:$Q$263,4,0)</f>
        <v>0</v>
      </c>
      <c r="E182" s="69">
        <f>VLOOKUP(A182,DMTK!$B$5:$Q$263,5,0)</f>
        <v>0</v>
      </c>
      <c r="F182" s="69">
        <f>SUMIFS(CT!$F$5:$F$143,CT!$D$5:$D$143,BTHCTVTHH!A182)</f>
        <v>0</v>
      </c>
      <c r="G182" s="69">
        <f>SUMIFS(CT!$H$5:$H$143,CT!$D$5:$D$143,BTHCTVTHH!A182)</f>
        <v>0</v>
      </c>
      <c r="H182" s="69">
        <f>SUMIFS(CT!$F$5:$F$143,CT!$E$5:$E$143,BTHCTVTHH!A182)</f>
        <v>0</v>
      </c>
      <c r="I182" s="69">
        <f>SUMIFS(CT!$H$5:$H$143,CT!$E$5:$E$143,BTHCTVTHH!A182)</f>
        <v>0</v>
      </c>
      <c r="J182" s="69">
        <f t="shared" si="8"/>
        <v>0</v>
      </c>
      <c r="K182" s="69">
        <f t="shared" si="9"/>
        <v>0</v>
      </c>
      <c r="L182" s="69">
        <f t="shared" si="10"/>
        <v>0</v>
      </c>
      <c r="M182" s="65" t="b">
        <f t="shared" si="11"/>
        <v>0</v>
      </c>
    </row>
    <row r="183" spans="1:13" hidden="1" x14ac:dyDescent="0.25">
      <c r="A183" s="93" t="str">
        <f>DMTK!B181</f>
        <v>4118</v>
      </c>
      <c r="B183" s="65" t="str">
        <f>VLOOKUP(A183,DMTK!$B$5:$Q$263,3,0)</f>
        <v>Vốn khác</v>
      </c>
      <c r="C183" s="65" t="str">
        <f>VLOOKUP(A183,DMTK!$B$5:$Q$263,16,0)</f>
        <v xml:space="preserve"> </v>
      </c>
      <c r="D183" s="69">
        <f>VLOOKUP(A183,DMTK!$B$5:$Q$263,4,0)</f>
        <v>0</v>
      </c>
      <c r="E183" s="69">
        <f>VLOOKUP(A183,DMTK!$B$5:$Q$263,5,0)</f>
        <v>18898000</v>
      </c>
      <c r="F183" s="69">
        <f>SUMIFS(CT!$F$5:$F$143,CT!$D$5:$D$143,BTHCTVTHH!A183)</f>
        <v>0</v>
      </c>
      <c r="G183" s="69">
        <f>SUMIFS(CT!$H$5:$H$143,CT!$D$5:$D$143,BTHCTVTHH!A183)</f>
        <v>0</v>
      </c>
      <c r="H183" s="69">
        <f>SUMIFS(CT!$F$5:$F$143,CT!$E$5:$E$143,BTHCTVTHH!A183)</f>
        <v>0</v>
      </c>
      <c r="I183" s="69">
        <f>SUMIFS(CT!$H$5:$H$143,CT!$E$5:$E$143,BTHCTVTHH!A183)</f>
        <v>0</v>
      </c>
      <c r="J183" s="69">
        <f t="shared" si="8"/>
        <v>0</v>
      </c>
      <c r="K183" s="69">
        <f t="shared" si="9"/>
        <v>18898000</v>
      </c>
      <c r="L183" s="69">
        <f t="shared" si="10"/>
        <v>0</v>
      </c>
      <c r="M183" s="65" t="b">
        <f t="shared" si="11"/>
        <v>0</v>
      </c>
    </row>
    <row r="184" spans="1:13" hidden="1" x14ac:dyDescent="0.25">
      <c r="A184" s="93" t="str">
        <f>DMTK!B182</f>
        <v>412</v>
      </c>
      <c r="B184" s="65" t="str">
        <f>VLOOKUP(A184,DMTK!$B$5:$Q$263,3,0)</f>
        <v>Chênh lệch đánh giá lại tài sản</v>
      </c>
      <c r="C184" s="65" t="str">
        <f>VLOOKUP(A184,DMTK!$B$5:$Q$263,16,0)</f>
        <v xml:space="preserve"> </v>
      </c>
      <c r="D184" s="69">
        <f>VLOOKUP(A184,DMTK!$B$5:$Q$263,4,0)</f>
        <v>0</v>
      </c>
      <c r="E184" s="69">
        <f>VLOOKUP(A184,DMTK!$B$5:$Q$263,5,0)</f>
        <v>0</v>
      </c>
      <c r="F184" s="69">
        <f>SUMIFS(CT!$F$5:$F$143,CT!$D$5:$D$143,BTHCTVTHH!A184)</f>
        <v>0</v>
      </c>
      <c r="G184" s="69">
        <f>SUMIFS(CT!$H$5:$H$143,CT!$D$5:$D$143,BTHCTVTHH!A184)</f>
        <v>0</v>
      </c>
      <c r="H184" s="69">
        <f>SUMIFS(CT!$F$5:$F$143,CT!$E$5:$E$143,BTHCTVTHH!A184)</f>
        <v>0</v>
      </c>
      <c r="I184" s="69">
        <f>SUMIFS(CT!$H$5:$H$143,CT!$E$5:$E$143,BTHCTVTHH!A184)</f>
        <v>0</v>
      </c>
      <c r="J184" s="69">
        <f t="shared" si="8"/>
        <v>0</v>
      </c>
      <c r="K184" s="69">
        <f t="shared" si="9"/>
        <v>0</v>
      </c>
      <c r="L184" s="69">
        <f t="shared" si="10"/>
        <v>0</v>
      </c>
      <c r="M184" s="65" t="b">
        <f t="shared" si="11"/>
        <v>0</v>
      </c>
    </row>
    <row r="185" spans="1:13" hidden="1" x14ac:dyDescent="0.25">
      <c r="A185" s="93" t="str">
        <f>DMTK!B183</f>
        <v>4131</v>
      </c>
      <c r="B185" s="65" t="str">
        <f>VLOOKUP(A185,DMTK!$B$5:$Q$263,3,0)</f>
        <v>Chênh lệch tỷ giá do đánh giá lại các khoản mục tiền tệ có gốc ngoại tệ</v>
      </c>
      <c r="C185" s="65" t="str">
        <f>VLOOKUP(A185,DMTK!$B$5:$Q$263,16,0)</f>
        <v xml:space="preserve"> </v>
      </c>
      <c r="D185" s="69">
        <f>VLOOKUP(A185,DMTK!$B$5:$Q$263,4,0)</f>
        <v>0</v>
      </c>
      <c r="E185" s="69">
        <f>VLOOKUP(A185,DMTK!$B$5:$Q$263,5,0)</f>
        <v>0</v>
      </c>
      <c r="F185" s="69">
        <f>SUMIFS(CT!$F$5:$F$143,CT!$D$5:$D$143,BTHCTVTHH!A185)</f>
        <v>0</v>
      </c>
      <c r="G185" s="69">
        <f>SUMIFS(CT!$H$5:$H$143,CT!$D$5:$D$143,BTHCTVTHH!A185)</f>
        <v>0</v>
      </c>
      <c r="H185" s="69">
        <f>SUMIFS(CT!$F$5:$F$143,CT!$E$5:$E$143,BTHCTVTHH!A185)</f>
        <v>0</v>
      </c>
      <c r="I185" s="69">
        <f>SUMIFS(CT!$H$5:$H$143,CT!$E$5:$E$143,BTHCTVTHH!A185)</f>
        <v>0</v>
      </c>
      <c r="J185" s="69">
        <f t="shared" si="8"/>
        <v>0</v>
      </c>
      <c r="K185" s="69">
        <f t="shared" si="9"/>
        <v>0</v>
      </c>
      <c r="L185" s="69">
        <f t="shared" si="10"/>
        <v>0</v>
      </c>
      <c r="M185" s="65" t="b">
        <f t="shared" si="11"/>
        <v>0</v>
      </c>
    </row>
    <row r="186" spans="1:13" hidden="1" x14ac:dyDescent="0.25">
      <c r="A186" s="93" t="str">
        <f>DMTK!B184</f>
        <v>4132</v>
      </c>
      <c r="B186" s="65" t="str">
        <f>VLOOKUP(A186,DMTK!$B$5:$Q$263,3,0)</f>
        <v>Chênh lệch tỷ giá hối đoái trong giai đoạn trước hoạt động</v>
      </c>
      <c r="C186" s="65" t="str">
        <f>VLOOKUP(A186,DMTK!$B$5:$Q$263,16,0)</f>
        <v xml:space="preserve"> </v>
      </c>
      <c r="D186" s="69">
        <f>VLOOKUP(A186,DMTK!$B$5:$Q$263,4,0)</f>
        <v>0</v>
      </c>
      <c r="E186" s="69">
        <f>VLOOKUP(A186,DMTK!$B$5:$Q$263,5,0)</f>
        <v>0</v>
      </c>
      <c r="F186" s="69">
        <f>SUMIFS(CT!$F$5:$F$143,CT!$D$5:$D$143,BTHCTVTHH!A186)</f>
        <v>0</v>
      </c>
      <c r="G186" s="69">
        <f>SUMIFS(CT!$H$5:$H$143,CT!$D$5:$D$143,BTHCTVTHH!A186)</f>
        <v>0</v>
      </c>
      <c r="H186" s="69">
        <f>SUMIFS(CT!$F$5:$F$143,CT!$E$5:$E$143,BTHCTVTHH!A186)</f>
        <v>0</v>
      </c>
      <c r="I186" s="69">
        <f>SUMIFS(CT!$H$5:$H$143,CT!$E$5:$E$143,BTHCTVTHH!A186)</f>
        <v>0</v>
      </c>
      <c r="J186" s="69">
        <f t="shared" si="8"/>
        <v>0</v>
      </c>
      <c r="K186" s="69">
        <f t="shared" si="9"/>
        <v>0</v>
      </c>
      <c r="L186" s="69">
        <f t="shared" si="10"/>
        <v>0</v>
      </c>
      <c r="M186" s="65" t="b">
        <f t="shared" si="11"/>
        <v>0</v>
      </c>
    </row>
    <row r="187" spans="1:13" hidden="1" x14ac:dyDescent="0.25">
      <c r="A187" s="93" t="str">
        <f>DMTK!B185</f>
        <v>414</v>
      </c>
      <c r="B187" s="65" t="str">
        <f>VLOOKUP(A187,DMTK!$B$5:$Q$263,3,0)</f>
        <v>Quỹ đầu tư phát triển</v>
      </c>
      <c r="C187" s="65" t="str">
        <f>VLOOKUP(A187,DMTK!$B$5:$Q$263,16,0)</f>
        <v xml:space="preserve"> </v>
      </c>
      <c r="D187" s="69">
        <f>VLOOKUP(A187,DMTK!$B$5:$Q$263,4,0)</f>
        <v>0</v>
      </c>
      <c r="E187" s="69">
        <f>VLOOKUP(A187,DMTK!$B$5:$Q$263,5,0)</f>
        <v>120000000</v>
      </c>
      <c r="F187" s="69">
        <f>SUMIFS(CT!$F$5:$F$143,CT!$D$5:$D$143,BTHCTVTHH!A187)</f>
        <v>0</v>
      </c>
      <c r="G187" s="69">
        <f>SUMIFS(CT!$H$5:$H$143,CT!$D$5:$D$143,BTHCTVTHH!A187)</f>
        <v>0</v>
      </c>
      <c r="H187" s="69">
        <f>SUMIFS(CT!$F$5:$F$143,CT!$E$5:$E$143,BTHCTVTHH!A187)</f>
        <v>0</v>
      </c>
      <c r="I187" s="69">
        <f>SUMIFS(CT!$H$5:$H$143,CT!$E$5:$E$143,BTHCTVTHH!A187)</f>
        <v>0</v>
      </c>
      <c r="J187" s="69">
        <f t="shared" si="8"/>
        <v>0</v>
      </c>
      <c r="K187" s="69">
        <f t="shared" si="9"/>
        <v>120000000</v>
      </c>
      <c r="L187" s="69">
        <f t="shared" si="10"/>
        <v>0</v>
      </c>
      <c r="M187" s="65" t="b">
        <f t="shared" si="11"/>
        <v>0</v>
      </c>
    </row>
    <row r="188" spans="1:13" hidden="1" x14ac:dyDescent="0.25">
      <c r="A188" s="93" t="str">
        <f>DMTK!B186</f>
        <v>417</v>
      </c>
      <c r="B188" s="65" t="str">
        <f>VLOOKUP(A188,DMTK!$B$5:$Q$263,3,0)</f>
        <v>Quỹ hỗ trợ sắp xếp doanh nghiệp</v>
      </c>
      <c r="C188" s="65" t="str">
        <f>VLOOKUP(A188,DMTK!$B$5:$Q$263,16,0)</f>
        <v xml:space="preserve"> </v>
      </c>
      <c r="D188" s="69">
        <f>VLOOKUP(A188,DMTK!$B$5:$Q$263,4,0)</f>
        <v>0</v>
      </c>
      <c r="E188" s="69">
        <f>VLOOKUP(A188,DMTK!$B$5:$Q$263,5,0)</f>
        <v>0</v>
      </c>
      <c r="F188" s="69">
        <f>SUMIFS(CT!$F$5:$F$143,CT!$D$5:$D$143,BTHCTVTHH!A188)</f>
        <v>0</v>
      </c>
      <c r="G188" s="69">
        <f>SUMIFS(CT!$H$5:$H$143,CT!$D$5:$D$143,BTHCTVTHH!A188)</f>
        <v>0</v>
      </c>
      <c r="H188" s="69">
        <f>SUMIFS(CT!$F$5:$F$143,CT!$E$5:$E$143,BTHCTVTHH!A188)</f>
        <v>0</v>
      </c>
      <c r="I188" s="69">
        <f>SUMIFS(CT!$H$5:$H$143,CT!$E$5:$E$143,BTHCTVTHH!A188)</f>
        <v>0</v>
      </c>
      <c r="J188" s="69">
        <f t="shared" si="8"/>
        <v>0</v>
      </c>
      <c r="K188" s="69">
        <f t="shared" si="9"/>
        <v>0</v>
      </c>
      <c r="L188" s="69">
        <f t="shared" si="10"/>
        <v>0</v>
      </c>
      <c r="M188" s="65" t="b">
        <f t="shared" si="11"/>
        <v>0</v>
      </c>
    </row>
    <row r="189" spans="1:13" hidden="1" x14ac:dyDescent="0.25">
      <c r="A189" s="93" t="str">
        <f>DMTK!B187</f>
        <v>418</v>
      </c>
      <c r="B189" s="65" t="str">
        <f>VLOOKUP(A189,DMTK!$B$5:$Q$263,3,0)</f>
        <v>Các quỹ khác thuộc vốn chủ sở hữu</v>
      </c>
      <c r="C189" s="65" t="str">
        <f>VLOOKUP(A189,DMTK!$B$5:$Q$263,16,0)</f>
        <v xml:space="preserve"> </v>
      </c>
      <c r="D189" s="69">
        <f>VLOOKUP(A189,DMTK!$B$5:$Q$263,4,0)</f>
        <v>0</v>
      </c>
      <c r="E189" s="69">
        <f>VLOOKUP(A189,DMTK!$B$5:$Q$263,5,0)</f>
        <v>130000000</v>
      </c>
      <c r="F189" s="69">
        <f>SUMIFS(CT!$F$5:$F$143,CT!$D$5:$D$143,BTHCTVTHH!A189)</f>
        <v>0</v>
      </c>
      <c r="G189" s="69">
        <f>SUMIFS(CT!$H$5:$H$143,CT!$D$5:$D$143,BTHCTVTHH!A189)</f>
        <v>0</v>
      </c>
      <c r="H189" s="69">
        <f>SUMIFS(CT!$F$5:$F$143,CT!$E$5:$E$143,BTHCTVTHH!A189)</f>
        <v>0</v>
      </c>
      <c r="I189" s="69">
        <f>SUMIFS(CT!$H$5:$H$143,CT!$E$5:$E$143,BTHCTVTHH!A189)</f>
        <v>0</v>
      </c>
      <c r="J189" s="69">
        <f t="shared" si="8"/>
        <v>0</v>
      </c>
      <c r="K189" s="69">
        <f t="shared" si="9"/>
        <v>130000000</v>
      </c>
      <c r="L189" s="69">
        <f t="shared" si="10"/>
        <v>0</v>
      </c>
      <c r="M189" s="65" t="b">
        <f t="shared" si="11"/>
        <v>0</v>
      </c>
    </row>
    <row r="190" spans="1:13" hidden="1" x14ac:dyDescent="0.25">
      <c r="A190" s="93" t="str">
        <f>DMTK!B188</f>
        <v>419</v>
      </c>
      <c r="B190" s="65" t="str">
        <f>VLOOKUP(A190,DMTK!$B$5:$Q$263,3,0)</f>
        <v>Cổ phiếu quỹ</v>
      </c>
      <c r="C190" s="65" t="str">
        <f>VLOOKUP(A190,DMTK!$B$5:$Q$263,16,0)</f>
        <v xml:space="preserve"> </v>
      </c>
      <c r="D190" s="69">
        <f>VLOOKUP(A190,DMTK!$B$5:$Q$263,4,0)</f>
        <v>0</v>
      </c>
      <c r="E190" s="69">
        <f>VLOOKUP(A190,DMTK!$B$5:$Q$263,5,0)</f>
        <v>9449000</v>
      </c>
      <c r="F190" s="69">
        <f>SUMIFS(CT!$F$5:$F$143,CT!$D$5:$D$143,BTHCTVTHH!A190)</f>
        <v>0</v>
      </c>
      <c r="G190" s="69">
        <f>SUMIFS(CT!$H$5:$H$143,CT!$D$5:$D$143,BTHCTVTHH!A190)</f>
        <v>0</v>
      </c>
      <c r="H190" s="69">
        <f>SUMIFS(CT!$F$5:$F$143,CT!$E$5:$E$143,BTHCTVTHH!A190)</f>
        <v>0</v>
      </c>
      <c r="I190" s="69">
        <f>SUMIFS(CT!$H$5:$H$143,CT!$E$5:$E$143,BTHCTVTHH!A190)</f>
        <v>0</v>
      </c>
      <c r="J190" s="69">
        <f t="shared" si="8"/>
        <v>0</v>
      </c>
      <c r="K190" s="69">
        <f t="shared" si="9"/>
        <v>9449000</v>
      </c>
      <c r="L190" s="69">
        <f t="shared" si="10"/>
        <v>0</v>
      </c>
      <c r="M190" s="65" t="b">
        <f t="shared" si="11"/>
        <v>0</v>
      </c>
    </row>
    <row r="191" spans="1:13" hidden="1" x14ac:dyDescent="0.25">
      <c r="A191" s="93" t="str">
        <f>DMTK!B189</f>
        <v>4211</v>
      </c>
      <c r="B191" s="65" t="str">
        <f>VLOOKUP(A191,DMTK!$B$5:$Q$263,3,0)</f>
        <v>Lợi nhuận sau thuế chưa phân phối năm trước</v>
      </c>
      <c r="C191" s="65" t="str">
        <f>VLOOKUP(A191,DMTK!$B$5:$Q$263,16,0)</f>
        <v xml:space="preserve"> </v>
      </c>
      <c r="D191" s="69">
        <f>VLOOKUP(A191,DMTK!$B$5:$Q$263,4,0)</f>
        <v>0</v>
      </c>
      <c r="E191" s="69">
        <f>VLOOKUP(A191,DMTK!$B$5:$Q$263,5,0)</f>
        <v>204410000</v>
      </c>
      <c r="F191" s="69">
        <f>SUMIFS(CT!$F$5:$F$143,CT!$D$5:$D$143,BTHCTVTHH!A191)</f>
        <v>0</v>
      </c>
      <c r="G191" s="69">
        <f>SUMIFS(CT!$H$5:$H$143,CT!$D$5:$D$143,BTHCTVTHH!A191)</f>
        <v>0</v>
      </c>
      <c r="H191" s="69">
        <f>SUMIFS(CT!$F$5:$F$143,CT!$E$5:$E$143,BTHCTVTHH!A191)</f>
        <v>0</v>
      </c>
      <c r="I191" s="69">
        <f>SUMIFS(CT!$H$5:$H$143,CT!$E$5:$E$143,BTHCTVTHH!A191)</f>
        <v>0</v>
      </c>
      <c r="J191" s="69">
        <f t="shared" si="8"/>
        <v>0</v>
      </c>
      <c r="K191" s="69">
        <f t="shared" si="9"/>
        <v>204410000</v>
      </c>
      <c r="L191" s="69">
        <f t="shared" si="10"/>
        <v>0</v>
      </c>
      <c r="M191" s="65" t="b">
        <f t="shared" si="11"/>
        <v>0</v>
      </c>
    </row>
    <row r="192" spans="1:13" hidden="1" x14ac:dyDescent="0.25">
      <c r="A192" s="93" t="str">
        <f>DMTK!B190</f>
        <v>4212</v>
      </c>
      <c r="B192" s="65" t="str">
        <f>VLOOKUP(A192,DMTK!$B$5:$Q$263,3,0)</f>
        <v>Lợi nhuận sau thuế chưa phân phối năm nay</v>
      </c>
      <c r="C192" s="65" t="str">
        <f>VLOOKUP(A192,DMTK!$B$5:$Q$263,16,0)</f>
        <v xml:space="preserve"> </v>
      </c>
      <c r="D192" s="69">
        <f>VLOOKUP(A192,DMTK!$B$5:$Q$263,4,0)</f>
        <v>0</v>
      </c>
      <c r="E192" s="69">
        <f>VLOOKUP(A192,DMTK!$B$5:$Q$263,5,0)</f>
        <v>0</v>
      </c>
      <c r="F192" s="69">
        <f>SUMIFS(CT!$F$5:$F$143,CT!$D$5:$D$143,BTHCTVTHH!A192)</f>
        <v>0</v>
      </c>
      <c r="G192" s="69">
        <f>SUMIFS(CT!$H$5:$H$143,CT!$D$5:$D$143,BTHCTVTHH!A192)</f>
        <v>3387852</v>
      </c>
      <c r="H192" s="69">
        <f>SUMIFS(CT!$F$5:$F$143,CT!$E$5:$E$143,BTHCTVTHH!A192)</f>
        <v>0</v>
      </c>
      <c r="I192" s="69">
        <f>SUMIFS(CT!$H$5:$H$143,CT!$E$5:$E$143,BTHCTVTHH!A192)</f>
        <v>2269619</v>
      </c>
      <c r="J192" s="69">
        <f t="shared" si="8"/>
        <v>0</v>
      </c>
      <c r="K192" s="69">
        <f t="shared" si="9"/>
        <v>1118233</v>
      </c>
      <c r="L192" s="69">
        <f t="shared" si="10"/>
        <v>0</v>
      </c>
      <c r="M192" s="65" t="b">
        <f t="shared" si="11"/>
        <v>0</v>
      </c>
    </row>
    <row r="193" spans="1:13" hidden="1" x14ac:dyDescent="0.25">
      <c r="A193" s="93" t="str">
        <f>DMTK!B191</f>
        <v>441</v>
      </c>
      <c r="B193" s="65" t="str">
        <f>VLOOKUP(A193,DMTK!$B$5:$Q$263,3,0)</f>
        <v>Nguồn vốn đầu tư xây dựng cơ bản</v>
      </c>
      <c r="C193" s="65" t="str">
        <f>VLOOKUP(A193,DMTK!$B$5:$Q$263,16,0)</f>
        <v xml:space="preserve"> </v>
      </c>
      <c r="D193" s="69">
        <f>VLOOKUP(A193,DMTK!$B$5:$Q$263,4,0)</f>
        <v>0</v>
      </c>
      <c r="E193" s="69">
        <f>VLOOKUP(A193,DMTK!$B$5:$Q$263,5,0)</f>
        <v>300000000</v>
      </c>
      <c r="F193" s="69">
        <f>SUMIFS(CT!$F$5:$F$143,CT!$D$5:$D$143,BTHCTVTHH!A193)</f>
        <v>0</v>
      </c>
      <c r="G193" s="69">
        <f>SUMIFS(CT!$H$5:$H$143,CT!$D$5:$D$143,BTHCTVTHH!A193)</f>
        <v>0</v>
      </c>
      <c r="H193" s="69">
        <f>SUMIFS(CT!$F$5:$F$143,CT!$E$5:$E$143,BTHCTVTHH!A193)</f>
        <v>0</v>
      </c>
      <c r="I193" s="69">
        <f>SUMIFS(CT!$H$5:$H$143,CT!$E$5:$E$143,BTHCTVTHH!A193)</f>
        <v>0</v>
      </c>
      <c r="J193" s="69">
        <f t="shared" si="8"/>
        <v>0</v>
      </c>
      <c r="K193" s="69">
        <f t="shared" si="9"/>
        <v>300000000</v>
      </c>
      <c r="L193" s="69">
        <f t="shared" si="10"/>
        <v>0</v>
      </c>
      <c r="M193" s="65" t="b">
        <f t="shared" si="11"/>
        <v>0</v>
      </c>
    </row>
    <row r="194" spans="1:13" hidden="1" x14ac:dyDescent="0.25">
      <c r="A194" s="93" t="str">
        <f>DMTK!B192</f>
        <v>461</v>
      </c>
      <c r="B194" s="65" t="str">
        <f>VLOOKUP(A194,DMTK!$B$5:$Q$263,3,0)</f>
        <v>Nguồn kinh phí sự nghiệp</v>
      </c>
      <c r="C194" s="65" t="str">
        <f>VLOOKUP(A194,DMTK!$B$5:$Q$263,16,0)</f>
        <v xml:space="preserve"> </v>
      </c>
      <c r="D194" s="69">
        <f>VLOOKUP(A194,DMTK!$B$5:$Q$263,4,0)</f>
        <v>0</v>
      </c>
      <c r="E194" s="69">
        <f>VLOOKUP(A194,DMTK!$B$5:$Q$263,5,0)</f>
        <v>0</v>
      </c>
      <c r="F194" s="69">
        <f>SUMIFS(CT!$F$5:$F$143,CT!$D$5:$D$143,BTHCTVTHH!A194)</f>
        <v>0</v>
      </c>
      <c r="G194" s="69">
        <f>SUMIFS(CT!$H$5:$H$143,CT!$D$5:$D$143,BTHCTVTHH!A194)</f>
        <v>0</v>
      </c>
      <c r="H194" s="69">
        <f>SUMIFS(CT!$F$5:$F$143,CT!$E$5:$E$143,BTHCTVTHH!A194)</f>
        <v>0</v>
      </c>
      <c r="I194" s="69">
        <f>SUMIFS(CT!$H$5:$H$143,CT!$E$5:$E$143,BTHCTVTHH!A194)</f>
        <v>0</v>
      </c>
      <c r="J194" s="69">
        <f t="shared" si="8"/>
        <v>0</v>
      </c>
      <c r="K194" s="69">
        <f t="shared" si="9"/>
        <v>0</v>
      </c>
      <c r="L194" s="69">
        <f t="shared" si="10"/>
        <v>0</v>
      </c>
      <c r="M194" s="65" t="b">
        <f t="shared" si="11"/>
        <v>0</v>
      </c>
    </row>
    <row r="195" spans="1:13" hidden="1" x14ac:dyDescent="0.25">
      <c r="A195" s="93" t="str">
        <f>DMTK!B193</f>
        <v>466</v>
      </c>
      <c r="B195" s="65" t="str">
        <f>VLOOKUP(A195,DMTK!$B$5:$Q$263,3,0)</f>
        <v>Nguồn kinh phí đã hình thành TSCĐ</v>
      </c>
      <c r="C195" s="65" t="str">
        <f>VLOOKUP(A195,DMTK!$B$5:$Q$263,16,0)</f>
        <v xml:space="preserve"> </v>
      </c>
      <c r="D195" s="69">
        <f>VLOOKUP(A195,DMTK!$B$5:$Q$263,4,0)</f>
        <v>0</v>
      </c>
      <c r="E195" s="69">
        <f>VLOOKUP(A195,DMTK!$B$5:$Q$263,5,0)</f>
        <v>0</v>
      </c>
      <c r="F195" s="69">
        <f>SUMIFS(CT!$F$5:$F$143,CT!$D$5:$D$143,BTHCTVTHH!A195)</f>
        <v>0</v>
      </c>
      <c r="G195" s="69">
        <f>SUMIFS(CT!$H$5:$H$143,CT!$D$5:$D$143,BTHCTVTHH!A195)</f>
        <v>0</v>
      </c>
      <c r="H195" s="69">
        <f>SUMIFS(CT!$F$5:$F$143,CT!$E$5:$E$143,BTHCTVTHH!A195)</f>
        <v>0</v>
      </c>
      <c r="I195" s="69">
        <f>SUMIFS(CT!$H$5:$H$143,CT!$E$5:$E$143,BTHCTVTHH!A195)</f>
        <v>0</v>
      </c>
      <c r="J195" s="69">
        <f t="shared" si="8"/>
        <v>0</v>
      </c>
      <c r="K195" s="69">
        <f t="shared" si="9"/>
        <v>0</v>
      </c>
      <c r="L195" s="69">
        <f t="shared" si="10"/>
        <v>0</v>
      </c>
      <c r="M195" s="65" t="b">
        <f t="shared" si="11"/>
        <v>0</v>
      </c>
    </row>
    <row r="196" spans="1:13" hidden="1" x14ac:dyDescent="0.25">
      <c r="A196" s="93" t="str">
        <f>DMTK!B194</f>
        <v>5111</v>
      </c>
      <c r="B196" s="65" t="str">
        <f>VLOOKUP(A196,DMTK!$B$5:$Q$263,3,0)</f>
        <v>Doanh thu bán hàng hóa</v>
      </c>
      <c r="C196" s="65" t="str">
        <f>VLOOKUP(A196,DMTK!$B$5:$Q$263,16,0)</f>
        <v xml:space="preserve"> </v>
      </c>
      <c r="D196" s="69">
        <f>VLOOKUP(A196,DMTK!$B$5:$Q$263,4,0)</f>
        <v>0</v>
      </c>
      <c r="E196" s="69">
        <f>VLOOKUP(A196,DMTK!$B$5:$Q$263,5,0)</f>
        <v>0</v>
      </c>
      <c r="F196" s="69">
        <f>SUMIFS(CT!$F$5:$F$143,CT!$D$5:$D$143,BTHCTVTHH!A196)</f>
        <v>0</v>
      </c>
      <c r="G196" s="69">
        <f>SUMIFS(CT!$H$5:$H$143,CT!$D$5:$D$143,BTHCTVTHH!A196)</f>
        <v>0</v>
      </c>
      <c r="H196" s="69">
        <f>SUMIFS(CT!$F$5:$F$143,CT!$E$5:$E$143,BTHCTVTHH!A196)</f>
        <v>0</v>
      </c>
      <c r="I196" s="69">
        <f>SUMIFS(CT!$H$5:$H$143,CT!$E$5:$E$143,BTHCTVTHH!A196)</f>
        <v>0</v>
      </c>
      <c r="J196" s="69">
        <f t="shared" si="8"/>
        <v>0</v>
      </c>
      <c r="K196" s="69">
        <f t="shared" si="9"/>
        <v>0</v>
      </c>
      <c r="L196" s="69">
        <f t="shared" si="10"/>
        <v>0</v>
      </c>
      <c r="M196" s="65" t="b">
        <f t="shared" si="11"/>
        <v>0</v>
      </c>
    </row>
    <row r="197" spans="1:13" hidden="1" x14ac:dyDescent="0.25">
      <c r="A197" s="93" t="str">
        <f>DMTK!B195</f>
        <v>5112.0101</v>
      </c>
      <c r="B197" s="65" t="str">
        <f>VLOOKUP(A197,DMTK!$B$5:$Q$263,3,0)</f>
        <v>Doanh thu bán Ghế tay vịn</v>
      </c>
      <c r="C197" s="65" t="str">
        <f>VLOOKUP(A197,DMTK!$B$5:$Q$263,16,0)</f>
        <v xml:space="preserve"> </v>
      </c>
      <c r="D197" s="69">
        <f>VLOOKUP(A197,DMTK!$B$5:$Q$263,4,0)</f>
        <v>0</v>
      </c>
      <c r="E197" s="69">
        <f>VLOOKUP(A197,DMTK!$B$5:$Q$263,5,0)</f>
        <v>0</v>
      </c>
      <c r="F197" s="69">
        <f>SUMIFS(CT!$F$5:$F$143,CT!$D$5:$D$143,BTHCTVTHH!A197)</f>
        <v>0</v>
      </c>
      <c r="G197" s="69">
        <f>SUMIFS(CT!$H$5:$H$143,CT!$D$5:$D$143,BTHCTVTHH!A197)</f>
        <v>30000000</v>
      </c>
      <c r="H197" s="69">
        <f>SUMIFS(CT!$F$5:$F$143,CT!$E$5:$E$143,BTHCTVTHH!A197)</f>
        <v>100</v>
      </c>
      <c r="I197" s="69">
        <f>SUMIFS(CT!$H$5:$H$143,CT!$E$5:$E$143,BTHCTVTHH!A197)</f>
        <v>30000000</v>
      </c>
      <c r="J197" s="69">
        <f t="shared" si="8"/>
        <v>-100</v>
      </c>
      <c r="K197" s="69">
        <f t="shared" si="9"/>
        <v>0</v>
      </c>
      <c r="L197" s="69">
        <f t="shared" si="10"/>
        <v>0</v>
      </c>
      <c r="M197" s="65" t="b">
        <f t="shared" si="11"/>
        <v>0</v>
      </c>
    </row>
    <row r="198" spans="1:13" hidden="1" x14ac:dyDescent="0.25">
      <c r="A198" s="93" t="str">
        <f>DMTK!B196</f>
        <v>5112.0102</v>
      </c>
      <c r="B198" s="65" t="str">
        <f>VLOOKUP(A198,DMTK!$B$5:$Q$263,3,0)</f>
        <v>Doanh thu bán Ghế không tay</v>
      </c>
      <c r="C198" s="65" t="str">
        <f>VLOOKUP(A198,DMTK!$B$5:$Q$263,16,0)</f>
        <v xml:space="preserve"> </v>
      </c>
      <c r="D198" s="69">
        <f>VLOOKUP(A198,DMTK!$B$5:$Q$263,4,0)</f>
        <v>0</v>
      </c>
      <c r="E198" s="69">
        <f>VLOOKUP(A198,DMTK!$B$5:$Q$263,5,0)</f>
        <v>0</v>
      </c>
      <c r="F198" s="69">
        <f>SUMIFS(CT!$F$5:$F$143,CT!$D$5:$D$143,BTHCTVTHH!A198)</f>
        <v>0</v>
      </c>
      <c r="G198" s="69">
        <f>SUMIFS(CT!$H$5:$H$143,CT!$D$5:$D$143,BTHCTVTHH!A198)</f>
        <v>28000000</v>
      </c>
      <c r="H198" s="69">
        <f>SUMIFS(CT!$F$5:$F$143,CT!$E$5:$E$143,BTHCTVTHH!A198)</f>
        <v>100</v>
      </c>
      <c r="I198" s="69">
        <f>SUMIFS(CT!$H$5:$H$143,CT!$E$5:$E$143,BTHCTVTHH!A198)</f>
        <v>28000000</v>
      </c>
      <c r="J198" s="69">
        <f t="shared" si="8"/>
        <v>-100</v>
      </c>
      <c r="K198" s="69">
        <f t="shared" si="9"/>
        <v>0</v>
      </c>
      <c r="L198" s="69">
        <f t="shared" si="10"/>
        <v>0</v>
      </c>
      <c r="M198" s="65" t="b">
        <f t="shared" si="11"/>
        <v>0</v>
      </c>
    </row>
    <row r="199" spans="1:13" hidden="1" x14ac:dyDescent="0.25">
      <c r="A199" s="93" t="str">
        <f>DMTK!B197</f>
        <v>5112.0201</v>
      </c>
      <c r="B199" s="65" t="str">
        <f>VLOOKUP(A199,DMTK!$B$5:$Q$263,3,0)</f>
        <v>Doanh thu bán  Bàn tròn</v>
      </c>
      <c r="C199" s="65" t="str">
        <f>VLOOKUP(A199,DMTK!$B$5:$Q$263,16,0)</f>
        <v xml:space="preserve"> </v>
      </c>
      <c r="D199" s="69">
        <f>VLOOKUP(A199,DMTK!$B$5:$Q$263,4,0)</f>
        <v>0</v>
      </c>
      <c r="E199" s="69">
        <f>VLOOKUP(A199,DMTK!$B$5:$Q$263,5,0)</f>
        <v>0</v>
      </c>
      <c r="F199" s="69">
        <f>SUMIFS(CT!$F$5:$F$143,CT!$D$5:$D$143,BTHCTVTHH!A199)</f>
        <v>0</v>
      </c>
      <c r="G199" s="69">
        <f>SUMIFS(CT!$H$5:$H$143,CT!$D$5:$D$143,BTHCTVTHH!A199)</f>
        <v>0</v>
      </c>
      <c r="H199" s="69">
        <f>SUMIFS(CT!$F$5:$F$143,CT!$E$5:$E$143,BTHCTVTHH!A199)</f>
        <v>0</v>
      </c>
      <c r="I199" s="69">
        <f>SUMIFS(CT!$H$5:$H$143,CT!$E$5:$E$143,BTHCTVTHH!A199)</f>
        <v>0</v>
      </c>
      <c r="J199" s="69">
        <f t="shared" si="8"/>
        <v>0</v>
      </c>
      <c r="K199" s="69">
        <f t="shared" si="9"/>
        <v>0</v>
      </c>
      <c r="L199" s="69">
        <f t="shared" si="10"/>
        <v>0</v>
      </c>
      <c r="M199" s="65" t="b">
        <f t="shared" si="11"/>
        <v>0</v>
      </c>
    </row>
    <row r="200" spans="1:13" hidden="1" x14ac:dyDescent="0.25">
      <c r="A200" s="93" t="str">
        <f>DMTK!B198</f>
        <v>5112.0202</v>
      </c>
      <c r="B200" s="65" t="str">
        <f>VLOOKUP(A200,DMTK!$B$5:$Q$263,3,0)</f>
        <v>Doanh thu bán Bàn oval</v>
      </c>
      <c r="C200" s="65" t="str">
        <f>VLOOKUP(A200,DMTK!$B$5:$Q$263,16,0)</f>
        <v xml:space="preserve"> </v>
      </c>
      <c r="D200" s="69">
        <f>VLOOKUP(A200,DMTK!$B$5:$Q$263,4,0)</f>
        <v>0</v>
      </c>
      <c r="E200" s="69">
        <f>VLOOKUP(A200,DMTK!$B$5:$Q$263,5,0)</f>
        <v>0</v>
      </c>
      <c r="F200" s="69">
        <f>SUMIFS(CT!$F$5:$F$143,CT!$D$5:$D$143,BTHCTVTHH!A200)</f>
        <v>0</v>
      </c>
      <c r="G200" s="69">
        <f>SUMIFS(CT!$H$5:$H$143,CT!$D$5:$D$143,BTHCTVTHH!A200)</f>
        <v>30000000</v>
      </c>
      <c r="H200" s="69">
        <f>SUMIFS(CT!$F$5:$F$143,CT!$E$5:$E$143,BTHCTVTHH!A200)</f>
        <v>50</v>
      </c>
      <c r="I200" s="69">
        <f>SUMIFS(CT!$H$5:$H$143,CT!$E$5:$E$143,BTHCTVTHH!A200)</f>
        <v>30000000</v>
      </c>
      <c r="J200" s="69">
        <f t="shared" ref="J200:J263" si="12">D200+F200-H200</f>
        <v>-50</v>
      </c>
      <c r="K200" s="69">
        <f t="shared" ref="K200:K263" si="13">E200+G200-I200</f>
        <v>0</v>
      </c>
      <c r="L200" s="69">
        <f t="shared" ref="L200:L263" si="14">IF(J200&lt;&gt;0,K200/J200,0)</f>
        <v>0</v>
      </c>
      <c r="M200" s="65" t="b">
        <f t="shared" ref="M200:M263" si="15">LEFT(A200,3)=$G$2</f>
        <v>0</v>
      </c>
    </row>
    <row r="201" spans="1:13" hidden="1" x14ac:dyDescent="0.25">
      <c r="A201" s="93" t="str">
        <f>DMTK!B199</f>
        <v>5112.0203</v>
      </c>
      <c r="B201" s="65" t="str">
        <f>VLOOKUP(A201,DMTK!$B$5:$Q$263,3,0)</f>
        <v>Doanh thu bán Bàn chữ nhật</v>
      </c>
      <c r="C201" s="65" t="str">
        <f>VLOOKUP(A201,DMTK!$B$5:$Q$263,16,0)</f>
        <v xml:space="preserve"> </v>
      </c>
      <c r="D201" s="69">
        <f>VLOOKUP(A201,DMTK!$B$5:$Q$263,4,0)</f>
        <v>0</v>
      </c>
      <c r="E201" s="69">
        <f>VLOOKUP(A201,DMTK!$B$5:$Q$263,5,0)</f>
        <v>0</v>
      </c>
      <c r="F201" s="69">
        <f>SUMIFS(CT!$F$5:$F$143,CT!$D$5:$D$143,BTHCTVTHH!A201)</f>
        <v>0</v>
      </c>
      <c r="G201" s="69">
        <f>SUMIFS(CT!$H$5:$H$143,CT!$D$5:$D$143,BTHCTVTHH!A201)</f>
        <v>0</v>
      </c>
      <c r="H201" s="69">
        <f>SUMIFS(CT!$F$5:$F$143,CT!$E$5:$E$143,BTHCTVTHH!A201)</f>
        <v>0</v>
      </c>
      <c r="I201" s="69">
        <f>SUMIFS(CT!$H$5:$H$143,CT!$E$5:$E$143,BTHCTVTHH!A201)</f>
        <v>0</v>
      </c>
      <c r="J201" s="69">
        <f t="shared" si="12"/>
        <v>0</v>
      </c>
      <c r="K201" s="69">
        <f t="shared" si="13"/>
        <v>0</v>
      </c>
      <c r="L201" s="69">
        <f t="shared" si="14"/>
        <v>0</v>
      </c>
      <c r="M201" s="65" t="b">
        <f t="shared" si="15"/>
        <v>0</v>
      </c>
    </row>
    <row r="202" spans="1:13" hidden="1" x14ac:dyDescent="0.25">
      <c r="A202" s="93" t="str">
        <f>DMTK!B200</f>
        <v>5113</v>
      </c>
      <c r="B202" s="65" t="str">
        <f>VLOOKUP(A202,DMTK!$B$5:$Q$263,3,0)</f>
        <v>Doanh thu cung cấp dịch vụ</v>
      </c>
      <c r="C202" s="65" t="str">
        <f>VLOOKUP(A202,DMTK!$B$5:$Q$263,16,0)</f>
        <v xml:space="preserve"> </v>
      </c>
      <c r="D202" s="69">
        <f>VLOOKUP(A202,DMTK!$B$5:$Q$263,4,0)</f>
        <v>0</v>
      </c>
      <c r="E202" s="69">
        <f>VLOOKUP(A202,DMTK!$B$5:$Q$263,5,0)</f>
        <v>0</v>
      </c>
      <c r="F202" s="69">
        <f>SUMIFS(CT!$F$5:$F$143,CT!$D$5:$D$143,BTHCTVTHH!A202)</f>
        <v>0</v>
      </c>
      <c r="G202" s="69">
        <f>SUMIFS(CT!$H$5:$H$143,CT!$D$5:$D$143,BTHCTVTHH!A202)</f>
        <v>0</v>
      </c>
      <c r="H202" s="69">
        <f>SUMIFS(CT!$F$5:$F$143,CT!$E$5:$E$143,BTHCTVTHH!A202)</f>
        <v>0</v>
      </c>
      <c r="I202" s="69">
        <f>SUMIFS(CT!$H$5:$H$143,CT!$E$5:$E$143,BTHCTVTHH!A202)</f>
        <v>0</v>
      </c>
      <c r="J202" s="69">
        <f t="shared" si="12"/>
        <v>0</v>
      </c>
      <c r="K202" s="69">
        <f t="shared" si="13"/>
        <v>0</v>
      </c>
      <c r="L202" s="69">
        <f t="shared" si="14"/>
        <v>0</v>
      </c>
      <c r="M202" s="65" t="b">
        <f t="shared" si="15"/>
        <v>0</v>
      </c>
    </row>
    <row r="203" spans="1:13" hidden="1" x14ac:dyDescent="0.25">
      <c r="A203" s="93" t="str">
        <f>DMTK!B201</f>
        <v>5114</v>
      </c>
      <c r="B203" s="65" t="str">
        <f>VLOOKUP(A203,DMTK!$B$5:$Q$263,3,0)</f>
        <v>Doanh thu trợ cấp, trợ giá</v>
      </c>
      <c r="C203" s="65" t="str">
        <f>VLOOKUP(A203,DMTK!$B$5:$Q$263,16,0)</f>
        <v xml:space="preserve"> </v>
      </c>
      <c r="D203" s="69">
        <f>VLOOKUP(A203,DMTK!$B$5:$Q$263,4,0)</f>
        <v>0</v>
      </c>
      <c r="E203" s="69">
        <f>VLOOKUP(A203,DMTK!$B$5:$Q$263,5,0)</f>
        <v>0</v>
      </c>
      <c r="F203" s="69">
        <f>SUMIFS(CT!$F$5:$F$143,CT!$D$5:$D$143,BTHCTVTHH!A203)</f>
        <v>0</v>
      </c>
      <c r="G203" s="69">
        <f>SUMIFS(CT!$H$5:$H$143,CT!$D$5:$D$143,BTHCTVTHH!A203)</f>
        <v>0</v>
      </c>
      <c r="H203" s="69">
        <f>SUMIFS(CT!$F$5:$F$143,CT!$E$5:$E$143,BTHCTVTHH!A203)</f>
        <v>0</v>
      </c>
      <c r="I203" s="69">
        <f>SUMIFS(CT!$H$5:$H$143,CT!$E$5:$E$143,BTHCTVTHH!A203)</f>
        <v>0</v>
      </c>
      <c r="J203" s="69">
        <f t="shared" si="12"/>
        <v>0</v>
      </c>
      <c r="K203" s="69">
        <f t="shared" si="13"/>
        <v>0</v>
      </c>
      <c r="L203" s="69">
        <f t="shared" si="14"/>
        <v>0</v>
      </c>
      <c r="M203" s="65" t="b">
        <f t="shared" si="15"/>
        <v>0</v>
      </c>
    </row>
    <row r="204" spans="1:13" hidden="1" x14ac:dyDescent="0.25">
      <c r="A204" s="93" t="str">
        <f>DMTK!B202</f>
        <v>5117</v>
      </c>
      <c r="B204" s="65" t="str">
        <f>VLOOKUP(A204,DMTK!$B$5:$Q$263,3,0)</f>
        <v>Doanh thu kinh doanh bất động sản đầu tư</v>
      </c>
      <c r="C204" s="65" t="str">
        <f>VLOOKUP(A204,DMTK!$B$5:$Q$263,16,0)</f>
        <v xml:space="preserve"> </v>
      </c>
      <c r="D204" s="69">
        <f>VLOOKUP(A204,DMTK!$B$5:$Q$263,4,0)</f>
        <v>0</v>
      </c>
      <c r="E204" s="69">
        <f>VLOOKUP(A204,DMTK!$B$5:$Q$263,5,0)</f>
        <v>0</v>
      </c>
      <c r="F204" s="69">
        <f>SUMIFS(CT!$F$5:$F$143,CT!$D$5:$D$143,BTHCTVTHH!A204)</f>
        <v>0</v>
      </c>
      <c r="G204" s="69">
        <f>SUMIFS(CT!$H$5:$H$143,CT!$D$5:$D$143,BTHCTVTHH!A204)</f>
        <v>0</v>
      </c>
      <c r="H204" s="69">
        <f>SUMIFS(CT!$F$5:$F$143,CT!$E$5:$E$143,BTHCTVTHH!A204)</f>
        <v>0</v>
      </c>
      <c r="I204" s="69">
        <f>SUMIFS(CT!$H$5:$H$143,CT!$E$5:$E$143,BTHCTVTHH!A204)</f>
        <v>0</v>
      </c>
      <c r="J204" s="69">
        <f t="shared" si="12"/>
        <v>0</v>
      </c>
      <c r="K204" s="69">
        <f t="shared" si="13"/>
        <v>0</v>
      </c>
      <c r="L204" s="69">
        <f t="shared" si="14"/>
        <v>0</v>
      </c>
      <c r="M204" s="65" t="b">
        <f t="shared" si="15"/>
        <v>0</v>
      </c>
    </row>
    <row r="205" spans="1:13" hidden="1" x14ac:dyDescent="0.25">
      <c r="A205" s="93" t="str">
        <f>DMTK!B203</f>
        <v>515</v>
      </c>
      <c r="B205" s="65" t="str">
        <f>VLOOKUP(A205,DMTK!$B$5:$Q$263,3,0)</f>
        <v>Doanh thu hoạt động tài chính</v>
      </c>
      <c r="C205" s="65" t="str">
        <f>VLOOKUP(A205,DMTK!$B$5:$Q$263,16,0)</f>
        <v xml:space="preserve"> </v>
      </c>
      <c r="D205" s="69">
        <f>VLOOKUP(A205,DMTK!$B$5:$Q$263,4,0)</f>
        <v>0</v>
      </c>
      <c r="E205" s="69">
        <f>VLOOKUP(A205,DMTK!$B$5:$Q$263,5,0)</f>
        <v>0</v>
      </c>
      <c r="F205" s="69">
        <f>SUMIFS(CT!$F$5:$F$143,CT!$D$5:$D$143,BTHCTVTHH!A205)</f>
        <v>0</v>
      </c>
      <c r="G205" s="69">
        <f>SUMIFS(CT!$H$5:$H$143,CT!$D$5:$D$143,BTHCTVTHH!A205)</f>
        <v>0</v>
      </c>
      <c r="H205" s="69">
        <f>SUMIFS(CT!$F$5:$F$143,CT!$E$5:$E$143,BTHCTVTHH!A205)</f>
        <v>0</v>
      </c>
      <c r="I205" s="69">
        <f>SUMIFS(CT!$H$5:$H$143,CT!$E$5:$E$143,BTHCTVTHH!A205)</f>
        <v>0</v>
      </c>
      <c r="J205" s="69">
        <f t="shared" si="12"/>
        <v>0</v>
      </c>
      <c r="K205" s="69">
        <f t="shared" si="13"/>
        <v>0</v>
      </c>
      <c r="L205" s="69">
        <f t="shared" si="14"/>
        <v>0</v>
      </c>
      <c r="M205" s="65" t="b">
        <f t="shared" si="15"/>
        <v>0</v>
      </c>
    </row>
    <row r="206" spans="1:13" hidden="1" x14ac:dyDescent="0.25">
      <c r="A206" s="93" t="str">
        <f>DMTK!B204</f>
        <v>5211</v>
      </c>
      <c r="B206" s="65" t="str">
        <f>VLOOKUP(A206,DMTK!$B$5:$Q$263,3,0)</f>
        <v>Chiết khấu thương mại</v>
      </c>
      <c r="C206" s="65" t="str">
        <f>VLOOKUP(A206,DMTK!$B$5:$Q$263,16,0)</f>
        <v xml:space="preserve"> </v>
      </c>
      <c r="D206" s="69">
        <f>VLOOKUP(A206,DMTK!$B$5:$Q$263,4,0)</f>
        <v>0</v>
      </c>
      <c r="E206" s="69">
        <f>VLOOKUP(A206,DMTK!$B$5:$Q$263,5,0)</f>
        <v>0</v>
      </c>
      <c r="F206" s="69">
        <f>SUMIFS(CT!$F$5:$F$143,CT!$D$5:$D$143,BTHCTVTHH!A206)</f>
        <v>0</v>
      </c>
      <c r="G206" s="69">
        <f>SUMIFS(CT!$H$5:$H$143,CT!$D$5:$D$143,BTHCTVTHH!A206)</f>
        <v>0</v>
      </c>
      <c r="H206" s="69">
        <f>SUMIFS(CT!$F$5:$F$143,CT!$E$5:$E$143,BTHCTVTHH!A206)</f>
        <v>0</v>
      </c>
      <c r="I206" s="69">
        <f>SUMIFS(CT!$H$5:$H$143,CT!$E$5:$E$143,BTHCTVTHH!A206)</f>
        <v>0</v>
      </c>
      <c r="J206" s="69">
        <f t="shared" si="12"/>
        <v>0</v>
      </c>
      <c r="K206" s="69">
        <f t="shared" si="13"/>
        <v>0</v>
      </c>
      <c r="L206" s="69">
        <f t="shared" si="14"/>
        <v>0</v>
      </c>
      <c r="M206" s="65" t="b">
        <f t="shared" si="15"/>
        <v>0</v>
      </c>
    </row>
    <row r="207" spans="1:13" hidden="1" x14ac:dyDescent="0.25">
      <c r="A207" s="93" t="str">
        <f>DMTK!B205</f>
        <v>5212</v>
      </c>
      <c r="B207" s="65" t="str">
        <f>VLOOKUP(A207,DMTK!$B$5:$Q$263,3,0)</f>
        <v>Giảm giá hàng bán</v>
      </c>
      <c r="C207" s="65" t="str">
        <f>VLOOKUP(A207,DMTK!$B$5:$Q$263,16,0)</f>
        <v xml:space="preserve"> </v>
      </c>
      <c r="D207" s="69">
        <f>VLOOKUP(A207,DMTK!$B$5:$Q$263,4,0)</f>
        <v>0</v>
      </c>
      <c r="E207" s="69">
        <f>VLOOKUP(A207,DMTK!$B$5:$Q$263,5,0)</f>
        <v>0</v>
      </c>
      <c r="F207" s="69">
        <f>SUMIFS(CT!$F$5:$F$143,CT!$D$5:$D$143,BTHCTVTHH!A207)</f>
        <v>0</v>
      </c>
      <c r="G207" s="69">
        <f>SUMIFS(CT!$H$5:$H$143,CT!$D$5:$D$143,BTHCTVTHH!A207)</f>
        <v>0</v>
      </c>
      <c r="H207" s="69">
        <f>SUMIFS(CT!$F$5:$F$143,CT!$E$5:$E$143,BTHCTVTHH!A207)</f>
        <v>0</v>
      </c>
      <c r="I207" s="69">
        <f>SUMIFS(CT!$H$5:$H$143,CT!$E$5:$E$143,BTHCTVTHH!A207)</f>
        <v>0</v>
      </c>
      <c r="J207" s="69">
        <f t="shared" si="12"/>
        <v>0</v>
      </c>
      <c r="K207" s="69">
        <f t="shared" si="13"/>
        <v>0</v>
      </c>
      <c r="L207" s="69">
        <f t="shared" si="14"/>
        <v>0</v>
      </c>
      <c r="M207" s="65" t="b">
        <f t="shared" si="15"/>
        <v>0</v>
      </c>
    </row>
    <row r="208" spans="1:13" hidden="1" x14ac:dyDescent="0.25">
      <c r="A208" s="93" t="str">
        <f>DMTK!B206</f>
        <v>5213</v>
      </c>
      <c r="B208" s="65" t="str">
        <f>VLOOKUP(A208,DMTK!$B$5:$Q$263,3,0)</f>
        <v>Hàng bán bị trả lại</v>
      </c>
      <c r="C208" s="65" t="str">
        <f>VLOOKUP(A208,DMTK!$B$5:$Q$263,16,0)</f>
        <v xml:space="preserve"> </v>
      </c>
      <c r="D208" s="69">
        <f>VLOOKUP(A208,DMTK!$B$5:$Q$263,4,0)</f>
        <v>0</v>
      </c>
      <c r="E208" s="69">
        <f>VLOOKUP(A208,DMTK!$B$5:$Q$263,5,0)</f>
        <v>0</v>
      </c>
      <c r="F208" s="69">
        <f>SUMIFS(CT!$F$5:$F$143,CT!$D$5:$D$143,BTHCTVTHH!A208)</f>
        <v>0</v>
      </c>
      <c r="G208" s="69">
        <f>SUMIFS(CT!$H$5:$H$143,CT!$D$5:$D$143,BTHCTVTHH!A208)</f>
        <v>0</v>
      </c>
      <c r="H208" s="69">
        <f>SUMIFS(CT!$F$5:$F$143,CT!$E$5:$E$143,BTHCTVTHH!A208)</f>
        <v>0</v>
      </c>
      <c r="I208" s="69">
        <f>SUMIFS(CT!$H$5:$H$143,CT!$E$5:$E$143,BTHCTVTHH!A208)</f>
        <v>0</v>
      </c>
      <c r="J208" s="69">
        <f t="shared" si="12"/>
        <v>0</v>
      </c>
      <c r="K208" s="69">
        <f t="shared" si="13"/>
        <v>0</v>
      </c>
      <c r="L208" s="69">
        <f t="shared" si="14"/>
        <v>0</v>
      </c>
      <c r="M208" s="65" t="b">
        <f t="shared" si="15"/>
        <v>0</v>
      </c>
    </row>
    <row r="209" spans="1:13" hidden="1" x14ac:dyDescent="0.25">
      <c r="A209" s="93" t="str">
        <f>DMTK!B207</f>
        <v>6111</v>
      </c>
      <c r="B209" s="65" t="str">
        <f>VLOOKUP(A209,DMTK!$B$5:$Q$263,3,0)</f>
        <v>Mua nguyên liệu, vật liệu</v>
      </c>
      <c r="C209" s="65" t="str">
        <f>VLOOKUP(A209,DMTK!$B$5:$Q$263,16,0)</f>
        <v xml:space="preserve"> </v>
      </c>
      <c r="D209" s="69">
        <f>VLOOKUP(A209,DMTK!$B$5:$Q$263,4,0)</f>
        <v>0</v>
      </c>
      <c r="E209" s="69">
        <f>VLOOKUP(A209,DMTK!$B$5:$Q$263,5,0)</f>
        <v>0</v>
      </c>
      <c r="F209" s="69">
        <f>SUMIFS(CT!$F$5:$F$143,CT!$D$5:$D$143,BTHCTVTHH!A209)</f>
        <v>0</v>
      </c>
      <c r="G209" s="69">
        <f>SUMIFS(CT!$H$5:$H$143,CT!$D$5:$D$143,BTHCTVTHH!A209)</f>
        <v>0</v>
      </c>
      <c r="H209" s="69">
        <f>SUMIFS(CT!$F$5:$F$143,CT!$E$5:$E$143,BTHCTVTHH!A209)</f>
        <v>0</v>
      </c>
      <c r="I209" s="69">
        <f>SUMIFS(CT!$H$5:$H$143,CT!$E$5:$E$143,BTHCTVTHH!A209)</f>
        <v>0</v>
      </c>
      <c r="J209" s="69">
        <f t="shared" si="12"/>
        <v>0</v>
      </c>
      <c r="K209" s="69">
        <f t="shared" si="13"/>
        <v>0</v>
      </c>
      <c r="L209" s="69">
        <f t="shared" si="14"/>
        <v>0</v>
      </c>
      <c r="M209" s="65" t="b">
        <f t="shared" si="15"/>
        <v>0</v>
      </c>
    </row>
    <row r="210" spans="1:13" hidden="1" x14ac:dyDescent="0.25">
      <c r="A210" s="93" t="str">
        <f>DMTK!B208</f>
        <v>6112</v>
      </c>
      <c r="B210" s="65" t="str">
        <f>VLOOKUP(A210,DMTK!$B$5:$Q$263,3,0)</f>
        <v>Mua hàng hóa</v>
      </c>
      <c r="C210" s="65" t="str">
        <f>VLOOKUP(A210,DMTK!$B$5:$Q$263,16,0)</f>
        <v xml:space="preserve"> </v>
      </c>
      <c r="D210" s="69">
        <f>VLOOKUP(A210,DMTK!$B$5:$Q$263,4,0)</f>
        <v>0</v>
      </c>
      <c r="E210" s="69">
        <f>VLOOKUP(A210,DMTK!$B$5:$Q$263,5,0)</f>
        <v>0</v>
      </c>
      <c r="F210" s="69">
        <f>SUMIFS(CT!$F$5:$F$143,CT!$D$5:$D$143,BTHCTVTHH!A210)</f>
        <v>0</v>
      </c>
      <c r="G210" s="69">
        <f>SUMIFS(CT!$H$5:$H$143,CT!$D$5:$D$143,BTHCTVTHH!A210)</f>
        <v>0</v>
      </c>
      <c r="H210" s="69">
        <f>SUMIFS(CT!$F$5:$F$143,CT!$E$5:$E$143,BTHCTVTHH!A210)</f>
        <v>0</v>
      </c>
      <c r="I210" s="69">
        <f>SUMIFS(CT!$H$5:$H$143,CT!$E$5:$E$143,BTHCTVTHH!A210)</f>
        <v>0</v>
      </c>
      <c r="J210" s="69">
        <f t="shared" si="12"/>
        <v>0</v>
      </c>
      <c r="K210" s="69">
        <f t="shared" si="13"/>
        <v>0</v>
      </c>
      <c r="L210" s="69">
        <f t="shared" si="14"/>
        <v>0</v>
      </c>
      <c r="M210" s="65" t="b">
        <f t="shared" si="15"/>
        <v>0</v>
      </c>
    </row>
    <row r="211" spans="1:13" hidden="1" x14ac:dyDescent="0.25">
      <c r="A211" s="93" t="str">
        <f>DMTK!B209</f>
        <v>6211.01</v>
      </c>
      <c r="B211" s="65" t="str">
        <f>VLOOKUP(A211,DMTK!$B$5:$Q$263,3,0)</f>
        <v>CFNVL Ghế tay vịn</v>
      </c>
      <c r="C211" s="65" t="str">
        <f>VLOOKUP(A211,DMTK!$B$5:$Q$263,16,0)</f>
        <v xml:space="preserve"> </v>
      </c>
      <c r="D211" s="69">
        <f>VLOOKUP(A211,DMTK!$B$5:$Q$263,4,0)</f>
        <v>0</v>
      </c>
      <c r="E211" s="69">
        <f>VLOOKUP(A211,DMTK!$B$5:$Q$263,5,0)</f>
        <v>0</v>
      </c>
      <c r="F211" s="69">
        <f>SUMIFS(CT!$F$5:$F$143,CT!$D$5:$D$143,BTHCTVTHH!A211)</f>
        <v>64</v>
      </c>
      <c r="G211" s="69">
        <f>SUMIFS(CT!$H$5:$H$143,CT!$D$5:$D$143,BTHCTVTHH!A211)</f>
        <v>14432200</v>
      </c>
      <c r="H211" s="69">
        <f>SUMIFS(CT!$F$5:$F$143,CT!$E$5:$E$143,BTHCTVTHH!A211)</f>
        <v>0</v>
      </c>
      <c r="I211" s="69">
        <f>SUMIFS(CT!$H$5:$H$143,CT!$E$5:$E$143,BTHCTVTHH!A211)</f>
        <v>14432200</v>
      </c>
      <c r="J211" s="69">
        <f t="shared" si="12"/>
        <v>64</v>
      </c>
      <c r="K211" s="69">
        <f t="shared" si="13"/>
        <v>0</v>
      </c>
      <c r="L211" s="69">
        <f t="shared" si="14"/>
        <v>0</v>
      </c>
      <c r="M211" s="65" t="b">
        <f t="shared" si="15"/>
        <v>0</v>
      </c>
    </row>
    <row r="212" spans="1:13" hidden="1" x14ac:dyDescent="0.25">
      <c r="A212" s="93" t="str">
        <f>DMTK!B210</f>
        <v>6211.02</v>
      </c>
      <c r="B212" s="65" t="str">
        <f>VLOOKUP(A212,DMTK!$B$5:$Q$263,3,0)</f>
        <v>CFNVL Ghế không tay</v>
      </c>
      <c r="C212" s="65" t="str">
        <f>VLOOKUP(A212,DMTK!$B$5:$Q$263,16,0)</f>
        <v xml:space="preserve"> </v>
      </c>
      <c r="D212" s="69">
        <f>VLOOKUP(A212,DMTK!$B$5:$Q$263,4,0)</f>
        <v>0</v>
      </c>
      <c r="E212" s="69">
        <f>VLOOKUP(A212,DMTK!$B$5:$Q$263,5,0)</f>
        <v>0</v>
      </c>
      <c r="F212" s="69">
        <f>SUMIFS(CT!$F$5:$F$143,CT!$D$5:$D$143,BTHCTVTHH!A212)</f>
        <v>0</v>
      </c>
      <c r="G212" s="69">
        <f>SUMIFS(CT!$H$5:$H$143,CT!$D$5:$D$143,BTHCTVTHH!A212)</f>
        <v>0</v>
      </c>
      <c r="H212" s="69">
        <f>SUMIFS(CT!$F$5:$F$143,CT!$E$5:$E$143,BTHCTVTHH!A212)</f>
        <v>0</v>
      </c>
      <c r="I212" s="69">
        <f>SUMIFS(CT!$H$5:$H$143,CT!$E$5:$E$143,BTHCTVTHH!A212)</f>
        <v>0</v>
      </c>
      <c r="J212" s="69">
        <f t="shared" si="12"/>
        <v>0</v>
      </c>
      <c r="K212" s="69">
        <f t="shared" si="13"/>
        <v>0</v>
      </c>
      <c r="L212" s="69">
        <f t="shared" si="14"/>
        <v>0</v>
      </c>
      <c r="M212" s="65" t="b">
        <f t="shared" si="15"/>
        <v>0</v>
      </c>
    </row>
    <row r="213" spans="1:13" hidden="1" x14ac:dyDescent="0.25">
      <c r="A213" s="93" t="str">
        <f>DMTK!B211</f>
        <v>6211.03</v>
      </c>
      <c r="B213" s="65" t="str">
        <f>VLOOKUP(A213,DMTK!$B$5:$Q$263,3,0)</f>
        <v>CFNVL Bàn tròn</v>
      </c>
      <c r="C213" s="65" t="str">
        <f>VLOOKUP(A213,DMTK!$B$5:$Q$263,16,0)</f>
        <v xml:space="preserve"> </v>
      </c>
      <c r="D213" s="69">
        <f>VLOOKUP(A213,DMTK!$B$5:$Q$263,4,0)</f>
        <v>0</v>
      </c>
      <c r="E213" s="69">
        <f>VLOOKUP(A213,DMTK!$B$5:$Q$263,5,0)</f>
        <v>0</v>
      </c>
      <c r="F213" s="69">
        <f>SUMIFS(CT!$F$5:$F$143,CT!$D$5:$D$143,BTHCTVTHH!A213)</f>
        <v>50</v>
      </c>
      <c r="G213" s="69">
        <f>SUMIFS(CT!$H$5:$H$143,CT!$D$5:$D$143,BTHCTVTHH!A213)</f>
        <v>3646000</v>
      </c>
      <c r="H213" s="69">
        <f>SUMIFS(CT!$F$5:$F$143,CT!$E$5:$E$143,BTHCTVTHH!A213)</f>
        <v>0</v>
      </c>
      <c r="I213" s="69">
        <f>SUMIFS(CT!$H$5:$H$143,CT!$E$5:$E$143,BTHCTVTHH!A213)</f>
        <v>3646000</v>
      </c>
      <c r="J213" s="69">
        <f t="shared" si="12"/>
        <v>50</v>
      </c>
      <c r="K213" s="69">
        <f t="shared" si="13"/>
        <v>0</v>
      </c>
      <c r="L213" s="69">
        <f t="shared" si="14"/>
        <v>0</v>
      </c>
      <c r="M213" s="65" t="b">
        <f t="shared" si="15"/>
        <v>0</v>
      </c>
    </row>
    <row r="214" spans="1:13" hidden="1" x14ac:dyDescent="0.25">
      <c r="A214" s="93" t="str">
        <f>DMTK!B212</f>
        <v>6211.04</v>
      </c>
      <c r="B214" s="65" t="str">
        <f>VLOOKUP(A214,DMTK!$B$5:$Q$263,3,0)</f>
        <v>CFNVL Bàn oval</v>
      </c>
      <c r="C214" s="65" t="str">
        <f>VLOOKUP(A214,DMTK!$B$5:$Q$263,16,0)</f>
        <v xml:space="preserve"> </v>
      </c>
      <c r="D214" s="69">
        <f>VLOOKUP(A214,DMTK!$B$5:$Q$263,4,0)</f>
        <v>0</v>
      </c>
      <c r="E214" s="69">
        <f>VLOOKUP(A214,DMTK!$B$5:$Q$263,5,0)</f>
        <v>0</v>
      </c>
      <c r="F214" s="69">
        <f>SUMIFS(CT!$F$5:$F$143,CT!$D$5:$D$143,BTHCTVTHH!A214)</f>
        <v>0</v>
      </c>
      <c r="G214" s="69">
        <f>SUMIFS(CT!$H$5:$H$143,CT!$D$5:$D$143,BTHCTVTHH!A214)</f>
        <v>0</v>
      </c>
      <c r="H214" s="69">
        <f>SUMIFS(CT!$F$5:$F$143,CT!$E$5:$E$143,BTHCTVTHH!A214)</f>
        <v>0</v>
      </c>
      <c r="I214" s="69">
        <f>SUMIFS(CT!$H$5:$H$143,CT!$E$5:$E$143,BTHCTVTHH!A214)</f>
        <v>0</v>
      </c>
      <c r="J214" s="69">
        <f t="shared" si="12"/>
        <v>0</v>
      </c>
      <c r="K214" s="69">
        <f t="shared" si="13"/>
        <v>0</v>
      </c>
      <c r="L214" s="69">
        <f t="shared" si="14"/>
        <v>0</v>
      </c>
      <c r="M214" s="65" t="b">
        <f t="shared" si="15"/>
        <v>0</v>
      </c>
    </row>
    <row r="215" spans="1:13" hidden="1" x14ac:dyDescent="0.25">
      <c r="A215" s="93" t="str">
        <f>DMTK!B213</f>
        <v>6211.05</v>
      </c>
      <c r="B215" s="65" t="str">
        <f>VLOOKUP(A215,DMTK!$B$5:$Q$263,3,0)</f>
        <v>CFNVL Bàn chữ nhật</v>
      </c>
      <c r="C215" s="65" t="str">
        <f>VLOOKUP(A215,DMTK!$B$5:$Q$263,16,0)</f>
        <v xml:space="preserve"> </v>
      </c>
      <c r="D215" s="69">
        <f>VLOOKUP(A215,DMTK!$B$5:$Q$263,4,0)</f>
        <v>0</v>
      </c>
      <c r="E215" s="69">
        <f>VLOOKUP(A215,DMTK!$B$5:$Q$263,5,0)</f>
        <v>0</v>
      </c>
      <c r="F215" s="69">
        <f>SUMIFS(CT!$F$5:$F$143,CT!$D$5:$D$143,BTHCTVTHH!A215)</f>
        <v>0</v>
      </c>
      <c r="G215" s="69">
        <f>SUMIFS(CT!$H$5:$H$143,CT!$D$5:$D$143,BTHCTVTHH!A215)</f>
        <v>0</v>
      </c>
      <c r="H215" s="69">
        <f>SUMIFS(CT!$F$5:$F$143,CT!$E$5:$E$143,BTHCTVTHH!A215)</f>
        <v>0</v>
      </c>
      <c r="I215" s="69">
        <f>SUMIFS(CT!$H$5:$H$143,CT!$E$5:$E$143,BTHCTVTHH!A215)</f>
        <v>0</v>
      </c>
      <c r="J215" s="69">
        <f t="shared" si="12"/>
        <v>0</v>
      </c>
      <c r="K215" s="69">
        <f t="shared" si="13"/>
        <v>0</v>
      </c>
      <c r="L215" s="69">
        <f t="shared" si="14"/>
        <v>0</v>
      </c>
      <c r="M215" s="65" t="b">
        <f t="shared" si="15"/>
        <v>0</v>
      </c>
    </row>
    <row r="216" spans="1:13" hidden="1" x14ac:dyDescent="0.25">
      <c r="A216" s="93" t="str">
        <f>DMTK!B214</f>
        <v>622.01</v>
      </c>
      <c r="B216" s="65" t="str">
        <f>VLOOKUP(A216,DMTK!$B$5:$Q$263,3,0)</f>
        <v>CFNC Ghế tay vịn</v>
      </c>
      <c r="C216" s="65" t="str">
        <f>VLOOKUP(A216,DMTK!$B$5:$Q$263,16,0)</f>
        <v xml:space="preserve"> </v>
      </c>
      <c r="D216" s="69">
        <f>VLOOKUP(A216,DMTK!$B$5:$Q$263,4,0)</f>
        <v>0</v>
      </c>
      <c r="E216" s="69">
        <f>VLOOKUP(A216,DMTK!$B$5:$Q$263,5,0)</f>
        <v>0</v>
      </c>
      <c r="F216" s="69">
        <f>SUMIFS(CT!$F$5:$F$143,CT!$D$5:$D$143,BTHCTVTHH!A216)</f>
        <v>0</v>
      </c>
      <c r="G216" s="69">
        <f>SUMIFS(CT!$H$5:$H$143,CT!$D$5:$D$143,BTHCTVTHH!A216)</f>
        <v>48800000</v>
      </c>
      <c r="H216" s="69">
        <f>SUMIFS(CT!$F$5:$F$143,CT!$E$5:$E$143,BTHCTVTHH!A216)</f>
        <v>0</v>
      </c>
      <c r="I216" s="69">
        <f>SUMIFS(CT!$H$5:$H$143,CT!$E$5:$E$143,BTHCTVTHH!A216)</f>
        <v>48800000</v>
      </c>
      <c r="J216" s="69">
        <f t="shared" si="12"/>
        <v>0</v>
      </c>
      <c r="K216" s="69">
        <f t="shared" si="13"/>
        <v>0</v>
      </c>
      <c r="L216" s="69">
        <f t="shared" si="14"/>
        <v>0</v>
      </c>
      <c r="M216" s="65" t="b">
        <f t="shared" si="15"/>
        <v>0</v>
      </c>
    </row>
    <row r="217" spans="1:13" hidden="1" x14ac:dyDescent="0.25">
      <c r="A217" s="93" t="str">
        <f>DMTK!B215</f>
        <v>622.02</v>
      </c>
      <c r="B217" s="65" t="str">
        <f>VLOOKUP(A217,DMTK!$B$5:$Q$263,3,0)</f>
        <v>CFNC Ghế không tay</v>
      </c>
      <c r="C217" s="65" t="str">
        <f>VLOOKUP(A217,DMTK!$B$5:$Q$263,16,0)</f>
        <v xml:space="preserve"> </v>
      </c>
      <c r="D217" s="69">
        <f>VLOOKUP(A217,DMTK!$B$5:$Q$263,4,0)</f>
        <v>0</v>
      </c>
      <c r="E217" s="69">
        <f>VLOOKUP(A217,DMTK!$B$5:$Q$263,5,0)</f>
        <v>0</v>
      </c>
      <c r="F217" s="69">
        <f>SUMIFS(CT!$F$5:$F$143,CT!$D$5:$D$143,BTHCTVTHH!A217)</f>
        <v>0</v>
      </c>
      <c r="G217" s="69">
        <f>SUMIFS(CT!$H$5:$H$143,CT!$D$5:$D$143,BTHCTVTHH!A217)</f>
        <v>48800000</v>
      </c>
      <c r="H217" s="69">
        <f>SUMIFS(CT!$F$5:$F$143,CT!$E$5:$E$143,BTHCTVTHH!A217)</f>
        <v>0</v>
      </c>
      <c r="I217" s="69">
        <f>SUMIFS(CT!$H$5:$H$143,CT!$E$5:$E$143,BTHCTVTHH!A217)</f>
        <v>48800000</v>
      </c>
      <c r="J217" s="69">
        <f t="shared" si="12"/>
        <v>0</v>
      </c>
      <c r="K217" s="69">
        <f t="shared" si="13"/>
        <v>0</v>
      </c>
      <c r="L217" s="69">
        <f t="shared" si="14"/>
        <v>0</v>
      </c>
      <c r="M217" s="65" t="b">
        <f t="shared" si="15"/>
        <v>0</v>
      </c>
    </row>
    <row r="218" spans="1:13" hidden="1" x14ac:dyDescent="0.25">
      <c r="A218" s="93" t="str">
        <f>DMTK!B216</f>
        <v>622.03</v>
      </c>
      <c r="B218" s="65" t="str">
        <f>VLOOKUP(A218,DMTK!$B$5:$Q$263,3,0)</f>
        <v>CFNC Bàn tròn</v>
      </c>
      <c r="C218" s="65" t="str">
        <f>VLOOKUP(A218,DMTK!$B$5:$Q$263,16,0)</f>
        <v xml:space="preserve"> </v>
      </c>
      <c r="D218" s="69">
        <f>VLOOKUP(A218,DMTK!$B$5:$Q$263,4,0)</f>
        <v>0</v>
      </c>
      <c r="E218" s="69">
        <f>VLOOKUP(A218,DMTK!$B$5:$Q$263,5,0)</f>
        <v>0</v>
      </c>
      <c r="F218" s="69">
        <f>SUMIFS(CT!$F$5:$F$143,CT!$D$5:$D$143,BTHCTVTHH!A218)</f>
        <v>0</v>
      </c>
      <c r="G218" s="69">
        <f>SUMIFS(CT!$H$5:$H$143,CT!$D$5:$D$143,BTHCTVTHH!A218)</f>
        <v>48800000</v>
      </c>
      <c r="H218" s="69">
        <f>SUMIFS(CT!$F$5:$F$143,CT!$E$5:$E$143,BTHCTVTHH!A218)</f>
        <v>0</v>
      </c>
      <c r="I218" s="69">
        <f>SUMIFS(CT!$H$5:$H$143,CT!$E$5:$E$143,BTHCTVTHH!A218)</f>
        <v>48800000</v>
      </c>
      <c r="J218" s="69">
        <f t="shared" si="12"/>
        <v>0</v>
      </c>
      <c r="K218" s="69">
        <f t="shared" si="13"/>
        <v>0</v>
      </c>
      <c r="L218" s="69">
        <f t="shared" si="14"/>
        <v>0</v>
      </c>
      <c r="M218" s="65" t="b">
        <f t="shared" si="15"/>
        <v>0</v>
      </c>
    </row>
    <row r="219" spans="1:13" hidden="1" x14ac:dyDescent="0.25">
      <c r="A219" s="93" t="str">
        <f>DMTK!B217</f>
        <v>622.04</v>
      </c>
      <c r="B219" s="65" t="str">
        <f>VLOOKUP(A219,DMTK!$B$5:$Q$263,3,0)</f>
        <v>CFNCBàn oval</v>
      </c>
      <c r="C219" s="65" t="str">
        <f>VLOOKUP(A219,DMTK!$B$5:$Q$263,16,0)</f>
        <v xml:space="preserve"> </v>
      </c>
      <c r="D219" s="69">
        <f>VLOOKUP(A219,DMTK!$B$5:$Q$263,4,0)</f>
        <v>0</v>
      </c>
      <c r="E219" s="69">
        <f>VLOOKUP(A219,DMTK!$B$5:$Q$263,5,0)</f>
        <v>0</v>
      </c>
      <c r="F219" s="69">
        <f>SUMIFS(CT!$F$5:$F$143,CT!$D$5:$D$143,BTHCTVTHH!A219)</f>
        <v>0</v>
      </c>
      <c r="G219" s="69">
        <f>SUMIFS(CT!$H$5:$H$143,CT!$D$5:$D$143,BTHCTVTHH!A219)</f>
        <v>48800000</v>
      </c>
      <c r="H219" s="69">
        <f>SUMIFS(CT!$F$5:$F$143,CT!$E$5:$E$143,BTHCTVTHH!A219)</f>
        <v>0</v>
      </c>
      <c r="I219" s="69">
        <f>SUMIFS(CT!$H$5:$H$143,CT!$E$5:$E$143,BTHCTVTHH!A219)</f>
        <v>48800000</v>
      </c>
      <c r="J219" s="69">
        <f t="shared" si="12"/>
        <v>0</v>
      </c>
      <c r="K219" s="69">
        <f t="shared" si="13"/>
        <v>0</v>
      </c>
      <c r="L219" s="69">
        <f t="shared" si="14"/>
        <v>0</v>
      </c>
      <c r="M219" s="65" t="b">
        <f t="shared" si="15"/>
        <v>0</v>
      </c>
    </row>
    <row r="220" spans="1:13" hidden="1" x14ac:dyDescent="0.25">
      <c r="A220" s="93" t="str">
        <f>DMTK!B218</f>
        <v>622.05</v>
      </c>
      <c r="B220" s="65" t="str">
        <f>VLOOKUP(A220,DMTK!$B$5:$Q$263,3,0)</f>
        <v>CFNC Bàn chữ nhật</v>
      </c>
      <c r="C220" s="65" t="str">
        <f>VLOOKUP(A220,DMTK!$B$5:$Q$263,16,0)</f>
        <v xml:space="preserve"> </v>
      </c>
      <c r="D220" s="69">
        <f>VLOOKUP(A220,DMTK!$B$5:$Q$263,4,0)</f>
        <v>0</v>
      </c>
      <c r="E220" s="69">
        <f>VLOOKUP(A220,DMTK!$B$5:$Q$263,5,0)</f>
        <v>0</v>
      </c>
      <c r="F220" s="69">
        <f>SUMIFS(CT!$F$5:$F$143,CT!$D$5:$D$143,BTHCTVTHH!A220)</f>
        <v>0</v>
      </c>
      <c r="G220" s="69">
        <f>SUMIFS(CT!$H$5:$H$143,CT!$D$5:$D$143,BTHCTVTHH!A220)</f>
        <v>48800000</v>
      </c>
      <c r="H220" s="69">
        <f>SUMIFS(CT!$F$5:$F$143,CT!$E$5:$E$143,BTHCTVTHH!A220)</f>
        <v>0</v>
      </c>
      <c r="I220" s="69">
        <f>SUMIFS(CT!$H$5:$H$143,CT!$E$5:$E$143,BTHCTVTHH!A220)</f>
        <v>48800000</v>
      </c>
      <c r="J220" s="69">
        <f t="shared" si="12"/>
        <v>0</v>
      </c>
      <c r="K220" s="69">
        <f t="shared" si="13"/>
        <v>0</v>
      </c>
      <c r="L220" s="69">
        <f t="shared" si="14"/>
        <v>0</v>
      </c>
      <c r="M220" s="65" t="b">
        <f t="shared" si="15"/>
        <v>0</v>
      </c>
    </row>
    <row r="221" spans="1:13" hidden="1" x14ac:dyDescent="0.25">
      <c r="A221" s="93" t="str">
        <f>DMTK!B219</f>
        <v>6231</v>
      </c>
      <c r="B221" s="65" t="str">
        <f>VLOOKUP(A221,DMTK!$B$5:$Q$263,3,0)</f>
        <v>Chi phí nhân công</v>
      </c>
      <c r="C221" s="65" t="str">
        <f>VLOOKUP(A221,DMTK!$B$5:$Q$263,16,0)</f>
        <v xml:space="preserve"> </v>
      </c>
      <c r="D221" s="69">
        <f>VLOOKUP(A221,DMTK!$B$5:$Q$263,4,0)</f>
        <v>0</v>
      </c>
      <c r="E221" s="69">
        <f>VLOOKUP(A221,DMTK!$B$5:$Q$263,5,0)</f>
        <v>0</v>
      </c>
      <c r="F221" s="69">
        <f>SUMIFS(CT!$F$5:$F$143,CT!$D$5:$D$143,BTHCTVTHH!A221)</f>
        <v>0</v>
      </c>
      <c r="G221" s="69">
        <f>SUMIFS(CT!$H$5:$H$143,CT!$D$5:$D$143,BTHCTVTHH!A221)</f>
        <v>0</v>
      </c>
      <c r="H221" s="69">
        <f>SUMIFS(CT!$F$5:$F$143,CT!$E$5:$E$143,BTHCTVTHH!A221)</f>
        <v>0</v>
      </c>
      <c r="I221" s="69">
        <f>SUMIFS(CT!$H$5:$H$143,CT!$E$5:$E$143,BTHCTVTHH!A221)</f>
        <v>0</v>
      </c>
      <c r="J221" s="69">
        <f t="shared" si="12"/>
        <v>0</v>
      </c>
      <c r="K221" s="69">
        <f t="shared" si="13"/>
        <v>0</v>
      </c>
      <c r="L221" s="69">
        <f t="shared" si="14"/>
        <v>0</v>
      </c>
      <c r="M221" s="65" t="b">
        <f t="shared" si="15"/>
        <v>0</v>
      </c>
    </row>
    <row r="222" spans="1:13" hidden="1" x14ac:dyDescent="0.25">
      <c r="A222" s="93" t="str">
        <f>DMTK!B220</f>
        <v>6232</v>
      </c>
      <c r="B222" s="65" t="str">
        <f>VLOOKUP(A222,DMTK!$B$5:$Q$263,3,0)</f>
        <v>Chi phí nguyên, vật liệu</v>
      </c>
      <c r="C222" s="65" t="str">
        <f>VLOOKUP(A222,DMTK!$B$5:$Q$263,16,0)</f>
        <v xml:space="preserve"> </v>
      </c>
      <c r="D222" s="69">
        <f>VLOOKUP(A222,DMTK!$B$5:$Q$263,4,0)</f>
        <v>0</v>
      </c>
      <c r="E222" s="69">
        <f>VLOOKUP(A222,DMTK!$B$5:$Q$263,5,0)</f>
        <v>0</v>
      </c>
      <c r="F222" s="69">
        <f>SUMIFS(CT!$F$5:$F$143,CT!$D$5:$D$143,BTHCTVTHH!A222)</f>
        <v>0</v>
      </c>
      <c r="G222" s="69">
        <f>SUMIFS(CT!$H$5:$H$143,CT!$D$5:$D$143,BTHCTVTHH!A222)</f>
        <v>0</v>
      </c>
      <c r="H222" s="69">
        <f>SUMIFS(CT!$F$5:$F$143,CT!$E$5:$E$143,BTHCTVTHH!A222)</f>
        <v>0</v>
      </c>
      <c r="I222" s="69">
        <f>SUMIFS(CT!$H$5:$H$143,CT!$E$5:$E$143,BTHCTVTHH!A222)</f>
        <v>0</v>
      </c>
      <c r="J222" s="69">
        <f t="shared" si="12"/>
        <v>0</v>
      </c>
      <c r="K222" s="69">
        <f t="shared" si="13"/>
        <v>0</v>
      </c>
      <c r="L222" s="69">
        <f t="shared" si="14"/>
        <v>0</v>
      </c>
      <c r="M222" s="65" t="b">
        <f t="shared" si="15"/>
        <v>0</v>
      </c>
    </row>
    <row r="223" spans="1:13" hidden="1" x14ac:dyDescent="0.25">
      <c r="A223" s="93" t="str">
        <f>DMTK!B221</f>
        <v>6233</v>
      </c>
      <c r="B223" s="65" t="str">
        <f>VLOOKUP(A223,DMTK!$B$5:$Q$263,3,0)</f>
        <v>Chi phí dụng cụ sản xuất</v>
      </c>
      <c r="C223" s="65" t="str">
        <f>VLOOKUP(A223,DMTK!$B$5:$Q$263,16,0)</f>
        <v xml:space="preserve"> </v>
      </c>
      <c r="D223" s="69">
        <f>VLOOKUP(A223,DMTK!$B$5:$Q$263,4,0)</f>
        <v>0</v>
      </c>
      <c r="E223" s="69">
        <f>VLOOKUP(A223,DMTK!$B$5:$Q$263,5,0)</f>
        <v>0</v>
      </c>
      <c r="F223" s="69">
        <f>SUMIFS(CT!$F$5:$F$143,CT!$D$5:$D$143,BTHCTVTHH!A223)</f>
        <v>0</v>
      </c>
      <c r="G223" s="69">
        <f>SUMIFS(CT!$H$5:$H$143,CT!$D$5:$D$143,BTHCTVTHH!A223)</f>
        <v>0</v>
      </c>
      <c r="H223" s="69">
        <f>SUMIFS(CT!$F$5:$F$143,CT!$E$5:$E$143,BTHCTVTHH!A223)</f>
        <v>0</v>
      </c>
      <c r="I223" s="69">
        <f>SUMIFS(CT!$H$5:$H$143,CT!$E$5:$E$143,BTHCTVTHH!A223)</f>
        <v>0</v>
      </c>
      <c r="J223" s="69">
        <f t="shared" si="12"/>
        <v>0</v>
      </c>
      <c r="K223" s="69">
        <f t="shared" si="13"/>
        <v>0</v>
      </c>
      <c r="L223" s="69">
        <f t="shared" si="14"/>
        <v>0</v>
      </c>
      <c r="M223" s="65" t="b">
        <f t="shared" si="15"/>
        <v>0</v>
      </c>
    </row>
    <row r="224" spans="1:13" hidden="1" x14ac:dyDescent="0.25">
      <c r="A224" s="93" t="str">
        <f>DMTK!B222</f>
        <v>6234</v>
      </c>
      <c r="B224" s="65" t="str">
        <f>VLOOKUP(A224,DMTK!$B$5:$Q$263,3,0)</f>
        <v>Chi phí khấu hao máy thi công</v>
      </c>
      <c r="C224" s="65" t="str">
        <f>VLOOKUP(A224,DMTK!$B$5:$Q$263,16,0)</f>
        <v xml:space="preserve"> </v>
      </c>
      <c r="D224" s="69">
        <f>VLOOKUP(A224,DMTK!$B$5:$Q$263,4,0)</f>
        <v>0</v>
      </c>
      <c r="E224" s="69">
        <f>VLOOKUP(A224,DMTK!$B$5:$Q$263,5,0)</f>
        <v>0</v>
      </c>
      <c r="F224" s="69">
        <f>SUMIFS(CT!$F$5:$F$143,CT!$D$5:$D$143,BTHCTVTHH!A224)</f>
        <v>0</v>
      </c>
      <c r="G224" s="69">
        <f>SUMIFS(CT!$H$5:$H$143,CT!$D$5:$D$143,BTHCTVTHH!A224)</f>
        <v>0</v>
      </c>
      <c r="H224" s="69">
        <f>SUMIFS(CT!$F$5:$F$143,CT!$E$5:$E$143,BTHCTVTHH!A224)</f>
        <v>0</v>
      </c>
      <c r="I224" s="69">
        <f>SUMIFS(CT!$H$5:$H$143,CT!$E$5:$E$143,BTHCTVTHH!A224)</f>
        <v>0</v>
      </c>
      <c r="J224" s="69">
        <f t="shared" si="12"/>
        <v>0</v>
      </c>
      <c r="K224" s="69">
        <f t="shared" si="13"/>
        <v>0</v>
      </c>
      <c r="L224" s="69">
        <f t="shared" si="14"/>
        <v>0</v>
      </c>
      <c r="M224" s="65" t="b">
        <f t="shared" si="15"/>
        <v>0</v>
      </c>
    </row>
    <row r="225" spans="1:13" hidden="1" x14ac:dyDescent="0.25">
      <c r="A225" s="93" t="str">
        <f>DMTK!B223</f>
        <v>6237</v>
      </c>
      <c r="B225" s="65" t="str">
        <f>VLOOKUP(A225,DMTK!$B$5:$Q$263,3,0)</f>
        <v>Chi phí dịch vụ mua ngoài</v>
      </c>
      <c r="C225" s="65" t="str">
        <f>VLOOKUP(A225,DMTK!$B$5:$Q$263,16,0)</f>
        <v xml:space="preserve"> </v>
      </c>
      <c r="D225" s="69">
        <f>VLOOKUP(A225,DMTK!$B$5:$Q$263,4,0)</f>
        <v>0</v>
      </c>
      <c r="E225" s="69">
        <f>VLOOKUP(A225,DMTK!$B$5:$Q$263,5,0)</f>
        <v>0</v>
      </c>
      <c r="F225" s="69">
        <f>SUMIFS(CT!$F$5:$F$143,CT!$D$5:$D$143,BTHCTVTHH!A225)</f>
        <v>0</v>
      </c>
      <c r="G225" s="69">
        <f>SUMIFS(CT!$H$5:$H$143,CT!$D$5:$D$143,BTHCTVTHH!A225)</f>
        <v>0</v>
      </c>
      <c r="H225" s="69">
        <f>SUMIFS(CT!$F$5:$F$143,CT!$E$5:$E$143,BTHCTVTHH!A225)</f>
        <v>0</v>
      </c>
      <c r="I225" s="69">
        <f>SUMIFS(CT!$H$5:$H$143,CT!$E$5:$E$143,BTHCTVTHH!A225)</f>
        <v>0</v>
      </c>
      <c r="J225" s="69">
        <f t="shared" si="12"/>
        <v>0</v>
      </c>
      <c r="K225" s="69">
        <f t="shared" si="13"/>
        <v>0</v>
      </c>
      <c r="L225" s="69">
        <f t="shared" si="14"/>
        <v>0</v>
      </c>
      <c r="M225" s="65" t="b">
        <f t="shared" si="15"/>
        <v>0</v>
      </c>
    </row>
    <row r="226" spans="1:13" hidden="1" x14ac:dyDescent="0.25">
      <c r="A226" s="93" t="str">
        <f>DMTK!B224</f>
        <v>6238</v>
      </c>
      <c r="B226" s="65" t="str">
        <f>VLOOKUP(A226,DMTK!$B$5:$Q$263,3,0)</f>
        <v>Chi phí bằng tiền khác</v>
      </c>
      <c r="C226" s="65" t="str">
        <f>VLOOKUP(A226,DMTK!$B$5:$Q$263,16,0)</f>
        <v xml:space="preserve"> </v>
      </c>
      <c r="D226" s="69">
        <f>VLOOKUP(A226,DMTK!$B$5:$Q$263,4,0)</f>
        <v>0</v>
      </c>
      <c r="E226" s="69">
        <f>VLOOKUP(A226,DMTK!$B$5:$Q$263,5,0)</f>
        <v>0</v>
      </c>
      <c r="F226" s="69">
        <f>SUMIFS(CT!$F$5:$F$143,CT!$D$5:$D$143,BTHCTVTHH!A226)</f>
        <v>0</v>
      </c>
      <c r="G226" s="69">
        <f>SUMIFS(CT!$H$5:$H$143,CT!$D$5:$D$143,BTHCTVTHH!A226)</f>
        <v>0</v>
      </c>
      <c r="H226" s="69">
        <f>SUMIFS(CT!$F$5:$F$143,CT!$E$5:$E$143,BTHCTVTHH!A226)</f>
        <v>0</v>
      </c>
      <c r="I226" s="69">
        <f>SUMIFS(CT!$H$5:$H$143,CT!$E$5:$E$143,BTHCTVTHH!A226)</f>
        <v>0</v>
      </c>
      <c r="J226" s="69">
        <f t="shared" si="12"/>
        <v>0</v>
      </c>
      <c r="K226" s="69">
        <f t="shared" si="13"/>
        <v>0</v>
      </c>
      <c r="L226" s="69">
        <f t="shared" si="14"/>
        <v>0</v>
      </c>
      <c r="M226" s="65" t="b">
        <f t="shared" si="15"/>
        <v>0</v>
      </c>
    </row>
    <row r="227" spans="1:13" hidden="1" x14ac:dyDescent="0.25">
      <c r="A227" s="93" t="str">
        <f>DMTK!B225</f>
        <v>6271</v>
      </c>
      <c r="B227" s="65" t="str">
        <f>VLOOKUP(A227,DMTK!$B$5:$Q$263,3,0)</f>
        <v>Chi phí nhân viên phân xưởng</v>
      </c>
      <c r="C227" s="65" t="str">
        <f>VLOOKUP(A227,DMTK!$B$5:$Q$263,16,0)</f>
        <v xml:space="preserve"> </v>
      </c>
      <c r="D227" s="69">
        <f>VLOOKUP(A227,DMTK!$B$5:$Q$263,4,0)</f>
        <v>0</v>
      </c>
      <c r="E227" s="69">
        <f>VLOOKUP(A227,DMTK!$B$5:$Q$263,5,0)</f>
        <v>0</v>
      </c>
      <c r="F227" s="69">
        <f>SUMIFS(CT!$F$5:$F$143,CT!$D$5:$D$143,BTHCTVTHH!A227)</f>
        <v>0</v>
      </c>
      <c r="G227" s="69">
        <f>SUMIFS(CT!$H$5:$H$143,CT!$D$5:$D$143,BTHCTVTHH!A227)</f>
        <v>42700000</v>
      </c>
      <c r="H227" s="69">
        <f>SUMIFS(CT!$F$5:$F$143,CT!$E$5:$E$143,BTHCTVTHH!A227)</f>
        <v>0</v>
      </c>
      <c r="I227" s="69">
        <f>SUMIFS(CT!$H$5:$H$143,CT!$E$5:$E$143,BTHCTVTHH!A227)</f>
        <v>42700000</v>
      </c>
      <c r="J227" s="69">
        <f t="shared" si="12"/>
        <v>0</v>
      </c>
      <c r="K227" s="69">
        <f t="shared" si="13"/>
        <v>0</v>
      </c>
      <c r="L227" s="69">
        <f t="shared" si="14"/>
        <v>0</v>
      </c>
      <c r="M227" s="65" t="b">
        <f t="shared" si="15"/>
        <v>0</v>
      </c>
    </row>
    <row r="228" spans="1:13" hidden="1" x14ac:dyDescent="0.25">
      <c r="A228" s="93" t="str">
        <f>DMTK!B226</f>
        <v>6272</v>
      </c>
      <c r="B228" s="65" t="str">
        <f>VLOOKUP(A228,DMTK!$B$5:$Q$263,3,0)</f>
        <v>Chi phí nguyên, vật liệu</v>
      </c>
      <c r="C228" s="65" t="str">
        <f>VLOOKUP(A228,DMTK!$B$5:$Q$263,16,0)</f>
        <v xml:space="preserve"> </v>
      </c>
      <c r="D228" s="69">
        <f>VLOOKUP(A228,DMTK!$B$5:$Q$263,4,0)</f>
        <v>0</v>
      </c>
      <c r="E228" s="69">
        <f>VLOOKUP(A228,DMTK!$B$5:$Q$263,5,0)</f>
        <v>0</v>
      </c>
      <c r="F228" s="69">
        <f>SUMIFS(CT!$F$5:$F$143,CT!$D$5:$D$143,BTHCTVTHH!A228)</f>
        <v>0</v>
      </c>
      <c r="G228" s="69">
        <f>SUMIFS(CT!$H$5:$H$143,CT!$D$5:$D$143,BTHCTVTHH!A228)</f>
        <v>0</v>
      </c>
      <c r="H228" s="69">
        <f>SUMIFS(CT!$F$5:$F$143,CT!$E$5:$E$143,BTHCTVTHH!A228)</f>
        <v>0</v>
      </c>
      <c r="I228" s="69">
        <f>SUMIFS(CT!$H$5:$H$143,CT!$E$5:$E$143,BTHCTVTHH!A228)</f>
        <v>0</v>
      </c>
      <c r="J228" s="69">
        <f t="shared" si="12"/>
        <v>0</v>
      </c>
      <c r="K228" s="69">
        <f t="shared" si="13"/>
        <v>0</v>
      </c>
      <c r="L228" s="69">
        <f t="shared" si="14"/>
        <v>0</v>
      </c>
      <c r="M228" s="65" t="b">
        <f t="shared" si="15"/>
        <v>0</v>
      </c>
    </row>
    <row r="229" spans="1:13" hidden="1" x14ac:dyDescent="0.25">
      <c r="A229" s="93" t="str">
        <f>DMTK!B227</f>
        <v>6273</v>
      </c>
      <c r="B229" s="65" t="str">
        <f>VLOOKUP(A229,DMTK!$B$5:$Q$263,3,0)</f>
        <v>Chi phí dụng cụ sản xuất</v>
      </c>
      <c r="C229" s="65" t="str">
        <f>VLOOKUP(A229,DMTK!$B$5:$Q$263,16,0)</f>
        <v xml:space="preserve"> </v>
      </c>
      <c r="D229" s="69">
        <f>VLOOKUP(A229,DMTK!$B$5:$Q$263,4,0)</f>
        <v>0</v>
      </c>
      <c r="E229" s="69">
        <f>VLOOKUP(A229,DMTK!$B$5:$Q$263,5,0)</f>
        <v>0</v>
      </c>
      <c r="F229" s="69">
        <f>SUMIFS(CT!$F$5:$F$143,CT!$D$5:$D$143,BTHCTVTHH!A229)</f>
        <v>60</v>
      </c>
      <c r="G229" s="69">
        <f>SUMIFS(CT!$H$5:$H$143,CT!$D$5:$D$143,BTHCTVTHH!A229)</f>
        <v>500000</v>
      </c>
      <c r="H229" s="69">
        <f>SUMIFS(CT!$F$5:$F$143,CT!$E$5:$E$143,BTHCTVTHH!A229)</f>
        <v>0</v>
      </c>
      <c r="I229" s="69">
        <f>SUMIFS(CT!$H$5:$H$143,CT!$E$5:$E$143,BTHCTVTHH!A229)</f>
        <v>500000</v>
      </c>
      <c r="J229" s="69">
        <f t="shared" si="12"/>
        <v>60</v>
      </c>
      <c r="K229" s="69">
        <f t="shared" si="13"/>
        <v>0</v>
      </c>
      <c r="L229" s="69">
        <f t="shared" si="14"/>
        <v>0</v>
      </c>
      <c r="M229" s="65" t="b">
        <f t="shared" si="15"/>
        <v>0</v>
      </c>
    </row>
    <row r="230" spans="1:13" hidden="1" x14ac:dyDescent="0.25">
      <c r="A230" s="93" t="str">
        <f>DMTK!B228</f>
        <v>6274</v>
      </c>
      <c r="B230" s="65" t="str">
        <f>VLOOKUP(A230,DMTK!$B$5:$Q$263,3,0)</f>
        <v>Chi phí khấu hao TSCĐ</v>
      </c>
      <c r="C230" s="65" t="str">
        <f>VLOOKUP(A230,DMTK!$B$5:$Q$263,16,0)</f>
        <v xml:space="preserve"> </v>
      </c>
      <c r="D230" s="69">
        <f>VLOOKUP(A230,DMTK!$B$5:$Q$263,4,0)</f>
        <v>0</v>
      </c>
      <c r="E230" s="69">
        <f>VLOOKUP(A230,DMTK!$B$5:$Q$263,5,0)</f>
        <v>0</v>
      </c>
      <c r="F230" s="69">
        <f>SUMIFS(CT!$F$5:$F$143,CT!$D$5:$D$143,BTHCTVTHH!A230)</f>
        <v>0</v>
      </c>
      <c r="G230" s="69">
        <f>SUMIFS(CT!$H$5:$H$143,CT!$D$5:$D$143,BTHCTVTHH!A230)</f>
        <v>1666666</v>
      </c>
      <c r="H230" s="69">
        <f>SUMIFS(CT!$F$5:$F$143,CT!$E$5:$E$143,BTHCTVTHH!A230)</f>
        <v>0</v>
      </c>
      <c r="I230" s="69">
        <f>SUMIFS(CT!$H$5:$H$143,CT!$E$5:$E$143,BTHCTVTHH!A230)</f>
        <v>1666666</v>
      </c>
      <c r="J230" s="69">
        <f t="shared" si="12"/>
        <v>0</v>
      </c>
      <c r="K230" s="69">
        <f t="shared" si="13"/>
        <v>0</v>
      </c>
      <c r="L230" s="69">
        <f t="shared" si="14"/>
        <v>0</v>
      </c>
      <c r="M230" s="65" t="b">
        <f t="shared" si="15"/>
        <v>0</v>
      </c>
    </row>
    <row r="231" spans="1:13" hidden="1" x14ac:dyDescent="0.25">
      <c r="A231" s="93" t="str">
        <f>DMTK!B229</f>
        <v>6277</v>
      </c>
      <c r="B231" s="65" t="str">
        <f>VLOOKUP(A231,DMTK!$B$5:$Q$263,3,0)</f>
        <v>Chi phí dịch vụ mua ngoài</v>
      </c>
      <c r="C231" s="65" t="str">
        <f>VLOOKUP(A231,DMTK!$B$5:$Q$263,16,0)</f>
        <v xml:space="preserve"> </v>
      </c>
      <c r="D231" s="69">
        <f>VLOOKUP(A231,DMTK!$B$5:$Q$263,4,0)</f>
        <v>0</v>
      </c>
      <c r="E231" s="69">
        <f>VLOOKUP(A231,DMTK!$B$5:$Q$263,5,0)</f>
        <v>0</v>
      </c>
      <c r="F231" s="69">
        <f>SUMIFS(CT!$F$5:$F$143,CT!$D$5:$D$143,BTHCTVTHH!A231)</f>
        <v>0</v>
      </c>
      <c r="G231" s="69">
        <f>SUMIFS(CT!$H$5:$H$143,CT!$D$5:$D$143,BTHCTVTHH!A231)</f>
        <v>0</v>
      </c>
      <c r="H231" s="69">
        <f>SUMIFS(CT!$F$5:$F$143,CT!$E$5:$E$143,BTHCTVTHH!A231)</f>
        <v>0</v>
      </c>
      <c r="I231" s="69">
        <f>SUMIFS(CT!$H$5:$H$143,CT!$E$5:$E$143,BTHCTVTHH!A231)</f>
        <v>0</v>
      </c>
      <c r="J231" s="69">
        <f t="shared" si="12"/>
        <v>0</v>
      </c>
      <c r="K231" s="69">
        <f t="shared" si="13"/>
        <v>0</v>
      </c>
      <c r="L231" s="69">
        <f t="shared" si="14"/>
        <v>0</v>
      </c>
      <c r="M231" s="65" t="b">
        <f t="shared" si="15"/>
        <v>0</v>
      </c>
    </row>
    <row r="232" spans="1:13" hidden="1" x14ac:dyDescent="0.25">
      <c r="A232" s="93" t="str">
        <f>DMTK!B230</f>
        <v>6278</v>
      </c>
      <c r="B232" s="65" t="str">
        <f>VLOOKUP(A232,DMTK!$B$5:$Q$263,3,0)</f>
        <v>Chi phí bằng tiền khác</v>
      </c>
      <c r="C232" s="65" t="str">
        <f>VLOOKUP(A232,DMTK!$B$5:$Q$263,16,0)</f>
        <v xml:space="preserve"> </v>
      </c>
      <c r="D232" s="69">
        <f>VLOOKUP(A232,DMTK!$B$5:$Q$263,4,0)</f>
        <v>0</v>
      </c>
      <c r="E232" s="69">
        <f>VLOOKUP(A232,DMTK!$B$5:$Q$263,5,0)</f>
        <v>0</v>
      </c>
      <c r="F232" s="69">
        <f>SUMIFS(CT!$F$5:$F$143,CT!$D$5:$D$143,BTHCTVTHH!A232)</f>
        <v>0</v>
      </c>
      <c r="G232" s="69">
        <f>SUMIFS(CT!$H$5:$H$143,CT!$D$5:$D$143,BTHCTVTHH!A232)</f>
        <v>0</v>
      </c>
      <c r="H232" s="69">
        <f>SUMIFS(CT!$F$5:$F$143,CT!$E$5:$E$143,BTHCTVTHH!A232)</f>
        <v>0</v>
      </c>
      <c r="I232" s="69">
        <f>SUMIFS(CT!$H$5:$H$143,CT!$E$5:$E$143,BTHCTVTHH!A232)</f>
        <v>0</v>
      </c>
      <c r="J232" s="69">
        <f t="shared" si="12"/>
        <v>0</v>
      </c>
      <c r="K232" s="69">
        <f t="shared" si="13"/>
        <v>0</v>
      </c>
      <c r="L232" s="69">
        <f t="shared" si="14"/>
        <v>0</v>
      </c>
      <c r="M232" s="65" t="b">
        <f t="shared" si="15"/>
        <v>0</v>
      </c>
    </row>
    <row r="233" spans="1:13" hidden="1" x14ac:dyDescent="0.25">
      <c r="A233" s="93" t="str">
        <f>DMTK!B231</f>
        <v>631</v>
      </c>
      <c r="B233" s="65" t="str">
        <f>VLOOKUP(A233,DMTK!$B$5:$Q$263,3,0)</f>
        <v>Giá thành sản xuất</v>
      </c>
      <c r="C233" s="65" t="str">
        <f>VLOOKUP(A233,DMTK!$B$5:$Q$263,16,0)</f>
        <v xml:space="preserve"> </v>
      </c>
      <c r="D233" s="69">
        <f>VLOOKUP(A233,DMTK!$B$5:$Q$263,4,0)</f>
        <v>0</v>
      </c>
      <c r="E233" s="69">
        <f>VLOOKUP(A233,DMTK!$B$5:$Q$263,5,0)</f>
        <v>0</v>
      </c>
      <c r="F233" s="69">
        <f>SUMIFS(CT!$F$5:$F$143,CT!$D$5:$D$143,BTHCTVTHH!A233)</f>
        <v>0</v>
      </c>
      <c r="G233" s="69">
        <f>SUMIFS(CT!$H$5:$H$143,CT!$D$5:$D$143,BTHCTVTHH!A233)</f>
        <v>0</v>
      </c>
      <c r="H233" s="69">
        <f>SUMIFS(CT!$F$5:$F$143,CT!$E$5:$E$143,BTHCTVTHH!A233)</f>
        <v>0</v>
      </c>
      <c r="I233" s="69">
        <f>SUMIFS(CT!$H$5:$H$143,CT!$E$5:$E$143,BTHCTVTHH!A233)</f>
        <v>0</v>
      </c>
      <c r="J233" s="69">
        <f t="shared" si="12"/>
        <v>0</v>
      </c>
      <c r="K233" s="69">
        <f t="shared" si="13"/>
        <v>0</v>
      </c>
      <c r="L233" s="69">
        <f t="shared" si="14"/>
        <v>0</v>
      </c>
      <c r="M233" s="65" t="b">
        <f t="shared" si="15"/>
        <v>0</v>
      </c>
    </row>
    <row r="234" spans="1:13" hidden="1" x14ac:dyDescent="0.25">
      <c r="A234" s="93" t="str">
        <f>DMTK!B232</f>
        <v>632.0101</v>
      </c>
      <c r="B234" s="65" t="str">
        <f>VLOOKUP(A234,DMTK!$B$5:$Q$263,3,0)</f>
        <v>GVHB Ghế tay vịn</v>
      </c>
      <c r="C234" s="65" t="str">
        <f>VLOOKUP(A234,DMTK!$B$5:$Q$263,16,0)</f>
        <v xml:space="preserve"> </v>
      </c>
      <c r="D234" s="69">
        <f>VLOOKUP(A234,DMTK!$B$5:$Q$263,4,0)</f>
        <v>0</v>
      </c>
      <c r="E234" s="69">
        <f>VLOOKUP(A234,DMTK!$B$5:$Q$263,5,0)</f>
        <v>0</v>
      </c>
      <c r="F234" s="69">
        <f>SUMIFS(CT!$F$5:$F$143,CT!$D$5:$D$143,BTHCTVTHH!A234)</f>
        <v>100</v>
      </c>
      <c r="G234" s="69">
        <f>SUMIFS(CT!$H$5:$H$143,CT!$D$5:$D$143,BTHCTVTHH!A234)</f>
        <v>25123700</v>
      </c>
      <c r="H234" s="69">
        <f>SUMIFS(CT!$F$5:$F$143,CT!$E$5:$E$143,BTHCTVTHH!A234)</f>
        <v>0</v>
      </c>
      <c r="I234" s="69">
        <f>SUMIFS(CT!$H$5:$H$143,CT!$E$5:$E$143,BTHCTVTHH!A234)</f>
        <v>25123700</v>
      </c>
      <c r="J234" s="69">
        <f t="shared" si="12"/>
        <v>100</v>
      </c>
      <c r="K234" s="69">
        <f t="shared" si="13"/>
        <v>0</v>
      </c>
      <c r="L234" s="69">
        <f t="shared" si="14"/>
        <v>0</v>
      </c>
      <c r="M234" s="65" t="b">
        <f t="shared" si="15"/>
        <v>0</v>
      </c>
    </row>
    <row r="235" spans="1:13" hidden="1" x14ac:dyDescent="0.25">
      <c r="A235" s="93" t="str">
        <f>DMTK!B233</f>
        <v>632.0102</v>
      </c>
      <c r="B235" s="65" t="str">
        <f>VLOOKUP(A235,DMTK!$B$5:$Q$263,3,0)</f>
        <v>GVHB Ghế không tay</v>
      </c>
      <c r="C235" s="65" t="str">
        <f>VLOOKUP(A235,DMTK!$B$5:$Q$263,16,0)</f>
        <v xml:space="preserve"> </v>
      </c>
      <c r="D235" s="69">
        <f>VLOOKUP(A235,DMTK!$B$5:$Q$263,4,0)</f>
        <v>0</v>
      </c>
      <c r="E235" s="69">
        <f>VLOOKUP(A235,DMTK!$B$5:$Q$263,5,0)</f>
        <v>0</v>
      </c>
      <c r="F235" s="69">
        <f>SUMIFS(CT!$F$5:$F$143,CT!$D$5:$D$143,BTHCTVTHH!A235)</f>
        <v>100</v>
      </c>
      <c r="G235" s="69">
        <f>SUMIFS(CT!$H$5:$H$143,CT!$D$5:$D$143,BTHCTVTHH!A235)</f>
        <v>20346200</v>
      </c>
      <c r="H235" s="69">
        <f>SUMIFS(CT!$F$5:$F$143,CT!$E$5:$E$143,BTHCTVTHH!A235)</f>
        <v>0</v>
      </c>
      <c r="I235" s="69">
        <f>SUMIFS(CT!$H$5:$H$143,CT!$E$5:$E$143,BTHCTVTHH!A235)</f>
        <v>20346200</v>
      </c>
      <c r="J235" s="69">
        <f t="shared" si="12"/>
        <v>100</v>
      </c>
      <c r="K235" s="69">
        <f t="shared" si="13"/>
        <v>0</v>
      </c>
      <c r="L235" s="69">
        <f t="shared" si="14"/>
        <v>0</v>
      </c>
      <c r="M235" s="65" t="b">
        <f t="shared" si="15"/>
        <v>0</v>
      </c>
    </row>
    <row r="236" spans="1:13" hidden="1" x14ac:dyDescent="0.25">
      <c r="A236" s="93" t="str">
        <f>DMTK!B234</f>
        <v>632.0201</v>
      </c>
      <c r="B236" s="65" t="str">
        <f>VLOOKUP(A236,DMTK!$B$5:$Q$263,3,0)</f>
        <v>GVHB Bàn tròn</v>
      </c>
      <c r="C236" s="65" t="str">
        <f>VLOOKUP(A236,DMTK!$B$5:$Q$263,16,0)</f>
        <v xml:space="preserve"> </v>
      </c>
      <c r="D236" s="69">
        <f>VLOOKUP(A236,DMTK!$B$5:$Q$263,4,0)</f>
        <v>0</v>
      </c>
      <c r="E236" s="69">
        <f>VLOOKUP(A236,DMTK!$B$5:$Q$263,5,0)</f>
        <v>0</v>
      </c>
      <c r="F236" s="69">
        <f>SUMIFS(CT!$F$5:$F$143,CT!$D$5:$D$143,BTHCTVTHH!A236)</f>
        <v>0</v>
      </c>
      <c r="G236" s="69">
        <f>SUMIFS(CT!$H$5:$H$143,CT!$D$5:$D$143,BTHCTVTHH!A236)</f>
        <v>0</v>
      </c>
      <c r="H236" s="69">
        <f>SUMIFS(CT!$F$5:$F$143,CT!$E$5:$E$143,BTHCTVTHH!A236)</f>
        <v>0</v>
      </c>
      <c r="I236" s="69">
        <f>SUMIFS(CT!$H$5:$H$143,CT!$E$5:$E$143,BTHCTVTHH!A236)</f>
        <v>0</v>
      </c>
      <c r="J236" s="69">
        <f t="shared" si="12"/>
        <v>0</v>
      </c>
      <c r="K236" s="69">
        <f t="shared" si="13"/>
        <v>0</v>
      </c>
      <c r="L236" s="69">
        <f t="shared" si="14"/>
        <v>0</v>
      </c>
      <c r="M236" s="65" t="b">
        <f t="shared" si="15"/>
        <v>0</v>
      </c>
    </row>
    <row r="237" spans="1:13" hidden="1" x14ac:dyDescent="0.25">
      <c r="A237" s="93" t="str">
        <f>DMTK!B235</f>
        <v>632.0202</v>
      </c>
      <c r="B237" s="65" t="str">
        <f>VLOOKUP(A237,DMTK!$B$5:$Q$263,3,0)</f>
        <v>GVHB Bàn oval</v>
      </c>
      <c r="C237" s="65" t="str">
        <f>VLOOKUP(A237,DMTK!$B$5:$Q$263,16,0)</f>
        <v xml:space="preserve"> </v>
      </c>
      <c r="D237" s="69">
        <f>VLOOKUP(A237,DMTK!$B$5:$Q$263,4,0)</f>
        <v>0</v>
      </c>
      <c r="E237" s="69">
        <f>VLOOKUP(A237,DMTK!$B$5:$Q$263,5,0)</f>
        <v>0</v>
      </c>
      <c r="F237" s="69">
        <f>SUMIFS(CT!$F$5:$F$143,CT!$D$5:$D$143,BTHCTVTHH!A237)</f>
        <v>50</v>
      </c>
      <c r="G237" s="69">
        <f>SUMIFS(CT!$H$5:$H$143,CT!$D$5:$D$143,BTHCTVTHH!A237)</f>
        <v>25000000</v>
      </c>
      <c r="H237" s="69">
        <f>SUMIFS(CT!$F$5:$F$143,CT!$E$5:$E$143,BTHCTVTHH!A237)</f>
        <v>0</v>
      </c>
      <c r="I237" s="69">
        <f>SUMIFS(CT!$H$5:$H$143,CT!$E$5:$E$143,BTHCTVTHH!A237)</f>
        <v>25000000</v>
      </c>
      <c r="J237" s="69">
        <f t="shared" si="12"/>
        <v>50</v>
      </c>
      <c r="K237" s="69">
        <f t="shared" si="13"/>
        <v>0</v>
      </c>
      <c r="L237" s="69">
        <f t="shared" si="14"/>
        <v>0</v>
      </c>
      <c r="M237" s="65" t="b">
        <f t="shared" si="15"/>
        <v>0</v>
      </c>
    </row>
    <row r="238" spans="1:13" hidden="1" x14ac:dyDescent="0.25">
      <c r="A238" s="93" t="str">
        <f>DMTK!B236</f>
        <v>632.0203</v>
      </c>
      <c r="B238" s="65" t="str">
        <f>VLOOKUP(A238,DMTK!$B$5:$Q$263,3,0)</f>
        <v>GVHB Bàn chữ nhật</v>
      </c>
      <c r="C238" s="65" t="str">
        <f>VLOOKUP(A238,DMTK!$B$5:$Q$263,16,0)</f>
        <v xml:space="preserve"> </v>
      </c>
      <c r="D238" s="69">
        <f>VLOOKUP(A238,DMTK!$B$5:$Q$263,4,0)</f>
        <v>0</v>
      </c>
      <c r="E238" s="69">
        <f>VLOOKUP(A238,DMTK!$B$5:$Q$263,5,0)</f>
        <v>0</v>
      </c>
      <c r="F238" s="69">
        <f>SUMIFS(CT!$F$5:$F$143,CT!$D$5:$D$143,BTHCTVTHH!A238)</f>
        <v>0</v>
      </c>
      <c r="G238" s="69">
        <f>SUMIFS(CT!$H$5:$H$143,CT!$D$5:$D$143,BTHCTVTHH!A238)</f>
        <v>0</v>
      </c>
      <c r="H238" s="69">
        <f>SUMIFS(CT!$F$5:$F$143,CT!$E$5:$E$143,BTHCTVTHH!A238)</f>
        <v>0</v>
      </c>
      <c r="I238" s="69">
        <f>SUMIFS(CT!$H$5:$H$143,CT!$E$5:$E$143,BTHCTVTHH!A238)</f>
        <v>0</v>
      </c>
      <c r="J238" s="69">
        <f t="shared" si="12"/>
        <v>0</v>
      </c>
      <c r="K238" s="69">
        <f t="shared" si="13"/>
        <v>0</v>
      </c>
      <c r="L238" s="69">
        <f t="shared" si="14"/>
        <v>0</v>
      </c>
      <c r="M238" s="65" t="b">
        <f t="shared" si="15"/>
        <v>0</v>
      </c>
    </row>
    <row r="239" spans="1:13" hidden="1" x14ac:dyDescent="0.25">
      <c r="A239" s="93" t="str">
        <f>DMTK!B237</f>
        <v>635</v>
      </c>
      <c r="B239" s="65" t="str">
        <f>VLOOKUP(A239,DMTK!$B$5:$Q$263,3,0)</f>
        <v>Chi phí tài chính</v>
      </c>
      <c r="C239" s="65" t="str">
        <f>VLOOKUP(A239,DMTK!$B$5:$Q$263,16,0)</f>
        <v xml:space="preserve"> </v>
      </c>
      <c r="D239" s="69">
        <f>VLOOKUP(A239,DMTK!$B$5:$Q$263,4,0)</f>
        <v>0</v>
      </c>
      <c r="E239" s="69">
        <f>VLOOKUP(A239,DMTK!$B$5:$Q$263,5,0)</f>
        <v>0</v>
      </c>
      <c r="F239" s="69">
        <f>SUMIFS(CT!$F$5:$F$143,CT!$D$5:$D$143,BTHCTVTHH!A239)</f>
        <v>0</v>
      </c>
      <c r="G239" s="69">
        <f>SUMIFS(CT!$H$5:$H$143,CT!$D$5:$D$143,BTHCTVTHH!A239)</f>
        <v>0</v>
      </c>
      <c r="H239" s="69">
        <f>SUMIFS(CT!$F$5:$F$143,CT!$E$5:$E$143,BTHCTVTHH!A239)</f>
        <v>0</v>
      </c>
      <c r="I239" s="69">
        <f>SUMIFS(CT!$H$5:$H$143,CT!$E$5:$E$143,BTHCTVTHH!A239)</f>
        <v>0</v>
      </c>
      <c r="J239" s="69">
        <f t="shared" si="12"/>
        <v>0</v>
      </c>
      <c r="K239" s="69">
        <f t="shared" si="13"/>
        <v>0</v>
      </c>
      <c r="L239" s="69">
        <f t="shared" si="14"/>
        <v>0</v>
      </c>
      <c r="M239" s="65" t="b">
        <f t="shared" si="15"/>
        <v>0</v>
      </c>
    </row>
    <row r="240" spans="1:13" hidden="1" x14ac:dyDescent="0.25">
      <c r="A240" s="93" t="str">
        <f>DMTK!B238</f>
        <v>6351</v>
      </c>
      <c r="B240" s="65" t="str">
        <f>VLOOKUP(A240,DMTK!$B$5:$Q$263,3,0)</f>
        <v>Chi phí lãi vay</v>
      </c>
      <c r="C240" s="65" t="str">
        <f>VLOOKUP(A240,DMTK!$B$5:$Q$263,16,0)</f>
        <v xml:space="preserve"> </v>
      </c>
      <c r="D240" s="69">
        <f>VLOOKUP(A240,DMTK!$B$5:$Q$263,4,0)</f>
        <v>0</v>
      </c>
      <c r="E240" s="69">
        <f>VLOOKUP(A240,DMTK!$B$5:$Q$263,5,0)</f>
        <v>0</v>
      </c>
      <c r="F240" s="69">
        <f>SUMIFS(CT!$F$5:$F$143,CT!$D$5:$D$143,BTHCTVTHH!A240)</f>
        <v>0</v>
      </c>
      <c r="G240" s="69">
        <f>SUMIFS(CT!$H$5:$H$143,CT!$D$5:$D$143,BTHCTVTHH!A240)</f>
        <v>0</v>
      </c>
      <c r="H240" s="69">
        <f>SUMIFS(CT!$F$5:$F$143,CT!$E$5:$E$143,BTHCTVTHH!A240)</f>
        <v>0</v>
      </c>
      <c r="I240" s="69">
        <f>SUMIFS(CT!$H$5:$H$143,CT!$E$5:$E$143,BTHCTVTHH!A240)</f>
        <v>0</v>
      </c>
      <c r="J240" s="69">
        <f t="shared" si="12"/>
        <v>0</v>
      </c>
      <c r="K240" s="69">
        <f t="shared" si="13"/>
        <v>0</v>
      </c>
      <c r="L240" s="69">
        <f t="shared" si="14"/>
        <v>0</v>
      </c>
      <c r="M240" s="65" t="b">
        <f t="shared" si="15"/>
        <v>0</v>
      </c>
    </row>
    <row r="241" spans="1:13" hidden="1" x14ac:dyDescent="0.25">
      <c r="A241" s="93" t="str">
        <f>DMTK!B239</f>
        <v>6411</v>
      </c>
      <c r="B241" s="65" t="str">
        <f>VLOOKUP(A241,DMTK!$B$5:$Q$263,3,0)</f>
        <v xml:space="preserve">Chi phí nhân viên </v>
      </c>
      <c r="C241" s="65" t="str">
        <f>VLOOKUP(A241,DMTK!$B$5:$Q$263,16,0)</f>
        <v xml:space="preserve"> </v>
      </c>
      <c r="D241" s="69">
        <f>VLOOKUP(A241,DMTK!$B$5:$Q$263,4,0)</f>
        <v>0</v>
      </c>
      <c r="E241" s="69">
        <f>VLOOKUP(A241,DMTK!$B$5:$Q$263,5,0)</f>
        <v>0</v>
      </c>
      <c r="F241" s="69">
        <f>SUMIFS(CT!$F$5:$F$143,CT!$D$5:$D$143,BTHCTVTHH!A241)</f>
        <v>0</v>
      </c>
      <c r="G241" s="69">
        <f>SUMIFS(CT!$H$5:$H$143,CT!$D$5:$D$143,BTHCTVTHH!A241)</f>
        <v>6100000</v>
      </c>
      <c r="H241" s="69">
        <f>SUMIFS(CT!$F$5:$F$143,CT!$E$5:$E$143,BTHCTVTHH!A241)</f>
        <v>0</v>
      </c>
      <c r="I241" s="69">
        <f>SUMIFS(CT!$H$5:$H$143,CT!$E$5:$E$143,BTHCTVTHH!A241)</f>
        <v>6100000</v>
      </c>
      <c r="J241" s="69">
        <f t="shared" si="12"/>
        <v>0</v>
      </c>
      <c r="K241" s="69">
        <f t="shared" si="13"/>
        <v>0</v>
      </c>
      <c r="L241" s="69">
        <f t="shared" si="14"/>
        <v>0</v>
      </c>
      <c r="M241" s="65" t="b">
        <f t="shared" si="15"/>
        <v>0</v>
      </c>
    </row>
    <row r="242" spans="1:13" hidden="1" x14ac:dyDescent="0.25">
      <c r="A242" s="93" t="str">
        <f>DMTK!B240</f>
        <v>6412</v>
      </c>
      <c r="B242" s="65" t="str">
        <f>VLOOKUP(A242,DMTK!$B$5:$Q$263,3,0)</f>
        <v>Chi phí nguyên vật liệu, bao bì</v>
      </c>
      <c r="C242" s="65" t="str">
        <f>VLOOKUP(A242,DMTK!$B$5:$Q$263,16,0)</f>
        <v xml:space="preserve"> </v>
      </c>
      <c r="D242" s="69">
        <f>VLOOKUP(A242,DMTK!$B$5:$Q$263,4,0)</f>
        <v>0</v>
      </c>
      <c r="E242" s="69">
        <f>VLOOKUP(A242,DMTK!$B$5:$Q$263,5,0)</f>
        <v>0</v>
      </c>
      <c r="F242" s="69">
        <f>SUMIFS(CT!$F$5:$F$143,CT!$D$5:$D$143,BTHCTVTHH!A242)</f>
        <v>0</v>
      </c>
      <c r="G242" s="69">
        <f>SUMIFS(CT!$H$5:$H$143,CT!$D$5:$D$143,BTHCTVTHH!A242)</f>
        <v>0</v>
      </c>
      <c r="H242" s="69">
        <f>SUMIFS(CT!$F$5:$F$143,CT!$E$5:$E$143,BTHCTVTHH!A242)</f>
        <v>0</v>
      </c>
      <c r="I242" s="69">
        <f>SUMIFS(CT!$H$5:$H$143,CT!$E$5:$E$143,BTHCTVTHH!A242)</f>
        <v>0</v>
      </c>
      <c r="J242" s="69">
        <f t="shared" si="12"/>
        <v>0</v>
      </c>
      <c r="K242" s="69">
        <f t="shared" si="13"/>
        <v>0</v>
      </c>
      <c r="L242" s="69">
        <f t="shared" si="14"/>
        <v>0</v>
      </c>
      <c r="M242" s="65" t="b">
        <f t="shared" si="15"/>
        <v>0</v>
      </c>
    </row>
    <row r="243" spans="1:13" hidden="1" x14ac:dyDescent="0.25">
      <c r="A243" s="93" t="str">
        <f>DMTK!B241</f>
        <v>6413</v>
      </c>
      <c r="B243" s="65" t="str">
        <f>VLOOKUP(A243,DMTK!$B$5:$Q$263,3,0)</f>
        <v>Chi phí dụng cụ, đồ dùng</v>
      </c>
      <c r="C243" s="65" t="str">
        <f>VLOOKUP(A243,DMTK!$B$5:$Q$263,16,0)</f>
        <v xml:space="preserve"> </v>
      </c>
      <c r="D243" s="69">
        <f>VLOOKUP(A243,DMTK!$B$5:$Q$263,4,0)</f>
        <v>0</v>
      </c>
      <c r="E243" s="69">
        <f>VLOOKUP(A243,DMTK!$B$5:$Q$263,5,0)</f>
        <v>0</v>
      </c>
      <c r="F243" s="69">
        <f>SUMIFS(CT!$F$5:$F$143,CT!$D$5:$D$143,BTHCTVTHH!A243)</f>
        <v>0</v>
      </c>
      <c r="G243" s="69">
        <f>SUMIFS(CT!$H$5:$H$143,CT!$D$5:$D$143,BTHCTVTHH!A243)</f>
        <v>250000</v>
      </c>
      <c r="H243" s="69">
        <f>SUMIFS(CT!$F$5:$F$143,CT!$E$5:$E$143,BTHCTVTHH!A243)</f>
        <v>0</v>
      </c>
      <c r="I243" s="69">
        <f>SUMIFS(CT!$H$5:$H$143,CT!$E$5:$E$143,BTHCTVTHH!A243)</f>
        <v>250000</v>
      </c>
      <c r="J243" s="69">
        <f t="shared" si="12"/>
        <v>0</v>
      </c>
      <c r="K243" s="69">
        <f t="shared" si="13"/>
        <v>0</v>
      </c>
      <c r="L243" s="69">
        <f t="shared" si="14"/>
        <v>0</v>
      </c>
      <c r="M243" s="65" t="b">
        <f t="shared" si="15"/>
        <v>0</v>
      </c>
    </row>
    <row r="244" spans="1:13" hidden="1" x14ac:dyDescent="0.25">
      <c r="A244" s="93" t="str">
        <f>DMTK!B242</f>
        <v>6414</v>
      </c>
      <c r="B244" s="65" t="str">
        <f>VLOOKUP(A244,DMTK!$B$5:$Q$263,3,0)</f>
        <v>Chi phí khấu hao TSCĐ</v>
      </c>
      <c r="C244" s="65" t="str">
        <f>VLOOKUP(A244,DMTK!$B$5:$Q$263,16,0)</f>
        <v xml:space="preserve"> </v>
      </c>
      <c r="D244" s="69">
        <f>VLOOKUP(A244,DMTK!$B$5:$Q$263,4,0)</f>
        <v>0</v>
      </c>
      <c r="E244" s="69">
        <f>VLOOKUP(A244,DMTK!$B$5:$Q$263,5,0)</f>
        <v>0</v>
      </c>
      <c r="F244" s="69">
        <f>SUMIFS(CT!$F$5:$F$143,CT!$D$5:$D$143,BTHCTVTHH!A244)</f>
        <v>0</v>
      </c>
      <c r="G244" s="69">
        <f>SUMIFS(CT!$H$5:$H$143,CT!$D$5:$D$143,BTHCTVTHH!A244)</f>
        <v>0</v>
      </c>
      <c r="H244" s="69">
        <f>SUMIFS(CT!$F$5:$F$143,CT!$E$5:$E$143,BTHCTVTHH!A244)</f>
        <v>0</v>
      </c>
      <c r="I244" s="69">
        <f>SUMIFS(CT!$H$5:$H$143,CT!$E$5:$E$143,BTHCTVTHH!A244)</f>
        <v>0</v>
      </c>
      <c r="J244" s="69">
        <f t="shared" si="12"/>
        <v>0</v>
      </c>
      <c r="K244" s="69">
        <f t="shared" si="13"/>
        <v>0</v>
      </c>
      <c r="L244" s="69">
        <f t="shared" si="14"/>
        <v>0</v>
      </c>
      <c r="M244" s="65" t="b">
        <f t="shared" si="15"/>
        <v>0</v>
      </c>
    </row>
    <row r="245" spans="1:13" hidden="1" x14ac:dyDescent="0.25">
      <c r="A245" s="93" t="str">
        <f>DMTK!B243</f>
        <v>6415</v>
      </c>
      <c r="B245" s="65" t="str">
        <f>VLOOKUP(A245,DMTK!$B$5:$Q$263,3,0)</f>
        <v>Chi phí bảo hành</v>
      </c>
      <c r="C245" s="65" t="str">
        <f>VLOOKUP(A245,DMTK!$B$5:$Q$263,16,0)</f>
        <v xml:space="preserve"> </v>
      </c>
      <c r="D245" s="69">
        <f>VLOOKUP(A245,DMTK!$B$5:$Q$263,4,0)</f>
        <v>0</v>
      </c>
      <c r="E245" s="69">
        <f>VLOOKUP(A245,DMTK!$B$5:$Q$263,5,0)</f>
        <v>0</v>
      </c>
      <c r="F245" s="69">
        <f>SUMIFS(CT!$F$5:$F$143,CT!$D$5:$D$143,BTHCTVTHH!A245)</f>
        <v>0</v>
      </c>
      <c r="G245" s="69">
        <f>SUMIFS(CT!$H$5:$H$143,CT!$D$5:$D$143,BTHCTVTHH!A245)</f>
        <v>0</v>
      </c>
      <c r="H245" s="69">
        <f>SUMIFS(CT!$F$5:$F$143,CT!$E$5:$E$143,BTHCTVTHH!A245)</f>
        <v>0</v>
      </c>
      <c r="I245" s="69">
        <f>SUMIFS(CT!$H$5:$H$143,CT!$E$5:$E$143,BTHCTVTHH!A245)</f>
        <v>0</v>
      </c>
      <c r="J245" s="69">
        <f t="shared" si="12"/>
        <v>0</v>
      </c>
      <c r="K245" s="69">
        <f t="shared" si="13"/>
        <v>0</v>
      </c>
      <c r="L245" s="69">
        <f t="shared" si="14"/>
        <v>0</v>
      </c>
      <c r="M245" s="65" t="b">
        <f t="shared" si="15"/>
        <v>0</v>
      </c>
    </row>
    <row r="246" spans="1:13" hidden="1" x14ac:dyDescent="0.25">
      <c r="A246" s="93" t="str">
        <f>DMTK!B244</f>
        <v>6417</v>
      </c>
      <c r="B246" s="65" t="str">
        <f>VLOOKUP(A246,DMTK!$B$5:$Q$263,3,0)</f>
        <v>Chi phí dịch vụ mua ngoài</v>
      </c>
      <c r="C246" s="65" t="str">
        <f>VLOOKUP(A246,DMTK!$B$5:$Q$263,16,0)</f>
        <v xml:space="preserve"> </v>
      </c>
      <c r="D246" s="69">
        <f>VLOOKUP(A246,DMTK!$B$5:$Q$263,4,0)</f>
        <v>0</v>
      </c>
      <c r="E246" s="69">
        <f>VLOOKUP(A246,DMTK!$B$5:$Q$263,5,0)</f>
        <v>0</v>
      </c>
      <c r="F246" s="69">
        <f>SUMIFS(CT!$F$5:$F$143,CT!$D$5:$D$143,BTHCTVTHH!A246)</f>
        <v>0</v>
      </c>
      <c r="G246" s="69">
        <f>SUMIFS(CT!$H$5:$H$143,CT!$D$5:$D$143,BTHCTVTHH!A246)</f>
        <v>0</v>
      </c>
      <c r="H246" s="69">
        <f>SUMIFS(CT!$F$5:$F$143,CT!$E$5:$E$143,BTHCTVTHH!A246)</f>
        <v>0</v>
      </c>
      <c r="I246" s="69">
        <f>SUMIFS(CT!$H$5:$H$143,CT!$E$5:$E$143,BTHCTVTHH!A246)</f>
        <v>0</v>
      </c>
      <c r="J246" s="69">
        <f t="shared" si="12"/>
        <v>0</v>
      </c>
      <c r="K246" s="69">
        <f t="shared" si="13"/>
        <v>0</v>
      </c>
      <c r="L246" s="69">
        <f t="shared" si="14"/>
        <v>0</v>
      </c>
      <c r="M246" s="65" t="b">
        <f t="shared" si="15"/>
        <v>0</v>
      </c>
    </row>
    <row r="247" spans="1:13" hidden="1" x14ac:dyDescent="0.25">
      <c r="A247" s="93" t="str">
        <f>DMTK!B245</f>
        <v>6418</v>
      </c>
      <c r="B247" s="65" t="str">
        <f>VLOOKUP(A247,DMTK!$B$5:$Q$263,3,0)</f>
        <v>Chi phí bằng tiền khác</v>
      </c>
      <c r="C247" s="65" t="str">
        <f>VLOOKUP(A247,DMTK!$B$5:$Q$263,16,0)</f>
        <v xml:space="preserve"> </v>
      </c>
      <c r="D247" s="69">
        <f>VLOOKUP(A247,DMTK!$B$5:$Q$263,4,0)</f>
        <v>0</v>
      </c>
      <c r="E247" s="69">
        <f>VLOOKUP(A247,DMTK!$B$5:$Q$263,5,0)</f>
        <v>0</v>
      </c>
      <c r="F247" s="69">
        <f>SUMIFS(CT!$F$5:$F$143,CT!$D$5:$D$143,BTHCTVTHH!A247)</f>
        <v>0</v>
      </c>
      <c r="G247" s="69">
        <f>SUMIFS(CT!$H$5:$H$143,CT!$D$5:$D$143,BTHCTVTHH!A247)</f>
        <v>0</v>
      </c>
      <c r="H247" s="69">
        <f>SUMIFS(CT!$F$5:$F$143,CT!$E$5:$E$143,BTHCTVTHH!A247)</f>
        <v>0</v>
      </c>
      <c r="I247" s="69">
        <f>SUMIFS(CT!$H$5:$H$143,CT!$E$5:$E$143,BTHCTVTHH!A247)</f>
        <v>0</v>
      </c>
      <c r="J247" s="69">
        <f t="shared" si="12"/>
        <v>0</v>
      </c>
      <c r="K247" s="69">
        <f t="shared" si="13"/>
        <v>0</v>
      </c>
      <c r="L247" s="69">
        <f t="shared" si="14"/>
        <v>0</v>
      </c>
      <c r="M247" s="65" t="b">
        <f t="shared" si="15"/>
        <v>0</v>
      </c>
    </row>
    <row r="248" spans="1:13" hidden="1" x14ac:dyDescent="0.25">
      <c r="A248" s="93" t="str">
        <f>DMTK!B246</f>
        <v>6421</v>
      </c>
      <c r="B248" s="65" t="str">
        <f>VLOOKUP(A248,DMTK!$B$5:$Q$263,3,0)</f>
        <v>Chi phí nhân viên quản lý</v>
      </c>
      <c r="C248" s="65" t="str">
        <f>VLOOKUP(A248,DMTK!$B$5:$Q$263,16,0)</f>
        <v xml:space="preserve"> </v>
      </c>
      <c r="D248" s="69">
        <f>VLOOKUP(A248,DMTK!$B$5:$Q$263,4,0)</f>
        <v>0</v>
      </c>
      <c r="E248" s="69">
        <f>VLOOKUP(A248,DMTK!$B$5:$Q$263,5,0)</f>
        <v>0</v>
      </c>
      <c r="F248" s="69">
        <f>SUMIFS(CT!$F$5:$F$143,CT!$D$5:$D$143,BTHCTVTHH!A248)</f>
        <v>0</v>
      </c>
      <c r="G248" s="69">
        <f>SUMIFS(CT!$H$5:$H$143,CT!$D$5:$D$143,BTHCTVTHH!A248)</f>
        <v>8540000</v>
      </c>
      <c r="H248" s="69">
        <f>SUMIFS(CT!$F$5:$F$143,CT!$E$5:$E$143,BTHCTVTHH!A248)</f>
        <v>0</v>
      </c>
      <c r="I248" s="69">
        <f>SUMIFS(CT!$H$5:$H$143,CT!$E$5:$E$143,BTHCTVTHH!A248)</f>
        <v>8540000</v>
      </c>
      <c r="J248" s="69">
        <f t="shared" si="12"/>
        <v>0</v>
      </c>
      <c r="K248" s="69">
        <f t="shared" si="13"/>
        <v>0</v>
      </c>
      <c r="L248" s="69">
        <f t="shared" si="14"/>
        <v>0</v>
      </c>
      <c r="M248" s="65" t="b">
        <f t="shared" si="15"/>
        <v>0</v>
      </c>
    </row>
    <row r="249" spans="1:13" hidden="1" x14ac:dyDescent="0.25">
      <c r="A249" s="93" t="str">
        <f>DMTK!B247</f>
        <v>6422</v>
      </c>
      <c r="B249" s="65" t="str">
        <f>VLOOKUP(A249,DMTK!$B$5:$Q$263,3,0)</f>
        <v>Chi phí vật liệu quản lý</v>
      </c>
      <c r="C249" s="65" t="str">
        <f>VLOOKUP(A249,DMTK!$B$5:$Q$263,16,0)</f>
        <v xml:space="preserve"> </v>
      </c>
      <c r="D249" s="69">
        <f>VLOOKUP(A249,DMTK!$B$5:$Q$263,4,0)</f>
        <v>0</v>
      </c>
      <c r="E249" s="69">
        <f>VLOOKUP(A249,DMTK!$B$5:$Q$263,5,0)</f>
        <v>0</v>
      </c>
      <c r="F249" s="69">
        <f>SUMIFS(CT!$F$5:$F$143,CT!$D$5:$D$143,BTHCTVTHH!A249)</f>
        <v>0</v>
      </c>
      <c r="G249" s="69">
        <f>SUMIFS(CT!$H$5:$H$143,CT!$D$5:$D$143,BTHCTVTHH!A249)</f>
        <v>0</v>
      </c>
      <c r="H249" s="69">
        <f>SUMIFS(CT!$F$5:$F$143,CT!$E$5:$E$143,BTHCTVTHH!A249)</f>
        <v>0</v>
      </c>
      <c r="I249" s="69">
        <f>SUMIFS(CT!$H$5:$H$143,CT!$E$5:$E$143,BTHCTVTHH!A249)</f>
        <v>0</v>
      </c>
      <c r="J249" s="69">
        <f t="shared" si="12"/>
        <v>0</v>
      </c>
      <c r="K249" s="69">
        <f t="shared" si="13"/>
        <v>0</v>
      </c>
      <c r="L249" s="69">
        <f t="shared" si="14"/>
        <v>0</v>
      </c>
      <c r="M249" s="65" t="b">
        <f t="shared" si="15"/>
        <v>0</v>
      </c>
    </row>
    <row r="250" spans="1:13" hidden="1" x14ac:dyDescent="0.25">
      <c r="A250" s="93" t="str">
        <f>DMTK!B248</f>
        <v>6423</v>
      </c>
      <c r="B250" s="65" t="str">
        <f>VLOOKUP(A250,DMTK!$B$5:$Q$263,3,0)</f>
        <v>Chi phí đồ dùng văn phòng</v>
      </c>
      <c r="C250" s="65" t="str">
        <f>VLOOKUP(A250,DMTK!$B$5:$Q$263,16,0)</f>
        <v xml:space="preserve"> </v>
      </c>
      <c r="D250" s="69">
        <f>VLOOKUP(A250,DMTK!$B$5:$Q$263,4,0)</f>
        <v>0</v>
      </c>
      <c r="E250" s="69">
        <f>VLOOKUP(A250,DMTK!$B$5:$Q$263,5,0)</f>
        <v>0</v>
      </c>
      <c r="F250" s="69">
        <f>SUMIFS(CT!$F$5:$F$143,CT!$D$5:$D$143,BTHCTVTHH!A250)</f>
        <v>0</v>
      </c>
      <c r="G250" s="69">
        <f>SUMIFS(CT!$H$5:$H$143,CT!$D$5:$D$143,BTHCTVTHH!A250)</f>
        <v>500000</v>
      </c>
      <c r="H250" s="69">
        <f>SUMIFS(CT!$F$5:$F$143,CT!$E$5:$E$143,BTHCTVTHH!A250)</f>
        <v>0</v>
      </c>
      <c r="I250" s="69">
        <f>SUMIFS(CT!$H$5:$H$143,CT!$E$5:$E$143,BTHCTVTHH!A250)</f>
        <v>500000</v>
      </c>
      <c r="J250" s="69">
        <f t="shared" si="12"/>
        <v>0</v>
      </c>
      <c r="K250" s="69">
        <f t="shared" si="13"/>
        <v>0</v>
      </c>
      <c r="L250" s="69">
        <f t="shared" si="14"/>
        <v>0</v>
      </c>
      <c r="M250" s="65" t="b">
        <f t="shared" si="15"/>
        <v>0</v>
      </c>
    </row>
    <row r="251" spans="1:13" hidden="1" x14ac:dyDescent="0.25">
      <c r="A251" s="93" t="str">
        <f>DMTK!B249</f>
        <v>6424</v>
      </c>
      <c r="B251" s="65" t="str">
        <f>VLOOKUP(A251,DMTK!$B$5:$Q$263,3,0)</f>
        <v>Chi phí khấu hao TSCĐ</v>
      </c>
      <c r="C251" s="65" t="str">
        <f>VLOOKUP(A251,DMTK!$B$5:$Q$263,16,0)</f>
        <v xml:space="preserve"> </v>
      </c>
      <c r="D251" s="69">
        <f>VLOOKUP(A251,DMTK!$B$5:$Q$263,4,0)</f>
        <v>0</v>
      </c>
      <c r="E251" s="69">
        <f>VLOOKUP(A251,DMTK!$B$5:$Q$263,5,0)</f>
        <v>0</v>
      </c>
      <c r="F251" s="69">
        <f>SUMIFS(CT!$F$5:$F$143,CT!$D$5:$D$143,BTHCTVTHH!A251)</f>
        <v>0</v>
      </c>
      <c r="G251" s="69">
        <f>SUMIFS(CT!$H$5:$H$143,CT!$D$5:$D$143,BTHCTVTHH!A251)</f>
        <v>458333</v>
      </c>
      <c r="H251" s="69">
        <f>SUMIFS(CT!$F$5:$F$143,CT!$E$5:$E$143,BTHCTVTHH!A251)</f>
        <v>0</v>
      </c>
      <c r="I251" s="69">
        <f>SUMIFS(CT!$H$5:$H$143,CT!$E$5:$E$143,BTHCTVTHH!A251)</f>
        <v>458333</v>
      </c>
      <c r="J251" s="69">
        <f t="shared" si="12"/>
        <v>0</v>
      </c>
      <c r="K251" s="69">
        <f t="shared" si="13"/>
        <v>0</v>
      </c>
      <c r="L251" s="69">
        <f t="shared" si="14"/>
        <v>0</v>
      </c>
      <c r="M251" s="65" t="b">
        <f t="shared" si="15"/>
        <v>0</v>
      </c>
    </row>
    <row r="252" spans="1:13" hidden="1" x14ac:dyDescent="0.25">
      <c r="A252" s="93" t="str">
        <f>DMTK!B250</f>
        <v>6425</v>
      </c>
      <c r="B252" s="65" t="str">
        <f>VLOOKUP(A252,DMTK!$B$5:$Q$263,3,0)</f>
        <v>Thuế, phí và lệ phí</v>
      </c>
      <c r="C252" s="65" t="str">
        <f>VLOOKUP(A252,DMTK!$B$5:$Q$263,16,0)</f>
        <v xml:space="preserve"> </v>
      </c>
      <c r="D252" s="69">
        <f>VLOOKUP(A252,DMTK!$B$5:$Q$263,4,0)</f>
        <v>0</v>
      </c>
      <c r="E252" s="69">
        <f>VLOOKUP(A252,DMTK!$B$5:$Q$263,5,0)</f>
        <v>0</v>
      </c>
      <c r="F252" s="69">
        <f>SUMIFS(CT!$F$5:$F$143,CT!$D$5:$D$143,BTHCTVTHH!A252)</f>
        <v>0</v>
      </c>
      <c r="G252" s="69">
        <f>SUMIFS(CT!$H$5:$H$143,CT!$D$5:$D$143,BTHCTVTHH!A252)</f>
        <v>0</v>
      </c>
      <c r="H252" s="69">
        <f>SUMIFS(CT!$F$5:$F$143,CT!$E$5:$E$143,BTHCTVTHH!A252)</f>
        <v>0</v>
      </c>
      <c r="I252" s="69">
        <f>SUMIFS(CT!$H$5:$H$143,CT!$E$5:$E$143,BTHCTVTHH!A252)</f>
        <v>0</v>
      </c>
      <c r="J252" s="69">
        <f t="shared" si="12"/>
        <v>0</v>
      </c>
      <c r="K252" s="69">
        <f t="shared" si="13"/>
        <v>0</v>
      </c>
      <c r="L252" s="69">
        <f t="shared" si="14"/>
        <v>0</v>
      </c>
      <c r="M252" s="65" t="b">
        <f t="shared" si="15"/>
        <v>0</v>
      </c>
    </row>
    <row r="253" spans="1:13" hidden="1" x14ac:dyDescent="0.25">
      <c r="A253" s="93" t="str">
        <f>DMTK!B251</f>
        <v>6426</v>
      </c>
      <c r="B253" s="65" t="str">
        <f>VLOOKUP(A253,DMTK!$B$5:$Q$263,3,0)</f>
        <v>Chi phí dự phòng</v>
      </c>
      <c r="C253" s="65" t="str">
        <f>VLOOKUP(A253,DMTK!$B$5:$Q$263,16,0)</f>
        <v xml:space="preserve"> </v>
      </c>
      <c r="D253" s="69">
        <f>VLOOKUP(A253,DMTK!$B$5:$Q$263,4,0)</f>
        <v>0</v>
      </c>
      <c r="E253" s="69">
        <f>VLOOKUP(A253,DMTK!$B$5:$Q$263,5,0)</f>
        <v>0</v>
      </c>
      <c r="F253" s="69">
        <f>SUMIFS(CT!$F$5:$F$143,CT!$D$5:$D$143,BTHCTVTHH!A253)</f>
        <v>0</v>
      </c>
      <c r="G253" s="69">
        <f>SUMIFS(CT!$H$5:$H$143,CT!$D$5:$D$143,BTHCTVTHH!A253)</f>
        <v>0</v>
      </c>
      <c r="H253" s="69">
        <f>SUMIFS(CT!$F$5:$F$143,CT!$E$5:$E$143,BTHCTVTHH!A253)</f>
        <v>0</v>
      </c>
      <c r="I253" s="69">
        <f>SUMIFS(CT!$H$5:$H$143,CT!$E$5:$E$143,BTHCTVTHH!A253)</f>
        <v>0</v>
      </c>
      <c r="J253" s="69">
        <f t="shared" si="12"/>
        <v>0</v>
      </c>
      <c r="K253" s="69">
        <f t="shared" si="13"/>
        <v>0</v>
      </c>
      <c r="L253" s="69">
        <f t="shared" si="14"/>
        <v>0</v>
      </c>
      <c r="M253" s="65" t="b">
        <f t="shared" si="15"/>
        <v>0</v>
      </c>
    </row>
    <row r="254" spans="1:13" hidden="1" x14ac:dyDescent="0.25">
      <c r="A254" s="93" t="str">
        <f>DMTK!B252</f>
        <v>6427</v>
      </c>
      <c r="B254" s="65" t="str">
        <f>VLOOKUP(A254,DMTK!$B$5:$Q$263,3,0)</f>
        <v>Chi phí dịch vụ mua ngoài</v>
      </c>
      <c r="C254" s="65" t="str">
        <f>VLOOKUP(A254,DMTK!$B$5:$Q$263,16,0)</f>
        <v xml:space="preserve"> </v>
      </c>
      <c r="D254" s="69">
        <f>VLOOKUP(A254,DMTK!$B$5:$Q$263,4,0)</f>
        <v>0</v>
      </c>
      <c r="E254" s="69">
        <f>VLOOKUP(A254,DMTK!$B$5:$Q$263,5,0)</f>
        <v>0</v>
      </c>
      <c r="F254" s="69">
        <f>SUMIFS(CT!$F$5:$F$143,CT!$D$5:$D$143,BTHCTVTHH!A254)</f>
        <v>0</v>
      </c>
      <c r="G254" s="69">
        <f>SUMIFS(CT!$H$5:$H$143,CT!$D$5:$D$143,BTHCTVTHH!A254)</f>
        <v>0</v>
      </c>
      <c r="H254" s="69">
        <f>SUMIFS(CT!$F$5:$F$143,CT!$E$5:$E$143,BTHCTVTHH!A254)</f>
        <v>0</v>
      </c>
      <c r="I254" s="69">
        <f>SUMIFS(CT!$H$5:$H$143,CT!$E$5:$E$143,BTHCTVTHH!A254)</f>
        <v>0</v>
      </c>
      <c r="J254" s="69">
        <f t="shared" si="12"/>
        <v>0</v>
      </c>
      <c r="K254" s="69">
        <f t="shared" si="13"/>
        <v>0</v>
      </c>
      <c r="L254" s="69">
        <f t="shared" si="14"/>
        <v>0</v>
      </c>
      <c r="M254" s="65" t="b">
        <f t="shared" si="15"/>
        <v>0</v>
      </c>
    </row>
    <row r="255" spans="1:13" hidden="1" x14ac:dyDescent="0.25">
      <c r="A255" s="93" t="str">
        <f>DMTK!B253</f>
        <v>6428</v>
      </c>
      <c r="B255" s="65" t="str">
        <f>VLOOKUP(A255,DMTK!$B$5:$Q$263,3,0)</f>
        <v>Chi phí bằng tiền khác</v>
      </c>
      <c r="C255" s="65" t="str">
        <f>VLOOKUP(A255,DMTK!$B$5:$Q$263,16,0)</f>
        <v xml:space="preserve"> </v>
      </c>
      <c r="D255" s="69">
        <f>VLOOKUP(A255,DMTK!$B$5:$Q$263,4,0)</f>
        <v>0</v>
      </c>
      <c r="E255" s="69">
        <f>VLOOKUP(A255,DMTK!$B$5:$Q$263,5,0)</f>
        <v>0</v>
      </c>
      <c r="F255" s="69">
        <f>SUMIFS(CT!$F$5:$F$143,CT!$D$5:$D$143,BTHCTVTHH!A255)</f>
        <v>0</v>
      </c>
      <c r="G255" s="69">
        <f>SUMIFS(CT!$H$5:$H$143,CT!$D$5:$D$143,BTHCTVTHH!A255)</f>
        <v>2800000</v>
      </c>
      <c r="H255" s="69">
        <f>SUMIFS(CT!$F$5:$F$143,CT!$E$5:$E$143,BTHCTVTHH!A255)</f>
        <v>0</v>
      </c>
      <c r="I255" s="69">
        <f>SUMIFS(CT!$H$5:$H$143,CT!$E$5:$E$143,BTHCTVTHH!A255)</f>
        <v>2800000</v>
      </c>
      <c r="J255" s="69">
        <f t="shared" si="12"/>
        <v>0</v>
      </c>
      <c r="K255" s="69">
        <f t="shared" si="13"/>
        <v>0</v>
      </c>
      <c r="L255" s="69">
        <f t="shared" si="14"/>
        <v>0</v>
      </c>
      <c r="M255" s="65" t="b">
        <f t="shared" si="15"/>
        <v>0</v>
      </c>
    </row>
    <row r="256" spans="1:13" hidden="1" x14ac:dyDescent="0.25">
      <c r="A256" s="93" t="str">
        <f>DMTK!B254</f>
        <v>711</v>
      </c>
      <c r="B256" s="65" t="str">
        <f>VLOOKUP(A256,DMTK!$B$5:$Q$263,3,0)</f>
        <v>Thu nhập khác</v>
      </c>
      <c r="C256" s="65" t="str">
        <f>VLOOKUP(A256,DMTK!$B$5:$Q$263,16,0)</f>
        <v xml:space="preserve"> </v>
      </c>
      <c r="D256" s="69">
        <f>VLOOKUP(A256,DMTK!$B$5:$Q$263,4,0)</f>
        <v>0</v>
      </c>
      <c r="E256" s="69">
        <f>VLOOKUP(A256,DMTK!$B$5:$Q$263,5,0)</f>
        <v>0</v>
      </c>
      <c r="F256" s="69">
        <f>SUMIFS(CT!$F$5:$F$143,CT!$D$5:$D$143,BTHCTVTHH!A256)</f>
        <v>0</v>
      </c>
      <c r="G256" s="69">
        <f>SUMIFS(CT!$H$5:$H$143,CT!$D$5:$D$143,BTHCTVTHH!A256)</f>
        <v>0</v>
      </c>
      <c r="H256" s="69">
        <f>SUMIFS(CT!$F$5:$F$143,CT!$E$5:$E$143,BTHCTVTHH!A256)</f>
        <v>0</v>
      </c>
      <c r="I256" s="69">
        <f>SUMIFS(CT!$H$5:$H$143,CT!$E$5:$E$143,BTHCTVTHH!A256)</f>
        <v>0</v>
      </c>
      <c r="J256" s="69">
        <f t="shared" si="12"/>
        <v>0</v>
      </c>
      <c r="K256" s="69">
        <f t="shared" si="13"/>
        <v>0</v>
      </c>
      <c r="L256" s="69">
        <f t="shared" si="14"/>
        <v>0</v>
      </c>
      <c r="M256" s="65" t="b">
        <f t="shared" si="15"/>
        <v>0</v>
      </c>
    </row>
    <row r="257" spans="1:13" hidden="1" x14ac:dyDescent="0.25">
      <c r="A257" s="93" t="str">
        <f>DMTK!B255</f>
        <v>811</v>
      </c>
      <c r="B257" s="65" t="str">
        <f>VLOOKUP(A257,DMTK!$B$5:$Q$263,3,0)</f>
        <v>Chi phí khác</v>
      </c>
      <c r="C257" s="65" t="str">
        <f>VLOOKUP(A257,DMTK!$B$5:$Q$263,16,0)</f>
        <v xml:space="preserve"> </v>
      </c>
      <c r="D257" s="69">
        <f>VLOOKUP(A257,DMTK!$B$5:$Q$263,4,0)</f>
        <v>0</v>
      </c>
      <c r="E257" s="69">
        <f>VLOOKUP(A257,DMTK!$B$5:$Q$263,5,0)</f>
        <v>0</v>
      </c>
      <c r="F257" s="69">
        <f>SUMIFS(CT!$F$5:$F$143,CT!$D$5:$D$143,BTHCTVTHH!A257)</f>
        <v>0</v>
      </c>
      <c r="G257" s="69">
        <f>SUMIFS(CT!$H$5:$H$143,CT!$D$5:$D$143,BTHCTVTHH!A257)</f>
        <v>0</v>
      </c>
      <c r="H257" s="69">
        <f>SUMIFS(CT!$F$5:$F$143,CT!$E$5:$E$143,BTHCTVTHH!A257)</f>
        <v>0</v>
      </c>
      <c r="I257" s="69">
        <f>SUMIFS(CT!$H$5:$H$143,CT!$E$5:$E$143,BTHCTVTHH!A257)</f>
        <v>0</v>
      </c>
      <c r="J257" s="69">
        <f t="shared" si="12"/>
        <v>0</v>
      </c>
      <c r="K257" s="69">
        <f t="shared" si="13"/>
        <v>0</v>
      </c>
      <c r="L257" s="69">
        <f t="shared" si="14"/>
        <v>0</v>
      </c>
      <c r="M257" s="65" t="b">
        <f t="shared" si="15"/>
        <v>0</v>
      </c>
    </row>
    <row r="258" spans="1:13" hidden="1" x14ac:dyDescent="0.25">
      <c r="A258" s="93" t="str">
        <f>DMTK!B256</f>
        <v>8211</v>
      </c>
      <c r="B258" s="65" t="str">
        <f>VLOOKUP(A258,DMTK!$B$5:$Q$263,3,0)</f>
        <v>Chi phí thuế TNDN hiện hành</v>
      </c>
      <c r="C258" s="65" t="str">
        <f>VLOOKUP(A258,DMTK!$B$5:$Q$263,16,0)</f>
        <v xml:space="preserve"> </v>
      </c>
      <c r="D258" s="69">
        <f>VLOOKUP(A258,DMTK!$B$5:$Q$263,4,0)</f>
        <v>0</v>
      </c>
      <c r="E258" s="69">
        <f>VLOOKUP(A258,DMTK!$B$5:$Q$263,5,0)</f>
        <v>0</v>
      </c>
      <c r="F258" s="69">
        <f>SUMIFS(CT!$F$5:$F$143,CT!$D$5:$D$143,BTHCTVTHH!A258)</f>
        <v>0</v>
      </c>
      <c r="G258" s="69">
        <f>SUMIFS(CT!$H$5:$H$143,CT!$D$5:$D$143,BTHCTVTHH!A258)</f>
        <v>0</v>
      </c>
      <c r="H258" s="69">
        <f>SUMIFS(CT!$F$5:$F$143,CT!$E$5:$E$143,BTHCTVTHH!A258)</f>
        <v>0</v>
      </c>
      <c r="I258" s="69">
        <f>SUMIFS(CT!$H$5:$H$143,CT!$E$5:$E$143,BTHCTVTHH!A258)</f>
        <v>0</v>
      </c>
      <c r="J258" s="69">
        <f t="shared" si="12"/>
        <v>0</v>
      </c>
      <c r="K258" s="69">
        <f t="shared" si="13"/>
        <v>0</v>
      </c>
      <c r="L258" s="69">
        <f t="shared" si="14"/>
        <v>0</v>
      </c>
      <c r="M258" s="65" t="b">
        <f t="shared" si="15"/>
        <v>0</v>
      </c>
    </row>
    <row r="259" spans="1:13" hidden="1" x14ac:dyDescent="0.25">
      <c r="A259" s="93" t="str">
        <f>DMTK!B257</f>
        <v>8212</v>
      </c>
      <c r="B259" s="65" t="str">
        <f>VLOOKUP(A259,DMTK!$B$5:$Q$263,3,0)</f>
        <v>Chi phí thuế TNDN hoãn lại</v>
      </c>
      <c r="C259" s="65" t="str">
        <f>VLOOKUP(A259,DMTK!$B$5:$Q$263,16,0)</f>
        <v xml:space="preserve"> </v>
      </c>
      <c r="D259" s="69">
        <f>VLOOKUP(A259,DMTK!$B$5:$Q$263,4,0)</f>
        <v>0</v>
      </c>
      <c r="E259" s="69">
        <f>VLOOKUP(A259,DMTK!$B$5:$Q$263,5,0)</f>
        <v>0</v>
      </c>
      <c r="F259" s="69">
        <f>SUMIFS(CT!$F$5:$F$143,CT!$D$5:$D$143,BTHCTVTHH!A259)</f>
        <v>0</v>
      </c>
      <c r="G259" s="69">
        <f>SUMIFS(CT!$H$5:$H$143,CT!$D$5:$D$143,BTHCTVTHH!A259)</f>
        <v>0</v>
      </c>
      <c r="H259" s="69">
        <f>SUMIFS(CT!$F$5:$F$143,CT!$E$5:$E$143,BTHCTVTHH!A259)</f>
        <v>0</v>
      </c>
      <c r="I259" s="69">
        <f>SUMIFS(CT!$H$5:$H$143,CT!$E$5:$E$143,BTHCTVTHH!A259)</f>
        <v>0</v>
      </c>
      <c r="J259" s="69">
        <f t="shared" si="12"/>
        <v>0</v>
      </c>
      <c r="K259" s="69">
        <f t="shared" si="13"/>
        <v>0</v>
      </c>
      <c r="L259" s="69">
        <f t="shared" si="14"/>
        <v>0</v>
      </c>
      <c r="M259" s="65" t="b">
        <f t="shared" si="15"/>
        <v>0</v>
      </c>
    </row>
    <row r="260" spans="1:13" hidden="1" x14ac:dyDescent="0.25">
      <c r="A260" s="93" t="str">
        <f>DMTK!B258</f>
        <v>9111.0101</v>
      </c>
      <c r="B260" s="65" t="str">
        <f>VLOOKUP(A260,DMTK!$B$5:$Q$263,3,0)</f>
        <v>Xác định kết quả kinh doanh (GTV)</v>
      </c>
      <c r="C260" s="65" t="str">
        <f>VLOOKUP(A260,DMTK!$B$5:$Q$263,16,0)</f>
        <v xml:space="preserve"> </v>
      </c>
      <c r="D260" s="69">
        <f>VLOOKUP(A260,DMTK!$B$5:$Q$263,4,0)</f>
        <v>0</v>
      </c>
      <c r="E260" s="69">
        <f>VLOOKUP(A260,DMTK!$B$5:$Q$263,5,0)</f>
        <v>0</v>
      </c>
      <c r="F260" s="69">
        <f>SUMIFS(CT!$F$5:$F$143,CT!$D$5:$D$143,BTHCTVTHH!A260)</f>
        <v>0</v>
      </c>
      <c r="G260" s="69">
        <f>SUMIFS(CT!$H$5:$H$143,CT!$D$5:$D$143,BTHCTVTHH!A260)</f>
        <v>31772143</v>
      </c>
      <c r="H260" s="69">
        <f>SUMIFS(CT!$F$5:$F$143,CT!$E$5:$E$143,BTHCTVTHH!A260)</f>
        <v>0</v>
      </c>
      <c r="I260" s="69">
        <f>SUMIFS(CT!$H$5:$H$143,CT!$E$5:$E$143,BTHCTVTHH!A260)</f>
        <v>31772143</v>
      </c>
      <c r="J260" s="69">
        <f t="shared" si="12"/>
        <v>0</v>
      </c>
      <c r="K260" s="69">
        <f t="shared" si="13"/>
        <v>0</v>
      </c>
      <c r="L260" s="69">
        <f t="shared" si="14"/>
        <v>0</v>
      </c>
      <c r="M260" s="65" t="b">
        <f t="shared" si="15"/>
        <v>0</v>
      </c>
    </row>
    <row r="261" spans="1:13" hidden="1" x14ac:dyDescent="0.25">
      <c r="A261" s="93" t="str">
        <f>DMTK!B259</f>
        <v>9111.0102</v>
      </c>
      <c r="B261" s="65" t="str">
        <f>VLOOKUP(A261,DMTK!$B$5:$Q$263,3,0)</f>
        <v>Xác định kết quả kinh doanh (GKT)</v>
      </c>
      <c r="C261" s="65" t="str">
        <f>VLOOKUP(A261,DMTK!$B$5:$Q$263,16,0)</f>
        <v xml:space="preserve"> </v>
      </c>
      <c r="D261" s="69">
        <f>VLOOKUP(A261,DMTK!$B$5:$Q$263,4,0)</f>
        <v>0</v>
      </c>
      <c r="E261" s="69">
        <f>VLOOKUP(A261,DMTK!$B$5:$Q$263,5,0)</f>
        <v>0</v>
      </c>
      <c r="F261" s="69">
        <f>SUMIFS(CT!$F$5:$F$143,CT!$D$5:$D$143,BTHCTVTHH!A261)</f>
        <v>0</v>
      </c>
      <c r="G261" s="69">
        <f>SUMIFS(CT!$H$5:$H$143,CT!$D$5:$D$143,BTHCTVTHH!A261)</f>
        <v>28000000</v>
      </c>
      <c r="H261" s="69">
        <f>SUMIFS(CT!$F$5:$F$143,CT!$E$5:$E$143,BTHCTVTHH!A261)</f>
        <v>0</v>
      </c>
      <c r="I261" s="69">
        <f>SUMIFS(CT!$H$5:$H$143,CT!$E$5:$E$143,BTHCTVTHH!A261)</f>
        <v>28000000</v>
      </c>
      <c r="J261" s="69">
        <f t="shared" si="12"/>
        <v>0</v>
      </c>
      <c r="K261" s="69">
        <f t="shared" si="13"/>
        <v>0</v>
      </c>
      <c r="L261" s="69">
        <f t="shared" si="14"/>
        <v>0</v>
      </c>
      <c r="M261" s="65" t="b">
        <f t="shared" si="15"/>
        <v>0</v>
      </c>
    </row>
    <row r="262" spans="1:13" hidden="1" x14ac:dyDescent="0.25">
      <c r="A262" s="93" t="str">
        <f>DMTK!B260</f>
        <v>9111.0201</v>
      </c>
      <c r="B262" s="65" t="str">
        <f>VLOOKUP(A262,DMTK!$B$5:$Q$263,3,0)</f>
        <v>Xác định kết quả kinh doanh (BT)</v>
      </c>
      <c r="C262" s="65" t="str">
        <f>VLOOKUP(A262,DMTK!$B$5:$Q$263,16,0)</f>
        <v xml:space="preserve"> </v>
      </c>
      <c r="D262" s="69">
        <f>VLOOKUP(A262,DMTK!$B$5:$Q$263,4,0)</f>
        <v>0</v>
      </c>
      <c r="E262" s="69">
        <f>VLOOKUP(A262,DMTK!$B$5:$Q$263,5,0)</f>
        <v>0</v>
      </c>
      <c r="F262" s="69">
        <f>SUMIFS(CT!$F$5:$F$143,CT!$D$5:$D$143,BTHCTVTHH!A262)</f>
        <v>0</v>
      </c>
      <c r="G262" s="69">
        <f>SUMIFS(CT!$H$5:$H$143,CT!$D$5:$D$143,BTHCTVTHH!A262)</f>
        <v>0</v>
      </c>
      <c r="H262" s="69">
        <f>SUMIFS(CT!$F$5:$F$143,CT!$E$5:$E$143,BTHCTVTHH!A262)</f>
        <v>0</v>
      </c>
      <c r="I262" s="69">
        <f>SUMIFS(CT!$H$5:$H$143,CT!$E$5:$E$143,BTHCTVTHH!A262)</f>
        <v>0</v>
      </c>
      <c r="J262" s="69">
        <f t="shared" si="12"/>
        <v>0</v>
      </c>
      <c r="K262" s="69">
        <f t="shared" si="13"/>
        <v>0</v>
      </c>
      <c r="L262" s="69">
        <f t="shared" si="14"/>
        <v>0</v>
      </c>
      <c r="M262" s="65" t="b">
        <f t="shared" si="15"/>
        <v>0</v>
      </c>
    </row>
    <row r="263" spans="1:13" hidden="1" x14ac:dyDescent="0.25">
      <c r="A263" s="93" t="str">
        <f>DMTK!B261</f>
        <v>9111.0202</v>
      </c>
      <c r="B263" s="65" t="str">
        <f>VLOOKUP(A263,DMTK!$B$5:$Q$263,3,0)</f>
        <v>Xác định kết quả kinh doanh (BO)</v>
      </c>
      <c r="C263" s="65" t="str">
        <f>VLOOKUP(A263,DMTK!$B$5:$Q$263,16,0)</f>
        <v xml:space="preserve"> </v>
      </c>
      <c r="D263" s="69">
        <f>VLOOKUP(A263,DMTK!$B$5:$Q$263,4,0)</f>
        <v>0</v>
      </c>
      <c r="E263" s="69">
        <f>VLOOKUP(A263,DMTK!$B$5:$Q$263,5,0)</f>
        <v>0</v>
      </c>
      <c r="F263" s="69">
        <f>SUMIFS(CT!$F$5:$F$143,CT!$D$5:$D$143,BTHCTVTHH!A263)</f>
        <v>0</v>
      </c>
      <c r="G263" s="69">
        <f>SUMIFS(CT!$H$5:$H$143,CT!$D$5:$D$143,BTHCTVTHH!A263)</f>
        <v>31615709</v>
      </c>
      <c r="H263" s="69">
        <f>SUMIFS(CT!$F$5:$F$143,CT!$E$5:$E$143,BTHCTVTHH!A263)</f>
        <v>0</v>
      </c>
      <c r="I263" s="69">
        <f>SUMIFS(CT!$H$5:$H$143,CT!$E$5:$E$143,BTHCTVTHH!A263)</f>
        <v>31615709</v>
      </c>
      <c r="J263" s="69">
        <f t="shared" si="12"/>
        <v>0</v>
      </c>
      <c r="K263" s="69">
        <f t="shared" si="13"/>
        <v>0</v>
      </c>
      <c r="L263" s="69">
        <f t="shared" si="14"/>
        <v>0</v>
      </c>
      <c r="M263" s="65" t="b">
        <f t="shared" si="15"/>
        <v>0</v>
      </c>
    </row>
    <row r="264" spans="1:13" hidden="1" x14ac:dyDescent="0.25">
      <c r="A264" s="93" t="str">
        <f>DMTK!B262</f>
        <v>9111.0203</v>
      </c>
      <c r="B264" s="65" t="str">
        <f>VLOOKUP(A264,DMTK!$B$5:$Q$263,3,0)</f>
        <v>Xác định kết quả kinh doanh (BCN)</v>
      </c>
      <c r="C264" s="65" t="str">
        <f>VLOOKUP(A264,DMTK!$B$5:$Q$263,16,0)</f>
        <v xml:space="preserve"> </v>
      </c>
      <c r="D264" s="69">
        <f>VLOOKUP(A264,DMTK!$B$5:$Q$263,4,0)</f>
        <v>0</v>
      </c>
      <c r="E264" s="69">
        <f>VLOOKUP(A264,DMTK!$B$5:$Q$263,5,0)</f>
        <v>0</v>
      </c>
      <c r="F264" s="69">
        <f>SUMIFS(CT!$F$5:$F$143,CT!$D$5:$D$143,BTHCTVTHH!A264)</f>
        <v>0</v>
      </c>
      <c r="G264" s="69">
        <f>SUMIFS(CT!$H$5:$H$143,CT!$D$5:$D$143,BTHCTVTHH!A264)</f>
        <v>0</v>
      </c>
      <c r="H264" s="69">
        <f>SUMIFS(CT!$F$5:$F$143,CT!$E$5:$E$143,BTHCTVTHH!A264)</f>
        <v>0</v>
      </c>
      <c r="I264" s="69">
        <f>SUMIFS(CT!$H$5:$H$143,CT!$E$5:$E$143,BTHCTVTHH!A264)</f>
        <v>0</v>
      </c>
      <c r="J264" s="69">
        <f t="shared" ref="J264:J265" si="16">D264+F264-H264</f>
        <v>0</v>
      </c>
      <c r="K264" s="69">
        <f t="shared" ref="K264:K265" si="17">E264+G264-I264</f>
        <v>0</v>
      </c>
      <c r="L264" s="69">
        <f t="shared" ref="L264:L265" si="18">IF(J264&lt;&gt;0,K264/J264,0)</f>
        <v>0</v>
      </c>
      <c r="M264" s="65" t="b">
        <f t="shared" ref="M264:M265" si="19">LEFT(A264,3)=$G$2</f>
        <v>0</v>
      </c>
    </row>
    <row r="265" spans="1:13" hidden="1" x14ac:dyDescent="0.25">
      <c r="A265" s="93" t="str">
        <f>DMTK!B263</f>
        <v>9111.0303</v>
      </c>
      <c r="B265" s="65" t="str">
        <f>VLOOKUP(A265,DMTK!$B$5:$Q$263,3,0)</f>
        <v>Xác định kết quả kinh doanh</v>
      </c>
      <c r="C265" s="65" t="str">
        <f>VLOOKUP(A265,DMTK!$B$5:$Q$263,16,0)</f>
        <v xml:space="preserve"> </v>
      </c>
      <c r="D265" s="69">
        <f>VLOOKUP(A265,DMTK!$B$5:$Q$263,4,0)</f>
        <v>0</v>
      </c>
      <c r="E265" s="69">
        <f>VLOOKUP(A265,DMTK!$B$5:$Q$263,5,0)</f>
        <v>0</v>
      </c>
      <c r="F265" s="69">
        <f>SUMIFS(CT!$F$5:$F$143,CT!$D$5:$D$143,BTHCTVTHH!A265)</f>
        <v>0</v>
      </c>
      <c r="G265" s="69">
        <f>SUMIFS(CT!$H$5:$H$143,CT!$D$5:$D$143,BTHCTVTHH!A265)</f>
        <v>0</v>
      </c>
      <c r="H265" s="69">
        <f>SUMIFS(CT!$F$5:$F$143,CT!$E$5:$E$143,BTHCTVTHH!A265)</f>
        <v>0</v>
      </c>
      <c r="I265" s="69">
        <f>SUMIFS(CT!$H$5:$H$143,CT!$E$5:$E$143,BTHCTVTHH!A265)</f>
        <v>0</v>
      </c>
      <c r="J265" s="69">
        <f t="shared" si="16"/>
        <v>0</v>
      </c>
      <c r="K265" s="69">
        <f t="shared" si="17"/>
        <v>0</v>
      </c>
      <c r="L265" s="69">
        <f t="shared" si="18"/>
        <v>0</v>
      </c>
      <c r="M265" s="65" t="b">
        <f t="shared" si="19"/>
        <v>0</v>
      </c>
    </row>
    <row r="266" spans="1:13" x14ac:dyDescent="0.25">
      <c r="B266" s="72" t="s">
        <v>838</v>
      </c>
      <c r="C266" s="72"/>
      <c r="D266" s="81">
        <f>SUBTOTAL(9,D7:D265)</f>
        <v>1549</v>
      </c>
      <c r="E266" s="81">
        <f>SUBTOTAL(9,E7:E265)</f>
        <v>147540000</v>
      </c>
      <c r="F266" s="81">
        <f t="shared" ref="F266:K266" si="20">SUBTOTAL(9,F7:F265)</f>
        <v>505</v>
      </c>
      <c r="G266" s="81">
        <f t="shared" si="20"/>
        <v>32200000</v>
      </c>
      <c r="H266" s="81">
        <f t="shared" si="20"/>
        <v>114</v>
      </c>
      <c r="I266" s="81">
        <f t="shared" si="20"/>
        <v>18078200</v>
      </c>
      <c r="J266" s="81">
        <f t="shared" si="20"/>
        <v>1940</v>
      </c>
      <c r="K266" s="81">
        <f t="shared" si="20"/>
        <v>161661800</v>
      </c>
      <c r="L266" s="81"/>
      <c r="M266" s="72" t="b">
        <v>1</v>
      </c>
    </row>
  </sheetData>
  <autoFilter ref="M4:M266" xr:uid="{F1A85170-29D5-4323-8642-309693813463}">
    <filterColumn colId="0">
      <filters blank="1">
        <filter val="[13]"/>
        <filter val="TRUE"/>
      </filters>
    </filterColumn>
  </autoFilter>
  <mergeCells count="9">
    <mergeCell ref="A1:M1"/>
    <mergeCell ref="A4:A5"/>
    <mergeCell ref="B4:B5"/>
    <mergeCell ref="C4:C5"/>
    <mergeCell ref="D4:E4"/>
    <mergeCell ref="F4:G4"/>
    <mergeCell ref="H4:I4"/>
    <mergeCell ref="J4:L4"/>
    <mergeCell ref="M4:M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4F245-4D3C-46D1-BF77-F2EBA4CE1668}">
  <sheetPr filterMode="1"/>
  <dimension ref="A1:S267"/>
  <sheetViews>
    <sheetView workbookViewId="0">
      <selection activeCell="C3" sqref="C3"/>
    </sheetView>
  </sheetViews>
  <sheetFormatPr defaultRowHeight="13.2" x14ac:dyDescent="0.25"/>
  <cols>
    <col min="1" max="1" width="11.33203125" customWidth="1"/>
    <col min="2" max="2" width="54" customWidth="1"/>
    <col min="4" max="4" width="12.88671875" customWidth="1"/>
    <col min="5" max="5" width="12.77734375" customWidth="1"/>
    <col min="6" max="6" width="19.77734375" customWidth="1"/>
    <col min="7" max="7" width="17.33203125" customWidth="1"/>
    <col min="8" max="8" width="16.6640625" customWidth="1"/>
    <col min="9" max="9" width="19.77734375" customWidth="1"/>
    <col min="10" max="10" width="17.109375" customWidth="1"/>
    <col min="11" max="11" width="21" customWidth="1"/>
    <col min="12" max="12" width="13.88671875" customWidth="1"/>
    <col min="13" max="13" width="12.44140625" customWidth="1"/>
    <col min="14" max="14" width="11.77734375" customWidth="1"/>
    <col min="15" max="15" width="12.44140625" customWidth="1"/>
    <col min="16" max="16" width="11.33203125" customWidth="1"/>
    <col min="17" max="17" width="12.5546875" customWidth="1"/>
    <col min="19" max="19" width="13.6640625" customWidth="1"/>
  </cols>
  <sheetData>
    <row r="1" spans="1:19" ht="17.399999999999999" x14ac:dyDescent="0.3">
      <c r="A1" s="181" t="s">
        <v>906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</row>
    <row r="2" spans="1:19" ht="16.8" x14ac:dyDescent="0.3">
      <c r="A2" s="87"/>
      <c r="B2" s="87"/>
      <c r="C2" s="87"/>
      <c r="D2" s="87"/>
      <c r="E2" s="87"/>
      <c r="H2" s="87" t="s">
        <v>834</v>
      </c>
      <c r="I2" s="101" t="s">
        <v>744</v>
      </c>
      <c r="J2" s="87" t="s">
        <v>872</v>
      </c>
      <c r="K2" s="87" t="str">
        <f>VLOOKUP(I2,HTTK1!$A$5:$F$80,3,0)</f>
        <v>Nguyên liệu, vật liệu</v>
      </c>
      <c r="L2" s="87"/>
    </row>
    <row r="3" spans="1:19" ht="16.8" x14ac:dyDescent="0.3">
      <c r="H3" s="87" t="s">
        <v>921</v>
      </c>
      <c r="I3" s="180">
        <v>45306</v>
      </c>
      <c r="J3" s="87" t="s">
        <v>922</v>
      </c>
      <c r="K3" s="180">
        <v>45322</v>
      </c>
    </row>
    <row r="5" spans="1:19" ht="16.8" x14ac:dyDescent="0.25">
      <c r="A5" s="170" t="s">
        <v>907</v>
      </c>
      <c r="B5" s="170" t="s">
        <v>908</v>
      </c>
      <c r="C5" s="170" t="s">
        <v>220</v>
      </c>
      <c r="D5" s="170" t="s">
        <v>923</v>
      </c>
      <c r="E5" s="170"/>
      <c r="F5" s="170" t="s">
        <v>924</v>
      </c>
      <c r="G5" s="170"/>
      <c r="H5" s="170" t="s">
        <v>925</v>
      </c>
      <c r="I5" s="170"/>
      <c r="J5" s="170" t="s">
        <v>909</v>
      </c>
      <c r="K5" s="170"/>
      <c r="L5" s="182" t="s">
        <v>910</v>
      </c>
      <c r="M5" s="182"/>
      <c r="N5" s="182" t="s">
        <v>911</v>
      </c>
      <c r="O5" s="182"/>
      <c r="P5" s="182" t="s">
        <v>912</v>
      </c>
      <c r="Q5" s="182"/>
      <c r="R5" s="182"/>
    </row>
    <row r="6" spans="1:19" ht="16.8" x14ac:dyDescent="0.25">
      <c r="A6" s="170"/>
      <c r="B6" s="170"/>
      <c r="C6" s="170"/>
      <c r="D6" s="100" t="s">
        <v>885</v>
      </c>
      <c r="E6" s="100" t="s">
        <v>886</v>
      </c>
      <c r="F6" s="100" t="s">
        <v>885</v>
      </c>
      <c r="G6" s="100" t="s">
        <v>886</v>
      </c>
      <c r="H6" s="100" t="s">
        <v>885</v>
      </c>
      <c r="I6" s="100" t="s">
        <v>886</v>
      </c>
      <c r="J6" s="100" t="s">
        <v>885</v>
      </c>
      <c r="K6" s="100" t="s">
        <v>886</v>
      </c>
      <c r="L6" s="100" t="s">
        <v>885</v>
      </c>
      <c r="M6" s="183" t="s">
        <v>926</v>
      </c>
      <c r="N6" s="183" t="s">
        <v>885</v>
      </c>
      <c r="O6" s="183" t="s">
        <v>886</v>
      </c>
      <c r="P6" s="183" t="s">
        <v>885</v>
      </c>
      <c r="Q6" s="183" t="s">
        <v>886</v>
      </c>
      <c r="R6" s="183" t="s">
        <v>882</v>
      </c>
    </row>
    <row r="7" spans="1:19" ht="16.8" x14ac:dyDescent="0.25">
      <c r="A7" s="149">
        <v>1</v>
      </c>
      <c r="B7" s="149">
        <v>2</v>
      </c>
      <c r="C7" s="149">
        <v>3</v>
      </c>
      <c r="D7" s="149">
        <v>4</v>
      </c>
      <c r="E7" s="149">
        <v>5</v>
      </c>
      <c r="F7" s="149">
        <v>6</v>
      </c>
      <c r="G7" s="149">
        <v>7</v>
      </c>
      <c r="H7" s="149">
        <v>8</v>
      </c>
      <c r="I7" s="149">
        <v>9</v>
      </c>
      <c r="J7" s="149">
        <v>10</v>
      </c>
      <c r="K7" s="149">
        <v>11</v>
      </c>
      <c r="L7" s="149">
        <v>12</v>
      </c>
      <c r="M7" s="149">
        <v>13</v>
      </c>
      <c r="N7" s="149">
        <v>14</v>
      </c>
      <c r="O7" s="149">
        <v>15</v>
      </c>
      <c r="P7" s="149">
        <v>16</v>
      </c>
      <c r="Q7" s="149">
        <v>17</v>
      </c>
      <c r="R7" s="149">
        <v>18</v>
      </c>
      <c r="S7" s="184" t="s">
        <v>859</v>
      </c>
    </row>
    <row r="8" spans="1:19" hidden="1" x14ac:dyDescent="0.25">
      <c r="A8" s="93" t="str">
        <f>DMTK!B5</f>
        <v>1111</v>
      </c>
      <c r="B8" s="65" t="str">
        <f>VLOOKUP(A8,DMTK!$B$5:$Q$263,3,0)</f>
        <v>Tiền Việt Nam</v>
      </c>
      <c r="C8" s="65" t="str">
        <f>VLOOKUP(A8,DMTK!$B$5:$Q$263,16,0)</f>
        <v xml:space="preserve"> </v>
      </c>
      <c r="D8" s="69">
        <f>VLOOKUP(A8,DMTK!$B$5:$Q$263,4,0)</f>
        <v>0</v>
      </c>
      <c r="E8" s="69">
        <f>VLOOKUP(A8,DMTK!$B$5:$Q$263,5,0)</f>
        <v>400000000</v>
      </c>
      <c r="F8" s="69">
        <f>SUMIFS(CT!$F$5:$F$143,CT!$A$5:$A$143,"&lt;"&amp;$I$3,CT!$D$5:$D$143,A8)</f>
        <v>0</v>
      </c>
      <c r="G8" s="69">
        <f>SUMIFS(CT!$H$5:$H$143,CT!$A$5:$A$143,"&lt;"&amp;$I$3,CT!$D$5:$D$143,A8)</f>
        <v>25000000</v>
      </c>
      <c r="H8" s="69">
        <f>SUMIFS(CT!$F$5:$F$143,CT!$A$5:$A$143,"&lt;"&amp;$I$3,CT!$E$5:$E$143,A8)</f>
        <v>0</v>
      </c>
      <c r="I8" s="69">
        <f>SUMIFS(CT!$H$5:$H$143,CT!$A$5:$A$143,"&lt;"&amp;$I$3,CT!$E$5:$E$143,A8)</f>
        <v>3100000</v>
      </c>
      <c r="J8" s="69">
        <f>MAX(D8+F8-H8,0)</f>
        <v>0</v>
      </c>
      <c r="K8" s="69">
        <f>MAX(E8+G8-I8,0)</f>
        <v>421900000</v>
      </c>
      <c r="L8" s="69">
        <f>SUMIFS(CT!$F$5:$F$143,CT!$A$5:$A$143,"&gt;="&amp;$I$3,CT!$A$5:$A$143,"&lt;="&amp;$K$3,CT!$D$5:$D$143,A8)</f>
        <v>0</v>
      </c>
      <c r="M8" s="69">
        <f>SUMIFS(CT!$H$5:$H$143,CT!$A$5:$A$143,"&gt;="&amp;$I$3,CT!$A$5:$A$143,"&lt;="&amp;$K$3,CT!$D$5:$D$143,A8)</f>
        <v>200000</v>
      </c>
      <c r="N8" s="69">
        <f>SUMIFS(CT!$F$5:$F$143,CT!$A$5:$A$143,"&gt;="&amp;$I$3,CT!$A$5:$A$143,"&lt;="&amp;$K$3,CT!$E$5:$E$143,A8)</f>
        <v>0</v>
      </c>
      <c r="O8" s="69">
        <f>SUMIFS(CT!$H$5:$H$143,CT!$A$5:$A$143,"&gt;="&amp;$I$3,CT!$A$5:$A$143,"&lt;="&amp;$K$3,CT!$E$5:$E$143,A8)</f>
        <v>401000000</v>
      </c>
      <c r="P8" s="69">
        <f>MAX(J8+L8-N8,0)</f>
        <v>0</v>
      </c>
      <c r="Q8" s="69">
        <f>MAX(K8+M8-O8,0)</f>
        <v>21100000</v>
      </c>
      <c r="R8" s="69">
        <f>IF(P8&lt;&gt;0,Q8/P8,0)</f>
        <v>0</v>
      </c>
      <c r="S8" t="b">
        <f>LEFT(A8,LEN($I$2))=$I$2</f>
        <v>0</v>
      </c>
    </row>
    <row r="9" spans="1:19" hidden="1" x14ac:dyDescent="0.25">
      <c r="A9" s="93" t="str">
        <f>DMTK!B6</f>
        <v>1112</v>
      </c>
      <c r="B9" s="65" t="str">
        <f>VLOOKUP(A9,DMTK!$B$5:$Q$263,3,0)</f>
        <v>Ngoại tệ</v>
      </c>
      <c r="C9" s="65" t="str">
        <f>VLOOKUP(A9,DMTK!$B$5:$Q$263,16,0)</f>
        <v xml:space="preserve"> </v>
      </c>
      <c r="D9" s="69">
        <f>VLOOKUP(A9,DMTK!$B$5:$Q$263,4,0)</f>
        <v>0</v>
      </c>
      <c r="E9" s="69">
        <f>VLOOKUP(A9,DMTK!$B$5:$Q$263,5,0)</f>
        <v>0</v>
      </c>
      <c r="F9" s="69">
        <f>SUMIFS(CT!$F$5:$F$143,CT!$A$5:$A$143,"&lt;"&amp;$I$3,CT!$D$5:$D$143,A9)</f>
        <v>0</v>
      </c>
      <c r="G9" s="69">
        <f>SUMIFS(CT!$H$5:$H$143,CT!$A$5:$A$143,"&lt;"&amp;$I$3,CT!$D$5:$D$143,A9)</f>
        <v>0</v>
      </c>
      <c r="H9" s="69">
        <f>SUMIFS(CT!$F$5:$F$143,CT!$A$5:$A$143,"&lt;"&amp;$I$3,CT!$E$5:$E$143,A9)</f>
        <v>0</v>
      </c>
      <c r="I9" s="69">
        <f>SUMIFS(CT!$H$5:$H$143,CT!$A$5:$A$143,"&lt;"&amp;$I$3,CT!$E$5:$E$143,A9)</f>
        <v>0</v>
      </c>
      <c r="J9" s="69">
        <f t="shared" ref="J9:J72" si="0">MAX(D9+F9-H9,0)</f>
        <v>0</v>
      </c>
      <c r="K9" s="69">
        <f t="shared" ref="K9:K72" si="1">MAX(E9+G9-I9,0)</f>
        <v>0</v>
      </c>
      <c r="L9" s="69">
        <f>SUMIFS(CT!$F$5:$F$143,CT!$A$5:$A$143,"&gt;="&amp;$I$3,CT!$A$5:$A$143,"&lt;="&amp;$K$3,CT!$D$5:$D$143,A9)</f>
        <v>0</v>
      </c>
      <c r="M9" s="69">
        <f>SUMIFS(CT!$H$5:$H$143,CT!$A$5:$A$143,"&gt;="&amp;$I$3,CT!$A$5:$A$143,"&lt;="&amp;$K$3,CT!$D$5:$D$143,A9)</f>
        <v>0</v>
      </c>
      <c r="N9" s="69">
        <f>SUMIFS(CT!$F$5:$F$143,CT!$A$5:$A$143,"&gt;="&amp;$I$3,CT!$A$5:$A$143,"&lt;="&amp;$K$3,CT!$E$5:$E$143,A9)</f>
        <v>0</v>
      </c>
      <c r="O9" s="69">
        <f>SUMIFS(CT!$H$5:$H$143,CT!$A$5:$A$143,"&gt;="&amp;$I$3,CT!$A$5:$A$143,"&lt;="&amp;$K$3,CT!$E$5:$E$143,A9)</f>
        <v>0</v>
      </c>
      <c r="P9" s="69">
        <f t="shared" ref="P9:P72" si="2">MAX(J9+L9-N9,0)</f>
        <v>0</v>
      </c>
      <c r="Q9" s="69">
        <f t="shared" ref="Q9:Q72" si="3">MAX(K9+M9-O9,0)</f>
        <v>0</v>
      </c>
      <c r="R9" s="69">
        <f t="shared" ref="R9:R72" si="4">IF(P9&lt;&gt;0,Q9/P9,0)</f>
        <v>0</v>
      </c>
      <c r="S9" t="b">
        <f t="shared" ref="S9:S72" si="5">LEFT(A9,LEN($I$2))=$I$2</f>
        <v>0</v>
      </c>
    </row>
    <row r="10" spans="1:19" hidden="1" x14ac:dyDescent="0.25">
      <c r="A10" s="93" t="str">
        <f>DMTK!B7</f>
        <v>1113</v>
      </c>
      <c r="B10" s="65" t="str">
        <f>VLOOKUP(A10,DMTK!$B$5:$Q$263,3,0)</f>
        <v>Vàng tiền tệ</v>
      </c>
      <c r="C10" s="65" t="str">
        <f>VLOOKUP(A10,DMTK!$B$5:$Q$263,16,0)</f>
        <v xml:space="preserve"> </v>
      </c>
      <c r="D10" s="69">
        <f>VLOOKUP(A10,DMTK!$B$5:$Q$263,4,0)</f>
        <v>0</v>
      </c>
      <c r="E10" s="69">
        <f>VLOOKUP(A10,DMTK!$B$5:$Q$263,5,0)</f>
        <v>0</v>
      </c>
      <c r="F10" s="69">
        <f>SUMIFS(CT!$F$5:$F$143,CT!$A$5:$A$143,"&lt;"&amp;$I$3,CT!$D$5:$D$143,A10)</f>
        <v>0</v>
      </c>
      <c r="G10" s="69">
        <f>SUMIFS(CT!$H$5:$H$143,CT!$A$5:$A$143,"&lt;"&amp;$I$3,CT!$D$5:$D$143,A10)</f>
        <v>0</v>
      </c>
      <c r="H10" s="69">
        <f>SUMIFS(CT!$F$5:$F$143,CT!$A$5:$A$143,"&lt;"&amp;$I$3,CT!$E$5:$E$143,A10)</f>
        <v>0</v>
      </c>
      <c r="I10" s="69">
        <f>SUMIFS(CT!$H$5:$H$143,CT!$A$5:$A$143,"&lt;"&amp;$I$3,CT!$E$5:$E$143,A10)</f>
        <v>0</v>
      </c>
      <c r="J10" s="69">
        <f t="shared" si="0"/>
        <v>0</v>
      </c>
      <c r="K10" s="69">
        <f t="shared" si="1"/>
        <v>0</v>
      </c>
      <c r="L10" s="69">
        <f>SUMIFS(CT!$F$5:$F$143,CT!$A$5:$A$143,"&gt;="&amp;$I$3,CT!$A$5:$A$143,"&lt;="&amp;$K$3,CT!$D$5:$D$143,A10)</f>
        <v>0</v>
      </c>
      <c r="M10" s="69">
        <f>SUMIFS(CT!$H$5:$H$143,CT!$A$5:$A$143,"&gt;="&amp;$I$3,CT!$A$5:$A$143,"&lt;="&amp;$K$3,CT!$D$5:$D$143,A10)</f>
        <v>0</v>
      </c>
      <c r="N10" s="69">
        <f>SUMIFS(CT!$F$5:$F$143,CT!$A$5:$A$143,"&gt;="&amp;$I$3,CT!$A$5:$A$143,"&lt;="&amp;$K$3,CT!$E$5:$E$143,A10)</f>
        <v>0</v>
      </c>
      <c r="O10" s="69">
        <f>SUMIFS(CT!$H$5:$H$143,CT!$A$5:$A$143,"&gt;="&amp;$I$3,CT!$A$5:$A$143,"&lt;="&amp;$K$3,CT!$E$5:$E$143,A10)</f>
        <v>0</v>
      </c>
      <c r="P10" s="69">
        <f t="shared" si="2"/>
        <v>0</v>
      </c>
      <c r="Q10" s="69">
        <f t="shared" si="3"/>
        <v>0</v>
      </c>
      <c r="R10" s="69">
        <f t="shared" si="4"/>
        <v>0</v>
      </c>
      <c r="S10" t="b">
        <f t="shared" si="5"/>
        <v>0</v>
      </c>
    </row>
    <row r="11" spans="1:19" hidden="1" x14ac:dyDescent="0.25">
      <c r="A11" s="93" t="str">
        <f>DMTK!B8</f>
        <v>1121.01</v>
      </c>
      <c r="B11" s="65" t="str">
        <f>VLOOKUP(A11,DMTK!$B$5:$Q$263,3,0)</f>
        <v>Tiền Việt Nam NH Ngoại Thương</v>
      </c>
      <c r="C11" s="65" t="str">
        <f>VLOOKUP(A11,DMTK!$B$5:$Q$263,16,0)</f>
        <v xml:space="preserve"> </v>
      </c>
      <c r="D11" s="69">
        <f>VLOOKUP(A11,DMTK!$B$5:$Q$263,4,0)</f>
        <v>0</v>
      </c>
      <c r="E11" s="69">
        <f>VLOOKUP(A11,DMTK!$B$5:$Q$263,5,0)</f>
        <v>258221000</v>
      </c>
      <c r="F11" s="69">
        <f>SUMIFS(CT!$F$5:$F$143,CT!$A$5:$A$143,"&lt;"&amp;$I$3,CT!$D$5:$D$143,A11)</f>
        <v>0</v>
      </c>
      <c r="G11" s="69">
        <f>SUMIFS(CT!$H$5:$H$143,CT!$A$5:$A$143,"&lt;"&amp;$I$3,CT!$D$5:$D$143,A11)</f>
        <v>0</v>
      </c>
      <c r="H11" s="69">
        <f>SUMIFS(CT!$F$5:$F$143,CT!$A$5:$A$143,"&lt;"&amp;$I$3,CT!$E$5:$E$143,A11)</f>
        <v>0</v>
      </c>
      <c r="I11" s="69">
        <f>SUMIFS(CT!$H$5:$H$143,CT!$A$5:$A$143,"&lt;"&amp;$I$3,CT!$E$5:$E$143,A11)</f>
        <v>0</v>
      </c>
      <c r="J11" s="69">
        <f t="shared" si="0"/>
        <v>0</v>
      </c>
      <c r="K11" s="69">
        <f t="shared" si="1"/>
        <v>258221000</v>
      </c>
      <c r="L11" s="69">
        <f>SUMIFS(CT!$F$5:$F$143,CT!$A$5:$A$143,"&gt;="&amp;$I$3,CT!$A$5:$A$143,"&lt;="&amp;$K$3,CT!$D$5:$D$143,A11)</f>
        <v>0</v>
      </c>
      <c r="M11" s="69">
        <f>SUMIFS(CT!$H$5:$H$143,CT!$A$5:$A$143,"&gt;="&amp;$I$3,CT!$A$5:$A$143,"&lt;="&amp;$K$3,CT!$D$5:$D$143,A11)</f>
        <v>0</v>
      </c>
      <c r="N11" s="69">
        <f>SUMIFS(CT!$F$5:$F$143,CT!$A$5:$A$143,"&gt;="&amp;$I$3,CT!$A$5:$A$143,"&lt;="&amp;$K$3,CT!$E$5:$E$143,A11)</f>
        <v>0</v>
      </c>
      <c r="O11" s="69">
        <f>SUMIFS(CT!$H$5:$H$143,CT!$A$5:$A$143,"&gt;="&amp;$I$3,CT!$A$5:$A$143,"&lt;="&amp;$K$3,CT!$E$5:$E$143,A11)</f>
        <v>90000000</v>
      </c>
      <c r="P11" s="69">
        <f t="shared" si="2"/>
        <v>0</v>
      </c>
      <c r="Q11" s="69">
        <f t="shared" si="3"/>
        <v>168221000</v>
      </c>
      <c r="R11" s="69">
        <f t="shared" si="4"/>
        <v>0</v>
      </c>
      <c r="S11" t="b">
        <f t="shared" si="5"/>
        <v>0</v>
      </c>
    </row>
    <row r="12" spans="1:19" hidden="1" x14ac:dyDescent="0.25">
      <c r="A12" s="93" t="str">
        <f>DMTK!B9</f>
        <v>1121.02</v>
      </c>
      <c r="B12" s="65" t="str">
        <f>VLOOKUP(A12,DMTK!$B$5:$Q$263,3,0)</f>
        <v>Tiền Việt Nam NH Đông Á</v>
      </c>
      <c r="C12" s="65" t="str">
        <f>VLOOKUP(A12,DMTK!$B$5:$Q$263,16,0)</f>
        <v xml:space="preserve"> </v>
      </c>
      <c r="D12" s="69">
        <f>VLOOKUP(A12,DMTK!$B$5:$Q$263,4,0)</f>
        <v>0</v>
      </c>
      <c r="E12" s="69">
        <f>VLOOKUP(A12,DMTK!$B$5:$Q$263,5,0)</f>
        <v>60000000</v>
      </c>
      <c r="F12" s="69">
        <f>SUMIFS(CT!$F$5:$F$143,CT!$A$5:$A$143,"&lt;"&amp;$I$3,CT!$D$5:$D$143,A12)</f>
        <v>0</v>
      </c>
      <c r="G12" s="69">
        <f>SUMIFS(CT!$H$5:$H$143,CT!$A$5:$A$143,"&lt;"&amp;$I$3,CT!$D$5:$D$143,A12)</f>
        <v>0</v>
      </c>
      <c r="H12" s="69">
        <f>SUMIFS(CT!$F$5:$F$143,CT!$A$5:$A$143,"&lt;"&amp;$I$3,CT!$E$5:$E$143,A12)</f>
        <v>0</v>
      </c>
      <c r="I12" s="69">
        <f>SUMIFS(CT!$H$5:$H$143,CT!$A$5:$A$143,"&lt;"&amp;$I$3,CT!$E$5:$E$143,A12)</f>
        <v>0</v>
      </c>
      <c r="J12" s="69">
        <f t="shared" si="0"/>
        <v>0</v>
      </c>
      <c r="K12" s="69">
        <f t="shared" si="1"/>
        <v>60000000</v>
      </c>
      <c r="L12" s="69">
        <f>SUMIFS(CT!$F$5:$F$143,CT!$A$5:$A$143,"&gt;="&amp;$I$3,CT!$A$5:$A$143,"&lt;="&amp;$K$3,CT!$D$5:$D$143,A12)</f>
        <v>0</v>
      </c>
      <c r="M12" s="69">
        <f>SUMIFS(CT!$H$5:$H$143,CT!$A$5:$A$143,"&gt;="&amp;$I$3,CT!$A$5:$A$143,"&lt;="&amp;$K$3,CT!$D$5:$D$143,A12)</f>
        <v>30000000</v>
      </c>
      <c r="N12" s="69">
        <f>SUMIFS(CT!$F$5:$F$143,CT!$A$5:$A$143,"&gt;="&amp;$I$3,CT!$A$5:$A$143,"&lt;="&amp;$K$3,CT!$E$5:$E$143,A12)</f>
        <v>0</v>
      </c>
      <c r="O12" s="69">
        <f>SUMIFS(CT!$H$5:$H$143,CT!$A$5:$A$143,"&gt;="&amp;$I$3,CT!$A$5:$A$143,"&lt;="&amp;$K$3,CT!$E$5:$E$143,A12)</f>
        <v>0</v>
      </c>
      <c r="P12" s="69">
        <f t="shared" si="2"/>
        <v>0</v>
      </c>
      <c r="Q12" s="69">
        <f t="shared" si="3"/>
        <v>90000000</v>
      </c>
      <c r="R12" s="69">
        <f t="shared" si="4"/>
        <v>0</v>
      </c>
      <c r="S12" t="b">
        <f t="shared" si="5"/>
        <v>0</v>
      </c>
    </row>
    <row r="13" spans="1:19" hidden="1" x14ac:dyDescent="0.25">
      <c r="A13" s="93" t="str">
        <f>DMTK!B10</f>
        <v>1121.03</v>
      </c>
      <c r="B13" s="65" t="str">
        <f>VLOOKUP(A13,DMTK!$B$5:$Q$263,3,0)</f>
        <v>Tiền Việt Nam NH Á Châu</v>
      </c>
      <c r="C13" s="65" t="str">
        <f>VLOOKUP(A13,DMTK!$B$5:$Q$263,16,0)</f>
        <v xml:space="preserve"> </v>
      </c>
      <c r="D13" s="69">
        <f>VLOOKUP(A13,DMTK!$B$5:$Q$263,4,0)</f>
        <v>0</v>
      </c>
      <c r="E13" s="69">
        <f>VLOOKUP(A13,DMTK!$B$5:$Q$263,5,0)</f>
        <v>40000000</v>
      </c>
      <c r="F13" s="69">
        <f>SUMIFS(CT!$F$5:$F$143,CT!$A$5:$A$143,"&lt;"&amp;$I$3,CT!$D$5:$D$143,A13)</f>
        <v>0</v>
      </c>
      <c r="G13" s="69">
        <f>SUMIFS(CT!$H$5:$H$143,CT!$A$5:$A$143,"&lt;"&amp;$I$3,CT!$D$5:$D$143,A13)</f>
        <v>0</v>
      </c>
      <c r="H13" s="69">
        <f>SUMIFS(CT!$F$5:$F$143,CT!$A$5:$A$143,"&lt;"&amp;$I$3,CT!$E$5:$E$143,A13)</f>
        <v>0</v>
      </c>
      <c r="I13" s="69">
        <f>SUMIFS(CT!$H$5:$H$143,CT!$A$5:$A$143,"&lt;"&amp;$I$3,CT!$E$5:$E$143,A13)</f>
        <v>0</v>
      </c>
      <c r="J13" s="69">
        <f t="shared" si="0"/>
        <v>0</v>
      </c>
      <c r="K13" s="69">
        <f t="shared" si="1"/>
        <v>40000000</v>
      </c>
      <c r="L13" s="69">
        <f>SUMIFS(CT!$F$5:$F$143,CT!$A$5:$A$143,"&gt;="&amp;$I$3,CT!$A$5:$A$143,"&lt;="&amp;$K$3,CT!$D$5:$D$143,A13)</f>
        <v>0</v>
      </c>
      <c r="M13" s="69">
        <f>SUMIFS(CT!$H$5:$H$143,CT!$A$5:$A$143,"&gt;="&amp;$I$3,CT!$A$5:$A$143,"&lt;="&amp;$K$3,CT!$D$5:$D$143,A13)</f>
        <v>0</v>
      </c>
      <c r="N13" s="69">
        <f>SUMIFS(CT!$F$5:$F$143,CT!$A$5:$A$143,"&gt;="&amp;$I$3,CT!$A$5:$A$143,"&lt;="&amp;$K$3,CT!$E$5:$E$143,A13)</f>
        <v>0</v>
      </c>
      <c r="O13" s="69">
        <f>SUMIFS(CT!$H$5:$H$143,CT!$A$5:$A$143,"&gt;="&amp;$I$3,CT!$A$5:$A$143,"&lt;="&amp;$K$3,CT!$E$5:$E$143,A13)</f>
        <v>0</v>
      </c>
      <c r="P13" s="69">
        <f t="shared" si="2"/>
        <v>0</v>
      </c>
      <c r="Q13" s="69">
        <f t="shared" si="3"/>
        <v>40000000</v>
      </c>
      <c r="R13" s="69">
        <f t="shared" si="4"/>
        <v>0</v>
      </c>
      <c r="S13" t="b">
        <f t="shared" si="5"/>
        <v>0</v>
      </c>
    </row>
    <row r="14" spans="1:19" hidden="1" x14ac:dyDescent="0.25">
      <c r="A14" s="93" t="str">
        <f>DMTK!B11</f>
        <v>1122</v>
      </c>
      <c r="B14" s="65" t="str">
        <f>VLOOKUP(A14,DMTK!$B$5:$Q$263,3,0)</f>
        <v>Ngoại tệ</v>
      </c>
      <c r="C14" s="65" t="str">
        <f>VLOOKUP(A14,DMTK!$B$5:$Q$263,16,0)</f>
        <v xml:space="preserve"> </v>
      </c>
      <c r="D14" s="69">
        <f>VLOOKUP(A14,DMTK!$B$5:$Q$263,4,0)</f>
        <v>0</v>
      </c>
      <c r="E14" s="69">
        <f>VLOOKUP(A14,DMTK!$B$5:$Q$263,5,0)</f>
        <v>0</v>
      </c>
      <c r="F14" s="69">
        <f>SUMIFS(CT!$F$5:$F$143,CT!$A$5:$A$143,"&lt;"&amp;$I$3,CT!$D$5:$D$143,A14)</f>
        <v>0</v>
      </c>
      <c r="G14" s="69">
        <f>SUMIFS(CT!$H$5:$H$143,CT!$A$5:$A$143,"&lt;"&amp;$I$3,CT!$D$5:$D$143,A14)</f>
        <v>0</v>
      </c>
      <c r="H14" s="69">
        <f>SUMIFS(CT!$F$5:$F$143,CT!$A$5:$A$143,"&lt;"&amp;$I$3,CT!$E$5:$E$143,A14)</f>
        <v>0</v>
      </c>
      <c r="I14" s="69">
        <f>SUMIFS(CT!$H$5:$H$143,CT!$A$5:$A$143,"&lt;"&amp;$I$3,CT!$E$5:$E$143,A14)</f>
        <v>0</v>
      </c>
      <c r="J14" s="69">
        <f t="shared" si="0"/>
        <v>0</v>
      </c>
      <c r="K14" s="69">
        <f t="shared" si="1"/>
        <v>0</v>
      </c>
      <c r="L14" s="69">
        <f>SUMIFS(CT!$F$5:$F$143,CT!$A$5:$A$143,"&gt;="&amp;$I$3,CT!$A$5:$A$143,"&lt;="&amp;$K$3,CT!$D$5:$D$143,A14)</f>
        <v>0</v>
      </c>
      <c r="M14" s="69">
        <f>SUMIFS(CT!$H$5:$H$143,CT!$A$5:$A$143,"&gt;="&amp;$I$3,CT!$A$5:$A$143,"&lt;="&amp;$K$3,CT!$D$5:$D$143,A14)</f>
        <v>0</v>
      </c>
      <c r="N14" s="69">
        <f>SUMIFS(CT!$F$5:$F$143,CT!$A$5:$A$143,"&gt;="&amp;$I$3,CT!$A$5:$A$143,"&lt;="&amp;$K$3,CT!$E$5:$E$143,A14)</f>
        <v>0</v>
      </c>
      <c r="O14" s="69">
        <f>SUMIFS(CT!$H$5:$H$143,CT!$A$5:$A$143,"&gt;="&amp;$I$3,CT!$A$5:$A$143,"&lt;="&amp;$K$3,CT!$E$5:$E$143,A14)</f>
        <v>0</v>
      </c>
      <c r="P14" s="69">
        <f t="shared" si="2"/>
        <v>0</v>
      </c>
      <c r="Q14" s="69">
        <f t="shared" si="3"/>
        <v>0</v>
      </c>
      <c r="R14" s="69">
        <f t="shared" si="4"/>
        <v>0</v>
      </c>
      <c r="S14" t="b">
        <f t="shared" si="5"/>
        <v>0</v>
      </c>
    </row>
    <row r="15" spans="1:19" hidden="1" x14ac:dyDescent="0.25">
      <c r="A15" s="93" t="str">
        <f>DMTK!B12</f>
        <v>1123</v>
      </c>
      <c r="B15" s="65" t="str">
        <f>VLOOKUP(A15,DMTK!$B$5:$Q$263,3,0)</f>
        <v>Vàng tiền tệ</v>
      </c>
      <c r="C15" s="65" t="str">
        <f>VLOOKUP(A15,DMTK!$B$5:$Q$263,16,0)</f>
        <v xml:space="preserve"> </v>
      </c>
      <c r="D15" s="69">
        <f>VLOOKUP(A15,DMTK!$B$5:$Q$263,4,0)</f>
        <v>0</v>
      </c>
      <c r="E15" s="69">
        <f>VLOOKUP(A15,DMTK!$B$5:$Q$263,5,0)</f>
        <v>0</v>
      </c>
      <c r="F15" s="69">
        <f>SUMIFS(CT!$F$5:$F$143,CT!$A$5:$A$143,"&lt;"&amp;$I$3,CT!$D$5:$D$143,A15)</f>
        <v>0</v>
      </c>
      <c r="G15" s="69">
        <f>SUMIFS(CT!$H$5:$H$143,CT!$A$5:$A$143,"&lt;"&amp;$I$3,CT!$D$5:$D$143,A15)</f>
        <v>0</v>
      </c>
      <c r="H15" s="69">
        <f>SUMIFS(CT!$F$5:$F$143,CT!$A$5:$A$143,"&lt;"&amp;$I$3,CT!$E$5:$E$143,A15)</f>
        <v>0</v>
      </c>
      <c r="I15" s="69">
        <f>SUMIFS(CT!$H$5:$H$143,CT!$A$5:$A$143,"&lt;"&amp;$I$3,CT!$E$5:$E$143,A15)</f>
        <v>0</v>
      </c>
      <c r="J15" s="69">
        <f t="shared" si="0"/>
        <v>0</v>
      </c>
      <c r="K15" s="69">
        <f t="shared" si="1"/>
        <v>0</v>
      </c>
      <c r="L15" s="69">
        <f>SUMIFS(CT!$F$5:$F$143,CT!$A$5:$A$143,"&gt;="&amp;$I$3,CT!$A$5:$A$143,"&lt;="&amp;$K$3,CT!$D$5:$D$143,A15)</f>
        <v>0</v>
      </c>
      <c r="M15" s="69">
        <f>SUMIFS(CT!$H$5:$H$143,CT!$A$5:$A$143,"&gt;="&amp;$I$3,CT!$A$5:$A$143,"&lt;="&amp;$K$3,CT!$D$5:$D$143,A15)</f>
        <v>0</v>
      </c>
      <c r="N15" s="69">
        <f>SUMIFS(CT!$F$5:$F$143,CT!$A$5:$A$143,"&gt;="&amp;$I$3,CT!$A$5:$A$143,"&lt;="&amp;$K$3,CT!$E$5:$E$143,A15)</f>
        <v>0</v>
      </c>
      <c r="O15" s="69">
        <f>SUMIFS(CT!$H$5:$H$143,CT!$A$5:$A$143,"&gt;="&amp;$I$3,CT!$A$5:$A$143,"&lt;="&amp;$K$3,CT!$E$5:$E$143,A15)</f>
        <v>0</v>
      </c>
      <c r="P15" s="69">
        <f t="shared" si="2"/>
        <v>0</v>
      </c>
      <c r="Q15" s="69">
        <f t="shared" si="3"/>
        <v>0</v>
      </c>
      <c r="R15" s="69">
        <f t="shared" si="4"/>
        <v>0</v>
      </c>
      <c r="S15" t="b">
        <f t="shared" si="5"/>
        <v>0</v>
      </c>
    </row>
    <row r="16" spans="1:19" hidden="1" x14ac:dyDescent="0.25">
      <c r="A16" s="93" t="str">
        <f>DMTK!B13</f>
        <v>1131</v>
      </c>
      <c r="B16" s="65" t="str">
        <f>VLOOKUP(A16,DMTK!$B$5:$Q$263,3,0)</f>
        <v>Tiền Việt Nam</v>
      </c>
      <c r="C16" s="65" t="str">
        <f>VLOOKUP(A16,DMTK!$B$5:$Q$263,16,0)</f>
        <v xml:space="preserve"> </v>
      </c>
      <c r="D16" s="69">
        <f>VLOOKUP(A16,DMTK!$B$5:$Q$263,4,0)</f>
        <v>0</v>
      </c>
      <c r="E16" s="69">
        <f>VLOOKUP(A16,DMTK!$B$5:$Q$263,5,0)</f>
        <v>0</v>
      </c>
      <c r="F16" s="69">
        <f>SUMIFS(CT!$F$5:$F$143,CT!$A$5:$A$143,"&lt;"&amp;$I$3,CT!$D$5:$D$143,A16)</f>
        <v>0</v>
      </c>
      <c r="G16" s="69">
        <f>SUMIFS(CT!$H$5:$H$143,CT!$A$5:$A$143,"&lt;"&amp;$I$3,CT!$D$5:$D$143,A16)</f>
        <v>0</v>
      </c>
      <c r="H16" s="69">
        <f>SUMIFS(CT!$F$5:$F$143,CT!$A$5:$A$143,"&lt;"&amp;$I$3,CT!$E$5:$E$143,A16)</f>
        <v>0</v>
      </c>
      <c r="I16" s="69">
        <f>SUMIFS(CT!$H$5:$H$143,CT!$A$5:$A$143,"&lt;"&amp;$I$3,CT!$E$5:$E$143,A16)</f>
        <v>0</v>
      </c>
      <c r="J16" s="69">
        <f t="shared" si="0"/>
        <v>0</v>
      </c>
      <c r="K16" s="69">
        <f t="shared" si="1"/>
        <v>0</v>
      </c>
      <c r="L16" s="69">
        <f>SUMIFS(CT!$F$5:$F$143,CT!$A$5:$A$143,"&gt;="&amp;$I$3,CT!$A$5:$A$143,"&lt;="&amp;$K$3,CT!$D$5:$D$143,A16)</f>
        <v>0</v>
      </c>
      <c r="M16" s="69">
        <f>SUMIFS(CT!$H$5:$H$143,CT!$A$5:$A$143,"&gt;="&amp;$I$3,CT!$A$5:$A$143,"&lt;="&amp;$K$3,CT!$D$5:$D$143,A16)</f>
        <v>0</v>
      </c>
      <c r="N16" s="69">
        <f>SUMIFS(CT!$F$5:$F$143,CT!$A$5:$A$143,"&gt;="&amp;$I$3,CT!$A$5:$A$143,"&lt;="&amp;$K$3,CT!$E$5:$E$143,A16)</f>
        <v>0</v>
      </c>
      <c r="O16" s="69">
        <f>SUMIFS(CT!$H$5:$H$143,CT!$A$5:$A$143,"&gt;="&amp;$I$3,CT!$A$5:$A$143,"&lt;="&amp;$K$3,CT!$E$5:$E$143,A16)</f>
        <v>0</v>
      </c>
      <c r="P16" s="69">
        <f t="shared" si="2"/>
        <v>0</v>
      </c>
      <c r="Q16" s="69">
        <f t="shared" si="3"/>
        <v>0</v>
      </c>
      <c r="R16" s="69">
        <f t="shared" si="4"/>
        <v>0</v>
      </c>
      <c r="S16" t="b">
        <f t="shared" si="5"/>
        <v>0</v>
      </c>
    </row>
    <row r="17" spans="1:19" hidden="1" x14ac:dyDescent="0.25">
      <c r="A17" s="93" t="str">
        <f>DMTK!B14</f>
        <v>1132</v>
      </c>
      <c r="B17" s="65" t="str">
        <f>VLOOKUP(A17,DMTK!$B$5:$Q$263,3,0)</f>
        <v>Ngoại tệ</v>
      </c>
      <c r="C17" s="65" t="str">
        <f>VLOOKUP(A17,DMTK!$B$5:$Q$263,16,0)</f>
        <v xml:space="preserve"> </v>
      </c>
      <c r="D17" s="69">
        <f>VLOOKUP(A17,DMTK!$B$5:$Q$263,4,0)</f>
        <v>0</v>
      </c>
      <c r="E17" s="69">
        <f>VLOOKUP(A17,DMTK!$B$5:$Q$263,5,0)</f>
        <v>0</v>
      </c>
      <c r="F17" s="69">
        <f>SUMIFS(CT!$F$5:$F$143,CT!$A$5:$A$143,"&lt;"&amp;$I$3,CT!$D$5:$D$143,A17)</f>
        <v>0</v>
      </c>
      <c r="G17" s="69">
        <f>SUMIFS(CT!$H$5:$H$143,CT!$A$5:$A$143,"&lt;"&amp;$I$3,CT!$D$5:$D$143,A17)</f>
        <v>0</v>
      </c>
      <c r="H17" s="69">
        <f>SUMIFS(CT!$F$5:$F$143,CT!$A$5:$A$143,"&lt;"&amp;$I$3,CT!$E$5:$E$143,A17)</f>
        <v>0</v>
      </c>
      <c r="I17" s="69">
        <f>SUMIFS(CT!$H$5:$H$143,CT!$A$5:$A$143,"&lt;"&amp;$I$3,CT!$E$5:$E$143,A17)</f>
        <v>0</v>
      </c>
      <c r="J17" s="69">
        <f t="shared" si="0"/>
        <v>0</v>
      </c>
      <c r="K17" s="69">
        <f t="shared" si="1"/>
        <v>0</v>
      </c>
      <c r="L17" s="69">
        <f>SUMIFS(CT!$F$5:$F$143,CT!$A$5:$A$143,"&gt;="&amp;$I$3,CT!$A$5:$A$143,"&lt;="&amp;$K$3,CT!$D$5:$D$143,A17)</f>
        <v>0</v>
      </c>
      <c r="M17" s="69">
        <f>SUMIFS(CT!$H$5:$H$143,CT!$A$5:$A$143,"&gt;="&amp;$I$3,CT!$A$5:$A$143,"&lt;="&amp;$K$3,CT!$D$5:$D$143,A17)</f>
        <v>0</v>
      </c>
      <c r="N17" s="69">
        <f>SUMIFS(CT!$F$5:$F$143,CT!$A$5:$A$143,"&gt;="&amp;$I$3,CT!$A$5:$A$143,"&lt;="&amp;$K$3,CT!$E$5:$E$143,A17)</f>
        <v>0</v>
      </c>
      <c r="O17" s="69">
        <f>SUMIFS(CT!$H$5:$H$143,CT!$A$5:$A$143,"&gt;="&amp;$I$3,CT!$A$5:$A$143,"&lt;="&amp;$K$3,CT!$E$5:$E$143,A17)</f>
        <v>0</v>
      </c>
      <c r="P17" s="69">
        <f t="shared" si="2"/>
        <v>0</v>
      </c>
      <c r="Q17" s="69">
        <f t="shared" si="3"/>
        <v>0</v>
      </c>
      <c r="R17" s="69">
        <f t="shared" si="4"/>
        <v>0</v>
      </c>
      <c r="S17" t="b">
        <f t="shared" si="5"/>
        <v>0</v>
      </c>
    </row>
    <row r="18" spans="1:19" hidden="1" x14ac:dyDescent="0.25">
      <c r="A18" s="93" t="str">
        <f>DMTK!B15</f>
        <v>1211</v>
      </c>
      <c r="B18" s="65" t="str">
        <f>VLOOKUP(A18,DMTK!$B$5:$Q$263,3,0)</f>
        <v xml:space="preserve">Cổ phiếu </v>
      </c>
      <c r="C18" s="65" t="str">
        <f>VLOOKUP(A18,DMTK!$B$5:$Q$263,16,0)</f>
        <v xml:space="preserve"> </v>
      </c>
      <c r="D18" s="69">
        <f>VLOOKUP(A18,DMTK!$B$5:$Q$263,4,0)</f>
        <v>0</v>
      </c>
      <c r="E18" s="69">
        <f>VLOOKUP(A18,DMTK!$B$5:$Q$263,5,0)</f>
        <v>0</v>
      </c>
      <c r="F18" s="69">
        <f>SUMIFS(CT!$F$5:$F$143,CT!$A$5:$A$143,"&lt;"&amp;$I$3,CT!$D$5:$D$143,A18)</f>
        <v>0</v>
      </c>
      <c r="G18" s="69">
        <f>SUMIFS(CT!$H$5:$H$143,CT!$A$5:$A$143,"&lt;"&amp;$I$3,CT!$D$5:$D$143,A18)</f>
        <v>0</v>
      </c>
      <c r="H18" s="69">
        <f>SUMIFS(CT!$F$5:$F$143,CT!$A$5:$A$143,"&lt;"&amp;$I$3,CT!$E$5:$E$143,A18)</f>
        <v>0</v>
      </c>
      <c r="I18" s="69">
        <f>SUMIFS(CT!$H$5:$H$143,CT!$A$5:$A$143,"&lt;"&amp;$I$3,CT!$E$5:$E$143,A18)</f>
        <v>0</v>
      </c>
      <c r="J18" s="69">
        <f t="shared" si="0"/>
        <v>0</v>
      </c>
      <c r="K18" s="69">
        <f t="shared" si="1"/>
        <v>0</v>
      </c>
      <c r="L18" s="69">
        <f>SUMIFS(CT!$F$5:$F$143,CT!$A$5:$A$143,"&gt;="&amp;$I$3,CT!$A$5:$A$143,"&lt;="&amp;$K$3,CT!$D$5:$D$143,A18)</f>
        <v>0</v>
      </c>
      <c r="M18" s="69">
        <f>SUMIFS(CT!$H$5:$H$143,CT!$A$5:$A$143,"&gt;="&amp;$I$3,CT!$A$5:$A$143,"&lt;="&amp;$K$3,CT!$D$5:$D$143,A18)</f>
        <v>0</v>
      </c>
      <c r="N18" s="69">
        <f>SUMIFS(CT!$F$5:$F$143,CT!$A$5:$A$143,"&gt;="&amp;$I$3,CT!$A$5:$A$143,"&lt;="&amp;$K$3,CT!$E$5:$E$143,A18)</f>
        <v>0</v>
      </c>
      <c r="O18" s="69">
        <f>SUMIFS(CT!$H$5:$H$143,CT!$A$5:$A$143,"&gt;="&amp;$I$3,CT!$A$5:$A$143,"&lt;="&amp;$K$3,CT!$E$5:$E$143,A18)</f>
        <v>0</v>
      </c>
      <c r="P18" s="69">
        <f t="shared" si="2"/>
        <v>0</v>
      </c>
      <c r="Q18" s="69">
        <f t="shared" si="3"/>
        <v>0</v>
      </c>
      <c r="R18" s="69">
        <f t="shared" si="4"/>
        <v>0</v>
      </c>
      <c r="S18" t="b">
        <f t="shared" si="5"/>
        <v>0</v>
      </c>
    </row>
    <row r="19" spans="1:19" hidden="1" x14ac:dyDescent="0.25">
      <c r="A19" s="93" t="str">
        <f>DMTK!B16</f>
        <v>1212</v>
      </c>
      <c r="B19" s="65" t="str">
        <f>VLOOKUP(A19,DMTK!$B$5:$Q$263,3,0)</f>
        <v>Trái phiếu</v>
      </c>
      <c r="C19" s="65" t="str">
        <f>VLOOKUP(A19,DMTK!$B$5:$Q$263,16,0)</f>
        <v xml:space="preserve"> </v>
      </c>
      <c r="D19" s="69">
        <f>VLOOKUP(A19,DMTK!$B$5:$Q$263,4,0)</f>
        <v>0</v>
      </c>
      <c r="E19" s="69">
        <f>VLOOKUP(A19,DMTK!$B$5:$Q$263,5,0)</f>
        <v>0</v>
      </c>
      <c r="F19" s="69">
        <f>SUMIFS(CT!$F$5:$F$143,CT!$A$5:$A$143,"&lt;"&amp;$I$3,CT!$D$5:$D$143,A19)</f>
        <v>0</v>
      </c>
      <c r="G19" s="69">
        <f>SUMIFS(CT!$H$5:$H$143,CT!$A$5:$A$143,"&lt;"&amp;$I$3,CT!$D$5:$D$143,A19)</f>
        <v>0</v>
      </c>
      <c r="H19" s="69">
        <f>SUMIFS(CT!$F$5:$F$143,CT!$A$5:$A$143,"&lt;"&amp;$I$3,CT!$E$5:$E$143,A19)</f>
        <v>0</v>
      </c>
      <c r="I19" s="69">
        <f>SUMIFS(CT!$H$5:$H$143,CT!$A$5:$A$143,"&lt;"&amp;$I$3,CT!$E$5:$E$143,A19)</f>
        <v>0</v>
      </c>
      <c r="J19" s="69">
        <f t="shared" si="0"/>
        <v>0</v>
      </c>
      <c r="K19" s="69">
        <f t="shared" si="1"/>
        <v>0</v>
      </c>
      <c r="L19" s="69">
        <f>SUMIFS(CT!$F$5:$F$143,CT!$A$5:$A$143,"&gt;="&amp;$I$3,CT!$A$5:$A$143,"&lt;="&amp;$K$3,CT!$D$5:$D$143,A19)</f>
        <v>0</v>
      </c>
      <c r="M19" s="69">
        <f>SUMIFS(CT!$H$5:$H$143,CT!$A$5:$A$143,"&gt;="&amp;$I$3,CT!$A$5:$A$143,"&lt;="&amp;$K$3,CT!$D$5:$D$143,A19)</f>
        <v>0</v>
      </c>
      <c r="N19" s="69">
        <f>SUMIFS(CT!$F$5:$F$143,CT!$A$5:$A$143,"&gt;="&amp;$I$3,CT!$A$5:$A$143,"&lt;="&amp;$K$3,CT!$E$5:$E$143,A19)</f>
        <v>0</v>
      </c>
      <c r="O19" s="69">
        <f>SUMIFS(CT!$H$5:$H$143,CT!$A$5:$A$143,"&gt;="&amp;$I$3,CT!$A$5:$A$143,"&lt;="&amp;$K$3,CT!$E$5:$E$143,A19)</f>
        <v>0</v>
      </c>
      <c r="P19" s="69">
        <f t="shared" si="2"/>
        <v>0</v>
      </c>
      <c r="Q19" s="69">
        <f t="shared" si="3"/>
        <v>0</v>
      </c>
      <c r="R19" s="69">
        <f t="shared" si="4"/>
        <v>0</v>
      </c>
      <c r="S19" t="b">
        <f t="shared" si="5"/>
        <v>0</v>
      </c>
    </row>
    <row r="20" spans="1:19" hidden="1" x14ac:dyDescent="0.25">
      <c r="A20" s="93" t="str">
        <f>DMTK!B17</f>
        <v>12811</v>
      </c>
      <c r="B20" s="65" t="str">
        <f>VLOOKUP(A20,DMTK!$B$5:$Q$263,3,0)</f>
        <v>Tiền gửi có kỳ hạn (không quá 3 tháng)</v>
      </c>
      <c r="C20" s="65" t="str">
        <f>VLOOKUP(A20,DMTK!$B$5:$Q$263,16,0)</f>
        <v xml:space="preserve"> </v>
      </c>
      <c r="D20" s="69">
        <f>VLOOKUP(A20,DMTK!$B$5:$Q$263,4,0)</f>
        <v>0</v>
      </c>
      <c r="E20" s="69">
        <f>VLOOKUP(A20,DMTK!$B$5:$Q$263,5,0)</f>
        <v>100000000</v>
      </c>
      <c r="F20" s="69">
        <f>SUMIFS(CT!$F$5:$F$143,CT!$A$5:$A$143,"&lt;"&amp;$I$3,CT!$D$5:$D$143,A20)</f>
        <v>0</v>
      </c>
      <c r="G20" s="69">
        <f>SUMIFS(CT!$H$5:$H$143,CT!$A$5:$A$143,"&lt;"&amp;$I$3,CT!$D$5:$D$143,A20)</f>
        <v>0</v>
      </c>
      <c r="H20" s="69">
        <f>SUMIFS(CT!$F$5:$F$143,CT!$A$5:$A$143,"&lt;"&amp;$I$3,CT!$E$5:$E$143,A20)</f>
        <v>0</v>
      </c>
      <c r="I20" s="69">
        <f>SUMIFS(CT!$H$5:$H$143,CT!$A$5:$A$143,"&lt;"&amp;$I$3,CT!$E$5:$E$143,A20)</f>
        <v>0</v>
      </c>
      <c r="J20" s="69">
        <f t="shared" si="0"/>
        <v>0</v>
      </c>
      <c r="K20" s="69">
        <f t="shared" si="1"/>
        <v>100000000</v>
      </c>
      <c r="L20" s="69">
        <f>SUMIFS(CT!$F$5:$F$143,CT!$A$5:$A$143,"&gt;="&amp;$I$3,CT!$A$5:$A$143,"&lt;="&amp;$K$3,CT!$D$5:$D$143,A20)</f>
        <v>0</v>
      </c>
      <c r="M20" s="69">
        <f>SUMIFS(CT!$H$5:$H$143,CT!$A$5:$A$143,"&gt;="&amp;$I$3,CT!$A$5:$A$143,"&lt;="&amp;$K$3,CT!$D$5:$D$143,A20)</f>
        <v>0</v>
      </c>
      <c r="N20" s="69">
        <f>SUMIFS(CT!$F$5:$F$143,CT!$A$5:$A$143,"&gt;="&amp;$I$3,CT!$A$5:$A$143,"&lt;="&amp;$K$3,CT!$E$5:$E$143,A20)</f>
        <v>0</v>
      </c>
      <c r="O20" s="69">
        <f>SUMIFS(CT!$H$5:$H$143,CT!$A$5:$A$143,"&gt;="&amp;$I$3,CT!$A$5:$A$143,"&lt;="&amp;$K$3,CT!$E$5:$E$143,A20)</f>
        <v>0</v>
      </c>
      <c r="P20" s="69">
        <f t="shared" si="2"/>
        <v>0</v>
      </c>
      <c r="Q20" s="69">
        <f t="shared" si="3"/>
        <v>100000000</v>
      </c>
      <c r="R20" s="69">
        <f t="shared" si="4"/>
        <v>0</v>
      </c>
      <c r="S20" t="b">
        <f t="shared" si="5"/>
        <v>0</v>
      </c>
    </row>
    <row r="21" spans="1:19" hidden="1" x14ac:dyDescent="0.25">
      <c r="A21" s="93" t="str">
        <f>DMTK!B18</f>
        <v>12812</v>
      </c>
      <c r="B21" s="65" t="str">
        <f>VLOOKUP(A21,DMTK!$B$5:$Q$263,3,0)</f>
        <v>Tiền gửi có kỳ hạn (không quá 12 tháng)</v>
      </c>
      <c r="C21" s="65" t="str">
        <f>VLOOKUP(A21,DMTK!$B$5:$Q$263,16,0)</f>
        <v xml:space="preserve"> </v>
      </c>
      <c r="D21" s="69">
        <f>VLOOKUP(A21,DMTK!$B$5:$Q$263,4,0)</f>
        <v>0</v>
      </c>
      <c r="E21" s="69">
        <f>VLOOKUP(A21,DMTK!$B$5:$Q$263,5,0)</f>
        <v>0</v>
      </c>
      <c r="F21" s="69">
        <f>SUMIFS(CT!$F$5:$F$143,CT!$A$5:$A$143,"&lt;"&amp;$I$3,CT!$D$5:$D$143,A21)</f>
        <v>0</v>
      </c>
      <c r="G21" s="69">
        <f>SUMIFS(CT!$H$5:$H$143,CT!$A$5:$A$143,"&lt;"&amp;$I$3,CT!$D$5:$D$143,A21)</f>
        <v>0</v>
      </c>
      <c r="H21" s="69">
        <f>SUMIFS(CT!$F$5:$F$143,CT!$A$5:$A$143,"&lt;"&amp;$I$3,CT!$E$5:$E$143,A21)</f>
        <v>0</v>
      </c>
      <c r="I21" s="69">
        <f>SUMIFS(CT!$H$5:$H$143,CT!$A$5:$A$143,"&lt;"&amp;$I$3,CT!$E$5:$E$143,A21)</f>
        <v>0</v>
      </c>
      <c r="J21" s="69">
        <f t="shared" si="0"/>
        <v>0</v>
      </c>
      <c r="K21" s="69">
        <f t="shared" si="1"/>
        <v>0</v>
      </c>
      <c r="L21" s="69">
        <f>SUMIFS(CT!$F$5:$F$143,CT!$A$5:$A$143,"&gt;="&amp;$I$3,CT!$A$5:$A$143,"&lt;="&amp;$K$3,CT!$D$5:$D$143,A21)</f>
        <v>0</v>
      </c>
      <c r="M21" s="69">
        <f>SUMIFS(CT!$H$5:$H$143,CT!$A$5:$A$143,"&gt;="&amp;$I$3,CT!$A$5:$A$143,"&lt;="&amp;$K$3,CT!$D$5:$D$143,A21)</f>
        <v>0</v>
      </c>
      <c r="N21" s="69">
        <f>SUMIFS(CT!$F$5:$F$143,CT!$A$5:$A$143,"&gt;="&amp;$I$3,CT!$A$5:$A$143,"&lt;="&amp;$K$3,CT!$E$5:$E$143,A21)</f>
        <v>0</v>
      </c>
      <c r="O21" s="69">
        <f>SUMIFS(CT!$H$5:$H$143,CT!$A$5:$A$143,"&gt;="&amp;$I$3,CT!$A$5:$A$143,"&lt;="&amp;$K$3,CT!$E$5:$E$143,A21)</f>
        <v>0</v>
      </c>
      <c r="P21" s="69">
        <f t="shared" si="2"/>
        <v>0</v>
      </c>
      <c r="Q21" s="69">
        <f t="shared" si="3"/>
        <v>0</v>
      </c>
      <c r="R21" s="69">
        <f t="shared" si="4"/>
        <v>0</v>
      </c>
      <c r="S21" t="b">
        <f t="shared" si="5"/>
        <v>0</v>
      </c>
    </row>
    <row r="22" spans="1:19" hidden="1" x14ac:dyDescent="0.25">
      <c r="A22" s="93" t="str">
        <f>DMTK!B19</f>
        <v>12831</v>
      </c>
      <c r="B22" s="65" t="str">
        <f>VLOOKUP(A22,DMTK!$B$5:$Q$263,3,0)</f>
        <v>Cho vay (không quá 12 tháng)</v>
      </c>
      <c r="C22" s="65" t="str">
        <f>VLOOKUP(A22,DMTK!$B$5:$Q$263,16,0)</f>
        <v xml:space="preserve"> </v>
      </c>
      <c r="D22" s="69">
        <f>VLOOKUP(A22,DMTK!$B$5:$Q$263,4,0)</f>
        <v>0</v>
      </c>
      <c r="E22" s="69">
        <f>VLOOKUP(A22,DMTK!$B$5:$Q$263,5,0)</f>
        <v>0</v>
      </c>
      <c r="F22" s="69">
        <f>SUMIFS(CT!$F$5:$F$143,CT!$A$5:$A$143,"&lt;"&amp;$I$3,CT!$D$5:$D$143,A22)</f>
        <v>0</v>
      </c>
      <c r="G22" s="69">
        <f>SUMIFS(CT!$H$5:$H$143,CT!$A$5:$A$143,"&lt;"&amp;$I$3,CT!$D$5:$D$143,A22)</f>
        <v>0</v>
      </c>
      <c r="H22" s="69">
        <f>SUMIFS(CT!$F$5:$F$143,CT!$A$5:$A$143,"&lt;"&amp;$I$3,CT!$E$5:$E$143,A22)</f>
        <v>0</v>
      </c>
      <c r="I22" s="69">
        <f>SUMIFS(CT!$H$5:$H$143,CT!$A$5:$A$143,"&lt;"&amp;$I$3,CT!$E$5:$E$143,A22)</f>
        <v>0</v>
      </c>
      <c r="J22" s="69">
        <f t="shared" si="0"/>
        <v>0</v>
      </c>
      <c r="K22" s="69">
        <f t="shared" si="1"/>
        <v>0</v>
      </c>
      <c r="L22" s="69">
        <f>SUMIFS(CT!$F$5:$F$143,CT!$A$5:$A$143,"&gt;="&amp;$I$3,CT!$A$5:$A$143,"&lt;="&amp;$K$3,CT!$D$5:$D$143,A22)</f>
        <v>0</v>
      </c>
      <c r="M22" s="69">
        <f>SUMIFS(CT!$H$5:$H$143,CT!$A$5:$A$143,"&gt;="&amp;$I$3,CT!$A$5:$A$143,"&lt;="&amp;$K$3,CT!$D$5:$D$143,A22)</f>
        <v>0</v>
      </c>
      <c r="N22" s="69">
        <f>SUMIFS(CT!$F$5:$F$143,CT!$A$5:$A$143,"&gt;="&amp;$I$3,CT!$A$5:$A$143,"&lt;="&amp;$K$3,CT!$E$5:$E$143,A22)</f>
        <v>0</v>
      </c>
      <c r="O22" s="69">
        <f>SUMIFS(CT!$H$5:$H$143,CT!$A$5:$A$143,"&gt;="&amp;$I$3,CT!$A$5:$A$143,"&lt;="&amp;$K$3,CT!$E$5:$E$143,A22)</f>
        <v>0</v>
      </c>
      <c r="P22" s="69">
        <f t="shared" si="2"/>
        <v>0</v>
      </c>
      <c r="Q22" s="69">
        <f t="shared" si="3"/>
        <v>0</v>
      </c>
      <c r="R22" s="69">
        <f t="shared" si="4"/>
        <v>0</v>
      </c>
      <c r="S22" t="b">
        <f t="shared" si="5"/>
        <v>0</v>
      </c>
    </row>
    <row r="23" spans="1:19" hidden="1" x14ac:dyDescent="0.25">
      <c r="A23" s="93" t="str">
        <f>DMTK!B20</f>
        <v>12832</v>
      </c>
      <c r="B23" s="65" t="str">
        <f>VLOOKUP(A23,DMTK!$B$5:$Q$263,3,0)</f>
        <v>Cho vay (trên 12 tháng)</v>
      </c>
      <c r="C23" s="65" t="str">
        <f>VLOOKUP(A23,DMTK!$B$5:$Q$263,16,0)</f>
        <v xml:space="preserve"> </v>
      </c>
      <c r="D23" s="69">
        <f>VLOOKUP(A23,DMTK!$B$5:$Q$263,4,0)</f>
        <v>0</v>
      </c>
      <c r="E23" s="69">
        <f>VLOOKUP(A23,DMTK!$B$5:$Q$263,5,0)</f>
        <v>0</v>
      </c>
      <c r="F23" s="69">
        <f>SUMIFS(CT!$F$5:$F$143,CT!$A$5:$A$143,"&lt;"&amp;$I$3,CT!$D$5:$D$143,A23)</f>
        <v>0</v>
      </c>
      <c r="G23" s="69">
        <f>SUMIFS(CT!$H$5:$H$143,CT!$A$5:$A$143,"&lt;"&amp;$I$3,CT!$D$5:$D$143,A23)</f>
        <v>0</v>
      </c>
      <c r="H23" s="69">
        <f>SUMIFS(CT!$F$5:$F$143,CT!$A$5:$A$143,"&lt;"&amp;$I$3,CT!$E$5:$E$143,A23)</f>
        <v>0</v>
      </c>
      <c r="I23" s="69">
        <f>SUMIFS(CT!$H$5:$H$143,CT!$A$5:$A$143,"&lt;"&amp;$I$3,CT!$E$5:$E$143,A23)</f>
        <v>0</v>
      </c>
      <c r="J23" s="69">
        <f t="shared" si="0"/>
        <v>0</v>
      </c>
      <c r="K23" s="69">
        <f t="shared" si="1"/>
        <v>0</v>
      </c>
      <c r="L23" s="69">
        <f>SUMIFS(CT!$F$5:$F$143,CT!$A$5:$A$143,"&gt;="&amp;$I$3,CT!$A$5:$A$143,"&lt;="&amp;$K$3,CT!$D$5:$D$143,A23)</f>
        <v>0</v>
      </c>
      <c r="M23" s="69">
        <f>SUMIFS(CT!$H$5:$H$143,CT!$A$5:$A$143,"&gt;="&amp;$I$3,CT!$A$5:$A$143,"&lt;="&amp;$K$3,CT!$D$5:$D$143,A23)</f>
        <v>0</v>
      </c>
      <c r="N23" s="69">
        <f>SUMIFS(CT!$F$5:$F$143,CT!$A$5:$A$143,"&gt;="&amp;$I$3,CT!$A$5:$A$143,"&lt;="&amp;$K$3,CT!$E$5:$E$143,A23)</f>
        <v>0</v>
      </c>
      <c r="O23" s="69">
        <f>SUMIFS(CT!$H$5:$H$143,CT!$A$5:$A$143,"&gt;="&amp;$I$3,CT!$A$5:$A$143,"&lt;="&amp;$K$3,CT!$E$5:$E$143,A23)</f>
        <v>0</v>
      </c>
      <c r="P23" s="69">
        <f t="shared" si="2"/>
        <v>0</v>
      </c>
      <c r="Q23" s="69">
        <f t="shared" si="3"/>
        <v>0</v>
      </c>
      <c r="R23" s="69">
        <f t="shared" si="4"/>
        <v>0</v>
      </c>
      <c r="S23" t="b">
        <f t="shared" si="5"/>
        <v>0</v>
      </c>
    </row>
    <row r="24" spans="1:19" hidden="1" x14ac:dyDescent="0.25">
      <c r="A24" s="93" t="str">
        <f>DMTK!B21</f>
        <v>12881</v>
      </c>
      <c r="B24" s="65" t="str">
        <f>VLOOKUP(A24,DMTK!$B$5:$Q$263,3,0)</f>
        <v>Các khoản đầu tư khác nắm giữ đến ngày đáo hạn</v>
      </c>
      <c r="C24" s="65" t="str">
        <f>VLOOKUP(A24,DMTK!$B$5:$Q$263,16,0)</f>
        <v xml:space="preserve"> </v>
      </c>
      <c r="D24" s="69">
        <f>VLOOKUP(A24,DMTK!$B$5:$Q$263,4,0)</f>
        <v>0</v>
      </c>
      <c r="E24" s="69">
        <f>VLOOKUP(A24,DMTK!$B$5:$Q$263,5,0)</f>
        <v>0</v>
      </c>
      <c r="F24" s="69">
        <f>SUMIFS(CT!$F$5:$F$143,CT!$A$5:$A$143,"&lt;"&amp;$I$3,CT!$D$5:$D$143,A24)</f>
        <v>0</v>
      </c>
      <c r="G24" s="69">
        <f>SUMIFS(CT!$H$5:$H$143,CT!$A$5:$A$143,"&lt;"&amp;$I$3,CT!$D$5:$D$143,A24)</f>
        <v>0</v>
      </c>
      <c r="H24" s="69">
        <f>SUMIFS(CT!$F$5:$F$143,CT!$A$5:$A$143,"&lt;"&amp;$I$3,CT!$E$5:$E$143,A24)</f>
        <v>0</v>
      </c>
      <c r="I24" s="69">
        <f>SUMIFS(CT!$H$5:$H$143,CT!$A$5:$A$143,"&lt;"&amp;$I$3,CT!$E$5:$E$143,A24)</f>
        <v>0</v>
      </c>
      <c r="J24" s="69">
        <f t="shared" si="0"/>
        <v>0</v>
      </c>
      <c r="K24" s="69">
        <f t="shared" si="1"/>
        <v>0</v>
      </c>
      <c r="L24" s="69">
        <f>SUMIFS(CT!$F$5:$F$143,CT!$A$5:$A$143,"&gt;="&amp;$I$3,CT!$A$5:$A$143,"&lt;="&amp;$K$3,CT!$D$5:$D$143,A24)</f>
        <v>0</v>
      </c>
      <c r="M24" s="69">
        <f>SUMIFS(CT!$H$5:$H$143,CT!$A$5:$A$143,"&gt;="&amp;$I$3,CT!$A$5:$A$143,"&lt;="&amp;$K$3,CT!$D$5:$D$143,A24)</f>
        <v>0</v>
      </c>
      <c r="N24" s="69">
        <f>SUMIFS(CT!$F$5:$F$143,CT!$A$5:$A$143,"&gt;="&amp;$I$3,CT!$A$5:$A$143,"&lt;="&amp;$K$3,CT!$E$5:$E$143,A24)</f>
        <v>0</v>
      </c>
      <c r="O24" s="69">
        <f>SUMIFS(CT!$H$5:$H$143,CT!$A$5:$A$143,"&gt;="&amp;$I$3,CT!$A$5:$A$143,"&lt;="&amp;$K$3,CT!$E$5:$E$143,A24)</f>
        <v>0</v>
      </c>
      <c r="P24" s="69">
        <f t="shared" si="2"/>
        <v>0</v>
      </c>
      <c r="Q24" s="69">
        <f t="shared" si="3"/>
        <v>0</v>
      </c>
      <c r="R24" s="69">
        <f t="shared" si="4"/>
        <v>0</v>
      </c>
      <c r="S24" t="b">
        <f t="shared" si="5"/>
        <v>0</v>
      </c>
    </row>
    <row r="25" spans="1:19" hidden="1" x14ac:dyDescent="0.25">
      <c r="A25" s="93" t="str">
        <f>DMTK!B22</f>
        <v>12882</v>
      </c>
      <c r="B25" s="65" t="str">
        <f>VLOOKUP(A25,DMTK!$B$5:$Q$263,3,0)</f>
        <v>Các khoản đầu tư khác nắm giữ đến ngày đáo hạn (không quá 12 tháng)</v>
      </c>
      <c r="C25" s="65" t="str">
        <f>VLOOKUP(A25,DMTK!$B$5:$Q$263,16,0)</f>
        <v xml:space="preserve"> </v>
      </c>
      <c r="D25" s="69">
        <f>VLOOKUP(A25,DMTK!$B$5:$Q$263,4,0)</f>
        <v>0</v>
      </c>
      <c r="E25" s="69">
        <f>VLOOKUP(A25,DMTK!$B$5:$Q$263,5,0)</f>
        <v>0</v>
      </c>
      <c r="F25" s="69">
        <f>SUMIFS(CT!$F$5:$F$143,CT!$A$5:$A$143,"&lt;"&amp;$I$3,CT!$D$5:$D$143,A25)</f>
        <v>0</v>
      </c>
      <c r="G25" s="69">
        <f>SUMIFS(CT!$H$5:$H$143,CT!$A$5:$A$143,"&lt;"&amp;$I$3,CT!$D$5:$D$143,A25)</f>
        <v>0</v>
      </c>
      <c r="H25" s="69">
        <f>SUMIFS(CT!$F$5:$F$143,CT!$A$5:$A$143,"&lt;"&amp;$I$3,CT!$E$5:$E$143,A25)</f>
        <v>0</v>
      </c>
      <c r="I25" s="69">
        <f>SUMIFS(CT!$H$5:$H$143,CT!$A$5:$A$143,"&lt;"&amp;$I$3,CT!$E$5:$E$143,A25)</f>
        <v>0</v>
      </c>
      <c r="J25" s="69">
        <f t="shared" si="0"/>
        <v>0</v>
      </c>
      <c r="K25" s="69">
        <f t="shared" si="1"/>
        <v>0</v>
      </c>
      <c r="L25" s="69">
        <f>SUMIFS(CT!$F$5:$F$143,CT!$A$5:$A$143,"&gt;="&amp;$I$3,CT!$A$5:$A$143,"&lt;="&amp;$K$3,CT!$D$5:$D$143,A25)</f>
        <v>0</v>
      </c>
      <c r="M25" s="69">
        <f>SUMIFS(CT!$H$5:$H$143,CT!$A$5:$A$143,"&gt;="&amp;$I$3,CT!$A$5:$A$143,"&lt;="&amp;$K$3,CT!$D$5:$D$143,A25)</f>
        <v>0</v>
      </c>
      <c r="N25" s="69">
        <f>SUMIFS(CT!$F$5:$F$143,CT!$A$5:$A$143,"&gt;="&amp;$I$3,CT!$A$5:$A$143,"&lt;="&amp;$K$3,CT!$E$5:$E$143,A25)</f>
        <v>0</v>
      </c>
      <c r="O25" s="69">
        <f>SUMIFS(CT!$H$5:$H$143,CT!$A$5:$A$143,"&gt;="&amp;$I$3,CT!$A$5:$A$143,"&lt;="&amp;$K$3,CT!$E$5:$E$143,A25)</f>
        <v>0</v>
      </c>
      <c r="P25" s="69">
        <f t="shared" si="2"/>
        <v>0</v>
      </c>
      <c r="Q25" s="69">
        <f t="shared" si="3"/>
        <v>0</v>
      </c>
      <c r="R25" s="69">
        <f t="shared" si="4"/>
        <v>0</v>
      </c>
      <c r="S25" t="b">
        <f t="shared" si="5"/>
        <v>0</v>
      </c>
    </row>
    <row r="26" spans="1:19" hidden="1" x14ac:dyDescent="0.25">
      <c r="A26" s="93" t="str">
        <f>DMTK!B23</f>
        <v>1311.01</v>
      </c>
      <c r="B26" s="65" t="str">
        <f>VLOOKUP(A26,DMTK!$B$5:$Q$263,3,0)</f>
        <v>Công ty Quang Minh (ngắn hạn)</v>
      </c>
      <c r="C26" s="65" t="str">
        <f>VLOOKUP(A26,DMTK!$B$5:$Q$263,16,0)</f>
        <v xml:space="preserve"> </v>
      </c>
      <c r="D26" s="69">
        <f>VLOOKUP(A26,DMTK!$B$5:$Q$263,4,0)</f>
        <v>0</v>
      </c>
      <c r="E26" s="69">
        <f>VLOOKUP(A26,DMTK!$B$5:$Q$263,5,0)</f>
        <v>100000000</v>
      </c>
      <c r="F26" s="69">
        <f>SUMIFS(CT!$F$5:$F$143,CT!$A$5:$A$143,"&lt;"&amp;$I$3,CT!$D$5:$D$143,A26)</f>
        <v>0</v>
      </c>
      <c r="G26" s="69">
        <f>SUMIFS(CT!$H$5:$H$143,CT!$A$5:$A$143,"&lt;"&amp;$I$3,CT!$D$5:$D$143,A26)</f>
        <v>0</v>
      </c>
      <c r="H26" s="69">
        <f>SUMIFS(CT!$F$5:$F$143,CT!$A$5:$A$143,"&lt;"&amp;$I$3,CT!$E$5:$E$143,A26)</f>
        <v>0</v>
      </c>
      <c r="I26" s="69">
        <f>SUMIFS(CT!$H$5:$H$143,CT!$A$5:$A$143,"&lt;"&amp;$I$3,CT!$E$5:$E$143,A26)</f>
        <v>20000000</v>
      </c>
      <c r="J26" s="69">
        <f t="shared" si="0"/>
        <v>0</v>
      </c>
      <c r="K26" s="69">
        <f t="shared" si="1"/>
        <v>80000000</v>
      </c>
      <c r="L26" s="69">
        <f>SUMIFS(CT!$F$5:$F$143,CT!$A$5:$A$143,"&gt;="&amp;$I$3,CT!$A$5:$A$143,"&lt;="&amp;$K$3,CT!$D$5:$D$143,A26)</f>
        <v>0</v>
      </c>
      <c r="M26" s="69">
        <f>SUMIFS(CT!$H$5:$H$143,CT!$A$5:$A$143,"&gt;="&amp;$I$3,CT!$A$5:$A$143,"&lt;="&amp;$K$3,CT!$D$5:$D$143,A26)</f>
        <v>0</v>
      </c>
      <c r="N26" s="69">
        <f>SUMIFS(CT!$F$5:$F$143,CT!$A$5:$A$143,"&gt;="&amp;$I$3,CT!$A$5:$A$143,"&lt;="&amp;$K$3,CT!$E$5:$E$143,A26)</f>
        <v>0</v>
      </c>
      <c r="O26" s="69">
        <f>SUMIFS(CT!$H$5:$H$143,CT!$A$5:$A$143,"&gt;="&amp;$I$3,CT!$A$5:$A$143,"&lt;="&amp;$K$3,CT!$E$5:$E$143,A26)</f>
        <v>0</v>
      </c>
      <c r="P26" s="69">
        <f t="shared" si="2"/>
        <v>0</v>
      </c>
      <c r="Q26" s="69">
        <f t="shared" si="3"/>
        <v>80000000</v>
      </c>
      <c r="R26" s="69">
        <f t="shared" si="4"/>
        <v>0</v>
      </c>
      <c r="S26" t="b">
        <f t="shared" si="5"/>
        <v>0</v>
      </c>
    </row>
    <row r="27" spans="1:19" hidden="1" x14ac:dyDescent="0.25">
      <c r="A27" s="93" t="str">
        <f>DMTK!B24</f>
        <v>1311.02</v>
      </c>
      <c r="B27" s="65" t="str">
        <f>VLOOKUP(A27,DMTK!$B$5:$Q$263,3,0)</f>
        <v>Cty TNHH TMDV Mai Anh (ngắn hạn)</v>
      </c>
      <c r="C27" s="65" t="str">
        <f>VLOOKUP(A27,DMTK!$B$5:$Q$263,16,0)</f>
        <v xml:space="preserve"> </v>
      </c>
      <c r="D27" s="69">
        <f>VLOOKUP(A27,DMTK!$B$5:$Q$263,4,0)</f>
        <v>0</v>
      </c>
      <c r="E27" s="69">
        <f>VLOOKUP(A27,DMTK!$B$5:$Q$263,5,0)</f>
        <v>70000000</v>
      </c>
      <c r="F27" s="69">
        <f>SUMIFS(CT!$F$5:$F$143,CT!$A$5:$A$143,"&lt;"&amp;$I$3,CT!$D$5:$D$143,A27)</f>
        <v>0</v>
      </c>
      <c r="G27" s="69">
        <f>SUMIFS(CT!$H$5:$H$143,CT!$A$5:$A$143,"&lt;"&amp;$I$3,CT!$D$5:$D$143,A27)</f>
        <v>0</v>
      </c>
      <c r="H27" s="69">
        <f>SUMIFS(CT!$F$5:$F$143,CT!$A$5:$A$143,"&lt;"&amp;$I$3,CT!$E$5:$E$143,A27)</f>
        <v>0</v>
      </c>
      <c r="I27" s="69">
        <f>SUMIFS(CT!$H$5:$H$143,CT!$A$5:$A$143,"&lt;"&amp;$I$3,CT!$E$5:$E$143,A27)</f>
        <v>0</v>
      </c>
      <c r="J27" s="69">
        <f t="shared" si="0"/>
        <v>0</v>
      </c>
      <c r="K27" s="69">
        <f t="shared" si="1"/>
        <v>70000000</v>
      </c>
      <c r="L27" s="69">
        <f>SUMIFS(CT!$F$5:$F$143,CT!$A$5:$A$143,"&gt;="&amp;$I$3,CT!$A$5:$A$143,"&lt;="&amp;$K$3,CT!$D$5:$D$143,A27)</f>
        <v>0</v>
      </c>
      <c r="M27" s="69">
        <f>SUMIFS(CT!$H$5:$H$143,CT!$A$5:$A$143,"&gt;="&amp;$I$3,CT!$A$5:$A$143,"&lt;="&amp;$K$3,CT!$D$5:$D$143,A27)</f>
        <v>0</v>
      </c>
      <c r="N27" s="69">
        <f>SUMIFS(CT!$F$5:$F$143,CT!$A$5:$A$143,"&gt;="&amp;$I$3,CT!$A$5:$A$143,"&lt;="&amp;$K$3,CT!$E$5:$E$143,A27)</f>
        <v>0</v>
      </c>
      <c r="O27" s="69">
        <f>SUMIFS(CT!$H$5:$H$143,CT!$A$5:$A$143,"&gt;="&amp;$I$3,CT!$A$5:$A$143,"&lt;="&amp;$K$3,CT!$E$5:$E$143,A27)</f>
        <v>30000000</v>
      </c>
      <c r="P27" s="69">
        <f t="shared" si="2"/>
        <v>0</v>
      </c>
      <c r="Q27" s="69">
        <f t="shared" si="3"/>
        <v>40000000</v>
      </c>
      <c r="R27" s="69">
        <f t="shared" si="4"/>
        <v>0</v>
      </c>
      <c r="S27" t="b">
        <f t="shared" si="5"/>
        <v>0</v>
      </c>
    </row>
    <row r="28" spans="1:19" hidden="1" x14ac:dyDescent="0.25">
      <c r="A28" s="93" t="str">
        <f>DMTK!B25</f>
        <v>1311.03</v>
      </c>
      <c r="B28" s="65" t="str">
        <f>VLOOKUP(A28,DMTK!$B$5:$Q$263,3,0)</f>
        <v>Cty TNHH Phương Nam (ngắn hạn)</v>
      </c>
      <c r="C28" s="65" t="str">
        <f>VLOOKUP(A28,DMTK!$B$5:$Q$263,16,0)</f>
        <v xml:space="preserve"> </v>
      </c>
      <c r="D28" s="69">
        <f>VLOOKUP(A28,DMTK!$B$5:$Q$263,4,0)</f>
        <v>0</v>
      </c>
      <c r="E28" s="69">
        <f>VLOOKUP(A28,DMTK!$B$5:$Q$263,5,0)</f>
        <v>57000000</v>
      </c>
      <c r="F28" s="69">
        <f>SUMIFS(CT!$F$5:$F$143,CT!$A$5:$A$143,"&lt;"&amp;$I$3,CT!$D$5:$D$143,A28)</f>
        <v>0</v>
      </c>
      <c r="G28" s="69">
        <f>SUMIFS(CT!$H$5:$H$143,CT!$A$5:$A$143,"&lt;"&amp;$I$3,CT!$D$5:$D$143,A28)</f>
        <v>0</v>
      </c>
      <c r="H28" s="69">
        <f>SUMIFS(CT!$F$5:$F$143,CT!$A$5:$A$143,"&lt;"&amp;$I$3,CT!$E$5:$E$143,A28)</f>
        <v>0</v>
      </c>
      <c r="I28" s="69">
        <f>SUMIFS(CT!$H$5:$H$143,CT!$A$5:$A$143,"&lt;"&amp;$I$3,CT!$E$5:$E$143,A28)</f>
        <v>5000000</v>
      </c>
      <c r="J28" s="69">
        <f t="shared" si="0"/>
        <v>0</v>
      </c>
      <c r="K28" s="69">
        <f t="shared" si="1"/>
        <v>52000000</v>
      </c>
      <c r="L28" s="69">
        <f>SUMIFS(CT!$F$5:$F$143,CT!$A$5:$A$143,"&gt;="&amp;$I$3,CT!$A$5:$A$143,"&lt;="&amp;$K$3,CT!$D$5:$D$143,A28)</f>
        <v>0</v>
      </c>
      <c r="M28" s="69">
        <f>SUMIFS(CT!$H$5:$H$143,CT!$A$5:$A$143,"&gt;="&amp;$I$3,CT!$A$5:$A$143,"&lt;="&amp;$K$3,CT!$D$5:$D$143,A28)</f>
        <v>0</v>
      </c>
      <c r="N28" s="69">
        <f>SUMIFS(CT!$F$5:$F$143,CT!$A$5:$A$143,"&gt;="&amp;$I$3,CT!$A$5:$A$143,"&lt;="&amp;$K$3,CT!$E$5:$E$143,A28)</f>
        <v>0</v>
      </c>
      <c r="O28" s="69">
        <f>SUMIFS(CT!$H$5:$H$143,CT!$A$5:$A$143,"&gt;="&amp;$I$3,CT!$A$5:$A$143,"&lt;="&amp;$K$3,CT!$E$5:$E$143,A28)</f>
        <v>0</v>
      </c>
      <c r="P28" s="69">
        <f t="shared" si="2"/>
        <v>0</v>
      </c>
      <c r="Q28" s="69">
        <f t="shared" si="3"/>
        <v>52000000</v>
      </c>
      <c r="R28" s="69">
        <f t="shared" si="4"/>
        <v>0</v>
      </c>
      <c r="S28" t="b">
        <f t="shared" si="5"/>
        <v>0</v>
      </c>
    </row>
    <row r="29" spans="1:19" hidden="1" x14ac:dyDescent="0.25">
      <c r="A29" s="93" t="str">
        <f>DMTK!B26</f>
        <v>1311.04</v>
      </c>
      <c r="B29" s="65" t="str">
        <f>VLOOKUP(A29,DMTK!$B$5:$Q$263,3,0)</f>
        <v>Cty TNHH Kim Tín (ngắn hạn)</v>
      </c>
      <c r="C29" s="65" t="str">
        <f>VLOOKUP(A29,DMTK!$B$5:$Q$263,16,0)</f>
        <v xml:space="preserve"> </v>
      </c>
      <c r="D29" s="69">
        <f>VLOOKUP(A29,DMTK!$B$5:$Q$263,4,0)</f>
        <v>0</v>
      </c>
      <c r="E29" s="69">
        <f>VLOOKUP(A29,DMTK!$B$5:$Q$263,5,0)</f>
        <v>-52000000</v>
      </c>
      <c r="F29" s="69">
        <f>SUMIFS(CT!$F$5:$F$143,CT!$A$5:$A$143,"&lt;"&amp;$I$3,CT!$D$5:$D$143,A29)</f>
        <v>0</v>
      </c>
      <c r="G29" s="69">
        <f>SUMIFS(CT!$H$5:$H$143,CT!$A$5:$A$143,"&lt;"&amp;$I$3,CT!$D$5:$D$143,A29)</f>
        <v>0</v>
      </c>
      <c r="H29" s="69">
        <f>SUMIFS(CT!$F$5:$F$143,CT!$A$5:$A$143,"&lt;"&amp;$I$3,CT!$E$5:$E$143,A29)</f>
        <v>0</v>
      </c>
      <c r="I29" s="69">
        <f>SUMIFS(CT!$H$5:$H$143,CT!$A$5:$A$143,"&lt;"&amp;$I$3,CT!$E$5:$E$143,A29)</f>
        <v>0</v>
      </c>
      <c r="J29" s="69">
        <f t="shared" si="0"/>
        <v>0</v>
      </c>
      <c r="K29" s="69">
        <f t="shared" si="1"/>
        <v>0</v>
      </c>
      <c r="L29" s="69">
        <f>SUMIFS(CT!$F$5:$F$143,CT!$A$5:$A$143,"&gt;="&amp;$I$3,CT!$A$5:$A$143,"&lt;="&amp;$K$3,CT!$D$5:$D$143,A29)</f>
        <v>0</v>
      </c>
      <c r="M29" s="69">
        <f>SUMIFS(CT!$H$5:$H$143,CT!$A$5:$A$143,"&gt;="&amp;$I$3,CT!$A$5:$A$143,"&lt;="&amp;$K$3,CT!$D$5:$D$143,A29)</f>
        <v>0</v>
      </c>
      <c r="N29" s="69">
        <f>SUMIFS(CT!$F$5:$F$143,CT!$A$5:$A$143,"&gt;="&amp;$I$3,CT!$A$5:$A$143,"&lt;="&amp;$K$3,CT!$E$5:$E$143,A29)</f>
        <v>0</v>
      </c>
      <c r="O29" s="69">
        <f>SUMIFS(CT!$H$5:$H$143,CT!$A$5:$A$143,"&gt;="&amp;$I$3,CT!$A$5:$A$143,"&lt;="&amp;$K$3,CT!$E$5:$E$143,A29)</f>
        <v>0</v>
      </c>
      <c r="P29" s="69">
        <f t="shared" si="2"/>
        <v>0</v>
      </c>
      <c r="Q29" s="69">
        <f t="shared" si="3"/>
        <v>0</v>
      </c>
      <c r="R29" s="69">
        <f t="shared" si="4"/>
        <v>0</v>
      </c>
      <c r="S29" t="b">
        <f t="shared" si="5"/>
        <v>0</v>
      </c>
    </row>
    <row r="30" spans="1:19" hidden="1" x14ac:dyDescent="0.25">
      <c r="A30" s="93" t="str">
        <f>DMTK!B27</f>
        <v>1311.05</v>
      </c>
      <c r="B30" s="65" t="str">
        <f>VLOOKUP(A30,DMTK!$B$5:$Q$263,3,0)</f>
        <v>Cty TNHH Nam Việt (ngắn hạn)</v>
      </c>
      <c r="C30" s="65" t="str">
        <f>VLOOKUP(A30,DMTK!$B$5:$Q$263,16,0)</f>
        <v xml:space="preserve"> </v>
      </c>
      <c r="D30" s="69">
        <f>VLOOKUP(A30,DMTK!$B$5:$Q$263,4,0)</f>
        <v>0</v>
      </c>
      <c r="E30" s="69">
        <f>VLOOKUP(A30,DMTK!$B$5:$Q$263,5,0)</f>
        <v>0</v>
      </c>
      <c r="F30" s="69">
        <f>SUMIFS(CT!$F$5:$F$143,CT!$A$5:$A$143,"&lt;"&amp;$I$3,CT!$D$5:$D$143,A30)</f>
        <v>0</v>
      </c>
      <c r="G30" s="69">
        <f>SUMIFS(CT!$H$5:$H$143,CT!$A$5:$A$143,"&lt;"&amp;$I$3,CT!$D$5:$D$143,A30)</f>
        <v>0</v>
      </c>
      <c r="H30" s="69">
        <f>SUMIFS(CT!$F$5:$F$143,CT!$A$5:$A$143,"&lt;"&amp;$I$3,CT!$E$5:$E$143,A30)</f>
        <v>0</v>
      </c>
      <c r="I30" s="69">
        <f>SUMIFS(CT!$H$5:$H$143,CT!$A$5:$A$143,"&lt;"&amp;$I$3,CT!$E$5:$E$143,A30)</f>
        <v>0</v>
      </c>
      <c r="J30" s="69">
        <f t="shared" si="0"/>
        <v>0</v>
      </c>
      <c r="K30" s="69">
        <f t="shared" si="1"/>
        <v>0</v>
      </c>
      <c r="L30" s="69">
        <f>SUMIFS(CT!$F$5:$F$143,CT!$A$5:$A$143,"&gt;="&amp;$I$3,CT!$A$5:$A$143,"&lt;="&amp;$K$3,CT!$D$5:$D$143,A30)</f>
        <v>100</v>
      </c>
      <c r="M30" s="69">
        <f>SUMIFS(CT!$H$5:$H$143,CT!$A$5:$A$143,"&gt;="&amp;$I$3,CT!$A$5:$A$143,"&lt;="&amp;$K$3,CT!$D$5:$D$143,A30)</f>
        <v>30150000</v>
      </c>
      <c r="N30" s="69">
        <f>SUMIFS(CT!$F$5:$F$143,CT!$A$5:$A$143,"&gt;="&amp;$I$3,CT!$A$5:$A$143,"&lt;="&amp;$K$3,CT!$E$5:$E$143,A30)</f>
        <v>0</v>
      </c>
      <c r="O30" s="69">
        <f>SUMIFS(CT!$H$5:$H$143,CT!$A$5:$A$143,"&gt;="&amp;$I$3,CT!$A$5:$A$143,"&lt;="&amp;$K$3,CT!$E$5:$E$143,A30)</f>
        <v>0</v>
      </c>
      <c r="P30" s="69">
        <f t="shared" si="2"/>
        <v>100</v>
      </c>
      <c r="Q30" s="69">
        <f t="shared" si="3"/>
        <v>30150000</v>
      </c>
      <c r="R30" s="69">
        <f t="shared" si="4"/>
        <v>301500</v>
      </c>
      <c r="S30" t="b">
        <f t="shared" si="5"/>
        <v>0</v>
      </c>
    </row>
    <row r="31" spans="1:19" hidden="1" x14ac:dyDescent="0.25">
      <c r="A31" s="93" t="str">
        <f>DMTK!B28</f>
        <v>1311.06</v>
      </c>
      <c r="B31" s="65" t="str">
        <f>VLOOKUP(A31,DMTK!$B$5:$Q$263,3,0)</f>
        <v>Cty XNK Vật Tư (ngắn hạn)</v>
      </c>
      <c r="C31" s="65" t="str">
        <f>VLOOKUP(A31,DMTK!$B$5:$Q$263,16,0)</f>
        <v xml:space="preserve"> </v>
      </c>
      <c r="D31" s="69">
        <f>VLOOKUP(A31,DMTK!$B$5:$Q$263,4,0)</f>
        <v>0</v>
      </c>
      <c r="E31" s="69">
        <f>VLOOKUP(A31,DMTK!$B$5:$Q$263,5,0)</f>
        <v>0</v>
      </c>
      <c r="F31" s="69">
        <f>SUMIFS(CT!$F$5:$F$143,CT!$A$5:$A$143,"&lt;"&amp;$I$3,CT!$D$5:$D$143,A31)</f>
        <v>0</v>
      </c>
      <c r="G31" s="69">
        <f>SUMIFS(CT!$H$5:$H$143,CT!$A$5:$A$143,"&lt;"&amp;$I$3,CT!$D$5:$D$143,A31)</f>
        <v>0</v>
      </c>
      <c r="H31" s="69">
        <f>SUMIFS(CT!$F$5:$F$143,CT!$A$5:$A$143,"&lt;"&amp;$I$3,CT!$E$5:$E$143,A31)</f>
        <v>0</v>
      </c>
      <c r="I31" s="69">
        <f>SUMIFS(CT!$H$5:$H$143,CT!$A$5:$A$143,"&lt;"&amp;$I$3,CT!$E$5:$E$143,A31)</f>
        <v>0</v>
      </c>
      <c r="J31" s="69">
        <f t="shared" si="0"/>
        <v>0</v>
      </c>
      <c r="K31" s="69">
        <f t="shared" si="1"/>
        <v>0</v>
      </c>
      <c r="L31" s="69">
        <f>SUMIFS(CT!$F$5:$F$143,CT!$A$5:$A$143,"&gt;="&amp;$I$3,CT!$A$5:$A$143,"&lt;="&amp;$K$3,CT!$D$5:$D$143,A31)</f>
        <v>150</v>
      </c>
      <c r="M31" s="69">
        <f>SUMIFS(CT!$H$5:$H$143,CT!$A$5:$A$143,"&gt;="&amp;$I$3,CT!$A$5:$A$143,"&lt;="&amp;$K$3,CT!$D$5:$D$143,A31)</f>
        <v>61007500</v>
      </c>
      <c r="N31" s="69">
        <f>SUMIFS(CT!$F$5:$F$143,CT!$A$5:$A$143,"&gt;="&amp;$I$3,CT!$A$5:$A$143,"&lt;="&amp;$K$3,CT!$E$5:$E$143,A31)</f>
        <v>0</v>
      </c>
      <c r="O31" s="69">
        <f>SUMIFS(CT!$H$5:$H$143,CT!$A$5:$A$143,"&gt;="&amp;$I$3,CT!$A$5:$A$143,"&lt;="&amp;$K$3,CT!$E$5:$E$143,A31)</f>
        <v>0</v>
      </c>
      <c r="P31" s="69">
        <f t="shared" si="2"/>
        <v>150</v>
      </c>
      <c r="Q31" s="69">
        <f t="shared" si="3"/>
        <v>61007500</v>
      </c>
      <c r="R31" s="69">
        <f t="shared" si="4"/>
        <v>406716.66666666669</v>
      </c>
      <c r="S31" t="b">
        <f t="shared" si="5"/>
        <v>0</v>
      </c>
    </row>
    <row r="32" spans="1:19" hidden="1" x14ac:dyDescent="0.25">
      <c r="A32" s="93" t="str">
        <f>DMTK!B29</f>
        <v>1331</v>
      </c>
      <c r="B32" s="65" t="str">
        <f>VLOOKUP(A32,DMTK!$B$5:$Q$263,3,0)</f>
        <v>Thuế GTGT được khấu trừ của hàng hóa, dịch vụ</v>
      </c>
      <c r="C32" s="65" t="str">
        <f>VLOOKUP(A32,DMTK!$B$5:$Q$263,16,0)</f>
        <v xml:space="preserve"> </v>
      </c>
      <c r="D32" s="69">
        <f>VLOOKUP(A32,DMTK!$B$5:$Q$263,4,0)</f>
        <v>0</v>
      </c>
      <c r="E32" s="69">
        <f>VLOOKUP(A32,DMTK!$B$5:$Q$263,5,0)</f>
        <v>0</v>
      </c>
      <c r="F32" s="69">
        <f>SUMIFS(CT!$F$5:$F$143,CT!$A$5:$A$143,"&lt;"&amp;$I$3,CT!$D$5:$D$143,A32)</f>
        <v>0</v>
      </c>
      <c r="G32" s="69">
        <f>SUMIFS(CT!$H$5:$H$143,CT!$A$5:$A$143,"&lt;"&amp;$I$3,CT!$D$5:$D$143,A32)</f>
        <v>1655000</v>
      </c>
      <c r="H32" s="69">
        <f>SUMIFS(CT!$F$5:$F$143,CT!$A$5:$A$143,"&lt;"&amp;$I$3,CT!$E$5:$E$143,A32)</f>
        <v>0</v>
      </c>
      <c r="I32" s="69">
        <f>SUMIFS(CT!$H$5:$H$143,CT!$A$5:$A$143,"&lt;"&amp;$I$3,CT!$E$5:$E$143,A32)</f>
        <v>0</v>
      </c>
      <c r="J32" s="69">
        <f t="shared" si="0"/>
        <v>0</v>
      </c>
      <c r="K32" s="69">
        <f t="shared" si="1"/>
        <v>1655000</v>
      </c>
      <c r="L32" s="69">
        <f>SUMIFS(CT!$F$5:$F$143,CT!$A$5:$A$143,"&gt;="&amp;$I$3,CT!$A$5:$A$143,"&lt;="&amp;$K$3,CT!$D$5:$D$143,A32)</f>
        <v>0</v>
      </c>
      <c r="M32" s="69">
        <f>SUMIFS(CT!$H$5:$H$143,CT!$A$5:$A$143,"&gt;="&amp;$I$3,CT!$A$5:$A$143,"&lt;="&amp;$K$3,CT!$D$5:$D$143,A32)</f>
        <v>0</v>
      </c>
      <c r="N32" s="69">
        <f>SUMIFS(CT!$F$5:$F$143,CT!$A$5:$A$143,"&gt;="&amp;$I$3,CT!$A$5:$A$143,"&lt;="&amp;$K$3,CT!$E$5:$E$143,A32)</f>
        <v>0</v>
      </c>
      <c r="O32" s="69">
        <f>SUMIFS(CT!$H$5:$H$143,CT!$A$5:$A$143,"&gt;="&amp;$I$3,CT!$A$5:$A$143,"&lt;="&amp;$K$3,CT!$E$5:$E$143,A32)</f>
        <v>0</v>
      </c>
      <c r="P32" s="69">
        <f t="shared" si="2"/>
        <v>0</v>
      </c>
      <c r="Q32" s="69">
        <f t="shared" si="3"/>
        <v>1655000</v>
      </c>
      <c r="R32" s="69">
        <f t="shared" si="4"/>
        <v>0</v>
      </c>
      <c r="S32" t="b">
        <f t="shared" si="5"/>
        <v>0</v>
      </c>
    </row>
    <row r="33" spans="1:19" hidden="1" x14ac:dyDescent="0.25">
      <c r="A33" s="93" t="str">
        <f>DMTK!B30</f>
        <v>1332</v>
      </c>
      <c r="B33" s="65" t="str">
        <f>VLOOKUP(A33,DMTK!$B$5:$Q$263,3,0)</f>
        <v>Thuế GTGT được khấu trừ của TSCĐ</v>
      </c>
      <c r="C33" s="65" t="str">
        <f>VLOOKUP(A33,DMTK!$B$5:$Q$263,16,0)</f>
        <v xml:space="preserve"> </v>
      </c>
      <c r="D33" s="69">
        <f>VLOOKUP(A33,DMTK!$B$5:$Q$263,4,0)</f>
        <v>0</v>
      </c>
      <c r="E33" s="69">
        <f>VLOOKUP(A33,DMTK!$B$5:$Q$263,5,0)</f>
        <v>0</v>
      </c>
      <c r="F33" s="69">
        <f>SUMIFS(CT!$F$5:$F$143,CT!$A$5:$A$143,"&lt;"&amp;$I$3,CT!$D$5:$D$143,A33)</f>
        <v>0</v>
      </c>
      <c r="G33" s="69">
        <f>SUMIFS(CT!$H$5:$H$143,CT!$A$5:$A$143,"&lt;"&amp;$I$3,CT!$D$5:$D$143,A33)</f>
        <v>0</v>
      </c>
      <c r="H33" s="69">
        <f>SUMIFS(CT!$F$5:$F$143,CT!$A$5:$A$143,"&lt;"&amp;$I$3,CT!$E$5:$E$143,A33)</f>
        <v>0</v>
      </c>
      <c r="I33" s="69">
        <f>SUMIFS(CT!$H$5:$H$143,CT!$A$5:$A$143,"&lt;"&amp;$I$3,CT!$E$5:$E$143,A33)</f>
        <v>0</v>
      </c>
      <c r="J33" s="69">
        <f t="shared" si="0"/>
        <v>0</v>
      </c>
      <c r="K33" s="69">
        <f t="shared" si="1"/>
        <v>0</v>
      </c>
      <c r="L33" s="69">
        <f>SUMIFS(CT!$F$5:$F$143,CT!$A$5:$A$143,"&gt;="&amp;$I$3,CT!$A$5:$A$143,"&lt;="&amp;$K$3,CT!$D$5:$D$143,A33)</f>
        <v>0</v>
      </c>
      <c r="M33" s="69">
        <f>SUMIFS(CT!$H$5:$H$143,CT!$A$5:$A$143,"&gt;="&amp;$I$3,CT!$A$5:$A$143,"&lt;="&amp;$K$3,CT!$D$5:$D$143,A33)</f>
        <v>14000000</v>
      </c>
      <c r="N33" s="69">
        <f>SUMIFS(CT!$F$5:$F$143,CT!$A$5:$A$143,"&gt;="&amp;$I$3,CT!$A$5:$A$143,"&lt;="&amp;$K$3,CT!$E$5:$E$143,A33)</f>
        <v>0</v>
      </c>
      <c r="O33" s="69">
        <f>SUMIFS(CT!$H$5:$H$143,CT!$A$5:$A$143,"&gt;="&amp;$I$3,CT!$A$5:$A$143,"&lt;="&amp;$K$3,CT!$E$5:$E$143,A33)</f>
        <v>0</v>
      </c>
      <c r="P33" s="69">
        <f t="shared" si="2"/>
        <v>0</v>
      </c>
      <c r="Q33" s="69">
        <f t="shared" si="3"/>
        <v>14000000</v>
      </c>
      <c r="R33" s="69">
        <f t="shared" si="4"/>
        <v>0</v>
      </c>
      <c r="S33" t="b">
        <f t="shared" si="5"/>
        <v>0</v>
      </c>
    </row>
    <row r="34" spans="1:19" hidden="1" x14ac:dyDescent="0.25">
      <c r="A34" s="93" t="str">
        <f>DMTK!B31</f>
        <v>1361</v>
      </c>
      <c r="B34" s="65" t="str">
        <f>VLOOKUP(A34,DMTK!$B$5:$Q$263,3,0)</f>
        <v>Vốn kinh doanh ở các đơn vị trực thuộc</v>
      </c>
      <c r="C34" s="65" t="str">
        <f>VLOOKUP(A34,DMTK!$B$5:$Q$263,16,0)</f>
        <v xml:space="preserve"> </v>
      </c>
      <c r="D34" s="69">
        <f>VLOOKUP(A34,DMTK!$B$5:$Q$263,4,0)</f>
        <v>0</v>
      </c>
      <c r="E34" s="69">
        <f>VLOOKUP(A34,DMTK!$B$5:$Q$263,5,0)</f>
        <v>0</v>
      </c>
      <c r="F34" s="69">
        <f>SUMIFS(CT!$F$5:$F$143,CT!$A$5:$A$143,"&lt;"&amp;$I$3,CT!$D$5:$D$143,A34)</f>
        <v>0</v>
      </c>
      <c r="G34" s="69">
        <f>SUMIFS(CT!$H$5:$H$143,CT!$A$5:$A$143,"&lt;"&amp;$I$3,CT!$D$5:$D$143,A34)</f>
        <v>0</v>
      </c>
      <c r="H34" s="69">
        <f>SUMIFS(CT!$F$5:$F$143,CT!$A$5:$A$143,"&lt;"&amp;$I$3,CT!$E$5:$E$143,A34)</f>
        <v>0</v>
      </c>
      <c r="I34" s="69">
        <f>SUMIFS(CT!$H$5:$H$143,CT!$A$5:$A$143,"&lt;"&amp;$I$3,CT!$E$5:$E$143,A34)</f>
        <v>0</v>
      </c>
      <c r="J34" s="69">
        <f t="shared" si="0"/>
        <v>0</v>
      </c>
      <c r="K34" s="69">
        <f t="shared" si="1"/>
        <v>0</v>
      </c>
      <c r="L34" s="69">
        <f>SUMIFS(CT!$F$5:$F$143,CT!$A$5:$A$143,"&gt;="&amp;$I$3,CT!$A$5:$A$143,"&lt;="&amp;$K$3,CT!$D$5:$D$143,A34)</f>
        <v>0</v>
      </c>
      <c r="M34" s="69">
        <f>SUMIFS(CT!$H$5:$H$143,CT!$A$5:$A$143,"&gt;="&amp;$I$3,CT!$A$5:$A$143,"&lt;="&amp;$K$3,CT!$D$5:$D$143,A34)</f>
        <v>0</v>
      </c>
      <c r="N34" s="69">
        <f>SUMIFS(CT!$F$5:$F$143,CT!$A$5:$A$143,"&gt;="&amp;$I$3,CT!$A$5:$A$143,"&lt;="&amp;$K$3,CT!$E$5:$E$143,A34)</f>
        <v>0</v>
      </c>
      <c r="O34" s="69">
        <f>SUMIFS(CT!$H$5:$H$143,CT!$A$5:$A$143,"&gt;="&amp;$I$3,CT!$A$5:$A$143,"&lt;="&amp;$K$3,CT!$E$5:$E$143,A34)</f>
        <v>0</v>
      </c>
      <c r="P34" s="69">
        <f t="shared" si="2"/>
        <v>0</v>
      </c>
      <c r="Q34" s="69">
        <f t="shared" si="3"/>
        <v>0</v>
      </c>
      <c r="R34" s="69">
        <f t="shared" si="4"/>
        <v>0</v>
      </c>
      <c r="S34" t="b">
        <f t="shared" si="5"/>
        <v>0</v>
      </c>
    </row>
    <row r="35" spans="1:19" hidden="1" x14ac:dyDescent="0.25">
      <c r="A35" s="93" t="str">
        <f>DMTK!B32</f>
        <v>13621</v>
      </c>
      <c r="B35" s="65" t="str">
        <f>VLOOKUP(A35,DMTK!$B$5:$Q$263,3,0)</f>
        <v>Phải thu nội bộ về chênh lệch tỷ giá (không quá 12 tháng)</v>
      </c>
      <c r="C35" s="65" t="str">
        <f>VLOOKUP(A35,DMTK!$B$5:$Q$263,16,0)</f>
        <v xml:space="preserve"> </v>
      </c>
      <c r="D35" s="69">
        <f>VLOOKUP(A35,DMTK!$B$5:$Q$263,4,0)</f>
        <v>0</v>
      </c>
      <c r="E35" s="69">
        <f>VLOOKUP(A35,DMTK!$B$5:$Q$263,5,0)</f>
        <v>0</v>
      </c>
      <c r="F35" s="69">
        <f>SUMIFS(CT!$F$5:$F$143,CT!$A$5:$A$143,"&lt;"&amp;$I$3,CT!$D$5:$D$143,A35)</f>
        <v>0</v>
      </c>
      <c r="G35" s="69">
        <f>SUMIFS(CT!$H$5:$H$143,CT!$A$5:$A$143,"&lt;"&amp;$I$3,CT!$D$5:$D$143,A35)</f>
        <v>0</v>
      </c>
      <c r="H35" s="69">
        <f>SUMIFS(CT!$F$5:$F$143,CT!$A$5:$A$143,"&lt;"&amp;$I$3,CT!$E$5:$E$143,A35)</f>
        <v>0</v>
      </c>
      <c r="I35" s="69">
        <f>SUMIFS(CT!$H$5:$H$143,CT!$A$5:$A$143,"&lt;"&amp;$I$3,CT!$E$5:$E$143,A35)</f>
        <v>0</v>
      </c>
      <c r="J35" s="69">
        <f t="shared" si="0"/>
        <v>0</v>
      </c>
      <c r="K35" s="69">
        <f t="shared" si="1"/>
        <v>0</v>
      </c>
      <c r="L35" s="69">
        <f>SUMIFS(CT!$F$5:$F$143,CT!$A$5:$A$143,"&gt;="&amp;$I$3,CT!$A$5:$A$143,"&lt;="&amp;$K$3,CT!$D$5:$D$143,A35)</f>
        <v>0</v>
      </c>
      <c r="M35" s="69">
        <f>SUMIFS(CT!$H$5:$H$143,CT!$A$5:$A$143,"&gt;="&amp;$I$3,CT!$A$5:$A$143,"&lt;="&amp;$K$3,CT!$D$5:$D$143,A35)</f>
        <v>0</v>
      </c>
      <c r="N35" s="69">
        <f>SUMIFS(CT!$F$5:$F$143,CT!$A$5:$A$143,"&gt;="&amp;$I$3,CT!$A$5:$A$143,"&lt;="&amp;$K$3,CT!$E$5:$E$143,A35)</f>
        <v>0</v>
      </c>
      <c r="O35" s="69">
        <f>SUMIFS(CT!$H$5:$H$143,CT!$A$5:$A$143,"&gt;="&amp;$I$3,CT!$A$5:$A$143,"&lt;="&amp;$K$3,CT!$E$5:$E$143,A35)</f>
        <v>0</v>
      </c>
      <c r="P35" s="69">
        <f t="shared" si="2"/>
        <v>0</v>
      </c>
      <c r="Q35" s="69">
        <f t="shared" si="3"/>
        <v>0</v>
      </c>
      <c r="R35" s="69">
        <f t="shared" si="4"/>
        <v>0</v>
      </c>
      <c r="S35" t="b">
        <f t="shared" si="5"/>
        <v>0</v>
      </c>
    </row>
    <row r="36" spans="1:19" hidden="1" x14ac:dyDescent="0.25">
      <c r="A36" s="93" t="str">
        <f>DMTK!B33</f>
        <v>13622</v>
      </c>
      <c r="B36" s="65" t="str">
        <f>VLOOKUP(A36,DMTK!$B$5:$Q$263,3,0)</f>
        <v>Phải thu nội bộ về chênh lệch tỷ giá (trên 12 tháng)</v>
      </c>
      <c r="C36" s="65" t="str">
        <f>VLOOKUP(A36,DMTK!$B$5:$Q$263,16,0)</f>
        <v xml:space="preserve"> </v>
      </c>
      <c r="D36" s="69">
        <f>VLOOKUP(A36,DMTK!$B$5:$Q$263,4,0)</f>
        <v>0</v>
      </c>
      <c r="E36" s="69">
        <f>VLOOKUP(A36,DMTK!$B$5:$Q$263,5,0)</f>
        <v>0</v>
      </c>
      <c r="F36" s="69">
        <f>SUMIFS(CT!$F$5:$F$143,CT!$A$5:$A$143,"&lt;"&amp;$I$3,CT!$D$5:$D$143,A36)</f>
        <v>0</v>
      </c>
      <c r="G36" s="69">
        <f>SUMIFS(CT!$H$5:$H$143,CT!$A$5:$A$143,"&lt;"&amp;$I$3,CT!$D$5:$D$143,A36)</f>
        <v>0</v>
      </c>
      <c r="H36" s="69">
        <f>SUMIFS(CT!$F$5:$F$143,CT!$A$5:$A$143,"&lt;"&amp;$I$3,CT!$E$5:$E$143,A36)</f>
        <v>0</v>
      </c>
      <c r="I36" s="69">
        <f>SUMIFS(CT!$H$5:$H$143,CT!$A$5:$A$143,"&lt;"&amp;$I$3,CT!$E$5:$E$143,A36)</f>
        <v>0</v>
      </c>
      <c r="J36" s="69">
        <f t="shared" si="0"/>
        <v>0</v>
      </c>
      <c r="K36" s="69">
        <f t="shared" si="1"/>
        <v>0</v>
      </c>
      <c r="L36" s="69">
        <f>SUMIFS(CT!$F$5:$F$143,CT!$A$5:$A$143,"&gt;="&amp;$I$3,CT!$A$5:$A$143,"&lt;="&amp;$K$3,CT!$D$5:$D$143,A36)</f>
        <v>0</v>
      </c>
      <c r="M36" s="69">
        <f>SUMIFS(CT!$H$5:$H$143,CT!$A$5:$A$143,"&gt;="&amp;$I$3,CT!$A$5:$A$143,"&lt;="&amp;$K$3,CT!$D$5:$D$143,A36)</f>
        <v>0</v>
      </c>
      <c r="N36" s="69">
        <f>SUMIFS(CT!$F$5:$F$143,CT!$A$5:$A$143,"&gt;="&amp;$I$3,CT!$A$5:$A$143,"&lt;="&amp;$K$3,CT!$E$5:$E$143,A36)</f>
        <v>0</v>
      </c>
      <c r="O36" s="69">
        <f>SUMIFS(CT!$H$5:$H$143,CT!$A$5:$A$143,"&gt;="&amp;$I$3,CT!$A$5:$A$143,"&lt;="&amp;$K$3,CT!$E$5:$E$143,A36)</f>
        <v>0</v>
      </c>
      <c r="P36" s="69">
        <f t="shared" si="2"/>
        <v>0</v>
      </c>
      <c r="Q36" s="69">
        <f t="shared" si="3"/>
        <v>0</v>
      </c>
      <c r="R36" s="69">
        <f t="shared" si="4"/>
        <v>0</v>
      </c>
      <c r="S36" t="b">
        <f t="shared" si="5"/>
        <v>0</v>
      </c>
    </row>
    <row r="37" spans="1:19" hidden="1" x14ac:dyDescent="0.25">
      <c r="A37" s="93" t="str">
        <f>DMTK!B34</f>
        <v>13631</v>
      </c>
      <c r="B37" s="65" t="str">
        <f>VLOOKUP(A37,DMTK!$B$5:$Q$263,3,0)</f>
        <v>Phải thu nội bộ về chi phí đi vay đủ điều kiện được vốn hóa (không quá 12 tháng)</v>
      </c>
      <c r="C37" s="65" t="str">
        <f>VLOOKUP(A37,DMTK!$B$5:$Q$263,16,0)</f>
        <v xml:space="preserve"> </v>
      </c>
      <c r="D37" s="69">
        <f>VLOOKUP(A37,DMTK!$B$5:$Q$263,4,0)</f>
        <v>0</v>
      </c>
      <c r="E37" s="69">
        <f>VLOOKUP(A37,DMTK!$B$5:$Q$263,5,0)</f>
        <v>0</v>
      </c>
      <c r="F37" s="69">
        <f>SUMIFS(CT!$F$5:$F$143,CT!$A$5:$A$143,"&lt;"&amp;$I$3,CT!$D$5:$D$143,A37)</f>
        <v>0</v>
      </c>
      <c r="G37" s="69">
        <f>SUMIFS(CT!$H$5:$H$143,CT!$A$5:$A$143,"&lt;"&amp;$I$3,CT!$D$5:$D$143,A37)</f>
        <v>0</v>
      </c>
      <c r="H37" s="69">
        <f>SUMIFS(CT!$F$5:$F$143,CT!$A$5:$A$143,"&lt;"&amp;$I$3,CT!$E$5:$E$143,A37)</f>
        <v>0</v>
      </c>
      <c r="I37" s="69">
        <f>SUMIFS(CT!$H$5:$H$143,CT!$A$5:$A$143,"&lt;"&amp;$I$3,CT!$E$5:$E$143,A37)</f>
        <v>0</v>
      </c>
      <c r="J37" s="69">
        <f t="shared" si="0"/>
        <v>0</v>
      </c>
      <c r="K37" s="69">
        <f t="shared" si="1"/>
        <v>0</v>
      </c>
      <c r="L37" s="69">
        <f>SUMIFS(CT!$F$5:$F$143,CT!$A$5:$A$143,"&gt;="&amp;$I$3,CT!$A$5:$A$143,"&lt;="&amp;$K$3,CT!$D$5:$D$143,A37)</f>
        <v>0</v>
      </c>
      <c r="M37" s="69">
        <f>SUMIFS(CT!$H$5:$H$143,CT!$A$5:$A$143,"&gt;="&amp;$I$3,CT!$A$5:$A$143,"&lt;="&amp;$K$3,CT!$D$5:$D$143,A37)</f>
        <v>0</v>
      </c>
      <c r="N37" s="69">
        <f>SUMIFS(CT!$F$5:$F$143,CT!$A$5:$A$143,"&gt;="&amp;$I$3,CT!$A$5:$A$143,"&lt;="&amp;$K$3,CT!$E$5:$E$143,A37)</f>
        <v>0</v>
      </c>
      <c r="O37" s="69">
        <f>SUMIFS(CT!$H$5:$H$143,CT!$A$5:$A$143,"&gt;="&amp;$I$3,CT!$A$5:$A$143,"&lt;="&amp;$K$3,CT!$E$5:$E$143,A37)</f>
        <v>0</v>
      </c>
      <c r="P37" s="69">
        <f t="shared" si="2"/>
        <v>0</v>
      </c>
      <c r="Q37" s="69">
        <f t="shared" si="3"/>
        <v>0</v>
      </c>
      <c r="R37" s="69">
        <f t="shared" si="4"/>
        <v>0</v>
      </c>
      <c r="S37" t="b">
        <f t="shared" si="5"/>
        <v>0</v>
      </c>
    </row>
    <row r="38" spans="1:19" hidden="1" x14ac:dyDescent="0.25">
      <c r="A38" s="93" t="str">
        <f>DMTK!B35</f>
        <v>13632</v>
      </c>
      <c r="B38" s="65" t="str">
        <f>VLOOKUP(A38,DMTK!$B$5:$Q$263,3,0)</f>
        <v>Phải thu nội bộ về chi phí đi vay đủ điều kiện được vốn hóa (trên 12 tháng)</v>
      </c>
      <c r="C38" s="65" t="str">
        <f>VLOOKUP(A38,DMTK!$B$5:$Q$263,16,0)</f>
        <v xml:space="preserve"> </v>
      </c>
      <c r="D38" s="69">
        <f>VLOOKUP(A38,DMTK!$B$5:$Q$263,4,0)</f>
        <v>0</v>
      </c>
      <c r="E38" s="69">
        <f>VLOOKUP(A38,DMTK!$B$5:$Q$263,5,0)</f>
        <v>0</v>
      </c>
      <c r="F38" s="69">
        <f>SUMIFS(CT!$F$5:$F$143,CT!$A$5:$A$143,"&lt;"&amp;$I$3,CT!$D$5:$D$143,A38)</f>
        <v>0</v>
      </c>
      <c r="G38" s="69">
        <f>SUMIFS(CT!$H$5:$H$143,CT!$A$5:$A$143,"&lt;"&amp;$I$3,CT!$D$5:$D$143,A38)</f>
        <v>0</v>
      </c>
      <c r="H38" s="69">
        <f>SUMIFS(CT!$F$5:$F$143,CT!$A$5:$A$143,"&lt;"&amp;$I$3,CT!$E$5:$E$143,A38)</f>
        <v>0</v>
      </c>
      <c r="I38" s="69">
        <f>SUMIFS(CT!$H$5:$H$143,CT!$A$5:$A$143,"&lt;"&amp;$I$3,CT!$E$5:$E$143,A38)</f>
        <v>0</v>
      </c>
      <c r="J38" s="69">
        <f t="shared" si="0"/>
        <v>0</v>
      </c>
      <c r="K38" s="69">
        <f t="shared" si="1"/>
        <v>0</v>
      </c>
      <c r="L38" s="69">
        <f>SUMIFS(CT!$F$5:$F$143,CT!$A$5:$A$143,"&gt;="&amp;$I$3,CT!$A$5:$A$143,"&lt;="&amp;$K$3,CT!$D$5:$D$143,A38)</f>
        <v>0</v>
      </c>
      <c r="M38" s="69">
        <f>SUMIFS(CT!$H$5:$H$143,CT!$A$5:$A$143,"&gt;="&amp;$I$3,CT!$A$5:$A$143,"&lt;="&amp;$K$3,CT!$D$5:$D$143,A38)</f>
        <v>0</v>
      </c>
      <c r="N38" s="69">
        <f>SUMIFS(CT!$F$5:$F$143,CT!$A$5:$A$143,"&gt;="&amp;$I$3,CT!$A$5:$A$143,"&lt;="&amp;$K$3,CT!$E$5:$E$143,A38)</f>
        <v>0</v>
      </c>
      <c r="O38" s="69">
        <f>SUMIFS(CT!$H$5:$H$143,CT!$A$5:$A$143,"&gt;="&amp;$I$3,CT!$A$5:$A$143,"&lt;="&amp;$K$3,CT!$E$5:$E$143,A38)</f>
        <v>0</v>
      </c>
      <c r="P38" s="69">
        <f t="shared" si="2"/>
        <v>0</v>
      </c>
      <c r="Q38" s="69">
        <f t="shared" si="3"/>
        <v>0</v>
      </c>
      <c r="R38" s="69">
        <f t="shared" si="4"/>
        <v>0</v>
      </c>
      <c r="S38" t="b">
        <f t="shared" si="5"/>
        <v>0</v>
      </c>
    </row>
    <row r="39" spans="1:19" hidden="1" x14ac:dyDescent="0.25">
      <c r="A39" s="93" t="str">
        <f>DMTK!B36</f>
        <v>13681</v>
      </c>
      <c r="B39" s="65" t="str">
        <f>VLOOKUP(A39,DMTK!$B$5:$Q$263,3,0)</f>
        <v>Phải thu nội bộ khác (không quá 12 tháng)</v>
      </c>
      <c r="C39" s="65" t="str">
        <f>VLOOKUP(A39,DMTK!$B$5:$Q$263,16,0)</f>
        <v xml:space="preserve"> </v>
      </c>
      <c r="D39" s="69">
        <f>VLOOKUP(A39,DMTK!$B$5:$Q$263,4,0)</f>
        <v>0</v>
      </c>
      <c r="E39" s="69">
        <f>VLOOKUP(A39,DMTK!$B$5:$Q$263,5,0)</f>
        <v>0</v>
      </c>
      <c r="F39" s="69">
        <f>SUMIFS(CT!$F$5:$F$143,CT!$A$5:$A$143,"&lt;"&amp;$I$3,CT!$D$5:$D$143,A39)</f>
        <v>0</v>
      </c>
      <c r="G39" s="69">
        <f>SUMIFS(CT!$H$5:$H$143,CT!$A$5:$A$143,"&lt;"&amp;$I$3,CT!$D$5:$D$143,A39)</f>
        <v>0</v>
      </c>
      <c r="H39" s="69">
        <f>SUMIFS(CT!$F$5:$F$143,CT!$A$5:$A$143,"&lt;"&amp;$I$3,CT!$E$5:$E$143,A39)</f>
        <v>0</v>
      </c>
      <c r="I39" s="69">
        <f>SUMIFS(CT!$H$5:$H$143,CT!$A$5:$A$143,"&lt;"&amp;$I$3,CT!$E$5:$E$143,A39)</f>
        <v>0</v>
      </c>
      <c r="J39" s="69">
        <f t="shared" si="0"/>
        <v>0</v>
      </c>
      <c r="K39" s="69">
        <f t="shared" si="1"/>
        <v>0</v>
      </c>
      <c r="L39" s="69">
        <f>SUMIFS(CT!$F$5:$F$143,CT!$A$5:$A$143,"&gt;="&amp;$I$3,CT!$A$5:$A$143,"&lt;="&amp;$K$3,CT!$D$5:$D$143,A39)</f>
        <v>0</v>
      </c>
      <c r="M39" s="69">
        <f>SUMIFS(CT!$H$5:$H$143,CT!$A$5:$A$143,"&gt;="&amp;$I$3,CT!$A$5:$A$143,"&lt;="&amp;$K$3,CT!$D$5:$D$143,A39)</f>
        <v>0</v>
      </c>
      <c r="N39" s="69">
        <f>SUMIFS(CT!$F$5:$F$143,CT!$A$5:$A$143,"&gt;="&amp;$I$3,CT!$A$5:$A$143,"&lt;="&amp;$K$3,CT!$E$5:$E$143,A39)</f>
        <v>0</v>
      </c>
      <c r="O39" s="69">
        <f>SUMIFS(CT!$H$5:$H$143,CT!$A$5:$A$143,"&gt;="&amp;$I$3,CT!$A$5:$A$143,"&lt;="&amp;$K$3,CT!$E$5:$E$143,A39)</f>
        <v>0</v>
      </c>
      <c r="P39" s="69">
        <f t="shared" si="2"/>
        <v>0</v>
      </c>
      <c r="Q39" s="69">
        <f t="shared" si="3"/>
        <v>0</v>
      </c>
      <c r="R39" s="69">
        <f t="shared" si="4"/>
        <v>0</v>
      </c>
      <c r="S39" t="b">
        <f t="shared" si="5"/>
        <v>0</v>
      </c>
    </row>
    <row r="40" spans="1:19" hidden="1" x14ac:dyDescent="0.25">
      <c r="A40" s="93" t="str">
        <f>DMTK!B37</f>
        <v>13682</v>
      </c>
      <c r="B40" s="65" t="str">
        <f>VLOOKUP(A40,DMTK!$B$5:$Q$263,3,0)</f>
        <v>Phải thu nội bộ khác (trên 12 tháng)</v>
      </c>
      <c r="C40" s="65" t="str">
        <f>VLOOKUP(A40,DMTK!$B$5:$Q$263,16,0)</f>
        <v xml:space="preserve"> </v>
      </c>
      <c r="D40" s="69">
        <f>VLOOKUP(A40,DMTK!$B$5:$Q$263,4,0)</f>
        <v>0</v>
      </c>
      <c r="E40" s="69">
        <f>VLOOKUP(A40,DMTK!$B$5:$Q$263,5,0)</f>
        <v>0</v>
      </c>
      <c r="F40" s="69">
        <f>SUMIFS(CT!$F$5:$F$143,CT!$A$5:$A$143,"&lt;"&amp;$I$3,CT!$D$5:$D$143,A40)</f>
        <v>0</v>
      </c>
      <c r="G40" s="69">
        <f>SUMIFS(CT!$H$5:$H$143,CT!$A$5:$A$143,"&lt;"&amp;$I$3,CT!$D$5:$D$143,A40)</f>
        <v>0</v>
      </c>
      <c r="H40" s="69">
        <f>SUMIFS(CT!$F$5:$F$143,CT!$A$5:$A$143,"&lt;"&amp;$I$3,CT!$E$5:$E$143,A40)</f>
        <v>0</v>
      </c>
      <c r="I40" s="69">
        <f>SUMIFS(CT!$H$5:$H$143,CT!$A$5:$A$143,"&lt;"&amp;$I$3,CT!$E$5:$E$143,A40)</f>
        <v>0</v>
      </c>
      <c r="J40" s="69">
        <f t="shared" si="0"/>
        <v>0</v>
      </c>
      <c r="K40" s="69">
        <f t="shared" si="1"/>
        <v>0</v>
      </c>
      <c r="L40" s="69">
        <f>SUMIFS(CT!$F$5:$F$143,CT!$A$5:$A$143,"&gt;="&amp;$I$3,CT!$A$5:$A$143,"&lt;="&amp;$K$3,CT!$D$5:$D$143,A40)</f>
        <v>0</v>
      </c>
      <c r="M40" s="69">
        <f>SUMIFS(CT!$H$5:$H$143,CT!$A$5:$A$143,"&gt;="&amp;$I$3,CT!$A$5:$A$143,"&lt;="&amp;$K$3,CT!$D$5:$D$143,A40)</f>
        <v>0</v>
      </c>
      <c r="N40" s="69">
        <f>SUMIFS(CT!$F$5:$F$143,CT!$A$5:$A$143,"&gt;="&amp;$I$3,CT!$A$5:$A$143,"&lt;="&amp;$K$3,CT!$E$5:$E$143,A40)</f>
        <v>0</v>
      </c>
      <c r="O40" s="69">
        <f>SUMIFS(CT!$H$5:$H$143,CT!$A$5:$A$143,"&gt;="&amp;$I$3,CT!$A$5:$A$143,"&lt;="&amp;$K$3,CT!$E$5:$E$143,A40)</f>
        <v>0</v>
      </c>
      <c r="P40" s="69">
        <f t="shared" si="2"/>
        <v>0</v>
      </c>
      <c r="Q40" s="69">
        <f t="shared" si="3"/>
        <v>0</v>
      </c>
      <c r="R40" s="69">
        <f t="shared" si="4"/>
        <v>0</v>
      </c>
      <c r="S40" t="b">
        <f t="shared" si="5"/>
        <v>0</v>
      </c>
    </row>
    <row r="41" spans="1:19" hidden="1" x14ac:dyDescent="0.25">
      <c r="A41" s="93" t="str">
        <f>DMTK!B38</f>
        <v>1381</v>
      </c>
      <c r="B41" s="65" t="str">
        <f>VLOOKUP(A41,DMTK!$B$5:$Q$263,3,0)</f>
        <v>Tài sản thiếu chờ xử lý</v>
      </c>
      <c r="C41" s="65" t="str">
        <f>VLOOKUP(A41,DMTK!$B$5:$Q$263,16,0)</f>
        <v xml:space="preserve"> </v>
      </c>
      <c r="D41" s="69">
        <f>VLOOKUP(A41,DMTK!$B$5:$Q$263,4,0)</f>
        <v>0</v>
      </c>
      <c r="E41" s="69">
        <f>VLOOKUP(A41,DMTK!$B$5:$Q$263,5,0)</f>
        <v>0</v>
      </c>
      <c r="F41" s="69">
        <f>SUMIFS(CT!$F$5:$F$143,CT!$A$5:$A$143,"&lt;"&amp;$I$3,CT!$D$5:$D$143,A41)</f>
        <v>0</v>
      </c>
      <c r="G41" s="69">
        <f>SUMIFS(CT!$H$5:$H$143,CT!$A$5:$A$143,"&lt;"&amp;$I$3,CT!$D$5:$D$143,A41)</f>
        <v>0</v>
      </c>
      <c r="H41" s="69">
        <f>SUMIFS(CT!$F$5:$F$143,CT!$A$5:$A$143,"&lt;"&amp;$I$3,CT!$E$5:$E$143,A41)</f>
        <v>0</v>
      </c>
      <c r="I41" s="69">
        <f>SUMIFS(CT!$H$5:$H$143,CT!$A$5:$A$143,"&lt;"&amp;$I$3,CT!$E$5:$E$143,A41)</f>
        <v>0</v>
      </c>
      <c r="J41" s="69">
        <f t="shared" si="0"/>
        <v>0</v>
      </c>
      <c r="K41" s="69">
        <f t="shared" si="1"/>
        <v>0</v>
      </c>
      <c r="L41" s="69">
        <f>SUMIFS(CT!$F$5:$F$143,CT!$A$5:$A$143,"&gt;="&amp;$I$3,CT!$A$5:$A$143,"&lt;="&amp;$K$3,CT!$D$5:$D$143,A41)</f>
        <v>0</v>
      </c>
      <c r="M41" s="69">
        <f>SUMIFS(CT!$H$5:$H$143,CT!$A$5:$A$143,"&gt;="&amp;$I$3,CT!$A$5:$A$143,"&lt;="&amp;$K$3,CT!$D$5:$D$143,A41)</f>
        <v>0</v>
      </c>
      <c r="N41" s="69">
        <f>SUMIFS(CT!$F$5:$F$143,CT!$A$5:$A$143,"&gt;="&amp;$I$3,CT!$A$5:$A$143,"&lt;="&amp;$K$3,CT!$E$5:$E$143,A41)</f>
        <v>0</v>
      </c>
      <c r="O41" s="69">
        <f>SUMIFS(CT!$H$5:$H$143,CT!$A$5:$A$143,"&gt;="&amp;$I$3,CT!$A$5:$A$143,"&lt;="&amp;$K$3,CT!$E$5:$E$143,A41)</f>
        <v>0</v>
      </c>
      <c r="P41" s="69">
        <f t="shared" si="2"/>
        <v>0</v>
      </c>
      <c r="Q41" s="69">
        <f t="shared" si="3"/>
        <v>0</v>
      </c>
      <c r="R41" s="69">
        <f t="shared" si="4"/>
        <v>0</v>
      </c>
      <c r="S41" t="b">
        <f t="shared" si="5"/>
        <v>0</v>
      </c>
    </row>
    <row r="42" spans="1:19" hidden="1" x14ac:dyDescent="0.25">
      <c r="A42" s="93" t="str">
        <f>DMTK!B39</f>
        <v>13851</v>
      </c>
      <c r="B42" s="65" t="str">
        <f>VLOOKUP(A42,DMTK!$B$5:$Q$263,3,0)</f>
        <v>Phải thu về cổ phần hóa (không quá 12 tháng)</v>
      </c>
      <c r="C42" s="65" t="str">
        <f>VLOOKUP(A42,DMTK!$B$5:$Q$263,16,0)</f>
        <v xml:space="preserve"> </v>
      </c>
      <c r="D42" s="69">
        <f>VLOOKUP(A42,DMTK!$B$5:$Q$263,4,0)</f>
        <v>0</v>
      </c>
      <c r="E42" s="69">
        <f>VLOOKUP(A42,DMTK!$B$5:$Q$263,5,0)</f>
        <v>0</v>
      </c>
      <c r="F42" s="69">
        <f>SUMIFS(CT!$F$5:$F$143,CT!$A$5:$A$143,"&lt;"&amp;$I$3,CT!$D$5:$D$143,A42)</f>
        <v>0</v>
      </c>
      <c r="G42" s="69">
        <f>SUMIFS(CT!$H$5:$H$143,CT!$A$5:$A$143,"&lt;"&amp;$I$3,CT!$D$5:$D$143,A42)</f>
        <v>0</v>
      </c>
      <c r="H42" s="69">
        <f>SUMIFS(CT!$F$5:$F$143,CT!$A$5:$A$143,"&lt;"&amp;$I$3,CT!$E$5:$E$143,A42)</f>
        <v>0</v>
      </c>
      <c r="I42" s="69">
        <f>SUMIFS(CT!$H$5:$H$143,CT!$A$5:$A$143,"&lt;"&amp;$I$3,CT!$E$5:$E$143,A42)</f>
        <v>0</v>
      </c>
      <c r="J42" s="69">
        <f t="shared" si="0"/>
        <v>0</v>
      </c>
      <c r="K42" s="69">
        <f t="shared" si="1"/>
        <v>0</v>
      </c>
      <c r="L42" s="69">
        <f>SUMIFS(CT!$F$5:$F$143,CT!$A$5:$A$143,"&gt;="&amp;$I$3,CT!$A$5:$A$143,"&lt;="&amp;$K$3,CT!$D$5:$D$143,A42)</f>
        <v>0</v>
      </c>
      <c r="M42" s="69">
        <f>SUMIFS(CT!$H$5:$H$143,CT!$A$5:$A$143,"&gt;="&amp;$I$3,CT!$A$5:$A$143,"&lt;="&amp;$K$3,CT!$D$5:$D$143,A42)</f>
        <v>0</v>
      </c>
      <c r="N42" s="69">
        <f>SUMIFS(CT!$F$5:$F$143,CT!$A$5:$A$143,"&gt;="&amp;$I$3,CT!$A$5:$A$143,"&lt;="&amp;$K$3,CT!$E$5:$E$143,A42)</f>
        <v>0</v>
      </c>
      <c r="O42" s="69">
        <f>SUMIFS(CT!$H$5:$H$143,CT!$A$5:$A$143,"&gt;="&amp;$I$3,CT!$A$5:$A$143,"&lt;="&amp;$K$3,CT!$E$5:$E$143,A42)</f>
        <v>0</v>
      </c>
      <c r="P42" s="69">
        <f t="shared" si="2"/>
        <v>0</v>
      </c>
      <c r="Q42" s="69">
        <f t="shared" si="3"/>
        <v>0</v>
      </c>
      <c r="R42" s="69">
        <f t="shared" si="4"/>
        <v>0</v>
      </c>
      <c r="S42" t="b">
        <f t="shared" si="5"/>
        <v>0</v>
      </c>
    </row>
    <row r="43" spans="1:19" hidden="1" x14ac:dyDescent="0.25">
      <c r="A43" s="93" t="str">
        <f>DMTK!B40</f>
        <v>13852</v>
      </c>
      <c r="B43" s="65" t="str">
        <f>VLOOKUP(A43,DMTK!$B$5:$Q$263,3,0)</f>
        <v>Phải thu về cổ phần hóa</v>
      </c>
      <c r="C43" s="65" t="str">
        <f>VLOOKUP(A43,DMTK!$B$5:$Q$263,16,0)</f>
        <v xml:space="preserve"> </v>
      </c>
      <c r="D43" s="69">
        <f>VLOOKUP(A43,DMTK!$B$5:$Q$263,4,0)</f>
        <v>0</v>
      </c>
      <c r="E43" s="69">
        <f>VLOOKUP(A43,DMTK!$B$5:$Q$263,5,0)</f>
        <v>0</v>
      </c>
      <c r="F43" s="69">
        <f>SUMIFS(CT!$F$5:$F$143,CT!$A$5:$A$143,"&lt;"&amp;$I$3,CT!$D$5:$D$143,A43)</f>
        <v>0</v>
      </c>
      <c r="G43" s="69">
        <f>SUMIFS(CT!$H$5:$H$143,CT!$A$5:$A$143,"&lt;"&amp;$I$3,CT!$D$5:$D$143,A43)</f>
        <v>0</v>
      </c>
      <c r="H43" s="69">
        <f>SUMIFS(CT!$F$5:$F$143,CT!$A$5:$A$143,"&lt;"&amp;$I$3,CT!$E$5:$E$143,A43)</f>
        <v>0</v>
      </c>
      <c r="I43" s="69">
        <f>SUMIFS(CT!$H$5:$H$143,CT!$A$5:$A$143,"&lt;"&amp;$I$3,CT!$E$5:$E$143,A43)</f>
        <v>0</v>
      </c>
      <c r="J43" s="69">
        <f t="shared" si="0"/>
        <v>0</v>
      </c>
      <c r="K43" s="69">
        <f t="shared" si="1"/>
        <v>0</v>
      </c>
      <c r="L43" s="69">
        <f>SUMIFS(CT!$F$5:$F$143,CT!$A$5:$A$143,"&gt;="&amp;$I$3,CT!$A$5:$A$143,"&lt;="&amp;$K$3,CT!$D$5:$D$143,A43)</f>
        <v>0</v>
      </c>
      <c r="M43" s="69">
        <f>SUMIFS(CT!$H$5:$H$143,CT!$A$5:$A$143,"&gt;="&amp;$I$3,CT!$A$5:$A$143,"&lt;="&amp;$K$3,CT!$D$5:$D$143,A43)</f>
        <v>0</v>
      </c>
      <c r="N43" s="69">
        <f>SUMIFS(CT!$F$5:$F$143,CT!$A$5:$A$143,"&gt;="&amp;$I$3,CT!$A$5:$A$143,"&lt;="&amp;$K$3,CT!$E$5:$E$143,A43)</f>
        <v>0</v>
      </c>
      <c r="O43" s="69">
        <f>SUMIFS(CT!$H$5:$H$143,CT!$A$5:$A$143,"&gt;="&amp;$I$3,CT!$A$5:$A$143,"&lt;="&amp;$K$3,CT!$E$5:$E$143,A43)</f>
        <v>0</v>
      </c>
      <c r="P43" s="69">
        <f t="shared" si="2"/>
        <v>0</v>
      </c>
      <c r="Q43" s="69">
        <f t="shared" si="3"/>
        <v>0</v>
      </c>
      <c r="R43" s="69">
        <f t="shared" si="4"/>
        <v>0</v>
      </c>
      <c r="S43" t="b">
        <f t="shared" si="5"/>
        <v>0</v>
      </c>
    </row>
    <row r="44" spans="1:19" hidden="1" x14ac:dyDescent="0.25">
      <c r="A44" s="93" t="str">
        <f>DMTK!B41</f>
        <v>13881</v>
      </c>
      <c r="B44" s="65" t="str">
        <f>VLOOKUP(A44,DMTK!$B$5:$Q$263,3,0)</f>
        <v>Phải thu khác (không quá 12 tháng)</v>
      </c>
      <c r="C44" s="65" t="str">
        <f>VLOOKUP(A44,DMTK!$B$5:$Q$263,16,0)</f>
        <v xml:space="preserve"> </v>
      </c>
      <c r="D44" s="69">
        <f>VLOOKUP(A44,DMTK!$B$5:$Q$263,4,0)</f>
        <v>0</v>
      </c>
      <c r="E44" s="69">
        <f>VLOOKUP(A44,DMTK!$B$5:$Q$263,5,0)</f>
        <v>52200000</v>
      </c>
      <c r="F44" s="69">
        <f>SUMIFS(CT!$F$5:$F$143,CT!$A$5:$A$143,"&lt;"&amp;$I$3,CT!$D$5:$D$143,A44)</f>
        <v>0</v>
      </c>
      <c r="G44" s="69">
        <f>SUMIFS(CT!$H$5:$H$143,CT!$A$5:$A$143,"&lt;"&amp;$I$3,CT!$D$5:$D$143,A44)</f>
        <v>0</v>
      </c>
      <c r="H44" s="69">
        <f>SUMIFS(CT!$F$5:$F$143,CT!$A$5:$A$143,"&lt;"&amp;$I$3,CT!$E$5:$E$143,A44)</f>
        <v>0</v>
      </c>
      <c r="I44" s="69">
        <f>SUMIFS(CT!$H$5:$H$143,CT!$A$5:$A$143,"&lt;"&amp;$I$3,CT!$E$5:$E$143,A44)</f>
        <v>0</v>
      </c>
      <c r="J44" s="69">
        <f t="shared" si="0"/>
        <v>0</v>
      </c>
      <c r="K44" s="69">
        <f t="shared" si="1"/>
        <v>52200000</v>
      </c>
      <c r="L44" s="69">
        <f>SUMIFS(CT!$F$5:$F$143,CT!$A$5:$A$143,"&gt;="&amp;$I$3,CT!$A$5:$A$143,"&lt;="&amp;$K$3,CT!$D$5:$D$143,A44)</f>
        <v>0</v>
      </c>
      <c r="M44" s="69">
        <f>SUMIFS(CT!$H$5:$H$143,CT!$A$5:$A$143,"&gt;="&amp;$I$3,CT!$A$5:$A$143,"&lt;="&amp;$K$3,CT!$D$5:$D$143,A44)</f>
        <v>0</v>
      </c>
      <c r="N44" s="69">
        <f>SUMIFS(CT!$F$5:$F$143,CT!$A$5:$A$143,"&gt;="&amp;$I$3,CT!$A$5:$A$143,"&lt;="&amp;$K$3,CT!$E$5:$E$143,A44)</f>
        <v>0</v>
      </c>
      <c r="O44" s="69">
        <f>SUMIFS(CT!$H$5:$H$143,CT!$A$5:$A$143,"&gt;="&amp;$I$3,CT!$A$5:$A$143,"&lt;="&amp;$K$3,CT!$E$5:$E$143,A44)</f>
        <v>0</v>
      </c>
      <c r="P44" s="69">
        <f t="shared" si="2"/>
        <v>0</v>
      </c>
      <c r="Q44" s="69">
        <f t="shared" si="3"/>
        <v>52200000</v>
      </c>
      <c r="R44" s="69">
        <f t="shared" si="4"/>
        <v>0</v>
      </c>
      <c r="S44" t="b">
        <f t="shared" si="5"/>
        <v>0</v>
      </c>
    </row>
    <row r="45" spans="1:19" hidden="1" x14ac:dyDescent="0.25">
      <c r="A45" s="93" t="str">
        <f>DMTK!B42</f>
        <v>13882</v>
      </c>
      <c r="B45" s="65" t="str">
        <f>VLOOKUP(A45,DMTK!$B$5:$Q$263,3,0)</f>
        <v>Phải thu khác (trên 12 tháng)</v>
      </c>
      <c r="C45" s="65" t="str">
        <f>VLOOKUP(A45,DMTK!$B$5:$Q$263,16,0)</f>
        <v xml:space="preserve"> </v>
      </c>
      <c r="D45" s="69">
        <f>VLOOKUP(A45,DMTK!$B$5:$Q$263,4,0)</f>
        <v>0</v>
      </c>
      <c r="E45" s="69">
        <f>VLOOKUP(A45,DMTK!$B$5:$Q$263,5,0)</f>
        <v>0</v>
      </c>
      <c r="F45" s="69">
        <f>SUMIFS(CT!$F$5:$F$143,CT!$A$5:$A$143,"&lt;"&amp;$I$3,CT!$D$5:$D$143,A45)</f>
        <v>0</v>
      </c>
      <c r="G45" s="69">
        <f>SUMIFS(CT!$H$5:$H$143,CT!$A$5:$A$143,"&lt;"&amp;$I$3,CT!$D$5:$D$143,A45)</f>
        <v>0</v>
      </c>
      <c r="H45" s="69">
        <f>SUMIFS(CT!$F$5:$F$143,CT!$A$5:$A$143,"&lt;"&amp;$I$3,CT!$E$5:$E$143,A45)</f>
        <v>0</v>
      </c>
      <c r="I45" s="69">
        <f>SUMIFS(CT!$H$5:$H$143,CT!$A$5:$A$143,"&lt;"&amp;$I$3,CT!$E$5:$E$143,A45)</f>
        <v>0</v>
      </c>
      <c r="J45" s="69">
        <f t="shared" si="0"/>
        <v>0</v>
      </c>
      <c r="K45" s="69">
        <f t="shared" si="1"/>
        <v>0</v>
      </c>
      <c r="L45" s="69">
        <f>SUMIFS(CT!$F$5:$F$143,CT!$A$5:$A$143,"&gt;="&amp;$I$3,CT!$A$5:$A$143,"&lt;="&amp;$K$3,CT!$D$5:$D$143,A45)</f>
        <v>0</v>
      </c>
      <c r="M45" s="69">
        <f>SUMIFS(CT!$H$5:$H$143,CT!$A$5:$A$143,"&gt;="&amp;$I$3,CT!$A$5:$A$143,"&lt;="&amp;$K$3,CT!$D$5:$D$143,A45)</f>
        <v>0</v>
      </c>
      <c r="N45" s="69">
        <f>SUMIFS(CT!$F$5:$F$143,CT!$A$5:$A$143,"&gt;="&amp;$I$3,CT!$A$5:$A$143,"&lt;="&amp;$K$3,CT!$E$5:$E$143,A45)</f>
        <v>0</v>
      </c>
      <c r="O45" s="69">
        <f>SUMIFS(CT!$H$5:$H$143,CT!$A$5:$A$143,"&gt;="&amp;$I$3,CT!$A$5:$A$143,"&lt;="&amp;$K$3,CT!$E$5:$E$143,A45)</f>
        <v>0</v>
      </c>
      <c r="P45" s="69">
        <f t="shared" si="2"/>
        <v>0</v>
      </c>
      <c r="Q45" s="69">
        <f t="shared" si="3"/>
        <v>0</v>
      </c>
      <c r="R45" s="69">
        <f t="shared" si="4"/>
        <v>0</v>
      </c>
      <c r="S45" t="b">
        <f t="shared" si="5"/>
        <v>0</v>
      </c>
    </row>
    <row r="46" spans="1:19" hidden="1" x14ac:dyDescent="0.25">
      <c r="A46" s="93" t="str">
        <f>DMTK!B43</f>
        <v>141.0101</v>
      </c>
      <c r="B46" s="65" t="str">
        <f>VLOOKUP(A46,DMTK!$B$5:$Q$263,3,0)</f>
        <v>Vương Thiện Minh</v>
      </c>
      <c r="C46" s="65" t="str">
        <f>VLOOKUP(A46,DMTK!$B$5:$Q$263,16,0)</f>
        <v xml:space="preserve"> </v>
      </c>
      <c r="D46" s="69">
        <f>VLOOKUP(A46,DMTK!$B$5:$Q$263,4,0)</f>
        <v>0</v>
      </c>
      <c r="E46" s="69">
        <f>VLOOKUP(A46,DMTK!$B$5:$Q$263,5,0)</f>
        <v>200000</v>
      </c>
      <c r="F46" s="69">
        <f>SUMIFS(CT!$F$5:$F$143,CT!$A$5:$A$143,"&lt;"&amp;$I$3,CT!$D$5:$D$143,A46)</f>
        <v>0</v>
      </c>
      <c r="G46" s="69">
        <f>SUMIFS(CT!$H$5:$H$143,CT!$A$5:$A$143,"&lt;"&amp;$I$3,CT!$D$5:$D$143,A46)</f>
        <v>0</v>
      </c>
      <c r="H46" s="69">
        <f>SUMIFS(CT!$F$5:$F$143,CT!$A$5:$A$143,"&lt;"&amp;$I$3,CT!$E$5:$E$143,A46)</f>
        <v>0</v>
      </c>
      <c r="I46" s="69">
        <f>SUMIFS(CT!$H$5:$H$143,CT!$A$5:$A$143,"&lt;"&amp;$I$3,CT!$E$5:$E$143,A46)</f>
        <v>0</v>
      </c>
      <c r="J46" s="69">
        <f t="shared" si="0"/>
        <v>0</v>
      </c>
      <c r="K46" s="69">
        <f t="shared" si="1"/>
        <v>200000</v>
      </c>
      <c r="L46" s="69">
        <f>SUMIFS(CT!$F$5:$F$143,CT!$A$5:$A$143,"&gt;="&amp;$I$3,CT!$A$5:$A$143,"&lt;="&amp;$K$3,CT!$D$5:$D$143,A46)</f>
        <v>0</v>
      </c>
      <c r="M46" s="69">
        <f>SUMIFS(CT!$H$5:$H$143,CT!$A$5:$A$143,"&gt;="&amp;$I$3,CT!$A$5:$A$143,"&lt;="&amp;$K$3,CT!$D$5:$D$143,A46)</f>
        <v>0</v>
      </c>
      <c r="N46" s="69">
        <f>SUMIFS(CT!$F$5:$F$143,CT!$A$5:$A$143,"&gt;="&amp;$I$3,CT!$A$5:$A$143,"&lt;="&amp;$K$3,CT!$E$5:$E$143,A46)</f>
        <v>0</v>
      </c>
      <c r="O46" s="69">
        <f>SUMIFS(CT!$H$5:$H$143,CT!$A$5:$A$143,"&gt;="&amp;$I$3,CT!$A$5:$A$143,"&lt;="&amp;$K$3,CT!$E$5:$E$143,A46)</f>
        <v>0</v>
      </c>
      <c r="P46" s="69">
        <f t="shared" si="2"/>
        <v>0</v>
      </c>
      <c r="Q46" s="69">
        <f t="shared" si="3"/>
        <v>200000</v>
      </c>
      <c r="R46" s="69">
        <f t="shared" si="4"/>
        <v>0</v>
      </c>
      <c r="S46" t="b">
        <f t="shared" si="5"/>
        <v>0</v>
      </c>
    </row>
    <row r="47" spans="1:19" hidden="1" x14ac:dyDescent="0.25">
      <c r="A47" s="93" t="str">
        <f>DMTK!B44</f>
        <v>141.0102</v>
      </c>
      <c r="B47" s="65" t="str">
        <f>VLOOKUP(A47,DMTK!$B$5:$Q$263,3,0)</f>
        <v>Hồ Sĩ Nhật</v>
      </c>
      <c r="C47" s="65" t="str">
        <f>VLOOKUP(A47,DMTK!$B$5:$Q$263,16,0)</f>
        <v xml:space="preserve"> </v>
      </c>
      <c r="D47" s="69">
        <f>VLOOKUP(A47,DMTK!$B$5:$Q$263,4,0)</f>
        <v>0</v>
      </c>
      <c r="E47" s="69">
        <f>VLOOKUP(A47,DMTK!$B$5:$Q$263,5,0)</f>
        <v>1000000</v>
      </c>
      <c r="F47" s="69">
        <f>SUMIFS(CT!$F$5:$F$143,CT!$A$5:$A$143,"&lt;"&amp;$I$3,CT!$D$5:$D$143,A47)</f>
        <v>0</v>
      </c>
      <c r="G47" s="69">
        <f>SUMIFS(CT!$H$5:$H$143,CT!$A$5:$A$143,"&lt;"&amp;$I$3,CT!$D$5:$D$143,A47)</f>
        <v>2000000</v>
      </c>
      <c r="H47" s="69">
        <f>SUMIFS(CT!$F$5:$F$143,CT!$A$5:$A$143,"&lt;"&amp;$I$3,CT!$E$5:$E$143,A47)</f>
        <v>0</v>
      </c>
      <c r="I47" s="69">
        <f>SUMIFS(CT!$H$5:$H$143,CT!$A$5:$A$143,"&lt;"&amp;$I$3,CT!$E$5:$E$143,A47)</f>
        <v>0</v>
      </c>
      <c r="J47" s="69">
        <f t="shared" si="0"/>
        <v>0</v>
      </c>
      <c r="K47" s="69">
        <f t="shared" si="1"/>
        <v>3000000</v>
      </c>
      <c r="L47" s="69">
        <f>SUMIFS(CT!$F$5:$F$143,CT!$A$5:$A$143,"&gt;="&amp;$I$3,CT!$A$5:$A$143,"&lt;="&amp;$K$3,CT!$D$5:$D$143,A47)</f>
        <v>0</v>
      </c>
      <c r="M47" s="69">
        <f>SUMIFS(CT!$H$5:$H$143,CT!$A$5:$A$143,"&gt;="&amp;$I$3,CT!$A$5:$A$143,"&lt;="&amp;$K$3,CT!$D$5:$D$143,A47)</f>
        <v>0</v>
      </c>
      <c r="N47" s="69">
        <f>SUMIFS(CT!$F$5:$F$143,CT!$A$5:$A$143,"&gt;="&amp;$I$3,CT!$A$5:$A$143,"&lt;="&amp;$K$3,CT!$E$5:$E$143,A47)</f>
        <v>0</v>
      </c>
      <c r="O47" s="69">
        <f>SUMIFS(CT!$H$5:$H$143,CT!$A$5:$A$143,"&gt;="&amp;$I$3,CT!$A$5:$A$143,"&lt;="&amp;$K$3,CT!$E$5:$E$143,A47)</f>
        <v>2000000</v>
      </c>
      <c r="P47" s="69">
        <f t="shared" si="2"/>
        <v>0</v>
      </c>
      <c r="Q47" s="69">
        <f t="shared" si="3"/>
        <v>1000000</v>
      </c>
      <c r="R47" s="69">
        <f t="shared" si="4"/>
        <v>0</v>
      </c>
      <c r="S47" t="b">
        <f t="shared" si="5"/>
        <v>0</v>
      </c>
    </row>
    <row r="48" spans="1:19" hidden="1" x14ac:dyDescent="0.25">
      <c r="A48" s="93" t="str">
        <f>DMTK!B45</f>
        <v>141.0103</v>
      </c>
      <c r="B48" s="65" t="str">
        <f>VLOOKUP(A48,DMTK!$B$5:$Q$263,3,0)</f>
        <v>Phạm Minh Duy</v>
      </c>
      <c r="C48" s="65" t="str">
        <f>VLOOKUP(A48,DMTK!$B$5:$Q$263,16,0)</f>
        <v xml:space="preserve"> </v>
      </c>
      <c r="D48" s="69">
        <f>VLOOKUP(A48,DMTK!$B$5:$Q$263,4,0)</f>
        <v>0</v>
      </c>
      <c r="E48" s="69">
        <f>VLOOKUP(A48,DMTK!$B$5:$Q$263,5,0)</f>
        <v>300000</v>
      </c>
      <c r="F48" s="69">
        <f>SUMIFS(CT!$F$5:$F$143,CT!$A$5:$A$143,"&lt;"&amp;$I$3,CT!$D$5:$D$143,A48)</f>
        <v>0</v>
      </c>
      <c r="G48" s="69">
        <f>SUMIFS(CT!$H$5:$H$143,CT!$A$5:$A$143,"&lt;"&amp;$I$3,CT!$D$5:$D$143,A48)</f>
        <v>0</v>
      </c>
      <c r="H48" s="69">
        <f>SUMIFS(CT!$F$5:$F$143,CT!$A$5:$A$143,"&lt;"&amp;$I$3,CT!$E$5:$E$143,A48)</f>
        <v>0</v>
      </c>
      <c r="I48" s="69">
        <f>SUMIFS(CT!$H$5:$H$143,CT!$A$5:$A$143,"&lt;"&amp;$I$3,CT!$E$5:$E$143,A48)</f>
        <v>0</v>
      </c>
      <c r="J48" s="69">
        <f t="shared" si="0"/>
        <v>0</v>
      </c>
      <c r="K48" s="69">
        <f t="shared" si="1"/>
        <v>300000</v>
      </c>
      <c r="L48" s="69">
        <f>SUMIFS(CT!$F$5:$F$143,CT!$A$5:$A$143,"&gt;="&amp;$I$3,CT!$A$5:$A$143,"&lt;="&amp;$K$3,CT!$D$5:$D$143,A48)</f>
        <v>0</v>
      </c>
      <c r="M48" s="69">
        <f>SUMIFS(CT!$H$5:$H$143,CT!$A$5:$A$143,"&gt;="&amp;$I$3,CT!$A$5:$A$143,"&lt;="&amp;$K$3,CT!$D$5:$D$143,A48)</f>
        <v>0</v>
      </c>
      <c r="N48" s="69">
        <f>SUMIFS(CT!$F$5:$F$143,CT!$A$5:$A$143,"&gt;="&amp;$I$3,CT!$A$5:$A$143,"&lt;="&amp;$K$3,CT!$E$5:$E$143,A48)</f>
        <v>0</v>
      </c>
      <c r="O48" s="69">
        <f>SUMIFS(CT!$H$5:$H$143,CT!$A$5:$A$143,"&gt;="&amp;$I$3,CT!$A$5:$A$143,"&lt;="&amp;$K$3,CT!$E$5:$E$143,A48)</f>
        <v>0</v>
      </c>
      <c r="P48" s="69">
        <f t="shared" si="2"/>
        <v>0</v>
      </c>
      <c r="Q48" s="69">
        <f t="shared" si="3"/>
        <v>300000</v>
      </c>
      <c r="R48" s="69">
        <f t="shared" si="4"/>
        <v>0</v>
      </c>
      <c r="S48" t="b">
        <f t="shared" si="5"/>
        <v>0</v>
      </c>
    </row>
    <row r="49" spans="1:19" hidden="1" x14ac:dyDescent="0.25">
      <c r="A49" s="93" t="str">
        <f>DMTK!B46</f>
        <v>141.0201</v>
      </c>
      <c r="B49" s="65" t="str">
        <f>VLOOKUP(A49,DMTK!$B$5:$Q$263,3,0)</f>
        <v>Đoàn Trâm Anh</v>
      </c>
      <c r="C49" s="65" t="str">
        <f>VLOOKUP(A49,DMTK!$B$5:$Q$263,16,0)</f>
        <v xml:space="preserve"> </v>
      </c>
      <c r="D49" s="69">
        <f>VLOOKUP(A49,DMTK!$B$5:$Q$263,4,0)</f>
        <v>0</v>
      </c>
      <c r="E49" s="69">
        <f>VLOOKUP(A49,DMTK!$B$5:$Q$263,5,0)</f>
        <v>1500000</v>
      </c>
      <c r="F49" s="69">
        <f>SUMIFS(CT!$F$5:$F$143,CT!$A$5:$A$143,"&lt;"&amp;$I$3,CT!$D$5:$D$143,A49)</f>
        <v>0</v>
      </c>
      <c r="G49" s="69">
        <f>SUMIFS(CT!$H$5:$H$143,CT!$A$5:$A$143,"&lt;"&amp;$I$3,CT!$D$5:$D$143,A49)</f>
        <v>0</v>
      </c>
      <c r="H49" s="69">
        <f>SUMIFS(CT!$F$5:$F$143,CT!$A$5:$A$143,"&lt;"&amp;$I$3,CT!$E$5:$E$143,A49)</f>
        <v>0</v>
      </c>
      <c r="I49" s="69">
        <f>SUMIFS(CT!$H$5:$H$143,CT!$A$5:$A$143,"&lt;"&amp;$I$3,CT!$E$5:$E$143,A49)</f>
        <v>0</v>
      </c>
      <c r="J49" s="69">
        <f t="shared" si="0"/>
        <v>0</v>
      </c>
      <c r="K49" s="69">
        <f t="shared" si="1"/>
        <v>1500000</v>
      </c>
      <c r="L49" s="69">
        <f>SUMIFS(CT!$F$5:$F$143,CT!$A$5:$A$143,"&gt;="&amp;$I$3,CT!$A$5:$A$143,"&lt;="&amp;$K$3,CT!$D$5:$D$143,A49)</f>
        <v>0</v>
      </c>
      <c r="M49" s="69">
        <f>SUMIFS(CT!$H$5:$H$143,CT!$A$5:$A$143,"&gt;="&amp;$I$3,CT!$A$5:$A$143,"&lt;="&amp;$K$3,CT!$D$5:$D$143,A49)</f>
        <v>0</v>
      </c>
      <c r="N49" s="69">
        <f>SUMIFS(CT!$F$5:$F$143,CT!$A$5:$A$143,"&gt;="&amp;$I$3,CT!$A$5:$A$143,"&lt;="&amp;$K$3,CT!$E$5:$E$143,A49)</f>
        <v>0</v>
      </c>
      <c r="O49" s="69">
        <f>SUMIFS(CT!$H$5:$H$143,CT!$A$5:$A$143,"&gt;="&amp;$I$3,CT!$A$5:$A$143,"&lt;="&amp;$K$3,CT!$E$5:$E$143,A49)</f>
        <v>0</v>
      </c>
      <c r="P49" s="69">
        <f t="shared" si="2"/>
        <v>0</v>
      </c>
      <c r="Q49" s="69">
        <f t="shared" si="3"/>
        <v>1500000</v>
      </c>
      <c r="R49" s="69">
        <f t="shared" si="4"/>
        <v>0</v>
      </c>
      <c r="S49" t="b">
        <f t="shared" si="5"/>
        <v>0</v>
      </c>
    </row>
    <row r="50" spans="1:19" hidden="1" x14ac:dyDescent="0.25">
      <c r="A50" s="93" t="str">
        <f>DMTK!B47</f>
        <v>141.0202</v>
      </c>
      <c r="B50" s="65" t="str">
        <f>VLOOKUP(A50,DMTK!$B$5:$Q$263,3,0)</f>
        <v>Nguyễn Hoài Nam</v>
      </c>
      <c r="C50" s="65" t="str">
        <f>VLOOKUP(A50,DMTK!$B$5:$Q$263,16,0)</f>
        <v xml:space="preserve"> </v>
      </c>
      <c r="D50" s="69">
        <f>VLOOKUP(A50,DMTK!$B$5:$Q$263,4,0)</f>
        <v>0</v>
      </c>
      <c r="E50" s="69">
        <f>VLOOKUP(A50,DMTK!$B$5:$Q$263,5,0)</f>
        <v>500000</v>
      </c>
      <c r="F50" s="69">
        <f>SUMIFS(CT!$F$5:$F$143,CT!$A$5:$A$143,"&lt;"&amp;$I$3,CT!$D$5:$D$143,A50)</f>
        <v>0</v>
      </c>
      <c r="G50" s="69">
        <f>SUMIFS(CT!$H$5:$H$143,CT!$A$5:$A$143,"&lt;"&amp;$I$3,CT!$D$5:$D$143,A50)</f>
        <v>0</v>
      </c>
      <c r="H50" s="69">
        <f>SUMIFS(CT!$F$5:$F$143,CT!$A$5:$A$143,"&lt;"&amp;$I$3,CT!$E$5:$E$143,A50)</f>
        <v>0</v>
      </c>
      <c r="I50" s="69">
        <f>SUMIFS(CT!$H$5:$H$143,CT!$A$5:$A$143,"&lt;"&amp;$I$3,CT!$E$5:$E$143,A50)</f>
        <v>0</v>
      </c>
      <c r="J50" s="69">
        <f t="shared" si="0"/>
        <v>0</v>
      </c>
      <c r="K50" s="69">
        <f t="shared" si="1"/>
        <v>500000</v>
      </c>
      <c r="L50" s="69">
        <f>SUMIFS(CT!$F$5:$F$143,CT!$A$5:$A$143,"&gt;="&amp;$I$3,CT!$A$5:$A$143,"&lt;="&amp;$K$3,CT!$D$5:$D$143,A50)</f>
        <v>0</v>
      </c>
      <c r="M50" s="69">
        <f>SUMIFS(CT!$H$5:$H$143,CT!$A$5:$A$143,"&gt;="&amp;$I$3,CT!$A$5:$A$143,"&lt;="&amp;$K$3,CT!$D$5:$D$143,A50)</f>
        <v>0</v>
      </c>
      <c r="N50" s="69">
        <f>SUMIFS(CT!$F$5:$F$143,CT!$A$5:$A$143,"&gt;="&amp;$I$3,CT!$A$5:$A$143,"&lt;="&amp;$K$3,CT!$E$5:$E$143,A50)</f>
        <v>0</v>
      </c>
      <c r="O50" s="69">
        <f>SUMIFS(CT!$H$5:$H$143,CT!$A$5:$A$143,"&gt;="&amp;$I$3,CT!$A$5:$A$143,"&lt;="&amp;$K$3,CT!$E$5:$E$143,A50)</f>
        <v>0</v>
      </c>
      <c r="P50" s="69">
        <f t="shared" si="2"/>
        <v>0</v>
      </c>
      <c r="Q50" s="69">
        <f t="shared" si="3"/>
        <v>500000</v>
      </c>
      <c r="R50" s="69">
        <f t="shared" si="4"/>
        <v>0</v>
      </c>
      <c r="S50" t="b">
        <f t="shared" si="5"/>
        <v>0</v>
      </c>
    </row>
    <row r="51" spans="1:19" hidden="1" x14ac:dyDescent="0.25">
      <c r="A51" s="93" t="str">
        <f>DMTK!B48</f>
        <v>151</v>
      </c>
      <c r="B51" s="65" t="str">
        <f>VLOOKUP(A51,DMTK!$B$5:$Q$263,3,0)</f>
        <v>Hàng hóa đang đi đường</v>
      </c>
      <c r="C51" s="65" t="str">
        <f>VLOOKUP(A51,DMTK!$B$5:$Q$263,16,0)</f>
        <v xml:space="preserve"> </v>
      </c>
      <c r="D51" s="69">
        <f>VLOOKUP(A51,DMTK!$B$5:$Q$263,4,0)</f>
        <v>0</v>
      </c>
      <c r="E51" s="69">
        <f>VLOOKUP(A51,DMTK!$B$5:$Q$263,5,0)</f>
        <v>0</v>
      </c>
      <c r="F51" s="69">
        <f>SUMIFS(CT!$F$5:$F$143,CT!$A$5:$A$143,"&lt;"&amp;$I$3,CT!$D$5:$D$143,A51)</f>
        <v>0</v>
      </c>
      <c r="G51" s="69">
        <f>SUMIFS(CT!$H$5:$H$143,CT!$A$5:$A$143,"&lt;"&amp;$I$3,CT!$D$5:$D$143,A51)</f>
        <v>0</v>
      </c>
      <c r="H51" s="69">
        <f>SUMIFS(CT!$F$5:$F$143,CT!$A$5:$A$143,"&lt;"&amp;$I$3,CT!$E$5:$E$143,A51)</f>
        <v>0</v>
      </c>
      <c r="I51" s="69">
        <f>SUMIFS(CT!$H$5:$H$143,CT!$A$5:$A$143,"&lt;"&amp;$I$3,CT!$E$5:$E$143,A51)</f>
        <v>0</v>
      </c>
      <c r="J51" s="69">
        <f t="shared" si="0"/>
        <v>0</v>
      </c>
      <c r="K51" s="69">
        <f t="shared" si="1"/>
        <v>0</v>
      </c>
      <c r="L51" s="69">
        <f>SUMIFS(CT!$F$5:$F$143,CT!$A$5:$A$143,"&gt;="&amp;$I$3,CT!$A$5:$A$143,"&lt;="&amp;$K$3,CT!$D$5:$D$143,A51)</f>
        <v>0</v>
      </c>
      <c r="M51" s="69">
        <f>SUMIFS(CT!$H$5:$H$143,CT!$A$5:$A$143,"&gt;="&amp;$I$3,CT!$A$5:$A$143,"&lt;="&amp;$K$3,CT!$D$5:$D$143,A51)</f>
        <v>0</v>
      </c>
      <c r="N51" s="69">
        <f>SUMIFS(CT!$F$5:$F$143,CT!$A$5:$A$143,"&gt;="&amp;$I$3,CT!$A$5:$A$143,"&lt;="&amp;$K$3,CT!$E$5:$E$143,A51)</f>
        <v>0</v>
      </c>
      <c r="O51" s="69">
        <f>SUMIFS(CT!$H$5:$H$143,CT!$A$5:$A$143,"&gt;="&amp;$I$3,CT!$A$5:$A$143,"&lt;="&amp;$K$3,CT!$E$5:$E$143,A51)</f>
        <v>0</v>
      </c>
      <c r="P51" s="69">
        <f t="shared" si="2"/>
        <v>0</v>
      </c>
      <c r="Q51" s="69">
        <f t="shared" si="3"/>
        <v>0</v>
      </c>
      <c r="R51" s="69">
        <f t="shared" si="4"/>
        <v>0</v>
      </c>
      <c r="S51" t="b">
        <f t="shared" si="5"/>
        <v>0</v>
      </c>
    </row>
    <row r="52" spans="1:19" x14ac:dyDescent="0.25">
      <c r="A52" s="93" t="str">
        <f>DMTK!B49</f>
        <v>1521.0101</v>
      </c>
      <c r="B52" s="65" t="str">
        <f>VLOOKUP(A52,DMTK!$B$5:$Q$263,3,0)</f>
        <v>Gỗ cao su</v>
      </c>
      <c r="C52" s="65" t="str">
        <f>VLOOKUP(A52,DMTK!$B$5:$Q$263,16,0)</f>
        <v>M3</v>
      </c>
      <c r="D52" s="69">
        <f>VLOOKUP(A52,DMTK!$B$5:$Q$263,4,0)</f>
        <v>10</v>
      </c>
      <c r="E52" s="69">
        <f>VLOOKUP(A52,DMTK!$B$5:$Q$263,5,0)</f>
        <v>33000000</v>
      </c>
      <c r="F52" s="69">
        <f>SUMIFS(CT!$F$5:$F$143,CT!$A$5:$A$143,"&lt;"&amp;$I$3,CT!$D$5:$D$143,A52)</f>
        <v>0</v>
      </c>
      <c r="G52" s="69">
        <f>SUMIFS(CT!$H$5:$H$143,CT!$A$5:$A$143,"&lt;"&amp;$I$3,CT!$D$5:$D$143,A52)</f>
        <v>0</v>
      </c>
      <c r="H52" s="69">
        <f>SUMIFS(CT!$F$5:$F$143,CT!$A$5:$A$143,"&lt;"&amp;$I$3,CT!$E$5:$E$143,A52)</f>
        <v>0</v>
      </c>
      <c r="I52" s="69">
        <f>SUMIFS(CT!$H$5:$H$143,CT!$A$5:$A$143,"&lt;"&amp;$I$3,CT!$E$5:$E$143,A52)</f>
        <v>0</v>
      </c>
      <c r="J52" s="69">
        <f t="shared" si="0"/>
        <v>10</v>
      </c>
      <c r="K52" s="69">
        <f t="shared" si="1"/>
        <v>33000000</v>
      </c>
      <c r="L52" s="69">
        <f>SUMIFS(CT!$F$5:$F$143,CT!$A$5:$A$143,"&gt;="&amp;$I$3,CT!$A$5:$A$143,"&lt;="&amp;$K$3,CT!$D$5:$D$143,A52)</f>
        <v>0</v>
      </c>
      <c r="M52" s="69">
        <f>SUMIFS(CT!$H$5:$H$143,CT!$A$5:$A$143,"&gt;="&amp;$I$3,CT!$A$5:$A$143,"&lt;="&amp;$K$3,CT!$D$5:$D$143,A52)</f>
        <v>0</v>
      </c>
      <c r="N52" s="69">
        <f>SUMIFS(CT!$F$5:$F$143,CT!$A$5:$A$143,"&gt;="&amp;$I$3,CT!$A$5:$A$143,"&lt;="&amp;$K$3,CT!$E$5:$E$143,A52)</f>
        <v>4</v>
      </c>
      <c r="O52" s="69">
        <f>SUMIFS(CT!$H$5:$H$143,CT!$A$5:$A$143,"&gt;="&amp;$I$3,CT!$A$5:$A$143,"&lt;="&amp;$K$3,CT!$E$5:$E$143,A52)</f>
        <v>13200000</v>
      </c>
      <c r="P52" s="69">
        <f t="shared" si="2"/>
        <v>6</v>
      </c>
      <c r="Q52" s="69">
        <f t="shared" si="3"/>
        <v>19800000</v>
      </c>
      <c r="R52" s="69">
        <f t="shared" si="4"/>
        <v>3300000</v>
      </c>
      <c r="S52" t="b">
        <f t="shared" si="5"/>
        <v>1</v>
      </c>
    </row>
    <row r="53" spans="1:19" x14ac:dyDescent="0.25">
      <c r="A53" s="93" t="str">
        <f>DMTK!B50</f>
        <v>1521.0102</v>
      </c>
      <c r="B53" s="65" t="str">
        <f>VLOOKUP(A53,DMTK!$B$5:$Q$263,3,0)</f>
        <v>Gỗ tràm bông vàng</v>
      </c>
      <c r="C53" s="65" t="str">
        <f>VLOOKUP(A53,DMTK!$B$5:$Q$263,16,0)</f>
        <v>M3</v>
      </c>
      <c r="D53" s="69">
        <f>VLOOKUP(A53,DMTK!$B$5:$Q$263,4,0)</f>
        <v>5</v>
      </c>
      <c r="E53" s="69">
        <f>VLOOKUP(A53,DMTK!$B$5:$Q$263,5,0)</f>
        <v>22000000</v>
      </c>
      <c r="F53" s="69">
        <f>SUMIFS(CT!$F$5:$F$143,CT!$A$5:$A$143,"&lt;"&amp;$I$3,CT!$D$5:$D$143,A53)</f>
        <v>5</v>
      </c>
      <c r="G53" s="69">
        <f>SUMIFS(CT!$H$5:$H$143,CT!$A$5:$A$143,"&lt;"&amp;$I$3,CT!$D$5:$D$143,A53)</f>
        <v>22500000</v>
      </c>
      <c r="H53" s="69">
        <f>SUMIFS(CT!$F$5:$F$143,CT!$A$5:$A$143,"&lt;"&amp;$I$3,CT!$E$5:$E$143,A53)</f>
        <v>0</v>
      </c>
      <c r="I53" s="69">
        <f>SUMIFS(CT!$H$5:$H$143,CT!$A$5:$A$143,"&lt;"&amp;$I$3,CT!$E$5:$E$143,A53)</f>
        <v>0</v>
      </c>
      <c r="J53" s="69">
        <f t="shared" si="0"/>
        <v>10</v>
      </c>
      <c r="K53" s="69">
        <f t="shared" si="1"/>
        <v>44500000</v>
      </c>
      <c r="L53" s="69">
        <f>SUMIFS(CT!$F$5:$F$143,CT!$A$5:$A$143,"&gt;="&amp;$I$3,CT!$A$5:$A$143,"&lt;="&amp;$K$3,CT!$D$5:$D$143,A53)</f>
        <v>0</v>
      </c>
      <c r="M53" s="69">
        <f>SUMIFS(CT!$H$5:$H$143,CT!$A$5:$A$143,"&gt;="&amp;$I$3,CT!$A$5:$A$143,"&lt;="&amp;$K$3,CT!$D$5:$D$143,A53)</f>
        <v>0</v>
      </c>
      <c r="N53" s="69">
        <f>SUMIFS(CT!$F$5:$F$143,CT!$A$5:$A$143,"&gt;="&amp;$I$3,CT!$A$5:$A$143,"&lt;="&amp;$K$3,CT!$E$5:$E$143,A53)</f>
        <v>0</v>
      </c>
      <c r="O53" s="69">
        <f>SUMIFS(CT!$H$5:$H$143,CT!$A$5:$A$143,"&gt;="&amp;$I$3,CT!$A$5:$A$143,"&lt;="&amp;$K$3,CT!$E$5:$E$143,A53)</f>
        <v>0</v>
      </c>
      <c r="P53" s="69">
        <f t="shared" si="2"/>
        <v>10</v>
      </c>
      <c r="Q53" s="69">
        <f t="shared" si="3"/>
        <v>44500000</v>
      </c>
      <c r="R53" s="69">
        <f t="shared" si="4"/>
        <v>4450000</v>
      </c>
      <c r="S53" t="b">
        <f t="shared" si="5"/>
        <v>1</v>
      </c>
    </row>
    <row r="54" spans="1:19" x14ac:dyDescent="0.25">
      <c r="A54" s="93" t="str">
        <f>DMTK!B51</f>
        <v>1521.0103</v>
      </c>
      <c r="B54" s="65" t="str">
        <f>VLOOKUP(A54,DMTK!$B$5:$Q$263,3,0)</f>
        <v>Gỗ thông</v>
      </c>
      <c r="C54" s="65" t="str">
        <f>VLOOKUP(A54,DMTK!$B$5:$Q$263,16,0)</f>
        <v>M3</v>
      </c>
      <c r="D54" s="69">
        <f>VLOOKUP(A54,DMTK!$B$5:$Q$263,4,0)</f>
        <v>4</v>
      </c>
      <c r="E54" s="69">
        <f>VLOOKUP(A54,DMTK!$B$5:$Q$263,5,0)</f>
        <v>14400000</v>
      </c>
      <c r="F54" s="69">
        <f>SUMIFS(CT!$F$5:$F$143,CT!$A$5:$A$143,"&lt;"&amp;$I$3,CT!$D$5:$D$143,A54)</f>
        <v>0</v>
      </c>
      <c r="G54" s="69">
        <f>SUMIFS(CT!$H$5:$H$143,CT!$A$5:$A$143,"&lt;"&amp;$I$3,CT!$D$5:$D$143,A54)</f>
        <v>0</v>
      </c>
      <c r="H54" s="69">
        <f>SUMIFS(CT!$F$5:$F$143,CT!$A$5:$A$143,"&lt;"&amp;$I$3,CT!$E$5:$E$143,A54)</f>
        <v>0</v>
      </c>
      <c r="I54" s="69">
        <f>SUMIFS(CT!$H$5:$H$143,CT!$A$5:$A$143,"&lt;"&amp;$I$3,CT!$E$5:$E$143,A54)</f>
        <v>0</v>
      </c>
      <c r="J54" s="69">
        <f t="shared" si="0"/>
        <v>4</v>
      </c>
      <c r="K54" s="69">
        <f t="shared" si="1"/>
        <v>14400000</v>
      </c>
      <c r="L54" s="69">
        <f>SUMIFS(CT!$F$5:$F$143,CT!$A$5:$A$143,"&gt;="&amp;$I$3,CT!$A$5:$A$143,"&lt;="&amp;$K$3,CT!$D$5:$D$143,A54)</f>
        <v>0</v>
      </c>
      <c r="M54" s="69">
        <f>SUMIFS(CT!$H$5:$H$143,CT!$A$5:$A$143,"&gt;="&amp;$I$3,CT!$A$5:$A$143,"&lt;="&amp;$K$3,CT!$D$5:$D$143,A54)</f>
        <v>0</v>
      </c>
      <c r="N54" s="69">
        <f>SUMIFS(CT!$F$5:$F$143,CT!$A$5:$A$143,"&gt;="&amp;$I$3,CT!$A$5:$A$143,"&lt;="&amp;$K$3,CT!$E$5:$E$143,A54)</f>
        <v>0</v>
      </c>
      <c r="O54" s="69">
        <f>SUMIFS(CT!$H$5:$H$143,CT!$A$5:$A$143,"&gt;="&amp;$I$3,CT!$A$5:$A$143,"&lt;="&amp;$K$3,CT!$E$5:$E$143,A54)</f>
        <v>0</v>
      </c>
      <c r="P54" s="69">
        <f t="shared" si="2"/>
        <v>4</v>
      </c>
      <c r="Q54" s="69">
        <f t="shared" si="3"/>
        <v>14400000</v>
      </c>
      <c r="R54" s="69">
        <f t="shared" si="4"/>
        <v>3600000</v>
      </c>
      <c r="S54" t="b">
        <f t="shared" si="5"/>
        <v>1</v>
      </c>
    </row>
    <row r="55" spans="1:19" x14ac:dyDescent="0.25">
      <c r="A55" s="93" t="str">
        <f>DMTK!B52</f>
        <v>1521.0201</v>
      </c>
      <c r="B55" s="65" t="str">
        <f>VLOOKUP(A55,DMTK!$B$5:$Q$263,3,0)</f>
        <v>Ván MDF 9x6x8</v>
      </c>
      <c r="C55" s="65" t="str">
        <f>VLOOKUP(A55,DMTK!$B$5:$Q$263,16,0)</f>
        <v>M2</v>
      </c>
      <c r="D55" s="69">
        <f>VLOOKUP(A55,DMTK!$B$5:$Q$263,4,0)</f>
        <v>200</v>
      </c>
      <c r="E55" s="69">
        <f>VLOOKUP(A55,DMTK!$B$5:$Q$263,5,0)</f>
        <v>24000000</v>
      </c>
      <c r="F55" s="69">
        <f>SUMIFS(CT!$F$5:$F$143,CT!$A$5:$A$143,"&lt;"&amp;$I$3,CT!$D$5:$D$143,A55)</f>
        <v>0</v>
      </c>
      <c r="G55" s="69">
        <f>SUMIFS(CT!$H$5:$H$143,CT!$A$5:$A$143,"&lt;"&amp;$I$3,CT!$D$5:$D$143,A55)</f>
        <v>0</v>
      </c>
      <c r="H55" s="69">
        <f>SUMIFS(CT!$F$5:$F$143,CT!$A$5:$A$143,"&lt;"&amp;$I$3,CT!$E$5:$E$143,A55)</f>
        <v>0</v>
      </c>
      <c r="I55" s="69">
        <f>SUMIFS(CT!$H$5:$H$143,CT!$A$5:$A$143,"&lt;"&amp;$I$3,CT!$E$5:$E$143,A55)</f>
        <v>0</v>
      </c>
      <c r="J55" s="69">
        <f t="shared" si="0"/>
        <v>200</v>
      </c>
      <c r="K55" s="69">
        <f t="shared" si="1"/>
        <v>24000000</v>
      </c>
      <c r="L55" s="69">
        <f>SUMIFS(CT!$F$5:$F$143,CT!$A$5:$A$143,"&gt;="&amp;$I$3,CT!$A$5:$A$143,"&lt;="&amp;$K$3,CT!$D$5:$D$143,A55)</f>
        <v>0</v>
      </c>
      <c r="M55" s="69">
        <f>SUMIFS(CT!$H$5:$H$143,CT!$A$5:$A$143,"&gt;="&amp;$I$3,CT!$A$5:$A$143,"&lt;="&amp;$K$3,CT!$D$5:$D$143,A55)</f>
        <v>0</v>
      </c>
      <c r="N55" s="69">
        <f>SUMIFS(CT!$F$5:$F$143,CT!$A$5:$A$143,"&gt;="&amp;$I$3,CT!$A$5:$A$143,"&lt;="&amp;$K$3,CT!$E$5:$E$143,A55)</f>
        <v>30</v>
      </c>
      <c r="O55" s="69">
        <f>SUMIFS(CT!$H$5:$H$143,CT!$A$5:$A$143,"&gt;="&amp;$I$3,CT!$A$5:$A$143,"&lt;="&amp;$K$3,CT!$E$5:$E$143,A55)</f>
        <v>3600000</v>
      </c>
      <c r="P55" s="69">
        <f t="shared" si="2"/>
        <v>170</v>
      </c>
      <c r="Q55" s="69">
        <f t="shared" si="3"/>
        <v>20400000</v>
      </c>
      <c r="R55" s="69">
        <f t="shared" si="4"/>
        <v>120000</v>
      </c>
      <c r="S55" t="b">
        <f t="shared" si="5"/>
        <v>1</v>
      </c>
    </row>
    <row r="56" spans="1:19" x14ac:dyDescent="0.25">
      <c r="A56" s="93" t="str">
        <f>DMTK!B53</f>
        <v>1521.0202</v>
      </c>
      <c r="B56" s="65" t="str">
        <f>VLOOKUP(A56,DMTK!$B$5:$Q$263,3,0)</f>
        <v>Ván MDF 9x4x8</v>
      </c>
      <c r="C56" s="65" t="str">
        <f>VLOOKUP(A56,DMTK!$B$5:$Q$263,16,0)</f>
        <v>M2</v>
      </c>
      <c r="D56" s="69">
        <f>VLOOKUP(A56,DMTK!$B$5:$Q$263,4,0)</f>
        <v>300</v>
      </c>
      <c r="E56" s="69">
        <f>VLOOKUP(A56,DMTK!$B$5:$Q$263,5,0)</f>
        <v>31200000</v>
      </c>
      <c r="F56" s="69">
        <f>SUMIFS(CT!$F$5:$F$143,CT!$A$5:$A$143,"&lt;"&amp;$I$3,CT!$D$5:$D$143,A56)</f>
        <v>0</v>
      </c>
      <c r="G56" s="69">
        <f>SUMIFS(CT!$H$5:$H$143,CT!$A$5:$A$143,"&lt;"&amp;$I$3,CT!$D$5:$D$143,A56)</f>
        <v>0</v>
      </c>
      <c r="H56" s="69">
        <f>SUMIFS(CT!$F$5:$F$143,CT!$A$5:$A$143,"&lt;"&amp;$I$3,CT!$E$5:$E$143,A56)</f>
        <v>0</v>
      </c>
      <c r="I56" s="69">
        <f>SUMIFS(CT!$H$5:$H$143,CT!$A$5:$A$143,"&lt;"&amp;$I$3,CT!$E$5:$E$143,A56)</f>
        <v>0</v>
      </c>
      <c r="J56" s="69">
        <f t="shared" si="0"/>
        <v>300</v>
      </c>
      <c r="K56" s="69">
        <f t="shared" si="1"/>
        <v>31200000</v>
      </c>
      <c r="L56" s="69">
        <f>SUMIFS(CT!$F$5:$F$143,CT!$A$5:$A$143,"&gt;="&amp;$I$3,CT!$A$5:$A$143,"&lt;="&amp;$K$3,CT!$D$5:$D$143,A56)</f>
        <v>0</v>
      </c>
      <c r="M56" s="69">
        <f>SUMIFS(CT!$H$5:$H$143,CT!$A$5:$A$143,"&gt;="&amp;$I$3,CT!$A$5:$A$143,"&lt;="&amp;$K$3,CT!$D$5:$D$143,A56)</f>
        <v>0</v>
      </c>
      <c r="N56" s="69">
        <f>SUMIFS(CT!$F$5:$F$143,CT!$A$5:$A$143,"&gt;="&amp;$I$3,CT!$A$5:$A$143,"&lt;="&amp;$K$3,CT!$E$5:$E$143,A56)</f>
        <v>0</v>
      </c>
      <c r="O56" s="69">
        <f>SUMIFS(CT!$H$5:$H$143,CT!$A$5:$A$143,"&gt;="&amp;$I$3,CT!$A$5:$A$143,"&lt;="&amp;$K$3,CT!$E$5:$E$143,A56)</f>
        <v>0</v>
      </c>
      <c r="P56" s="69">
        <f t="shared" si="2"/>
        <v>300</v>
      </c>
      <c r="Q56" s="69">
        <f t="shared" si="3"/>
        <v>31200000</v>
      </c>
      <c r="R56" s="69">
        <f t="shared" si="4"/>
        <v>104000</v>
      </c>
      <c r="S56" t="b">
        <f t="shared" si="5"/>
        <v>1</v>
      </c>
    </row>
    <row r="57" spans="1:19" x14ac:dyDescent="0.25">
      <c r="A57" s="93" t="str">
        <f>DMTK!B54</f>
        <v>1521.0203</v>
      </c>
      <c r="B57" s="65" t="str">
        <f>VLOOKUP(A57,DMTK!$B$5:$Q$263,3,0)</f>
        <v>Ván MDF 4,5x6x8</v>
      </c>
      <c r="C57" s="65" t="str">
        <f>VLOOKUP(A57,DMTK!$B$5:$Q$263,16,0)</f>
        <v>M2</v>
      </c>
      <c r="D57" s="69">
        <f>VLOOKUP(A57,DMTK!$B$5:$Q$263,4,0)</f>
        <v>100</v>
      </c>
      <c r="E57" s="69">
        <f>VLOOKUP(A57,DMTK!$B$5:$Q$263,5,0)</f>
        <v>10000000</v>
      </c>
      <c r="F57" s="69">
        <f>SUMIFS(CT!$F$5:$F$143,CT!$A$5:$A$143,"&lt;"&amp;$I$3,CT!$D$5:$D$143,A57)</f>
        <v>0</v>
      </c>
      <c r="G57" s="69">
        <f>SUMIFS(CT!$H$5:$H$143,CT!$A$5:$A$143,"&lt;"&amp;$I$3,CT!$D$5:$D$143,A57)</f>
        <v>0</v>
      </c>
      <c r="H57" s="69">
        <f>SUMIFS(CT!$F$5:$F$143,CT!$A$5:$A$143,"&lt;"&amp;$I$3,CT!$E$5:$E$143,A57)</f>
        <v>0</v>
      </c>
      <c r="I57" s="69">
        <f>SUMIFS(CT!$H$5:$H$143,CT!$A$5:$A$143,"&lt;"&amp;$I$3,CT!$E$5:$E$143,A57)</f>
        <v>0</v>
      </c>
      <c r="J57" s="69">
        <f t="shared" si="0"/>
        <v>100</v>
      </c>
      <c r="K57" s="69">
        <f t="shared" si="1"/>
        <v>10000000</v>
      </c>
      <c r="L57" s="69">
        <f>SUMIFS(CT!$F$5:$F$143,CT!$A$5:$A$143,"&gt;="&amp;$I$3,CT!$A$5:$A$143,"&lt;="&amp;$K$3,CT!$D$5:$D$143,A57)</f>
        <v>0</v>
      </c>
      <c r="M57" s="69">
        <f>SUMIFS(CT!$H$5:$H$143,CT!$A$5:$A$143,"&gt;="&amp;$I$3,CT!$A$5:$A$143,"&lt;="&amp;$K$3,CT!$D$5:$D$143,A57)</f>
        <v>0</v>
      </c>
      <c r="N57" s="69">
        <f>SUMIFS(CT!$F$5:$F$143,CT!$A$5:$A$143,"&gt;="&amp;$I$3,CT!$A$5:$A$143,"&lt;="&amp;$K$3,CT!$E$5:$E$143,A57)</f>
        <v>0</v>
      </c>
      <c r="O57" s="69">
        <f>SUMIFS(CT!$H$5:$H$143,CT!$A$5:$A$143,"&gt;="&amp;$I$3,CT!$A$5:$A$143,"&lt;="&amp;$K$3,CT!$E$5:$E$143,A57)</f>
        <v>0</v>
      </c>
      <c r="P57" s="69">
        <f t="shared" si="2"/>
        <v>100</v>
      </c>
      <c r="Q57" s="69">
        <f t="shared" si="3"/>
        <v>10000000</v>
      </c>
      <c r="R57" s="69">
        <f t="shared" si="4"/>
        <v>100000</v>
      </c>
      <c r="S57" t="b">
        <f t="shared" si="5"/>
        <v>1</v>
      </c>
    </row>
    <row r="58" spans="1:19" x14ac:dyDescent="0.25">
      <c r="A58" s="93" t="str">
        <f>DMTK!B55</f>
        <v>1521.0301</v>
      </c>
      <c r="B58" s="65" t="str">
        <f>VLOOKUP(A58,DMTK!$B$5:$Q$263,3,0)</f>
        <v>Keo AB</v>
      </c>
      <c r="C58" s="65" t="str">
        <f>VLOOKUP(A58,DMTK!$B$5:$Q$263,16,0)</f>
        <v>Kg</v>
      </c>
      <c r="D58" s="69">
        <f>VLOOKUP(A58,DMTK!$B$5:$Q$263,4,0)</f>
        <v>50</v>
      </c>
      <c r="E58" s="69">
        <f>VLOOKUP(A58,DMTK!$B$5:$Q$263,5,0)</f>
        <v>1200000</v>
      </c>
      <c r="F58" s="69">
        <f>SUMIFS(CT!$F$5:$F$143,CT!$A$5:$A$143,"&lt;"&amp;$I$3,CT!$D$5:$D$143,A58)</f>
        <v>200</v>
      </c>
      <c r="G58" s="69">
        <f>SUMIFS(CT!$H$5:$H$143,CT!$A$5:$A$143,"&lt;"&amp;$I$3,CT!$D$5:$D$143,A58)</f>
        <v>5000000</v>
      </c>
      <c r="H58" s="69">
        <f>SUMIFS(CT!$F$5:$F$143,CT!$A$5:$A$143,"&lt;"&amp;$I$3,CT!$E$5:$E$143,A58)</f>
        <v>0</v>
      </c>
      <c r="I58" s="69">
        <f>SUMIFS(CT!$H$5:$H$143,CT!$A$5:$A$143,"&lt;"&amp;$I$3,CT!$E$5:$E$143,A58)</f>
        <v>0</v>
      </c>
      <c r="J58" s="69">
        <f t="shared" si="0"/>
        <v>250</v>
      </c>
      <c r="K58" s="69">
        <f t="shared" si="1"/>
        <v>6200000</v>
      </c>
      <c r="L58" s="69">
        <f>SUMIFS(CT!$F$5:$F$143,CT!$A$5:$A$143,"&gt;="&amp;$I$3,CT!$A$5:$A$143,"&lt;="&amp;$K$3,CT!$D$5:$D$143,A58)</f>
        <v>0</v>
      </c>
      <c r="M58" s="69">
        <f>SUMIFS(CT!$H$5:$H$143,CT!$A$5:$A$143,"&gt;="&amp;$I$3,CT!$A$5:$A$143,"&lt;="&amp;$K$3,CT!$D$5:$D$143,A58)</f>
        <v>0</v>
      </c>
      <c r="N58" s="69">
        <f>SUMIFS(CT!$F$5:$F$143,CT!$A$5:$A$143,"&gt;="&amp;$I$3,CT!$A$5:$A$143,"&lt;="&amp;$K$3,CT!$E$5:$E$143,A58)</f>
        <v>0</v>
      </c>
      <c r="O58" s="69">
        <f>SUMIFS(CT!$H$5:$H$143,CT!$A$5:$A$143,"&gt;="&amp;$I$3,CT!$A$5:$A$143,"&lt;="&amp;$K$3,CT!$E$5:$E$143,A58)</f>
        <v>0</v>
      </c>
      <c r="P58" s="69">
        <f t="shared" si="2"/>
        <v>250</v>
      </c>
      <c r="Q58" s="69">
        <f t="shared" si="3"/>
        <v>6200000</v>
      </c>
      <c r="R58" s="69">
        <f t="shared" si="4"/>
        <v>24800</v>
      </c>
      <c r="S58" t="b">
        <f t="shared" si="5"/>
        <v>1</v>
      </c>
    </row>
    <row r="59" spans="1:19" x14ac:dyDescent="0.25">
      <c r="A59" s="93" t="str">
        <f>DMTK!B56</f>
        <v>1521.0302</v>
      </c>
      <c r="B59" s="65" t="str">
        <f>VLOOKUP(A59,DMTK!$B$5:$Q$263,3,0)</f>
        <v>Keo ghép</v>
      </c>
      <c r="C59" s="65" t="str">
        <f>VLOOKUP(A59,DMTK!$B$5:$Q$263,16,0)</f>
        <v>Kg</v>
      </c>
      <c r="D59" s="69">
        <f>VLOOKUP(A59,DMTK!$B$5:$Q$263,4,0)</f>
        <v>150</v>
      </c>
      <c r="E59" s="69">
        <f>VLOOKUP(A59,DMTK!$B$5:$Q$263,5,0)</f>
        <v>7200000</v>
      </c>
      <c r="F59" s="69">
        <f>SUMIFS(CT!$F$5:$F$143,CT!$A$5:$A$143,"&lt;"&amp;$I$3,CT!$D$5:$D$143,A59)</f>
        <v>0</v>
      </c>
      <c r="G59" s="69">
        <f>SUMIFS(CT!$H$5:$H$143,CT!$A$5:$A$143,"&lt;"&amp;$I$3,CT!$D$5:$D$143,A59)</f>
        <v>0</v>
      </c>
      <c r="H59" s="69">
        <f>SUMIFS(CT!$F$5:$F$143,CT!$A$5:$A$143,"&lt;"&amp;$I$3,CT!$E$5:$E$143,A59)</f>
        <v>0</v>
      </c>
      <c r="I59" s="69">
        <f>SUMIFS(CT!$H$5:$H$143,CT!$A$5:$A$143,"&lt;"&amp;$I$3,CT!$E$5:$E$143,A59)</f>
        <v>0</v>
      </c>
      <c r="J59" s="69">
        <f t="shared" si="0"/>
        <v>150</v>
      </c>
      <c r="K59" s="69">
        <f t="shared" si="1"/>
        <v>7200000</v>
      </c>
      <c r="L59" s="69">
        <f>SUMIFS(CT!$F$5:$F$143,CT!$A$5:$A$143,"&gt;="&amp;$I$3,CT!$A$5:$A$143,"&lt;="&amp;$K$3,CT!$D$5:$D$143,A59)</f>
        <v>0</v>
      </c>
      <c r="M59" s="69">
        <f>SUMIFS(CT!$H$5:$H$143,CT!$A$5:$A$143,"&gt;="&amp;$I$3,CT!$A$5:$A$143,"&lt;="&amp;$K$3,CT!$D$5:$D$143,A59)</f>
        <v>0</v>
      </c>
      <c r="N59" s="69">
        <f>SUMIFS(CT!$F$5:$F$143,CT!$A$5:$A$143,"&gt;="&amp;$I$3,CT!$A$5:$A$143,"&lt;="&amp;$K$3,CT!$E$5:$E$143,A59)</f>
        <v>10</v>
      </c>
      <c r="O59" s="69">
        <f>SUMIFS(CT!$H$5:$H$143,CT!$A$5:$A$143,"&gt;="&amp;$I$3,CT!$A$5:$A$143,"&lt;="&amp;$K$3,CT!$E$5:$E$143,A59)</f>
        <v>480000</v>
      </c>
      <c r="P59" s="69">
        <f t="shared" si="2"/>
        <v>140</v>
      </c>
      <c r="Q59" s="69">
        <f t="shared" si="3"/>
        <v>6720000</v>
      </c>
      <c r="R59" s="69">
        <f t="shared" si="4"/>
        <v>48000</v>
      </c>
      <c r="S59" t="b">
        <f t="shared" si="5"/>
        <v>1</v>
      </c>
    </row>
    <row r="60" spans="1:19" x14ac:dyDescent="0.25">
      <c r="A60" s="93" t="str">
        <f>DMTK!B57</f>
        <v>1521.0303</v>
      </c>
      <c r="B60" s="65" t="str">
        <f>VLOOKUP(A60,DMTK!$B$5:$Q$263,3,0)</f>
        <v>Keo 502</v>
      </c>
      <c r="C60" s="65" t="str">
        <f>VLOOKUP(A60,DMTK!$B$5:$Q$263,16,0)</f>
        <v>Lít</v>
      </c>
      <c r="D60" s="69">
        <f>VLOOKUP(A60,DMTK!$B$5:$Q$263,4,0)</f>
        <v>500</v>
      </c>
      <c r="E60" s="69">
        <f>VLOOKUP(A60,DMTK!$B$5:$Q$263,5,0)</f>
        <v>1150000</v>
      </c>
      <c r="F60" s="69">
        <f>SUMIFS(CT!$F$5:$F$143,CT!$A$5:$A$143,"&lt;"&amp;$I$3,CT!$D$5:$D$143,A60)</f>
        <v>0</v>
      </c>
      <c r="G60" s="69">
        <f>SUMIFS(CT!$H$5:$H$143,CT!$A$5:$A$143,"&lt;"&amp;$I$3,CT!$D$5:$D$143,A60)</f>
        <v>0</v>
      </c>
      <c r="H60" s="69">
        <f>SUMIFS(CT!$F$5:$F$143,CT!$A$5:$A$143,"&lt;"&amp;$I$3,CT!$E$5:$E$143,A60)</f>
        <v>0</v>
      </c>
      <c r="I60" s="69">
        <f>SUMIFS(CT!$H$5:$H$143,CT!$A$5:$A$143,"&lt;"&amp;$I$3,CT!$E$5:$E$143,A60)</f>
        <v>0</v>
      </c>
      <c r="J60" s="69">
        <f t="shared" si="0"/>
        <v>500</v>
      </c>
      <c r="K60" s="69">
        <f t="shared" si="1"/>
        <v>1150000</v>
      </c>
      <c r="L60" s="69">
        <f>SUMIFS(CT!$F$5:$F$143,CT!$A$5:$A$143,"&gt;="&amp;$I$3,CT!$A$5:$A$143,"&lt;="&amp;$K$3,CT!$D$5:$D$143,A60)</f>
        <v>0</v>
      </c>
      <c r="M60" s="69">
        <f>SUMIFS(CT!$H$5:$H$143,CT!$A$5:$A$143,"&gt;="&amp;$I$3,CT!$A$5:$A$143,"&lt;="&amp;$K$3,CT!$D$5:$D$143,A60)</f>
        <v>0</v>
      </c>
      <c r="N60" s="69">
        <f>SUMIFS(CT!$F$5:$F$143,CT!$A$5:$A$143,"&gt;="&amp;$I$3,CT!$A$5:$A$143,"&lt;="&amp;$K$3,CT!$E$5:$E$143,A60)</f>
        <v>20</v>
      </c>
      <c r="O60" s="69">
        <f>SUMIFS(CT!$H$5:$H$143,CT!$A$5:$A$143,"&gt;="&amp;$I$3,CT!$A$5:$A$143,"&lt;="&amp;$K$3,CT!$E$5:$E$143,A60)</f>
        <v>46000</v>
      </c>
      <c r="P60" s="69">
        <f t="shared" si="2"/>
        <v>480</v>
      </c>
      <c r="Q60" s="69">
        <f t="shared" si="3"/>
        <v>1104000</v>
      </c>
      <c r="R60" s="69">
        <f t="shared" si="4"/>
        <v>2300</v>
      </c>
      <c r="S60" t="b">
        <f t="shared" si="5"/>
        <v>1</v>
      </c>
    </row>
    <row r="61" spans="1:19" x14ac:dyDescent="0.25">
      <c r="A61" s="93" t="str">
        <f>DMTK!B58</f>
        <v>1521.0401</v>
      </c>
      <c r="B61" s="65" t="str">
        <f>VLOOKUP(A61,DMTK!$B$5:$Q$263,3,0)</f>
        <v>AC chuối</v>
      </c>
      <c r="C61" s="65" t="str">
        <f>VLOOKUP(A61,DMTK!$B$5:$Q$263,16,0)</f>
        <v>Lít</v>
      </c>
      <c r="D61" s="69">
        <f>VLOOKUP(A61,DMTK!$B$5:$Q$263,4,0)</f>
        <v>100</v>
      </c>
      <c r="E61" s="69">
        <f>VLOOKUP(A61,DMTK!$B$5:$Q$263,5,0)</f>
        <v>1500000</v>
      </c>
      <c r="F61" s="69">
        <f>SUMIFS(CT!$F$5:$F$143,CT!$A$5:$A$143,"&lt;"&amp;$I$3,CT!$D$5:$D$143,A61)</f>
        <v>200</v>
      </c>
      <c r="G61" s="69">
        <f>SUMIFS(CT!$H$5:$H$143,CT!$A$5:$A$143,"&lt;"&amp;$I$3,CT!$D$5:$D$143,A61)</f>
        <v>3200000</v>
      </c>
      <c r="H61" s="69">
        <f>SUMIFS(CT!$F$5:$F$143,CT!$A$5:$A$143,"&lt;"&amp;$I$3,CT!$E$5:$E$143,A61)</f>
        <v>0</v>
      </c>
      <c r="I61" s="69">
        <f>SUMIFS(CT!$H$5:$H$143,CT!$A$5:$A$143,"&lt;"&amp;$I$3,CT!$E$5:$E$143,A61)</f>
        <v>0</v>
      </c>
      <c r="J61" s="69">
        <f t="shared" si="0"/>
        <v>300</v>
      </c>
      <c r="K61" s="69">
        <f t="shared" si="1"/>
        <v>4700000</v>
      </c>
      <c r="L61" s="69">
        <f>SUMIFS(CT!$F$5:$F$143,CT!$A$5:$A$143,"&gt;="&amp;$I$3,CT!$A$5:$A$143,"&lt;="&amp;$K$3,CT!$D$5:$D$143,A61)</f>
        <v>0</v>
      </c>
      <c r="M61" s="69">
        <f>SUMIFS(CT!$H$5:$H$143,CT!$A$5:$A$143,"&gt;="&amp;$I$3,CT!$A$5:$A$143,"&lt;="&amp;$K$3,CT!$D$5:$D$143,A61)</f>
        <v>0</v>
      </c>
      <c r="N61" s="69">
        <f>SUMIFS(CT!$F$5:$F$143,CT!$A$5:$A$143,"&gt;="&amp;$I$3,CT!$A$5:$A$143,"&lt;="&amp;$K$3,CT!$E$5:$E$143,A61)</f>
        <v>30</v>
      </c>
      <c r="O61" s="69">
        <f>SUMIFS(CT!$H$5:$H$143,CT!$A$5:$A$143,"&gt;="&amp;$I$3,CT!$A$5:$A$143,"&lt;="&amp;$K$3,CT!$E$5:$E$143,A61)</f>
        <v>469980</v>
      </c>
      <c r="P61" s="69">
        <f t="shared" si="2"/>
        <v>270</v>
      </c>
      <c r="Q61" s="69">
        <f t="shared" si="3"/>
        <v>4230020</v>
      </c>
      <c r="R61" s="69">
        <f t="shared" si="4"/>
        <v>15666.740740740741</v>
      </c>
      <c r="S61" t="b">
        <f t="shared" si="5"/>
        <v>1</v>
      </c>
    </row>
    <row r="62" spans="1:19" x14ac:dyDescent="0.25">
      <c r="A62" s="93" t="str">
        <f>DMTK!B59</f>
        <v>1521.0402</v>
      </c>
      <c r="B62" s="65" t="str">
        <f>VLOOKUP(A62,DMTK!$B$5:$Q$263,3,0)</f>
        <v>NC chuối</v>
      </c>
      <c r="C62" s="65" t="str">
        <f>VLOOKUP(A62,DMTK!$B$5:$Q$263,16,0)</f>
        <v>Lít</v>
      </c>
      <c r="D62" s="69">
        <f>VLOOKUP(A62,DMTK!$B$5:$Q$263,4,0)</f>
        <v>50</v>
      </c>
      <c r="E62" s="69">
        <f>VLOOKUP(A62,DMTK!$B$5:$Q$263,5,0)</f>
        <v>850000</v>
      </c>
      <c r="F62" s="69">
        <f>SUMIFS(CT!$F$5:$F$143,CT!$A$5:$A$143,"&lt;"&amp;$I$3,CT!$D$5:$D$143,A62)</f>
        <v>0</v>
      </c>
      <c r="G62" s="69">
        <f>SUMIFS(CT!$H$5:$H$143,CT!$A$5:$A$143,"&lt;"&amp;$I$3,CT!$D$5:$D$143,A62)</f>
        <v>0</v>
      </c>
      <c r="H62" s="69">
        <f>SUMIFS(CT!$F$5:$F$143,CT!$A$5:$A$143,"&lt;"&amp;$I$3,CT!$E$5:$E$143,A62)</f>
        <v>0</v>
      </c>
      <c r="I62" s="69">
        <f>SUMIFS(CT!$H$5:$H$143,CT!$A$5:$A$143,"&lt;"&amp;$I$3,CT!$E$5:$E$143,A62)</f>
        <v>0</v>
      </c>
      <c r="J62" s="69">
        <f t="shared" si="0"/>
        <v>50</v>
      </c>
      <c r="K62" s="69">
        <f t="shared" si="1"/>
        <v>850000</v>
      </c>
      <c r="L62" s="69">
        <f>SUMIFS(CT!$F$5:$F$143,CT!$A$5:$A$143,"&gt;="&amp;$I$3,CT!$A$5:$A$143,"&lt;="&amp;$K$3,CT!$D$5:$D$143,A62)</f>
        <v>0</v>
      </c>
      <c r="M62" s="69">
        <f>SUMIFS(CT!$H$5:$H$143,CT!$A$5:$A$143,"&gt;="&amp;$I$3,CT!$A$5:$A$143,"&lt;="&amp;$K$3,CT!$D$5:$D$143,A62)</f>
        <v>0</v>
      </c>
      <c r="N62" s="69">
        <f>SUMIFS(CT!$F$5:$F$143,CT!$A$5:$A$143,"&gt;="&amp;$I$3,CT!$A$5:$A$143,"&lt;="&amp;$K$3,CT!$E$5:$E$143,A62)</f>
        <v>0</v>
      </c>
      <c r="O62" s="69">
        <f>SUMIFS(CT!$H$5:$H$143,CT!$A$5:$A$143,"&gt;="&amp;$I$3,CT!$A$5:$A$143,"&lt;="&amp;$K$3,CT!$E$5:$E$143,A62)</f>
        <v>0</v>
      </c>
      <c r="P62" s="69">
        <f t="shared" si="2"/>
        <v>50</v>
      </c>
      <c r="Q62" s="69">
        <f t="shared" si="3"/>
        <v>850000</v>
      </c>
      <c r="R62" s="69">
        <f t="shared" si="4"/>
        <v>17000</v>
      </c>
      <c r="S62" t="b">
        <f t="shared" si="5"/>
        <v>1</v>
      </c>
    </row>
    <row r="63" spans="1:19" x14ac:dyDescent="0.25">
      <c r="A63" s="93" t="str">
        <f>DMTK!B60</f>
        <v>1521.0403</v>
      </c>
      <c r="B63" s="65" t="str">
        <f>VLOOKUP(A63,DMTK!$B$5:$Q$263,3,0)</f>
        <v>Dầu thông</v>
      </c>
      <c r="C63" s="65" t="str">
        <f>VLOOKUP(A63,DMTK!$B$5:$Q$263,16,0)</f>
        <v>Lít</v>
      </c>
      <c r="D63" s="69">
        <f>VLOOKUP(A63,DMTK!$B$5:$Q$263,4,0)</f>
        <v>80</v>
      </c>
      <c r="E63" s="69">
        <f>VLOOKUP(A63,DMTK!$B$5:$Q$263,5,0)</f>
        <v>1040000</v>
      </c>
      <c r="F63" s="69">
        <f>SUMIFS(CT!$F$5:$F$143,CT!$A$5:$A$143,"&lt;"&amp;$I$3,CT!$D$5:$D$143,A63)</f>
        <v>100</v>
      </c>
      <c r="G63" s="69">
        <f>SUMIFS(CT!$H$5:$H$143,CT!$A$5:$A$143,"&lt;"&amp;$I$3,CT!$D$5:$D$143,A63)</f>
        <v>1500000</v>
      </c>
      <c r="H63" s="69">
        <f>SUMIFS(CT!$F$5:$F$143,CT!$A$5:$A$143,"&lt;"&amp;$I$3,CT!$E$5:$E$143,A63)</f>
        <v>0</v>
      </c>
      <c r="I63" s="69">
        <f>SUMIFS(CT!$H$5:$H$143,CT!$A$5:$A$143,"&lt;"&amp;$I$3,CT!$E$5:$E$143,A63)</f>
        <v>0</v>
      </c>
      <c r="J63" s="69">
        <f t="shared" si="0"/>
        <v>180</v>
      </c>
      <c r="K63" s="69">
        <f t="shared" si="1"/>
        <v>2540000</v>
      </c>
      <c r="L63" s="69">
        <f>SUMIFS(CT!$F$5:$F$143,CT!$A$5:$A$143,"&gt;="&amp;$I$3,CT!$A$5:$A$143,"&lt;="&amp;$K$3,CT!$D$5:$D$143,A63)</f>
        <v>0</v>
      </c>
      <c r="M63" s="69">
        <f>SUMIFS(CT!$H$5:$H$143,CT!$A$5:$A$143,"&gt;="&amp;$I$3,CT!$A$5:$A$143,"&lt;="&amp;$K$3,CT!$D$5:$D$143,A63)</f>
        <v>0</v>
      </c>
      <c r="N63" s="69">
        <f>SUMIFS(CT!$F$5:$F$143,CT!$A$5:$A$143,"&gt;="&amp;$I$3,CT!$A$5:$A$143,"&lt;="&amp;$K$3,CT!$E$5:$E$143,A63)</f>
        <v>20</v>
      </c>
      <c r="O63" s="69">
        <f>SUMIFS(CT!$H$5:$H$143,CT!$A$5:$A$143,"&gt;="&amp;$I$3,CT!$A$5:$A$143,"&lt;="&amp;$K$3,CT!$E$5:$E$143,A63)</f>
        <v>282220</v>
      </c>
      <c r="P63" s="69">
        <f t="shared" si="2"/>
        <v>160</v>
      </c>
      <c r="Q63" s="69">
        <f t="shared" si="3"/>
        <v>2257780</v>
      </c>
      <c r="R63" s="69">
        <f t="shared" si="4"/>
        <v>14111.125</v>
      </c>
      <c r="S63" t="b">
        <f t="shared" si="5"/>
        <v>1</v>
      </c>
    </row>
    <row r="64" spans="1:19" x14ac:dyDescent="0.25">
      <c r="A64" s="93" t="str">
        <f>DMTK!B61</f>
        <v>1522</v>
      </c>
      <c r="B64" s="65" t="str">
        <f>VLOOKUP(A64,DMTK!$B$5:$Q$263,3,0)</f>
        <v>Nguyên vật liệu phụ</v>
      </c>
      <c r="C64" s="65" t="str">
        <f>VLOOKUP(A64,DMTK!$B$5:$Q$263,16,0)</f>
        <v xml:space="preserve"> </v>
      </c>
      <c r="D64" s="69">
        <f>VLOOKUP(A64,DMTK!$B$5:$Q$263,4,0)</f>
        <v>0</v>
      </c>
      <c r="E64" s="69">
        <f>VLOOKUP(A64,DMTK!$B$5:$Q$263,5,0)</f>
        <v>0</v>
      </c>
      <c r="F64" s="69">
        <f>SUMIFS(CT!$F$5:$F$143,CT!$A$5:$A$143,"&lt;"&amp;$I$3,CT!$D$5:$D$143,A64)</f>
        <v>0</v>
      </c>
      <c r="G64" s="69">
        <f>SUMIFS(CT!$H$5:$H$143,CT!$A$5:$A$143,"&lt;"&amp;$I$3,CT!$D$5:$D$143,A64)</f>
        <v>0</v>
      </c>
      <c r="H64" s="69">
        <f>SUMIFS(CT!$F$5:$F$143,CT!$A$5:$A$143,"&lt;"&amp;$I$3,CT!$E$5:$E$143,A64)</f>
        <v>0</v>
      </c>
      <c r="I64" s="69">
        <f>SUMIFS(CT!$H$5:$H$143,CT!$A$5:$A$143,"&lt;"&amp;$I$3,CT!$E$5:$E$143,A64)</f>
        <v>0</v>
      </c>
      <c r="J64" s="69">
        <f t="shared" si="0"/>
        <v>0</v>
      </c>
      <c r="K64" s="69">
        <f t="shared" si="1"/>
        <v>0</v>
      </c>
      <c r="L64" s="69">
        <f>SUMIFS(CT!$F$5:$F$143,CT!$A$5:$A$143,"&gt;="&amp;$I$3,CT!$A$5:$A$143,"&lt;="&amp;$K$3,CT!$D$5:$D$143,A64)</f>
        <v>0</v>
      </c>
      <c r="M64" s="69">
        <f>SUMIFS(CT!$H$5:$H$143,CT!$A$5:$A$143,"&gt;="&amp;$I$3,CT!$A$5:$A$143,"&lt;="&amp;$K$3,CT!$D$5:$D$143,A64)</f>
        <v>0</v>
      </c>
      <c r="N64" s="69">
        <f>SUMIFS(CT!$F$5:$F$143,CT!$A$5:$A$143,"&gt;="&amp;$I$3,CT!$A$5:$A$143,"&lt;="&amp;$K$3,CT!$E$5:$E$143,A64)</f>
        <v>0</v>
      </c>
      <c r="O64" s="69">
        <f>SUMIFS(CT!$H$5:$H$143,CT!$A$5:$A$143,"&gt;="&amp;$I$3,CT!$A$5:$A$143,"&lt;="&amp;$K$3,CT!$E$5:$E$143,A64)</f>
        <v>0</v>
      </c>
      <c r="P64" s="69">
        <f t="shared" si="2"/>
        <v>0</v>
      </c>
      <c r="Q64" s="69">
        <f t="shared" si="3"/>
        <v>0</v>
      </c>
      <c r="R64" s="69">
        <f t="shared" si="4"/>
        <v>0</v>
      </c>
      <c r="S64" t="b">
        <f t="shared" si="5"/>
        <v>1</v>
      </c>
    </row>
    <row r="65" spans="1:19" hidden="1" x14ac:dyDescent="0.25">
      <c r="A65" s="93" t="str">
        <f>DMTK!B62</f>
        <v>1531.01</v>
      </c>
      <c r="B65" s="65" t="str">
        <f>VLOOKUP(A65,DMTK!$B$5:$Q$263,3,0)</f>
        <v>Máy tính Casio</v>
      </c>
      <c r="C65" s="65" t="str">
        <f>VLOOKUP(A65,DMTK!$B$5:$Q$263,16,0)</f>
        <v>Cái</v>
      </c>
      <c r="D65" s="69">
        <f>VLOOKUP(A65,DMTK!$B$5:$Q$263,4,0)</f>
        <v>15</v>
      </c>
      <c r="E65" s="69">
        <f>VLOOKUP(A65,DMTK!$B$5:$Q$263,5,0)</f>
        <v>7500000</v>
      </c>
      <c r="F65" s="69">
        <f>SUMIFS(CT!$F$5:$F$143,CT!$A$5:$A$143,"&lt;"&amp;$I$3,CT!$D$5:$D$143,A65)</f>
        <v>0</v>
      </c>
      <c r="G65" s="69">
        <f>SUMIFS(CT!$H$5:$H$143,CT!$A$5:$A$143,"&lt;"&amp;$I$3,CT!$D$5:$D$143,A65)</f>
        <v>0</v>
      </c>
      <c r="H65" s="69">
        <f>SUMIFS(CT!$F$5:$F$143,CT!$A$5:$A$143,"&lt;"&amp;$I$3,CT!$E$5:$E$143,A65)</f>
        <v>0</v>
      </c>
      <c r="I65" s="69">
        <f>SUMIFS(CT!$H$5:$H$143,CT!$A$5:$A$143,"&lt;"&amp;$I$3,CT!$E$5:$E$143,A65)</f>
        <v>0</v>
      </c>
      <c r="J65" s="69">
        <f t="shared" si="0"/>
        <v>15</v>
      </c>
      <c r="K65" s="69">
        <f t="shared" si="1"/>
        <v>7500000</v>
      </c>
      <c r="L65" s="69">
        <f>SUMIFS(CT!$F$5:$F$143,CT!$A$5:$A$143,"&gt;="&amp;$I$3,CT!$A$5:$A$143,"&lt;="&amp;$K$3,CT!$D$5:$D$143,A65)</f>
        <v>0</v>
      </c>
      <c r="M65" s="69">
        <f>SUMIFS(CT!$H$5:$H$143,CT!$A$5:$A$143,"&gt;="&amp;$I$3,CT!$A$5:$A$143,"&lt;="&amp;$K$3,CT!$D$5:$D$143,A65)</f>
        <v>0</v>
      </c>
      <c r="N65" s="69">
        <f>SUMIFS(CT!$F$5:$F$143,CT!$A$5:$A$143,"&gt;="&amp;$I$3,CT!$A$5:$A$143,"&lt;="&amp;$K$3,CT!$E$5:$E$143,A65)</f>
        <v>5</v>
      </c>
      <c r="O65" s="69">
        <f>SUMIFS(CT!$H$5:$H$143,CT!$A$5:$A$143,"&gt;="&amp;$I$3,CT!$A$5:$A$143,"&lt;="&amp;$K$3,CT!$E$5:$E$143,A65)</f>
        <v>2500000</v>
      </c>
      <c r="P65" s="69">
        <f t="shared" si="2"/>
        <v>10</v>
      </c>
      <c r="Q65" s="69">
        <f t="shared" si="3"/>
        <v>5000000</v>
      </c>
      <c r="R65" s="69">
        <f t="shared" si="4"/>
        <v>500000</v>
      </c>
      <c r="S65" t="b">
        <f t="shared" si="5"/>
        <v>0</v>
      </c>
    </row>
    <row r="66" spans="1:19" hidden="1" x14ac:dyDescent="0.25">
      <c r="A66" s="93" t="str">
        <f>DMTK!B63</f>
        <v>1531.02</v>
      </c>
      <c r="B66" s="65" t="str">
        <f>VLOOKUP(A66,DMTK!$B$5:$Q$263,3,0)</f>
        <v>Kệ tủ</v>
      </c>
      <c r="C66" s="65" t="str">
        <f>VLOOKUP(A66,DMTK!$B$5:$Q$263,16,0)</f>
        <v>Cái</v>
      </c>
      <c r="D66" s="69">
        <f>VLOOKUP(A66,DMTK!$B$5:$Q$263,4,0)</f>
        <v>20</v>
      </c>
      <c r="E66" s="69">
        <f>VLOOKUP(A66,DMTK!$B$5:$Q$263,5,0)</f>
        <v>5000000</v>
      </c>
      <c r="F66" s="69">
        <f>SUMIFS(CT!$F$5:$F$143,CT!$A$5:$A$143,"&lt;"&amp;$I$3,CT!$D$5:$D$143,A66)</f>
        <v>0</v>
      </c>
      <c r="G66" s="69">
        <f>SUMIFS(CT!$H$5:$H$143,CT!$A$5:$A$143,"&lt;"&amp;$I$3,CT!$D$5:$D$143,A66)</f>
        <v>0</v>
      </c>
      <c r="H66" s="69">
        <f>SUMIFS(CT!$F$5:$F$143,CT!$A$5:$A$143,"&lt;"&amp;$I$3,CT!$E$5:$E$143,A66)</f>
        <v>0</v>
      </c>
      <c r="I66" s="69">
        <f>SUMIFS(CT!$H$5:$H$143,CT!$A$5:$A$143,"&lt;"&amp;$I$3,CT!$E$5:$E$143,A66)</f>
        <v>0</v>
      </c>
      <c r="J66" s="69">
        <f t="shared" si="0"/>
        <v>20</v>
      </c>
      <c r="K66" s="69">
        <f t="shared" si="1"/>
        <v>5000000</v>
      </c>
      <c r="L66" s="69">
        <f>SUMIFS(CT!$F$5:$F$143,CT!$A$5:$A$143,"&gt;="&amp;$I$3,CT!$A$5:$A$143,"&lt;="&amp;$K$3,CT!$D$5:$D$143,A66)</f>
        <v>0</v>
      </c>
      <c r="M66" s="69">
        <f>SUMIFS(CT!$H$5:$H$143,CT!$A$5:$A$143,"&gt;="&amp;$I$3,CT!$A$5:$A$143,"&lt;="&amp;$K$3,CT!$D$5:$D$143,A66)</f>
        <v>0</v>
      </c>
      <c r="N66" s="69">
        <f>SUMIFS(CT!$F$5:$F$143,CT!$A$5:$A$143,"&gt;="&amp;$I$3,CT!$A$5:$A$143,"&lt;="&amp;$K$3,CT!$E$5:$E$143,A66)</f>
        <v>4</v>
      </c>
      <c r="O66" s="69">
        <f>SUMIFS(CT!$H$5:$H$143,CT!$A$5:$A$143,"&gt;="&amp;$I$3,CT!$A$5:$A$143,"&lt;="&amp;$K$3,CT!$E$5:$E$143,A66)</f>
        <v>1000000</v>
      </c>
      <c r="P66" s="69">
        <f t="shared" si="2"/>
        <v>16</v>
      </c>
      <c r="Q66" s="69">
        <f t="shared" si="3"/>
        <v>4000000</v>
      </c>
      <c r="R66" s="69">
        <f t="shared" si="4"/>
        <v>250000</v>
      </c>
      <c r="S66" t="b">
        <f t="shared" si="5"/>
        <v>0</v>
      </c>
    </row>
    <row r="67" spans="1:19" hidden="1" x14ac:dyDescent="0.25">
      <c r="A67" s="93" t="str">
        <f>DMTK!B64</f>
        <v>1531.03</v>
      </c>
      <c r="B67" s="65" t="str">
        <f>VLOOKUP(A67,DMTK!$B$5:$Q$263,3,0)</f>
        <v>Lưỡi cưa</v>
      </c>
      <c r="C67" s="65" t="str">
        <f>VLOOKUP(A67,DMTK!$B$5:$Q$263,16,0)</f>
        <v>Hộp</v>
      </c>
      <c r="D67" s="69">
        <f>VLOOKUP(A67,DMTK!$B$5:$Q$263,4,0)</f>
        <v>100</v>
      </c>
      <c r="E67" s="69">
        <f>VLOOKUP(A67,DMTK!$B$5:$Q$263,5,0)</f>
        <v>1000000</v>
      </c>
      <c r="F67" s="69">
        <f>SUMIFS(CT!$F$5:$F$143,CT!$A$5:$A$143,"&lt;"&amp;$I$3,CT!$D$5:$D$143,A67)</f>
        <v>0</v>
      </c>
      <c r="G67" s="69">
        <f>SUMIFS(CT!$H$5:$H$143,CT!$A$5:$A$143,"&lt;"&amp;$I$3,CT!$D$5:$D$143,A67)</f>
        <v>0</v>
      </c>
      <c r="H67" s="69">
        <f>SUMIFS(CT!$F$5:$F$143,CT!$A$5:$A$143,"&lt;"&amp;$I$3,CT!$E$5:$E$143,A67)</f>
        <v>0</v>
      </c>
      <c r="I67" s="69">
        <f>SUMIFS(CT!$H$5:$H$143,CT!$A$5:$A$143,"&lt;"&amp;$I$3,CT!$E$5:$E$143,A67)</f>
        <v>0</v>
      </c>
      <c r="J67" s="69">
        <f t="shared" si="0"/>
        <v>100</v>
      </c>
      <c r="K67" s="69">
        <f t="shared" si="1"/>
        <v>1000000</v>
      </c>
      <c r="L67" s="69">
        <f>SUMIFS(CT!$F$5:$F$143,CT!$A$5:$A$143,"&gt;="&amp;$I$3,CT!$A$5:$A$143,"&lt;="&amp;$K$3,CT!$D$5:$D$143,A67)</f>
        <v>0</v>
      </c>
      <c r="M67" s="69">
        <f>SUMIFS(CT!$H$5:$H$143,CT!$A$5:$A$143,"&gt;="&amp;$I$3,CT!$A$5:$A$143,"&lt;="&amp;$K$3,CT!$D$5:$D$143,A67)</f>
        <v>0</v>
      </c>
      <c r="N67" s="69">
        <f>SUMIFS(CT!$F$5:$F$143,CT!$A$5:$A$143,"&gt;="&amp;$I$3,CT!$A$5:$A$143,"&lt;="&amp;$K$3,CT!$E$5:$E$143,A67)</f>
        <v>10</v>
      </c>
      <c r="O67" s="69">
        <f>SUMIFS(CT!$H$5:$H$143,CT!$A$5:$A$143,"&gt;="&amp;$I$3,CT!$A$5:$A$143,"&lt;="&amp;$K$3,CT!$E$5:$E$143,A67)</f>
        <v>100000</v>
      </c>
      <c r="P67" s="69">
        <f t="shared" si="2"/>
        <v>90</v>
      </c>
      <c r="Q67" s="69">
        <f t="shared" si="3"/>
        <v>900000</v>
      </c>
      <c r="R67" s="69">
        <f t="shared" si="4"/>
        <v>10000</v>
      </c>
      <c r="S67" t="b">
        <f t="shared" si="5"/>
        <v>0</v>
      </c>
    </row>
    <row r="68" spans="1:19" hidden="1" x14ac:dyDescent="0.25">
      <c r="A68" s="93" t="str">
        <f>DMTK!B65</f>
        <v>1531.04</v>
      </c>
      <c r="B68" s="65" t="str">
        <f>VLOOKUP(A68,DMTK!$B$5:$Q$263,3,0)</f>
        <v>Mũi khoan</v>
      </c>
      <c r="C68" s="65" t="str">
        <f>VLOOKUP(A68,DMTK!$B$5:$Q$263,16,0)</f>
        <v>Hộp</v>
      </c>
      <c r="D68" s="69">
        <f>VLOOKUP(A68,DMTK!$B$5:$Q$263,4,0)</f>
        <v>400</v>
      </c>
      <c r="E68" s="69">
        <f>VLOOKUP(A68,DMTK!$B$5:$Q$263,5,0)</f>
        <v>2000000</v>
      </c>
      <c r="F68" s="69">
        <f>SUMIFS(CT!$F$5:$F$143,CT!$A$5:$A$143,"&lt;"&amp;$I$3,CT!$D$5:$D$143,A68)</f>
        <v>0</v>
      </c>
      <c r="G68" s="69">
        <f>SUMIFS(CT!$H$5:$H$143,CT!$A$5:$A$143,"&lt;"&amp;$I$3,CT!$D$5:$D$143,A68)</f>
        <v>0</v>
      </c>
      <c r="H68" s="69">
        <f>SUMIFS(CT!$F$5:$F$143,CT!$A$5:$A$143,"&lt;"&amp;$I$3,CT!$E$5:$E$143,A68)</f>
        <v>0</v>
      </c>
      <c r="I68" s="69">
        <f>SUMIFS(CT!$H$5:$H$143,CT!$A$5:$A$143,"&lt;"&amp;$I$3,CT!$E$5:$E$143,A68)</f>
        <v>0</v>
      </c>
      <c r="J68" s="69">
        <f t="shared" si="0"/>
        <v>400</v>
      </c>
      <c r="K68" s="69">
        <f t="shared" si="1"/>
        <v>2000000</v>
      </c>
      <c r="L68" s="69">
        <f>SUMIFS(CT!$F$5:$F$143,CT!$A$5:$A$143,"&gt;="&amp;$I$3,CT!$A$5:$A$143,"&lt;="&amp;$K$3,CT!$D$5:$D$143,A68)</f>
        <v>0</v>
      </c>
      <c r="M68" s="69">
        <f>SUMIFS(CT!$H$5:$H$143,CT!$A$5:$A$143,"&gt;="&amp;$I$3,CT!$A$5:$A$143,"&lt;="&amp;$K$3,CT!$D$5:$D$143,A68)</f>
        <v>0</v>
      </c>
      <c r="N68" s="69">
        <f>SUMIFS(CT!$F$5:$F$143,CT!$A$5:$A$143,"&gt;="&amp;$I$3,CT!$A$5:$A$143,"&lt;="&amp;$K$3,CT!$E$5:$E$143,A68)</f>
        <v>20</v>
      </c>
      <c r="O68" s="69">
        <f>SUMIFS(CT!$H$5:$H$143,CT!$A$5:$A$143,"&gt;="&amp;$I$3,CT!$A$5:$A$143,"&lt;="&amp;$K$3,CT!$E$5:$E$143,A68)</f>
        <v>100000</v>
      </c>
      <c r="P68" s="69">
        <f t="shared" si="2"/>
        <v>380</v>
      </c>
      <c r="Q68" s="69">
        <f t="shared" si="3"/>
        <v>1900000</v>
      </c>
      <c r="R68" s="69">
        <f t="shared" si="4"/>
        <v>5000</v>
      </c>
      <c r="S68" t="b">
        <f t="shared" si="5"/>
        <v>0</v>
      </c>
    </row>
    <row r="69" spans="1:19" hidden="1" x14ac:dyDescent="0.25">
      <c r="A69" s="93" t="str">
        <f>DMTK!B66</f>
        <v>1531.05</v>
      </c>
      <c r="B69" s="65" t="str">
        <f>VLOOKUP(A69,DMTK!$B$5:$Q$263,3,0)</f>
        <v>Dao thép</v>
      </c>
      <c r="C69" s="65" t="str">
        <f>VLOOKUP(A69,DMTK!$B$5:$Q$263,16,0)</f>
        <v>Hộp</v>
      </c>
      <c r="D69" s="69">
        <f>VLOOKUP(A69,DMTK!$B$5:$Q$263,4,0)</f>
        <v>100</v>
      </c>
      <c r="E69" s="69">
        <f>VLOOKUP(A69,DMTK!$B$5:$Q$263,5,0)</f>
        <v>1000000</v>
      </c>
      <c r="F69" s="69">
        <f>SUMIFS(CT!$F$5:$F$143,CT!$A$5:$A$143,"&lt;"&amp;$I$3,CT!$D$5:$D$143,A69)</f>
        <v>0</v>
      </c>
      <c r="G69" s="69">
        <f>SUMIFS(CT!$H$5:$H$143,CT!$A$5:$A$143,"&lt;"&amp;$I$3,CT!$D$5:$D$143,A69)</f>
        <v>0</v>
      </c>
      <c r="H69" s="69">
        <f>SUMIFS(CT!$F$5:$F$143,CT!$A$5:$A$143,"&lt;"&amp;$I$3,CT!$E$5:$E$143,A69)</f>
        <v>0</v>
      </c>
      <c r="I69" s="69">
        <f>SUMIFS(CT!$H$5:$H$143,CT!$A$5:$A$143,"&lt;"&amp;$I$3,CT!$E$5:$E$143,A69)</f>
        <v>0</v>
      </c>
      <c r="J69" s="69">
        <f t="shared" si="0"/>
        <v>100</v>
      </c>
      <c r="K69" s="69">
        <f t="shared" si="1"/>
        <v>1000000</v>
      </c>
      <c r="L69" s="69">
        <f>SUMIFS(CT!$F$5:$F$143,CT!$A$5:$A$143,"&gt;="&amp;$I$3,CT!$A$5:$A$143,"&lt;="&amp;$K$3,CT!$D$5:$D$143,A69)</f>
        <v>0</v>
      </c>
      <c r="M69" s="69">
        <f>SUMIFS(CT!$H$5:$H$143,CT!$A$5:$A$143,"&gt;="&amp;$I$3,CT!$A$5:$A$143,"&lt;="&amp;$K$3,CT!$D$5:$D$143,A69)</f>
        <v>0</v>
      </c>
      <c r="N69" s="69">
        <f>SUMIFS(CT!$F$5:$F$143,CT!$A$5:$A$143,"&gt;="&amp;$I$3,CT!$A$5:$A$143,"&lt;="&amp;$K$3,CT!$E$5:$E$143,A69)</f>
        <v>30</v>
      </c>
      <c r="O69" s="69">
        <f>SUMIFS(CT!$H$5:$H$143,CT!$A$5:$A$143,"&gt;="&amp;$I$3,CT!$A$5:$A$143,"&lt;="&amp;$K$3,CT!$E$5:$E$143,A69)</f>
        <v>300000</v>
      </c>
      <c r="P69" s="69">
        <f t="shared" si="2"/>
        <v>70</v>
      </c>
      <c r="Q69" s="69">
        <f t="shared" si="3"/>
        <v>700000</v>
      </c>
      <c r="R69" s="69">
        <f t="shared" si="4"/>
        <v>10000</v>
      </c>
      <c r="S69" t="b">
        <f t="shared" si="5"/>
        <v>0</v>
      </c>
    </row>
    <row r="70" spans="1:19" hidden="1" x14ac:dyDescent="0.25">
      <c r="A70" s="93" t="str">
        <f>DMTK!B67</f>
        <v>154.01</v>
      </c>
      <c r="B70" s="65" t="str">
        <f>VLOOKUP(A70,DMTK!$B$5:$Q$263,3,0)</f>
        <v>Ghế tay vịn</v>
      </c>
      <c r="C70" s="65" t="str">
        <f>VLOOKUP(A70,DMTK!$B$5:$Q$263,16,0)</f>
        <v xml:space="preserve"> </v>
      </c>
      <c r="D70" s="69">
        <f>VLOOKUP(A70,DMTK!$B$5:$Q$263,4,0)</f>
        <v>0</v>
      </c>
      <c r="E70" s="69">
        <f>VLOOKUP(A70,DMTK!$B$5:$Q$263,5,0)</f>
        <v>70000000</v>
      </c>
      <c r="F70" s="69">
        <f>SUMIFS(CT!$F$5:$F$143,CT!$A$5:$A$143,"&lt;"&amp;$I$3,CT!$D$5:$D$143,A70)</f>
        <v>0</v>
      </c>
      <c r="G70" s="69">
        <f>SUMIFS(CT!$H$5:$H$143,CT!$A$5:$A$143,"&lt;"&amp;$I$3,CT!$D$5:$D$143,A70)</f>
        <v>0</v>
      </c>
      <c r="H70" s="69">
        <f>SUMIFS(CT!$F$5:$F$143,CT!$A$5:$A$143,"&lt;"&amp;$I$3,CT!$E$5:$E$143,A70)</f>
        <v>0</v>
      </c>
      <c r="I70" s="69">
        <f>SUMIFS(CT!$H$5:$H$143,CT!$A$5:$A$143,"&lt;"&amp;$I$3,CT!$E$5:$E$143,A70)</f>
        <v>0</v>
      </c>
      <c r="J70" s="69">
        <f t="shared" si="0"/>
        <v>0</v>
      </c>
      <c r="K70" s="69">
        <f t="shared" si="1"/>
        <v>70000000</v>
      </c>
      <c r="L70" s="69">
        <f>SUMIFS(CT!$F$5:$F$143,CT!$A$5:$A$143,"&gt;="&amp;$I$3,CT!$A$5:$A$143,"&lt;="&amp;$K$3,CT!$D$5:$D$143,A70)</f>
        <v>0</v>
      </c>
      <c r="M70" s="69">
        <f>SUMIFS(CT!$H$5:$H$143,CT!$A$5:$A$143,"&gt;="&amp;$I$3,CT!$A$5:$A$143,"&lt;="&amp;$K$3,CT!$D$5:$D$143,A70)</f>
        <v>99050185</v>
      </c>
      <c r="N70" s="69">
        <f>SUMIFS(CT!$F$5:$F$143,CT!$A$5:$A$143,"&gt;="&amp;$I$3,CT!$A$5:$A$143,"&lt;="&amp;$K$3,CT!$E$5:$E$143,A70)</f>
        <v>405</v>
      </c>
      <c r="O70" s="69">
        <f>SUMIFS(CT!$H$5:$H$143,CT!$A$5:$A$143,"&gt;="&amp;$I$3,CT!$A$5:$A$143,"&lt;="&amp;$K$3,CT!$E$5:$E$143,A70)</f>
        <v>102060000</v>
      </c>
      <c r="P70" s="69">
        <f t="shared" si="2"/>
        <v>0</v>
      </c>
      <c r="Q70" s="69">
        <f t="shared" si="3"/>
        <v>66990185</v>
      </c>
      <c r="R70" s="69">
        <f t="shared" si="4"/>
        <v>0</v>
      </c>
      <c r="S70" t="b">
        <f t="shared" si="5"/>
        <v>0</v>
      </c>
    </row>
    <row r="71" spans="1:19" hidden="1" x14ac:dyDescent="0.25">
      <c r="A71" s="93" t="str">
        <f>DMTK!B68</f>
        <v>154.02</v>
      </c>
      <c r="B71" s="65" t="str">
        <f>VLOOKUP(A71,DMTK!$B$5:$Q$263,3,0)</f>
        <v>Ghế không tay</v>
      </c>
      <c r="C71" s="65" t="str">
        <f>VLOOKUP(A71,DMTK!$B$5:$Q$263,16,0)</f>
        <v xml:space="preserve"> </v>
      </c>
      <c r="D71" s="69">
        <f>VLOOKUP(A71,DMTK!$B$5:$Q$263,4,0)</f>
        <v>0</v>
      </c>
      <c r="E71" s="69">
        <f>VLOOKUP(A71,DMTK!$B$5:$Q$263,5,0)</f>
        <v>80000000</v>
      </c>
      <c r="F71" s="69">
        <f>SUMIFS(CT!$F$5:$F$143,CT!$A$5:$A$143,"&lt;"&amp;$I$3,CT!$D$5:$D$143,A71)</f>
        <v>0</v>
      </c>
      <c r="G71" s="69">
        <f>SUMIFS(CT!$H$5:$H$143,CT!$A$5:$A$143,"&lt;"&amp;$I$3,CT!$D$5:$D$143,A71)</f>
        <v>0</v>
      </c>
      <c r="H71" s="69">
        <f>SUMIFS(CT!$F$5:$F$143,CT!$A$5:$A$143,"&lt;"&amp;$I$3,CT!$E$5:$E$143,A71)</f>
        <v>0</v>
      </c>
      <c r="I71" s="69">
        <f>SUMIFS(CT!$H$5:$H$143,CT!$A$5:$A$143,"&lt;"&amp;$I$3,CT!$E$5:$E$143,A71)</f>
        <v>0</v>
      </c>
      <c r="J71" s="69">
        <f t="shared" si="0"/>
        <v>0</v>
      </c>
      <c r="K71" s="69">
        <f t="shared" si="1"/>
        <v>80000000</v>
      </c>
      <c r="L71" s="69">
        <f>SUMIFS(CT!$F$5:$F$143,CT!$A$5:$A$143,"&gt;="&amp;$I$3,CT!$A$5:$A$143,"&lt;="&amp;$K$3,CT!$D$5:$D$143,A71)</f>
        <v>0</v>
      </c>
      <c r="M71" s="69">
        <f>SUMIFS(CT!$H$5:$H$143,CT!$A$5:$A$143,"&gt;="&amp;$I$3,CT!$A$5:$A$143,"&lt;="&amp;$K$3,CT!$D$5:$D$143,A71)</f>
        <v>48800000</v>
      </c>
      <c r="N71" s="69">
        <f>SUMIFS(CT!$F$5:$F$143,CT!$A$5:$A$143,"&gt;="&amp;$I$3,CT!$A$5:$A$143,"&lt;="&amp;$K$3,CT!$E$5:$E$143,A71)</f>
        <v>300</v>
      </c>
      <c r="O71" s="69">
        <f>SUMIFS(CT!$H$5:$H$143,CT!$A$5:$A$143,"&gt;="&amp;$I$3,CT!$A$5:$A$143,"&lt;="&amp;$K$3,CT!$E$5:$E$143,A71)</f>
        <v>61800000</v>
      </c>
      <c r="P71" s="69">
        <f t="shared" si="2"/>
        <v>0</v>
      </c>
      <c r="Q71" s="69">
        <f t="shared" si="3"/>
        <v>67000000</v>
      </c>
      <c r="R71" s="69">
        <f t="shared" si="4"/>
        <v>0</v>
      </c>
      <c r="S71" t="b">
        <f t="shared" si="5"/>
        <v>0</v>
      </c>
    </row>
    <row r="72" spans="1:19" hidden="1" x14ac:dyDescent="0.25">
      <c r="A72" s="93" t="str">
        <f>DMTK!B69</f>
        <v>154.03</v>
      </c>
      <c r="B72" s="65" t="str">
        <f>VLOOKUP(A72,DMTK!$B$5:$Q$263,3,0)</f>
        <v>Bàn tròn</v>
      </c>
      <c r="C72" s="65" t="str">
        <f>VLOOKUP(A72,DMTK!$B$5:$Q$263,16,0)</f>
        <v xml:space="preserve"> </v>
      </c>
      <c r="D72" s="69">
        <f>VLOOKUP(A72,DMTK!$B$5:$Q$263,4,0)</f>
        <v>0</v>
      </c>
      <c r="E72" s="69">
        <f>VLOOKUP(A72,DMTK!$B$5:$Q$263,5,0)</f>
        <v>7000000</v>
      </c>
      <c r="F72" s="69">
        <f>SUMIFS(CT!$F$5:$F$143,CT!$A$5:$A$143,"&lt;"&amp;$I$3,CT!$D$5:$D$143,A72)</f>
        <v>0</v>
      </c>
      <c r="G72" s="69">
        <f>SUMIFS(CT!$H$5:$H$143,CT!$A$5:$A$143,"&lt;"&amp;$I$3,CT!$D$5:$D$143,A72)</f>
        <v>0</v>
      </c>
      <c r="H72" s="69">
        <f>SUMIFS(CT!$F$5:$F$143,CT!$A$5:$A$143,"&lt;"&amp;$I$3,CT!$E$5:$E$143,A72)</f>
        <v>0</v>
      </c>
      <c r="I72" s="69">
        <f>SUMIFS(CT!$H$5:$H$143,CT!$A$5:$A$143,"&lt;"&amp;$I$3,CT!$E$5:$E$143,A72)</f>
        <v>0</v>
      </c>
      <c r="J72" s="69">
        <f t="shared" si="0"/>
        <v>0</v>
      </c>
      <c r="K72" s="69">
        <f t="shared" si="1"/>
        <v>7000000</v>
      </c>
      <c r="L72" s="69">
        <f>SUMIFS(CT!$F$5:$F$143,CT!$A$5:$A$143,"&gt;="&amp;$I$3,CT!$A$5:$A$143,"&lt;="&amp;$K$3,CT!$D$5:$D$143,A72)</f>
        <v>0</v>
      </c>
      <c r="M72" s="69">
        <f>SUMIFS(CT!$H$5:$H$143,CT!$A$5:$A$143,"&gt;="&amp;$I$3,CT!$A$5:$A$143,"&lt;="&amp;$K$3,CT!$D$5:$D$143,A72)</f>
        <v>61494681</v>
      </c>
      <c r="N72" s="69">
        <f>SUMIFS(CT!$F$5:$F$143,CT!$A$5:$A$143,"&gt;="&amp;$I$3,CT!$A$5:$A$143,"&lt;="&amp;$K$3,CT!$E$5:$E$143,A72)</f>
        <v>200</v>
      </c>
      <c r="O72" s="69">
        <f>SUMIFS(CT!$H$5:$H$143,CT!$A$5:$A$143,"&gt;="&amp;$I$3,CT!$A$5:$A$143,"&lt;="&amp;$K$3,CT!$E$5:$E$143,A72)</f>
        <v>61500000</v>
      </c>
      <c r="P72" s="69">
        <f t="shared" si="2"/>
        <v>0</v>
      </c>
      <c r="Q72" s="69">
        <f t="shared" si="3"/>
        <v>6994681</v>
      </c>
      <c r="R72" s="69">
        <f t="shared" si="4"/>
        <v>0</v>
      </c>
      <c r="S72" t="b">
        <f t="shared" si="5"/>
        <v>0</v>
      </c>
    </row>
    <row r="73" spans="1:19" hidden="1" x14ac:dyDescent="0.25">
      <c r="A73" s="93" t="str">
        <f>DMTK!B70</f>
        <v>154.04</v>
      </c>
      <c r="B73" s="65" t="str">
        <f>VLOOKUP(A73,DMTK!$B$5:$Q$263,3,0)</f>
        <v>Bàn oval</v>
      </c>
      <c r="C73" s="65" t="str">
        <f>VLOOKUP(A73,DMTK!$B$5:$Q$263,16,0)</f>
        <v xml:space="preserve"> </v>
      </c>
      <c r="D73" s="69">
        <f>VLOOKUP(A73,DMTK!$B$5:$Q$263,4,0)</f>
        <v>0</v>
      </c>
      <c r="E73" s="69">
        <f>VLOOKUP(A73,DMTK!$B$5:$Q$263,5,0)</f>
        <v>43000000</v>
      </c>
      <c r="F73" s="69">
        <f>SUMIFS(CT!$F$5:$F$143,CT!$A$5:$A$143,"&lt;"&amp;$I$3,CT!$D$5:$D$143,A73)</f>
        <v>0</v>
      </c>
      <c r="G73" s="69">
        <f>SUMIFS(CT!$H$5:$H$143,CT!$A$5:$A$143,"&lt;"&amp;$I$3,CT!$D$5:$D$143,A73)</f>
        <v>0</v>
      </c>
      <c r="H73" s="69">
        <f>SUMIFS(CT!$F$5:$F$143,CT!$A$5:$A$143,"&lt;"&amp;$I$3,CT!$E$5:$E$143,A73)</f>
        <v>0</v>
      </c>
      <c r="I73" s="69">
        <f>SUMIFS(CT!$H$5:$H$143,CT!$A$5:$A$143,"&lt;"&amp;$I$3,CT!$E$5:$E$143,A73)</f>
        <v>0</v>
      </c>
      <c r="J73" s="69">
        <f t="shared" ref="J73:J136" si="6">MAX(D73+F73-H73,0)</f>
        <v>0</v>
      </c>
      <c r="K73" s="69">
        <f t="shared" ref="K73:K136" si="7">MAX(E73+G73-I73,0)</f>
        <v>43000000</v>
      </c>
      <c r="L73" s="69">
        <f>SUMIFS(CT!$F$5:$F$143,CT!$A$5:$A$143,"&gt;="&amp;$I$3,CT!$A$5:$A$143,"&lt;="&amp;$K$3,CT!$D$5:$D$143,A73)</f>
        <v>0</v>
      </c>
      <c r="M73" s="69">
        <f>SUMIFS(CT!$H$5:$H$143,CT!$A$5:$A$143,"&gt;="&amp;$I$3,CT!$A$5:$A$143,"&lt;="&amp;$K$3,CT!$D$5:$D$143,A73)</f>
        <v>48800000</v>
      </c>
      <c r="N73" s="69">
        <f>SUMIFS(CT!$F$5:$F$143,CT!$A$5:$A$143,"&gt;="&amp;$I$3,CT!$A$5:$A$143,"&lt;="&amp;$K$3,CT!$E$5:$E$143,A73)</f>
        <v>0</v>
      </c>
      <c r="O73" s="69">
        <f>SUMIFS(CT!$H$5:$H$143,CT!$A$5:$A$143,"&gt;="&amp;$I$3,CT!$A$5:$A$143,"&lt;="&amp;$K$3,CT!$E$5:$E$143,A73)</f>
        <v>0</v>
      </c>
      <c r="P73" s="69">
        <f t="shared" ref="P73:P136" si="8">MAX(J73+L73-N73,0)</f>
        <v>0</v>
      </c>
      <c r="Q73" s="69">
        <f t="shared" ref="Q73:Q136" si="9">MAX(K73+M73-O73,0)</f>
        <v>91800000</v>
      </c>
      <c r="R73" s="69">
        <f t="shared" ref="R73:R136" si="10">IF(P73&lt;&gt;0,Q73/P73,0)</f>
        <v>0</v>
      </c>
      <c r="S73" t="b">
        <f t="shared" ref="S73:S136" si="11">LEFT(A73,LEN($I$2))=$I$2</f>
        <v>0</v>
      </c>
    </row>
    <row r="74" spans="1:19" hidden="1" x14ac:dyDescent="0.25">
      <c r="A74" s="93" t="str">
        <f>DMTK!B71</f>
        <v>154.05</v>
      </c>
      <c r="B74" s="65" t="str">
        <f>VLOOKUP(A74,DMTK!$B$5:$Q$263,3,0)</f>
        <v>Bàn chữ nhật</v>
      </c>
      <c r="C74" s="65" t="str">
        <f>VLOOKUP(A74,DMTK!$B$5:$Q$263,16,0)</f>
        <v xml:space="preserve"> </v>
      </c>
      <c r="D74" s="69">
        <f>VLOOKUP(A74,DMTK!$B$5:$Q$263,4,0)</f>
        <v>0</v>
      </c>
      <c r="E74" s="69">
        <f>VLOOKUP(A74,DMTK!$B$5:$Q$263,5,0)</f>
        <v>22000000</v>
      </c>
      <c r="F74" s="69">
        <f>SUMIFS(CT!$F$5:$F$143,CT!$A$5:$A$143,"&lt;"&amp;$I$3,CT!$D$5:$D$143,A74)</f>
        <v>0</v>
      </c>
      <c r="G74" s="69">
        <f>SUMIFS(CT!$H$5:$H$143,CT!$A$5:$A$143,"&lt;"&amp;$I$3,CT!$D$5:$D$143,A74)</f>
        <v>0</v>
      </c>
      <c r="H74" s="69">
        <f>SUMIFS(CT!$F$5:$F$143,CT!$A$5:$A$143,"&lt;"&amp;$I$3,CT!$E$5:$E$143,A74)</f>
        <v>0</v>
      </c>
      <c r="I74" s="69">
        <f>SUMIFS(CT!$H$5:$H$143,CT!$A$5:$A$143,"&lt;"&amp;$I$3,CT!$E$5:$E$143,A74)</f>
        <v>0</v>
      </c>
      <c r="J74" s="69">
        <f t="shared" si="6"/>
        <v>0</v>
      </c>
      <c r="K74" s="69">
        <f t="shared" si="7"/>
        <v>22000000</v>
      </c>
      <c r="L74" s="69">
        <f>SUMIFS(CT!$F$5:$F$143,CT!$A$5:$A$143,"&gt;="&amp;$I$3,CT!$A$5:$A$143,"&lt;="&amp;$K$3,CT!$D$5:$D$143,A74)</f>
        <v>0</v>
      </c>
      <c r="M74" s="69">
        <f>SUMIFS(CT!$H$5:$H$143,CT!$A$5:$A$143,"&gt;="&amp;$I$3,CT!$A$5:$A$143,"&lt;="&amp;$K$3,CT!$D$5:$D$143,A74)</f>
        <v>48800000</v>
      </c>
      <c r="N74" s="69">
        <f>SUMIFS(CT!$F$5:$F$143,CT!$A$5:$A$143,"&gt;="&amp;$I$3,CT!$A$5:$A$143,"&lt;="&amp;$K$3,CT!$E$5:$E$143,A74)</f>
        <v>0</v>
      </c>
      <c r="O74" s="69">
        <f>SUMIFS(CT!$H$5:$H$143,CT!$A$5:$A$143,"&gt;="&amp;$I$3,CT!$A$5:$A$143,"&lt;="&amp;$K$3,CT!$E$5:$E$143,A74)</f>
        <v>0</v>
      </c>
      <c r="P74" s="69">
        <f t="shared" si="8"/>
        <v>0</v>
      </c>
      <c r="Q74" s="69">
        <f t="shared" si="9"/>
        <v>70800000</v>
      </c>
      <c r="R74" s="69">
        <f t="shared" si="10"/>
        <v>0</v>
      </c>
      <c r="S74" t="b">
        <f t="shared" si="11"/>
        <v>0</v>
      </c>
    </row>
    <row r="75" spans="1:19" hidden="1" x14ac:dyDescent="0.25">
      <c r="A75" s="93" t="str">
        <f>DMTK!B72</f>
        <v>1551.0101</v>
      </c>
      <c r="B75" s="65" t="str">
        <f>VLOOKUP(A75,DMTK!$B$5:$Q$263,3,0)</f>
        <v>Ghế tay vịn</v>
      </c>
      <c r="C75" s="65" t="str">
        <f>VLOOKUP(A75,DMTK!$B$5:$Q$263,16,0)</f>
        <v>Cái</v>
      </c>
      <c r="D75" s="69">
        <f>VLOOKUP(A75,DMTK!$B$5:$Q$263,4,0)</f>
        <v>250</v>
      </c>
      <c r="E75" s="69">
        <f>VLOOKUP(A75,DMTK!$B$5:$Q$263,5,0)</f>
        <v>62500000</v>
      </c>
      <c r="F75" s="69">
        <f>SUMIFS(CT!$F$5:$F$143,CT!$A$5:$A$143,"&lt;"&amp;$I$3,CT!$D$5:$D$143,A75)</f>
        <v>0</v>
      </c>
      <c r="G75" s="69">
        <f>SUMIFS(CT!$H$5:$H$143,CT!$A$5:$A$143,"&lt;"&amp;$I$3,CT!$D$5:$D$143,A75)</f>
        <v>0</v>
      </c>
      <c r="H75" s="69">
        <f>SUMIFS(CT!$F$5:$F$143,CT!$A$5:$A$143,"&lt;"&amp;$I$3,CT!$E$5:$E$143,A75)</f>
        <v>0</v>
      </c>
      <c r="I75" s="69">
        <f>SUMIFS(CT!$H$5:$H$143,CT!$A$5:$A$143,"&lt;"&amp;$I$3,CT!$E$5:$E$143,A75)</f>
        <v>0</v>
      </c>
      <c r="J75" s="69">
        <f t="shared" si="6"/>
        <v>250</v>
      </c>
      <c r="K75" s="69">
        <f t="shared" si="7"/>
        <v>62500000</v>
      </c>
      <c r="L75" s="69">
        <f>SUMIFS(CT!$F$5:$F$143,CT!$A$5:$A$143,"&gt;="&amp;$I$3,CT!$A$5:$A$143,"&lt;="&amp;$K$3,CT!$D$5:$D$143,A75)</f>
        <v>405</v>
      </c>
      <c r="M75" s="69">
        <f>SUMIFS(CT!$H$5:$H$143,CT!$A$5:$A$143,"&gt;="&amp;$I$3,CT!$A$5:$A$143,"&lt;="&amp;$K$3,CT!$D$5:$D$143,A75)</f>
        <v>102060000</v>
      </c>
      <c r="N75" s="69">
        <f>SUMIFS(CT!$F$5:$F$143,CT!$A$5:$A$143,"&gt;="&amp;$I$3,CT!$A$5:$A$143,"&lt;="&amp;$K$3,CT!$E$5:$E$143,A75)</f>
        <v>100</v>
      </c>
      <c r="O75" s="69">
        <f>SUMIFS(CT!$H$5:$H$143,CT!$A$5:$A$143,"&gt;="&amp;$I$3,CT!$A$5:$A$143,"&lt;="&amp;$K$3,CT!$E$5:$E$143,A75)</f>
        <v>25123700</v>
      </c>
      <c r="P75" s="69">
        <f t="shared" si="8"/>
        <v>555</v>
      </c>
      <c r="Q75" s="69">
        <f t="shared" si="9"/>
        <v>139436300</v>
      </c>
      <c r="R75" s="69">
        <f t="shared" si="10"/>
        <v>251236.57657657657</v>
      </c>
      <c r="S75" t="b">
        <f t="shared" si="11"/>
        <v>0</v>
      </c>
    </row>
    <row r="76" spans="1:19" hidden="1" x14ac:dyDescent="0.25">
      <c r="A76" s="93" t="str">
        <f>DMTK!B73</f>
        <v>1551.0102</v>
      </c>
      <c r="B76" s="65" t="str">
        <f>VLOOKUP(A76,DMTK!$B$5:$Q$263,3,0)</f>
        <v>Ghế không tay</v>
      </c>
      <c r="C76" s="65" t="str">
        <f>VLOOKUP(A76,DMTK!$B$5:$Q$263,16,0)</f>
        <v>Cái</v>
      </c>
      <c r="D76" s="69">
        <f>VLOOKUP(A76,DMTK!$B$5:$Q$263,4,0)</f>
        <v>220</v>
      </c>
      <c r="E76" s="69">
        <f>VLOOKUP(A76,DMTK!$B$5:$Q$263,5,0)</f>
        <v>44000000</v>
      </c>
      <c r="F76" s="69">
        <f>SUMIFS(CT!$F$5:$F$143,CT!$A$5:$A$143,"&lt;"&amp;$I$3,CT!$D$5:$D$143,A76)</f>
        <v>0</v>
      </c>
      <c r="G76" s="69">
        <f>SUMIFS(CT!$H$5:$H$143,CT!$A$5:$A$143,"&lt;"&amp;$I$3,CT!$D$5:$D$143,A76)</f>
        <v>0</v>
      </c>
      <c r="H76" s="69">
        <f>SUMIFS(CT!$F$5:$F$143,CT!$A$5:$A$143,"&lt;"&amp;$I$3,CT!$E$5:$E$143,A76)</f>
        <v>0</v>
      </c>
      <c r="I76" s="69">
        <f>SUMIFS(CT!$H$5:$H$143,CT!$A$5:$A$143,"&lt;"&amp;$I$3,CT!$E$5:$E$143,A76)</f>
        <v>0</v>
      </c>
      <c r="J76" s="69">
        <f t="shared" si="6"/>
        <v>220</v>
      </c>
      <c r="K76" s="69">
        <f t="shared" si="7"/>
        <v>44000000</v>
      </c>
      <c r="L76" s="69">
        <f>SUMIFS(CT!$F$5:$F$143,CT!$A$5:$A$143,"&gt;="&amp;$I$3,CT!$A$5:$A$143,"&lt;="&amp;$K$3,CT!$D$5:$D$143,A76)</f>
        <v>300</v>
      </c>
      <c r="M76" s="69">
        <f>SUMIFS(CT!$H$5:$H$143,CT!$A$5:$A$143,"&gt;="&amp;$I$3,CT!$A$5:$A$143,"&lt;="&amp;$K$3,CT!$D$5:$D$143,A76)</f>
        <v>61800000</v>
      </c>
      <c r="N76" s="69">
        <f>SUMIFS(CT!$F$5:$F$143,CT!$A$5:$A$143,"&gt;="&amp;$I$3,CT!$A$5:$A$143,"&lt;="&amp;$K$3,CT!$E$5:$E$143,A76)</f>
        <v>100</v>
      </c>
      <c r="O76" s="69">
        <f>SUMIFS(CT!$H$5:$H$143,CT!$A$5:$A$143,"&gt;="&amp;$I$3,CT!$A$5:$A$143,"&lt;="&amp;$K$3,CT!$E$5:$E$143,A76)</f>
        <v>20346200</v>
      </c>
      <c r="P76" s="69">
        <f t="shared" si="8"/>
        <v>420</v>
      </c>
      <c r="Q76" s="69">
        <f t="shared" si="9"/>
        <v>85453800</v>
      </c>
      <c r="R76" s="69">
        <f t="shared" si="10"/>
        <v>203461.42857142858</v>
      </c>
      <c r="S76" t="b">
        <f t="shared" si="11"/>
        <v>0</v>
      </c>
    </row>
    <row r="77" spans="1:19" hidden="1" x14ac:dyDescent="0.25">
      <c r="A77" s="93" t="str">
        <f>DMTK!B74</f>
        <v>1551.0201</v>
      </c>
      <c r="B77" s="65" t="str">
        <f>VLOOKUP(A77,DMTK!$B$5:$Q$263,3,0)</f>
        <v>Bàn tròn</v>
      </c>
      <c r="C77" s="65" t="str">
        <f>VLOOKUP(A77,DMTK!$B$5:$Q$263,16,0)</f>
        <v>Cái</v>
      </c>
      <c r="D77" s="69">
        <f>VLOOKUP(A77,DMTK!$B$5:$Q$263,4,0)</f>
        <v>150</v>
      </c>
      <c r="E77" s="69">
        <f>VLOOKUP(A77,DMTK!$B$5:$Q$263,5,0)</f>
        <v>45000000</v>
      </c>
      <c r="F77" s="69">
        <f>SUMIFS(CT!$F$5:$F$143,CT!$A$5:$A$143,"&lt;"&amp;$I$3,CT!$D$5:$D$143,A77)</f>
        <v>0</v>
      </c>
      <c r="G77" s="69">
        <f>SUMIFS(CT!$H$5:$H$143,CT!$A$5:$A$143,"&lt;"&amp;$I$3,CT!$D$5:$D$143,A77)</f>
        <v>0</v>
      </c>
      <c r="H77" s="69">
        <f>SUMIFS(CT!$F$5:$F$143,CT!$A$5:$A$143,"&lt;"&amp;$I$3,CT!$E$5:$E$143,A77)</f>
        <v>0</v>
      </c>
      <c r="I77" s="69">
        <f>SUMIFS(CT!$H$5:$H$143,CT!$A$5:$A$143,"&lt;"&amp;$I$3,CT!$E$5:$E$143,A77)</f>
        <v>0</v>
      </c>
      <c r="J77" s="69">
        <f t="shared" si="6"/>
        <v>150</v>
      </c>
      <c r="K77" s="69">
        <f t="shared" si="7"/>
        <v>45000000</v>
      </c>
      <c r="L77" s="69">
        <f>SUMIFS(CT!$F$5:$F$143,CT!$A$5:$A$143,"&gt;="&amp;$I$3,CT!$A$5:$A$143,"&lt;="&amp;$K$3,CT!$D$5:$D$143,A77)</f>
        <v>200</v>
      </c>
      <c r="M77" s="69">
        <f>SUMIFS(CT!$H$5:$H$143,CT!$A$5:$A$143,"&gt;="&amp;$I$3,CT!$A$5:$A$143,"&lt;="&amp;$K$3,CT!$D$5:$D$143,A77)</f>
        <v>61500000</v>
      </c>
      <c r="N77" s="69">
        <f>SUMIFS(CT!$F$5:$F$143,CT!$A$5:$A$143,"&gt;="&amp;$I$3,CT!$A$5:$A$143,"&lt;="&amp;$K$3,CT!$E$5:$E$143,A77)</f>
        <v>0</v>
      </c>
      <c r="O77" s="69">
        <f>SUMIFS(CT!$H$5:$H$143,CT!$A$5:$A$143,"&gt;="&amp;$I$3,CT!$A$5:$A$143,"&lt;="&amp;$K$3,CT!$E$5:$E$143,A77)</f>
        <v>0</v>
      </c>
      <c r="P77" s="69">
        <f t="shared" si="8"/>
        <v>350</v>
      </c>
      <c r="Q77" s="69">
        <f t="shared" si="9"/>
        <v>106500000</v>
      </c>
      <c r="R77" s="69">
        <f t="shared" si="10"/>
        <v>304285.71428571426</v>
      </c>
      <c r="S77" t="b">
        <f t="shared" si="11"/>
        <v>0</v>
      </c>
    </row>
    <row r="78" spans="1:19" hidden="1" x14ac:dyDescent="0.25">
      <c r="A78" s="93" t="str">
        <f>DMTK!B75</f>
        <v>1551.0202</v>
      </c>
      <c r="B78" s="65" t="str">
        <f>VLOOKUP(A78,DMTK!$B$5:$Q$263,3,0)</f>
        <v>Bàn oval</v>
      </c>
      <c r="C78" s="65" t="str">
        <f>VLOOKUP(A78,DMTK!$B$5:$Q$263,16,0)</f>
        <v>Cái</v>
      </c>
      <c r="D78" s="69">
        <f>VLOOKUP(A78,DMTK!$B$5:$Q$263,4,0)</f>
        <v>50</v>
      </c>
      <c r="E78" s="69">
        <f>VLOOKUP(A78,DMTK!$B$5:$Q$263,5,0)</f>
        <v>25000000</v>
      </c>
      <c r="F78" s="69">
        <f>SUMIFS(CT!$F$5:$F$143,CT!$A$5:$A$143,"&lt;"&amp;$I$3,CT!$D$5:$D$143,A78)</f>
        <v>0</v>
      </c>
      <c r="G78" s="69">
        <f>SUMIFS(CT!$H$5:$H$143,CT!$A$5:$A$143,"&lt;"&amp;$I$3,CT!$D$5:$D$143,A78)</f>
        <v>0</v>
      </c>
      <c r="H78" s="69">
        <f>SUMIFS(CT!$F$5:$F$143,CT!$A$5:$A$143,"&lt;"&amp;$I$3,CT!$E$5:$E$143,A78)</f>
        <v>0</v>
      </c>
      <c r="I78" s="69">
        <f>SUMIFS(CT!$H$5:$H$143,CT!$A$5:$A$143,"&lt;"&amp;$I$3,CT!$E$5:$E$143,A78)</f>
        <v>0</v>
      </c>
      <c r="J78" s="69">
        <f t="shared" si="6"/>
        <v>50</v>
      </c>
      <c r="K78" s="69">
        <f t="shared" si="7"/>
        <v>25000000</v>
      </c>
      <c r="L78" s="69">
        <f>SUMIFS(CT!$F$5:$F$143,CT!$A$5:$A$143,"&gt;="&amp;$I$3,CT!$A$5:$A$143,"&lt;="&amp;$K$3,CT!$D$5:$D$143,A78)</f>
        <v>0</v>
      </c>
      <c r="M78" s="69">
        <f>SUMIFS(CT!$H$5:$H$143,CT!$A$5:$A$143,"&gt;="&amp;$I$3,CT!$A$5:$A$143,"&lt;="&amp;$K$3,CT!$D$5:$D$143,A78)</f>
        <v>0</v>
      </c>
      <c r="N78" s="69">
        <f>SUMIFS(CT!$F$5:$F$143,CT!$A$5:$A$143,"&gt;="&amp;$I$3,CT!$A$5:$A$143,"&lt;="&amp;$K$3,CT!$E$5:$E$143,A78)</f>
        <v>50</v>
      </c>
      <c r="O78" s="69">
        <f>SUMIFS(CT!$H$5:$H$143,CT!$A$5:$A$143,"&gt;="&amp;$I$3,CT!$A$5:$A$143,"&lt;="&amp;$K$3,CT!$E$5:$E$143,A78)</f>
        <v>25000000</v>
      </c>
      <c r="P78" s="69">
        <f t="shared" si="8"/>
        <v>0</v>
      </c>
      <c r="Q78" s="69">
        <f t="shared" si="9"/>
        <v>0</v>
      </c>
      <c r="R78" s="69">
        <f t="shared" si="10"/>
        <v>0</v>
      </c>
      <c r="S78" t="b">
        <f t="shared" si="11"/>
        <v>0</v>
      </c>
    </row>
    <row r="79" spans="1:19" hidden="1" x14ac:dyDescent="0.25">
      <c r="A79" s="93" t="str">
        <f>DMTK!B76</f>
        <v>1551.0203</v>
      </c>
      <c r="B79" s="65" t="str">
        <f>VLOOKUP(A79,DMTK!$B$5:$Q$263,3,0)</f>
        <v>Bàn chữ nhật</v>
      </c>
      <c r="C79" s="65" t="str">
        <f>VLOOKUP(A79,DMTK!$B$5:$Q$263,16,0)</f>
        <v>Cái</v>
      </c>
      <c r="D79" s="69">
        <f>VLOOKUP(A79,DMTK!$B$5:$Q$263,4,0)</f>
        <v>100</v>
      </c>
      <c r="E79" s="69">
        <f>VLOOKUP(A79,DMTK!$B$5:$Q$263,5,0)</f>
        <v>70000000</v>
      </c>
      <c r="F79" s="69">
        <f>SUMIFS(CT!$F$5:$F$143,CT!$A$5:$A$143,"&lt;"&amp;$I$3,CT!$D$5:$D$143,A79)</f>
        <v>0</v>
      </c>
      <c r="G79" s="69">
        <f>SUMIFS(CT!$H$5:$H$143,CT!$A$5:$A$143,"&lt;"&amp;$I$3,CT!$D$5:$D$143,A79)</f>
        <v>0</v>
      </c>
      <c r="H79" s="69">
        <f>SUMIFS(CT!$F$5:$F$143,CT!$A$5:$A$143,"&lt;"&amp;$I$3,CT!$E$5:$E$143,A79)</f>
        <v>0</v>
      </c>
      <c r="I79" s="69">
        <f>SUMIFS(CT!$H$5:$H$143,CT!$A$5:$A$143,"&lt;"&amp;$I$3,CT!$E$5:$E$143,A79)</f>
        <v>0</v>
      </c>
      <c r="J79" s="69">
        <f t="shared" si="6"/>
        <v>100</v>
      </c>
      <c r="K79" s="69">
        <f t="shared" si="7"/>
        <v>70000000</v>
      </c>
      <c r="L79" s="69">
        <f>SUMIFS(CT!$F$5:$F$143,CT!$A$5:$A$143,"&gt;="&amp;$I$3,CT!$A$5:$A$143,"&lt;="&amp;$K$3,CT!$D$5:$D$143,A79)</f>
        <v>0</v>
      </c>
      <c r="M79" s="69">
        <f>SUMIFS(CT!$H$5:$H$143,CT!$A$5:$A$143,"&gt;="&amp;$I$3,CT!$A$5:$A$143,"&lt;="&amp;$K$3,CT!$D$5:$D$143,A79)</f>
        <v>0</v>
      </c>
      <c r="N79" s="69">
        <f>SUMIFS(CT!$F$5:$F$143,CT!$A$5:$A$143,"&gt;="&amp;$I$3,CT!$A$5:$A$143,"&lt;="&amp;$K$3,CT!$E$5:$E$143,A79)</f>
        <v>0</v>
      </c>
      <c r="O79" s="69">
        <f>SUMIFS(CT!$H$5:$H$143,CT!$A$5:$A$143,"&gt;="&amp;$I$3,CT!$A$5:$A$143,"&lt;="&amp;$K$3,CT!$E$5:$E$143,A79)</f>
        <v>0</v>
      </c>
      <c r="P79" s="69">
        <f t="shared" si="8"/>
        <v>100</v>
      </c>
      <c r="Q79" s="69">
        <f t="shared" si="9"/>
        <v>70000000</v>
      </c>
      <c r="R79" s="69">
        <f t="shared" si="10"/>
        <v>700000</v>
      </c>
      <c r="S79" t="b">
        <f t="shared" si="11"/>
        <v>0</v>
      </c>
    </row>
    <row r="80" spans="1:19" hidden="1" x14ac:dyDescent="0.25">
      <c r="A80" s="93" t="str">
        <f>DMTK!B77</f>
        <v>1561</v>
      </c>
      <c r="B80" s="65" t="str">
        <f>VLOOKUP(A80,DMTK!$B$5:$Q$263,3,0)</f>
        <v>Giá mua hàng hóa</v>
      </c>
      <c r="C80" s="65" t="str">
        <f>VLOOKUP(A80,DMTK!$B$5:$Q$263,16,0)</f>
        <v xml:space="preserve"> </v>
      </c>
      <c r="D80" s="69">
        <f>VLOOKUP(A80,DMTK!$B$5:$Q$263,4,0)</f>
        <v>0</v>
      </c>
      <c r="E80" s="69">
        <f>VLOOKUP(A80,DMTK!$B$5:$Q$263,5,0)</f>
        <v>0</v>
      </c>
      <c r="F80" s="69">
        <f>SUMIFS(CT!$F$5:$F$143,CT!$A$5:$A$143,"&lt;"&amp;$I$3,CT!$D$5:$D$143,A80)</f>
        <v>0</v>
      </c>
      <c r="G80" s="69">
        <f>SUMIFS(CT!$H$5:$H$143,CT!$A$5:$A$143,"&lt;"&amp;$I$3,CT!$D$5:$D$143,A80)</f>
        <v>0</v>
      </c>
      <c r="H80" s="69">
        <f>SUMIFS(CT!$F$5:$F$143,CT!$A$5:$A$143,"&lt;"&amp;$I$3,CT!$E$5:$E$143,A80)</f>
        <v>0</v>
      </c>
      <c r="I80" s="69">
        <f>SUMIFS(CT!$H$5:$H$143,CT!$A$5:$A$143,"&lt;"&amp;$I$3,CT!$E$5:$E$143,A80)</f>
        <v>0</v>
      </c>
      <c r="J80" s="69">
        <f t="shared" si="6"/>
        <v>0</v>
      </c>
      <c r="K80" s="69">
        <f t="shared" si="7"/>
        <v>0</v>
      </c>
      <c r="L80" s="69">
        <f>SUMIFS(CT!$F$5:$F$143,CT!$A$5:$A$143,"&gt;="&amp;$I$3,CT!$A$5:$A$143,"&lt;="&amp;$K$3,CT!$D$5:$D$143,A80)</f>
        <v>0</v>
      </c>
      <c r="M80" s="69">
        <f>SUMIFS(CT!$H$5:$H$143,CT!$A$5:$A$143,"&gt;="&amp;$I$3,CT!$A$5:$A$143,"&lt;="&amp;$K$3,CT!$D$5:$D$143,A80)</f>
        <v>0</v>
      </c>
      <c r="N80" s="69">
        <f>SUMIFS(CT!$F$5:$F$143,CT!$A$5:$A$143,"&gt;="&amp;$I$3,CT!$A$5:$A$143,"&lt;="&amp;$K$3,CT!$E$5:$E$143,A80)</f>
        <v>0</v>
      </c>
      <c r="O80" s="69">
        <f>SUMIFS(CT!$H$5:$H$143,CT!$A$5:$A$143,"&gt;="&amp;$I$3,CT!$A$5:$A$143,"&lt;="&amp;$K$3,CT!$E$5:$E$143,A80)</f>
        <v>0</v>
      </c>
      <c r="P80" s="69">
        <f t="shared" si="8"/>
        <v>0</v>
      </c>
      <c r="Q80" s="69">
        <f t="shared" si="9"/>
        <v>0</v>
      </c>
      <c r="R80" s="69">
        <f t="shared" si="10"/>
        <v>0</v>
      </c>
      <c r="S80" t="b">
        <f t="shared" si="11"/>
        <v>0</v>
      </c>
    </row>
    <row r="81" spans="1:19" hidden="1" x14ac:dyDescent="0.25">
      <c r="A81" s="93" t="str">
        <f>DMTK!B78</f>
        <v>1562</v>
      </c>
      <c r="B81" s="65" t="str">
        <f>VLOOKUP(A81,DMTK!$B$5:$Q$263,3,0)</f>
        <v>Chi phí thu mua hàng hóa</v>
      </c>
      <c r="C81" s="65" t="str">
        <f>VLOOKUP(A81,DMTK!$B$5:$Q$263,16,0)</f>
        <v xml:space="preserve"> </v>
      </c>
      <c r="D81" s="69">
        <f>VLOOKUP(A81,DMTK!$B$5:$Q$263,4,0)</f>
        <v>0</v>
      </c>
      <c r="E81" s="69">
        <f>VLOOKUP(A81,DMTK!$B$5:$Q$263,5,0)</f>
        <v>0</v>
      </c>
      <c r="F81" s="69">
        <f>SUMIFS(CT!$F$5:$F$143,CT!$A$5:$A$143,"&lt;"&amp;$I$3,CT!$D$5:$D$143,A81)</f>
        <v>0</v>
      </c>
      <c r="G81" s="69">
        <f>SUMIFS(CT!$H$5:$H$143,CT!$A$5:$A$143,"&lt;"&amp;$I$3,CT!$D$5:$D$143,A81)</f>
        <v>0</v>
      </c>
      <c r="H81" s="69">
        <f>SUMIFS(CT!$F$5:$F$143,CT!$A$5:$A$143,"&lt;"&amp;$I$3,CT!$E$5:$E$143,A81)</f>
        <v>0</v>
      </c>
      <c r="I81" s="69">
        <f>SUMIFS(CT!$H$5:$H$143,CT!$A$5:$A$143,"&lt;"&amp;$I$3,CT!$E$5:$E$143,A81)</f>
        <v>0</v>
      </c>
      <c r="J81" s="69">
        <f t="shared" si="6"/>
        <v>0</v>
      </c>
      <c r="K81" s="69">
        <f t="shared" si="7"/>
        <v>0</v>
      </c>
      <c r="L81" s="69">
        <f>SUMIFS(CT!$F$5:$F$143,CT!$A$5:$A$143,"&gt;="&amp;$I$3,CT!$A$5:$A$143,"&lt;="&amp;$K$3,CT!$D$5:$D$143,A81)</f>
        <v>0</v>
      </c>
      <c r="M81" s="69">
        <f>SUMIFS(CT!$H$5:$H$143,CT!$A$5:$A$143,"&gt;="&amp;$I$3,CT!$A$5:$A$143,"&lt;="&amp;$K$3,CT!$D$5:$D$143,A81)</f>
        <v>0</v>
      </c>
      <c r="N81" s="69">
        <f>SUMIFS(CT!$F$5:$F$143,CT!$A$5:$A$143,"&gt;="&amp;$I$3,CT!$A$5:$A$143,"&lt;="&amp;$K$3,CT!$E$5:$E$143,A81)</f>
        <v>0</v>
      </c>
      <c r="O81" s="69">
        <f>SUMIFS(CT!$H$5:$H$143,CT!$A$5:$A$143,"&gt;="&amp;$I$3,CT!$A$5:$A$143,"&lt;="&amp;$K$3,CT!$E$5:$E$143,A81)</f>
        <v>0</v>
      </c>
      <c r="P81" s="69">
        <f t="shared" si="8"/>
        <v>0</v>
      </c>
      <c r="Q81" s="69">
        <f t="shared" si="9"/>
        <v>0</v>
      </c>
      <c r="R81" s="69">
        <f t="shared" si="10"/>
        <v>0</v>
      </c>
      <c r="S81" t="b">
        <f t="shared" si="11"/>
        <v>0</v>
      </c>
    </row>
    <row r="82" spans="1:19" hidden="1" x14ac:dyDescent="0.25">
      <c r="A82" s="93" t="str">
        <f>DMTK!B79</f>
        <v>1567</v>
      </c>
      <c r="B82" s="65" t="str">
        <f>VLOOKUP(A82,DMTK!$B$5:$Q$263,3,0)</f>
        <v>Hàng hóa bất động sản</v>
      </c>
      <c r="C82" s="65" t="str">
        <f>VLOOKUP(A82,DMTK!$B$5:$Q$263,16,0)</f>
        <v xml:space="preserve"> </v>
      </c>
      <c r="D82" s="69">
        <f>VLOOKUP(A82,DMTK!$B$5:$Q$263,4,0)</f>
        <v>0</v>
      </c>
      <c r="E82" s="69">
        <f>VLOOKUP(A82,DMTK!$B$5:$Q$263,5,0)</f>
        <v>0</v>
      </c>
      <c r="F82" s="69">
        <f>SUMIFS(CT!$F$5:$F$143,CT!$A$5:$A$143,"&lt;"&amp;$I$3,CT!$D$5:$D$143,A82)</f>
        <v>0</v>
      </c>
      <c r="G82" s="69">
        <f>SUMIFS(CT!$H$5:$H$143,CT!$A$5:$A$143,"&lt;"&amp;$I$3,CT!$D$5:$D$143,A82)</f>
        <v>0</v>
      </c>
      <c r="H82" s="69">
        <f>SUMIFS(CT!$F$5:$F$143,CT!$A$5:$A$143,"&lt;"&amp;$I$3,CT!$E$5:$E$143,A82)</f>
        <v>0</v>
      </c>
      <c r="I82" s="69">
        <f>SUMIFS(CT!$H$5:$H$143,CT!$A$5:$A$143,"&lt;"&amp;$I$3,CT!$E$5:$E$143,A82)</f>
        <v>0</v>
      </c>
      <c r="J82" s="69">
        <f t="shared" si="6"/>
        <v>0</v>
      </c>
      <c r="K82" s="69">
        <f t="shared" si="7"/>
        <v>0</v>
      </c>
      <c r="L82" s="69">
        <f>SUMIFS(CT!$F$5:$F$143,CT!$A$5:$A$143,"&gt;="&amp;$I$3,CT!$A$5:$A$143,"&lt;="&amp;$K$3,CT!$D$5:$D$143,A82)</f>
        <v>0</v>
      </c>
      <c r="M82" s="69">
        <f>SUMIFS(CT!$H$5:$H$143,CT!$A$5:$A$143,"&gt;="&amp;$I$3,CT!$A$5:$A$143,"&lt;="&amp;$K$3,CT!$D$5:$D$143,A82)</f>
        <v>0</v>
      </c>
      <c r="N82" s="69">
        <f>SUMIFS(CT!$F$5:$F$143,CT!$A$5:$A$143,"&gt;="&amp;$I$3,CT!$A$5:$A$143,"&lt;="&amp;$K$3,CT!$E$5:$E$143,A82)</f>
        <v>0</v>
      </c>
      <c r="O82" s="69">
        <f>SUMIFS(CT!$H$5:$H$143,CT!$A$5:$A$143,"&gt;="&amp;$I$3,CT!$A$5:$A$143,"&lt;="&amp;$K$3,CT!$E$5:$E$143,A82)</f>
        <v>0</v>
      </c>
      <c r="P82" s="69">
        <f t="shared" si="8"/>
        <v>0</v>
      </c>
      <c r="Q82" s="69">
        <f t="shared" si="9"/>
        <v>0</v>
      </c>
      <c r="R82" s="69">
        <f t="shared" si="10"/>
        <v>0</v>
      </c>
      <c r="S82" t="b">
        <f t="shared" si="11"/>
        <v>0</v>
      </c>
    </row>
    <row r="83" spans="1:19" hidden="1" x14ac:dyDescent="0.25">
      <c r="A83" s="93" t="str">
        <f>DMTK!B80</f>
        <v>157</v>
      </c>
      <c r="B83" s="65" t="str">
        <f>VLOOKUP(A83,DMTK!$B$5:$Q$263,3,0)</f>
        <v>Hàng gửi đi bán</v>
      </c>
      <c r="C83" s="65" t="str">
        <f>VLOOKUP(A83,DMTK!$B$5:$Q$263,16,0)</f>
        <v xml:space="preserve"> </v>
      </c>
      <c r="D83" s="69">
        <f>VLOOKUP(A83,DMTK!$B$5:$Q$263,4,0)</f>
        <v>0</v>
      </c>
      <c r="E83" s="69">
        <f>VLOOKUP(A83,DMTK!$B$5:$Q$263,5,0)</f>
        <v>0</v>
      </c>
      <c r="F83" s="69">
        <f>SUMIFS(CT!$F$5:$F$143,CT!$A$5:$A$143,"&lt;"&amp;$I$3,CT!$D$5:$D$143,A83)</f>
        <v>0</v>
      </c>
      <c r="G83" s="69">
        <f>SUMIFS(CT!$H$5:$H$143,CT!$A$5:$A$143,"&lt;"&amp;$I$3,CT!$D$5:$D$143,A83)</f>
        <v>0</v>
      </c>
      <c r="H83" s="69">
        <f>SUMIFS(CT!$F$5:$F$143,CT!$A$5:$A$143,"&lt;"&amp;$I$3,CT!$E$5:$E$143,A83)</f>
        <v>0</v>
      </c>
      <c r="I83" s="69">
        <f>SUMIFS(CT!$H$5:$H$143,CT!$A$5:$A$143,"&lt;"&amp;$I$3,CT!$E$5:$E$143,A83)</f>
        <v>0</v>
      </c>
      <c r="J83" s="69">
        <f t="shared" si="6"/>
        <v>0</v>
      </c>
      <c r="K83" s="69">
        <f t="shared" si="7"/>
        <v>0</v>
      </c>
      <c r="L83" s="69">
        <f>SUMIFS(CT!$F$5:$F$143,CT!$A$5:$A$143,"&gt;="&amp;$I$3,CT!$A$5:$A$143,"&lt;="&amp;$K$3,CT!$D$5:$D$143,A83)</f>
        <v>0</v>
      </c>
      <c r="M83" s="69">
        <f>SUMIFS(CT!$H$5:$H$143,CT!$A$5:$A$143,"&gt;="&amp;$I$3,CT!$A$5:$A$143,"&lt;="&amp;$K$3,CT!$D$5:$D$143,A83)</f>
        <v>0</v>
      </c>
      <c r="N83" s="69">
        <f>SUMIFS(CT!$F$5:$F$143,CT!$A$5:$A$143,"&gt;="&amp;$I$3,CT!$A$5:$A$143,"&lt;="&amp;$K$3,CT!$E$5:$E$143,A83)</f>
        <v>0</v>
      </c>
      <c r="O83" s="69">
        <f>SUMIFS(CT!$H$5:$H$143,CT!$A$5:$A$143,"&gt;="&amp;$I$3,CT!$A$5:$A$143,"&lt;="&amp;$K$3,CT!$E$5:$E$143,A83)</f>
        <v>0</v>
      </c>
      <c r="P83" s="69">
        <f t="shared" si="8"/>
        <v>0</v>
      </c>
      <c r="Q83" s="69">
        <f t="shared" si="9"/>
        <v>0</v>
      </c>
      <c r="R83" s="69">
        <f t="shared" si="10"/>
        <v>0</v>
      </c>
      <c r="S83" t="b">
        <f t="shared" si="11"/>
        <v>0</v>
      </c>
    </row>
    <row r="84" spans="1:19" hidden="1" x14ac:dyDescent="0.25">
      <c r="A84" s="93" t="str">
        <f>DMTK!B81</f>
        <v>158</v>
      </c>
      <c r="B84" s="65" t="str">
        <f>VLOOKUP(A84,DMTK!$B$5:$Q$263,3,0)</f>
        <v>Hàng hóa kho bảo thuế</v>
      </c>
      <c r="C84" s="65" t="str">
        <f>VLOOKUP(A84,DMTK!$B$5:$Q$263,16,0)</f>
        <v xml:space="preserve"> </v>
      </c>
      <c r="D84" s="69">
        <f>VLOOKUP(A84,DMTK!$B$5:$Q$263,4,0)</f>
        <v>0</v>
      </c>
      <c r="E84" s="69">
        <f>VLOOKUP(A84,DMTK!$B$5:$Q$263,5,0)</f>
        <v>0</v>
      </c>
      <c r="F84" s="69">
        <f>SUMIFS(CT!$F$5:$F$143,CT!$A$5:$A$143,"&lt;"&amp;$I$3,CT!$D$5:$D$143,A84)</f>
        <v>0</v>
      </c>
      <c r="G84" s="69">
        <f>SUMIFS(CT!$H$5:$H$143,CT!$A$5:$A$143,"&lt;"&amp;$I$3,CT!$D$5:$D$143,A84)</f>
        <v>0</v>
      </c>
      <c r="H84" s="69">
        <f>SUMIFS(CT!$F$5:$F$143,CT!$A$5:$A$143,"&lt;"&amp;$I$3,CT!$E$5:$E$143,A84)</f>
        <v>0</v>
      </c>
      <c r="I84" s="69">
        <f>SUMIFS(CT!$H$5:$H$143,CT!$A$5:$A$143,"&lt;"&amp;$I$3,CT!$E$5:$E$143,A84)</f>
        <v>0</v>
      </c>
      <c r="J84" s="69">
        <f t="shared" si="6"/>
        <v>0</v>
      </c>
      <c r="K84" s="69">
        <f t="shared" si="7"/>
        <v>0</v>
      </c>
      <c r="L84" s="69">
        <f>SUMIFS(CT!$F$5:$F$143,CT!$A$5:$A$143,"&gt;="&amp;$I$3,CT!$A$5:$A$143,"&lt;="&amp;$K$3,CT!$D$5:$D$143,A84)</f>
        <v>0</v>
      </c>
      <c r="M84" s="69">
        <f>SUMIFS(CT!$H$5:$H$143,CT!$A$5:$A$143,"&gt;="&amp;$I$3,CT!$A$5:$A$143,"&lt;="&amp;$K$3,CT!$D$5:$D$143,A84)</f>
        <v>0</v>
      </c>
      <c r="N84" s="69">
        <f>SUMIFS(CT!$F$5:$F$143,CT!$A$5:$A$143,"&gt;="&amp;$I$3,CT!$A$5:$A$143,"&lt;="&amp;$K$3,CT!$E$5:$E$143,A84)</f>
        <v>0</v>
      </c>
      <c r="O84" s="69">
        <f>SUMIFS(CT!$H$5:$H$143,CT!$A$5:$A$143,"&gt;="&amp;$I$3,CT!$A$5:$A$143,"&lt;="&amp;$K$3,CT!$E$5:$E$143,A84)</f>
        <v>0</v>
      </c>
      <c r="P84" s="69">
        <f t="shared" si="8"/>
        <v>0</v>
      </c>
      <c r="Q84" s="69">
        <f t="shared" si="9"/>
        <v>0</v>
      </c>
      <c r="R84" s="69">
        <f t="shared" si="10"/>
        <v>0</v>
      </c>
      <c r="S84" t="b">
        <f t="shared" si="11"/>
        <v>0</v>
      </c>
    </row>
    <row r="85" spans="1:19" hidden="1" x14ac:dyDescent="0.25">
      <c r="A85" s="93" t="str">
        <f>DMTK!B82</f>
        <v>1611</v>
      </c>
      <c r="B85" s="65" t="str">
        <f>VLOOKUP(A85,DMTK!$B$5:$Q$263,3,0)</f>
        <v>Chi sự nghiệp năm trước</v>
      </c>
      <c r="C85" s="65" t="str">
        <f>VLOOKUP(A85,DMTK!$B$5:$Q$263,16,0)</f>
        <v xml:space="preserve"> </v>
      </c>
      <c r="D85" s="69">
        <f>VLOOKUP(A85,DMTK!$B$5:$Q$263,4,0)</f>
        <v>0</v>
      </c>
      <c r="E85" s="69">
        <f>VLOOKUP(A85,DMTK!$B$5:$Q$263,5,0)</f>
        <v>0</v>
      </c>
      <c r="F85" s="69">
        <f>SUMIFS(CT!$F$5:$F$143,CT!$A$5:$A$143,"&lt;"&amp;$I$3,CT!$D$5:$D$143,A85)</f>
        <v>0</v>
      </c>
      <c r="G85" s="69">
        <f>SUMIFS(CT!$H$5:$H$143,CT!$A$5:$A$143,"&lt;"&amp;$I$3,CT!$D$5:$D$143,A85)</f>
        <v>0</v>
      </c>
      <c r="H85" s="69">
        <f>SUMIFS(CT!$F$5:$F$143,CT!$A$5:$A$143,"&lt;"&amp;$I$3,CT!$E$5:$E$143,A85)</f>
        <v>0</v>
      </c>
      <c r="I85" s="69">
        <f>SUMIFS(CT!$H$5:$H$143,CT!$A$5:$A$143,"&lt;"&amp;$I$3,CT!$E$5:$E$143,A85)</f>
        <v>0</v>
      </c>
      <c r="J85" s="69">
        <f t="shared" si="6"/>
        <v>0</v>
      </c>
      <c r="K85" s="69">
        <f t="shared" si="7"/>
        <v>0</v>
      </c>
      <c r="L85" s="69">
        <f>SUMIFS(CT!$F$5:$F$143,CT!$A$5:$A$143,"&gt;="&amp;$I$3,CT!$A$5:$A$143,"&lt;="&amp;$K$3,CT!$D$5:$D$143,A85)</f>
        <v>0</v>
      </c>
      <c r="M85" s="69">
        <f>SUMIFS(CT!$H$5:$H$143,CT!$A$5:$A$143,"&gt;="&amp;$I$3,CT!$A$5:$A$143,"&lt;="&amp;$K$3,CT!$D$5:$D$143,A85)</f>
        <v>0</v>
      </c>
      <c r="N85" s="69">
        <f>SUMIFS(CT!$F$5:$F$143,CT!$A$5:$A$143,"&gt;="&amp;$I$3,CT!$A$5:$A$143,"&lt;="&amp;$K$3,CT!$E$5:$E$143,A85)</f>
        <v>0</v>
      </c>
      <c r="O85" s="69">
        <f>SUMIFS(CT!$H$5:$H$143,CT!$A$5:$A$143,"&gt;="&amp;$I$3,CT!$A$5:$A$143,"&lt;="&amp;$K$3,CT!$E$5:$E$143,A85)</f>
        <v>0</v>
      </c>
      <c r="P85" s="69">
        <f t="shared" si="8"/>
        <v>0</v>
      </c>
      <c r="Q85" s="69">
        <f t="shared" si="9"/>
        <v>0</v>
      </c>
      <c r="R85" s="69">
        <f t="shared" si="10"/>
        <v>0</v>
      </c>
      <c r="S85" t="b">
        <f t="shared" si="11"/>
        <v>0</v>
      </c>
    </row>
    <row r="86" spans="1:19" hidden="1" x14ac:dyDescent="0.25">
      <c r="A86" s="93" t="str">
        <f>DMTK!B83</f>
        <v>1612</v>
      </c>
      <c r="B86" s="65" t="str">
        <f>VLOOKUP(A86,DMTK!$B$5:$Q$263,3,0)</f>
        <v>Chi sự nghiệp năm nay</v>
      </c>
      <c r="C86" s="65" t="str">
        <f>VLOOKUP(A86,DMTK!$B$5:$Q$263,16,0)</f>
        <v xml:space="preserve"> </v>
      </c>
      <c r="D86" s="69">
        <f>VLOOKUP(A86,DMTK!$B$5:$Q$263,4,0)</f>
        <v>0</v>
      </c>
      <c r="E86" s="69">
        <f>VLOOKUP(A86,DMTK!$B$5:$Q$263,5,0)</f>
        <v>0</v>
      </c>
      <c r="F86" s="69">
        <f>SUMIFS(CT!$F$5:$F$143,CT!$A$5:$A$143,"&lt;"&amp;$I$3,CT!$D$5:$D$143,A86)</f>
        <v>0</v>
      </c>
      <c r="G86" s="69">
        <f>SUMIFS(CT!$H$5:$H$143,CT!$A$5:$A$143,"&lt;"&amp;$I$3,CT!$D$5:$D$143,A86)</f>
        <v>0</v>
      </c>
      <c r="H86" s="69">
        <f>SUMIFS(CT!$F$5:$F$143,CT!$A$5:$A$143,"&lt;"&amp;$I$3,CT!$E$5:$E$143,A86)</f>
        <v>0</v>
      </c>
      <c r="I86" s="69">
        <f>SUMIFS(CT!$H$5:$H$143,CT!$A$5:$A$143,"&lt;"&amp;$I$3,CT!$E$5:$E$143,A86)</f>
        <v>0</v>
      </c>
      <c r="J86" s="69">
        <f t="shared" si="6"/>
        <v>0</v>
      </c>
      <c r="K86" s="69">
        <f t="shared" si="7"/>
        <v>0</v>
      </c>
      <c r="L86" s="69">
        <f>SUMIFS(CT!$F$5:$F$143,CT!$A$5:$A$143,"&gt;="&amp;$I$3,CT!$A$5:$A$143,"&lt;="&amp;$K$3,CT!$D$5:$D$143,A86)</f>
        <v>0</v>
      </c>
      <c r="M86" s="69">
        <f>SUMIFS(CT!$H$5:$H$143,CT!$A$5:$A$143,"&gt;="&amp;$I$3,CT!$A$5:$A$143,"&lt;="&amp;$K$3,CT!$D$5:$D$143,A86)</f>
        <v>0</v>
      </c>
      <c r="N86" s="69">
        <f>SUMIFS(CT!$F$5:$F$143,CT!$A$5:$A$143,"&gt;="&amp;$I$3,CT!$A$5:$A$143,"&lt;="&amp;$K$3,CT!$E$5:$E$143,A86)</f>
        <v>0</v>
      </c>
      <c r="O86" s="69">
        <f>SUMIFS(CT!$H$5:$H$143,CT!$A$5:$A$143,"&gt;="&amp;$I$3,CT!$A$5:$A$143,"&lt;="&amp;$K$3,CT!$E$5:$E$143,A86)</f>
        <v>0</v>
      </c>
      <c r="P86" s="69">
        <f t="shared" si="8"/>
        <v>0</v>
      </c>
      <c r="Q86" s="69">
        <f t="shared" si="9"/>
        <v>0</v>
      </c>
      <c r="R86" s="69">
        <f t="shared" si="10"/>
        <v>0</v>
      </c>
      <c r="S86" t="b">
        <f t="shared" si="11"/>
        <v>0</v>
      </c>
    </row>
    <row r="87" spans="1:19" hidden="1" x14ac:dyDescent="0.25">
      <c r="A87" s="93" t="str">
        <f>DMTK!B84</f>
        <v>171</v>
      </c>
      <c r="B87" s="65" t="str">
        <f>VLOOKUP(A87,DMTK!$B$5:$Q$263,3,0)</f>
        <v>Giao dịch mua bán lại trái phiếu chính phủ</v>
      </c>
      <c r="C87" s="65" t="str">
        <f>VLOOKUP(A87,DMTK!$B$5:$Q$263,16,0)</f>
        <v xml:space="preserve"> </v>
      </c>
      <c r="D87" s="69">
        <f>VLOOKUP(A87,DMTK!$B$5:$Q$263,4,0)</f>
        <v>0</v>
      </c>
      <c r="E87" s="69">
        <f>VLOOKUP(A87,DMTK!$B$5:$Q$263,5,0)</f>
        <v>0</v>
      </c>
      <c r="F87" s="69">
        <f>SUMIFS(CT!$F$5:$F$143,CT!$A$5:$A$143,"&lt;"&amp;$I$3,CT!$D$5:$D$143,A87)</f>
        <v>0</v>
      </c>
      <c r="G87" s="69">
        <f>SUMIFS(CT!$H$5:$H$143,CT!$A$5:$A$143,"&lt;"&amp;$I$3,CT!$D$5:$D$143,A87)</f>
        <v>0</v>
      </c>
      <c r="H87" s="69">
        <f>SUMIFS(CT!$F$5:$F$143,CT!$A$5:$A$143,"&lt;"&amp;$I$3,CT!$E$5:$E$143,A87)</f>
        <v>0</v>
      </c>
      <c r="I87" s="69">
        <f>SUMIFS(CT!$H$5:$H$143,CT!$A$5:$A$143,"&lt;"&amp;$I$3,CT!$E$5:$E$143,A87)</f>
        <v>0</v>
      </c>
      <c r="J87" s="69">
        <f t="shared" si="6"/>
        <v>0</v>
      </c>
      <c r="K87" s="69">
        <f t="shared" si="7"/>
        <v>0</v>
      </c>
      <c r="L87" s="69">
        <f>SUMIFS(CT!$F$5:$F$143,CT!$A$5:$A$143,"&gt;="&amp;$I$3,CT!$A$5:$A$143,"&lt;="&amp;$K$3,CT!$D$5:$D$143,A87)</f>
        <v>0</v>
      </c>
      <c r="M87" s="69">
        <f>SUMIFS(CT!$H$5:$H$143,CT!$A$5:$A$143,"&gt;="&amp;$I$3,CT!$A$5:$A$143,"&lt;="&amp;$K$3,CT!$D$5:$D$143,A87)</f>
        <v>0</v>
      </c>
      <c r="N87" s="69">
        <f>SUMIFS(CT!$F$5:$F$143,CT!$A$5:$A$143,"&gt;="&amp;$I$3,CT!$A$5:$A$143,"&lt;="&amp;$K$3,CT!$E$5:$E$143,A87)</f>
        <v>0</v>
      </c>
      <c r="O87" s="69">
        <f>SUMIFS(CT!$H$5:$H$143,CT!$A$5:$A$143,"&gt;="&amp;$I$3,CT!$A$5:$A$143,"&lt;="&amp;$K$3,CT!$E$5:$E$143,A87)</f>
        <v>0</v>
      </c>
      <c r="P87" s="69">
        <f t="shared" si="8"/>
        <v>0</v>
      </c>
      <c r="Q87" s="69">
        <f t="shared" si="9"/>
        <v>0</v>
      </c>
      <c r="R87" s="69">
        <f t="shared" si="10"/>
        <v>0</v>
      </c>
      <c r="S87" t="b">
        <f t="shared" si="11"/>
        <v>0</v>
      </c>
    </row>
    <row r="88" spans="1:19" hidden="1" x14ac:dyDescent="0.25">
      <c r="A88" s="93" t="str">
        <f>DMTK!B85</f>
        <v>2111</v>
      </c>
      <c r="B88" s="65" t="str">
        <f>VLOOKUP(A88,DMTK!$B$5:$Q$263,3,0)</f>
        <v>Nhà cửa, vật kiến trúc</v>
      </c>
      <c r="C88" s="65" t="str">
        <f>VLOOKUP(A88,DMTK!$B$5:$Q$263,16,0)</f>
        <v xml:space="preserve"> </v>
      </c>
      <c r="D88" s="69">
        <f>VLOOKUP(A88,DMTK!$B$5:$Q$263,4,0)</f>
        <v>0</v>
      </c>
      <c r="E88" s="69">
        <f>VLOOKUP(A88,DMTK!$B$5:$Q$263,5,0)</f>
        <v>200000000</v>
      </c>
      <c r="F88" s="69">
        <f>SUMIFS(CT!$F$5:$F$143,CT!$A$5:$A$143,"&lt;"&amp;$I$3,CT!$D$5:$D$143,A88)</f>
        <v>0</v>
      </c>
      <c r="G88" s="69">
        <f>SUMIFS(CT!$H$5:$H$143,CT!$A$5:$A$143,"&lt;"&amp;$I$3,CT!$D$5:$D$143,A88)</f>
        <v>0</v>
      </c>
      <c r="H88" s="69">
        <f>SUMIFS(CT!$F$5:$F$143,CT!$A$5:$A$143,"&lt;"&amp;$I$3,CT!$E$5:$E$143,A88)</f>
        <v>0</v>
      </c>
      <c r="I88" s="69">
        <f>SUMIFS(CT!$H$5:$H$143,CT!$A$5:$A$143,"&lt;"&amp;$I$3,CT!$E$5:$E$143,A88)</f>
        <v>0</v>
      </c>
      <c r="J88" s="69">
        <f t="shared" si="6"/>
        <v>0</v>
      </c>
      <c r="K88" s="69">
        <f t="shared" si="7"/>
        <v>200000000</v>
      </c>
      <c r="L88" s="69">
        <f>SUMIFS(CT!$F$5:$F$143,CT!$A$5:$A$143,"&gt;="&amp;$I$3,CT!$A$5:$A$143,"&lt;="&amp;$K$3,CT!$D$5:$D$143,A88)</f>
        <v>0</v>
      </c>
      <c r="M88" s="69">
        <f>SUMIFS(CT!$H$5:$H$143,CT!$A$5:$A$143,"&gt;="&amp;$I$3,CT!$A$5:$A$143,"&lt;="&amp;$K$3,CT!$D$5:$D$143,A88)</f>
        <v>0</v>
      </c>
      <c r="N88" s="69">
        <f>SUMIFS(CT!$F$5:$F$143,CT!$A$5:$A$143,"&gt;="&amp;$I$3,CT!$A$5:$A$143,"&lt;="&amp;$K$3,CT!$E$5:$E$143,A88)</f>
        <v>0</v>
      </c>
      <c r="O88" s="69">
        <f>SUMIFS(CT!$H$5:$H$143,CT!$A$5:$A$143,"&gt;="&amp;$I$3,CT!$A$5:$A$143,"&lt;="&amp;$K$3,CT!$E$5:$E$143,A88)</f>
        <v>0</v>
      </c>
      <c r="P88" s="69">
        <f t="shared" si="8"/>
        <v>0</v>
      </c>
      <c r="Q88" s="69">
        <f t="shared" si="9"/>
        <v>200000000</v>
      </c>
      <c r="R88" s="69">
        <f t="shared" si="10"/>
        <v>0</v>
      </c>
      <c r="S88" t="b">
        <f t="shared" si="11"/>
        <v>0</v>
      </c>
    </row>
    <row r="89" spans="1:19" hidden="1" x14ac:dyDescent="0.25">
      <c r="A89" s="93" t="str">
        <f>DMTK!B86</f>
        <v>2112.02</v>
      </c>
      <c r="B89" s="65" t="str">
        <f>VLOOKUP(A89,DMTK!$B$5:$Q$263,3,0)</f>
        <v>Máy cắt phôi HITACHI</v>
      </c>
      <c r="C89" s="65" t="str">
        <f>VLOOKUP(A89,DMTK!$B$5:$Q$263,16,0)</f>
        <v xml:space="preserve"> </v>
      </c>
      <c r="D89" s="69">
        <f>VLOOKUP(A89,DMTK!$B$5:$Q$263,4,0)</f>
        <v>0</v>
      </c>
      <c r="E89" s="69">
        <f>VLOOKUP(A89,DMTK!$B$5:$Q$263,5,0)</f>
        <v>188000000</v>
      </c>
      <c r="F89" s="69">
        <f>SUMIFS(CT!$F$5:$F$143,CT!$A$5:$A$143,"&lt;"&amp;$I$3,CT!$D$5:$D$143,A89)</f>
        <v>0</v>
      </c>
      <c r="G89" s="69">
        <f>SUMIFS(CT!$H$5:$H$143,CT!$A$5:$A$143,"&lt;"&amp;$I$3,CT!$D$5:$D$143,A89)</f>
        <v>0</v>
      </c>
      <c r="H89" s="69">
        <f>SUMIFS(CT!$F$5:$F$143,CT!$A$5:$A$143,"&lt;"&amp;$I$3,CT!$E$5:$E$143,A89)</f>
        <v>0</v>
      </c>
      <c r="I89" s="69">
        <f>SUMIFS(CT!$H$5:$H$143,CT!$A$5:$A$143,"&lt;"&amp;$I$3,CT!$E$5:$E$143,A89)</f>
        <v>0</v>
      </c>
      <c r="J89" s="69">
        <f t="shared" si="6"/>
        <v>0</v>
      </c>
      <c r="K89" s="69">
        <f t="shared" si="7"/>
        <v>188000000</v>
      </c>
      <c r="L89" s="69">
        <f>SUMIFS(CT!$F$5:$F$143,CT!$A$5:$A$143,"&gt;="&amp;$I$3,CT!$A$5:$A$143,"&lt;="&amp;$K$3,CT!$D$5:$D$143,A89)</f>
        <v>0</v>
      </c>
      <c r="M89" s="69">
        <f>SUMIFS(CT!$H$5:$H$143,CT!$A$5:$A$143,"&gt;="&amp;$I$3,CT!$A$5:$A$143,"&lt;="&amp;$K$3,CT!$D$5:$D$143,A89)</f>
        <v>0</v>
      </c>
      <c r="N89" s="69">
        <f>SUMIFS(CT!$F$5:$F$143,CT!$A$5:$A$143,"&gt;="&amp;$I$3,CT!$A$5:$A$143,"&lt;="&amp;$K$3,CT!$E$5:$E$143,A89)</f>
        <v>0</v>
      </c>
      <c r="O89" s="69">
        <f>SUMIFS(CT!$H$5:$H$143,CT!$A$5:$A$143,"&gt;="&amp;$I$3,CT!$A$5:$A$143,"&lt;="&amp;$K$3,CT!$E$5:$E$143,A89)</f>
        <v>0</v>
      </c>
      <c r="P89" s="69">
        <f t="shared" si="8"/>
        <v>0</v>
      </c>
      <c r="Q89" s="69">
        <f t="shared" si="9"/>
        <v>188000000</v>
      </c>
      <c r="R89" s="69">
        <f t="shared" si="10"/>
        <v>0</v>
      </c>
      <c r="S89" t="b">
        <f t="shared" si="11"/>
        <v>0</v>
      </c>
    </row>
    <row r="90" spans="1:19" hidden="1" x14ac:dyDescent="0.25">
      <c r="A90" s="93" t="str">
        <f>DMTK!B87</f>
        <v>2112.03</v>
      </c>
      <c r="B90" s="65" t="str">
        <f>VLOOKUP(A90,DMTK!$B$5:$Q$263,3,0)</f>
        <v>Máy phun xi HITACHI</v>
      </c>
      <c r="C90" s="65" t="str">
        <f>VLOOKUP(A90,DMTK!$B$5:$Q$263,16,0)</f>
        <v xml:space="preserve"> </v>
      </c>
      <c r="D90" s="69">
        <f>VLOOKUP(A90,DMTK!$B$5:$Q$263,4,0)</f>
        <v>0</v>
      </c>
      <c r="E90" s="69">
        <f>VLOOKUP(A90,DMTK!$B$5:$Q$263,5,0)</f>
        <v>150000000</v>
      </c>
      <c r="F90" s="69">
        <f>SUMIFS(CT!$F$5:$F$143,CT!$A$5:$A$143,"&lt;"&amp;$I$3,CT!$D$5:$D$143,A90)</f>
        <v>0</v>
      </c>
      <c r="G90" s="69">
        <f>SUMIFS(CT!$H$5:$H$143,CT!$A$5:$A$143,"&lt;"&amp;$I$3,CT!$D$5:$D$143,A90)</f>
        <v>0</v>
      </c>
      <c r="H90" s="69">
        <f>SUMIFS(CT!$F$5:$F$143,CT!$A$5:$A$143,"&lt;"&amp;$I$3,CT!$E$5:$E$143,A90)</f>
        <v>0</v>
      </c>
      <c r="I90" s="69">
        <f>SUMIFS(CT!$H$5:$H$143,CT!$A$5:$A$143,"&lt;"&amp;$I$3,CT!$E$5:$E$143,A90)</f>
        <v>0</v>
      </c>
      <c r="J90" s="69">
        <f t="shared" si="6"/>
        <v>0</v>
      </c>
      <c r="K90" s="69">
        <f t="shared" si="7"/>
        <v>150000000</v>
      </c>
      <c r="L90" s="69">
        <f>SUMIFS(CT!$F$5:$F$143,CT!$A$5:$A$143,"&gt;="&amp;$I$3,CT!$A$5:$A$143,"&lt;="&amp;$K$3,CT!$D$5:$D$143,A90)</f>
        <v>0</v>
      </c>
      <c r="M90" s="69">
        <f>SUMIFS(CT!$H$5:$H$143,CT!$A$5:$A$143,"&gt;="&amp;$I$3,CT!$A$5:$A$143,"&lt;="&amp;$K$3,CT!$D$5:$D$143,A90)</f>
        <v>0</v>
      </c>
      <c r="N90" s="69">
        <f>SUMIFS(CT!$F$5:$F$143,CT!$A$5:$A$143,"&gt;="&amp;$I$3,CT!$A$5:$A$143,"&lt;="&amp;$K$3,CT!$E$5:$E$143,A90)</f>
        <v>0</v>
      </c>
      <c r="O90" s="69">
        <f>SUMIFS(CT!$H$5:$H$143,CT!$A$5:$A$143,"&gt;="&amp;$I$3,CT!$A$5:$A$143,"&lt;="&amp;$K$3,CT!$E$5:$E$143,A90)</f>
        <v>0</v>
      </c>
      <c r="P90" s="69">
        <f t="shared" si="8"/>
        <v>0</v>
      </c>
      <c r="Q90" s="69">
        <f t="shared" si="9"/>
        <v>150000000</v>
      </c>
      <c r="R90" s="69">
        <f t="shared" si="10"/>
        <v>0</v>
      </c>
      <c r="S90" t="b">
        <f t="shared" si="11"/>
        <v>0</v>
      </c>
    </row>
    <row r="91" spans="1:19" hidden="1" x14ac:dyDescent="0.25">
      <c r="A91" s="93" t="str">
        <f>DMTK!B88</f>
        <v>2112.04</v>
      </c>
      <c r="B91" s="65" t="str">
        <f>VLOOKUP(A91,DMTK!$B$5:$Q$263,3,0)</f>
        <v>Máy xẻ gỗ</v>
      </c>
      <c r="C91" s="65" t="str">
        <f>VLOOKUP(A91,DMTK!$B$5:$Q$263,16,0)</f>
        <v xml:space="preserve"> </v>
      </c>
      <c r="D91" s="69">
        <f>VLOOKUP(A91,DMTK!$B$5:$Q$263,4,0)</f>
        <v>0</v>
      </c>
      <c r="E91" s="69">
        <f>VLOOKUP(A91,DMTK!$B$5:$Q$263,5,0)</f>
        <v>0</v>
      </c>
      <c r="F91" s="69">
        <f>SUMIFS(CT!$F$5:$F$143,CT!$A$5:$A$143,"&lt;"&amp;$I$3,CT!$D$5:$D$143,A91)</f>
        <v>0</v>
      </c>
      <c r="G91" s="69">
        <f>SUMIFS(CT!$H$5:$H$143,CT!$A$5:$A$143,"&lt;"&amp;$I$3,CT!$D$5:$D$143,A91)</f>
        <v>0</v>
      </c>
      <c r="H91" s="69">
        <f>SUMIFS(CT!$F$5:$F$143,CT!$A$5:$A$143,"&lt;"&amp;$I$3,CT!$E$5:$E$143,A91)</f>
        <v>0</v>
      </c>
      <c r="I91" s="69">
        <f>SUMIFS(CT!$H$5:$H$143,CT!$A$5:$A$143,"&lt;"&amp;$I$3,CT!$E$5:$E$143,A91)</f>
        <v>0</v>
      </c>
      <c r="J91" s="69">
        <f t="shared" si="6"/>
        <v>0</v>
      </c>
      <c r="K91" s="69">
        <f t="shared" si="7"/>
        <v>0</v>
      </c>
      <c r="L91" s="69">
        <f>SUMIFS(CT!$F$5:$F$143,CT!$A$5:$A$143,"&gt;="&amp;$I$3,CT!$A$5:$A$143,"&lt;="&amp;$K$3,CT!$D$5:$D$143,A91)</f>
        <v>0</v>
      </c>
      <c r="M91" s="69">
        <f>SUMIFS(CT!$H$5:$H$143,CT!$A$5:$A$143,"&gt;="&amp;$I$3,CT!$A$5:$A$143,"&lt;="&amp;$K$3,CT!$D$5:$D$143,A91)</f>
        <v>140000000</v>
      </c>
      <c r="N91" s="69">
        <f>SUMIFS(CT!$F$5:$F$143,CT!$A$5:$A$143,"&gt;="&amp;$I$3,CT!$A$5:$A$143,"&lt;="&amp;$K$3,CT!$E$5:$E$143,A91)</f>
        <v>0</v>
      </c>
      <c r="O91" s="69">
        <f>SUMIFS(CT!$H$5:$H$143,CT!$A$5:$A$143,"&gt;="&amp;$I$3,CT!$A$5:$A$143,"&lt;="&amp;$K$3,CT!$E$5:$E$143,A91)</f>
        <v>0</v>
      </c>
      <c r="P91" s="69">
        <f t="shared" si="8"/>
        <v>0</v>
      </c>
      <c r="Q91" s="69">
        <f t="shared" si="9"/>
        <v>140000000</v>
      </c>
      <c r="R91" s="69">
        <f t="shared" si="10"/>
        <v>0</v>
      </c>
      <c r="S91" t="b">
        <f t="shared" si="11"/>
        <v>0</v>
      </c>
    </row>
    <row r="92" spans="1:19" hidden="1" x14ac:dyDescent="0.25">
      <c r="A92" s="93" t="str">
        <f>DMTK!B89</f>
        <v>2113</v>
      </c>
      <c r="B92" s="65" t="str">
        <f>VLOOKUP(A92,DMTK!$B$5:$Q$263,3,0)</f>
        <v>Phương tiện vận tải, truyền dẫn</v>
      </c>
      <c r="C92" s="65" t="str">
        <f>VLOOKUP(A92,DMTK!$B$5:$Q$263,16,0)</f>
        <v xml:space="preserve"> </v>
      </c>
      <c r="D92" s="69">
        <f>VLOOKUP(A92,DMTK!$B$5:$Q$263,4,0)</f>
        <v>0</v>
      </c>
      <c r="E92" s="69">
        <f>VLOOKUP(A92,DMTK!$B$5:$Q$263,5,0)</f>
        <v>220000000</v>
      </c>
      <c r="F92" s="69">
        <f>SUMIFS(CT!$F$5:$F$143,CT!$A$5:$A$143,"&lt;"&amp;$I$3,CT!$D$5:$D$143,A92)</f>
        <v>0</v>
      </c>
      <c r="G92" s="69">
        <f>SUMIFS(CT!$H$5:$H$143,CT!$A$5:$A$143,"&lt;"&amp;$I$3,CT!$D$5:$D$143,A92)</f>
        <v>0</v>
      </c>
      <c r="H92" s="69">
        <f>SUMIFS(CT!$F$5:$F$143,CT!$A$5:$A$143,"&lt;"&amp;$I$3,CT!$E$5:$E$143,A92)</f>
        <v>0</v>
      </c>
      <c r="I92" s="69">
        <f>SUMIFS(CT!$H$5:$H$143,CT!$A$5:$A$143,"&lt;"&amp;$I$3,CT!$E$5:$E$143,A92)</f>
        <v>0</v>
      </c>
      <c r="J92" s="69">
        <f t="shared" si="6"/>
        <v>0</v>
      </c>
      <c r="K92" s="69">
        <f t="shared" si="7"/>
        <v>220000000</v>
      </c>
      <c r="L92" s="69">
        <f>SUMIFS(CT!$F$5:$F$143,CT!$A$5:$A$143,"&gt;="&amp;$I$3,CT!$A$5:$A$143,"&lt;="&amp;$K$3,CT!$D$5:$D$143,A92)</f>
        <v>0</v>
      </c>
      <c r="M92" s="69">
        <f>SUMIFS(CT!$H$5:$H$143,CT!$A$5:$A$143,"&gt;="&amp;$I$3,CT!$A$5:$A$143,"&lt;="&amp;$K$3,CT!$D$5:$D$143,A92)</f>
        <v>0</v>
      </c>
      <c r="N92" s="69">
        <f>SUMIFS(CT!$F$5:$F$143,CT!$A$5:$A$143,"&gt;="&amp;$I$3,CT!$A$5:$A$143,"&lt;="&amp;$K$3,CT!$E$5:$E$143,A92)</f>
        <v>0</v>
      </c>
      <c r="O92" s="69">
        <f>SUMIFS(CT!$H$5:$H$143,CT!$A$5:$A$143,"&gt;="&amp;$I$3,CT!$A$5:$A$143,"&lt;="&amp;$K$3,CT!$E$5:$E$143,A92)</f>
        <v>0</v>
      </c>
      <c r="P92" s="69">
        <f t="shared" si="8"/>
        <v>0</v>
      </c>
      <c r="Q92" s="69">
        <f t="shared" si="9"/>
        <v>220000000</v>
      </c>
      <c r="R92" s="69">
        <f t="shared" si="10"/>
        <v>0</v>
      </c>
      <c r="S92" t="b">
        <f t="shared" si="11"/>
        <v>0</v>
      </c>
    </row>
    <row r="93" spans="1:19" hidden="1" x14ac:dyDescent="0.25">
      <c r="A93" s="93" t="str">
        <f>DMTK!B90</f>
        <v>2114.01</v>
      </c>
      <c r="B93" s="65" t="str">
        <f>VLOOKUP(A93,DMTK!$B$5:$Q$263,3,0)</f>
        <v>Máy vi tính</v>
      </c>
      <c r="C93" s="65" t="str">
        <f>VLOOKUP(A93,DMTK!$B$5:$Q$263,16,0)</f>
        <v xml:space="preserve"> </v>
      </c>
      <c r="D93" s="69">
        <f>VLOOKUP(A93,DMTK!$B$5:$Q$263,4,0)</f>
        <v>0</v>
      </c>
      <c r="E93" s="69">
        <f>VLOOKUP(A93,DMTK!$B$5:$Q$263,5,0)</f>
        <v>50779000</v>
      </c>
      <c r="F93" s="69">
        <f>SUMIFS(CT!$F$5:$F$143,CT!$A$5:$A$143,"&lt;"&amp;$I$3,CT!$D$5:$D$143,A93)</f>
        <v>0</v>
      </c>
      <c r="G93" s="69">
        <f>SUMIFS(CT!$H$5:$H$143,CT!$A$5:$A$143,"&lt;"&amp;$I$3,CT!$D$5:$D$143,A93)</f>
        <v>0</v>
      </c>
      <c r="H93" s="69">
        <f>SUMIFS(CT!$F$5:$F$143,CT!$A$5:$A$143,"&lt;"&amp;$I$3,CT!$E$5:$E$143,A93)</f>
        <v>0</v>
      </c>
      <c r="I93" s="69">
        <f>SUMIFS(CT!$H$5:$H$143,CT!$A$5:$A$143,"&lt;"&amp;$I$3,CT!$E$5:$E$143,A93)</f>
        <v>0</v>
      </c>
      <c r="J93" s="69">
        <f t="shared" si="6"/>
        <v>0</v>
      </c>
      <c r="K93" s="69">
        <f t="shared" si="7"/>
        <v>50779000</v>
      </c>
      <c r="L93" s="69">
        <f>SUMIFS(CT!$F$5:$F$143,CT!$A$5:$A$143,"&gt;="&amp;$I$3,CT!$A$5:$A$143,"&lt;="&amp;$K$3,CT!$D$5:$D$143,A93)</f>
        <v>0</v>
      </c>
      <c r="M93" s="69">
        <f>SUMIFS(CT!$H$5:$H$143,CT!$A$5:$A$143,"&gt;="&amp;$I$3,CT!$A$5:$A$143,"&lt;="&amp;$K$3,CT!$D$5:$D$143,A93)</f>
        <v>0</v>
      </c>
      <c r="N93" s="69">
        <f>SUMIFS(CT!$F$5:$F$143,CT!$A$5:$A$143,"&gt;="&amp;$I$3,CT!$A$5:$A$143,"&lt;="&amp;$K$3,CT!$E$5:$E$143,A93)</f>
        <v>0</v>
      </c>
      <c r="O93" s="69">
        <f>SUMIFS(CT!$H$5:$H$143,CT!$A$5:$A$143,"&gt;="&amp;$I$3,CT!$A$5:$A$143,"&lt;="&amp;$K$3,CT!$E$5:$E$143,A93)</f>
        <v>0</v>
      </c>
      <c r="P93" s="69">
        <f t="shared" si="8"/>
        <v>0</v>
      </c>
      <c r="Q93" s="69">
        <f t="shared" si="9"/>
        <v>50779000</v>
      </c>
      <c r="R93" s="69">
        <f t="shared" si="10"/>
        <v>0</v>
      </c>
      <c r="S93" t="b">
        <f t="shared" si="11"/>
        <v>0</v>
      </c>
    </row>
    <row r="94" spans="1:19" hidden="1" x14ac:dyDescent="0.25">
      <c r="A94" s="93" t="str">
        <f>DMTK!B91</f>
        <v>2114.02</v>
      </c>
      <c r="B94" s="65" t="str">
        <f>VLOOKUP(A94,DMTK!$B$5:$Q$263,3,0)</f>
        <v>Máy photocopy</v>
      </c>
      <c r="C94" s="65" t="str">
        <f>VLOOKUP(A94,DMTK!$B$5:$Q$263,16,0)</f>
        <v xml:space="preserve"> </v>
      </c>
      <c r="D94" s="69">
        <f>VLOOKUP(A94,DMTK!$B$5:$Q$263,4,0)</f>
        <v>0</v>
      </c>
      <c r="E94" s="69">
        <f>VLOOKUP(A94,DMTK!$B$5:$Q$263,5,0)</f>
        <v>125000000</v>
      </c>
      <c r="F94" s="69">
        <f>SUMIFS(CT!$F$5:$F$143,CT!$A$5:$A$143,"&lt;"&amp;$I$3,CT!$D$5:$D$143,A94)</f>
        <v>0</v>
      </c>
      <c r="G94" s="69">
        <f>SUMIFS(CT!$H$5:$H$143,CT!$A$5:$A$143,"&lt;"&amp;$I$3,CT!$D$5:$D$143,A94)</f>
        <v>0</v>
      </c>
      <c r="H94" s="69">
        <f>SUMIFS(CT!$F$5:$F$143,CT!$A$5:$A$143,"&lt;"&amp;$I$3,CT!$E$5:$E$143,A94)</f>
        <v>0</v>
      </c>
      <c r="I94" s="69">
        <f>SUMIFS(CT!$H$5:$H$143,CT!$A$5:$A$143,"&lt;"&amp;$I$3,CT!$E$5:$E$143,A94)</f>
        <v>0</v>
      </c>
      <c r="J94" s="69">
        <f t="shared" si="6"/>
        <v>0</v>
      </c>
      <c r="K94" s="69">
        <f t="shared" si="7"/>
        <v>125000000</v>
      </c>
      <c r="L94" s="69">
        <f>SUMIFS(CT!$F$5:$F$143,CT!$A$5:$A$143,"&gt;="&amp;$I$3,CT!$A$5:$A$143,"&lt;="&amp;$K$3,CT!$D$5:$D$143,A94)</f>
        <v>0</v>
      </c>
      <c r="M94" s="69">
        <f>SUMIFS(CT!$H$5:$H$143,CT!$A$5:$A$143,"&gt;="&amp;$I$3,CT!$A$5:$A$143,"&lt;="&amp;$K$3,CT!$D$5:$D$143,A94)</f>
        <v>0</v>
      </c>
      <c r="N94" s="69">
        <f>SUMIFS(CT!$F$5:$F$143,CT!$A$5:$A$143,"&gt;="&amp;$I$3,CT!$A$5:$A$143,"&lt;="&amp;$K$3,CT!$E$5:$E$143,A94)</f>
        <v>0</v>
      </c>
      <c r="O94" s="69">
        <f>SUMIFS(CT!$H$5:$H$143,CT!$A$5:$A$143,"&gt;="&amp;$I$3,CT!$A$5:$A$143,"&lt;="&amp;$K$3,CT!$E$5:$E$143,A94)</f>
        <v>0</v>
      </c>
      <c r="P94" s="69">
        <f t="shared" si="8"/>
        <v>0</v>
      </c>
      <c r="Q94" s="69">
        <f t="shared" si="9"/>
        <v>125000000</v>
      </c>
      <c r="R94" s="69">
        <f t="shared" si="10"/>
        <v>0</v>
      </c>
      <c r="S94" t="b">
        <f t="shared" si="11"/>
        <v>0</v>
      </c>
    </row>
    <row r="95" spans="1:19" hidden="1" x14ac:dyDescent="0.25">
      <c r="A95" s="93" t="str">
        <f>DMTK!B92</f>
        <v>2118</v>
      </c>
      <c r="B95" s="65" t="str">
        <f>VLOOKUP(A95,DMTK!$B$5:$Q$263,3,0)</f>
        <v>TSCĐ khác</v>
      </c>
      <c r="C95" s="65" t="str">
        <f>VLOOKUP(A95,DMTK!$B$5:$Q$263,16,0)</f>
        <v xml:space="preserve"> </v>
      </c>
      <c r="D95" s="69">
        <f>VLOOKUP(A95,DMTK!$B$5:$Q$263,4,0)</f>
        <v>0</v>
      </c>
      <c r="E95" s="69">
        <f>VLOOKUP(A95,DMTK!$B$5:$Q$263,5,0)</f>
        <v>0</v>
      </c>
      <c r="F95" s="69">
        <f>SUMIFS(CT!$F$5:$F$143,CT!$A$5:$A$143,"&lt;"&amp;$I$3,CT!$D$5:$D$143,A95)</f>
        <v>0</v>
      </c>
      <c r="G95" s="69">
        <f>SUMIFS(CT!$H$5:$H$143,CT!$A$5:$A$143,"&lt;"&amp;$I$3,CT!$D$5:$D$143,A95)</f>
        <v>0</v>
      </c>
      <c r="H95" s="69">
        <f>SUMIFS(CT!$F$5:$F$143,CT!$A$5:$A$143,"&lt;"&amp;$I$3,CT!$E$5:$E$143,A95)</f>
        <v>0</v>
      </c>
      <c r="I95" s="69">
        <f>SUMIFS(CT!$H$5:$H$143,CT!$A$5:$A$143,"&lt;"&amp;$I$3,CT!$E$5:$E$143,A95)</f>
        <v>0</v>
      </c>
      <c r="J95" s="69">
        <f t="shared" si="6"/>
        <v>0</v>
      </c>
      <c r="K95" s="69">
        <f t="shared" si="7"/>
        <v>0</v>
      </c>
      <c r="L95" s="69">
        <f>SUMIFS(CT!$F$5:$F$143,CT!$A$5:$A$143,"&gt;="&amp;$I$3,CT!$A$5:$A$143,"&lt;="&amp;$K$3,CT!$D$5:$D$143,A95)</f>
        <v>0</v>
      </c>
      <c r="M95" s="69">
        <f>SUMIFS(CT!$H$5:$H$143,CT!$A$5:$A$143,"&gt;="&amp;$I$3,CT!$A$5:$A$143,"&lt;="&amp;$K$3,CT!$D$5:$D$143,A95)</f>
        <v>0</v>
      </c>
      <c r="N95" s="69">
        <f>SUMIFS(CT!$F$5:$F$143,CT!$A$5:$A$143,"&gt;="&amp;$I$3,CT!$A$5:$A$143,"&lt;="&amp;$K$3,CT!$E$5:$E$143,A95)</f>
        <v>0</v>
      </c>
      <c r="O95" s="69">
        <f>SUMIFS(CT!$H$5:$H$143,CT!$A$5:$A$143,"&gt;="&amp;$I$3,CT!$A$5:$A$143,"&lt;="&amp;$K$3,CT!$E$5:$E$143,A95)</f>
        <v>0</v>
      </c>
      <c r="P95" s="69">
        <f t="shared" si="8"/>
        <v>0</v>
      </c>
      <c r="Q95" s="69">
        <f t="shared" si="9"/>
        <v>0</v>
      </c>
      <c r="R95" s="69">
        <f t="shared" si="10"/>
        <v>0</v>
      </c>
      <c r="S95" t="b">
        <f t="shared" si="11"/>
        <v>0</v>
      </c>
    </row>
    <row r="96" spans="1:19" hidden="1" x14ac:dyDescent="0.25">
      <c r="A96" s="93" t="str">
        <f>DMTK!B93</f>
        <v>2121</v>
      </c>
      <c r="B96" s="65">
        <f>VLOOKUP(A96,DMTK!$B$5:$Q$263,3,0)</f>
        <v>0</v>
      </c>
      <c r="C96" s="65">
        <f>VLOOKUP(A96,DMTK!$B$5:$Q$263,16,0)</f>
        <v>0</v>
      </c>
      <c r="D96" s="69">
        <f>VLOOKUP(A96,DMTK!$B$5:$Q$263,4,0)</f>
        <v>0</v>
      </c>
      <c r="E96" s="69">
        <f>VLOOKUP(A96,DMTK!$B$5:$Q$263,5,0)</f>
        <v>0</v>
      </c>
      <c r="F96" s="69">
        <f>SUMIFS(CT!$F$5:$F$143,CT!$A$5:$A$143,"&lt;"&amp;$I$3,CT!$D$5:$D$143,A96)</f>
        <v>0</v>
      </c>
      <c r="G96" s="69">
        <f>SUMIFS(CT!$H$5:$H$143,CT!$A$5:$A$143,"&lt;"&amp;$I$3,CT!$D$5:$D$143,A96)</f>
        <v>0</v>
      </c>
      <c r="H96" s="69">
        <f>SUMIFS(CT!$F$5:$F$143,CT!$A$5:$A$143,"&lt;"&amp;$I$3,CT!$E$5:$E$143,A96)</f>
        <v>0</v>
      </c>
      <c r="I96" s="69">
        <f>SUMIFS(CT!$H$5:$H$143,CT!$A$5:$A$143,"&lt;"&amp;$I$3,CT!$E$5:$E$143,A96)</f>
        <v>0</v>
      </c>
      <c r="J96" s="69">
        <f t="shared" si="6"/>
        <v>0</v>
      </c>
      <c r="K96" s="69">
        <f t="shared" si="7"/>
        <v>0</v>
      </c>
      <c r="L96" s="69">
        <f>SUMIFS(CT!$F$5:$F$143,CT!$A$5:$A$143,"&gt;="&amp;$I$3,CT!$A$5:$A$143,"&lt;="&amp;$K$3,CT!$D$5:$D$143,A96)</f>
        <v>0</v>
      </c>
      <c r="M96" s="69">
        <f>SUMIFS(CT!$H$5:$H$143,CT!$A$5:$A$143,"&gt;="&amp;$I$3,CT!$A$5:$A$143,"&lt;="&amp;$K$3,CT!$D$5:$D$143,A96)</f>
        <v>0</v>
      </c>
      <c r="N96" s="69">
        <f>SUMIFS(CT!$F$5:$F$143,CT!$A$5:$A$143,"&gt;="&amp;$I$3,CT!$A$5:$A$143,"&lt;="&amp;$K$3,CT!$E$5:$E$143,A96)</f>
        <v>0</v>
      </c>
      <c r="O96" s="69">
        <f>SUMIFS(CT!$H$5:$H$143,CT!$A$5:$A$143,"&gt;="&amp;$I$3,CT!$A$5:$A$143,"&lt;="&amp;$K$3,CT!$E$5:$E$143,A96)</f>
        <v>0</v>
      </c>
      <c r="P96" s="69">
        <f t="shared" si="8"/>
        <v>0</v>
      </c>
      <c r="Q96" s="69">
        <f t="shared" si="9"/>
        <v>0</v>
      </c>
      <c r="R96" s="69">
        <f t="shared" si="10"/>
        <v>0</v>
      </c>
      <c r="S96" t="b">
        <f t="shared" si="11"/>
        <v>0</v>
      </c>
    </row>
    <row r="97" spans="1:19" hidden="1" x14ac:dyDescent="0.25">
      <c r="A97" s="93" t="str">
        <f>DMTK!B94</f>
        <v>2131</v>
      </c>
      <c r="B97" s="65">
        <f>VLOOKUP(A97,DMTK!$B$5:$Q$263,3,0)</f>
        <v>0</v>
      </c>
      <c r="C97" s="65">
        <f>VLOOKUP(A97,DMTK!$B$5:$Q$263,16,0)</f>
        <v>0</v>
      </c>
      <c r="D97" s="69">
        <f>VLOOKUP(A97,DMTK!$B$5:$Q$263,4,0)</f>
        <v>0</v>
      </c>
      <c r="E97" s="69">
        <f>VLOOKUP(A97,DMTK!$B$5:$Q$263,5,0)</f>
        <v>0</v>
      </c>
      <c r="F97" s="69">
        <f>SUMIFS(CT!$F$5:$F$143,CT!$A$5:$A$143,"&lt;"&amp;$I$3,CT!$D$5:$D$143,A97)</f>
        <v>0</v>
      </c>
      <c r="G97" s="69">
        <f>SUMIFS(CT!$H$5:$H$143,CT!$A$5:$A$143,"&lt;"&amp;$I$3,CT!$D$5:$D$143,A97)</f>
        <v>0</v>
      </c>
      <c r="H97" s="69">
        <f>SUMIFS(CT!$F$5:$F$143,CT!$A$5:$A$143,"&lt;"&amp;$I$3,CT!$E$5:$E$143,A97)</f>
        <v>0</v>
      </c>
      <c r="I97" s="69">
        <f>SUMIFS(CT!$H$5:$H$143,CT!$A$5:$A$143,"&lt;"&amp;$I$3,CT!$E$5:$E$143,A97)</f>
        <v>0</v>
      </c>
      <c r="J97" s="69">
        <f t="shared" si="6"/>
        <v>0</v>
      </c>
      <c r="K97" s="69">
        <f t="shared" si="7"/>
        <v>0</v>
      </c>
      <c r="L97" s="69">
        <f>SUMIFS(CT!$F$5:$F$143,CT!$A$5:$A$143,"&gt;="&amp;$I$3,CT!$A$5:$A$143,"&lt;="&amp;$K$3,CT!$D$5:$D$143,A97)</f>
        <v>0</v>
      </c>
      <c r="M97" s="69">
        <f>SUMIFS(CT!$H$5:$H$143,CT!$A$5:$A$143,"&gt;="&amp;$I$3,CT!$A$5:$A$143,"&lt;="&amp;$K$3,CT!$D$5:$D$143,A97)</f>
        <v>0</v>
      </c>
      <c r="N97" s="69">
        <f>SUMIFS(CT!$F$5:$F$143,CT!$A$5:$A$143,"&gt;="&amp;$I$3,CT!$A$5:$A$143,"&lt;="&amp;$K$3,CT!$E$5:$E$143,A97)</f>
        <v>0</v>
      </c>
      <c r="O97" s="69">
        <f>SUMIFS(CT!$H$5:$H$143,CT!$A$5:$A$143,"&gt;="&amp;$I$3,CT!$A$5:$A$143,"&lt;="&amp;$K$3,CT!$E$5:$E$143,A97)</f>
        <v>0</v>
      </c>
      <c r="P97" s="69">
        <f t="shared" si="8"/>
        <v>0</v>
      </c>
      <c r="Q97" s="69">
        <f t="shared" si="9"/>
        <v>0</v>
      </c>
      <c r="R97" s="69">
        <f t="shared" si="10"/>
        <v>0</v>
      </c>
      <c r="S97" t="b">
        <f t="shared" si="11"/>
        <v>0</v>
      </c>
    </row>
    <row r="98" spans="1:19" hidden="1" x14ac:dyDescent="0.25">
      <c r="A98" s="93" t="str">
        <f>DMTK!B95</f>
        <v>2141</v>
      </c>
      <c r="B98" s="65" t="str">
        <f>VLOOKUP(A98,DMTK!$B$5:$Q$263,3,0)</f>
        <v>Hao mòn TSCĐ hữu hình</v>
      </c>
      <c r="C98" s="65" t="str">
        <f>VLOOKUP(A98,DMTK!$B$5:$Q$263,16,0)</f>
        <v xml:space="preserve"> </v>
      </c>
      <c r="D98" s="69">
        <f>VLOOKUP(A98,DMTK!$B$5:$Q$263,4,0)</f>
        <v>0</v>
      </c>
      <c r="E98" s="69">
        <f>VLOOKUP(A98,DMTK!$B$5:$Q$263,5,0)</f>
        <v>90000000</v>
      </c>
      <c r="F98" s="69">
        <f>SUMIFS(CT!$F$5:$F$143,CT!$A$5:$A$143,"&lt;"&amp;$I$3,CT!$D$5:$D$143,A98)</f>
        <v>0</v>
      </c>
      <c r="G98" s="69">
        <f>SUMIFS(CT!$H$5:$H$143,CT!$A$5:$A$143,"&lt;"&amp;$I$3,CT!$D$5:$D$143,A98)</f>
        <v>0</v>
      </c>
      <c r="H98" s="69">
        <f>SUMIFS(CT!$F$5:$F$143,CT!$A$5:$A$143,"&lt;"&amp;$I$3,CT!$E$5:$E$143,A98)</f>
        <v>0</v>
      </c>
      <c r="I98" s="69">
        <f>SUMIFS(CT!$H$5:$H$143,CT!$A$5:$A$143,"&lt;"&amp;$I$3,CT!$E$5:$E$143,A98)</f>
        <v>0</v>
      </c>
      <c r="J98" s="69">
        <f t="shared" si="6"/>
        <v>0</v>
      </c>
      <c r="K98" s="69">
        <f t="shared" si="7"/>
        <v>90000000</v>
      </c>
      <c r="L98" s="69">
        <f>SUMIFS(CT!$F$5:$F$143,CT!$A$5:$A$143,"&gt;="&amp;$I$3,CT!$A$5:$A$143,"&lt;="&amp;$K$3,CT!$D$5:$D$143,A98)</f>
        <v>0</v>
      </c>
      <c r="M98" s="69">
        <f>SUMIFS(CT!$H$5:$H$143,CT!$A$5:$A$143,"&gt;="&amp;$I$3,CT!$A$5:$A$143,"&lt;="&amp;$K$3,CT!$D$5:$D$143,A98)</f>
        <v>0</v>
      </c>
      <c r="N98" s="69">
        <f>SUMIFS(CT!$F$5:$F$143,CT!$A$5:$A$143,"&gt;="&amp;$I$3,CT!$A$5:$A$143,"&lt;="&amp;$K$3,CT!$E$5:$E$143,A98)</f>
        <v>0</v>
      </c>
      <c r="O98" s="69">
        <f>SUMIFS(CT!$H$5:$H$143,CT!$A$5:$A$143,"&gt;="&amp;$I$3,CT!$A$5:$A$143,"&lt;="&amp;$K$3,CT!$E$5:$E$143,A98)</f>
        <v>2124999</v>
      </c>
      <c r="P98" s="69">
        <f t="shared" si="8"/>
        <v>0</v>
      </c>
      <c r="Q98" s="69">
        <f t="shared" si="9"/>
        <v>87875001</v>
      </c>
      <c r="R98" s="69">
        <f t="shared" si="10"/>
        <v>0</v>
      </c>
      <c r="S98" t="b">
        <f t="shared" si="11"/>
        <v>0</v>
      </c>
    </row>
    <row r="99" spans="1:19" hidden="1" x14ac:dyDescent="0.25">
      <c r="A99" s="93" t="str">
        <f>DMTK!B96</f>
        <v>2147</v>
      </c>
      <c r="B99" s="65" t="str">
        <f>VLOOKUP(A99,DMTK!$B$5:$Q$263,3,0)</f>
        <v>Hao mòn bất động sản đầu tư</v>
      </c>
      <c r="C99" s="65" t="str">
        <f>VLOOKUP(A99,DMTK!$B$5:$Q$263,16,0)</f>
        <v xml:space="preserve"> </v>
      </c>
      <c r="D99" s="69">
        <f>VLOOKUP(A99,DMTK!$B$5:$Q$263,4,0)</f>
        <v>0</v>
      </c>
      <c r="E99" s="69">
        <f>VLOOKUP(A99,DMTK!$B$5:$Q$263,5,0)</f>
        <v>0</v>
      </c>
      <c r="F99" s="69">
        <f>SUMIFS(CT!$F$5:$F$143,CT!$A$5:$A$143,"&lt;"&amp;$I$3,CT!$D$5:$D$143,A99)</f>
        <v>0</v>
      </c>
      <c r="G99" s="69">
        <f>SUMIFS(CT!$H$5:$H$143,CT!$A$5:$A$143,"&lt;"&amp;$I$3,CT!$D$5:$D$143,A99)</f>
        <v>0</v>
      </c>
      <c r="H99" s="69">
        <f>SUMIFS(CT!$F$5:$F$143,CT!$A$5:$A$143,"&lt;"&amp;$I$3,CT!$E$5:$E$143,A99)</f>
        <v>0</v>
      </c>
      <c r="I99" s="69">
        <f>SUMIFS(CT!$H$5:$H$143,CT!$A$5:$A$143,"&lt;"&amp;$I$3,CT!$E$5:$E$143,A99)</f>
        <v>0</v>
      </c>
      <c r="J99" s="69">
        <f t="shared" si="6"/>
        <v>0</v>
      </c>
      <c r="K99" s="69">
        <f t="shared" si="7"/>
        <v>0</v>
      </c>
      <c r="L99" s="69">
        <f>SUMIFS(CT!$F$5:$F$143,CT!$A$5:$A$143,"&gt;="&amp;$I$3,CT!$A$5:$A$143,"&lt;="&amp;$K$3,CT!$D$5:$D$143,A99)</f>
        <v>0</v>
      </c>
      <c r="M99" s="69">
        <f>SUMIFS(CT!$H$5:$H$143,CT!$A$5:$A$143,"&gt;="&amp;$I$3,CT!$A$5:$A$143,"&lt;="&amp;$K$3,CT!$D$5:$D$143,A99)</f>
        <v>0</v>
      </c>
      <c r="N99" s="69">
        <f>SUMIFS(CT!$F$5:$F$143,CT!$A$5:$A$143,"&gt;="&amp;$I$3,CT!$A$5:$A$143,"&lt;="&amp;$K$3,CT!$E$5:$E$143,A99)</f>
        <v>0</v>
      </c>
      <c r="O99" s="69">
        <f>SUMIFS(CT!$H$5:$H$143,CT!$A$5:$A$143,"&gt;="&amp;$I$3,CT!$A$5:$A$143,"&lt;="&amp;$K$3,CT!$E$5:$E$143,A99)</f>
        <v>0</v>
      </c>
      <c r="P99" s="69">
        <f t="shared" si="8"/>
        <v>0</v>
      </c>
      <c r="Q99" s="69">
        <f t="shared" si="9"/>
        <v>0</v>
      </c>
      <c r="R99" s="69">
        <f t="shared" si="10"/>
        <v>0</v>
      </c>
      <c r="S99" t="b">
        <f t="shared" si="11"/>
        <v>0</v>
      </c>
    </row>
    <row r="100" spans="1:19" hidden="1" x14ac:dyDescent="0.25">
      <c r="A100" s="93" t="str">
        <f>DMTK!B97</f>
        <v>217</v>
      </c>
      <c r="B100" s="65" t="str">
        <f>VLOOKUP(A100,DMTK!$B$5:$Q$263,3,0)</f>
        <v>Bất động sản đầu tư</v>
      </c>
      <c r="C100" s="65" t="str">
        <f>VLOOKUP(A100,DMTK!$B$5:$Q$263,16,0)</f>
        <v xml:space="preserve"> </v>
      </c>
      <c r="D100" s="69">
        <f>VLOOKUP(A100,DMTK!$B$5:$Q$263,4,0)</f>
        <v>0</v>
      </c>
      <c r="E100" s="69">
        <f>VLOOKUP(A100,DMTK!$B$5:$Q$263,5,0)</f>
        <v>0</v>
      </c>
      <c r="F100" s="69">
        <f>SUMIFS(CT!$F$5:$F$143,CT!$A$5:$A$143,"&lt;"&amp;$I$3,CT!$D$5:$D$143,A100)</f>
        <v>0</v>
      </c>
      <c r="G100" s="69">
        <f>SUMIFS(CT!$H$5:$H$143,CT!$A$5:$A$143,"&lt;"&amp;$I$3,CT!$D$5:$D$143,A100)</f>
        <v>0</v>
      </c>
      <c r="H100" s="69">
        <f>SUMIFS(CT!$F$5:$F$143,CT!$A$5:$A$143,"&lt;"&amp;$I$3,CT!$E$5:$E$143,A100)</f>
        <v>0</v>
      </c>
      <c r="I100" s="69">
        <f>SUMIFS(CT!$H$5:$H$143,CT!$A$5:$A$143,"&lt;"&amp;$I$3,CT!$E$5:$E$143,A100)</f>
        <v>0</v>
      </c>
      <c r="J100" s="69">
        <f t="shared" si="6"/>
        <v>0</v>
      </c>
      <c r="K100" s="69">
        <f t="shared" si="7"/>
        <v>0</v>
      </c>
      <c r="L100" s="69">
        <f>SUMIFS(CT!$F$5:$F$143,CT!$A$5:$A$143,"&gt;="&amp;$I$3,CT!$A$5:$A$143,"&lt;="&amp;$K$3,CT!$D$5:$D$143,A100)</f>
        <v>0</v>
      </c>
      <c r="M100" s="69">
        <f>SUMIFS(CT!$H$5:$H$143,CT!$A$5:$A$143,"&gt;="&amp;$I$3,CT!$A$5:$A$143,"&lt;="&amp;$K$3,CT!$D$5:$D$143,A100)</f>
        <v>0</v>
      </c>
      <c r="N100" s="69">
        <f>SUMIFS(CT!$F$5:$F$143,CT!$A$5:$A$143,"&gt;="&amp;$I$3,CT!$A$5:$A$143,"&lt;="&amp;$K$3,CT!$E$5:$E$143,A100)</f>
        <v>0</v>
      </c>
      <c r="O100" s="69">
        <f>SUMIFS(CT!$H$5:$H$143,CT!$A$5:$A$143,"&gt;="&amp;$I$3,CT!$A$5:$A$143,"&lt;="&amp;$K$3,CT!$E$5:$E$143,A100)</f>
        <v>0</v>
      </c>
      <c r="P100" s="69">
        <f t="shared" si="8"/>
        <v>0</v>
      </c>
      <c r="Q100" s="69">
        <f t="shared" si="9"/>
        <v>0</v>
      </c>
      <c r="R100" s="69">
        <f t="shared" si="10"/>
        <v>0</v>
      </c>
      <c r="S100" t="b">
        <f t="shared" si="11"/>
        <v>0</v>
      </c>
    </row>
    <row r="101" spans="1:19" hidden="1" x14ac:dyDescent="0.25">
      <c r="A101" s="93" t="str">
        <f>DMTK!B98</f>
        <v>221</v>
      </c>
      <c r="B101" s="65" t="str">
        <f>VLOOKUP(A101,DMTK!$B$5:$Q$263,3,0)</f>
        <v>Đầu tư vào công ty con</v>
      </c>
      <c r="C101" s="65" t="str">
        <f>VLOOKUP(A101,DMTK!$B$5:$Q$263,16,0)</f>
        <v xml:space="preserve"> </v>
      </c>
      <c r="D101" s="69">
        <f>VLOOKUP(A101,DMTK!$B$5:$Q$263,4,0)</f>
        <v>0</v>
      </c>
      <c r="E101" s="69">
        <f>VLOOKUP(A101,DMTK!$B$5:$Q$263,5,0)</f>
        <v>0</v>
      </c>
      <c r="F101" s="69">
        <f>SUMIFS(CT!$F$5:$F$143,CT!$A$5:$A$143,"&lt;"&amp;$I$3,CT!$D$5:$D$143,A101)</f>
        <v>0</v>
      </c>
      <c r="G101" s="69">
        <f>SUMIFS(CT!$H$5:$H$143,CT!$A$5:$A$143,"&lt;"&amp;$I$3,CT!$D$5:$D$143,A101)</f>
        <v>0</v>
      </c>
      <c r="H101" s="69">
        <f>SUMIFS(CT!$F$5:$F$143,CT!$A$5:$A$143,"&lt;"&amp;$I$3,CT!$E$5:$E$143,A101)</f>
        <v>0</v>
      </c>
      <c r="I101" s="69">
        <f>SUMIFS(CT!$H$5:$H$143,CT!$A$5:$A$143,"&lt;"&amp;$I$3,CT!$E$5:$E$143,A101)</f>
        <v>0</v>
      </c>
      <c r="J101" s="69">
        <f t="shared" si="6"/>
        <v>0</v>
      </c>
      <c r="K101" s="69">
        <f t="shared" si="7"/>
        <v>0</v>
      </c>
      <c r="L101" s="69">
        <f>SUMIFS(CT!$F$5:$F$143,CT!$A$5:$A$143,"&gt;="&amp;$I$3,CT!$A$5:$A$143,"&lt;="&amp;$K$3,CT!$D$5:$D$143,A101)</f>
        <v>0</v>
      </c>
      <c r="M101" s="69">
        <f>SUMIFS(CT!$H$5:$H$143,CT!$A$5:$A$143,"&gt;="&amp;$I$3,CT!$A$5:$A$143,"&lt;="&amp;$K$3,CT!$D$5:$D$143,A101)</f>
        <v>0</v>
      </c>
      <c r="N101" s="69">
        <f>SUMIFS(CT!$F$5:$F$143,CT!$A$5:$A$143,"&gt;="&amp;$I$3,CT!$A$5:$A$143,"&lt;="&amp;$K$3,CT!$E$5:$E$143,A101)</f>
        <v>0</v>
      </c>
      <c r="O101" s="69">
        <f>SUMIFS(CT!$H$5:$H$143,CT!$A$5:$A$143,"&gt;="&amp;$I$3,CT!$A$5:$A$143,"&lt;="&amp;$K$3,CT!$E$5:$E$143,A101)</f>
        <v>0</v>
      </c>
      <c r="P101" s="69">
        <f t="shared" si="8"/>
        <v>0</v>
      </c>
      <c r="Q101" s="69">
        <f t="shared" si="9"/>
        <v>0</v>
      </c>
      <c r="R101" s="69">
        <f t="shared" si="10"/>
        <v>0</v>
      </c>
      <c r="S101" t="b">
        <f t="shared" si="11"/>
        <v>0</v>
      </c>
    </row>
    <row r="102" spans="1:19" hidden="1" x14ac:dyDescent="0.25">
      <c r="A102" s="93" t="str">
        <f>DMTK!B99</f>
        <v>222</v>
      </c>
      <c r="B102" s="65" t="str">
        <f>VLOOKUP(A102,DMTK!$B$5:$Q$263,3,0)</f>
        <v>Đầu tư vào công ty liên doanh, liên kết</v>
      </c>
      <c r="C102" s="65" t="str">
        <f>VLOOKUP(A102,DMTK!$B$5:$Q$263,16,0)</f>
        <v xml:space="preserve"> </v>
      </c>
      <c r="D102" s="69">
        <f>VLOOKUP(A102,DMTK!$B$5:$Q$263,4,0)</f>
        <v>0</v>
      </c>
      <c r="E102" s="69">
        <f>VLOOKUP(A102,DMTK!$B$5:$Q$263,5,0)</f>
        <v>26000000</v>
      </c>
      <c r="F102" s="69">
        <f>SUMIFS(CT!$F$5:$F$143,CT!$A$5:$A$143,"&lt;"&amp;$I$3,CT!$D$5:$D$143,A102)</f>
        <v>0</v>
      </c>
      <c r="G102" s="69">
        <f>SUMIFS(CT!$H$5:$H$143,CT!$A$5:$A$143,"&lt;"&amp;$I$3,CT!$D$5:$D$143,A102)</f>
        <v>0</v>
      </c>
      <c r="H102" s="69">
        <f>SUMIFS(CT!$F$5:$F$143,CT!$A$5:$A$143,"&lt;"&amp;$I$3,CT!$E$5:$E$143,A102)</f>
        <v>0</v>
      </c>
      <c r="I102" s="69">
        <f>SUMIFS(CT!$H$5:$H$143,CT!$A$5:$A$143,"&lt;"&amp;$I$3,CT!$E$5:$E$143,A102)</f>
        <v>0</v>
      </c>
      <c r="J102" s="69">
        <f t="shared" si="6"/>
        <v>0</v>
      </c>
      <c r="K102" s="69">
        <f t="shared" si="7"/>
        <v>26000000</v>
      </c>
      <c r="L102" s="69">
        <f>SUMIFS(CT!$F$5:$F$143,CT!$A$5:$A$143,"&gt;="&amp;$I$3,CT!$A$5:$A$143,"&lt;="&amp;$K$3,CT!$D$5:$D$143,A102)</f>
        <v>0</v>
      </c>
      <c r="M102" s="69">
        <f>SUMIFS(CT!$H$5:$H$143,CT!$A$5:$A$143,"&gt;="&amp;$I$3,CT!$A$5:$A$143,"&lt;="&amp;$K$3,CT!$D$5:$D$143,A102)</f>
        <v>0</v>
      </c>
      <c r="N102" s="69">
        <f>SUMIFS(CT!$F$5:$F$143,CT!$A$5:$A$143,"&gt;="&amp;$I$3,CT!$A$5:$A$143,"&lt;="&amp;$K$3,CT!$E$5:$E$143,A102)</f>
        <v>0</v>
      </c>
      <c r="O102" s="69">
        <f>SUMIFS(CT!$H$5:$H$143,CT!$A$5:$A$143,"&gt;="&amp;$I$3,CT!$A$5:$A$143,"&lt;="&amp;$K$3,CT!$E$5:$E$143,A102)</f>
        <v>0</v>
      </c>
      <c r="P102" s="69">
        <f t="shared" si="8"/>
        <v>0</v>
      </c>
      <c r="Q102" s="69">
        <f t="shared" si="9"/>
        <v>26000000</v>
      </c>
      <c r="R102" s="69">
        <f t="shared" si="10"/>
        <v>0</v>
      </c>
      <c r="S102" t="b">
        <f t="shared" si="11"/>
        <v>0</v>
      </c>
    </row>
    <row r="103" spans="1:19" hidden="1" x14ac:dyDescent="0.25">
      <c r="A103" s="93" t="str">
        <f>DMTK!B100</f>
        <v>2281</v>
      </c>
      <c r="B103" s="65" t="str">
        <f>VLOOKUP(A103,DMTK!$B$5:$Q$263,3,0)</f>
        <v>Đầu tư góp vốn vào đơn vị khác</v>
      </c>
      <c r="C103" s="65" t="str">
        <f>VLOOKUP(A103,DMTK!$B$5:$Q$263,16,0)</f>
        <v xml:space="preserve"> </v>
      </c>
      <c r="D103" s="69">
        <f>VLOOKUP(A103,DMTK!$B$5:$Q$263,4,0)</f>
        <v>0</v>
      </c>
      <c r="E103" s="69">
        <f>VLOOKUP(A103,DMTK!$B$5:$Q$263,5,0)</f>
        <v>80000000</v>
      </c>
      <c r="F103" s="69">
        <f>SUMIFS(CT!$F$5:$F$143,CT!$A$5:$A$143,"&lt;"&amp;$I$3,CT!$D$5:$D$143,A103)</f>
        <v>0</v>
      </c>
      <c r="G103" s="69">
        <f>SUMIFS(CT!$H$5:$H$143,CT!$A$5:$A$143,"&lt;"&amp;$I$3,CT!$D$5:$D$143,A103)</f>
        <v>0</v>
      </c>
      <c r="H103" s="69">
        <f>SUMIFS(CT!$F$5:$F$143,CT!$A$5:$A$143,"&lt;"&amp;$I$3,CT!$E$5:$E$143,A103)</f>
        <v>0</v>
      </c>
      <c r="I103" s="69">
        <f>SUMIFS(CT!$H$5:$H$143,CT!$A$5:$A$143,"&lt;"&amp;$I$3,CT!$E$5:$E$143,A103)</f>
        <v>0</v>
      </c>
      <c r="J103" s="69">
        <f t="shared" si="6"/>
        <v>0</v>
      </c>
      <c r="K103" s="69">
        <f t="shared" si="7"/>
        <v>80000000</v>
      </c>
      <c r="L103" s="69">
        <f>SUMIFS(CT!$F$5:$F$143,CT!$A$5:$A$143,"&gt;="&amp;$I$3,CT!$A$5:$A$143,"&lt;="&amp;$K$3,CT!$D$5:$D$143,A103)</f>
        <v>0</v>
      </c>
      <c r="M103" s="69">
        <f>SUMIFS(CT!$H$5:$H$143,CT!$A$5:$A$143,"&gt;="&amp;$I$3,CT!$A$5:$A$143,"&lt;="&amp;$K$3,CT!$D$5:$D$143,A103)</f>
        <v>0</v>
      </c>
      <c r="N103" s="69">
        <f>SUMIFS(CT!$F$5:$F$143,CT!$A$5:$A$143,"&gt;="&amp;$I$3,CT!$A$5:$A$143,"&lt;="&amp;$K$3,CT!$E$5:$E$143,A103)</f>
        <v>0</v>
      </c>
      <c r="O103" s="69">
        <f>SUMIFS(CT!$H$5:$H$143,CT!$A$5:$A$143,"&gt;="&amp;$I$3,CT!$A$5:$A$143,"&lt;="&amp;$K$3,CT!$E$5:$E$143,A103)</f>
        <v>0</v>
      </c>
      <c r="P103" s="69">
        <f t="shared" si="8"/>
        <v>0</v>
      </c>
      <c r="Q103" s="69">
        <f t="shared" si="9"/>
        <v>80000000</v>
      </c>
      <c r="R103" s="69">
        <f t="shared" si="10"/>
        <v>0</v>
      </c>
      <c r="S103" t="b">
        <f t="shared" si="11"/>
        <v>0</v>
      </c>
    </row>
    <row r="104" spans="1:19" hidden="1" x14ac:dyDescent="0.25">
      <c r="A104" s="93" t="str">
        <f>DMTK!B101</f>
        <v>22881</v>
      </c>
      <c r="B104" s="65" t="str">
        <f>VLOOKUP(A104,DMTK!$B$5:$Q$263,3,0)</f>
        <v>Đầu tư khác</v>
      </c>
      <c r="C104" s="65" t="str">
        <f>VLOOKUP(A104,DMTK!$B$5:$Q$263,16,0)</f>
        <v xml:space="preserve"> </v>
      </c>
      <c r="D104" s="69">
        <f>VLOOKUP(A104,DMTK!$B$5:$Q$263,4,0)</f>
        <v>0</v>
      </c>
      <c r="E104" s="69">
        <f>VLOOKUP(A104,DMTK!$B$5:$Q$263,5,0)</f>
        <v>30000000</v>
      </c>
      <c r="F104" s="69">
        <f>SUMIFS(CT!$F$5:$F$143,CT!$A$5:$A$143,"&lt;"&amp;$I$3,CT!$D$5:$D$143,A104)</f>
        <v>0</v>
      </c>
      <c r="G104" s="69">
        <f>SUMIFS(CT!$H$5:$H$143,CT!$A$5:$A$143,"&lt;"&amp;$I$3,CT!$D$5:$D$143,A104)</f>
        <v>0</v>
      </c>
      <c r="H104" s="69">
        <f>SUMIFS(CT!$F$5:$F$143,CT!$A$5:$A$143,"&lt;"&amp;$I$3,CT!$E$5:$E$143,A104)</f>
        <v>0</v>
      </c>
      <c r="I104" s="69">
        <f>SUMIFS(CT!$H$5:$H$143,CT!$A$5:$A$143,"&lt;"&amp;$I$3,CT!$E$5:$E$143,A104)</f>
        <v>0</v>
      </c>
      <c r="J104" s="69">
        <f t="shared" si="6"/>
        <v>0</v>
      </c>
      <c r="K104" s="69">
        <f t="shared" si="7"/>
        <v>30000000</v>
      </c>
      <c r="L104" s="69">
        <f>SUMIFS(CT!$F$5:$F$143,CT!$A$5:$A$143,"&gt;="&amp;$I$3,CT!$A$5:$A$143,"&lt;="&amp;$K$3,CT!$D$5:$D$143,A104)</f>
        <v>0</v>
      </c>
      <c r="M104" s="69">
        <f>SUMIFS(CT!$H$5:$H$143,CT!$A$5:$A$143,"&gt;="&amp;$I$3,CT!$A$5:$A$143,"&lt;="&amp;$K$3,CT!$D$5:$D$143,A104)</f>
        <v>0</v>
      </c>
      <c r="N104" s="69">
        <f>SUMIFS(CT!$F$5:$F$143,CT!$A$5:$A$143,"&gt;="&amp;$I$3,CT!$A$5:$A$143,"&lt;="&amp;$K$3,CT!$E$5:$E$143,A104)</f>
        <v>0</v>
      </c>
      <c r="O104" s="69">
        <f>SUMIFS(CT!$H$5:$H$143,CT!$A$5:$A$143,"&gt;="&amp;$I$3,CT!$A$5:$A$143,"&lt;="&amp;$K$3,CT!$E$5:$E$143,A104)</f>
        <v>0</v>
      </c>
      <c r="P104" s="69">
        <f t="shared" si="8"/>
        <v>0</v>
      </c>
      <c r="Q104" s="69">
        <f t="shared" si="9"/>
        <v>30000000</v>
      </c>
      <c r="R104" s="69">
        <f t="shared" si="10"/>
        <v>0</v>
      </c>
      <c r="S104" t="b">
        <f t="shared" si="11"/>
        <v>0</v>
      </c>
    </row>
    <row r="105" spans="1:19" hidden="1" x14ac:dyDescent="0.25">
      <c r="A105" s="93" t="str">
        <f>DMTK!B102</f>
        <v>2291</v>
      </c>
      <c r="B105" s="65" t="str">
        <f>VLOOKUP(A105,DMTK!$B$5:$Q$263,3,0)</f>
        <v>Dự phòng giảm giá chứng khoán kinh doanh</v>
      </c>
      <c r="C105" s="65" t="str">
        <f>VLOOKUP(A105,DMTK!$B$5:$Q$263,16,0)</f>
        <v xml:space="preserve"> </v>
      </c>
      <c r="D105" s="69">
        <f>VLOOKUP(A105,DMTK!$B$5:$Q$263,4,0)</f>
        <v>0</v>
      </c>
      <c r="E105" s="69">
        <f>VLOOKUP(A105,DMTK!$B$5:$Q$263,5,0)</f>
        <v>0</v>
      </c>
      <c r="F105" s="69">
        <f>SUMIFS(CT!$F$5:$F$143,CT!$A$5:$A$143,"&lt;"&amp;$I$3,CT!$D$5:$D$143,A105)</f>
        <v>0</v>
      </c>
      <c r="G105" s="69">
        <f>SUMIFS(CT!$H$5:$H$143,CT!$A$5:$A$143,"&lt;"&amp;$I$3,CT!$D$5:$D$143,A105)</f>
        <v>0</v>
      </c>
      <c r="H105" s="69">
        <f>SUMIFS(CT!$F$5:$F$143,CT!$A$5:$A$143,"&lt;"&amp;$I$3,CT!$E$5:$E$143,A105)</f>
        <v>0</v>
      </c>
      <c r="I105" s="69">
        <f>SUMIFS(CT!$H$5:$H$143,CT!$A$5:$A$143,"&lt;"&amp;$I$3,CT!$E$5:$E$143,A105)</f>
        <v>0</v>
      </c>
      <c r="J105" s="69">
        <f t="shared" si="6"/>
        <v>0</v>
      </c>
      <c r="K105" s="69">
        <f t="shared" si="7"/>
        <v>0</v>
      </c>
      <c r="L105" s="69">
        <f>SUMIFS(CT!$F$5:$F$143,CT!$A$5:$A$143,"&gt;="&amp;$I$3,CT!$A$5:$A$143,"&lt;="&amp;$K$3,CT!$D$5:$D$143,A105)</f>
        <v>0</v>
      </c>
      <c r="M105" s="69">
        <f>SUMIFS(CT!$H$5:$H$143,CT!$A$5:$A$143,"&gt;="&amp;$I$3,CT!$A$5:$A$143,"&lt;="&amp;$K$3,CT!$D$5:$D$143,A105)</f>
        <v>0</v>
      </c>
      <c r="N105" s="69">
        <f>SUMIFS(CT!$F$5:$F$143,CT!$A$5:$A$143,"&gt;="&amp;$I$3,CT!$A$5:$A$143,"&lt;="&amp;$K$3,CT!$E$5:$E$143,A105)</f>
        <v>0</v>
      </c>
      <c r="O105" s="69">
        <f>SUMIFS(CT!$H$5:$H$143,CT!$A$5:$A$143,"&gt;="&amp;$I$3,CT!$A$5:$A$143,"&lt;="&amp;$K$3,CT!$E$5:$E$143,A105)</f>
        <v>0</v>
      </c>
      <c r="P105" s="69">
        <f t="shared" si="8"/>
        <v>0</v>
      </c>
      <c r="Q105" s="69">
        <f t="shared" si="9"/>
        <v>0</v>
      </c>
      <c r="R105" s="69">
        <f t="shared" si="10"/>
        <v>0</v>
      </c>
      <c r="S105" t="b">
        <f t="shared" si="11"/>
        <v>0</v>
      </c>
    </row>
    <row r="106" spans="1:19" hidden="1" x14ac:dyDescent="0.25">
      <c r="A106" s="93" t="str">
        <f>DMTK!B103</f>
        <v>2292</v>
      </c>
      <c r="B106" s="65" t="str">
        <f>VLOOKUP(A106,DMTK!$B$5:$Q$263,3,0)</f>
        <v>Dự phòng tổn thất đầu tư vào đơn vị khác</v>
      </c>
      <c r="C106" s="65" t="str">
        <f>VLOOKUP(A106,DMTK!$B$5:$Q$263,16,0)</f>
        <v xml:space="preserve"> </v>
      </c>
      <c r="D106" s="69">
        <f>VLOOKUP(A106,DMTK!$B$5:$Q$263,4,0)</f>
        <v>0</v>
      </c>
      <c r="E106" s="69">
        <f>VLOOKUP(A106,DMTK!$B$5:$Q$263,5,0)</f>
        <v>0</v>
      </c>
      <c r="F106" s="69">
        <f>SUMIFS(CT!$F$5:$F$143,CT!$A$5:$A$143,"&lt;"&amp;$I$3,CT!$D$5:$D$143,A106)</f>
        <v>0</v>
      </c>
      <c r="G106" s="69">
        <f>SUMIFS(CT!$H$5:$H$143,CT!$A$5:$A$143,"&lt;"&amp;$I$3,CT!$D$5:$D$143,A106)</f>
        <v>0</v>
      </c>
      <c r="H106" s="69">
        <f>SUMIFS(CT!$F$5:$F$143,CT!$A$5:$A$143,"&lt;"&amp;$I$3,CT!$E$5:$E$143,A106)</f>
        <v>0</v>
      </c>
      <c r="I106" s="69">
        <f>SUMIFS(CT!$H$5:$H$143,CT!$A$5:$A$143,"&lt;"&amp;$I$3,CT!$E$5:$E$143,A106)</f>
        <v>0</v>
      </c>
      <c r="J106" s="69">
        <f t="shared" si="6"/>
        <v>0</v>
      </c>
      <c r="K106" s="69">
        <f t="shared" si="7"/>
        <v>0</v>
      </c>
      <c r="L106" s="69">
        <f>SUMIFS(CT!$F$5:$F$143,CT!$A$5:$A$143,"&gt;="&amp;$I$3,CT!$A$5:$A$143,"&lt;="&amp;$K$3,CT!$D$5:$D$143,A106)</f>
        <v>0</v>
      </c>
      <c r="M106" s="69">
        <f>SUMIFS(CT!$H$5:$H$143,CT!$A$5:$A$143,"&gt;="&amp;$I$3,CT!$A$5:$A$143,"&lt;="&amp;$K$3,CT!$D$5:$D$143,A106)</f>
        <v>0</v>
      </c>
      <c r="N106" s="69">
        <f>SUMIFS(CT!$F$5:$F$143,CT!$A$5:$A$143,"&gt;="&amp;$I$3,CT!$A$5:$A$143,"&lt;="&amp;$K$3,CT!$E$5:$E$143,A106)</f>
        <v>0</v>
      </c>
      <c r="O106" s="69">
        <f>SUMIFS(CT!$H$5:$H$143,CT!$A$5:$A$143,"&gt;="&amp;$I$3,CT!$A$5:$A$143,"&lt;="&amp;$K$3,CT!$E$5:$E$143,A106)</f>
        <v>0</v>
      </c>
      <c r="P106" s="69">
        <f t="shared" si="8"/>
        <v>0</v>
      </c>
      <c r="Q106" s="69">
        <f t="shared" si="9"/>
        <v>0</v>
      </c>
      <c r="R106" s="69">
        <f t="shared" si="10"/>
        <v>0</v>
      </c>
      <c r="S106" t="b">
        <f t="shared" si="11"/>
        <v>0</v>
      </c>
    </row>
    <row r="107" spans="1:19" hidden="1" x14ac:dyDescent="0.25">
      <c r="A107" s="93" t="str">
        <f>DMTK!B104</f>
        <v>22931</v>
      </c>
      <c r="B107" s="65" t="str">
        <f>VLOOKUP(A107,DMTK!$B$5:$Q$263,3,0)</f>
        <v>Dự phòng phải thu khó đòi</v>
      </c>
      <c r="C107" s="65" t="str">
        <f>VLOOKUP(A107,DMTK!$B$5:$Q$263,16,0)</f>
        <v xml:space="preserve"> </v>
      </c>
      <c r="D107" s="69">
        <f>VLOOKUP(A107,DMTK!$B$5:$Q$263,4,0)</f>
        <v>0</v>
      </c>
      <c r="E107" s="69">
        <f>VLOOKUP(A107,DMTK!$B$5:$Q$263,5,0)</f>
        <v>30000000</v>
      </c>
      <c r="F107" s="69">
        <f>SUMIFS(CT!$F$5:$F$143,CT!$A$5:$A$143,"&lt;"&amp;$I$3,CT!$D$5:$D$143,A107)</f>
        <v>0</v>
      </c>
      <c r="G107" s="69">
        <f>SUMIFS(CT!$H$5:$H$143,CT!$A$5:$A$143,"&lt;"&amp;$I$3,CT!$D$5:$D$143,A107)</f>
        <v>0</v>
      </c>
      <c r="H107" s="69">
        <f>SUMIFS(CT!$F$5:$F$143,CT!$A$5:$A$143,"&lt;"&amp;$I$3,CT!$E$5:$E$143,A107)</f>
        <v>0</v>
      </c>
      <c r="I107" s="69">
        <f>SUMIFS(CT!$H$5:$H$143,CT!$A$5:$A$143,"&lt;"&amp;$I$3,CT!$E$5:$E$143,A107)</f>
        <v>0</v>
      </c>
      <c r="J107" s="69">
        <f t="shared" si="6"/>
        <v>0</v>
      </c>
      <c r="K107" s="69">
        <f t="shared" si="7"/>
        <v>30000000</v>
      </c>
      <c r="L107" s="69">
        <f>SUMIFS(CT!$F$5:$F$143,CT!$A$5:$A$143,"&gt;="&amp;$I$3,CT!$A$5:$A$143,"&lt;="&amp;$K$3,CT!$D$5:$D$143,A107)</f>
        <v>0</v>
      </c>
      <c r="M107" s="69">
        <f>SUMIFS(CT!$H$5:$H$143,CT!$A$5:$A$143,"&gt;="&amp;$I$3,CT!$A$5:$A$143,"&lt;="&amp;$K$3,CT!$D$5:$D$143,A107)</f>
        <v>0</v>
      </c>
      <c r="N107" s="69">
        <f>SUMIFS(CT!$F$5:$F$143,CT!$A$5:$A$143,"&gt;="&amp;$I$3,CT!$A$5:$A$143,"&lt;="&amp;$K$3,CT!$E$5:$E$143,A107)</f>
        <v>0</v>
      </c>
      <c r="O107" s="69">
        <f>SUMIFS(CT!$H$5:$H$143,CT!$A$5:$A$143,"&gt;="&amp;$I$3,CT!$A$5:$A$143,"&lt;="&amp;$K$3,CT!$E$5:$E$143,A107)</f>
        <v>0</v>
      </c>
      <c r="P107" s="69">
        <f t="shared" si="8"/>
        <v>0</v>
      </c>
      <c r="Q107" s="69">
        <f t="shared" si="9"/>
        <v>30000000</v>
      </c>
      <c r="R107" s="69">
        <f t="shared" si="10"/>
        <v>0</v>
      </c>
      <c r="S107" t="b">
        <f t="shared" si="11"/>
        <v>0</v>
      </c>
    </row>
    <row r="108" spans="1:19" hidden="1" x14ac:dyDescent="0.25">
      <c r="A108" s="93" t="str">
        <f>DMTK!B105</f>
        <v>22932</v>
      </c>
      <c r="B108" s="65" t="str">
        <f>VLOOKUP(A108,DMTK!$B$5:$Q$263,3,0)</f>
        <v>Dự phòng phải thu khó đòi (dài hạn)</v>
      </c>
      <c r="C108" s="65" t="str">
        <f>VLOOKUP(A108,DMTK!$B$5:$Q$263,16,0)</f>
        <v xml:space="preserve"> </v>
      </c>
      <c r="D108" s="69">
        <f>VLOOKUP(A108,DMTK!$B$5:$Q$263,4,0)</f>
        <v>0</v>
      </c>
      <c r="E108" s="69">
        <f>VLOOKUP(A108,DMTK!$B$5:$Q$263,5,0)</f>
        <v>0</v>
      </c>
      <c r="F108" s="69">
        <f>SUMIFS(CT!$F$5:$F$143,CT!$A$5:$A$143,"&lt;"&amp;$I$3,CT!$D$5:$D$143,A108)</f>
        <v>0</v>
      </c>
      <c r="G108" s="69">
        <f>SUMIFS(CT!$H$5:$H$143,CT!$A$5:$A$143,"&lt;"&amp;$I$3,CT!$D$5:$D$143,A108)</f>
        <v>0</v>
      </c>
      <c r="H108" s="69">
        <f>SUMIFS(CT!$F$5:$F$143,CT!$A$5:$A$143,"&lt;"&amp;$I$3,CT!$E$5:$E$143,A108)</f>
        <v>0</v>
      </c>
      <c r="I108" s="69">
        <f>SUMIFS(CT!$H$5:$H$143,CT!$A$5:$A$143,"&lt;"&amp;$I$3,CT!$E$5:$E$143,A108)</f>
        <v>0</v>
      </c>
      <c r="J108" s="69">
        <f t="shared" si="6"/>
        <v>0</v>
      </c>
      <c r="K108" s="69">
        <f t="shared" si="7"/>
        <v>0</v>
      </c>
      <c r="L108" s="69">
        <f>SUMIFS(CT!$F$5:$F$143,CT!$A$5:$A$143,"&gt;="&amp;$I$3,CT!$A$5:$A$143,"&lt;="&amp;$K$3,CT!$D$5:$D$143,A108)</f>
        <v>0</v>
      </c>
      <c r="M108" s="69">
        <f>SUMIFS(CT!$H$5:$H$143,CT!$A$5:$A$143,"&gt;="&amp;$I$3,CT!$A$5:$A$143,"&lt;="&amp;$K$3,CT!$D$5:$D$143,A108)</f>
        <v>0</v>
      </c>
      <c r="N108" s="69">
        <f>SUMIFS(CT!$F$5:$F$143,CT!$A$5:$A$143,"&gt;="&amp;$I$3,CT!$A$5:$A$143,"&lt;="&amp;$K$3,CT!$E$5:$E$143,A108)</f>
        <v>0</v>
      </c>
      <c r="O108" s="69">
        <f>SUMIFS(CT!$H$5:$H$143,CT!$A$5:$A$143,"&gt;="&amp;$I$3,CT!$A$5:$A$143,"&lt;="&amp;$K$3,CT!$E$5:$E$143,A108)</f>
        <v>0</v>
      </c>
      <c r="P108" s="69">
        <f t="shared" si="8"/>
        <v>0</v>
      </c>
      <c r="Q108" s="69">
        <f t="shared" si="9"/>
        <v>0</v>
      </c>
      <c r="R108" s="69">
        <f t="shared" si="10"/>
        <v>0</v>
      </c>
      <c r="S108" t="b">
        <f t="shared" si="11"/>
        <v>0</v>
      </c>
    </row>
    <row r="109" spans="1:19" hidden="1" x14ac:dyDescent="0.25">
      <c r="A109" s="93" t="str">
        <f>DMTK!B106</f>
        <v>2294</v>
      </c>
      <c r="B109" s="65" t="str">
        <f>VLOOKUP(A109,DMTK!$B$5:$Q$263,3,0)</f>
        <v>Dự phòng giảm giá hàng tồn kho</v>
      </c>
      <c r="C109" s="65" t="str">
        <f>VLOOKUP(A109,DMTK!$B$5:$Q$263,16,0)</f>
        <v xml:space="preserve"> </v>
      </c>
      <c r="D109" s="69">
        <f>VLOOKUP(A109,DMTK!$B$5:$Q$263,4,0)</f>
        <v>0</v>
      </c>
      <c r="E109" s="69">
        <f>VLOOKUP(A109,DMTK!$B$5:$Q$263,5,0)</f>
        <v>80000000</v>
      </c>
      <c r="F109" s="69">
        <f>SUMIFS(CT!$F$5:$F$143,CT!$A$5:$A$143,"&lt;"&amp;$I$3,CT!$D$5:$D$143,A109)</f>
        <v>0</v>
      </c>
      <c r="G109" s="69">
        <f>SUMIFS(CT!$H$5:$H$143,CT!$A$5:$A$143,"&lt;"&amp;$I$3,CT!$D$5:$D$143,A109)</f>
        <v>0</v>
      </c>
      <c r="H109" s="69">
        <f>SUMIFS(CT!$F$5:$F$143,CT!$A$5:$A$143,"&lt;"&amp;$I$3,CT!$E$5:$E$143,A109)</f>
        <v>0</v>
      </c>
      <c r="I109" s="69">
        <f>SUMIFS(CT!$H$5:$H$143,CT!$A$5:$A$143,"&lt;"&amp;$I$3,CT!$E$5:$E$143,A109)</f>
        <v>0</v>
      </c>
      <c r="J109" s="69">
        <f t="shared" si="6"/>
        <v>0</v>
      </c>
      <c r="K109" s="69">
        <f t="shared" si="7"/>
        <v>80000000</v>
      </c>
      <c r="L109" s="69">
        <f>SUMIFS(CT!$F$5:$F$143,CT!$A$5:$A$143,"&gt;="&amp;$I$3,CT!$A$5:$A$143,"&lt;="&amp;$K$3,CT!$D$5:$D$143,A109)</f>
        <v>0</v>
      </c>
      <c r="M109" s="69">
        <f>SUMIFS(CT!$H$5:$H$143,CT!$A$5:$A$143,"&gt;="&amp;$I$3,CT!$A$5:$A$143,"&lt;="&amp;$K$3,CT!$D$5:$D$143,A109)</f>
        <v>0</v>
      </c>
      <c r="N109" s="69">
        <f>SUMIFS(CT!$F$5:$F$143,CT!$A$5:$A$143,"&gt;="&amp;$I$3,CT!$A$5:$A$143,"&lt;="&amp;$K$3,CT!$E$5:$E$143,A109)</f>
        <v>0</v>
      </c>
      <c r="O109" s="69">
        <f>SUMIFS(CT!$H$5:$H$143,CT!$A$5:$A$143,"&gt;="&amp;$I$3,CT!$A$5:$A$143,"&lt;="&amp;$K$3,CT!$E$5:$E$143,A109)</f>
        <v>0</v>
      </c>
      <c r="P109" s="69">
        <f t="shared" si="8"/>
        <v>0</v>
      </c>
      <c r="Q109" s="69">
        <f t="shared" si="9"/>
        <v>80000000</v>
      </c>
      <c r="R109" s="69">
        <f t="shared" si="10"/>
        <v>0</v>
      </c>
      <c r="S109" t="b">
        <f t="shared" si="11"/>
        <v>0</v>
      </c>
    </row>
    <row r="110" spans="1:19" hidden="1" x14ac:dyDescent="0.25">
      <c r="A110" s="93" t="str">
        <f>DMTK!B107</f>
        <v>2411</v>
      </c>
      <c r="B110" s="65" t="str">
        <f>VLOOKUP(A110,DMTK!$B$5:$Q$263,3,0)</f>
        <v>Mua sắm TSCĐ</v>
      </c>
      <c r="C110" s="65" t="str">
        <f>VLOOKUP(A110,DMTK!$B$5:$Q$263,16,0)</f>
        <v xml:space="preserve"> </v>
      </c>
      <c r="D110" s="69">
        <f>VLOOKUP(A110,DMTK!$B$5:$Q$263,4,0)</f>
        <v>0</v>
      </c>
      <c r="E110" s="69">
        <f>VLOOKUP(A110,DMTK!$B$5:$Q$263,5,0)</f>
        <v>250000000</v>
      </c>
      <c r="F110" s="69">
        <f>SUMIFS(CT!$F$5:$F$143,CT!$A$5:$A$143,"&lt;"&amp;$I$3,CT!$D$5:$D$143,A110)</f>
        <v>0</v>
      </c>
      <c r="G110" s="69">
        <f>SUMIFS(CT!$H$5:$H$143,CT!$A$5:$A$143,"&lt;"&amp;$I$3,CT!$D$5:$D$143,A110)</f>
        <v>0</v>
      </c>
      <c r="H110" s="69">
        <f>SUMIFS(CT!$F$5:$F$143,CT!$A$5:$A$143,"&lt;"&amp;$I$3,CT!$E$5:$E$143,A110)</f>
        <v>0</v>
      </c>
      <c r="I110" s="69">
        <f>SUMIFS(CT!$H$5:$H$143,CT!$A$5:$A$143,"&lt;"&amp;$I$3,CT!$E$5:$E$143,A110)</f>
        <v>0</v>
      </c>
      <c r="J110" s="69">
        <f t="shared" si="6"/>
        <v>0</v>
      </c>
      <c r="K110" s="69">
        <f t="shared" si="7"/>
        <v>250000000</v>
      </c>
      <c r="L110" s="69">
        <f>SUMIFS(CT!$F$5:$F$143,CT!$A$5:$A$143,"&gt;="&amp;$I$3,CT!$A$5:$A$143,"&lt;="&amp;$K$3,CT!$D$5:$D$143,A110)</f>
        <v>0</v>
      </c>
      <c r="M110" s="69">
        <f>SUMIFS(CT!$H$5:$H$143,CT!$A$5:$A$143,"&gt;="&amp;$I$3,CT!$A$5:$A$143,"&lt;="&amp;$K$3,CT!$D$5:$D$143,A110)</f>
        <v>0</v>
      </c>
      <c r="N110" s="69">
        <f>SUMIFS(CT!$F$5:$F$143,CT!$A$5:$A$143,"&gt;="&amp;$I$3,CT!$A$5:$A$143,"&lt;="&amp;$K$3,CT!$E$5:$E$143,A110)</f>
        <v>0</v>
      </c>
      <c r="O110" s="69">
        <f>SUMIFS(CT!$H$5:$H$143,CT!$A$5:$A$143,"&gt;="&amp;$I$3,CT!$A$5:$A$143,"&lt;="&amp;$K$3,CT!$E$5:$E$143,A110)</f>
        <v>0</v>
      </c>
      <c r="P110" s="69">
        <f t="shared" si="8"/>
        <v>0</v>
      </c>
      <c r="Q110" s="69">
        <f t="shared" si="9"/>
        <v>250000000</v>
      </c>
      <c r="R110" s="69">
        <f t="shared" si="10"/>
        <v>0</v>
      </c>
      <c r="S110" t="b">
        <f t="shared" si="11"/>
        <v>0</v>
      </c>
    </row>
    <row r="111" spans="1:19" hidden="1" x14ac:dyDescent="0.25">
      <c r="A111" s="93" t="str">
        <f>DMTK!B108</f>
        <v>2412</v>
      </c>
      <c r="B111" s="65" t="str">
        <f>VLOOKUP(A111,DMTK!$B$5:$Q$263,3,0)</f>
        <v>Xây dựng cơ bản</v>
      </c>
      <c r="C111" s="65" t="str">
        <f>VLOOKUP(A111,DMTK!$B$5:$Q$263,16,0)</f>
        <v xml:space="preserve"> </v>
      </c>
      <c r="D111" s="69">
        <f>VLOOKUP(A111,DMTK!$B$5:$Q$263,4,0)</f>
        <v>0</v>
      </c>
      <c r="E111" s="69">
        <f>VLOOKUP(A111,DMTK!$B$5:$Q$263,5,0)</f>
        <v>213760000</v>
      </c>
      <c r="F111" s="69">
        <f>SUMIFS(CT!$F$5:$F$143,CT!$A$5:$A$143,"&lt;"&amp;$I$3,CT!$D$5:$D$143,A111)</f>
        <v>0</v>
      </c>
      <c r="G111" s="69">
        <f>SUMIFS(CT!$H$5:$H$143,CT!$A$5:$A$143,"&lt;"&amp;$I$3,CT!$D$5:$D$143,A111)</f>
        <v>0</v>
      </c>
      <c r="H111" s="69">
        <f>SUMIFS(CT!$F$5:$F$143,CT!$A$5:$A$143,"&lt;"&amp;$I$3,CT!$E$5:$E$143,A111)</f>
        <v>0</v>
      </c>
      <c r="I111" s="69">
        <f>SUMIFS(CT!$H$5:$H$143,CT!$A$5:$A$143,"&lt;"&amp;$I$3,CT!$E$5:$E$143,A111)</f>
        <v>0</v>
      </c>
      <c r="J111" s="69">
        <f t="shared" si="6"/>
        <v>0</v>
      </c>
      <c r="K111" s="69">
        <f t="shared" si="7"/>
        <v>213760000</v>
      </c>
      <c r="L111" s="69">
        <f>SUMIFS(CT!$F$5:$F$143,CT!$A$5:$A$143,"&gt;="&amp;$I$3,CT!$A$5:$A$143,"&lt;="&amp;$K$3,CT!$D$5:$D$143,A111)</f>
        <v>0</v>
      </c>
      <c r="M111" s="69">
        <f>SUMIFS(CT!$H$5:$H$143,CT!$A$5:$A$143,"&gt;="&amp;$I$3,CT!$A$5:$A$143,"&lt;="&amp;$K$3,CT!$D$5:$D$143,A111)</f>
        <v>0</v>
      </c>
      <c r="N111" s="69">
        <f>SUMIFS(CT!$F$5:$F$143,CT!$A$5:$A$143,"&gt;="&amp;$I$3,CT!$A$5:$A$143,"&lt;="&amp;$K$3,CT!$E$5:$E$143,A111)</f>
        <v>0</v>
      </c>
      <c r="O111" s="69">
        <f>SUMIFS(CT!$H$5:$H$143,CT!$A$5:$A$143,"&gt;="&amp;$I$3,CT!$A$5:$A$143,"&lt;="&amp;$K$3,CT!$E$5:$E$143,A111)</f>
        <v>0</v>
      </c>
      <c r="P111" s="69">
        <f t="shared" si="8"/>
        <v>0</v>
      </c>
      <c r="Q111" s="69">
        <f t="shared" si="9"/>
        <v>213760000</v>
      </c>
      <c r="R111" s="69">
        <f t="shared" si="10"/>
        <v>0</v>
      </c>
      <c r="S111" t="b">
        <f t="shared" si="11"/>
        <v>0</v>
      </c>
    </row>
    <row r="112" spans="1:19" hidden="1" x14ac:dyDescent="0.25">
      <c r="A112" s="93" t="str">
        <f>DMTK!B109</f>
        <v>2413</v>
      </c>
      <c r="B112" s="65" t="str">
        <f>VLOOKUP(A112,DMTK!$B$5:$Q$263,3,0)</f>
        <v>Sửa chữa lớn TSCĐ</v>
      </c>
      <c r="C112" s="65" t="str">
        <f>VLOOKUP(A112,DMTK!$B$5:$Q$263,16,0)</f>
        <v xml:space="preserve"> </v>
      </c>
      <c r="D112" s="69">
        <f>VLOOKUP(A112,DMTK!$B$5:$Q$263,4,0)</f>
        <v>0</v>
      </c>
      <c r="E112" s="69">
        <f>VLOOKUP(A112,DMTK!$B$5:$Q$263,5,0)</f>
        <v>0</v>
      </c>
      <c r="F112" s="69">
        <f>SUMIFS(CT!$F$5:$F$143,CT!$A$5:$A$143,"&lt;"&amp;$I$3,CT!$D$5:$D$143,A112)</f>
        <v>0</v>
      </c>
      <c r="G112" s="69">
        <f>SUMIFS(CT!$H$5:$H$143,CT!$A$5:$A$143,"&lt;"&amp;$I$3,CT!$D$5:$D$143,A112)</f>
        <v>0</v>
      </c>
      <c r="H112" s="69">
        <f>SUMIFS(CT!$F$5:$F$143,CT!$A$5:$A$143,"&lt;"&amp;$I$3,CT!$E$5:$E$143,A112)</f>
        <v>0</v>
      </c>
      <c r="I112" s="69">
        <f>SUMIFS(CT!$H$5:$H$143,CT!$A$5:$A$143,"&lt;"&amp;$I$3,CT!$E$5:$E$143,A112)</f>
        <v>0</v>
      </c>
      <c r="J112" s="69">
        <f t="shared" si="6"/>
        <v>0</v>
      </c>
      <c r="K112" s="69">
        <f t="shared" si="7"/>
        <v>0</v>
      </c>
      <c r="L112" s="69">
        <f>SUMIFS(CT!$F$5:$F$143,CT!$A$5:$A$143,"&gt;="&amp;$I$3,CT!$A$5:$A$143,"&lt;="&amp;$K$3,CT!$D$5:$D$143,A112)</f>
        <v>0</v>
      </c>
      <c r="M112" s="69">
        <f>SUMIFS(CT!$H$5:$H$143,CT!$A$5:$A$143,"&gt;="&amp;$I$3,CT!$A$5:$A$143,"&lt;="&amp;$K$3,CT!$D$5:$D$143,A112)</f>
        <v>0</v>
      </c>
      <c r="N112" s="69">
        <f>SUMIFS(CT!$F$5:$F$143,CT!$A$5:$A$143,"&gt;="&amp;$I$3,CT!$A$5:$A$143,"&lt;="&amp;$K$3,CT!$E$5:$E$143,A112)</f>
        <v>0</v>
      </c>
      <c r="O112" s="69">
        <f>SUMIFS(CT!$H$5:$H$143,CT!$A$5:$A$143,"&gt;="&amp;$I$3,CT!$A$5:$A$143,"&lt;="&amp;$K$3,CT!$E$5:$E$143,A112)</f>
        <v>0</v>
      </c>
      <c r="P112" s="69">
        <f t="shared" si="8"/>
        <v>0</v>
      </c>
      <c r="Q112" s="69">
        <f t="shared" si="9"/>
        <v>0</v>
      </c>
      <c r="R112" s="69">
        <f t="shared" si="10"/>
        <v>0</v>
      </c>
      <c r="S112" t="b">
        <f t="shared" si="11"/>
        <v>0</v>
      </c>
    </row>
    <row r="113" spans="1:19" hidden="1" x14ac:dyDescent="0.25">
      <c r="A113" s="93" t="str">
        <f>DMTK!B110</f>
        <v>2421.01</v>
      </c>
      <c r="B113" s="65" t="str">
        <f>VLOOKUP(A113,DMTK!$B$5:$Q$263,3,0)</f>
        <v>Máy tính Casio (không quá 12 tháng)</v>
      </c>
      <c r="C113" s="65" t="str">
        <f>VLOOKUP(A113,DMTK!$B$5:$Q$263,16,0)</f>
        <v xml:space="preserve"> </v>
      </c>
      <c r="D113" s="69">
        <f>VLOOKUP(A113,DMTK!$B$5:$Q$263,4,0)</f>
        <v>0</v>
      </c>
      <c r="E113" s="69">
        <f>VLOOKUP(A113,DMTK!$B$5:$Q$263,5,0)</f>
        <v>5000000</v>
      </c>
      <c r="F113" s="69">
        <f>SUMIFS(CT!$F$5:$F$143,CT!$A$5:$A$143,"&lt;"&amp;$I$3,CT!$D$5:$D$143,A113)</f>
        <v>0</v>
      </c>
      <c r="G113" s="69">
        <f>SUMIFS(CT!$H$5:$H$143,CT!$A$5:$A$143,"&lt;"&amp;$I$3,CT!$D$5:$D$143,A113)</f>
        <v>0</v>
      </c>
      <c r="H113" s="69">
        <f>SUMIFS(CT!$F$5:$F$143,CT!$A$5:$A$143,"&lt;"&amp;$I$3,CT!$E$5:$E$143,A113)</f>
        <v>0</v>
      </c>
      <c r="I113" s="69">
        <f>SUMIFS(CT!$H$5:$H$143,CT!$A$5:$A$143,"&lt;"&amp;$I$3,CT!$E$5:$E$143,A113)</f>
        <v>0</v>
      </c>
      <c r="J113" s="69">
        <f t="shared" si="6"/>
        <v>0</v>
      </c>
      <c r="K113" s="69">
        <f t="shared" si="7"/>
        <v>5000000</v>
      </c>
      <c r="L113" s="69">
        <f>SUMIFS(CT!$F$5:$F$143,CT!$A$5:$A$143,"&gt;="&amp;$I$3,CT!$A$5:$A$143,"&lt;="&amp;$K$3,CT!$D$5:$D$143,A113)</f>
        <v>5</v>
      </c>
      <c r="M113" s="69">
        <f>SUMIFS(CT!$H$5:$H$143,CT!$A$5:$A$143,"&gt;="&amp;$I$3,CT!$A$5:$A$143,"&lt;="&amp;$K$3,CT!$D$5:$D$143,A113)</f>
        <v>2500000</v>
      </c>
      <c r="N113" s="69">
        <f>SUMIFS(CT!$F$5:$F$143,CT!$A$5:$A$143,"&gt;="&amp;$I$3,CT!$A$5:$A$143,"&lt;="&amp;$K$3,CT!$E$5:$E$143,A113)</f>
        <v>0</v>
      </c>
      <c r="O113" s="69">
        <f>SUMIFS(CT!$H$5:$H$143,CT!$A$5:$A$143,"&gt;="&amp;$I$3,CT!$A$5:$A$143,"&lt;="&amp;$K$3,CT!$E$5:$E$143,A113)</f>
        <v>500000</v>
      </c>
      <c r="P113" s="69">
        <f t="shared" si="8"/>
        <v>5</v>
      </c>
      <c r="Q113" s="69">
        <f t="shared" si="9"/>
        <v>7000000</v>
      </c>
      <c r="R113" s="69">
        <f t="shared" si="10"/>
        <v>1400000</v>
      </c>
      <c r="S113" t="b">
        <f t="shared" si="11"/>
        <v>0</v>
      </c>
    </row>
    <row r="114" spans="1:19" hidden="1" x14ac:dyDescent="0.25">
      <c r="A114" s="93" t="str">
        <f>DMTK!B111</f>
        <v>2421.02</v>
      </c>
      <c r="B114" s="65" t="str">
        <f>VLOOKUP(A114,DMTK!$B$5:$Q$263,3,0)</f>
        <v>Kệ tủ (không quá 12 tháng)</v>
      </c>
      <c r="C114" s="65" t="str">
        <f>VLOOKUP(A114,DMTK!$B$5:$Q$263,16,0)</f>
        <v xml:space="preserve"> </v>
      </c>
      <c r="D114" s="69">
        <f>VLOOKUP(A114,DMTK!$B$5:$Q$263,4,0)</f>
        <v>0</v>
      </c>
      <c r="E114" s="69">
        <f>VLOOKUP(A114,DMTK!$B$5:$Q$263,5,0)</f>
        <v>8000000</v>
      </c>
      <c r="F114" s="69">
        <f>SUMIFS(CT!$F$5:$F$143,CT!$A$5:$A$143,"&lt;"&amp;$I$3,CT!$D$5:$D$143,A114)</f>
        <v>0</v>
      </c>
      <c r="G114" s="69">
        <f>SUMIFS(CT!$H$5:$H$143,CT!$A$5:$A$143,"&lt;"&amp;$I$3,CT!$D$5:$D$143,A114)</f>
        <v>0</v>
      </c>
      <c r="H114" s="69">
        <f>SUMIFS(CT!$F$5:$F$143,CT!$A$5:$A$143,"&lt;"&amp;$I$3,CT!$E$5:$E$143,A114)</f>
        <v>0</v>
      </c>
      <c r="I114" s="69">
        <f>SUMIFS(CT!$H$5:$H$143,CT!$A$5:$A$143,"&lt;"&amp;$I$3,CT!$E$5:$E$143,A114)</f>
        <v>0</v>
      </c>
      <c r="J114" s="69">
        <f t="shared" si="6"/>
        <v>0</v>
      </c>
      <c r="K114" s="69">
        <f t="shared" si="7"/>
        <v>8000000</v>
      </c>
      <c r="L114" s="69">
        <f>SUMIFS(CT!$F$5:$F$143,CT!$A$5:$A$143,"&gt;="&amp;$I$3,CT!$A$5:$A$143,"&lt;="&amp;$K$3,CT!$D$5:$D$143,A114)</f>
        <v>4</v>
      </c>
      <c r="M114" s="69">
        <f>SUMIFS(CT!$H$5:$H$143,CT!$A$5:$A$143,"&gt;="&amp;$I$3,CT!$A$5:$A$143,"&lt;="&amp;$K$3,CT!$D$5:$D$143,A114)</f>
        <v>1000000</v>
      </c>
      <c r="N114" s="69">
        <f>SUMIFS(CT!$F$5:$F$143,CT!$A$5:$A$143,"&gt;="&amp;$I$3,CT!$A$5:$A$143,"&lt;="&amp;$K$3,CT!$E$5:$E$143,A114)</f>
        <v>0</v>
      </c>
      <c r="O114" s="69">
        <f>SUMIFS(CT!$H$5:$H$143,CT!$A$5:$A$143,"&gt;="&amp;$I$3,CT!$A$5:$A$143,"&lt;="&amp;$K$3,CT!$E$5:$E$143,A114)</f>
        <v>250000</v>
      </c>
      <c r="P114" s="69">
        <f t="shared" si="8"/>
        <v>4</v>
      </c>
      <c r="Q114" s="69">
        <f t="shared" si="9"/>
        <v>8750000</v>
      </c>
      <c r="R114" s="69">
        <f t="shared" si="10"/>
        <v>2187500</v>
      </c>
      <c r="S114" t="b">
        <f t="shared" si="11"/>
        <v>0</v>
      </c>
    </row>
    <row r="115" spans="1:19" hidden="1" x14ac:dyDescent="0.25">
      <c r="A115" s="93" t="str">
        <f>DMTK!B112</f>
        <v>2422.01</v>
      </c>
      <c r="B115" s="65" t="str">
        <f>VLOOKUP(A115,DMTK!$B$5:$Q$263,3,0)</f>
        <v>Máy tính Casio (trên 12 tháng)</v>
      </c>
      <c r="C115" s="65" t="str">
        <f>VLOOKUP(A115,DMTK!$B$5:$Q$263,16,0)</f>
        <v xml:space="preserve"> </v>
      </c>
      <c r="D115" s="69">
        <f>VLOOKUP(A115,DMTK!$B$5:$Q$263,4,0)</f>
        <v>0</v>
      </c>
      <c r="E115" s="69">
        <f>VLOOKUP(A115,DMTK!$B$5:$Q$263,5,0)</f>
        <v>0</v>
      </c>
      <c r="F115" s="69">
        <f>SUMIFS(CT!$F$5:$F$143,CT!$A$5:$A$143,"&lt;"&amp;$I$3,CT!$D$5:$D$143,A115)</f>
        <v>0</v>
      </c>
      <c r="G115" s="69">
        <f>SUMIFS(CT!$H$5:$H$143,CT!$A$5:$A$143,"&lt;"&amp;$I$3,CT!$D$5:$D$143,A115)</f>
        <v>0</v>
      </c>
      <c r="H115" s="69">
        <f>SUMIFS(CT!$F$5:$F$143,CT!$A$5:$A$143,"&lt;"&amp;$I$3,CT!$E$5:$E$143,A115)</f>
        <v>0</v>
      </c>
      <c r="I115" s="69">
        <f>SUMIFS(CT!$H$5:$H$143,CT!$A$5:$A$143,"&lt;"&amp;$I$3,CT!$E$5:$E$143,A115)</f>
        <v>0</v>
      </c>
      <c r="J115" s="69">
        <f t="shared" si="6"/>
        <v>0</v>
      </c>
      <c r="K115" s="69">
        <f t="shared" si="7"/>
        <v>0</v>
      </c>
      <c r="L115" s="69">
        <f>SUMIFS(CT!$F$5:$F$143,CT!$A$5:$A$143,"&gt;="&amp;$I$3,CT!$A$5:$A$143,"&lt;="&amp;$K$3,CT!$D$5:$D$143,A115)</f>
        <v>0</v>
      </c>
      <c r="M115" s="69">
        <f>SUMIFS(CT!$H$5:$H$143,CT!$A$5:$A$143,"&gt;="&amp;$I$3,CT!$A$5:$A$143,"&lt;="&amp;$K$3,CT!$D$5:$D$143,A115)</f>
        <v>0</v>
      </c>
      <c r="N115" s="69">
        <f>SUMIFS(CT!$F$5:$F$143,CT!$A$5:$A$143,"&gt;="&amp;$I$3,CT!$A$5:$A$143,"&lt;="&amp;$K$3,CT!$E$5:$E$143,A115)</f>
        <v>0</v>
      </c>
      <c r="O115" s="69">
        <f>SUMIFS(CT!$H$5:$H$143,CT!$A$5:$A$143,"&gt;="&amp;$I$3,CT!$A$5:$A$143,"&lt;="&amp;$K$3,CT!$E$5:$E$143,A115)</f>
        <v>0</v>
      </c>
      <c r="P115" s="69">
        <f t="shared" si="8"/>
        <v>0</v>
      </c>
      <c r="Q115" s="69">
        <f t="shared" si="9"/>
        <v>0</v>
      </c>
      <c r="R115" s="69">
        <f t="shared" si="10"/>
        <v>0</v>
      </c>
      <c r="S115" t="b">
        <f t="shared" si="11"/>
        <v>0</v>
      </c>
    </row>
    <row r="116" spans="1:19" hidden="1" x14ac:dyDescent="0.25">
      <c r="A116" s="93" t="str">
        <f>DMTK!B113</f>
        <v>2422.02</v>
      </c>
      <c r="B116" s="65" t="str">
        <f>VLOOKUP(A116,DMTK!$B$5:$Q$263,3,0)</f>
        <v>Kệ tủ (trên 12 tháng)</v>
      </c>
      <c r="C116" s="65" t="str">
        <f>VLOOKUP(A116,DMTK!$B$5:$Q$263,16,0)</f>
        <v xml:space="preserve"> </v>
      </c>
      <c r="D116" s="69">
        <f>VLOOKUP(A116,DMTK!$B$5:$Q$263,4,0)</f>
        <v>0</v>
      </c>
      <c r="E116" s="69">
        <f>VLOOKUP(A116,DMTK!$B$5:$Q$263,5,0)</f>
        <v>0</v>
      </c>
      <c r="F116" s="69">
        <f>SUMIFS(CT!$F$5:$F$143,CT!$A$5:$A$143,"&lt;"&amp;$I$3,CT!$D$5:$D$143,A116)</f>
        <v>0</v>
      </c>
      <c r="G116" s="69">
        <f>SUMIFS(CT!$H$5:$H$143,CT!$A$5:$A$143,"&lt;"&amp;$I$3,CT!$D$5:$D$143,A116)</f>
        <v>0</v>
      </c>
      <c r="H116" s="69">
        <f>SUMIFS(CT!$F$5:$F$143,CT!$A$5:$A$143,"&lt;"&amp;$I$3,CT!$E$5:$E$143,A116)</f>
        <v>0</v>
      </c>
      <c r="I116" s="69">
        <f>SUMIFS(CT!$H$5:$H$143,CT!$A$5:$A$143,"&lt;"&amp;$I$3,CT!$E$5:$E$143,A116)</f>
        <v>0</v>
      </c>
      <c r="J116" s="69">
        <f t="shared" si="6"/>
        <v>0</v>
      </c>
      <c r="K116" s="69">
        <f t="shared" si="7"/>
        <v>0</v>
      </c>
      <c r="L116" s="69">
        <f>SUMIFS(CT!$F$5:$F$143,CT!$A$5:$A$143,"&gt;="&amp;$I$3,CT!$A$5:$A$143,"&lt;="&amp;$K$3,CT!$D$5:$D$143,A116)</f>
        <v>0</v>
      </c>
      <c r="M116" s="69">
        <f>SUMIFS(CT!$H$5:$H$143,CT!$A$5:$A$143,"&gt;="&amp;$I$3,CT!$A$5:$A$143,"&lt;="&amp;$K$3,CT!$D$5:$D$143,A116)</f>
        <v>0</v>
      </c>
      <c r="N116" s="69">
        <f>SUMIFS(CT!$F$5:$F$143,CT!$A$5:$A$143,"&gt;="&amp;$I$3,CT!$A$5:$A$143,"&lt;="&amp;$K$3,CT!$E$5:$E$143,A116)</f>
        <v>0</v>
      </c>
      <c r="O116" s="69">
        <f>SUMIFS(CT!$H$5:$H$143,CT!$A$5:$A$143,"&gt;="&amp;$I$3,CT!$A$5:$A$143,"&lt;="&amp;$K$3,CT!$E$5:$E$143,A116)</f>
        <v>0</v>
      </c>
      <c r="P116" s="69">
        <f t="shared" si="8"/>
        <v>0</v>
      </c>
      <c r="Q116" s="69">
        <f t="shared" si="9"/>
        <v>0</v>
      </c>
      <c r="R116" s="69">
        <f t="shared" si="10"/>
        <v>0</v>
      </c>
      <c r="S116" t="b">
        <f t="shared" si="11"/>
        <v>0</v>
      </c>
    </row>
    <row r="117" spans="1:19" hidden="1" x14ac:dyDescent="0.25">
      <c r="A117" s="93" t="str">
        <f>DMTK!B114</f>
        <v>2422.03</v>
      </c>
      <c r="B117" s="65" t="str">
        <f>VLOOKUP(A117,DMTK!$B$5:$Q$263,3,0)</f>
        <v>Chi phí sửa chữa lớn TSCĐ</v>
      </c>
      <c r="C117" s="65" t="str">
        <f>VLOOKUP(A117,DMTK!$B$5:$Q$263,16,0)</f>
        <v xml:space="preserve"> </v>
      </c>
      <c r="D117" s="69">
        <f>VLOOKUP(A117,DMTK!$B$5:$Q$263,4,0)</f>
        <v>0</v>
      </c>
      <c r="E117" s="69">
        <f>VLOOKUP(A117,DMTK!$B$5:$Q$263,5,0)</f>
        <v>0</v>
      </c>
      <c r="F117" s="69">
        <f>SUMIFS(CT!$F$5:$F$143,CT!$A$5:$A$143,"&lt;"&amp;$I$3,CT!$D$5:$D$143,A117)</f>
        <v>0</v>
      </c>
      <c r="G117" s="69">
        <f>SUMIFS(CT!$H$5:$H$143,CT!$A$5:$A$143,"&lt;"&amp;$I$3,CT!$D$5:$D$143,A117)</f>
        <v>0</v>
      </c>
      <c r="H117" s="69">
        <f>SUMIFS(CT!$F$5:$F$143,CT!$A$5:$A$143,"&lt;"&amp;$I$3,CT!$E$5:$E$143,A117)</f>
        <v>0</v>
      </c>
      <c r="I117" s="69">
        <f>SUMIFS(CT!$H$5:$H$143,CT!$A$5:$A$143,"&lt;"&amp;$I$3,CT!$E$5:$E$143,A117)</f>
        <v>0</v>
      </c>
      <c r="J117" s="69">
        <f t="shared" si="6"/>
        <v>0</v>
      </c>
      <c r="K117" s="69">
        <f t="shared" si="7"/>
        <v>0</v>
      </c>
      <c r="L117" s="69">
        <f>SUMIFS(CT!$F$5:$F$143,CT!$A$5:$A$143,"&gt;="&amp;$I$3,CT!$A$5:$A$143,"&lt;="&amp;$K$3,CT!$D$5:$D$143,A117)</f>
        <v>0</v>
      </c>
      <c r="M117" s="69">
        <f>SUMIFS(CT!$H$5:$H$143,CT!$A$5:$A$143,"&gt;="&amp;$I$3,CT!$A$5:$A$143,"&lt;="&amp;$K$3,CT!$D$5:$D$143,A117)</f>
        <v>0</v>
      </c>
      <c r="N117" s="69">
        <f>SUMIFS(CT!$F$5:$F$143,CT!$A$5:$A$143,"&gt;="&amp;$I$3,CT!$A$5:$A$143,"&lt;="&amp;$K$3,CT!$E$5:$E$143,A117)</f>
        <v>0</v>
      </c>
      <c r="O117" s="69">
        <f>SUMIFS(CT!$H$5:$H$143,CT!$A$5:$A$143,"&gt;="&amp;$I$3,CT!$A$5:$A$143,"&lt;="&amp;$K$3,CT!$E$5:$E$143,A117)</f>
        <v>0</v>
      </c>
      <c r="P117" s="69">
        <f t="shared" si="8"/>
        <v>0</v>
      </c>
      <c r="Q117" s="69">
        <f t="shared" si="9"/>
        <v>0</v>
      </c>
      <c r="R117" s="69">
        <f t="shared" si="10"/>
        <v>0</v>
      </c>
      <c r="S117" t="b">
        <f t="shared" si="11"/>
        <v>0</v>
      </c>
    </row>
    <row r="118" spans="1:19" hidden="1" x14ac:dyDescent="0.25">
      <c r="A118" s="93" t="str">
        <f>DMTK!B115</f>
        <v>243</v>
      </c>
      <c r="B118" s="65" t="str">
        <f>VLOOKUP(A118,DMTK!$B$5:$Q$263,3,0)</f>
        <v>Tài sản thuế thu nhập hoãn lại</v>
      </c>
      <c r="C118" s="65" t="str">
        <f>VLOOKUP(A118,DMTK!$B$5:$Q$263,16,0)</f>
        <v xml:space="preserve"> </v>
      </c>
      <c r="D118" s="69">
        <f>VLOOKUP(A118,DMTK!$B$5:$Q$263,4,0)</f>
        <v>0</v>
      </c>
      <c r="E118" s="69">
        <f>VLOOKUP(A118,DMTK!$B$5:$Q$263,5,0)</f>
        <v>0</v>
      </c>
      <c r="F118" s="69">
        <f>SUMIFS(CT!$F$5:$F$143,CT!$A$5:$A$143,"&lt;"&amp;$I$3,CT!$D$5:$D$143,A118)</f>
        <v>0</v>
      </c>
      <c r="G118" s="69">
        <f>SUMIFS(CT!$H$5:$H$143,CT!$A$5:$A$143,"&lt;"&amp;$I$3,CT!$D$5:$D$143,A118)</f>
        <v>0</v>
      </c>
      <c r="H118" s="69">
        <f>SUMIFS(CT!$F$5:$F$143,CT!$A$5:$A$143,"&lt;"&amp;$I$3,CT!$E$5:$E$143,A118)</f>
        <v>0</v>
      </c>
      <c r="I118" s="69">
        <f>SUMIFS(CT!$H$5:$H$143,CT!$A$5:$A$143,"&lt;"&amp;$I$3,CT!$E$5:$E$143,A118)</f>
        <v>0</v>
      </c>
      <c r="J118" s="69">
        <f t="shared" si="6"/>
        <v>0</v>
      </c>
      <c r="K118" s="69">
        <f t="shared" si="7"/>
        <v>0</v>
      </c>
      <c r="L118" s="69">
        <f>SUMIFS(CT!$F$5:$F$143,CT!$A$5:$A$143,"&gt;="&amp;$I$3,CT!$A$5:$A$143,"&lt;="&amp;$K$3,CT!$D$5:$D$143,A118)</f>
        <v>0</v>
      </c>
      <c r="M118" s="69">
        <f>SUMIFS(CT!$H$5:$H$143,CT!$A$5:$A$143,"&gt;="&amp;$I$3,CT!$A$5:$A$143,"&lt;="&amp;$K$3,CT!$D$5:$D$143,A118)</f>
        <v>0</v>
      </c>
      <c r="N118" s="69">
        <f>SUMIFS(CT!$F$5:$F$143,CT!$A$5:$A$143,"&gt;="&amp;$I$3,CT!$A$5:$A$143,"&lt;="&amp;$K$3,CT!$E$5:$E$143,A118)</f>
        <v>0</v>
      </c>
      <c r="O118" s="69">
        <f>SUMIFS(CT!$H$5:$H$143,CT!$A$5:$A$143,"&gt;="&amp;$I$3,CT!$A$5:$A$143,"&lt;="&amp;$K$3,CT!$E$5:$E$143,A118)</f>
        <v>0</v>
      </c>
      <c r="P118" s="69">
        <f t="shared" si="8"/>
        <v>0</v>
      </c>
      <c r="Q118" s="69">
        <f t="shared" si="9"/>
        <v>0</v>
      </c>
      <c r="R118" s="69">
        <f t="shared" si="10"/>
        <v>0</v>
      </c>
      <c r="S118" t="b">
        <f t="shared" si="11"/>
        <v>0</v>
      </c>
    </row>
    <row r="119" spans="1:19" hidden="1" x14ac:dyDescent="0.25">
      <c r="A119" s="93" t="str">
        <f>DMTK!B116</f>
        <v>2441</v>
      </c>
      <c r="B119" s="65" t="str">
        <f>VLOOKUP(A119,DMTK!$B$5:$Q$263,3,0)</f>
        <v>Cầm cố, thế chấp, ký quỹ, ký cược (không quá 12 tháng)</v>
      </c>
      <c r="C119" s="65" t="str">
        <f>VLOOKUP(A119,DMTK!$B$5:$Q$263,16,0)</f>
        <v xml:space="preserve"> </v>
      </c>
      <c r="D119" s="69">
        <f>VLOOKUP(A119,DMTK!$B$5:$Q$263,4,0)</f>
        <v>0</v>
      </c>
      <c r="E119" s="69">
        <f>VLOOKUP(A119,DMTK!$B$5:$Q$263,5,0)</f>
        <v>130000000</v>
      </c>
      <c r="F119" s="69">
        <f>SUMIFS(CT!$F$5:$F$143,CT!$A$5:$A$143,"&lt;"&amp;$I$3,CT!$D$5:$D$143,A119)</f>
        <v>0</v>
      </c>
      <c r="G119" s="69">
        <f>SUMIFS(CT!$H$5:$H$143,CT!$A$5:$A$143,"&lt;"&amp;$I$3,CT!$D$5:$D$143,A119)</f>
        <v>0</v>
      </c>
      <c r="H119" s="69">
        <f>SUMIFS(CT!$F$5:$F$143,CT!$A$5:$A$143,"&lt;"&amp;$I$3,CT!$E$5:$E$143,A119)</f>
        <v>0</v>
      </c>
      <c r="I119" s="69">
        <f>SUMIFS(CT!$H$5:$H$143,CT!$A$5:$A$143,"&lt;"&amp;$I$3,CT!$E$5:$E$143,A119)</f>
        <v>0</v>
      </c>
      <c r="J119" s="69">
        <f t="shared" si="6"/>
        <v>0</v>
      </c>
      <c r="K119" s="69">
        <f t="shared" si="7"/>
        <v>130000000</v>
      </c>
      <c r="L119" s="69">
        <f>SUMIFS(CT!$F$5:$F$143,CT!$A$5:$A$143,"&gt;="&amp;$I$3,CT!$A$5:$A$143,"&lt;="&amp;$K$3,CT!$D$5:$D$143,A119)</f>
        <v>0</v>
      </c>
      <c r="M119" s="69">
        <f>SUMIFS(CT!$H$5:$H$143,CT!$A$5:$A$143,"&gt;="&amp;$I$3,CT!$A$5:$A$143,"&lt;="&amp;$K$3,CT!$D$5:$D$143,A119)</f>
        <v>0</v>
      </c>
      <c r="N119" s="69">
        <f>SUMIFS(CT!$F$5:$F$143,CT!$A$5:$A$143,"&gt;="&amp;$I$3,CT!$A$5:$A$143,"&lt;="&amp;$K$3,CT!$E$5:$E$143,A119)</f>
        <v>0</v>
      </c>
      <c r="O119" s="69">
        <f>SUMIFS(CT!$H$5:$H$143,CT!$A$5:$A$143,"&gt;="&amp;$I$3,CT!$A$5:$A$143,"&lt;="&amp;$K$3,CT!$E$5:$E$143,A119)</f>
        <v>0</v>
      </c>
      <c r="P119" s="69">
        <f t="shared" si="8"/>
        <v>0</v>
      </c>
      <c r="Q119" s="69">
        <f t="shared" si="9"/>
        <v>130000000</v>
      </c>
      <c r="R119" s="69">
        <f t="shared" si="10"/>
        <v>0</v>
      </c>
      <c r="S119" t="b">
        <f t="shared" si="11"/>
        <v>0</v>
      </c>
    </row>
    <row r="120" spans="1:19" hidden="1" x14ac:dyDescent="0.25">
      <c r="A120" s="93" t="str">
        <f>DMTK!B117</f>
        <v>2442</v>
      </c>
      <c r="B120" s="65" t="str">
        <f>VLOOKUP(A120,DMTK!$B$5:$Q$263,3,0)</f>
        <v>Cầm cố, thế chấp, ký quỹ, ký cược (trên 12 tháng)</v>
      </c>
      <c r="C120" s="65" t="str">
        <f>VLOOKUP(A120,DMTK!$B$5:$Q$263,16,0)</f>
        <v xml:space="preserve"> </v>
      </c>
      <c r="D120" s="69">
        <f>VLOOKUP(A120,DMTK!$B$5:$Q$263,4,0)</f>
        <v>0</v>
      </c>
      <c r="E120" s="69">
        <f>VLOOKUP(A120,DMTK!$B$5:$Q$263,5,0)</f>
        <v>0</v>
      </c>
      <c r="F120" s="69">
        <f>SUMIFS(CT!$F$5:$F$143,CT!$A$5:$A$143,"&lt;"&amp;$I$3,CT!$D$5:$D$143,A120)</f>
        <v>0</v>
      </c>
      <c r="G120" s="69">
        <f>SUMIFS(CT!$H$5:$H$143,CT!$A$5:$A$143,"&lt;"&amp;$I$3,CT!$D$5:$D$143,A120)</f>
        <v>0</v>
      </c>
      <c r="H120" s="69">
        <f>SUMIFS(CT!$F$5:$F$143,CT!$A$5:$A$143,"&lt;"&amp;$I$3,CT!$E$5:$E$143,A120)</f>
        <v>0</v>
      </c>
      <c r="I120" s="69">
        <f>SUMIFS(CT!$H$5:$H$143,CT!$A$5:$A$143,"&lt;"&amp;$I$3,CT!$E$5:$E$143,A120)</f>
        <v>0</v>
      </c>
      <c r="J120" s="69">
        <f t="shared" si="6"/>
        <v>0</v>
      </c>
      <c r="K120" s="69">
        <f t="shared" si="7"/>
        <v>0</v>
      </c>
      <c r="L120" s="69">
        <f>SUMIFS(CT!$F$5:$F$143,CT!$A$5:$A$143,"&gt;="&amp;$I$3,CT!$A$5:$A$143,"&lt;="&amp;$K$3,CT!$D$5:$D$143,A120)</f>
        <v>0</v>
      </c>
      <c r="M120" s="69">
        <f>SUMIFS(CT!$H$5:$H$143,CT!$A$5:$A$143,"&gt;="&amp;$I$3,CT!$A$5:$A$143,"&lt;="&amp;$K$3,CT!$D$5:$D$143,A120)</f>
        <v>0</v>
      </c>
      <c r="N120" s="69">
        <f>SUMIFS(CT!$F$5:$F$143,CT!$A$5:$A$143,"&gt;="&amp;$I$3,CT!$A$5:$A$143,"&lt;="&amp;$K$3,CT!$E$5:$E$143,A120)</f>
        <v>0</v>
      </c>
      <c r="O120" s="69">
        <f>SUMIFS(CT!$H$5:$H$143,CT!$A$5:$A$143,"&gt;="&amp;$I$3,CT!$A$5:$A$143,"&lt;="&amp;$K$3,CT!$E$5:$E$143,A120)</f>
        <v>0</v>
      </c>
      <c r="P120" s="69">
        <f t="shared" si="8"/>
        <v>0</v>
      </c>
      <c r="Q120" s="69">
        <f t="shared" si="9"/>
        <v>0</v>
      </c>
      <c r="R120" s="69">
        <f t="shared" si="10"/>
        <v>0</v>
      </c>
      <c r="S120" t="b">
        <f t="shared" si="11"/>
        <v>0</v>
      </c>
    </row>
    <row r="121" spans="1:19" hidden="1" x14ac:dyDescent="0.25">
      <c r="A121" s="93" t="str">
        <f>DMTK!B118</f>
        <v>3311.01</v>
      </c>
      <c r="B121" s="65" t="str">
        <f>VLOOKUP(A121,DMTK!$B$5:$Q$263,3,0)</f>
        <v>Cty CP Mai Lan</v>
      </c>
      <c r="C121" s="65" t="str">
        <f>VLOOKUP(A121,DMTK!$B$5:$Q$263,16,0)</f>
        <v xml:space="preserve"> </v>
      </c>
      <c r="D121" s="69">
        <f>VLOOKUP(A121,DMTK!$B$5:$Q$263,4,0)</f>
        <v>0</v>
      </c>
      <c r="E121" s="69">
        <f>VLOOKUP(A121,DMTK!$B$5:$Q$263,5,0)</f>
        <v>139000000</v>
      </c>
      <c r="F121" s="69">
        <f>SUMIFS(CT!$F$5:$F$143,CT!$A$5:$A$143,"&lt;"&amp;$I$3,CT!$D$5:$D$143,A121)</f>
        <v>0</v>
      </c>
      <c r="G121" s="69">
        <f>SUMIFS(CT!$H$5:$H$143,CT!$A$5:$A$143,"&lt;"&amp;$I$3,CT!$D$5:$D$143,A121)</f>
        <v>0</v>
      </c>
      <c r="H121" s="69">
        <f>SUMIFS(CT!$F$5:$F$143,CT!$A$5:$A$143,"&lt;"&amp;$I$3,CT!$E$5:$E$143,A121)</f>
        <v>300</v>
      </c>
      <c r="I121" s="69">
        <f>SUMIFS(CT!$H$5:$H$143,CT!$A$5:$A$143,"&lt;"&amp;$I$3,CT!$E$5:$E$143,A121)</f>
        <v>4755000</v>
      </c>
      <c r="J121" s="69">
        <f t="shared" si="6"/>
        <v>0</v>
      </c>
      <c r="K121" s="69">
        <f t="shared" si="7"/>
        <v>134245000</v>
      </c>
      <c r="L121" s="69">
        <f>SUMIFS(CT!$F$5:$F$143,CT!$A$5:$A$143,"&gt;="&amp;$I$3,CT!$A$5:$A$143,"&lt;="&amp;$K$3,CT!$D$5:$D$143,A121)</f>
        <v>0</v>
      </c>
      <c r="M121" s="69">
        <f>SUMIFS(CT!$H$5:$H$143,CT!$A$5:$A$143,"&gt;="&amp;$I$3,CT!$A$5:$A$143,"&lt;="&amp;$K$3,CT!$D$5:$D$143,A121)</f>
        <v>40000000</v>
      </c>
      <c r="N121" s="69">
        <f>SUMIFS(CT!$F$5:$F$143,CT!$A$5:$A$143,"&gt;="&amp;$I$3,CT!$A$5:$A$143,"&lt;="&amp;$K$3,CT!$E$5:$E$143,A121)</f>
        <v>0</v>
      </c>
      <c r="O121" s="69">
        <f>SUMIFS(CT!$H$5:$H$143,CT!$A$5:$A$143,"&gt;="&amp;$I$3,CT!$A$5:$A$143,"&lt;="&amp;$K$3,CT!$E$5:$E$143,A121)</f>
        <v>0</v>
      </c>
      <c r="P121" s="69">
        <f t="shared" si="8"/>
        <v>0</v>
      </c>
      <c r="Q121" s="69">
        <f t="shared" si="9"/>
        <v>174245000</v>
      </c>
      <c r="R121" s="69">
        <f t="shared" si="10"/>
        <v>0</v>
      </c>
      <c r="S121" t="b">
        <f t="shared" si="11"/>
        <v>0</v>
      </c>
    </row>
    <row r="122" spans="1:19" hidden="1" x14ac:dyDescent="0.25">
      <c r="A122" s="93" t="str">
        <f>DMTK!B119</f>
        <v>3311.02</v>
      </c>
      <c r="B122" s="65" t="str">
        <f>VLOOKUP(A122,DMTK!$B$5:$Q$263,3,0)</f>
        <v>Cty TNHH Cường Phát</v>
      </c>
      <c r="C122" s="65" t="str">
        <f>VLOOKUP(A122,DMTK!$B$5:$Q$263,16,0)</f>
        <v xml:space="preserve"> </v>
      </c>
      <c r="D122" s="69">
        <f>VLOOKUP(A122,DMTK!$B$5:$Q$263,4,0)</f>
        <v>0</v>
      </c>
      <c r="E122" s="69">
        <f>VLOOKUP(A122,DMTK!$B$5:$Q$263,5,0)</f>
        <v>73000000</v>
      </c>
      <c r="F122" s="69">
        <f>SUMIFS(CT!$F$5:$F$143,CT!$A$5:$A$143,"&lt;"&amp;$I$3,CT!$D$5:$D$143,A122)</f>
        <v>0</v>
      </c>
      <c r="G122" s="69">
        <f>SUMIFS(CT!$H$5:$H$143,CT!$A$5:$A$143,"&lt;"&amp;$I$3,CT!$D$5:$D$143,A122)</f>
        <v>0</v>
      </c>
      <c r="H122" s="69">
        <f>SUMIFS(CT!$F$5:$F$143,CT!$A$5:$A$143,"&lt;"&amp;$I$3,CT!$E$5:$E$143,A122)</f>
        <v>5</v>
      </c>
      <c r="I122" s="69">
        <f>SUMIFS(CT!$H$5:$H$143,CT!$A$5:$A$143,"&lt;"&amp;$I$3,CT!$E$5:$E$143,A122)</f>
        <v>23500000</v>
      </c>
      <c r="J122" s="69">
        <f t="shared" si="6"/>
        <v>0</v>
      </c>
      <c r="K122" s="69">
        <f t="shared" si="7"/>
        <v>49500000</v>
      </c>
      <c r="L122" s="69">
        <f>SUMIFS(CT!$F$5:$F$143,CT!$A$5:$A$143,"&gt;="&amp;$I$3,CT!$A$5:$A$143,"&lt;="&amp;$K$3,CT!$D$5:$D$143,A122)</f>
        <v>0</v>
      </c>
      <c r="M122" s="69">
        <f>SUMIFS(CT!$H$5:$H$143,CT!$A$5:$A$143,"&gt;="&amp;$I$3,CT!$A$5:$A$143,"&lt;="&amp;$K$3,CT!$D$5:$D$143,A122)</f>
        <v>0</v>
      </c>
      <c r="N122" s="69">
        <f>SUMIFS(CT!$F$5:$F$143,CT!$A$5:$A$143,"&gt;="&amp;$I$3,CT!$A$5:$A$143,"&lt;="&amp;$K$3,CT!$E$5:$E$143,A122)</f>
        <v>0</v>
      </c>
      <c r="O122" s="69">
        <f>SUMIFS(CT!$H$5:$H$143,CT!$A$5:$A$143,"&gt;="&amp;$I$3,CT!$A$5:$A$143,"&lt;="&amp;$K$3,CT!$E$5:$E$143,A122)</f>
        <v>0</v>
      </c>
      <c r="P122" s="69">
        <f t="shared" si="8"/>
        <v>0</v>
      </c>
      <c r="Q122" s="69">
        <f t="shared" si="9"/>
        <v>49500000</v>
      </c>
      <c r="R122" s="69">
        <f t="shared" si="10"/>
        <v>0</v>
      </c>
      <c r="S122" t="b">
        <f t="shared" si="11"/>
        <v>0</v>
      </c>
    </row>
    <row r="123" spans="1:19" hidden="1" x14ac:dyDescent="0.25">
      <c r="A123" s="93" t="str">
        <f>DMTK!B120</f>
        <v>3311.03</v>
      </c>
      <c r="B123" s="65" t="str">
        <f>VLOOKUP(A123,DMTK!$B$5:$Q$263,3,0)</f>
        <v>Cty TNHH Minh Gia Phát</v>
      </c>
      <c r="C123" s="65" t="str">
        <f>VLOOKUP(A123,DMTK!$B$5:$Q$263,16,0)</f>
        <v xml:space="preserve"> </v>
      </c>
      <c r="D123" s="69">
        <f>VLOOKUP(A123,DMTK!$B$5:$Q$263,4,0)</f>
        <v>0</v>
      </c>
      <c r="E123" s="69">
        <f>VLOOKUP(A123,DMTK!$B$5:$Q$263,5,0)</f>
        <v>0</v>
      </c>
      <c r="F123" s="69">
        <f>SUMIFS(CT!$F$5:$F$143,CT!$A$5:$A$143,"&lt;"&amp;$I$3,CT!$D$5:$D$143,A123)</f>
        <v>0</v>
      </c>
      <c r="G123" s="69">
        <f>SUMIFS(CT!$H$5:$H$143,CT!$A$5:$A$143,"&lt;"&amp;$I$3,CT!$D$5:$D$143,A123)</f>
        <v>0</v>
      </c>
      <c r="H123" s="69">
        <f>SUMIFS(CT!$F$5:$F$143,CT!$A$5:$A$143,"&lt;"&amp;$I$3,CT!$E$5:$E$143,A123)</f>
        <v>200</v>
      </c>
      <c r="I123" s="69">
        <f>SUMIFS(CT!$H$5:$H$143,CT!$A$5:$A$143,"&lt;"&amp;$I$3,CT!$E$5:$E$143,A123)</f>
        <v>5500000</v>
      </c>
      <c r="J123" s="69">
        <f t="shared" si="6"/>
        <v>0</v>
      </c>
      <c r="K123" s="69">
        <f t="shared" si="7"/>
        <v>0</v>
      </c>
      <c r="L123" s="69">
        <f>SUMIFS(CT!$F$5:$F$143,CT!$A$5:$A$143,"&gt;="&amp;$I$3,CT!$A$5:$A$143,"&lt;="&amp;$K$3,CT!$D$5:$D$143,A123)</f>
        <v>0</v>
      </c>
      <c r="M123" s="69">
        <f>SUMIFS(CT!$H$5:$H$143,CT!$A$5:$A$143,"&gt;="&amp;$I$3,CT!$A$5:$A$143,"&lt;="&amp;$K$3,CT!$D$5:$D$143,A123)</f>
        <v>50000000</v>
      </c>
      <c r="N123" s="69">
        <f>SUMIFS(CT!$F$5:$F$143,CT!$A$5:$A$143,"&gt;="&amp;$I$3,CT!$A$5:$A$143,"&lt;="&amp;$K$3,CT!$E$5:$E$143,A123)</f>
        <v>0</v>
      </c>
      <c r="O123" s="69">
        <f>SUMIFS(CT!$H$5:$H$143,CT!$A$5:$A$143,"&gt;="&amp;$I$3,CT!$A$5:$A$143,"&lt;="&amp;$K$3,CT!$E$5:$E$143,A123)</f>
        <v>0</v>
      </c>
      <c r="P123" s="69">
        <f t="shared" si="8"/>
        <v>0</v>
      </c>
      <c r="Q123" s="69">
        <f t="shared" si="9"/>
        <v>50000000</v>
      </c>
      <c r="R123" s="69">
        <f t="shared" si="10"/>
        <v>0</v>
      </c>
      <c r="S123" t="b">
        <f t="shared" si="11"/>
        <v>0</v>
      </c>
    </row>
    <row r="124" spans="1:19" hidden="1" x14ac:dyDescent="0.25">
      <c r="A124" s="93" t="str">
        <f>DMTK!B121</f>
        <v>33311</v>
      </c>
      <c r="B124" s="65" t="str">
        <f>VLOOKUP(A124,DMTK!$B$5:$Q$263,3,0)</f>
        <v>Thuế GTGT đầu ra</v>
      </c>
      <c r="C124" s="65" t="str">
        <f>VLOOKUP(A124,DMTK!$B$5:$Q$263,16,0)</f>
        <v xml:space="preserve"> </v>
      </c>
      <c r="D124" s="69">
        <f>VLOOKUP(A124,DMTK!$B$5:$Q$263,4,0)</f>
        <v>0</v>
      </c>
      <c r="E124" s="69">
        <f>VLOOKUP(A124,DMTK!$B$5:$Q$263,5,0)</f>
        <v>14200000</v>
      </c>
      <c r="F124" s="69">
        <f>SUMIFS(CT!$F$5:$F$143,CT!$A$5:$A$143,"&lt;"&amp;$I$3,CT!$D$5:$D$143,A124)</f>
        <v>0</v>
      </c>
      <c r="G124" s="69">
        <f>SUMIFS(CT!$H$5:$H$143,CT!$A$5:$A$143,"&lt;"&amp;$I$3,CT!$D$5:$D$143,A124)</f>
        <v>0</v>
      </c>
      <c r="H124" s="69">
        <f>SUMIFS(CT!$F$5:$F$143,CT!$A$5:$A$143,"&lt;"&amp;$I$3,CT!$E$5:$E$143,A124)</f>
        <v>0</v>
      </c>
      <c r="I124" s="69">
        <f>SUMIFS(CT!$H$5:$H$143,CT!$A$5:$A$143,"&lt;"&amp;$I$3,CT!$E$5:$E$143,A124)</f>
        <v>0</v>
      </c>
      <c r="J124" s="69">
        <f t="shared" si="6"/>
        <v>0</v>
      </c>
      <c r="K124" s="69">
        <f t="shared" si="7"/>
        <v>14200000</v>
      </c>
      <c r="L124" s="69">
        <f>SUMIFS(CT!$F$5:$F$143,CT!$A$5:$A$143,"&gt;="&amp;$I$3,CT!$A$5:$A$143,"&lt;="&amp;$K$3,CT!$D$5:$D$143,A124)</f>
        <v>0</v>
      </c>
      <c r="M124" s="69">
        <f>SUMIFS(CT!$H$5:$H$143,CT!$A$5:$A$143,"&gt;="&amp;$I$3,CT!$A$5:$A$143,"&lt;="&amp;$K$3,CT!$D$5:$D$143,A124)</f>
        <v>0</v>
      </c>
      <c r="N124" s="69">
        <f>SUMIFS(CT!$F$5:$F$143,CT!$A$5:$A$143,"&gt;="&amp;$I$3,CT!$A$5:$A$143,"&lt;="&amp;$K$3,CT!$E$5:$E$143,A124)</f>
        <v>0</v>
      </c>
      <c r="O124" s="69">
        <f>SUMIFS(CT!$H$5:$H$143,CT!$A$5:$A$143,"&gt;="&amp;$I$3,CT!$A$5:$A$143,"&lt;="&amp;$K$3,CT!$E$5:$E$143,A124)</f>
        <v>3157500</v>
      </c>
      <c r="P124" s="69">
        <f t="shared" si="8"/>
        <v>0</v>
      </c>
      <c r="Q124" s="69">
        <f t="shared" si="9"/>
        <v>11042500</v>
      </c>
      <c r="R124" s="69">
        <f t="shared" si="10"/>
        <v>0</v>
      </c>
      <c r="S124" t="b">
        <f t="shared" si="11"/>
        <v>0</v>
      </c>
    </row>
    <row r="125" spans="1:19" hidden="1" x14ac:dyDescent="0.25">
      <c r="A125" s="93" t="str">
        <f>DMTK!B122</f>
        <v>33312</v>
      </c>
      <c r="B125" s="65" t="str">
        <f>VLOOKUP(A125,DMTK!$B$5:$Q$263,3,0)</f>
        <v>Thuế GTGT hàng nhập khẩu</v>
      </c>
      <c r="C125" s="65" t="str">
        <f>VLOOKUP(A125,DMTK!$B$5:$Q$263,16,0)</f>
        <v xml:space="preserve"> </v>
      </c>
      <c r="D125" s="69">
        <f>VLOOKUP(A125,DMTK!$B$5:$Q$263,4,0)</f>
        <v>0</v>
      </c>
      <c r="E125" s="69">
        <f>VLOOKUP(A125,DMTK!$B$5:$Q$263,5,0)</f>
        <v>8000000</v>
      </c>
      <c r="F125" s="69">
        <f>SUMIFS(CT!$F$5:$F$143,CT!$A$5:$A$143,"&lt;"&amp;$I$3,CT!$D$5:$D$143,A125)</f>
        <v>0</v>
      </c>
      <c r="G125" s="69">
        <f>SUMIFS(CT!$H$5:$H$143,CT!$A$5:$A$143,"&lt;"&amp;$I$3,CT!$D$5:$D$143,A125)</f>
        <v>0</v>
      </c>
      <c r="H125" s="69">
        <f>SUMIFS(CT!$F$5:$F$143,CT!$A$5:$A$143,"&lt;"&amp;$I$3,CT!$E$5:$E$143,A125)</f>
        <v>0</v>
      </c>
      <c r="I125" s="69">
        <f>SUMIFS(CT!$H$5:$H$143,CT!$A$5:$A$143,"&lt;"&amp;$I$3,CT!$E$5:$E$143,A125)</f>
        <v>0</v>
      </c>
      <c r="J125" s="69">
        <f t="shared" si="6"/>
        <v>0</v>
      </c>
      <c r="K125" s="69">
        <f t="shared" si="7"/>
        <v>8000000</v>
      </c>
      <c r="L125" s="69">
        <f>SUMIFS(CT!$F$5:$F$143,CT!$A$5:$A$143,"&gt;="&amp;$I$3,CT!$A$5:$A$143,"&lt;="&amp;$K$3,CT!$D$5:$D$143,A125)</f>
        <v>0</v>
      </c>
      <c r="M125" s="69">
        <f>SUMIFS(CT!$H$5:$H$143,CT!$A$5:$A$143,"&gt;="&amp;$I$3,CT!$A$5:$A$143,"&lt;="&amp;$K$3,CT!$D$5:$D$143,A125)</f>
        <v>0</v>
      </c>
      <c r="N125" s="69">
        <f>SUMIFS(CT!$F$5:$F$143,CT!$A$5:$A$143,"&gt;="&amp;$I$3,CT!$A$5:$A$143,"&lt;="&amp;$K$3,CT!$E$5:$E$143,A125)</f>
        <v>0</v>
      </c>
      <c r="O125" s="69">
        <f>SUMIFS(CT!$H$5:$H$143,CT!$A$5:$A$143,"&gt;="&amp;$I$3,CT!$A$5:$A$143,"&lt;="&amp;$K$3,CT!$E$5:$E$143,A125)</f>
        <v>0</v>
      </c>
      <c r="P125" s="69">
        <f t="shared" si="8"/>
        <v>0</v>
      </c>
      <c r="Q125" s="69">
        <f t="shared" si="9"/>
        <v>8000000</v>
      </c>
      <c r="R125" s="69">
        <f t="shared" si="10"/>
        <v>0</v>
      </c>
      <c r="S125" t="b">
        <f t="shared" si="11"/>
        <v>0</v>
      </c>
    </row>
    <row r="126" spans="1:19" hidden="1" x14ac:dyDescent="0.25">
      <c r="A126" s="93" t="str">
        <f>DMTK!B123</f>
        <v>3332</v>
      </c>
      <c r="B126" s="65" t="str">
        <f>VLOOKUP(A126,DMTK!$B$5:$Q$263,3,0)</f>
        <v>Thuế tiêu thụ đặc biệt</v>
      </c>
      <c r="C126" s="65" t="str">
        <f>VLOOKUP(A126,DMTK!$B$5:$Q$263,16,0)</f>
        <v xml:space="preserve"> </v>
      </c>
      <c r="D126" s="69">
        <f>VLOOKUP(A126,DMTK!$B$5:$Q$263,4,0)</f>
        <v>0</v>
      </c>
      <c r="E126" s="69">
        <f>VLOOKUP(A126,DMTK!$B$5:$Q$263,5,0)</f>
        <v>0</v>
      </c>
      <c r="F126" s="69">
        <f>SUMIFS(CT!$F$5:$F$143,CT!$A$5:$A$143,"&lt;"&amp;$I$3,CT!$D$5:$D$143,A126)</f>
        <v>0</v>
      </c>
      <c r="G126" s="69">
        <f>SUMIFS(CT!$H$5:$H$143,CT!$A$5:$A$143,"&lt;"&amp;$I$3,CT!$D$5:$D$143,A126)</f>
        <v>0</v>
      </c>
      <c r="H126" s="69">
        <f>SUMIFS(CT!$F$5:$F$143,CT!$A$5:$A$143,"&lt;"&amp;$I$3,CT!$E$5:$E$143,A126)</f>
        <v>0</v>
      </c>
      <c r="I126" s="69">
        <f>SUMIFS(CT!$H$5:$H$143,CT!$A$5:$A$143,"&lt;"&amp;$I$3,CT!$E$5:$E$143,A126)</f>
        <v>0</v>
      </c>
      <c r="J126" s="69">
        <f t="shared" si="6"/>
        <v>0</v>
      </c>
      <c r="K126" s="69">
        <f t="shared" si="7"/>
        <v>0</v>
      </c>
      <c r="L126" s="69">
        <f>SUMIFS(CT!$F$5:$F$143,CT!$A$5:$A$143,"&gt;="&amp;$I$3,CT!$A$5:$A$143,"&lt;="&amp;$K$3,CT!$D$5:$D$143,A126)</f>
        <v>0</v>
      </c>
      <c r="M126" s="69">
        <f>SUMIFS(CT!$H$5:$H$143,CT!$A$5:$A$143,"&gt;="&amp;$I$3,CT!$A$5:$A$143,"&lt;="&amp;$K$3,CT!$D$5:$D$143,A126)</f>
        <v>0</v>
      </c>
      <c r="N126" s="69">
        <f>SUMIFS(CT!$F$5:$F$143,CT!$A$5:$A$143,"&gt;="&amp;$I$3,CT!$A$5:$A$143,"&lt;="&amp;$K$3,CT!$E$5:$E$143,A126)</f>
        <v>0</v>
      </c>
      <c r="O126" s="69">
        <f>SUMIFS(CT!$H$5:$H$143,CT!$A$5:$A$143,"&gt;="&amp;$I$3,CT!$A$5:$A$143,"&lt;="&amp;$K$3,CT!$E$5:$E$143,A126)</f>
        <v>0</v>
      </c>
      <c r="P126" s="69">
        <f t="shared" si="8"/>
        <v>0</v>
      </c>
      <c r="Q126" s="69">
        <f t="shared" si="9"/>
        <v>0</v>
      </c>
      <c r="R126" s="69">
        <f t="shared" si="10"/>
        <v>0</v>
      </c>
      <c r="S126" t="b">
        <f t="shared" si="11"/>
        <v>0</v>
      </c>
    </row>
    <row r="127" spans="1:19" hidden="1" x14ac:dyDescent="0.25">
      <c r="A127" s="93" t="str">
        <f>DMTK!B124</f>
        <v>3333</v>
      </c>
      <c r="B127" s="65" t="str">
        <f>VLOOKUP(A127,DMTK!$B$5:$Q$263,3,0)</f>
        <v>Thuế xuất, nhập khẩu</v>
      </c>
      <c r="C127" s="65" t="str">
        <f>VLOOKUP(A127,DMTK!$B$5:$Q$263,16,0)</f>
        <v xml:space="preserve"> </v>
      </c>
      <c r="D127" s="69">
        <f>VLOOKUP(A127,DMTK!$B$5:$Q$263,4,0)</f>
        <v>0</v>
      </c>
      <c r="E127" s="69">
        <f>VLOOKUP(A127,DMTK!$B$5:$Q$263,5,0)</f>
        <v>0</v>
      </c>
      <c r="F127" s="69">
        <f>SUMIFS(CT!$F$5:$F$143,CT!$A$5:$A$143,"&lt;"&amp;$I$3,CT!$D$5:$D$143,A127)</f>
        <v>0</v>
      </c>
      <c r="G127" s="69">
        <f>SUMIFS(CT!$H$5:$H$143,CT!$A$5:$A$143,"&lt;"&amp;$I$3,CT!$D$5:$D$143,A127)</f>
        <v>0</v>
      </c>
      <c r="H127" s="69">
        <f>SUMIFS(CT!$F$5:$F$143,CT!$A$5:$A$143,"&lt;"&amp;$I$3,CT!$E$5:$E$143,A127)</f>
        <v>0</v>
      </c>
      <c r="I127" s="69">
        <f>SUMIFS(CT!$H$5:$H$143,CT!$A$5:$A$143,"&lt;"&amp;$I$3,CT!$E$5:$E$143,A127)</f>
        <v>0</v>
      </c>
      <c r="J127" s="69">
        <f t="shared" si="6"/>
        <v>0</v>
      </c>
      <c r="K127" s="69">
        <f t="shared" si="7"/>
        <v>0</v>
      </c>
      <c r="L127" s="69">
        <f>SUMIFS(CT!$F$5:$F$143,CT!$A$5:$A$143,"&gt;="&amp;$I$3,CT!$A$5:$A$143,"&lt;="&amp;$K$3,CT!$D$5:$D$143,A127)</f>
        <v>0</v>
      </c>
      <c r="M127" s="69">
        <f>SUMIFS(CT!$H$5:$H$143,CT!$A$5:$A$143,"&gt;="&amp;$I$3,CT!$A$5:$A$143,"&lt;="&amp;$K$3,CT!$D$5:$D$143,A127)</f>
        <v>0</v>
      </c>
      <c r="N127" s="69">
        <f>SUMIFS(CT!$F$5:$F$143,CT!$A$5:$A$143,"&gt;="&amp;$I$3,CT!$A$5:$A$143,"&lt;="&amp;$K$3,CT!$E$5:$E$143,A127)</f>
        <v>0</v>
      </c>
      <c r="O127" s="69">
        <f>SUMIFS(CT!$H$5:$H$143,CT!$A$5:$A$143,"&gt;="&amp;$I$3,CT!$A$5:$A$143,"&lt;="&amp;$K$3,CT!$E$5:$E$143,A127)</f>
        <v>0</v>
      </c>
      <c r="P127" s="69">
        <f t="shared" si="8"/>
        <v>0</v>
      </c>
      <c r="Q127" s="69">
        <f t="shared" si="9"/>
        <v>0</v>
      </c>
      <c r="R127" s="69">
        <f t="shared" si="10"/>
        <v>0</v>
      </c>
      <c r="S127" t="b">
        <f t="shared" si="11"/>
        <v>0</v>
      </c>
    </row>
    <row r="128" spans="1:19" hidden="1" x14ac:dyDescent="0.25">
      <c r="A128" s="93" t="str">
        <f>DMTK!B125</f>
        <v>3334</v>
      </c>
      <c r="B128" s="65" t="str">
        <f>VLOOKUP(A128,DMTK!$B$5:$Q$263,3,0)</f>
        <v>Thuế thu nhập doanh nghiệp</v>
      </c>
      <c r="C128" s="65" t="str">
        <f>VLOOKUP(A128,DMTK!$B$5:$Q$263,16,0)</f>
        <v xml:space="preserve"> </v>
      </c>
      <c r="D128" s="69">
        <f>VLOOKUP(A128,DMTK!$B$5:$Q$263,4,0)</f>
        <v>0</v>
      </c>
      <c r="E128" s="69">
        <f>VLOOKUP(A128,DMTK!$B$5:$Q$263,5,0)</f>
        <v>12000000</v>
      </c>
      <c r="F128" s="69">
        <f>SUMIFS(CT!$F$5:$F$143,CT!$A$5:$A$143,"&lt;"&amp;$I$3,CT!$D$5:$D$143,A128)</f>
        <v>0</v>
      </c>
      <c r="G128" s="69">
        <f>SUMIFS(CT!$H$5:$H$143,CT!$A$5:$A$143,"&lt;"&amp;$I$3,CT!$D$5:$D$143,A128)</f>
        <v>0</v>
      </c>
      <c r="H128" s="69">
        <f>SUMIFS(CT!$F$5:$F$143,CT!$A$5:$A$143,"&lt;"&amp;$I$3,CT!$E$5:$E$143,A128)</f>
        <v>0</v>
      </c>
      <c r="I128" s="69">
        <f>SUMIFS(CT!$H$5:$H$143,CT!$A$5:$A$143,"&lt;"&amp;$I$3,CT!$E$5:$E$143,A128)</f>
        <v>0</v>
      </c>
      <c r="J128" s="69">
        <f t="shared" si="6"/>
        <v>0</v>
      </c>
      <c r="K128" s="69">
        <f t="shared" si="7"/>
        <v>12000000</v>
      </c>
      <c r="L128" s="69">
        <f>SUMIFS(CT!$F$5:$F$143,CT!$A$5:$A$143,"&gt;="&amp;$I$3,CT!$A$5:$A$143,"&lt;="&amp;$K$3,CT!$D$5:$D$143,A128)</f>
        <v>0</v>
      </c>
      <c r="M128" s="69">
        <f>SUMIFS(CT!$H$5:$H$143,CT!$A$5:$A$143,"&gt;="&amp;$I$3,CT!$A$5:$A$143,"&lt;="&amp;$K$3,CT!$D$5:$D$143,A128)</f>
        <v>0</v>
      </c>
      <c r="N128" s="69">
        <f>SUMIFS(CT!$F$5:$F$143,CT!$A$5:$A$143,"&gt;="&amp;$I$3,CT!$A$5:$A$143,"&lt;="&amp;$K$3,CT!$E$5:$E$143,A128)</f>
        <v>0</v>
      </c>
      <c r="O128" s="69">
        <f>SUMIFS(CT!$H$5:$H$143,CT!$A$5:$A$143,"&gt;="&amp;$I$3,CT!$A$5:$A$143,"&lt;="&amp;$K$3,CT!$E$5:$E$143,A128)</f>
        <v>0</v>
      </c>
      <c r="P128" s="69">
        <f t="shared" si="8"/>
        <v>0</v>
      </c>
      <c r="Q128" s="69">
        <f t="shared" si="9"/>
        <v>12000000</v>
      </c>
      <c r="R128" s="69">
        <f t="shared" si="10"/>
        <v>0</v>
      </c>
      <c r="S128" t="b">
        <f t="shared" si="11"/>
        <v>0</v>
      </c>
    </row>
    <row r="129" spans="1:19" hidden="1" x14ac:dyDescent="0.25">
      <c r="A129" s="93" t="str">
        <f>DMTK!B126</f>
        <v>3335</v>
      </c>
      <c r="B129" s="65" t="str">
        <f>VLOOKUP(A129,DMTK!$B$5:$Q$263,3,0)</f>
        <v>Thuế thu nhập cá nhân</v>
      </c>
      <c r="C129" s="65" t="str">
        <f>VLOOKUP(A129,DMTK!$B$5:$Q$263,16,0)</f>
        <v xml:space="preserve"> </v>
      </c>
      <c r="D129" s="69">
        <f>VLOOKUP(A129,DMTK!$B$5:$Q$263,4,0)</f>
        <v>0</v>
      </c>
      <c r="E129" s="69">
        <f>VLOOKUP(A129,DMTK!$B$5:$Q$263,5,0)</f>
        <v>0</v>
      </c>
      <c r="F129" s="69">
        <f>SUMIFS(CT!$F$5:$F$143,CT!$A$5:$A$143,"&lt;"&amp;$I$3,CT!$D$5:$D$143,A129)</f>
        <v>0</v>
      </c>
      <c r="G129" s="69">
        <f>SUMIFS(CT!$H$5:$H$143,CT!$A$5:$A$143,"&lt;"&amp;$I$3,CT!$D$5:$D$143,A129)</f>
        <v>0</v>
      </c>
      <c r="H129" s="69">
        <f>SUMIFS(CT!$F$5:$F$143,CT!$A$5:$A$143,"&lt;"&amp;$I$3,CT!$E$5:$E$143,A129)</f>
        <v>0</v>
      </c>
      <c r="I129" s="69">
        <f>SUMIFS(CT!$H$5:$H$143,CT!$A$5:$A$143,"&lt;"&amp;$I$3,CT!$E$5:$E$143,A129)</f>
        <v>0</v>
      </c>
      <c r="J129" s="69">
        <f t="shared" si="6"/>
        <v>0</v>
      </c>
      <c r="K129" s="69">
        <f t="shared" si="7"/>
        <v>0</v>
      </c>
      <c r="L129" s="69">
        <f>SUMIFS(CT!$F$5:$F$143,CT!$A$5:$A$143,"&gt;="&amp;$I$3,CT!$A$5:$A$143,"&lt;="&amp;$K$3,CT!$D$5:$D$143,A129)</f>
        <v>0</v>
      </c>
      <c r="M129" s="69">
        <f>SUMIFS(CT!$H$5:$H$143,CT!$A$5:$A$143,"&gt;="&amp;$I$3,CT!$A$5:$A$143,"&lt;="&amp;$K$3,CT!$D$5:$D$143,A129)</f>
        <v>0</v>
      </c>
      <c r="N129" s="69">
        <f>SUMIFS(CT!$F$5:$F$143,CT!$A$5:$A$143,"&gt;="&amp;$I$3,CT!$A$5:$A$143,"&lt;="&amp;$K$3,CT!$E$5:$E$143,A129)</f>
        <v>0</v>
      </c>
      <c r="O129" s="69">
        <f>SUMIFS(CT!$H$5:$H$143,CT!$A$5:$A$143,"&gt;="&amp;$I$3,CT!$A$5:$A$143,"&lt;="&amp;$K$3,CT!$E$5:$E$143,A129)</f>
        <v>0</v>
      </c>
      <c r="P129" s="69">
        <f t="shared" si="8"/>
        <v>0</v>
      </c>
      <c r="Q129" s="69">
        <f t="shared" si="9"/>
        <v>0</v>
      </c>
      <c r="R129" s="69">
        <f t="shared" si="10"/>
        <v>0</v>
      </c>
      <c r="S129" t="b">
        <f t="shared" si="11"/>
        <v>0</v>
      </c>
    </row>
    <row r="130" spans="1:19" hidden="1" x14ac:dyDescent="0.25">
      <c r="A130" s="93" t="str">
        <f>DMTK!B127</f>
        <v>3336</v>
      </c>
      <c r="B130" s="65" t="str">
        <f>VLOOKUP(A130,DMTK!$B$5:$Q$263,3,0)</f>
        <v>Thuế tài nguyên</v>
      </c>
      <c r="C130" s="65" t="str">
        <f>VLOOKUP(A130,DMTK!$B$5:$Q$263,16,0)</f>
        <v xml:space="preserve"> </v>
      </c>
      <c r="D130" s="69">
        <f>VLOOKUP(A130,DMTK!$B$5:$Q$263,4,0)</f>
        <v>0</v>
      </c>
      <c r="E130" s="69">
        <f>VLOOKUP(A130,DMTK!$B$5:$Q$263,5,0)</f>
        <v>0</v>
      </c>
      <c r="F130" s="69">
        <f>SUMIFS(CT!$F$5:$F$143,CT!$A$5:$A$143,"&lt;"&amp;$I$3,CT!$D$5:$D$143,A130)</f>
        <v>0</v>
      </c>
      <c r="G130" s="69">
        <f>SUMIFS(CT!$H$5:$H$143,CT!$A$5:$A$143,"&lt;"&amp;$I$3,CT!$D$5:$D$143,A130)</f>
        <v>0</v>
      </c>
      <c r="H130" s="69">
        <f>SUMIFS(CT!$F$5:$F$143,CT!$A$5:$A$143,"&lt;"&amp;$I$3,CT!$E$5:$E$143,A130)</f>
        <v>0</v>
      </c>
      <c r="I130" s="69">
        <f>SUMIFS(CT!$H$5:$H$143,CT!$A$5:$A$143,"&lt;"&amp;$I$3,CT!$E$5:$E$143,A130)</f>
        <v>0</v>
      </c>
      <c r="J130" s="69">
        <f t="shared" si="6"/>
        <v>0</v>
      </c>
      <c r="K130" s="69">
        <f t="shared" si="7"/>
        <v>0</v>
      </c>
      <c r="L130" s="69">
        <f>SUMIFS(CT!$F$5:$F$143,CT!$A$5:$A$143,"&gt;="&amp;$I$3,CT!$A$5:$A$143,"&lt;="&amp;$K$3,CT!$D$5:$D$143,A130)</f>
        <v>0</v>
      </c>
      <c r="M130" s="69">
        <f>SUMIFS(CT!$H$5:$H$143,CT!$A$5:$A$143,"&gt;="&amp;$I$3,CT!$A$5:$A$143,"&lt;="&amp;$K$3,CT!$D$5:$D$143,A130)</f>
        <v>0</v>
      </c>
      <c r="N130" s="69">
        <f>SUMIFS(CT!$F$5:$F$143,CT!$A$5:$A$143,"&gt;="&amp;$I$3,CT!$A$5:$A$143,"&lt;="&amp;$K$3,CT!$E$5:$E$143,A130)</f>
        <v>0</v>
      </c>
      <c r="O130" s="69">
        <f>SUMIFS(CT!$H$5:$H$143,CT!$A$5:$A$143,"&gt;="&amp;$I$3,CT!$A$5:$A$143,"&lt;="&amp;$K$3,CT!$E$5:$E$143,A130)</f>
        <v>0</v>
      </c>
      <c r="P130" s="69">
        <f t="shared" si="8"/>
        <v>0</v>
      </c>
      <c r="Q130" s="69">
        <f t="shared" si="9"/>
        <v>0</v>
      </c>
      <c r="R130" s="69">
        <f t="shared" si="10"/>
        <v>0</v>
      </c>
      <c r="S130" t="b">
        <f t="shared" si="11"/>
        <v>0</v>
      </c>
    </row>
    <row r="131" spans="1:19" hidden="1" x14ac:dyDescent="0.25">
      <c r="A131" s="93" t="str">
        <f>DMTK!B128</f>
        <v>3337</v>
      </c>
      <c r="B131" s="65" t="str">
        <f>VLOOKUP(A131,DMTK!$B$5:$Q$263,3,0)</f>
        <v>Thuế nhà đất, tiền thuê đất</v>
      </c>
      <c r="C131" s="65" t="str">
        <f>VLOOKUP(A131,DMTK!$B$5:$Q$263,16,0)</f>
        <v xml:space="preserve"> </v>
      </c>
      <c r="D131" s="69">
        <f>VLOOKUP(A131,DMTK!$B$5:$Q$263,4,0)</f>
        <v>0</v>
      </c>
      <c r="E131" s="69">
        <f>VLOOKUP(A131,DMTK!$B$5:$Q$263,5,0)</f>
        <v>0</v>
      </c>
      <c r="F131" s="69">
        <f>SUMIFS(CT!$F$5:$F$143,CT!$A$5:$A$143,"&lt;"&amp;$I$3,CT!$D$5:$D$143,A131)</f>
        <v>0</v>
      </c>
      <c r="G131" s="69">
        <f>SUMIFS(CT!$H$5:$H$143,CT!$A$5:$A$143,"&lt;"&amp;$I$3,CT!$D$5:$D$143,A131)</f>
        <v>0</v>
      </c>
      <c r="H131" s="69">
        <f>SUMIFS(CT!$F$5:$F$143,CT!$A$5:$A$143,"&lt;"&amp;$I$3,CT!$E$5:$E$143,A131)</f>
        <v>0</v>
      </c>
      <c r="I131" s="69">
        <f>SUMIFS(CT!$H$5:$H$143,CT!$A$5:$A$143,"&lt;"&amp;$I$3,CT!$E$5:$E$143,A131)</f>
        <v>0</v>
      </c>
      <c r="J131" s="69">
        <f t="shared" si="6"/>
        <v>0</v>
      </c>
      <c r="K131" s="69">
        <f t="shared" si="7"/>
        <v>0</v>
      </c>
      <c r="L131" s="69">
        <f>SUMIFS(CT!$F$5:$F$143,CT!$A$5:$A$143,"&gt;="&amp;$I$3,CT!$A$5:$A$143,"&lt;="&amp;$K$3,CT!$D$5:$D$143,A131)</f>
        <v>0</v>
      </c>
      <c r="M131" s="69">
        <f>SUMIFS(CT!$H$5:$H$143,CT!$A$5:$A$143,"&gt;="&amp;$I$3,CT!$A$5:$A$143,"&lt;="&amp;$K$3,CT!$D$5:$D$143,A131)</f>
        <v>0</v>
      </c>
      <c r="N131" s="69">
        <f>SUMIFS(CT!$F$5:$F$143,CT!$A$5:$A$143,"&gt;="&amp;$I$3,CT!$A$5:$A$143,"&lt;="&amp;$K$3,CT!$E$5:$E$143,A131)</f>
        <v>0</v>
      </c>
      <c r="O131" s="69">
        <f>SUMIFS(CT!$H$5:$H$143,CT!$A$5:$A$143,"&gt;="&amp;$I$3,CT!$A$5:$A$143,"&lt;="&amp;$K$3,CT!$E$5:$E$143,A131)</f>
        <v>0</v>
      </c>
      <c r="P131" s="69">
        <f t="shared" si="8"/>
        <v>0</v>
      </c>
      <c r="Q131" s="69">
        <f t="shared" si="9"/>
        <v>0</v>
      </c>
      <c r="R131" s="69">
        <f t="shared" si="10"/>
        <v>0</v>
      </c>
      <c r="S131" t="b">
        <f t="shared" si="11"/>
        <v>0</v>
      </c>
    </row>
    <row r="132" spans="1:19" hidden="1" x14ac:dyDescent="0.25">
      <c r="A132" s="93" t="str">
        <f>DMTK!B129</f>
        <v>3338</v>
      </c>
      <c r="B132" s="65" t="str">
        <f>VLOOKUP(A132,DMTK!$B$5:$Q$263,3,0)</f>
        <v>Thuế bảo vệ môi trường và các loại thuế khác</v>
      </c>
      <c r="C132" s="65" t="str">
        <f>VLOOKUP(A132,DMTK!$B$5:$Q$263,16,0)</f>
        <v xml:space="preserve"> </v>
      </c>
      <c r="D132" s="69">
        <f>VLOOKUP(A132,DMTK!$B$5:$Q$263,4,0)</f>
        <v>0</v>
      </c>
      <c r="E132" s="69">
        <f>VLOOKUP(A132,DMTK!$B$5:$Q$263,5,0)</f>
        <v>0</v>
      </c>
      <c r="F132" s="69">
        <f>SUMIFS(CT!$F$5:$F$143,CT!$A$5:$A$143,"&lt;"&amp;$I$3,CT!$D$5:$D$143,A132)</f>
        <v>0</v>
      </c>
      <c r="G132" s="69">
        <f>SUMIFS(CT!$H$5:$H$143,CT!$A$5:$A$143,"&lt;"&amp;$I$3,CT!$D$5:$D$143,A132)</f>
        <v>0</v>
      </c>
      <c r="H132" s="69">
        <f>SUMIFS(CT!$F$5:$F$143,CT!$A$5:$A$143,"&lt;"&amp;$I$3,CT!$E$5:$E$143,A132)</f>
        <v>0</v>
      </c>
      <c r="I132" s="69">
        <f>SUMIFS(CT!$H$5:$H$143,CT!$A$5:$A$143,"&lt;"&amp;$I$3,CT!$E$5:$E$143,A132)</f>
        <v>0</v>
      </c>
      <c r="J132" s="69">
        <f t="shared" si="6"/>
        <v>0</v>
      </c>
      <c r="K132" s="69">
        <f t="shared" si="7"/>
        <v>0</v>
      </c>
      <c r="L132" s="69">
        <f>SUMIFS(CT!$F$5:$F$143,CT!$A$5:$A$143,"&gt;="&amp;$I$3,CT!$A$5:$A$143,"&lt;="&amp;$K$3,CT!$D$5:$D$143,A132)</f>
        <v>0</v>
      </c>
      <c r="M132" s="69">
        <f>SUMIFS(CT!$H$5:$H$143,CT!$A$5:$A$143,"&gt;="&amp;$I$3,CT!$A$5:$A$143,"&lt;="&amp;$K$3,CT!$D$5:$D$143,A132)</f>
        <v>0</v>
      </c>
      <c r="N132" s="69">
        <f>SUMIFS(CT!$F$5:$F$143,CT!$A$5:$A$143,"&gt;="&amp;$I$3,CT!$A$5:$A$143,"&lt;="&amp;$K$3,CT!$E$5:$E$143,A132)</f>
        <v>0</v>
      </c>
      <c r="O132" s="69">
        <f>SUMIFS(CT!$H$5:$H$143,CT!$A$5:$A$143,"&gt;="&amp;$I$3,CT!$A$5:$A$143,"&lt;="&amp;$K$3,CT!$E$5:$E$143,A132)</f>
        <v>0</v>
      </c>
      <c r="P132" s="69">
        <f t="shared" si="8"/>
        <v>0</v>
      </c>
      <c r="Q132" s="69">
        <f t="shared" si="9"/>
        <v>0</v>
      </c>
      <c r="R132" s="69">
        <f t="shared" si="10"/>
        <v>0</v>
      </c>
      <c r="S132" t="b">
        <f t="shared" si="11"/>
        <v>0</v>
      </c>
    </row>
    <row r="133" spans="1:19" hidden="1" x14ac:dyDescent="0.25">
      <c r="A133" s="93" t="str">
        <f>DMTK!B130</f>
        <v>3339</v>
      </c>
      <c r="B133" s="65" t="str">
        <f>VLOOKUP(A133,DMTK!$B$5:$Q$263,3,0)</f>
        <v>Phí, lệ phí và các khoản phải nộp khác</v>
      </c>
      <c r="C133" s="65" t="str">
        <f>VLOOKUP(A133,DMTK!$B$5:$Q$263,16,0)</f>
        <v xml:space="preserve"> </v>
      </c>
      <c r="D133" s="69">
        <f>VLOOKUP(A133,DMTK!$B$5:$Q$263,4,0)</f>
        <v>0</v>
      </c>
      <c r="E133" s="69">
        <f>VLOOKUP(A133,DMTK!$B$5:$Q$263,5,0)</f>
        <v>0</v>
      </c>
      <c r="F133" s="69">
        <f>SUMIFS(CT!$F$5:$F$143,CT!$A$5:$A$143,"&lt;"&amp;$I$3,CT!$D$5:$D$143,A133)</f>
        <v>0</v>
      </c>
      <c r="G133" s="69">
        <f>SUMIFS(CT!$H$5:$H$143,CT!$A$5:$A$143,"&lt;"&amp;$I$3,CT!$D$5:$D$143,A133)</f>
        <v>0</v>
      </c>
      <c r="H133" s="69">
        <f>SUMIFS(CT!$F$5:$F$143,CT!$A$5:$A$143,"&lt;"&amp;$I$3,CT!$E$5:$E$143,A133)</f>
        <v>0</v>
      </c>
      <c r="I133" s="69">
        <f>SUMIFS(CT!$H$5:$H$143,CT!$A$5:$A$143,"&lt;"&amp;$I$3,CT!$E$5:$E$143,A133)</f>
        <v>0</v>
      </c>
      <c r="J133" s="69">
        <f t="shared" si="6"/>
        <v>0</v>
      </c>
      <c r="K133" s="69">
        <f t="shared" si="7"/>
        <v>0</v>
      </c>
      <c r="L133" s="69">
        <f>SUMIFS(CT!$F$5:$F$143,CT!$A$5:$A$143,"&gt;="&amp;$I$3,CT!$A$5:$A$143,"&lt;="&amp;$K$3,CT!$D$5:$D$143,A133)</f>
        <v>0</v>
      </c>
      <c r="M133" s="69">
        <f>SUMIFS(CT!$H$5:$H$143,CT!$A$5:$A$143,"&gt;="&amp;$I$3,CT!$A$5:$A$143,"&lt;="&amp;$K$3,CT!$D$5:$D$143,A133)</f>
        <v>0</v>
      </c>
      <c r="N133" s="69">
        <f>SUMIFS(CT!$F$5:$F$143,CT!$A$5:$A$143,"&gt;="&amp;$I$3,CT!$A$5:$A$143,"&lt;="&amp;$K$3,CT!$E$5:$E$143,A133)</f>
        <v>0</v>
      </c>
      <c r="O133" s="69">
        <f>SUMIFS(CT!$H$5:$H$143,CT!$A$5:$A$143,"&gt;="&amp;$I$3,CT!$A$5:$A$143,"&lt;="&amp;$K$3,CT!$E$5:$E$143,A133)</f>
        <v>0</v>
      </c>
      <c r="P133" s="69">
        <f t="shared" si="8"/>
        <v>0</v>
      </c>
      <c r="Q133" s="69">
        <f t="shared" si="9"/>
        <v>0</v>
      </c>
      <c r="R133" s="69">
        <f t="shared" si="10"/>
        <v>0</v>
      </c>
      <c r="S133" t="b">
        <f t="shared" si="11"/>
        <v>0</v>
      </c>
    </row>
    <row r="134" spans="1:19" hidden="1" x14ac:dyDescent="0.25">
      <c r="A134" s="93" t="str">
        <f>DMTK!B131</f>
        <v>3341.01</v>
      </c>
      <c r="B134" s="65" t="str">
        <f>VLOOKUP(A134,DMTK!$B$5:$Q$263,3,0)</f>
        <v>Lương CNSX Ghế tay vịn</v>
      </c>
      <c r="C134" s="65" t="str">
        <f>VLOOKUP(A134,DMTK!$B$5:$Q$263,16,0)</f>
        <v xml:space="preserve"> </v>
      </c>
      <c r="D134" s="69">
        <f>VLOOKUP(A134,DMTK!$B$5:$Q$263,4,0)</f>
        <v>0</v>
      </c>
      <c r="E134" s="69">
        <f>VLOOKUP(A134,DMTK!$B$5:$Q$263,5,0)</f>
        <v>12000000</v>
      </c>
      <c r="F134" s="69">
        <f>SUMIFS(CT!$F$5:$F$143,CT!$A$5:$A$143,"&lt;"&amp;$I$3,CT!$D$5:$D$143,A134)</f>
        <v>0</v>
      </c>
      <c r="G134" s="69">
        <f>SUMIFS(CT!$H$5:$H$143,CT!$A$5:$A$143,"&lt;"&amp;$I$3,CT!$D$5:$D$143,A134)</f>
        <v>0</v>
      </c>
      <c r="H134" s="69">
        <f>SUMIFS(CT!$F$5:$F$143,CT!$A$5:$A$143,"&lt;"&amp;$I$3,CT!$E$5:$E$143,A134)</f>
        <v>0</v>
      </c>
      <c r="I134" s="69">
        <f>SUMIFS(CT!$H$5:$H$143,CT!$A$5:$A$143,"&lt;"&amp;$I$3,CT!$E$5:$E$143,A134)</f>
        <v>0</v>
      </c>
      <c r="J134" s="69">
        <f t="shared" si="6"/>
        <v>0</v>
      </c>
      <c r="K134" s="69">
        <f t="shared" si="7"/>
        <v>12000000</v>
      </c>
      <c r="L134" s="69">
        <f>SUMIFS(CT!$F$5:$F$143,CT!$A$5:$A$143,"&gt;="&amp;$I$3,CT!$A$5:$A$143,"&lt;="&amp;$K$3,CT!$D$5:$D$143,A134)</f>
        <v>0</v>
      </c>
      <c r="M134" s="69">
        <f>SUMIFS(CT!$H$5:$H$143,CT!$A$5:$A$143,"&gt;="&amp;$I$3,CT!$A$5:$A$143,"&lt;="&amp;$K$3,CT!$D$5:$D$143,A134)</f>
        <v>40000000</v>
      </c>
      <c r="N134" s="69">
        <f>SUMIFS(CT!$F$5:$F$143,CT!$A$5:$A$143,"&gt;="&amp;$I$3,CT!$A$5:$A$143,"&lt;="&amp;$K$3,CT!$E$5:$E$143,A134)</f>
        <v>0</v>
      </c>
      <c r="O134" s="69">
        <f>SUMIFS(CT!$H$5:$H$143,CT!$A$5:$A$143,"&gt;="&amp;$I$3,CT!$A$5:$A$143,"&lt;="&amp;$K$3,CT!$E$5:$E$143,A134)</f>
        <v>40000000</v>
      </c>
      <c r="P134" s="69">
        <f t="shared" si="8"/>
        <v>0</v>
      </c>
      <c r="Q134" s="69">
        <f t="shared" si="9"/>
        <v>12000000</v>
      </c>
      <c r="R134" s="69">
        <f t="shared" si="10"/>
        <v>0</v>
      </c>
      <c r="S134" t="b">
        <f t="shared" si="11"/>
        <v>0</v>
      </c>
    </row>
    <row r="135" spans="1:19" hidden="1" x14ac:dyDescent="0.25">
      <c r="A135" s="93" t="str">
        <f>DMTK!B132</f>
        <v>3341.02</v>
      </c>
      <c r="B135" s="65" t="str">
        <f>VLOOKUP(A135,DMTK!$B$5:$Q$263,3,0)</f>
        <v>Lương CNSX Ghế không tay</v>
      </c>
      <c r="C135" s="65" t="str">
        <f>VLOOKUP(A135,DMTK!$B$5:$Q$263,16,0)</f>
        <v xml:space="preserve"> </v>
      </c>
      <c r="D135" s="69">
        <f>VLOOKUP(A135,DMTK!$B$5:$Q$263,4,0)</f>
        <v>0</v>
      </c>
      <c r="E135" s="69">
        <f>VLOOKUP(A135,DMTK!$B$5:$Q$263,5,0)</f>
        <v>8000000</v>
      </c>
      <c r="F135" s="69">
        <f>SUMIFS(CT!$F$5:$F$143,CT!$A$5:$A$143,"&lt;"&amp;$I$3,CT!$D$5:$D$143,A135)</f>
        <v>0</v>
      </c>
      <c r="G135" s="69">
        <f>SUMIFS(CT!$H$5:$H$143,CT!$A$5:$A$143,"&lt;"&amp;$I$3,CT!$D$5:$D$143,A135)</f>
        <v>0</v>
      </c>
      <c r="H135" s="69">
        <f>SUMIFS(CT!$F$5:$F$143,CT!$A$5:$A$143,"&lt;"&amp;$I$3,CT!$E$5:$E$143,A135)</f>
        <v>0</v>
      </c>
      <c r="I135" s="69">
        <f>SUMIFS(CT!$H$5:$H$143,CT!$A$5:$A$143,"&lt;"&amp;$I$3,CT!$E$5:$E$143,A135)</f>
        <v>0</v>
      </c>
      <c r="J135" s="69">
        <f t="shared" si="6"/>
        <v>0</v>
      </c>
      <c r="K135" s="69">
        <f t="shared" si="7"/>
        <v>8000000</v>
      </c>
      <c r="L135" s="69">
        <f>SUMIFS(CT!$F$5:$F$143,CT!$A$5:$A$143,"&gt;="&amp;$I$3,CT!$A$5:$A$143,"&lt;="&amp;$K$3,CT!$D$5:$D$143,A135)</f>
        <v>0</v>
      </c>
      <c r="M135" s="69">
        <f>SUMIFS(CT!$H$5:$H$143,CT!$A$5:$A$143,"&gt;="&amp;$I$3,CT!$A$5:$A$143,"&lt;="&amp;$K$3,CT!$D$5:$D$143,A135)</f>
        <v>40000000</v>
      </c>
      <c r="N135" s="69">
        <f>SUMIFS(CT!$F$5:$F$143,CT!$A$5:$A$143,"&gt;="&amp;$I$3,CT!$A$5:$A$143,"&lt;="&amp;$K$3,CT!$E$5:$E$143,A135)</f>
        <v>0</v>
      </c>
      <c r="O135" s="69">
        <f>SUMIFS(CT!$H$5:$H$143,CT!$A$5:$A$143,"&gt;="&amp;$I$3,CT!$A$5:$A$143,"&lt;="&amp;$K$3,CT!$E$5:$E$143,A135)</f>
        <v>40000000</v>
      </c>
      <c r="P135" s="69">
        <f t="shared" si="8"/>
        <v>0</v>
      </c>
      <c r="Q135" s="69">
        <f t="shared" si="9"/>
        <v>8000000</v>
      </c>
      <c r="R135" s="69">
        <f t="shared" si="10"/>
        <v>0</v>
      </c>
      <c r="S135" t="b">
        <f t="shared" si="11"/>
        <v>0</v>
      </c>
    </row>
    <row r="136" spans="1:19" hidden="1" x14ac:dyDescent="0.25">
      <c r="A136" s="93" t="str">
        <f>DMTK!B133</f>
        <v>3341.03</v>
      </c>
      <c r="B136" s="65" t="str">
        <f>VLOOKUP(A136,DMTK!$B$5:$Q$263,3,0)</f>
        <v>Lương CNSX Bàn tròn</v>
      </c>
      <c r="C136" s="65" t="str">
        <f>VLOOKUP(A136,DMTK!$B$5:$Q$263,16,0)</f>
        <v xml:space="preserve"> </v>
      </c>
      <c r="D136" s="69">
        <f>VLOOKUP(A136,DMTK!$B$5:$Q$263,4,0)</f>
        <v>0</v>
      </c>
      <c r="E136" s="69">
        <f>VLOOKUP(A136,DMTK!$B$5:$Q$263,5,0)</f>
        <v>10000000</v>
      </c>
      <c r="F136" s="69">
        <f>SUMIFS(CT!$F$5:$F$143,CT!$A$5:$A$143,"&lt;"&amp;$I$3,CT!$D$5:$D$143,A136)</f>
        <v>0</v>
      </c>
      <c r="G136" s="69">
        <f>SUMIFS(CT!$H$5:$H$143,CT!$A$5:$A$143,"&lt;"&amp;$I$3,CT!$D$5:$D$143,A136)</f>
        <v>0</v>
      </c>
      <c r="H136" s="69">
        <f>SUMIFS(CT!$F$5:$F$143,CT!$A$5:$A$143,"&lt;"&amp;$I$3,CT!$E$5:$E$143,A136)</f>
        <v>0</v>
      </c>
      <c r="I136" s="69">
        <f>SUMIFS(CT!$H$5:$H$143,CT!$A$5:$A$143,"&lt;"&amp;$I$3,CT!$E$5:$E$143,A136)</f>
        <v>0</v>
      </c>
      <c r="J136" s="69">
        <f t="shared" si="6"/>
        <v>0</v>
      </c>
      <c r="K136" s="69">
        <f t="shared" si="7"/>
        <v>10000000</v>
      </c>
      <c r="L136" s="69">
        <f>SUMIFS(CT!$F$5:$F$143,CT!$A$5:$A$143,"&gt;="&amp;$I$3,CT!$A$5:$A$143,"&lt;="&amp;$K$3,CT!$D$5:$D$143,A136)</f>
        <v>0</v>
      </c>
      <c r="M136" s="69">
        <f>SUMIFS(CT!$H$5:$H$143,CT!$A$5:$A$143,"&gt;="&amp;$I$3,CT!$A$5:$A$143,"&lt;="&amp;$K$3,CT!$D$5:$D$143,A136)</f>
        <v>40000000</v>
      </c>
      <c r="N136" s="69">
        <f>SUMIFS(CT!$F$5:$F$143,CT!$A$5:$A$143,"&gt;="&amp;$I$3,CT!$A$5:$A$143,"&lt;="&amp;$K$3,CT!$E$5:$E$143,A136)</f>
        <v>0</v>
      </c>
      <c r="O136" s="69">
        <f>SUMIFS(CT!$H$5:$H$143,CT!$A$5:$A$143,"&gt;="&amp;$I$3,CT!$A$5:$A$143,"&lt;="&amp;$K$3,CT!$E$5:$E$143,A136)</f>
        <v>40000000</v>
      </c>
      <c r="P136" s="69">
        <f t="shared" si="8"/>
        <v>0</v>
      </c>
      <c r="Q136" s="69">
        <f t="shared" si="9"/>
        <v>10000000</v>
      </c>
      <c r="R136" s="69">
        <f t="shared" si="10"/>
        <v>0</v>
      </c>
      <c r="S136" t="b">
        <f t="shared" si="11"/>
        <v>0</v>
      </c>
    </row>
    <row r="137" spans="1:19" hidden="1" x14ac:dyDescent="0.25">
      <c r="A137" s="93" t="str">
        <f>DMTK!B134</f>
        <v>3341.04</v>
      </c>
      <c r="B137" s="65" t="str">
        <f>VLOOKUP(A137,DMTK!$B$5:$Q$263,3,0)</f>
        <v>Lương CNSX Bàn oval</v>
      </c>
      <c r="C137" s="65" t="str">
        <f>VLOOKUP(A137,DMTK!$B$5:$Q$263,16,0)</f>
        <v xml:space="preserve"> </v>
      </c>
      <c r="D137" s="69">
        <f>VLOOKUP(A137,DMTK!$B$5:$Q$263,4,0)</f>
        <v>0</v>
      </c>
      <c r="E137" s="69">
        <f>VLOOKUP(A137,DMTK!$B$5:$Q$263,5,0)</f>
        <v>12000000</v>
      </c>
      <c r="F137" s="69">
        <f>SUMIFS(CT!$F$5:$F$143,CT!$A$5:$A$143,"&lt;"&amp;$I$3,CT!$D$5:$D$143,A137)</f>
        <v>0</v>
      </c>
      <c r="G137" s="69">
        <f>SUMIFS(CT!$H$5:$H$143,CT!$A$5:$A$143,"&lt;"&amp;$I$3,CT!$D$5:$D$143,A137)</f>
        <v>0</v>
      </c>
      <c r="H137" s="69">
        <f>SUMIFS(CT!$F$5:$F$143,CT!$A$5:$A$143,"&lt;"&amp;$I$3,CT!$E$5:$E$143,A137)</f>
        <v>0</v>
      </c>
      <c r="I137" s="69">
        <f>SUMIFS(CT!$H$5:$H$143,CT!$A$5:$A$143,"&lt;"&amp;$I$3,CT!$E$5:$E$143,A137)</f>
        <v>0</v>
      </c>
      <c r="J137" s="69">
        <f t="shared" ref="J137:J200" si="12">MAX(D137+F137-H137,0)</f>
        <v>0</v>
      </c>
      <c r="K137" s="69">
        <f t="shared" ref="K137:K200" si="13">MAX(E137+G137-I137,0)</f>
        <v>12000000</v>
      </c>
      <c r="L137" s="69">
        <f>SUMIFS(CT!$F$5:$F$143,CT!$A$5:$A$143,"&gt;="&amp;$I$3,CT!$A$5:$A$143,"&lt;="&amp;$K$3,CT!$D$5:$D$143,A137)</f>
        <v>0</v>
      </c>
      <c r="M137" s="69">
        <f>SUMIFS(CT!$H$5:$H$143,CT!$A$5:$A$143,"&gt;="&amp;$I$3,CT!$A$5:$A$143,"&lt;="&amp;$K$3,CT!$D$5:$D$143,A137)</f>
        <v>40000000</v>
      </c>
      <c r="N137" s="69">
        <f>SUMIFS(CT!$F$5:$F$143,CT!$A$5:$A$143,"&gt;="&amp;$I$3,CT!$A$5:$A$143,"&lt;="&amp;$K$3,CT!$E$5:$E$143,A137)</f>
        <v>0</v>
      </c>
      <c r="O137" s="69">
        <f>SUMIFS(CT!$H$5:$H$143,CT!$A$5:$A$143,"&gt;="&amp;$I$3,CT!$A$5:$A$143,"&lt;="&amp;$K$3,CT!$E$5:$E$143,A137)</f>
        <v>40000000</v>
      </c>
      <c r="P137" s="69">
        <f t="shared" ref="P137:P200" si="14">MAX(J137+L137-N137,0)</f>
        <v>0</v>
      </c>
      <c r="Q137" s="69">
        <f t="shared" ref="Q137:Q200" si="15">MAX(K137+M137-O137,0)</f>
        <v>12000000</v>
      </c>
      <c r="R137" s="69">
        <f t="shared" ref="R137:R200" si="16">IF(P137&lt;&gt;0,Q137/P137,0)</f>
        <v>0</v>
      </c>
      <c r="S137" t="b">
        <f t="shared" ref="S137:S200" si="17">LEFT(A137,LEN($I$2))=$I$2</f>
        <v>0</v>
      </c>
    </row>
    <row r="138" spans="1:19" hidden="1" x14ac:dyDescent="0.25">
      <c r="A138" s="93" t="str">
        <f>DMTK!B135</f>
        <v>3341.05</v>
      </c>
      <c r="B138" s="65" t="str">
        <f>VLOOKUP(A138,DMTK!$B$5:$Q$263,3,0)</f>
        <v>Lương CNSX Bàn chữ nhật</v>
      </c>
      <c r="C138" s="65" t="str">
        <f>VLOOKUP(A138,DMTK!$B$5:$Q$263,16,0)</f>
        <v xml:space="preserve"> </v>
      </c>
      <c r="D138" s="69">
        <f>VLOOKUP(A138,DMTK!$B$5:$Q$263,4,0)</f>
        <v>0</v>
      </c>
      <c r="E138" s="69">
        <f>VLOOKUP(A138,DMTK!$B$5:$Q$263,5,0)</f>
        <v>10000000</v>
      </c>
      <c r="F138" s="69">
        <f>SUMIFS(CT!$F$5:$F$143,CT!$A$5:$A$143,"&lt;"&amp;$I$3,CT!$D$5:$D$143,A138)</f>
        <v>0</v>
      </c>
      <c r="G138" s="69">
        <f>SUMIFS(CT!$H$5:$H$143,CT!$A$5:$A$143,"&lt;"&amp;$I$3,CT!$D$5:$D$143,A138)</f>
        <v>0</v>
      </c>
      <c r="H138" s="69">
        <f>SUMIFS(CT!$F$5:$F$143,CT!$A$5:$A$143,"&lt;"&amp;$I$3,CT!$E$5:$E$143,A138)</f>
        <v>0</v>
      </c>
      <c r="I138" s="69">
        <f>SUMIFS(CT!$H$5:$H$143,CT!$A$5:$A$143,"&lt;"&amp;$I$3,CT!$E$5:$E$143,A138)</f>
        <v>0</v>
      </c>
      <c r="J138" s="69">
        <f t="shared" si="12"/>
        <v>0</v>
      </c>
      <c r="K138" s="69">
        <f t="shared" si="13"/>
        <v>10000000</v>
      </c>
      <c r="L138" s="69">
        <f>SUMIFS(CT!$F$5:$F$143,CT!$A$5:$A$143,"&gt;="&amp;$I$3,CT!$A$5:$A$143,"&lt;="&amp;$K$3,CT!$D$5:$D$143,A138)</f>
        <v>0</v>
      </c>
      <c r="M138" s="69">
        <f>SUMIFS(CT!$H$5:$H$143,CT!$A$5:$A$143,"&gt;="&amp;$I$3,CT!$A$5:$A$143,"&lt;="&amp;$K$3,CT!$D$5:$D$143,A138)</f>
        <v>40000000</v>
      </c>
      <c r="N138" s="69">
        <f>SUMIFS(CT!$F$5:$F$143,CT!$A$5:$A$143,"&gt;="&amp;$I$3,CT!$A$5:$A$143,"&lt;="&amp;$K$3,CT!$E$5:$E$143,A138)</f>
        <v>0</v>
      </c>
      <c r="O138" s="69">
        <f>SUMIFS(CT!$H$5:$H$143,CT!$A$5:$A$143,"&gt;="&amp;$I$3,CT!$A$5:$A$143,"&lt;="&amp;$K$3,CT!$E$5:$E$143,A138)</f>
        <v>40000000</v>
      </c>
      <c r="P138" s="69">
        <f t="shared" si="14"/>
        <v>0</v>
      </c>
      <c r="Q138" s="69">
        <f t="shared" si="15"/>
        <v>10000000</v>
      </c>
      <c r="R138" s="69">
        <f t="shared" si="16"/>
        <v>0</v>
      </c>
      <c r="S138" t="b">
        <f t="shared" si="17"/>
        <v>0</v>
      </c>
    </row>
    <row r="139" spans="1:19" hidden="1" x14ac:dyDescent="0.25">
      <c r="A139" s="93" t="str">
        <f>DMTK!B136</f>
        <v>3348.01</v>
      </c>
      <c r="B139" s="65" t="str">
        <f>VLOOKUP(A139,DMTK!$B$5:$Q$263,3,0)</f>
        <v>Lương NV QLPX</v>
      </c>
      <c r="C139" s="65" t="str">
        <f>VLOOKUP(A139,DMTK!$B$5:$Q$263,16,0)</f>
        <v xml:space="preserve"> </v>
      </c>
      <c r="D139" s="69">
        <f>VLOOKUP(A139,DMTK!$B$5:$Q$263,4,0)</f>
        <v>0</v>
      </c>
      <c r="E139" s="69">
        <f>VLOOKUP(A139,DMTK!$B$5:$Q$263,5,0)</f>
        <v>53000000</v>
      </c>
      <c r="F139" s="69">
        <f>SUMIFS(CT!$F$5:$F$143,CT!$A$5:$A$143,"&lt;"&amp;$I$3,CT!$D$5:$D$143,A139)</f>
        <v>0</v>
      </c>
      <c r="G139" s="69">
        <f>SUMIFS(CT!$H$5:$H$143,CT!$A$5:$A$143,"&lt;"&amp;$I$3,CT!$D$5:$D$143,A139)</f>
        <v>0</v>
      </c>
      <c r="H139" s="69">
        <f>SUMIFS(CT!$F$5:$F$143,CT!$A$5:$A$143,"&lt;"&amp;$I$3,CT!$E$5:$E$143,A139)</f>
        <v>0</v>
      </c>
      <c r="I139" s="69">
        <f>SUMIFS(CT!$H$5:$H$143,CT!$A$5:$A$143,"&lt;"&amp;$I$3,CT!$E$5:$E$143,A139)</f>
        <v>0</v>
      </c>
      <c r="J139" s="69">
        <f t="shared" si="12"/>
        <v>0</v>
      </c>
      <c r="K139" s="69">
        <f t="shared" si="13"/>
        <v>53000000</v>
      </c>
      <c r="L139" s="69">
        <f>SUMIFS(CT!$F$5:$F$143,CT!$A$5:$A$143,"&gt;="&amp;$I$3,CT!$A$5:$A$143,"&lt;="&amp;$K$3,CT!$D$5:$D$143,A139)</f>
        <v>0</v>
      </c>
      <c r="M139" s="69">
        <f>SUMIFS(CT!$H$5:$H$143,CT!$A$5:$A$143,"&gt;="&amp;$I$3,CT!$A$5:$A$143,"&lt;="&amp;$K$3,CT!$D$5:$D$143,A139)</f>
        <v>35000000</v>
      </c>
      <c r="N139" s="69">
        <f>SUMIFS(CT!$F$5:$F$143,CT!$A$5:$A$143,"&gt;="&amp;$I$3,CT!$A$5:$A$143,"&lt;="&amp;$K$3,CT!$E$5:$E$143,A139)</f>
        <v>0</v>
      </c>
      <c r="O139" s="69">
        <f>SUMIFS(CT!$H$5:$H$143,CT!$A$5:$A$143,"&gt;="&amp;$I$3,CT!$A$5:$A$143,"&lt;="&amp;$K$3,CT!$E$5:$E$143,A139)</f>
        <v>35000000</v>
      </c>
      <c r="P139" s="69">
        <f t="shared" si="14"/>
        <v>0</v>
      </c>
      <c r="Q139" s="69">
        <f t="shared" si="15"/>
        <v>53000000</v>
      </c>
      <c r="R139" s="69">
        <f t="shared" si="16"/>
        <v>0</v>
      </c>
      <c r="S139" t="b">
        <f t="shared" si="17"/>
        <v>0</v>
      </c>
    </row>
    <row r="140" spans="1:19" hidden="1" x14ac:dyDescent="0.25">
      <c r="A140" s="93" t="str">
        <f>DMTK!B137</f>
        <v>3348.02</v>
      </c>
      <c r="B140" s="65" t="str">
        <f>VLOOKUP(A140,DMTK!$B$5:$Q$263,3,0)</f>
        <v>Lương NV bán hàng</v>
      </c>
      <c r="C140" s="65" t="str">
        <f>VLOOKUP(A140,DMTK!$B$5:$Q$263,16,0)</f>
        <v xml:space="preserve"> </v>
      </c>
      <c r="D140" s="69">
        <f>VLOOKUP(A140,DMTK!$B$5:$Q$263,4,0)</f>
        <v>0</v>
      </c>
      <c r="E140" s="69">
        <f>VLOOKUP(A140,DMTK!$B$5:$Q$263,5,0)</f>
        <v>3000000</v>
      </c>
      <c r="F140" s="69">
        <f>SUMIFS(CT!$F$5:$F$143,CT!$A$5:$A$143,"&lt;"&amp;$I$3,CT!$D$5:$D$143,A140)</f>
        <v>0</v>
      </c>
      <c r="G140" s="69">
        <f>SUMIFS(CT!$H$5:$H$143,CT!$A$5:$A$143,"&lt;"&amp;$I$3,CT!$D$5:$D$143,A140)</f>
        <v>0</v>
      </c>
      <c r="H140" s="69">
        <f>SUMIFS(CT!$F$5:$F$143,CT!$A$5:$A$143,"&lt;"&amp;$I$3,CT!$E$5:$E$143,A140)</f>
        <v>0</v>
      </c>
      <c r="I140" s="69">
        <f>SUMIFS(CT!$H$5:$H$143,CT!$A$5:$A$143,"&lt;"&amp;$I$3,CT!$E$5:$E$143,A140)</f>
        <v>0</v>
      </c>
      <c r="J140" s="69">
        <f t="shared" si="12"/>
        <v>0</v>
      </c>
      <c r="K140" s="69">
        <f t="shared" si="13"/>
        <v>3000000</v>
      </c>
      <c r="L140" s="69">
        <f>SUMIFS(CT!$F$5:$F$143,CT!$A$5:$A$143,"&gt;="&amp;$I$3,CT!$A$5:$A$143,"&lt;="&amp;$K$3,CT!$D$5:$D$143,A140)</f>
        <v>0</v>
      </c>
      <c r="M140" s="69">
        <f>SUMIFS(CT!$H$5:$H$143,CT!$A$5:$A$143,"&gt;="&amp;$I$3,CT!$A$5:$A$143,"&lt;="&amp;$K$3,CT!$D$5:$D$143,A140)</f>
        <v>5000000</v>
      </c>
      <c r="N140" s="69">
        <f>SUMIFS(CT!$F$5:$F$143,CT!$A$5:$A$143,"&gt;="&amp;$I$3,CT!$A$5:$A$143,"&lt;="&amp;$K$3,CT!$E$5:$E$143,A140)</f>
        <v>0</v>
      </c>
      <c r="O140" s="69">
        <f>SUMIFS(CT!$H$5:$H$143,CT!$A$5:$A$143,"&gt;="&amp;$I$3,CT!$A$5:$A$143,"&lt;="&amp;$K$3,CT!$E$5:$E$143,A140)</f>
        <v>5000000</v>
      </c>
      <c r="P140" s="69">
        <f t="shared" si="14"/>
        <v>0</v>
      </c>
      <c r="Q140" s="69">
        <f t="shared" si="15"/>
        <v>3000000</v>
      </c>
      <c r="R140" s="69">
        <f t="shared" si="16"/>
        <v>0</v>
      </c>
      <c r="S140" t="b">
        <f t="shared" si="17"/>
        <v>0</v>
      </c>
    </row>
    <row r="141" spans="1:19" hidden="1" x14ac:dyDescent="0.25">
      <c r="A141" s="93" t="str">
        <f>DMTK!B138</f>
        <v>3348.03</v>
      </c>
      <c r="B141" s="65" t="str">
        <f>VLOOKUP(A141,DMTK!$B$5:$Q$263,3,0)</f>
        <v>Lương CB QLDN</v>
      </c>
      <c r="C141" s="65" t="str">
        <f>VLOOKUP(A141,DMTK!$B$5:$Q$263,16,0)</f>
        <v xml:space="preserve"> </v>
      </c>
      <c r="D141" s="69">
        <f>VLOOKUP(A141,DMTK!$B$5:$Q$263,4,0)</f>
        <v>0</v>
      </c>
      <c r="E141" s="69">
        <f>VLOOKUP(A141,DMTK!$B$5:$Q$263,5,0)</f>
        <v>1500000</v>
      </c>
      <c r="F141" s="69">
        <f>SUMIFS(CT!$F$5:$F$143,CT!$A$5:$A$143,"&lt;"&amp;$I$3,CT!$D$5:$D$143,A141)</f>
        <v>0</v>
      </c>
      <c r="G141" s="69">
        <f>SUMIFS(CT!$H$5:$H$143,CT!$A$5:$A$143,"&lt;"&amp;$I$3,CT!$D$5:$D$143,A141)</f>
        <v>0</v>
      </c>
      <c r="H141" s="69">
        <f>SUMIFS(CT!$F$5:$F$143,CT!$A$5:$A$143,"&lt;"&amp;$I$3,CT!$E$5:$E$143,A141)</f>
        <v>0</v>
      </c>
      <c r="I141" s="69">
        <f>SUMIFS(CT!$H$5:$H$143,CT!$A$5:$A$143,"&lt;"&amp;$I$3,CT!$E$5:$E$143,A141)</f>
        <v>0</v>
      </c>
      <c r="J141" s="69">
        <f t="shared" si="12"/>
        <v>0</v>
      </c>
      <c r="K141" s="69">
        <f t="shared" si="13"/>
        <v>1500000</v>
      </c>
      <c r="L141" s="69">
        <f>SUMIFS(CT!$F$5:$F$143,CT!$A$5:$A$143,"&gt;="&amp;$I$3,CT!$A$5:$A$143,"&lt;="&amp;$K$3,CT!$D$5:$D$143,A141)</f>
        <v>0</v>
      </c>
      <c r="M141" s="69">
        <f>SUMIFS(CT!$H$5:$H$143,CT!$A$5:$A$143,"&gt;="&amp;$I$3,CT!$A$5:$A$143,"&lt;="&amp;$K$3,CT!$D$5:$D$143,A141)</f>
        <v>7000000</v>
      </c>
      <c r="N141" s="69">
        <f>SUMIFS(CT!$F$5:$F$143,CT!$A$5:$A$143,"&gt;="&amp;$I$3,CT!$A$5:$A$143,"&lt;="&amp;$K$3,CT!$E$5:$E$143,A141)</f>
        <v>0</v>
      </c>
      <c r="O141" s="69">
        <f>SUMIFS(CT!$H$5:$H$143,CT!$A$5:$A$143,"&gt;="&amp;$I$3,CT!$A$5:$A$143,"&lt;="&amp;$K$3,CT!$E$5:$E$143,A141)</f>
        <v>7000000</v>
      </c>
      <c r="P141" s="69">
        <f t="shared" si="14"/>
        <v>0</v>
      </c>
      <c r="Q141" s="69">
        <f t="shared" si="15"/>
        <v>1500000</v>
      </c>
      <c r="R141" s="69">
        <f t="shared" si="16"/>
        <v>0</v>
      </c>
      <c r="S141" t="b">
        <f t="shared" si="17"/>
        <v>0</v>
      </c>
    </row>
    <row r="142" spans="1:19" hidden="1" x14ac:dyDescent="0.25">
      <c r="A142" s="93" t="str">
        <f>DMTK!B139</f>
        <v>3351</v>
      </c>
      <c r="B142" s="65" t="str">
        <f>VLOOKUP(A142,DMTK!$B$5:$Q$263,3,0)</f>
        <v>Chi phí phải trả (ngắn hạn)</v>
      </c>
      <c r="C142" s="65" t="str">
        <f>VLOOKUP(A142,DMTK!$B$5:$Q$263,16,0)</f>
        <v xml:space="preserve"> </v>
      </c>
      <c r="D142" s="69">
        <f>VLOOKUP(A142,DMTK!$B$5:$Q$263,4,0)</f>
        <v>0</v>
      </c>
      <c r="E142" s="69">
        <f>VLOOKUP(A142,DMTK!$B$5:$Q$263,5,0)</f>
        <v>56000000</v>
      </c>
      <c r="F142" s="69">
        <f>SUMIFS(CT!$F$5:$F$143,CT!$A$5:$A$143,"&lt;"&amp;$I$3,CT!$D$5:$D$143,A142)</f>
        <v>0</v>
      </c>
      <c r="G142" s="69">
        <f>SUMIFS(CT!$H$5:$H$143,CT!$A$5:$A$143,"&lt;"&amp;$I$3,CT!$D$5:$D$143,A142)</f>
        <v>0</v>
      </c>
      <c r="H142" s="69">
        <f>SUMIFS(CT!$F$5:$F$143,CT!$A$5:$A$143,"&lt;"&amp;$I$3,CT!$E$5:$E$143,A142)</f>
        <v>0</v>
      </c>
      <c r="I142" s="69">
        <f>SUMIFS(CT!$H$5:$H$143,CT!$A$5:$A$143,"&lt;"&amp;$I$3,CT!$E$5:$E$143,A142)</f>
        <v>0</v>
      </c>
      <c r="J142" s="69">
        <f t="shared" si="12"/>
        <v>0</v>
      </c>
      <c r="K142" s="69">
        <f t="shared" si="13"/>
        <v>56000000</v>
      </c>
      <c r="L142" s="69">
        <f>SUMIFS(CT!$F$5:$F$143,CT!$A$5:$A$143,"&gt;="&amp;$I$3,CT!$A$5:$A$143,"&lt;="&amp;$K$3,CT!$D$5:$D$143,A142)</f>
        <v>0</v>
      </c>
      <c r="M142" s="69">
        <f>SUMIFS(CT!$H$5:$H$143,CT!$A$5:$A$143,"&gt;="&amp;$I$3,CT!$A$5:$A$143,"&lt;="&amp;$K$3,CT!$D$5:$D$143,A142)</f>
        <v>0</v>
      </c>
      <c r="N142" s="69">
        <f>SUMIFS(CT!$F$5:$F$143,CT!$A$5:$A$143,"&gt;="&amp;$I$3,CT!$A$5:$A$143,"&lt;="&amp;$K$3,CT!$E$5:$E$143,A142)</f>
        <v>0</v>
      </c>
      <c r="O142" s="69">
        <f>SUMIFS(CT!$H$5:$H$143,CT!$A$5:$A$143,"&gt;="&amp;$I$3,CT!$A$5:$A$143,"&lt;="&amp;$K$3,CT!$E$5:$E$143,A142)</f>
        <v>0</v>
      </c>
      <c r="P142" s="69">
        <f t="shared" si="14"/>
        <v>0</v>
      </c>
      <c r="Q142" s="69">
        <f t="shared" si="15"/>
        <v>56000000</v>
      </c>
      <c r="R142" s="69">
        <f t="shared" si="16"/>
        <v>0</v>
      </c>
      <c r="S142" t="b">
        <f t="shared" si="17"/>
        <v>0</v>
      </c>
    </row>
    <row r="143" spans="1:19" hidden="1" x14ac:dyDescent="0.25">
      <c r="A143" s="93" t="str">
        <f>DMTK!B140</f>
        <v>3352</v>
      </c>
      <c r="B143" s="65" t="str">
        <f>VLOOKUP(A143,DMTK!$B$5:$Q$263,3,0)</f>
        <v>Chi phí phải trả (dài hạn)</v>
      </c>
      <c r="C143" s="65" t="str">
        <f>VLOOKUP(A143,DMTK!$B$5:$Q$263,16,0)</f>
        <v xml:space="preserve"> </v>
      </c>
      <c r="D143" s="69">
        <f>VLOOKUP(A143,DMTK!$B$5:$Q$263,4,0)</f>
        <v>0</v>
      </c>
      <c r="E143" s="69">
        <f>VLOOKUP(A143,DMTK!$B$5:$Q$263,5,0)</f>
        <v>0</v>
      </c>
      <c r="F143" s="69">
        <f>SUMIFS(CT!$F$5:$F$143,CT!$A$5:$A$143,"&lt;"&amp;$I$3,CT!$D$5:$D$143,A143)</f>
        <v>0</v>
      </c>
      <c r="G143" s="69">
        <f>SUMIFS(CT!$H$5:$H$143,CT!$A$5:$A$143,"&lt;"&amp;$I$3,CT!$D$5:$D$143,A143)</f>
        <v>0</v>
      </c>
      <c r="H143" s="69">
        <f>SUMIFS(CT!$F$5:$F$143,CT!$A$5:$A$143,"&lt;"&amp;$I$3,CT!$E$5:$E$143,A143)</f>
        <v>0</v>
      </c>
      <c r="I143" s="69">
        <f>SUMIFS(CT!$H$5:$H$143,CT!$A$5:$A$143,"&lt;"&amp;$I$3,CT!$E$5:$E$143,A143)</f>
        <v>0</v>
      </c>
      <c r="J143" s="69">
        <f t="shared" si="12"/>
        <v>0</v>
      </c>
      <c r="K143" s="69">
        <f t="shared" si="13"/>
        <v>0</v>
      </c>
      <c r="L143" s="69">
        <f>SUMIFS(CT!$F$5:$F$143,CT!$A$5:$A$143,"&gt;="&amp;$I$3,CT!$A$5:$A$143,"&lt;="&amp;$K$3,CT!$D$5:$D$143,A143)</f>
        <v>0</v>
      </c>
      <c r="M143" s="69">
        <f>SUMIFS(CT!$H$5:$H$143,CT!$A$5:$A$143,"&gt;="&amp;$I$3,CT!$A$5:$A$143,"&lt;="&amp;$K$3,CT!$D$5:$D$143,A143)</f>
        <v>0</v>
      </c>
      <c r="N143" s="69">
        <f>SUMIFS(CT!$F$5:$F$143,CT!$A$5:$A$143,"&gt;="&amp;$I$3,CT!$A$5:$A$143,"&lt;="&amp;$K$3,CT!$E$5:$E$143,A143)</f>
        <v>0</v>
      </c>
      <c r="O143" s="69">
        <f>SUMIFS(CT!$H$5:$H$143,CT!$A$5:$A$143,"&gt;="&amp;$I$3,CT!$A$5:$A$143,"&lt;="&amp;$K$3,CT!$E$5:$E$143,A143)</f>
        <v>0</v>
      </c>
      <c r="P143" s="69">
        <f t="shared" si="14"/>
        <v>0</v>
      </c>
      <c r="Q143" s="69">
        <f t="shared" si="15"/>
        <v>0</v>
      </c>
      <c r="R143" s="69">
        <f t="shared" si="16"/>
        <v>0</v>
      </c>
      <c r="S143" t="b">
        <f t="shared" si="17"/>
        <v>0</v>
      </c>
    </row>
    <row r="144" spans="1:19" hidden="1" x14ac:dyDescent="0.25">
      <c r="A144" s="93" t="str">
        <f>DMTK!B141</f>
        <v>3361</v>
      </c>
      <c r="B144" s="65" t="str">
        <f>VLOOKUP(A144,DMTK!$B$5:$Q$263,3,0)</f>
        <v>Phải trả nội bộ về vốn kinh doanh</v>
      </c>
      <c r="C144" s="65" t="str">
        <f>VLOOKUP(A144,DMTK!$B$5:$Q$263,16,0)</f>
        <v xml:space="preserve"> </v>
      </c>
      <c r="D144" s="69">
        <f>VLOOKUP(A144,DMTK!$B$5:$Q$263,4,0)</f>
        <v>0</v>
      </c>
      <c r="E144" s="69">
        <f>VLOOKUP(A144,DMTK!$B$5:$Q$263,5,0)</f>
        <v>0</v>
      </c>
      <c r="F144" s="69">
        <f>SUMIFS(CT!$F$5:$F$143,CT!$A$5:$A$143,"&lt;"&amp;$I$3,CT!$D$5:$D$143,A144)</f>
        <v>0</v>
      </c>
      <c r="G144" s="69">
        <f>SUMIFS(CT!$H$5:$H$143,CT!$A$5:$A$143,"&lt;"&amp;$I$3,CT!$D$5:$D$143,A144)</f>
        <v>0</v>
      </c>
      <c r="H144" s="69">
        <f>SUMIFS(CT!$F$5:$F$143,CT!$A$5:$A$143,"&lt;"&amp;$I$3,CT!$E$5:$E$143,A144)</f>
        <v>0</v>
      </c>
      <c r="I144" s="69">
        <f>SUMIFS(CT!$H$5:$H$143,CT!$A$5:$A$143,"&lt;"&amp;$I$3,CT!$E$5:$E$143,A144)</f>
        <v>0</v>
      </c>
      <c r="J144" s="69">
        <f t="shared" si="12"/>
        <v>0</v>
      </c>
      <c r="K144" s="69">
        <f t="shared" si="13"/>
        <v>0</v>
      </c>
      <c r="L144" s="69">
        <f>SUMIFS(CT!$F$5:$F$143,CT!$A$5:$A$143,"&gt;="&amp;$I$3,CT!$A$5:$A$143,"&lt;="&amp;$K$3,CT!$D$5:$D$143,A144)</f>
        <v>0</v>
      </c>
      <c r="M144" s="69">
        <f>SUMIFS(CT!$H$5:$H$143,CT!$A$5:$A$143,"&gt;="&amp;$I$3,CT!$A$5:$A$143,"&lt;="&amp;$K$3,CT!$D$5:$D$143,A144)</f>
        <v>0</v>
      </c>
      <c r="N144" s="69">
        <f>SUMIFS(CT!$F$5:$F$143,CT!$A$5:$A$143,"&gt;="&amp;$I$3,CT!$A$5:$A$143,"&lt;="&amp;$K$3,CT!$E$5:$E$143,A144)</f>
        <v>0</v>
      </c>
      <c r="O144" s="69">
        <f>SUMIFS(CT!$H$5:$H$143,CT!$A$5:$A$143,"&gt;="&amp;$I$3,CT!$A$5:$A$143,"&lt;="&amp;$K$3,CT!$E$5:$E$143,A144)</f>
        <v>0</v>
      </c>
      <c r="P144" s="69">
        <f t="shared" si="14"/>
        <v>0</v>
      </c>
      <c r="Q144" s="69">
        <f t="shared" si="15"/>
        <v>0</v>
      </c>
      <c r="R144" s="69">
        <f t="shared" si="16"/>
        <v>0</v>
      </c>
      <c r="S144" t="b">
        <f t="shared" si="17"/>
        <v>0</v>
      </c>
    </row>
    <row r="145" spans="1:19" hidden="1" x14ac:dyDescent="0.25">
      <c r="A145" s="93" t="str">
        <f>DMTK!B142</f>
        <v>33621</v>
      </c>
      <c r="B145" s="65" t="str">
        <f>VLOOKUP(A145,DMTK!$B$5:$Q$263,3,0)</f>
        <v>Phải trả nội bộ về chênh lệch tỷ giá</v>
      </c>
      <c r="C145" s="65" t="str">
        <f>VLOOKUP(A145,DMTK!$B$5:$Q$263,16,0)</f>
        <v xml:space="preserve"> </v>
      </c>
      <c r="D145" s="69">
        <f>VLOOKUP(A145,DMTK!$B$5:$Q$263,4,0)</f>
        <v>0</v>
      </c>
      <c r="E145" s="69">
        <f>VLOOKUP(A145,DMTK!$B$5:$Q$263,5,0)</f>
        <v>0</v>
      </c>
      <c r="F145" s="69">
        <f>SUMIFS(CT!$F$5:$F$143,CT!$A$5:$A$143,"&lt;"&amp;$I$3,CT!$D$5:$D$143,A145)</f>
        <v>0</v>
      </c>
      <c r="G145" s="69">
        <f>SUMIFS(CT!$H$5:$H$143,CT!$A$5:$A$143,"&lt;"&amp;$I$3,CT!$D$5:$D$143,A145)</f>
        <v>0</v>
      </c>
      <c r="H145" s="69">
        <f>SUMIFS(CT!$F$5:$F$143,CT!$A$5:$A$143,"&lt;"&amp;$I$3,CT!$E$5:$E$143,A145)</f>
        <v>0</v>
      </c>
      <c r="I145" s="69">
        <f>SUMIFS(CT!$H$5:$H$143,CT!$A$5:$A$143,"&lt;"&amp;$I$3,CT!$E$5:$E$143,A145)</f>
        <v>0</v>
      </c>
      <c r="J145" s="69">
        <f t="shared" si="12"/>
        <v>0</v>
      </c>
      <c r="K145" s="69">
        <f t="shared" si="13"/>
        <v>0</v>
      </c>
      <c r="L145" s="69">
        <f>SUMIFS(CT!$F$5:$F$143,CT!$A$5:$A$143,"&gt;="&amp;$I$3,CT!$A$5:$A$143,"&lt;="&amp;$K$3,CT!$D$5:$D$143,A145)</f>
        <v>0</v>
      </c>
      <c r="M145" s="69">
        <f>SUMIFS(CT!$H$5:$H$143,CT!$A$5:$A$143,"&gt;="&amp;$I$3,CT!$A$5:$A$143,"&lt;="&amp;$K$3,CT!$D$5:$D$143,A145)</f>
        <v>0</v>
      </c>
      <c r="N145" s="69">
        <f>SUMIFS(CT!$F$5:$F$143,CT!$A$5:$A$143,"&gt;="&amp;$I$3,CT!$A$5:$A$143,"&lt;="&amp;$K$3,CT!$E$5:$E$143,A145)</f>
        <v>0</v>
      </c>
      <c r="O145" s="69">
        <f>SUMIFS(CT!$H$5:$H$143,CT!$A$5:$A$143,"&gt;="&amp;$I$3,CT!$A$5:$A$143,"&lt;="&amp;$K$3,CT!$E$5:$E$143,A145)</f>
        <v>0</v>
      </c>
      <c r="P145" s="69">
        <f t="shared" si="14"/>
        <v>0</v>
      </c>
      <c r="Q145" s="69">
        <f t="shared" si="15"/>
        <v>0</v>
      </c>
      <c r="R145" s="69">
        <f t="shared" si="16"/>
        <v>0</v>
      </c>
      <c r="S145" t="b">
        <f t="shared" si="17"/>
        <v>0</v>
      </c>
    </row>
    <row r="146" spans="1:19" hidden="1" x14ac:dyDescent="0.25">
      <c r="A146" s="93" t="str">
        <f>DMTK!B143</f>
        <v>33622</v>
      </c>
      <c r="B146" s="65" t="str">
        <f>VLOOKUP(A146,DMTK!$B$5:$Q$263,3,0)</f>
        <v>Phải trả nội bộ về chênh lệch tỷ giá (dài hạn)</v>
      </c>
      <c r="C146" s="65" t="str">
        <f>VLOOKUP(A146,DMTK!$B$5:$Q$263,16,0)</f>
        <v xml:space="preserve"> </v>
      </c>
      <c r="D146" s="69">
        <f>VLOOKUP(A146,DMTK!$B$5:$Q$263,4,0)</f>
        <v>0</v>
      </c>
      <c r="E146" s="69">
        <f>VLOOKUP(A146,DMTK!$B$5:$Q$263,5,0)</f>
        <v>0</v>
      </c>
      <c r="F146" s="69">
        <f>SUMIFS(CT!$F$5:$F$143,CT!$A$5:$A$143,"&lt;"&amp;$I$3,CT!$D$5:$D$143,A146)</f>
        <v>0</v>
      </c>
      <c r="G146" s="69">
        <f>SUMIFS(CT!$H$5:$H$143,CT!$A$5:$A$143,"&lt;"&amp;$I$3,CT!$D$5:$D$143,A146)</f>
        <v>0</v>
      </c>
      <c r="H146" s="69">
        <f>SUMIFS(CT!$F$5:$F$143,CT!$A$5:$A$143,"&lt;"&amp;$I$3,CT!$E$5:$E$143,A146)</f>
        <v>0</v>
      </c>
      <c r="I146" s="69">
        <f>SUMIFS(CT!$H$5:$H$143,CT!$A$5:$A$143,"&lt;"&amp;$I$3,CT!$E$5:$E$143,A146)</f>
        <v>0</v>
      </c>
      <c r="J146" s="69">
        <f t="shared" si="12"/>
        <v>0</v>
      </c>
      <c r="K146" s="69">
        <f t="shared" si="13"/>
        <v>0</v>
      </c>
      <c r="L146" s="69">
        <f>SUMIFS(CT!$F$5:$F$143,CT!$A$5:$A$143,"&gt;="&amp;$I$3,CT!$A$5:$A$143,"&lt;="&amp;$K$3,CT!$D$5:$D$143,A146)</f>
        <v>0</v>
      </c>
      <c r="M146" s="69">
        <f>SUMIFS(CT!$H$5:$H$143,CT!$A$5:$A$143,"&gt;="&amp;$I$3,CT!$A$5:$A$143,"&lt;="&amp;$K$3,CT!$D$5:$D$143,A146)</f>
        <v>0</v>
      </c>
      <c r="N146" s="69">
        <f>SUMIFS(CT!$F$5:$F$143,CT!$A$5:$A$143,"&gt;="&amp;$I$3,CT!$A$5:$A$143,"&lt;="&amp;$K$3,CT!$E$5:$E$143,A146)</f>
        <v>0</v>
      </c>
      <c r="O146" s="69">
        <f>SUMIFS(CT!$H$5:$H$143,CT!$A$5:$A$143,"&gt;="&amp;$I$3,CT!$A$5:$A$143,"&lt;="&amp;$K$3,CT!$E$5:$E$143,A146)</f>
        <v>0</v>
      </c>
      <c r="P146" s="69">
        <f t="shared" si="14"/>
        <v>0</v>
      </c>
      <c r="Q146" s="69">
        <f t="shared" si="15"/>
        <v>0</v>
      </c>
      <c r="R146" s="69">
        <f t="shared" si="16"/>
        <v>0</v>
      </c>
      <c r="S146" t="b">
        <f t="shared" si="17"/>
        <v>0</v>
      </c>
    </row>
    <row r="147" spans="1:19" hidden="1" x14ac:dyDescent="0.25">
      <c r="A147" s="93" t="str">
        <f>DMTK!B144</f>
        <v>33631</v>
      </c>
      <c r="B147" s="65" t="str">
        <f>VLOOKUP(A147,DMTK!$B$5:$Q$263,3,0)</f>
        <v>Phải trả nội bộ về chi phí đi vay đủ điều kiện được vốn hóa</v>
      </c>
      <c r="C147" s="65" t="str">
        <f>VLOOKUP(A147,DMTK!$B$5:$Q$263,16,0)</f>
        <v xml:space="preserve"> </v>
      </c>
      <c r="D147" s="69">
        <f>VLOOKUP(A147,DMTK!$B$5:$Q$263,4,0)</f>
        <v>0</v>
      </c>
      <c r="E147" s="69">
        <f>VLOOKUP(A147,DMTK!$B$5:$Q$263,5,0)</f>
        <v>0</v>
      </c>
      <c r="F147" s="69">
        <f>SUMIFS(CT!$F$5:$F$143,CT!$A$5:$A$143,"&lt;"&amp;$I$3,CT!$D$5:$D$143,A147)</f>
        <v>0</v>
      </c>
      <c r="G147" s="69">
        <f>SUMIFS(CT!$H$5:$H$143,CT!$A$5:$A$143,"&lt;"&amp;$I$3,CT!$D$5:$D$143,A147)</f>
        <v>0</v>
      </c>
      <c r="H147" s="69">
        <f>SUMIFS(CT!$F$5:$F$143,CT!$A$5:$A$143,"&lt;"&amp;$I$3,CT!$E$5:$E$143,A147)</f>
        <v>0</v>
      </c>
      <c r="I147" s="69">
        <f>SUMIFS(CT!$H$5:$H$143,CT!$A$5:$A$143,"&lt;"&amp;$I$3,CT!$E$5:$E$143,A147)</f>
        <v>0</v>
      </c>
      <c r="J147" s="69">
        <f t="shared" si="12"/>
        <v>0</v>
      </c>
      <c r="K147" s="69">
        <f t="shared" si="13"/>
        <v>0</v>
      </c>
      <c r="L147" s="69">
        <f>SUMIFS(CT!$F$5:$F$143,CT!$A$5:$A$143,"&gt;="&amp;$I$3,CT!$A$5:$A$143,"&lt;="&amp;$K$3,CT!$D$5:$D$143,A147)</f>
        <v>0</v>
      </c>
      <c r="M147" s="69">
        <f>SUMIFS(CT!$H$5:$H$143,CT!$A$5:$A$143,"&gt;="&amp;$I$3,CT!$A$5:$A$143,"&lt;="&amp;$K$3,CT!$D$5:$D$143,A147)</f>
        <v>0</v>
      </c>
      <c r="N147" s="69">
        <f>SUMIFS(CT!$F$5:$F$143,CT!$A$5:$A$143,"&gt;="&amp;$I$3,CT!$A$5:$A$143,"&lt;="&amp;$K$3,CT!$E$5:$E$143,A147)</f>
        <v>0</v>
      </c>
      <c r="O147" s="69">
        <f>SUMIFS(CT!$H$5:$H$143,CT!$A$5:$A$143,"&gt;="&amp;$I$3,CT!$A$5:$A$143,"&lt;="&amp;$K$3,CT!$E$5:$E$143,A147)</f>
        <v>0</v>
      </c>
      <c r="P147" s="69">
        <f t="shared" si="14"/>
        <v>0</v>
      </c>
      <c r="Q147" s="69">
        <f t="shared" si="15"/>
        <v>0</v>
      </c>
      <c r="R147" s="69">
        <f t="shared" si="16"/>
        <v>0</v>
      </c>
      <c r="S147" t="b">
        <f t="shared" si="17"/>
        <v>0</v>
      </c>
    </row>
    <row r="148" spans="1:19" hidden="1" x14ac:dyDescent="0.25">
      <c r="A148" s="93" t="str">
        <f>DMTK!B145</f>
        <v>33632</v>
      </c>
      <c r="B148" s="65" t="str">
        <f>VLOOKUP(A148,DMTK!$B$5:$Q$263,3,0)</f>
        <v>Phải trả nội bộ về chi phí đi vay đủ điều kiện được vốn hóa (dài hạn)</v>
      </c>
      <c r="C148" s="65" t="str">
        <f>VLOOKUP(A148,DMTK!$B$5:$Q$263,16,0)</f>
        <v xml:space="preserve"> </v>
      </c>
      <c r="D148" s="69">
        <f>VLOOKUP(A148,DMTK!$B$5:$Q$263,4,0)</f>
        <v>0</v>
      </c>
      <c r="E148" s="69">
        <f>VLOOKUP(A148,DMTK!$B$5:$Q$263,5,0)</f>
        <v>0</v>
      </c>
      <c r="F148" s="69">
        <f>SUMIFS(CT!$F$5:$F$143,CT!$A$5:$A$143,"&lt;"&amp;$I$3,CT!$D$5:$D$143,A148)</f>
        <v>0</v>
      </c>
      <c r="G148" s="69">
        <f>SUMIFS(CT!$H$5:$H$143,CT!$A$5:$A$143,"&lt;"&amp;$I$3,CT!$D$5:$D$143,A148)</f>
        <v>0</v>
      </c>
      <c r="H148" s="69">
        <f>SUMIFS(CT!$F$5:$F$143,CT!$A$5:$A$143,"&lt;"&amp;$I$3,CT!$E$5:$E$143,A148)</f>
        <v>0</v>
      </c>
      <c r="I148" s="69">
        <f>SUMIFS(CT!$H$5:$H$143,CT!$A$5:$A$143,"&lt;"&amp;$I$3,CT!$E$5:$E$143,A148)</f>
        <v>0</v>
      </c>
      <c r="J148" s="69">
        <f t="shared" si="12"/>
        <v>0</v>
      </c>
      <c r="K148" s="69">
        <f t="shared" si="13"/>
        <v>0</v>
      </c>
      <c r="L148" s="69">
        <f>SUMIFS(CT!$F$5:$F$143,CT!$A$5:$A$143,"&gt;="&amp;$I$3,CT!$A$5:$A$143,"&lt;="&amp;$K$3,CT!$D$5:$D$143,A148)</f>
        <v>0</v>
      </c>
      <c r="M148" s="69">
        <f>SUMIFS(CT!$H$5:$H$143,CT!$A$5:$A$143,"&gt;="&amp;$I$3,CT!$A$5:$A$143,"&lt;="&amp;$K$3,CT!$D$5:$D$143,A148)</f>
        <v>0</v>
      </c>
      <c r="N148" s="69">
        <f>SUMIFS(CT!$F$5:$F$143,CT!$A$5:$A$143,"&gt;="&amp;$I$3,CT!$A$5:$A$143,"&lt;="&amp;$K$3,CT!$E$5:$E$143,A148)</f>
        <v>0</v>
      </c>
      <c r="O148" s="69">
        <f>SUMIFS(CT!$H$5:$H$143,CT!$A$5:$A$143,"&gt;="&amp;$I$3,CT!$A$5:$A$143,"&lt;="&amp;$K$3,CT!$E$5:$E$143,A148)</f>
        <v>0</v>
      </c>
      <c r="P148" s="69">
        <f t="shared" si="14"/>
        <v>0</v>
      </c>
      <c r="Q148" s="69">
        <f t="shared" si="15"/>
        <v>0</v>
      </c>
      <c r="R148" s="69">
        <f t="shared" si="16"/>
        <v>0</v>
      </c>
      <c r="S148" t="b">
        <f t="shared" si="17"/>
        <v>0</v>
      </c>
    </row>
    <row r="149" spans="1:19" hidden="1" x14ac:dyDescent="0.25">
      <c r="A149" s="93" t="str">
        <f>DMTK!B146</f>
        <v>33681</v>
      </c>
      <c r="B149" s="65" t="str">
        <f>VLOOKUP(A149,DMTK!$B$5:$Q$263,3,0)</f>
        <v>Phải trả nội bộ khác</v>
      </c>
      <c r="C149" s="65" t="str">
        <f>VLOOKUP(A149,DMTK!$B$5:$Q$263,16,0)</f>
        <v xml:space="preserve"> </v>
      </c>
      <c r="D149" s="69">
        <f>VLOOKUP(A149,DMTK!$B$5:$Q$263,4,0)</f>
        <v>0</v>
      </c>
      <c r="E149" s="69">
        <f>VLOOKUP(A149,DMTK!$B$5:$Q$263,5,0)</f>
        <v>0</v>
      </c>
      <c r="F149" s="69">
        <f>SUMIFS(CT!$F$5:$F$143,CT!$A$5:$A$143,"&lt;"&amp;$I$3,CT!$D$5:$D$143,A149)</f>
        <v>0</v>
      </c>
      <c r="G149" s="69">
        <f>SUMIFS(CT!$H$5:$H$143,CT!$A$5:$A$143,"&lt;"&amp;$I$3,CT!$D$5:$D$143,A149)</f>
        <v>0</v>
      </c>
      <c r="H149" s="69">
        <f>SUMIFS(CT!$F$5:$F$143,CT!$A$5:$A$143,"&lt;"&amp;$I$3,CT!$E$5:$E$143,A149)</f>
        <v>0</v>
      </c>
      <c r="I149" s="69">
        <f>SUMIFS(CT!$H$5:$H$143,CT!$A$5:$A$143,"&lt;"&amp;$I$3,CT!$E$5:$E$143,A149)</f>
        <v>0</v>
      </c>
      <c r="J149" s="69">
        <f t="shared" si="12"/>
        <v>0</v>
      </c>
      <c r="K149" s="69">
        <f t="shared" si="13"/>
        <v>0</v>
      </c>
      <c r="L149" s="69">
        <f>SUMIFS(CT!$F$5:$F$143,CT!$A$5:$A$143,"&gt;="&amp;$I$3,CT!$A$5:$A$143,"&lt;="&amp;$K$3,CT!$D$5:$D$143,A149)</f>
        <v>0</v>
      </c>
      <c r="M149" s="69">
        <f>SUMIFS(CT!$H$5:$H$143,CT!$A$5:$A$143,"&gt;="&amp;$I$3,CT!$A$5:$A$143,"&lt;="&amp;$K$3,CT!$D$5:$D$143,A149)</f>
        <v>0</v>
      </c>
      <c r="N149" s="69">
        <f>SUMIFS(CT!$F$5:$F$143,CT!$A$5:$A$143,"&gt;="&amp;$I$3,CT!$A$5:$A$143,"&lt;="&amp;$K$3,CT!$E$5:$E$143,A149)</f>
        <v>0</v>
      </c>
      <c r="O149" s="69">
        <f>SUMIFS(CT!$H$5:$H$143,CT!$A$5:$A$143,"&gt;="&amp;$I$3,CT!$A$5:$A$143,"&lt;="&amp;$K$3,CT!$E$5:$E$143,A149)</f>
        <v>0</v>
      </c>
      <c r="P149" s="69">
        <f t="shared" si="14"/>
        <v>0</v>
      </c>
      <c r="Q149" s="69">
        <f t="shared" si="15"/>
        <v>0</v>
      </c>
      <c r="R149" s="69">
        <f t="shared" si="16"/>
        <v>0</v>
      </c>
      <c r="S149" t="b">
        <f t="shared" si="17"/>
        <v>0</v>
      </c>
    </row>
    <row r="150" spans="1:19" hidden="1" x14ac:dyDescent="0.25">
      <c r="A150" s="93" t="str">
        <f>DMTK!B147</f>
        <v>33682</v>
      </c>
      <c r="B150" s="65" t="str">
        <f>VLOOKUP(A150,DMTK!$B$5:$Q$263,3,0)</f>
        <v>Phải trả nội bộ khác (dài hạn)</v>
      </c>
      <c r="C150" s="65" t="str">
        <f>VLOOKUP(A150,DMTK!$B$5:$Q$263,16,0)</f>
        <v xml:space="preserve"> </v>
      </c>
      <c r="D150" s="69">
        <f>VLOOKUP(A150,DMTK!$B$5:$Q$263,4,0)</f>
        <v>0</v>
      </c>
      <c r="E150" s="69">
        <f>VLOOKUP(A150,DMTK!$B$5:$Q$263,5,0)</f>
        <v>0</v>
      </c>
      <c r="F150" s="69">
        <f>SUMIFS(CT!$F$5:$F$143,CT!$A$5:$A$143,"&lt;"&amp;$I$3,CT!$D$5:$D$143,A150)</f>
        <v>0</v>
      </c>
      <c r="G150" s="69">
        <f>SUMIFS(CT!$H$5:$H$143,CT!$A$5:$A$143,"&lt;"&amp;$I$3,CT!$D$5:$D$143,A150)</f>
        <v>0</v>
      </c>
      <c r="H150" s="69">
        <f>SUMIFS(CT!$F$5:$F$143,CT!$A$5:$A$143,"&lt;"&amp;$I$3,CT!$E$5:$E$143,A150)</f>
        <v>0</v>
      </c>
      <c r="I150" s="69">
        <f>SUMIFS(CT!$H$5:$H$143,CT!$A$5:$A$143,"&lt;"&amp;$I$3,CT!$E$5:$E$143,A150)</f>
        <v>0</v>
      </c>
      <c r="J150" s="69">
        <f t="shared" si="12"/>
        <v>0</v>
      </c>
      <c r="K150" s="69">
        <f t="shared" si="13"/>
        <v>0</v>
      </c>
      <c r="L150" s="69">
        <f>SUMIFS(CT!$F$5:$F$143,CT!$A$5:$A$143,"&gt;="&amp;$I$3,CT!$A$5:$A$143,"&lt;="&amp;$K$3,CT!$D$5:$D$143,A150)</f>
        <v>0</v>
      </c>
      <c r="M150" s="69">
        <f>SUMIFS(CT!$H$5:$H$143,CT!$A$5:$A$143,"&gt;="&amp;$I$3,CT!$A$5:$A$143,"&lt;="&amp;$K$3,CT!$D$5:$D$143,A150)</f>
        <v>0</v>
      </c>
      <c r="N150" s="69">
        <f>SUMIFS(CT!$F$5:$F$143,CT!$A$5:$A$143,"&gt;="&amp;$I$3,CT!$A$5:$A$143,"&lt;="&amp;$K$3,CT!$E$5:$E$143,A150)</f>
        <v>0</v>
      </c>
      <c r="O150" s="69">
        <f>SUMIFS(CT!$H$5:$H$143,CT!$A$5:$A$143,"&gt;="&amp;$I$3,CT!$A$5:$A$143,"&lt;="&amp;$K$3,CT!$E$5:$E$143,A150)</f>
        <v>0</v>
      </c>
      <c r="P150" s="69">
        <f t="shared" si="14"/>
        <v>0</v>
      </c>
      <c r="Q150" s="69">
        <f t="shared" si="15"/>
        <v>0</v>
      </c>
      <c r="R150" s="69">
        <f t="shared" si="16"/>
        <v>0</v>
      </c>
      <c r="S150" t="b">
        <f t="shared" si="17"/>
        <v>0</v>
      </c>
    </row>
    <row r="151" spans="1:19" hidden="1" x14ac:dyDescent="0.25">
      <c r="A151" s="93" t="str">
        <f>DMTK!B148</f>
        <v>337</v>
      </c>
      <c r="B151" s="65" t="str">
        <f>VLOOKUP(A151,DMTK!$B$5:$Q$263,3,0)</f>
        <v>Thanh toán theo tiến độ kế hoạch hợp đồng xây dựng</v>
      </c>
      <c r="C151" s="65" t="str">
        <f>VLOOKUP(A151,DMTK!$B$5:$Q$263,16,0)</f>
        <v xml:space="preserve"> </v>
      </c>
      <c r="D151" s="69">
        <f>VLOOKUP(A151,DMTK!$B$5:$Q$263,4,0)</f>
        <v>0</v>
      </c>
      <c r="E151" s="69">
        <f>VLOOKUP(A151,DMTK!$B$5:$Q$263,5,0)</f>
        <v>0</v>
      </c>
      <c r="F151" s="69">
        <f>SUMIFS(CT!$F$5:$F$143,CT!$A$5:$A$143,"&lt;"&amp;$I$3,CT!$D$5:$D$143,A151)</f>
        <v>0</v>
      </c>
      <c r="G151" s="69">
        <f>SUMIFS(CT!$H$5:$H$143,CT!$A$5:$A$143,"&lt;"&amp;$I$3,CT!$D$5:$D$143,A151)</f>
        <v>0</v>
      </c>
      <c r="H151" s="69">
        <f>SUMIFS(CT!$F$5:$F$143,CT!$A$5:$A$143,"&lt;"&amp;$I$3,CT!$E$5:$E$143,A151)</f>
        <v>0</v>
      </c>
      <c r="I151" s="69">
        <f>SUMIFS(CT!$H$5:$H$143,CT!$A$5:$A$143,"&lt;"&amp;$I$3,CT!$E$5:$E$143,A151)</f>
        <v>0</v>
      </c>
      <c r="J151" s="69">
        <f t="shared" si="12"/>
        <v>0</v>
      </c>
      <c r="K151" s="69">
        <f t="shared" si="13"/>
        <v>0</v>
      </c>
      <c r="L151" s="69">
        <f>SUMIFS(CT!$F$5:$F$143,CT!$A$5:$A$143,"&gt;="&amp;$I$3,CT!$A$5:$A$143,"&lt;="&amp;$K$3,CT!$D$5:$D$143,A151)</f>
        <v>0</v>
      </c>
      <c r="M151" s="69">
        <f>SUMIFS(CT!$H$5:$H$143,CT!$A$5:$A$143,"&gt;="&amp;$I$3,CT!$A$5:$A$143,"&lt;="&amp;$K$3,CT!$D$5:$D$143,A151)</f>
        <v>0</v>
      </c>
      <c r="N151" s="69">
        <f>SUMIFS(CT!$F$5:$F$143,CT!$A$5:$A$143,"&gt;="&amp;$I$3,CT!$A$5:$A$143,"&lt;="&amp;$K$3,CT!$E$5:$E$143,A151)</f>
        <v>0</v>
      </c>
      <c r="O151" s="69">
        <f>SUMIFS(CT!$H$5:$H$143,CT!$A$5:$A$143,"&gt;="&amp;$I$3,CT!$A$5:$A$143,"&lt;="&amp;$K$3,CT!$E$5:$E$143,A151)</f>
        <v>0</v>
      </c>
      <c r="P151" s="69">
        <f t="shared" si="14"/>
        <v>0</v>
      </c>
      <c r="Q151" s="69">
        <f t="shared" si="15"/>
        <v>0</v>
      </c>
      <c r="R151" s="69">
        <f t="shared" si="16"/>
        <v>0</v>
      </c>
      <c r="S151" t="b">
        <f t="shared" si="17"/>
        <v>0</v>
      </c>
    </row>
    <row r="152" spans="1:19" hidden="1" x14ac:dyDescent="0.25">
      <c r="A152" s="93" t="str">
        <f>DMTK!B149</f>
        <v>3381</v>
      </c>
      <c r="B152" s="65" t="str">
        <f>VLOOKUP(A152,DMTK!$B$5:$Q$263,3,0)</f>
        <v>Tài sản thừa chờ giải quyết</v>
      </c>
      <c r="C152" s="65" t="str">
        <f>VLOOKUP(A152,DMTK!$B$5:$Q$263,16,0)</f>
        <v xml:space="preserve"> </v>
      </c>
      <c r="D152" s="69">
        <f>VLOOKUP(A152,DMTK!$B$5:$Q$263,4,0)</f>
        <v>0</v>
      </c>
      <c r="E152" s="69">
        <f>VLOOKUP(A152,DMTK!$B$5:$Q$263,5,0)</f>
        <v>0</v>
      </c>
      <c r="F152" s="69">
        <f>SUMIFS(CT!$F$5:$F$143,CT!$A$5:$A$143,"&lt;"&amp;$I$3,CT!$D$5:$D$143,A152)</f>
        <v>0</v>
      </c>
      <c r="G152" s="69">
        <f>SUMIFS(CT!$H$5:$H$143,CT!$A$5:$A$143,"&lt;"&amp;$I$3,CT!$D$5:$D$143,A152)</f>
        <v>0</v>
      </c>
      <c r="H152" s="69">
        <f>SUMIFS(CT!$F$5:$F$143,CT!$A$5:$A$143,"&lt;"&amp;$I$3,CT!$E$5:$E$143,A152)</f>
        <v>0</v>
      </c>
      <c r="I152" s="69">
        <f>SUMIFS(CT!$H$5:$H$143,CT!$A$5:$A$143,"&lt;"&amp;$I$3,CT!$E$5:$E$143,A152)</f>
        <v>0</v>
      </c>
      <c r="J152" s="69">
        <f t="shared" si="12"/>
        <v>0</v>
      </c>
      <c r="K152" s="69">
        <f t="shared" si="13"/>
        <v>0</v>
      </c>
      <c r="L152" s="69">
        <f>SUMIFS(CT!$F$5:$F$143,CT!$A$5:$A$143,"&gt;="&amp;$I$3,CT!$A$5:$A$143,"&lt;="&amp;$K$3,CT!$D$5:$D$143,A152)</f>
        <v>0</v>
      </c>
      <c r="M152" s="69">
        <f>SUMIFS(CT!$H$5:$H$143,CT!$A$5:$A$143,"&gt;="&amp;$I$3,CT!$A$5:$A$143,"&lt;="&amp;$K$3,CT!$D$5:$D$143,A152)</f>
        <v>0</v>
      </c>
      <c r="N152" s="69">
        <f>SUMIFS(CT!$F$5:$F$143,CT!$A$5:$A$143,"&gt;="&amp;$I$3,CT!$A$5:$A$143,"&lt;="&amp;$K$3,CT!$E$5:$E$143,A152)</f>
        <v>0</v>
      </c>
      <c r="O152" s="69">
        <f>SUMIFS(CT!$H$5:$H$143,CT!$A$5:$A$143,"&gt;="&amp;$I$3,CT!$A$5:$A$143,"&lt;="&amp;$K$3,CT!$E$5:$E$143,A152)</f>
        <v>0</v>
      </c>
      <c r="P152" s="69">
        <f t="shared" si="14"/>
        <v>0</v>
      </c>
      <c r="Q152" s="69">
        <f t="shared" si="15"/>
        <v>0</v>
      </c>
      <c r="R152" s="69">
        <f t="shared" si="16"/>
        <v>0</v>
      </c>
      <c r="S152" t="b">
        <f t="shared" si="17"/>
        <v>0</v>
      </c>
    </row>
    <row r="153" spans="1:19" hidden="1" x14ac:dyDescent="0.25">
      <c r="A153" s="93" t="str">
        <f>DMTK!B150</f>
        <v>3382</v>
      </c>
      <c r="B153" s="65" t="str">
        <f>VLOOKUP(A153,DMTK!$B$5:$Q$263,3,0)</f>
        <v>Kinh phí công đoàn</v>
      </c>
      <c r="C153" s="65" t="str">
        <f>VLOOKUP(A153,DMTK!$B$5:$Q$263,16,0)</f>
        <v xml:space="preserve"> </v>
      </c>
      <c r="D153" s="69">
        <f>VLOOKUP(A153,DMTK!$B$5:$Q$263,4,0)</f>
        <v>0</v>
      </c>
      <c r="E153" s="69">
        <f>VLOOKUP(A153,DMTK!$B$5:$Q$263,5,0)</f>
        <v>0</v>
      </c>
      <c r="F153" s="69">
        <f>SUMIFS(CT!$F$5:$F$143,CT!$A$5:$A$143,"&lt;"&amp;$I$3,CT!$D$5:$D$143,A153)</f>
        <v>0</v>
      </c>
      <c r="G153" s="69">
        <f>SUMIFS(CT!$H$5:$H$143,CT!$A$5:$A$143,"&lt;"&amp;$I$3,CT!$D$5:$D$143,A153)</f>
        <v>0</v>
      </c>
      <c r="H153" s="69">
        <f>SUMIFS(CT!$F$5:$F$143,CT!$A$5:$A$143,"&lt;"&amp;$I$3,CT!$E$5:$E$143,A153)</f>
        <v>0</v>
      </c>
      <c r="I153" s="69">
        <f>SUMIFS(CT!$H$5:$H$143,CT!$A$5:$A$143,"&lt;"&amp;$I$3,CT!$E$5:$E$143,A153)</f>
        <v>0</v>
      </c>
      <c r="J153" s="69">
        <f t="shared" si="12"/>
        <v>0</v>
      </c>
      <c r="K153" s="69">
        <f t="shared" si="13"/>
        <v>0</v>
      </c>
      <c r="L153" s="69">
        <f>SUMIFS(CT!$F$5:$F$143,CT!$A$5:$A$143,"&gt;="&amp;$I$3,CT!$A$5:$A$143,"&lt;="&amp;$K$3,CT!$D$5:$D$143,A153)</f>
        <v>0</v>
      </c>
      <c r="M153" s="69">
        <f>SUMIFS(CT!$H$5:$H$143,CT!$A$5:$A$143,"&gt;="&amp;$I$3,CT!$A$5:$A$143,"&lt;="&amp;$K$3,CT!$D$5:$D$143,A153)</f>
        <v>0</v>
      </c>
      <c r="N153" s="69">
        <f>SUMIFS(CT!$F$5:$F$143,CT!$A$5:$A$143,"&gt;="&amp;$I$3,CT!$A$5:$A$143,"&lt;="&amp;$K$3,CT!$E$5:$E$143,A153)</f>
        <v>0</v>
      </c>
      <c r="O153" s="69">
        <f>SUMIFS(CT!$H$5:$H$143,CT!$A$5:$A$143,"&gt;="&amp;$I$3,CT!$A$5:$A$143,"&lt;="&amp;$K$3,CT!$E$5:$E$143,A153)</f>
        <v>4940000</v>
      </c>
      <c r="P153" s="69">
        <f t="shared" si="14"/>
        <v>0</v>
      </c>
      <c r="Q153" s="69">
        <f t="shared" si="15"/>
        <v>0</v>
      </c>
      <c r="R153" s="69">
        <f t="shared" si="16"/>
        <v>0</v>
      </c>
      <c r="S153" t="b">
        <f t="shared" si="17"/>
        <v>0</v>
      </c>
    </row>
    <row r="154" spans="1:19" hidden="1" x14ac:dyDescent="0.25">
      <c r="A154" s="93" t="str">
        <f>DMTK!B151</f>
        <v>3383</v>
      </c>
      <c r="B154" s="65" t="str">
        <f>VLOOKUP(A154,DMTK!$B$5:$Q$263,3,0)</f>
        <v>Bảo hiểm xã hội</v>
      </c>
      <c r="C154" s="65" t="str">
        <f>VLOOKUP(A154,DMTK!$B$5:$Q$263,16,0)</f>
        <v xml:space="preserve"> </v>
      </c>
      <c r="D154" s="69">
        <f>VLOOKUP(A154,DMTK!$B$5:$Q$263,4,0)</f>
        <v>0</v>
      </c>
      <c r="E154" s="69">
        <f>VLOOKUP(A154,DMTK!$B$5:$Q$263,5,0)</f>
        <v>20000000</v>
      </c>
      <c r="F154" s="69">
        <f>SUMIFS(CT!$F$5:$F$143,CT!$A$5:$A$143,"&lt;"&amp;$I$3,CT!$D$5:$D$143,A154)</f>
        <v>0</v>
      </c>
      <c r="G154" s="69">
        <f>SUMIFS(CT!$H$5:$H$143,CT!$A$5:$A$143,"&lt;"&amp;$I$3,CT!$D$5:$D$143,A154)</f>
        <v>0</v>
      </c>
      <c r="H154" s="69">
        <f>SUMIFS(CT!$F$5:$F$143,CT!$A$5:$A$143,"&lt;"&amp;$I$3,CT!$E$5:$E$143,A154)</f>
        <v>0</v>
      </c>
      <c r="I154" s="69">
        <f>SUMIFS(CT!$H$5:$H$143,CT!$A$5:$A$143,"&lt;"&amp;$I$3,CT!$E$5:$E$143,A154)</f>
        <v>0</v>
      </c>
      <c r="J154" s="69">
        <f t="shared" si="12"/>
        <v>0</v>
      </c>
      <c r="K154" s="69">
        <f t="shared" si="13"/>
        <v>20000000</v>
      </c>
      <c r="L154" s="69">
        <f>SUMIFS(CT!$F$5:$F$143,CT!$A$5:$A$143,"&gt;="&amp;$I$3,CT!$A$5:$A$143,"&lt;="&amp;$K$3,CT!$D$5:$D$143,A154)</f>
        <v>0</v>
      </c>
      <c r="M154" s="69">
        <f>SUMIFS(CT!$H$5:$H$143,CT!$A$5:$A$143,"&gt;="&amp;$I$3,CT!$A$5:$A$143,"&lt;="&amp;$K$3,CT!$D$5:$D$143,A154)</f>
        <v>0</v>
      </c>
      <c r="N154" s="69">
        <f>SUMIFS(CT!$F$5:$F$143,CT!$A$5:$A$143,"&gt;="&amp;$I$3,CT!$A$5:$A$143,"&lt;="&amp;$K$3,CT!$E$5:$E$143,A154)</f>
        <v>0</v>
      </c>
      <c r="O154" s="69">
        <f>SUMIFS(CT!$H$5:$H$143,CT!$A$5:$A$143,"&gt;="&amp;$I$3,CT!$A$5:$A$143,"&lt;="&amp;$K$3,CT!$E$5:$E$143,A154)</f>
        <v>39520000</v>
      </c>
      <c r="P154" s="69">
        <f t="shared" si="14"/>
        <v>0</v>
      </c>
      <c r="Q154" s="69">
        <f t="shared" si="15"/>
        <v>0</v>
      </c>
      <c r="R154" s="69">
        <f t="shared" si="16"/>
        <v>0</v>
      </c>
      <c r="S154" t="b">
        <f t="shared" si="17"/>
        <v>0</v>
      </c>
    </row>
    <row r="155" spans="1:19" hidden="1" x14ac:dyDescent="0.25">
      <c r="A155" s="93" t="str">
        <f>DMTK!B152</f>
        <v>3384</v>
      </c>
      <c r="B155" s="65" t="str">
        <f>VLOOKUP(A155,DMTK!$B$5:$Q$263,3,0)</f>
        <v>Bảo hiểm y tế</v>
      </c>
      <c r="C155" s="65" t="str">
        <f>VLOOKUP(A155,DMTK!$B$5:$Q$263,16,0)</f>
        <v xml:space="preserve"> </v>
      </c>
      <c r="D155" s="69">
        <f>VLOOKUP(A155,DMTK!$B$5:$Q$263,4,0)</f>
        <v>0</v>
      </c>
      <c r="E155" s="69">
        <f>VLOOKUP(A155,DMTK!$B$5:$Q$263,5,0)</f>
        <v>0</v>
      </c>
      <c r="F155" s="69">
        <f>SUMIFS(CT!$F$5:$F$143,CT!$A$5:$A$143,"&lt;"&amp;$I$3,CT!$D$5:$D$143,A155)</f>
        <v>0</v>
      </c>
      <c r="G155" s="69">
        <f>SUMIFS(CT!$H$5:$H$143,CT!$A$5:$A$143,"&lt;"&amp;$I$3,CT!$D$5:$D$143,A155)</f>
        <v>0</v>
      </c>
      <c r="H155" s="69">
        <f>SUMIFS(CT!$F$5:$F$143,CT!$A$5:$A$143,"&lt;"&amp;$I$3,CT!$E$5:$E$143,A155)</f>
        <v>0</v>
      </c>
      <c r="I155" s="69">
        <f>SUMIFS(CT!$H$5:$H$143,CT!$A$5:$A$143,"&lt;"&amp;$I$3,CT!$E$5:$E$143,A155)</f>
        <v>0</v>
      </c>
      <c r="J155" s="69">
        <f t="shared" si="12"/>
        <v>0</v>
      </c>
      <c r="K155" s="69">
        <f t="shared" si="13"/>
        <v>0</v>
      </c>
      <c r="L155" s="69">
        <f>SUMIFS(CT!$F$5:$F$143,CT!$A$5:$A$143,"&gt;="&amp;$I$3,CT!$A$5:$A$143,"&lt;="&amp;$K$3,CT!$D$5:$D$143,A155)</f>
        <v>0</v>
      </c>
      <c r="M155" s="69">
        <f>SUMIFS(CT!$H$5:$H$143,CT!$A$5:$A$143,"&gt;="&amp;$I$3,CT!$A$5:$A$143,"&lt;="&amp;$K$3,CT!$D$5:$D$143,A155)</f>
        <v>0</v>
      </c>
      <c r="N155" s="69">
        <f>SUMIFS(CT!$F$5:$F$143,CT!$A$5:$A$143,"&gt;="&amp;$I$3,CT!$A$5:$A$143,"&lt;="&amp;$K$3,CT!$E$5:$E$143,A155)</f>
        <v>0</v>
      </c>
      <c r="O155" s="69">
        <f>SUMIFS(CT!$H$5:$H$143,CT!$A$5:$A$143,"&gt;="&amp;$I$3,CT!$A$5:$A$143,"&lt;="&amp;$K$3,CT!$E$5:$E$143,A155)</f>
        <v>7410000</v>
      </c>
      <c r="P155" s="69">
        <f t="shared" si="14"/>
        <v>0</v>
      </c>
      <c r="Q155" s="69">
        <f t="shared" si="15"/>
        <v>0</v>
      </c>
      <c r="R155" s="69">
        <f t="shared" si="16"/>
        <v>0</v>
      </c>
      <c r="S155" t="b">
        <f t="shared" si="17"/>
        <v>0</v>
      </c>
    </row>
    <row r="156" spans="1:19" hidden="1" x14ac:dyDescent="0.25">
      <c r="A156" s="93" t="str">
        <f>DMTK!B153</f>
        <v>3385</v>
      </c>
      <c r="B156" s="65" t="str">
        <f>VLOOKUP(A156,DMTK!$B$5:$Q$263,3,0)</f>
        <v>Phải trả về cổ phần hóa</v>
      </c>
      <c r="C156" s="65" t="str">
        <f>VLOOKUP(A156,DMTK!$B$5:$Q$263,16,0)</f>
        <v xml:space="preserve"> </v>
      </c>
      <c r="D156" s="69">
        <f>VLOOKUP(A156,DMTK!$B$5:$Q$263,4,0)</f>
        <v>0</v>
      </c>
      <c r="E156" s="69">
        <f>VLOOKUP(A156,DMTK!$B$5:$Q$263,5,0)</f>
        <v>0</v>
      </c>
      <c r="F156" s="69">
        <f>SUMIFS(CT!$F$5:$F$143,CT!$A$5:$A$143,"&lt;"&amp;$I$3,CT!$D$5:$D$143,A156)</f>
        <v>0</v>
      </c>
      <c r="G156" s="69">
        <f>SUMIFS(CT!$H$5:$H$143,CT!$A$5:$A$143,"&lt;"&amp;$I$3,CT!$D$5:$D$143,A156)</f>
        <v>0</v>
      </c>
      <c r="H156" s="69">
        <f>SUMIFS(CT!$F$5:$F$143,CT!$A$5:$A$143,"&lt;"&amp;$I$3,CT!$E$5:$E$143,A156)</f>
        <v>0</v>
      </c>
      <c r="I156" s="69">
        <f>SUMIFS(CT!$H$5:$H$143,CT!$A$5:$A$143,"&lt;"&amp;$I$3,CT!$E$5:$E$143,A156)</f>
        <v>0</v>
      </c>
      <c r="J156" s="69">
        <f t="shared" si="12"/>
        <v>0</v>
      </c>
      <c r="K156" s="69">
        <f t="shared" si="13"/>
        <v>0</v>
      </c>
      <c r="L156" s="69">
        <f>SUMIFS(CT!$F$5:$F$143,CT!$A$5:$A$143,"&gt;="&amp;$I$3,CT!$A$5:$A$143,"&lt;="&amp;$K$3,CT!$D$5:$D$143,A156)</f>
        <v>0</v>
      </c>
      <c r="M156" s="69">
        <f>SUMIFS(CT!$H$5:$H$143,CT!$A$5:$A$143,"&gt;="&amp;$I$3,CT!$A$5:$A$143,"&lt;="&amp;$K$3,CT!$D$5:$D$143,A156)</f>
        <v>0</v>
      </c>
      <c r="N156" s="69">
        <f>SUMIFS(CT!$F$5:$F$143,CT!$A$5:$A$143,"&gt;="&amp;$I$3,CT!$A$5:$A$143,"&lt;="&amp;$K$3,CT!$E$5:$E$143,A156)</f>
        <v>0</v>
      </c>
      <c r="O156" s="69">
        <f>SUMIFS(CT!$H$5:$H$143,CT!$A$5:$A$143,"&gt;="&amp;$I$3,CT!$A$5:$A$143,"&lt;="&amp;$K$3,CT!$E$5:$E$143,A156)</f>
        <v>0</v>
      </c>
      <c r="P156" s="69">
        <f t="shared" si="14"/>
        <v>0</v>
      </c>
      <c r="Q156" s="69">
        <f t="shared" si="15"/>
        <v>0</v>
      </c>
      <c r="R156" s="69">
        <f t="shared" si="16"/>
        <v>0</v>
      </c>
      <c r="S156" t="b">
        <f t="shared" si="17"/>
        <v>0</v>
      </c>
    </row>
    <row r="157" spans="1:19" hidden="1" x14ac:dyDescent="0.25">
      <c r="A157" s="93" t="str">
        <f>DMTK!B154</f>
        <v>3386</v>
      </c>
      <c r="B157" s="65" t="str">
        <f>VLOOKUP(A157,DMTK!$B$5:$Q$263,3,0)</f>
        <v>Bảo hiểm thất nghiệp</v>
      </c>
      <c r="C157" s="65" t="str">
        <f>VLOOKUP(A157,DMTK!$B$5:$Q$263,16,0)</f>
        <v xml:space="preserve"> </v>
      </c>
      <c r="D157" s="69">
        <f>VLOOKUP(A157,DMTK!$B$5:$Q$263,4,0)</f>
        <v>0</v>
      </c>
      <c r="E157" s="69">
        <f>VLOOKUP(A157,DMTK!$B$5:$Q$263,5,0)</f>
        <v>0</v>
      </c>
      <c r="F157" s="69">
        <f>SUMIFS(CT!$F$5:$F$143,CT!$A$5:$A$143,"&lt;"&amp;$I$3,CT!$D$5:$D$143,A157)</f>
        <v>0</v>
      </c>
      <c r="G157" s="69">
        <f>SUMIFS(CT!$H$5:$H$143,CT!$A$5:$A$143,"&lt;"&amp;$I$3,CT!$D$5:$D$143,A157)</f>
        <v>0</v>
      </c>
      <c r="H157" s="69">
        <f>SUMIFS(CT!$F$5:$F$143,CT!$A$5:$A$143,"&lt;"&amp;$I$3,CT!$E$5:$E$143,A157)</f>
        <v>0</v>
      </c>
      <c r="I157" s="69">
        <f>SUMIFS(CT!$H$5:$H$143,CT!$A$5:$A$143,"&lt;"&amp;$I$3,CT!$E$5:$E$143,A157)</f>
        <v>0</v>
      </c>
      <c r="J157" s="69">
        <f t="shared" si="12"/>
        <v>0</v>
      </c>
      <c r="K157" s="69">
        <f t="shared" si="13"/>
        <v>0</v>
      </c>
      <c r="L157" s="69">
        <f>SUMIFS(CT!$F$5:$F$143,CT!$A$5:$A$143,"&gt;="&amp;$I$3,CT!$A$5:$A$143,"&lt;="&amp;$K$3,CT!$D$5:$D$143,A157)</f>
        <v>0</v>
      </c>
      <c r="M157" s="69">
        <f>SUMIFS(CT!$H$5:$H$143,CT!$A$5:$A$143,"&gt;="&amp;$I$3,CT!$A$5:$A$143,"&lt;="&amp;$K$3,CT!$D$5:$D$143,A157)</f>
        <v>0</v>
      </c>
      <c r="N157" s="69">
        <f>SUMIFS(CT!$F$5:$F$143,CT!$A$5:$A$143,"&gt;="&amp;$I$3,CT!$A$5:$A$143,"&lt;="&amp;$K$3,CT!$E$5:$E$143,A157)</f>
        <v>0</v>
      </c>
      <c r="O157" s="69">
        <f>SUMIFS(CT!$H$5:$H$143,CT!$A$5:$A$143,"&gt;="&amp;$I$3,CT!$A$5:$A$143,"&lt;="&amp;$K$3,CT!$E$5:$E$143,A157)</f>
        <v>0</v>
      </c>
      <c r="P157" s="69">
        <f t="shared" si="14"/>
        <v>0</v>
      </c>
      <c r="Q157" s="69">
        <f t="shared" si="15"/>
        <v>0</v>
      </c>
      <c r="R157" s="69">
        <f t="shared" si="16"/>
        <v>0</v>
      </c>
      <c r="S157" t="b">
        <f t="shared" si="17"/>
        <v>0</v>
      </c>
    </row>
    <row r="158" spans="1:19" hidden="1" x14ac:dyDescent="0.25">
      <c r="A158" s="93" t="str">
        <f>DMTK!B155</f>
        <v>33871</v>
      </c>
      <c r="B158" s="65" t="str">
        <f>VLOOKUP(A158,DMTK!$B$5:$Q$263,3,0)</f>
        <v>Doanh thu chưa thực hiện</v>
      </c>
      <c r="C158" s="65" t="str">
        <f>VLOOKUP(A158,DMTK!$B$5:$Q$263,16,0)</f>
        <v xml:space="preserve"> </v>
      </c>
      <c r="D158" s="69">
        <f>VLOOKUP(A158,DMTK!$B$5:$Q$263,4,0)</f>
        <v>0</v>
      </c>
      <c r="E158" s="69">
        <f>VLOOKUP(A158,DMTK!$B$5:$Q$263,5,0)</f>
        <v>0</v>
      </c>
      <c r="F158" s="69">
        <f>SUMIFS(CT!$F$5:$F$143,CT!$A$5:$A$143,"&lt;"&amp;$I$3,CT!$D$5:$D$143,A158)</f>
        <v>0</v>
      </c>
      <c r="G158" s="69">
        <f>SUMIFS(CT!$H$5:$H$143,CT!$A$5:$A$143,"&lt;"&amp;$I$3,CT!$D$5:$D$143,A158)</f>
        <v>0</v>
      </c>
      <c r="H158" s="69">
        <f>SUMIFS(CT!$F$5:$F$143,CT!$A$5:$A$143,"&lt;"&amp;$I$3,CT!$E$5:$E$143,A158)</f>
        <v>0</v>
      </c>
      <c r="I158" s="69">
        <f>SUMIFS(CT!$H$5:$H$143,CT!$A$5:$A$143,"&lt;"&amp;$I$3,CT!$E$5:$E$143,A158)</f>
        <v>0</v>
      </c>
      <c r="J158" s="69">
        <f t="shared" si="12"/>
        <v>0</v>
      </c>
      <c r="K158" s="69">
        <f t="shared" si="13"/>
        <v>0</v>
      </c>
      <c r="L158" s="69">
        <f>SUMIFS(CT!$F$5:$F$143,CT!$A$5:$A$143,"&gt;="&amp;$I$3,CT!$A$5:$A$143,"&lt;="&amp;$K$3,CT!$D$5:$D$143,A158)</f>
        <v>0</v>
      </c>
      <c r="M158" s="69">
        <f>SUMIFS(CT!$H$5:$H$143,CT!$A$5:$A$143,"&gt;="&amp;$I$3,CT!$A$5:$A$143,"&lt;="&amp;$K$3,CT!$D$5:$D$143,A158)</f>
        <v>0</v>
      </c>
      <c r="N158" s="69">
        <f>SUMIFS(CT!$F$5:$F$143,CT!$A$5:$A$143,"&gt;="&amp;$I$3,CT!$A$5:$A$143,"&lt;="&amp;$K$3,CT!$E$5:$E$143,A158)</f>
        <v>0</v>
      </c>
      <c r="O158" s="69">
        <f>SUMIFS(CT!$H$5:$H$143,CT!$A$5:$A$143,"&gt;="&amp;$I$3,CT!$A$5:$A$143,"&lt;="&amp;$K$3,CT!$E$5:$E$143,A158)</f>
        <v>0</v>
      </c>
      <c r="P158" s="69">
        <f t="shared" si="14"/>
        <v>0</v>
      </c>
      <c r="Q158" s="69">
        <f t="shared" si="15"/>
        <v>0</v>
      </c>
      <c r="R158" s="69">
        <f t="shared" si="16"/>
        <v>0</v>
      </c>
      <c r="S158" t="b">
        <f t="shared" si="17"/>
        <v>0</v>
      </c>
    </row>
    <row r="159" spans="1:19" hidden="1" x14ac:dyDescent="0.25">
      <c r="A159" s="93" t="str">
        <f>DMTK!B156</f>
        <v>33872</v>
      </c>
      <c r="B159" s="65" t="str">
        <f>VLOOKUP(A159,DMTK!$B$5:$Q$263,3,0)</f>
        <v>Doanh thu chưa thực hiện (sau 12 tháng)</v>
      </c>
      <c r="C159" s="65" t="str">
        <f>VLOOKUP(A159,DMTK!$B$5:$Q$263,16,0)</f>
        <v xml:space="preserve"> </v>
      </c>
      <c r="D159" s="69">
        <f>VLOOKUP(A159,DMTK!$B$5:$Q$263,4,0)</f>
        <v>0</v>
      </c>
      <c r="E159" s="69">
        <f>VLOOKUP(A159,DMTK!$B$5:$Q$263,5,0)</f>
        <v>0</v>
      </c>
      <c r="F159" s="69">
        <f>SUMIFS(CT!$F$5:$F$143,CT!$A$5:$A$143,"&lt;"&amp;$I$3,CT!$D$5:$D$143,A159)</f>
        <v>0</v>
      </c>
      <c r="G159" s="69">
        <f>SUMIFS(CT!$H$5:$H$143,CT!$A$5:$A$143,"&lt;"&amp;$I$3,CT!$D$5:$D$143,A159)</f>
        <v>0</v>
      </c>
      <c r="H159" s="69">
        <f>SUMIFS(CT!$F$5:$F$143,CT!$A$5:$A$143,"&lt;"&amp;$I$3,CT!$E$5:$E$143,A159)</f>
        <v>0</v>
      </c>
      <c r="I159" s="69">
        <f>SUMIFS(CT!$H$5:$H$143,CT!$A$5:$A$143,"&lt;"&amp;$I$3,CT!$E$5:$E$143,A159)</f>
        <v>0</v>
      </c>
      <c r="J159" s="69">
        <f t="shared" si="12"/>
        <v>0</v>
      </c>
      <c r="K159" s="69">
        <f t="shared" si="13"/>
        <v>0</v>
      </c>
      <c r="L159" s="69">
        <f>SUMIFS(CT!$F$5:$F$143,CT!$A$5:$A$143,"&gt;="&amp;$I$3,CT!$A$5:$A$143,"&lt;="&amp;$K$3,CT!$D$5:$D$143,A159)</f>
        <v>0</v>
      </c>
      <c r="M159" s="69">
        <f>SUMIFS(CT!$H$5:$H$143,CT!$A$5:$A$143,"&gt;="&amp;$I$3,CT!$A$5:$A$143,"&lt;="&amp;$K$3,CT!$D$5:$D$143,A159)</f>
        <v>0</v>
      </c>
      <c r="N159" s="69">
        <f>SUMIFS(CT!$F$5:$F$143,CT!$A$5:$A$143,"&gt;="&amp;$I$3,CT!$A$5:$A$143,"&lt;="&amp;$K$3,CT!$E$5:$E$143,A159)</f>
        <v>0</v>
      </c>
      <c r="O159" s="69">
        <f>SUMIFS(CT!$H$5:$H$143,CT!$A$5:$A$143,"&gt;="&amp;$I$3,CT!$A$5:$A$143,"&lt;="&amp;$K$3,CT!$E$5:$E$143,A159)</f>
        <v>0</v>
      </c>
      <c r="P159" s="69">
        <f t="shared" si="14"/>
        <v>0</v>
      </c>
      <c r="Q159" s="69">
        <f t="shared" si="15"/>
        <v>0</v>
      </c>
      <c r="R159" s="69">
        <f t="shared" si="16"/>
        <v>0</v>
      </c>
      <c r="S159" t="b">
        <f t="shared" si="17"/>
        <v>0</v>
      </c>
    </row>
    <row r="160" spans="1:19" hidden="1" x14ac:dyDescent="0.25">
      <c r="A160" s="93" t="str">
        <f>DMTK!B157</f>
        <v>3388</v>
      </c>
      <c r="B160" s="65" t="str">
        <f>VLOOKUP(A160,DMTK!$B$5:$Q$263,3,0)</f>
        <v>Phải trả, phải nộp khác</v>
      </c>
      <c r="C160" s="65" t="str">
        <f>VLOOKUP(A160,DMTK!$B$5:$Q$263,16,0)</f>
        <v xml:space="preserve"> </v>
      </c>
      <c r="D160" s="69">
        <f>VLOOKUP(A160,DMTK!$B$5:$Q$263,4,0)</f>
        <v>0</v>
      </c>
      <c r="E160" s="69">
        <f>VLOOKUP(A160,DMTK!$B$5:$Q$263,5,0)</f>
        <v>38800000</v>
      </c>
      <c r="F160" s="69">
        <f>SUMIFS(CT!$F$5:$F$143,CT!$A$5:$A$143,"&lt;"&amp;$I$3,CT!$D$5:$D$143,A160)</f>
        <v>0</v>
      </c>
      <c r="G160" s="69">
        <f>SUMIFS(CT!$H$5:$H$143,CT!$A$5:$A$143,"&lt;"&amp;$I$3,CT!$D$5:$D$143,A160)</f>
        <v>0</v>
      </c>
      <c r="H160" s="69">
        <f>SUMIFS(CT!$F$5:$F$143,CT!$A$5:$A$143,"&lt;"&amp;$I$3,CT!$E$5:$E$143,A160)</f>
        <v>0</v>
      </c>
      <c r="I160" s="69">
        <f>SUMIFS(CT!$H$5:$H$143,CT!$A$5:$A$143,"&lt;"&amp;$I$3,CT!$E$5:$E$143,A160)</f>
        <v>0</v>
      </c>
      <c r="J160" s="69">
        <f t="shared" si="12"/>
        <v>0</v>
      </c>
      <c r="K160" s="69">
        <f t="shared" si="13"/>
        <v>38800000</v>
      </c>
      <c r="L160" s="69">
        <f>SUMIFS(CT!$F$5:$F$143,CT!$A$5:$A$143,"&gt;="&amp;$I$3,CT!$A$5:$A$143,"&lt;="&amp;$K$3,CT!$D$5:$D$143,A160)</f>
        <v>0</v>
      </c>
      <c r="M160" s="69">
        <f>SUMIFS(CT!$H$5:$H$143,CT!$A$5:$A$143,"&gt;="&amp;$I$3,CT!$A$5:$A$143,"&lt;="&amp;$K$3,CT!$D$5:$D$143,A160)</f>
        <v>0</v>
      </c>
      <c r="N160" s="69">
        <f>SUMIFS(CT!$F$5:$F$143,CT!$A$5:$A$143,"&gt;="&amp;$I$3,CT!$A$5:$A$143,"&lt;="&amp;$K$3,CT!$E$5:$E$143,A160)</f>
        <v>0</v>
      </c>
      <c r="O160" s="69">
        <f>SUMIFS(CT!$H$5:$H$143,CT!$A$5:$A$143,"&gt;="&amp;$I$3,CT!$A$5:$A$143,"&lt;="&amp;$K$3,CT!$E$5:$E$143,A160)</f>
        <v>2470000</v>
      </c>
      <c r="P160" s="69">
        <f t="shared" si="14"/>
        <v>0</v>
      </c>
      <c r="Q160" s="69">
        <f t="shared" si="15"/>
        <v>36330000</v>
      </c>
      <c r="R160" s="69">
        <f t="shared" si="16"/>
        <v>0</v>
      </c>
      <c r="S160" t="b">
        <f t="shared" si="17"/>
        <v>0</v>
      </c>
    </row>
    <row r="161" spans="1:19" hidden="1" x14ac:dyDescent="0.25">
      <c r="A161" s="93" t="str">
        <f>DMTK!B158</f>
        <v>3411</v>
      </c>
      <c r="B161" s="65" t="str">
        <f>VLOOKUP(A161,DMTK!$B$5:$Q$263,3,0)</f>
        <v>Các khoản đi vay</v>
      </c>
      <c r="C161" s="65" t="str">
        <f>VLOOKUP(A161,DMTK!$B$5:$Q$263,16,0)</f>
        <v xml:space="preserve"> </v>
      </c>
      <c r="D161" s="69">
        <f>VLOOKUP(A161,DMTK!$B$5:$Q$263,4,0)</f>
        <v>0</v>
      </c>
      <c r="E161" s="69">
        <f>VLOOKUP(A161,DMTK!$B$5:$Q$263,5,0)</f>
        <v>385000000</v>
      </c>
      <c r="F161" s="69">
        <f>SUMIFS(CT!$F$5:$F$143,CT!$A$5:$A$143,"&lt;"&amp;$I$3,CT!$D$5:$D$143,A161)</f>
        <v>0</v>
      </c>
      <c r="G161" s="69">
        <f>SUMIFS(CT!$H$5:$H$143,CT!$A$5:$A$143,"&lt;"&amp;$I$3,CT!$D$5:$D$143,A161)</f>
        <v>0</v>
      </c>
      <c r="H161" s="69">
        <f>SUMIFS(CT!$F$5:$F$143,CT!$A$5:$A$143,"&lt;"&amp;$I$3,CT!$E$5:$E$143,A161)</f>
        <v>0</v>
      </c>
      <c r="I161" s="69">
        <f>SUMIFS(CT!$H$5:$H$143,CT!$A$5:$A$143,"&lt;"&amp;$I$3,CT!$E$5:$E$143,A161)</f>
        <v>0</v>
      </c>
      <c r="J161" s="69">
        <f t="shared" si="12"/>
        <v>0</v>
      </c>
      <c r="K161" s="69">
        <f t="shared" si="13"/>
        <v>385000000</v>
      </c>
      <c r="L161" s="69">
        <f>SUMIFS(CT!$F$5:$F$143,CT!$A$5:$A$143,"&gt;="&amp;$I$3,CT!$A$5:$A$143,"&lt;="&amp;$K$3,CT!$D$5:$D$143,A161)</f>
        <v>0</v>
      </c>
      <c r="M161" s="69">
        <f>SUMIFS(CT!$H$5:$H$143,CT!$A$5:$A$143,"&gt;="&amp;$I$3,CT!$A$5:$A$143,"&lt;="&amp;$K$3,CT!$D$5:$D$143,A161)</f>
        <v>0</v>
      </c>
      <c r="N161" s="69">
        <f>SUMIFS(CT!$F$5:$F$143,CT!$A$5:$A$143,"&gt;="&amp;$I$3,CT!$A$5:$A$143,"&lt;="&amp;$K$3,CT!$E$5:$E$143,A161)</f>
        <v>0</v>
      </c>
      <c r="O161" s="69">
        <f>SUMIFS(CT!$H$5:$H$143,CT!$A$5:$A$143,"&gt;="&amp;$I$3,CT!$A$5:$A$143,"&lt;="&amp;$K$3,CT!$E$5:$E$143,A161)</f>
        <v>0</v>
      </c>
      <c r="P161" s="69">
        <f t="shared" si="14"/>
        <v>0</v>
      </c>
      <c r="Q161" s="69">
        <f t="shared" si="15"/>
        <v>385000000</v>
      </c>
      <c r="R161" s="69">
        <f t="shared" si="16"/>
        <v>0</v>
      </c>
      <c r="S161" t="b">
        <f t="shared" si="17"/>
        <v>0</v>
      </c>
    </row>
    <row r="162" spans="1:19" hidden="1" x14ac:dyDescent="0.25">
      <c r="A162" s="93" t="str">
        <f>DMTK!B159</f>
        <v>3412</v>
      </c>
      <c r="B162" s="65" t="str">
        <f>VLOOKUP(A162,DMTK!$B$5:$Q$263,3,0)</f>
        <v>Nợ thuê tài chính</v>
      </c>
      <c r="C162" s="65" t="str">
        <f>VLOOKUP(A162,DMTK!$B$5:$Q$263,16,0)</f>
        <v xml:space="preserve"> </v>
      </c>
      <c r="D162" s="69">
        <f>VLOOKUP(A162,DMTK!$B$5:$Q$263,4,0)</f>
        <v>0</v>
      </c>
      <c r="E162" s="69">
        <f>VLOOKUP(A162,DMTK!$B$5:$Q$263,5,0)</f>
        <v>0</v>
      </c>
      <c r="F162" s="69">
        <f>SUMIFS(CT!$F$5:$F$143,CT!$A$5:$A$143,"&lt;"&amp;$I$3,CT!$D$5:$D$143,A162)</f>
        <v>0</v>
      </c>
      <c r="G162" s="69">
        <f>SUMIFS(CT!$H$5:$H$143,CT!$A$5:$A$143,"&lt;"&amp;$I$3,CT!$D$5:$D$143,A162)</f>
        <v>0</v>
      </c>
      <c r="H162" s="69">
        <f>SUMIFS(CT!$F$5:$F$143,CT!$A$5:$A$143,"&lt;"&amp;$I$3,CT!$E$5:$E$143,A162)</f>
        <v>0</v>
      </c>
      <c r="I162" s="69">
        <f>SUMIFS(CT!$H$5:$H$143,CT!$A$5:$A$143,"&lt;"&amp;$I$3,CT!$E$5:$E$143,A162)</f>
        <v>0</v>
      </c>
      <c r="J162" s="69">
        <f t="shared" si="12"/>
        <v>0</v>
      </c>
      <c r="K162" s="69">
        <f t="shared" si="13"/>
        <v>0</v>
      </c>
      <c r="L162" s="69">
        <f>SUMIFS(CT!$F$5:$F$143,CT!$A$5:$A$143,"&gt;="&amp;$I$3,CT!$A$5:$A$143,"&lt;="&amp;$K$3,CT!$D$5:$D$143,A162)</f>
        <v>0</v>
      </c>
      <c r="M162" s="69">
        <f>SUMIFS(CT!$H$5:$H$143,CT!$A$5:$A$143,"&gt;="&amp;$I$3,CT!$A$5:$A$143,"&lt;="&amp;$K$3,CT!$D$5:$D$143,A162)</f>
        <v>0</v>
      </c>
      <c r="N162" s="69">
        <f>SUMIFS(CT!$F$5:$F$143,CT!$A$5:$A$143,"&gt;="&amp;$I$3,CT!$A$5:$A$143,"&lt;="&amp;$K$3,CT!$E$5:$E$143,A162)</f>
        <v>0</v>
      </c>
      <c r="O162" s="69">
        <f>SUMIFS(CT!$H$5:$H$143,CT!$A$5:$A$143,"&gt;="&amp;$I$3,CT!$A$5:$A$143,"&lt;="&amp;$K$3,CT!$E$5:$E$143,A162)</f>
        <v>0</v>
      </c>
      <c r="P162" s="69">
        <f t="shared" si="14"/>
        <v>0</v>
      </c>
      <c r="Q162" s="69">
        <f t="shared" si="15"/>
        <v>0</v>
      </c>
      <c r="R162" s="69">
        <f t="shared" si="16"/>
        <v>0</v>
      </c>
      <c r="S162" t="b">
        <f t="shared" si="17"/>
        <v>0</v>
      </c>
    </row>
    <row r="163" spans="1:19" hidden="1" x14ac:dyDescent="0.25">
      <c r="A163" s="93" t="str">
        <f>DMTK!B160</f>
        <v>34311</v>
      </c>
      <c r="B163" s="65" t="str">
        <f>VLOOKUP(A163,DMTK!$B$5:$Q$263,3,0)</f>
        <v>Mệnh giá trái phiếu</v>
      </c>
      <c r="C163" s="65" t="str">
        <f>VLOOKUP(A163,DMTK!$B$5:$Q$263,16,0)</f>
        <v xml:space="preserve"> </v>
      </c>
      <c r="D163" s="69">
        <f>VLOOKUP(A163,DMTK!$B$5:$Q$263,4,0)</f>
        <v>0</v>
      </c>
      <c r="E163" s="69">
        <f>VLOOKUP(A163,DMTK!$B$5:$Q$263,5,0)</f>
        <v>0</v>
      </c>
      <c r="F163" s="69">
        <f>SUMIFS(CT!$F$5:$F$143,CT!$A$5:$A$143,"&lt;"&amp;$I$3,CT!$D$5:$D$143,A163)</f>
        <v>0</v>
      </c>
      <c r="G163" s="69">
        <f>SUMIFS(CT!$H$5:$H$143,CT!$A$5:$A$143,"&lt;"&amp;$I$3,CT!$D$5:$D$143,A163)</f>
        <v>0</v>
      </c>
      <c r="H163" s="69">
        <f>SUMIFS(CT!$F$5:$F$143,CT!$A$5:$A$143,"&lt;"&amp;$I$3,CT!$E$5:$E$143,A163)</f>
        <v>0</v>
      </c>
      <c r="I163" s="69">
        <f>SUMIFS(CT!$H$5:$H$143,CT!$A$5:$A$143,"&lt;"&amp;$I$3,CT!$E$5:$E$143,A163)</f>
        <v>0</v>
      </c>
      <c r="J163" s="69">
        <f t="shared" si="12"/>
        <v>0</v>
      </c>
      <c r="K163" s="69">
        <f t="shared" si="13"/>
        <v>0</v>
      </c>
      <c r="L163" s="69">
        <f>SUMIFS(CT!$F$5:$F$143,CT!$A$5:$A$143,"&gt;="&amp;$I$3,CT!$A$5:$A$143,"&lt;="&amp;$K$3,CT!$D$5:$D$143,A163)</f>
        <v>0</v>
      </c>
      <c r="M163" s="69">
        <f>SUMIFS(CT!$H$5:$H$143,CT!$A$5:$A$143,"&gt;="&amp;$I$3,CT!$A$5:$A$143,"&lt;="&amp;$K$3,CT!$D$5:$D$143,A163)</f>
        <v>0</v>
      </c>
      <c r="N163" s="69">
        <f>SUMIFS(CT!$F$5:$F$143,CT!$A$5:$A$143,"&gt;="&amp;$I$3,CT!$A$5:$A$143,"&lt;="&amp;$K$3,CT!$E$5:$E$143,A163)</f>
        <v>0</v>
      </c>
      <c r="O163" s="69">
        <f>SUMIFS(CT!$H$5:$H$143,CT!$A$5:$A$143,"&gt;="&amp;$I$3,CT!$A$5:$A$143,"&lt;="&amp;$K$3,CT!$E$5:$E$143,A163)</f>
        <v>0</v>
      </c>
      <c r="P163" s="69">
        <f t="shared" si="14"/>
        <v>0</v>
      </c>
      <c r="Q163" s="69">
        <f t="shared" si="15"/>
        <v>0</v>
      </c>
      <c r="R163" s="69">
        <f t="shared" si="16"/>
        <v>0</v>
      </c>
      <c r="S163" t="b">
        <f t="shared" si="17"/>
        <v>0</v>
      </c>
    </row>
    <row r="164" spans="1:19" hidden="1" x14ac:dyDescent="0.25">
      <c r="A164" s="93" t="str">
        <f>DMTK!B161</f>
        <v>34312</v>
      </c>
      <c r="B164" s="65" t="str">
        <f>VLOOKUP(A164,DMTK!$B$5:$Q$263,3,0)</f>
        <v>Chiết khấu trái phiếu</v>
      </c>
      <c r="C164" s="65" t="str">
        <f>VLOOKUP(A164,DMTK!$B$5:$Q$263,16,0)</f>
        <v xml:space="preserve"> </v>
      </c>
      <c r="D164" s="69">
        <f>VLOOKUP(A164,DMTK!$B$5:$Q$263,4,0)</f>
        <v>0</v>
      </c>
      <c r="E164" s="69">
        <f>VLOOKUP(A164,DMTK!$B$5:$Q$263,5,0)</f>
        <v>0</v>
      </c>
      <c r="F164" s="69">
        <f>SUMIFS(CT!$F$5:$F$143,CT!$A$5:$A$143,"&lt;"&amp;$I$3,CT!$D$5:$D$143,A164)</f>
        <v>0</v>
      </c>
      <c r="G164" s="69">
        <f>SUMIFS(CT!$H$5:$H$143,CT!$A$5:$A$143,"&lt;"&amp;$I$3,CT!$D$5:$D$143,A164)</f>
        <v>0</v>
      </c>
      <c r="H164" s="69">
        <f>SUMIFS(CT!$F$5:$F$143,CT!$A$5:$A$143,"&lt;"&amp;$I$3,CT!$E$5:$E$143,A164)</f>
        <v>0</v>
      </c>
      <c r="I164" s="69">
        <f>SUMIFS(CT!$H$5:$H$143,CT!$A$5:$A$143,"&lt;"&amp;$I$3,CT!$E$5:$E$143,A164)</f>
        <v>0</v>
      </c>
      <c r="J164" s="69">
        <f t="shared" si="12"/>
        <v>0</v>
      </c>
      <c r="K164" s="69">
        <f t="shared" si="13"/>
        <v>0</v>
      </c>
      <c r="L164" s="69">
        <f>SUMIFS(CT!$F$5:$F$143,CT!$A$5:$A$143,"&gt;="&amp;$I$3,CT!$A$5:$A$143,"&lt;="&amp;$K$3,CT!$D$5:$D$143,A164)</f>
        <v>0</v>
      </c>
      <c r="M164" s="69">
        <f>SUMIFS(CT!$H$5:$H$143,CT!$A$5:$A$143,"&gt;="&amp;$I$3,CT!$A$5:$A$143,"&lt;="&amp;$K$3,CT!$D$5:$D$143,A164)</f>
        <v>0</v>
      </c>
      <c r="N164" s="69">
        <f>SUMIFS(CT!$F$5:$F$143,CT!$A$5:$A$143,"&gt;="&amp;$I$3,CT!$A$5:$A$143,"&lt;="&amp;$K$3,CT!$E$5:$E$143,A164)</f>
        <v>0</v>
      </c>
      <c r="O164" s="69">
        <f>SUMIFS(CT!$H$5:$H$143,CT!$A$5:$A$143,"&gt;="&amp;$I$3,CT!$A$5:$A$143,"&lt;="&amp;$K$3,CT!$E$5:$E$143,A164)</f>
        <v>0</v>
      </c>
      <c r="P164" s="69">
        <f t="shared" si="14"/>
        <v>0</v>
      </c>
      <c r="Q164" s="69">
        <f t="shared" si="15"/>
        <v>0</v>
      </c>
      <c r="R164" s="69">
        <f t="shared" si="16"/>
        <v>0</v>
      </c>
      <c r="S164" t="b">
        <f t="shared" si="17"/>
        <v>0</v>
      </c>
    </row>
    <row r="165" spans="1:19" hidden="1" x14ac:dyDescent="0.25">
      <c r="A165" s="93" t="str">
        <f>DMTK!B162</f>
        <v>34313</v>
      </c>
      <c r="B165" s="65" t="str">
        <f>VLOOKUP(A165,DMTK!$B$5:$Q$263,3,0)</f>
        <v>Phụ trội trái phiếu</v>
      </c>
      <c r="C165" s="65" t="str">
        <f>VLOOKUP(A165,DMTK!$B$5:$Q$263,16,0)</f>
        <v xml:space="preserve"> </v>
      </c>
      <c r="D165" s="69">
        <f>VLOOKUP(A165,DMTK!$B$5:$Q$263,4,0)</f>
        <v>0</v>
      </c>
      <c r="E165" s="69">
        <f>VLOOKUP(A165,DMTK!$B$5:$Q$263,5,0)</f>
        <v>0</v>
      </c>
      <c r="F165" s="69">
        <f>SUMIFS(CT!$F$5:$F$143,CT!$A$5:$A$143,"&lt;"&amp;$I$3,CT!$D$5:$D$143,A165)</f>
        <v>0</v>
      </c>
      <c r="G165" s="69">
        <f>SUMIFS(CT!$H$5:$H$143,CT!$A$5:$A$143,"&lt;"&amp;$I$3,CT!$D$5:$D$143,A165)</f>
        <v>0</v>
      </c>
      <c r="H165" s="69">
        <f>SUMIFS(CT!$F$5:$F$143,CT!$A$5:$A$143,"&lt;"&amp;$I$3,CT!$E$5:$E$143,A165)</f>
        <v>0</v>
      </c>
      <c r="I165" s="69">
        <f>SUMIFS(CT!$H$5:$H$143,CT!$A$5:$A$143,"&lt;"&amp;$I$3,CT!$E$5:$E$143,A165)</f>
        <v>0</v>
      </c>
      <c r="J165" s="69">
        <f t="shared" si="12"/>
        <v>0</v>
      </c>
      <c r="K165" s="69">
        <f t="shared" si="13"/>
        <v>0</v>
      </c>
      <c r="L165" s="69">
        <f>SUMIFS(CT!$F$5:$F$143,CT!$A$5:$A$143,"&gt;="&amp;$I$3,CT!$A$5:$A$143,"&lt;="&amp;$K$3,CT!$D$5:$D$143,A165)</f>
        <v>0</v>
      </c>
      <c r="M165" s="69">
        <f>SUMIFS(CT!$H$5:$H$143,CT!$A$5:$A$143,"&gt;="&amp;$I$3,CT!$A$5:$A$143,"&lt;="&amp;$K$3,CT!$D$5:$D$143,A165)</f>
        <v>0</v>
      </c>
      <c r="N165" s="69">
        <f>SUMIFS(CT!$F$5:$F$143,CT!$A$5:$A$143,"&gt;="&amp;$I$3,CT!$A$5:$A$143,"&lt;="&amp;$K$3,CT!$E$5:$E$143,A165)</f>
        <v>0</v>
      </c>
      <c r="O165" s="69">
        <f>SUMIFS(CT!$H$5:$H$143,CT!$A$5:$A$143,"&gt;="&amp;$I$3,CT!$A$5:$A$143,"&lt;="&amp;$K$3,CT!$E$5:$E$143,A165)</f>
        <v>0</v>
      </c>
      <c r="P165" s="69">
        <f t="shared" si="14"/>
        <v>0</v>
      </c>
      <c r="Q165" s="69">
        <f t="shared" si="15"/>
        <v>0</v>
      </c>
      <c r="R165" s="69">
        <f t="shared" si="16"/>
        <v>0</v>
      </c>
      <c r="S165" t="b">
        <f t="shared" si="17"/>
        <v>0</v>
      </c>
    </row>
    <row r="166" spans="1:19" hidden="1" x14ac:dyDescent="0.25">
      <c r="A166" s="93" t="str">
        <f>DMTK!B163</f>
        <v>3432</v>
      </c>
      <c r="B166" s="65" t="str">
        <f>VLOOKUP(A166,DMTK!$B$5:$Q$263,3,0)</f>
        <v>Trái phiếu chuyển đổi</v>
      </c>
      <c r="C166" s="65" t="str">
        <f>VLOOKUP(A166,DMTK!$B$5:$Q$263,16,0)</f>
        <v xml:space="preserve"> </v>
      </c>
      <c r="D166" s="69">
        <f>VLOOKUP(A166,DMTK!$B$5:$Q$263,4,0)</f>
        <v>0</v>
      </c>
      <c r="E166" s="69">
        <f>VLOOKUP(A166,DMTK!$B$5:$Q$263,5,0)</f>
        <v>0</v>
      </c>
      <c r="F166" s="69">
        <f>SUMIFS(CT!$F$5:$F$143,CT!$A$5:$A$143,"&lt;"&amp;$I$3,CT!$D$5:$D$143,A166)</f>
        <v>0</v>
      </c>
      <c r="G166" s="69">
        <f>SUMIFS(CT!$H$5:$H$143,CT!$A$5:$A$143,"&lt;"&amp;$I$3,CT!$D$5:$D$143,A166)</f>
        <v>0</v>
      </c>
      <c r="H166" s="69">
        <f>SUMIFS(CT!$F$5:$F$143,CT!$A$5:$A$143,"&lt;"&amp;$I$3,CT!$E$5:$E$143,A166)</f>
        <v>0</v>
      </c>
      <c r="I166" s="69">
        <f>SUMIFS(CT!$H$5:$H$143,CT!$A$5:$A$143,"&lt;"&amp;$I$3,CT!$E$5:$E$143,A166)</f>
        <v>0</v>
      </c>
      <c r="J166" s="69">
        <f t="shared" si="12"/>
        <v>0</v>
      </c>
      <c r="K166" s="69">
        <f t="shared" si="13"/>
        <v>0</v>
      </c>
      <c r="L166" s="69">
        <f>SUMIFS(CT!$F$5:$F$143,CT!$A$5:$A$143,"&gt;="&amp;$I$3,CT!$A$5:$A$143,"&lt;="&amp;$K$3,CT!$D$5:$D$143,A166)</f>
        <v>0</v>
      </c>
      <c r="M166" s="69">
        <f>SUMIFS(CT!$H$5:$H$143,CT!$A$5:$A$143,"&gt;="&amp;$I$3,CT!$A$5:$A$143,"&lt;="&amp;$K$3,CT!$D$5:$D$143,A166)</f>
        <v>0</v>
      </c>
      <c r="N166" s="69">
        <f>SUMIFS(CT!$F$5:$F$143,CT!$A$5:$A$143,"&gt;="&amp;$I$3,CT!$A$5:$A$143,"&lt;="&amp;$K$3,CT!$E$5:$E$143,A166)</f>
        <v>0</v>
      </c>
      <c r="O166" s="69">
        <f>SUMIFS(CT!$H$5:$H$143,CT!$A$5:$A$143,"&gt;="&amp;$I$3,CT!$A$5:$A$143,"&lt;="&amp;$K$3,CT!$E$5:$E$143,A166)</f>
        <v>0</v>
      </c>
      <c r="P166" s="69">
        <f t="shared" si="14"/>
        <v>0</v>
      </c>
      <c r="Q166" s="69">
        <f t="shared" si="15"/>
        <v>0</v>
      </c>
      <c r="R166" s="69">
        <f t="shared" si="16"/>
        <v>0</v>
      </c>
      <c r="S166" t="b">
        <f t="shared" si="17"/>
        <v>0</v>
      </c>
    </row>
    <row r="167" spans="1:19" hidden="1" x14ac:dyDescent="0.25">
      <c r="A167" s="93" t="str">
        <f>DMTK!B164</f>
        <v>344</v>
      </c>
      <c r="B167" s="65" t="str">
        <f>VLOOKUP(A167,DMTK!$B$5:$Q$263,3,0)</f>
        <v>Nhận ký quỹ, ký cược</v>
      </c>
      <c r="C167" s="65" t="str">
        <f>VLOOKUP(A167,DMTK!$B$5:$Q$263,16,0)</f>
        <v xml:space="preserve"> </v>
      </c>
      <c r="D167" s="69">
        <f>VLOOKUP(A167,DMTK!$B$5:$Q$263,4,0)</f>
        <v>0</v>
      </c>
      <c r="E167" s="69">
        <f>VLOOKUP(A167,DMTK!$B$5:$Q$263,5,0)</f>
        <v>0</v>
      </c>
      <c r="F167" s="69">
        <f>SUMIFS(CT!$F$5:$F$143,CT!$A$5:$A$143,"&lt;"&amp;$I$3,CT!$D$5:$D$143,A167)</f>
        <v>0</v>
      </c>
      <c r="G167" s="69">
        <f>SUMIFS(CT!$H$5:$H$143,CT!$A$5:$A$143,"&lt;"&amp;$I$3,CT!$D$5:$D$143,A167)</f>
        <v>0</v>
      </c>
      <c r="H167" s="69">
        <f>SUMIFS(CT!$F$5:$F$143,CT!$A$5:$A$143,"&lt;"&amp;$I$3,CT!$E$5:$E$143,A167)</f>
        <v>0</v>
      </c>
      <c r="I167" s="69">
        <f>SUMIFS(CT!$H$5:$H$143,CT!$A$5:$A$143,"&lt;"&amp;$I$3,CT!$E$5:$E$143,A167)</f>
        <v>0</v>
      </c>
      <c r="J167" s="69">
        <f t="shared" si="12"/>
        <v>0</v>
      </c>
      <c r="K167" s="69">
        <f t="shared" si="13"/>
        <v>0</v>
      </c>
      <c r="L167" s="69">
        <f>SUMIFS(CT!$F$5:$F$143,CT!$A$5:$A$143,"&gt;="&amp;$I$3,CT!$A$5:$A$143,"&lt;="&amp;$K$3,CT!$D$5:$D$143,A167)</f>
        <v>0</v>
      </c>
      <c r="M167" s="69">
        <f>SUMIFS(CT!$H$5:$H$143,CT!$A$5:$A$143,"&gt;="&amp;$I$3,CT!$A$5:$A$143,"&lt;="&amp;$K$3,CT!$D$5:$D$143,A167)</f>
        <v>0</v>
      </c>
      <c r="N167" s="69">
        <f>SUMIFS(CT!$F$5:$F$143,CT!$A$5:$A$143,"&gt;="&amp;$I$3,CT!$A$5:$A$143,"&lt;="&amp;$K$3,CT!$E$5:$E$143,A167)</f>
        <v>0</v>
      </c>
      <c r="O167" s="69">
        <f>SUMIFS(CT!$H$5:$H$143,CT!$A$5:$A$143,"&gt;="&amp;$I$3,CT!$A$5:$A$143,"&lt;="&amp;$K$3,CT!$E$5:$E$143,A167)</f>
        <v>0</v>
      </c>
      <c r="P167" s="69">
        <f t="shared" si="14"/>
        <v>0</v>
      </c>
      <c r="Q167" s="69">
        <f t="shared" si="15"/>
        <v>0</v>
      </c>
      <c r="R167" s="69">
        <f t="shared" si="16"/>
        <v>0</v>
      </c>
      <c r="S167" t="b">
        <f t="shared" si="17"/>
        <v>0</v>
      </c>
    </row>
    <row r="168" spans="1:19" hidden="1" x14ac:dyDescent="0.25">
      <c r="A168" s="93" t="str">
        <f>DMTK!B165</f>
        <v>347</v>
      </c>
      <c r="B168" s="65" t="str">
        <f>VLOOKUP(A168,DMTK!$B$5:$Q$263,3,0)</f>
        <v>Thuế thu nhập hoãn lại phải trả</v>
      </c>
      <c r="C168" s="65" t="str">
        <f>VLOOKUP(A168,DMTK!$B$5:$Q$263,16,0)</f>
        <v xml:space="preserve"> </v>
      </c>
      <c r="D168" s="69">
        <f>VLOOKUP(A168,DMTK!$B$5:$Q$263,4,0)</f>
        <v>0</v>
      </c>
      <c r="E168" s="69">
        <f>VLOOKUP(A168,DMTK!$B$5:$Q$263,5,0)</f>
        <v>0</v>
      </c>
      <c r="F168" s="69">
        <f>SUMIFS(CT!$F$5:$F$143,CT!$A$5:$A$143,"&lt;"&amp;$I$3,CT!$D$5:$D$143,A168)</f>
        <v>0</v>
      </c>
      <c r="G168" s="69">
        <f>SUMIFS(CT!$H$5:$H$143,CT!$A$5:$A$143,"&lt;"&amp;$I$3,CT!$D$5:$D$143,A168)</f>
        <v>0</v>
      </c>
      <c r="H168" s="69">
        <f>SUMIFS(CT!$F$5:$F$143,CT!$A$5:$A$143,"&lt;"&amp;$I$3,CT!$E$5:$E$143,A168)</f>
        <v>0</v>
      </c>
      <c r="I168" s="69">
        <f>SUMIFS(CT!$H$5:$H$143,CT!$A$5:$A$143,"&lt;"&amp;$I$3,CT!$E$5:$E$143,A168)</f>
        <v>0</v>
      </c>
      <c r="J168" s="69">
        <f t="shared" si="12"/>
        <v>0</v>
      </c>
      <c r="K168" s="69">
        <f t="shared" si="13"/>
        <v>0</v>
      </c>
      <c r="L168" s="69">
        <f>SUMIFS(CT!$F$5:$F$143,CT!$A$5:$A$143,"&gt;="&amp;$I$3,CT!$A$5:$A$143,"&lt;="&amp;$K$3,CT!$D$5:$D$143,A168)</f>
        <v>0</v>
      </c>
      <c r="M168" s="69">
        <f>SUMIFS(CT!$H$5:$H$143,CT!$A$5:$A$143,"&gt;="&amp;$I$3,CT!$A$5:$A$143,"&lt;="&amp;$K$3,CT!$D$5:$D$143,A168)</f>
        <v>0</v>
      </c>
      <c r="N168" s="69">
        <f>SUMIFS(CT!$F$5:$F$143,CT!$A$5:$A$143,"&gt;="&amp;$I$3,CT!$A$5:$A$143,"&lt;="&amp;$K$3,CT!$E$5:$E$143,A168)</f>
        <v>0</v>
      </c>
      <c r="O168" s="69">
        <f>SUMIFS(CT!$H$5:$H$143,CT!$A$5:$A$143,"&gt;="&amp;$I$3,CT!$A$5:$A$143,"&lt;="&amp;$K$3,CT!$E$5:$E$143,A168)</f>
        <v>0</v>
      </c>
      <c r="P168" s="69">
        <f t="shared" si="14"/>
        <v>0</v>
      </c>
      <c r="Q168" s="69">
        <f t="shared" si="15"/>
        <v>0</v>
      </c>
      <c r="R168" s="69">
        <f t="shared" si="16"/>
        <v>0</v>
      </c>
      <c r="S168" t="b">
        <f t="shared" si="17"/>
        <v>0</v>
      </c>
    </row>
    <row r="169" spans="1:19" hidden="1" x14ac:dyDescent="0.25">
      <c r="A169" s="93" t="str">
        <f>DMTK!B166</f>
        <v>3521</v>
      </c>
      <c r="B169" s="65" t="str">
        <f>VLOOKUP(A169,DMTK!$B$5:$Q$263,3,0)</f>
        <v>Dự phòng bảo hành sản phẩm hàng hóa</v>
      </c>
      <c r="C169" s="65" t="str">
        <f>VLOOKUP(A169,DMTK!$B$5:$Q$263,16,0)</f>
        <v xml:space="preserve"> </v>
      </c>
      <c r="D169" s="69">
        <f>VLOOKUP(A169,DMTK!$B$5:$Q$263,4,0)</f>
        <v>0</v>
      </c>
      <c r="E169" s="69">
        <f>VLOOKUP(A169,DMTK!$B$5:$Q$263,5,0)</f>
        <v>22000000</v>
      </c>
      <c r="F169" s="69">
        <f>SUMIFS(CT!$F$5:$F$143,CT!$A$5:$A$143,"&lt;"&amp;$I$3,CT!$D$5:$D$143,A169)</f>
        <v>0</v>
      </c>
      <c r="G169" s="69">
        <f>SUMIFS(CT!$H$5:$H$143,CT!$A$5:$A$143,"&lt;"&amp;$I$3,CT!$D$5:$D$143,A169)</f>
        <v>0</v>
      </c>
      <c r="H169" s="69">
        <f>SUMIFS(CT!$F$5:$F$143,CT!$A$5:$A$143,"&lt;"&amp;$I$3,CT!$E$5:$E$143,A169)</f>
        <v>0</v>
      </c>
      <c r="I169" s="69">
        <f>SUMIFS(CT!$H$5:$H$143,CT!$A$5:$A$143,"&lt;"&amp;$I$3,CT!$E$5:$E$143,A169)</f>
        <v>0</v>
      </c>
      <c r="J169" s="69">
        <f t="shared" si="12"/>
        <v>0</v>
      </c>
      <c r="K169" s="69">
        <f t="shared" si="13"/>
        <v>22000000</v>
      </c>
      <c r="L169" s="69">
        <f>SUMIFS(CT!$F$5:$F$143,CT!$A$5:$A$143,"&gt;="&amp;$I$3,CT!$A$5:$A$143,"&lt;="&amp;$K$3,CT!$D$5:$D$143,A169)</f>
        <v>0</v>
      </c>
      <c r="M169" s="69">
        <f>SUMIFS(CT!$H$5:$H$143,CT!$A$5:$A$143,"&gt;="&amp;$I$3,CT!$A$5:$A$143,"&lt;="&amp;$K$3,CT!$D$5:$D$143,A169)</f>
        <v>0</v>
      </c>
      <c r="N169" s="69">
        <f>SUMIFS(CT!$F$5:$F$143,CT!$A$5:$A$143,"&gt;="&amp;$I$3,CT!$A$5:$A$143,"&lt;="&amp;$K$3,CT!$E$5:$E$143,A169)</f>
        <v>0</v>
      </c>
      <c r="O169" s="69">
        <f>SUMIFS(CT!$H$5:$H$143,CT!$A$5:$A$143,"&gt;="&amp;$I$3,CT!$A$5:$A$143,"&lt;="&amp;$K$3,CT!$E$5:$E$143,A169)</f>
        <v>0</v>
      </c>
      <c r="P169" s="69">
        <f t="shared" si="14"/>
        <v>0</v>
      </c>
      <c r="Q169" s="69">
        <f t="shared" si="15"/>
        <v>22000000</v>
      </c>
      <c r="R169" s="69">
        <f t="shared" si="16"/>
        <v>0</v>
      </c>
      <c r="S169" t="b">
        <f t="shared" si="17"/>
        <v>0</v>
      </c>
    </row>
    <row r="170" spans="1:19" hidden="1" x14ac:dyDescent="0.25">
      <c r="A170" s="93" t="str">
        <f>DMTK!B167</f>
        <v>3522</v>
      </c>
      <c r="B170" s="65" t="str">
        <f>VLOOKUP(A170,DMTK!$B$5:$Q$263,3,0)</f>
        <v>Dự phòng bảo hành công trình xây dựng</v>
      </c>
      <c r="C170" s="65" t="str">
        <f>VLOOKUP(A170,DMTK!$B$5:$Q$263,16,0)</f>
        <v xml:space="preserve"> </v>
      </c>
      <c r="D170" s="69">
        <f>VLOOKUP(A170,DMTK!$B$5:$Q$263,4,0)</f>
        <v>0</v>
      </c>
      <c r="E170" s="69">
        <f>VLOOKUP(A170,DMTK!$B$5:$Q$263,5,0)</f>
        <v>0</v>
      </c>
      <c r="F170" s="69">
        <f>SUMIFS(CT!$F$5:$F$143,CT!$A$5:$A$143,"&lt;"&amp;$I$3,CT!$D$5:$D$143,A170)</f>
        <v>0</v>
      </c>
      <c r="G170" s="69">
        <f>SUMIFS(CT!$H$5:$H$143,CT!$A$5:$A$143,"&lt;"&amp;$I$3,CT!$D$5:$D$143,A170)</f>
        <v>0</v>
      </c>
      <c r="H170" s="69">
        <f>SUMIFS(CT!$F$5:$F$143,CT!$A$5:$A$143,"&lt;"&amp;$I$3,CT!$E$5:$E$143,A170)</f>
        <v>0</v>
      </c>
      <c r="I170" s="69">
        <f>SUMIFS(CT!$H$5:$H$143,CT!$A$5:$A$143,"&lt;"&amp;$I$3,CT!$E$5:$E$143,A170)</f>
        <v>0</v>
      </c>
      <c r="J170" s="69">
        <f t="shared" si="12"/>
        <v>0</v>
      </c>
      <c r="K170" s="69">
        <f t="shared" si="13"/>
        <v>0</v>
      </c>
      <c r="L170" s="69">
        <f>SUMIFS(CT!$F$5:$F$143,CT!$A$5:$A$143,"&gt;="&amp;$I$3,CT!$A$5:$A$143,"&lt;="&amp;$K$3,CT!$D$5:$D$143,A170)</f>
        <v>0</v>
      </c>
      <c r="M170" s="69">
        <f>SUMIFS(CT!$H$5:$H$143,CT!$A$5:$A$143,"&gt;="&amp;$I$3,CT!$A$5:$A$143,"&lt;="&amp;$K$3,CT!$D$5:$D$143,A170)</f>
        <v>0</v>
      </c>
      <c r="N170" s="69">
        <f>SUMIFS(CT!$F$5:$F$143,CT!$A$5:$A$143,"&gt;="&amp;$I$3,CT!$A$5:$A$143,"&lt;="&amp;$K$3,CT!$E$5:$E$143,A170)</f>
        <v>0</v>
      </c>
      <c r="O170" s="69">
        <f>SUMIFS(CT!$H$5:$H$143,CT!$A$5:$A$143,"&gt;="&amp;$I$3,CT!$A$5:$A$143,"&lt;="&amp;$K$3,CT!$E$5:$E$143,A170)</f>
        <v>0</v>
      </c>
      <c r="P170" s="69">
        <f t="shared" si="14"/>
        <v>0</v>
      </c>
      <c r="Q170" s="69">
        <f t="shared" si="15"/>
        <v>0</v>
      </c>
      <c r="R170" s="69">
        <f t="shared" si="16"/>
        <v>0</v>
      </c>
      <c r="S170" t="b">
        <f t="shared" si="17"/>
        <v>0</v>
      </c>
    </row>
    <row r="171" spans="1:19" hidden="1" x14ac:dyDescent="0.25">
      <c r="A171" s="93" t="str">
        <f>DMTK!B168</f>
        <v>3523</v>
      </c>
      <c r="B171" s="65" t="str">
        <f>VLOOKUP(A171,DMTK!$B$5:$Q$263,3,0)</f>
        <v>Dự phòng tái cơ cấu doanh nghiệp</v>
      </c>
      <c r="C171" s="65" t="str">
        <f>VLOOKUP(A171,DMTK!$B$5:$Q$263,16,0)</f>
        <v xml:space="preserve"> </v>
      </c>
      <c r="D171" s="69">
        <f>VLOOKUP(A171,DMTK!$B$5:$Q$263,4,0)</f>
        <v>0</v>
      </c>
      <c r="E171" s="69">
        <f>VLOOKUP(A171,DMTK!$B$5:$Q$263,5,0)</f>
        <v>0</v>
      </c>
      <c r="F171" s="69">
        <f>SUMIFS(CT!$F$5:$F$143,CT!$A$5:$A$143,"&lt;"&amp;$I$3,CT!$D$5:$D$143,A171)</f>
        <v>0</v>
      </c>
      <c r="G171" s="69">
        <f>SUMIFS(CT!$H$5:$H$143,CT!$A$5:$A$143,"&lt;"&amp;$I$3,CT!$D$5:$D$143,A171)</f>
        <v>0</v>
      </c>
      <c r="H171" s="69">
        <f>SUMIFS(CT!$F$5:$F$143,CT!$A$5:$A$143,"&lt;"&amp;$I$3,CT!$E$5:$E$143,A171)</f>
        <v>0</v>
      </c>
      <c r="I171" s="69">
        <f>SUMIFS(CT!$H$5:$H$143,CT!$A$5:$A$143,"&lt;"&amp;$I$3,CT!$E$5:$E$143,A171)</f>
        <v>0</v>
      </c>
      <c r="J171" s="69">
        <f t="shared" si="12"/>
        <v>0</v>
      </c>
      <c r="K171" s="69">
        <f t="shared" si="13"/>
        <v>0</v>
      </c>
      <c r="L171" s="69">
        <f>SUMIFS(CT!$F$5:$F$143,CT!$A$5:$A$143,"&gt;="&amp;$I$3,CT!$A$5:$A$143,"&lt;="&amp;$K$3,CT!$D$5:$D$143,A171)</f>
        <v>0</v>
      </c>
      <c r="M171" s="69">
        <f>SUMIFS(CT!$H$5:$H$143,CT!$A$5:$A$143,"&gt;="&amp;$I$3,CT!$A$5:$A$143,"&lt;="&amp;$K$3,CT!$D$5:$D$143,A171)</f>
        <v>0</v>
      </c>
      <c r="N171" s="69">
        <f>SUMIFS(CT!$F$5:$F$143,CT!$A$5:$A$143,"&gt;="&amp;$I$3,CT!$A$5:$A$143,"&lt;="&amp;$K$3,CT!$E$5:$E$143,A171)</f>
        <v>0</v>
      </c>
      <c r="O171" s="69">
        <f>SUMIFS(CT!$H$5:$H$143,CT!$A$5:$A$143,"&gt;="&amp;$I$3,CT!$A$5:$A$143,"&lt;="&amp;$K$3,CT!$E$5:$E$143,A171)</f>
        <v>0</v>
      </c>
      <c r="P171" s="69">
        <f t="shared" si="14"/>
        <v>0</v>
      </c>
      <c r="Q171" s="69">
        <f t="shared" si="15"/>
        <v>0</v>
      </c>
      <c r="R171" s="69">
        <f t="shared" si="16"/>
        <v>0</v>
      </c>
      <c r="S171" t="b">
        <f t="shared" si="17"/>
        <v>0</v>
      </c>
    </row>
    <row r="172" spans="1:19" hidden="1" x14ac:dyDescent="0.25">
      <c r="A172" s="93" t="str">
        <f>DMTK!B169</f>
        <v>3524</v>
      </c>
      <c r="B172" s="65" t="str">
        <f>VLOOKUP(A172,DMTK!$B$5:$Q$263,3,0)</f>
        <v>Dự phòng phải trả khác</v>
      </c>
      <c r="C172" s="65" t="str">
        <f>VLOOKUP(A172,DMTK!$B$5:$Q$263,16,0)</f>
        <v xml:space="preserve"> </v>
      </c>
      <c r="D172" s="69">
        <f>VLOOKUP(A172,DMTK!$B$5:$Q$263,4,0)</f>
        <v>0</v>
      </c>
      <c r="E172" s="69">
        <f>VLOOKUP(A172,DMTK!$B$5:$Q$263,5,0)</f>
        <v>0</v>
      </c>
      <c r="F172" s="69">
        <f>SUMIFS(CT!$F$5:$F$143,CT!$A$5:$A$143,"&lt;"&amp;$I$3,CT!$D$5:$D$143,A172)</f>
        <v>0</v>
      </c>
      <c r="G172" s="69">
        <f>SUMIFS(CT!$H$5:$H$143,CT!$A$5:$A$143,"&lt;"&amp;$I$3,CT!$D$5:$D$143,A172)</f>
        <v>0</v>
      </c>
      <c r="H172" s="69">
        <f>SUMIFS(CT!$F$5:$F$143,CT!$A$5:$A$143,"&lt;"&amp;$I$3,CT!$E$5:$E$143,A172)</f>
        <v>0</v>
      </c>
      <c r="I172" s="69">
        <f>SUMIFS(CT!$H$5:$H$143,CT!$A$5:$A$143,"&lt;"&amp;$I$3,CT!$E$5:$E$143,A172)</f>
        <v>0</v>
      </c>
      <c r="J172" s="69">
        <f t="shared" si="12"/>
        <v>0</v>
      </c>
      <c r="K172" s="69">
        <f t="shared" si="13"/>
        <v>0</v>
      </c>
      <c r="L172" s="69">
        <f>SUMIFS(CT!$F$5:$F$143,CT!$A$5:$A$143,"&gt;="&amp;$I$3,CT!$A$5:$A$143,"&lt;="&amp;$K$3,CT!$D$5:$D$143,A172)</f>
        <v>0</v>
      </c>
      <c r="M172" s="69">
        <f>SUMIFS(CT!$H$5:$H$143,CT!$A$5:$A$143,"&gt;="&amp;$I$3,CT!$A$5:$A$143,"&lt;="&amp;$K$3,CT!$D$5:$D$143,A172)</f>
        <v>0</v>
      </c>
      <c r="N172" s="69">
        <f>SUMIFS(CT!$F$5:$F$143,CT!$A$5:$A$143,"&gt;="&amp;$I$3,CT!$A$5:$A$143,"&lt;="&amp;$K$3,CT!$E$5:$E$143,A172)</f>
        <v>0</v>
      </c>
      <c r="O172" s="69">
        <f>SUMIFS(CT!$H$5:$H$143,CT!$A$5:$A$143,"&gt;="&amp;$I$3,CT!$A$5:$A$143,"&lt;="&amp;$K$3,CT!$E$5:$E$143,A172)</f>
        <v>0</v>
      </c>
      <c r="P172" s="69">
        <f t="shared" si="14"/>
        <v>0</v>
      </c>
      <c r="Q172" s="69">
        <f t="shared" si="15"/>
        <v>0</v>
      </c>
      <c r="R172" s="69">
        <f t="shared" si="16"/>
        <v>0</v>
      </c>
      <c r="S172" t="b">
        <f t="shared" si="17"/>
        <v>0</v>
      </c>
    </row>
    <row r="173" spans="1:19" hidden="1" x14ac:dyDescent="0.25">
      <c r="A173" s="93" t="str">
        <f>DMTK!B170</f>
        <v>3531</v>
      </c>
      <c r="B173" s="65" t="str">
        <f>VLOOKUP(A173,DMTK!$B$5:$Q$263,3,0)</f>
        <v>Quỹ khen thưởng</v>
      </c>
      <c r="C173" s="65" t="str">
        <f>VLOOKUP(A173,DMTK!$B$5:$Q$263,16,0)</f>
        <v xml:space="preserve"> </v>
      </c>
      <c r="D173" s="69">
        <f>VLOOKUP(A173,DMTK!$B$5:$Q$263,4,0)</f>
        <v>0</v>
      </c>
      <c r="E173" s="69">
        <f>VLOOKUP(A173,DMTK!$B$5:$Q$263,5,0)</f>
        <v>37000000</v>
      </c>
      <c r="F173" s="69">
        <f>SUMIFS(CT!$F$5:$F$143,CT!$A$5:$A$143,"&lt;"&amp;$I$3,CT!$D$5:$D$143,A173)</f>
        <v>0</v>
      </c>
      <c r="G173" s="69">
        <f>SUMIFS(CT!$H$5:$H$143,CT!$A$5:$A$143,"&lt;"&amp;$I$3,CT!$D$5:$D$143,A173)</f>
        <v>0</v>
      </c>
      <c r="H173" s="69">
        <f>SUMIFS(CT!$F$5:$F$143,CT!$A$5:$A$143,"&lt;"&amp;$I$3,CT!$E$5:$E$143,A173)</f>
        <v>0</v>
      </c>
      <c r="I173" s="69">
        <f>SUMIFS(CT!$H$5:$H$143,CT!$A$5:$A$143,"&lt;"&amp;$I$3,CT!$E$5:$E$143,A173)</f>
        <v>0</v>
      </c>
      <c r="J173" s="69">
        <f t="shared" si="12"/>
        <v>0</v>
      </c>
      <c r="K173" s="69">
        <f t="shared" si="13"/>
        <v>37000000</v>
      </c>
      <c r="L173" s="69">
        <f>SUMIFS(CT!$F$5:$F$143,CT!$A$5:$A$143,"&gt;="&amp;$I$3,CT!$A$5:$A$143,"&lt;="&amp;$K$3,CT!$D$5:$D$143,A173)</f>
        <v>0</v>
      </c>
      <c r="M173" s="69">
        <f>SUMIFS(CT!$H$5:$H$143,CT!$A$5:$A$143,"&gt;="&amp;$I$3,CT!$A$5:$A$143,"&lt;="&amp;$K$3,CT!$D$5:$D$143,A173)</f>
        <v>0</v>
      </c>
      <c r="N173" s="69">
        <f>SUMIFS(CT!$F$5:$F$143,CT!$A$5:$A$143,"&gt;="&amp;$I$3,CT!$A$5:$A$143,"&lt;="&amp;$K$3,CT!$E$5:$E$143,A173)</f>
        <v>0</v>
      </c>
      <c r="O173" s="69">
        <f>SUMIFS(CT!$H$5:$H$143,CT!$A$5:$A$143,"&gt;="&amp;$I$3,CT!$A$5:$A$143,"&lt;="&amp;$K$3,CT!$E$5:$E$143,A173)</f>
        <v>0</v>
      </c>
      <c r="P173" s="69">
        <f t="shared" si="14"/>
        <v>0</v>
      </c>
      <c r="Q173" s="69">
        <f t="shared" si="15"/>
        <v>37000000</v>
      </c>
      <c r="R173" s="69">
        <f t="shared" si="16"/>
        <v>0</v>
      </c>
      <c r="S173" t="b">
        <f t="shared" si="17"/>
        <v>0</v>
      </c>
    </row>
    <row r="174" spans="1:19" hidden="1" x14ac:dyDescent="0.25">
      <c r="A174" s="93" t="str">
        <f>DMTK!B171</f>
        <v>3532</v>
      </c>
      <c r="B174" s="65" t="str">
        <f>VLOOKUP(A174,DMTK!$B$5:$Q$263,3,0)</f>
        <v>Quỹ phúc lợi</v>
      </c>
      <c r="C174" s="65" t="str">
        <f>VLOOKUP(A174,DMTK!$B$5:$Q$263,16,0)</f>
        <v xml:space="preserve"> </v>
      </c>
      <c r="D174" s="69">
        <f>VLOOKUP(A174,DMTK!$B$5:$Q$263,4,0)</f>
        <v>0</v>
      </c>
      <c r="E174" s="69">
        <f>VLOOKUP(A174,DMTK!$B$5:$Q$263,5,0)</f>
        <v>26000000</v>
      </c>
      <c r="F174" s="69">
        <f>SUMIFS(CT!$F$5:$F$143,CT!$A$5:$A$143,"&lt;"&amp;$I$3,CT!$D$5:$D$143,A174)</f>
        <v>0</v>
      </c>
      <c r="G174" s="69">
        <f>SUMIFS(CT!$H$5:$H$143,CT!$A$5:$A$143,"&lt;"&amp;$I$3,CT!$D$5:$D$143,A174)</f>
        <v>0</v>
      </c>
      <c r="H174" s="69">
        <f>SUMIFS(CT!$F$5:$F$143,CT!$A$5:$A$143,"&lt;"&amp;$I$3,CT!$E$5:$E$143,A174)</f>
        <v>0</v>
      </c>
      <c r="I174" s="69">
        <f>SUMIFS(CT!$H$5:$H$143,CT!$A$5:$A$143,"&lt;"&amp;$I$3,CT!$E$5:$E$143,A174)</f>
        <v>0</v>
      </c>
      <c r="J174" s="69">
        <f t="shared" si="12"/>
        <v>0</v>
      </c>
      <c r="K174" s="69">
        <f t="shared" si="13"/>
        <v>26000000</v>
      </c>
      <c r="L174" s="69">
        <f>SUMIFS(CT!$F$5:$F$143,CT!$A$5:$A$143,"&gt;="&amp;$I$3,CT!$A$5:$A$143,"&lt;="&amp;$K$3,CT!$D$5:$D$143,A174)</f>
        <v>0</v>
      </c>
      <c r="M174" s="69">
        <f>SUMIFS(CT!$H$5:$H$143,CT!$A$5:$A$143,"&gt;="&amp;$I$3,CT!$A$5:$A$143,"&lt;="&amp;$K$3,CT!$D$5:$D$143,A174)</f>
        <v>0</v>
      </c>
      <c r="N174" s="69">
        <f>SUMIFS(CT!$F$5:$F$143,CT!$A$5:$A$143,"&gt;="&amp;$I$3,CT!$A$5:$A$143,"&lt;="&amp;$K$3,CT!$E$5:$E$143,A174)</f>
        <v>0</v>
      </c>
      <c r="O174" s="69">
        <f>SUMIFS(CT!$H$5:$H$143,CT!$A$5:$A$143,"&gt;="&amp;$I$3,CT!$A$5:$A$143,"&lt;="&amp;$K$3,CT!$E$5:$E$143,A174)</f>
        <v>0</v>
      </c>
      <c r="P174" s="69">
        <f t="shared" si="14"/>
        <v>0</v>
      </c>
      <c r="Q174" s="69">
        <f t="shared" si="15"/>
        <v>26000000</v>
      </c>
      <c r="R174" s="69">
        <f t="shared" si="16"/>
        <v>0</v>
      </c>
      <c r="S174" t="b">
        <f t="shared" si="17"/>
        <v>0</v>
      </c>
    </row>
    <row r="175" spans="1:19" hidden="1" x14ac:dyDescent="0.25">
      <c r="A175" s="93" t="str">
        <f>DMTK!B172</f>
        <v>3533</v>
      </c>
      <c r="B175" s="65" t="str">
        <f>VLOOKUP(A175,DMTK!$B$5:$Q$263,3,0)</f>
        <v>Quỹ phúc lợi đã hình thành TSCĐ</v>
      </c>
      <c r="C175" s="65" t="str">
        <f>VLOOKUP(A175,DMTK!$B$5:$Q$263,16,0)</f>
        <v xml:space="preserve"> </v>
      </c>
      <c r="D175" s="69">
        <f>VLOOKUP(A175,DMTK!$B$5:$Q$263,4,0)</f>
        <v>0</v>
      </c>
      <c r="E175" s="69">
        <f>VLOOKUP(A175,DMTK!$B$5:$Q$263,5,0)</f>
        <v>20000000</v>
      </c>
      <c r="F175" s="69">
        <f>SUMIFS(CT!$F$5:$F$143,CT!$A$5:$A$143,"&lt;"&amp;$I$3,CT!$D$5:$D$143,A175)</f>
        <v>0</v>
      </c>
      <c r="G175" s="69">
        <f>SUMIFS(CT!$H$5:$H$143,CT!$A$5:$A$143,"&lt;"&amp;$I$3,CT!$D$5:$D$143,A175)</f>
        <v>0</v>
      </c>
      <c r="H175" s="69">
        <f>SUMIFS(CT!$F$5:$F$143,CT!$A$5:$A$143,"&lt;"&amp;$I$3,CT!$E$5:$E$143,A175)</f>
        <v>0</v>
      </c>
      <c r="I175" s="69">
        <f>SUMIFS(CT!$H$5:$H$143,CT!$A$5:$A$143,"&lt;"&amp;$I$3,CT!$E$5:$E$143,A175)</f>
        <v>0</v>
      </c>
      <c r="J175" s="69">
        <f t="shared" si="12"/>
        <v>0</v>
      </c>
      <c r="K175" s="69">
        <f t="shared" si="13"/>
        <v>20000000</v>
      </c>
      <c r="L175" s="69">
        <f>SUMIFS(CT!$F$5:$F$143,CT!$A$5:$A$143,"&gt;="&amp;$I$3,CT!$A$5:$A$143,"&lt;="&amp;$K$3,CT!$D$5:$D$143,A175)</f>
        <v>0</v>
      </c>
      <c r="M175" s="69">
        <f>SUMIFS(CT!$H$5:$H$143,CT!$A$5:$A$143,"&gt;="&amp;$I$3,CT!$A$5:$A$143,"&lt;="&amp;$K$3,CT!$D$5:$D$143,A175)</f>
        <v>0</v>
      </c>
      <c r="N175" s="69">
        <f>SUMIFS(CT!$F$5:$F$143,CT!$A$5:$A$143,"&gt;="&amp;$I$3,CT!$A$5:$A$143,"&lt;="&amp;$K$3,CT!$E$5:$E$143,A175)</f>
        <v>0</v>
      </c>
      <c r="O175" s="69">
        <f>SUMIFS(CT!$H$5:$H$143,CT!$A$5:$A$143,"&gt;="&amp;$I$3,CT!$A$5:$A$143,"&lt;="&amp;$K$3,CT!$E$5:$E$143,A175)</f>
        <v>0</v>
      </c>
      <c r="P175" s="69">
        <f t="shared" si="14"/>
        <v>0</v>
      </c>
      <c r="Q175" s="69">
        <f t="shared" si="15"/>
        <v>20000000</v>
      </c>
      <c r="R175" s="69">
        <f t="shared" si="16"/>
        <v>0</v>
      </c>
      <c r="S175" t="b">
        <f t="shared" si="17"/>
        <v>0</v>
      </c>
    </row>
    <row r="176" spans="1:19" hidden="1" x14ac:dyDescent="0.25">
      <c r="A176" s="93" t="str">
        <f>DMTK!B173</f>
        <v>3534</v>
      </c>
      <c r="B176" s="65" t="str">
        <f>VLOOKUP(A176,DMTK!$B$5:$Q$263,3,0)</f>
        <v>Quỹ thưởng ban điều hành công ty</v>
      </c>
      <c r="C176" s="65" t="str">
        <f>VLOOKUP(A176,DMTK!$B$5:$Q$263,16,0)</f>
        <v xml:space="preserve"> </v>
      </c>
      <c r="D176" s="69">
        <f>VLOOKUP(A176,DMTK!$B$5:$Q$263,4,0)</f>
        <v>0</v>
      </c>
      <c r="E176" s="69">
        <f>VLOOKUP(A176,DMTK!$B$5:$Q$263,5,0)</f>
        <v>0</v>
      </c>
      <c r="F176" s="69">
        <f>SUMIFS(CT!$F$5:$F$143,CT!$A$5:$A$143,"&lt;"&amp;$I$3,CT!$D$5:$D$143,A176)</f>
        <v>0</v>
      </c>
      <c r="G176" s="69">
        <f>SUMIFS(CT!$H$5:$H$143,CT!$A$5:$A$143,"&lt;"&amp;$I$3,CT!$D$5:$D$143,A176)</f>
        <v>0</v>
      </c>
      <c r="H176" s="69">
        <f>SUMIFS(CT!$F$5:$F$143,CT!$A$5:$A$143,"&lt;"&amp;$I$3,CT!$E$5:$E$143,A176)</f>
        <v>0</v>
      </c>
      <c r="I176" s="69">
        <f>SUMIFS(CT!$H$5:$H$143,CT!$A$5:$A$143,"&lt;"&amp;$I$3,CT!$E$5:$E$143,A176)</f>
        <v>0</v>
      </c>
      <c r="J176" s="69">
        <f t="shared" si="12"/>
        <v>0</v>
      </c>
      <c r="K176" s="69">
        <f t="shared" si="13"/>
        <v>0</v>
      </c>
      <c r="L176" s="69">
        <f>SUMIFS(CT!$F$5:$F$143,CT!$A$5:$A$143,"&gt;="&amp;$I$3,CT!$A$5:$A$143,"&lt;="&amp;$K$3,CT!$D$5:$D$143,A176)</f>
        <v>0</v>
      </c>
      <c r="M176" s="69">
        <f>SUMIFS(CT!$H$5:$H$143,CT!$A$5:$A$143,"&gt;="&amp;$I$3,CT!$A$5:$A$143,"&lt;="&amp;$K$3,CT!$D$5:$D$143,A176)</f>
        <v>0</v>
      </c>
      <c r="N176" s="69">
        <f>SUMIFS(CT!$F$5:$F$143,CT!$A$5:$A$143,"&gt;="&amp;$I$3,CT!$A$5:$A$143,"&lt;="&amp;$K$3,CT!$E$5:$E$143,A176)</f>
        <v>0</v>
      </c>
      <c r="O176" s="69">
        <f>SUMIFS(CT!$H$5:$H$143,CT!$A$5:$A$143,"&gt;="&amp;$I$3,CT!$A$5:$A$143,"&lt;="&amp;$K$3,CT!$E$5:$E$143,A176)</f>
        <v>0</v>
      </c>
      <c r="P176" s="69">
        <f t="shared" si="14"/>
        <v>0</v>
      </c>
      <c r="Q176" s="69">
        <f t="shared" si="15"/>
        <v>0</v>
      </c>
      <c r="R176" s="69">
        <f t="shared" si="16"/>
        <v>0</v>
      </c>
      <c r="S176" t="b">
        <f t="shared" si="17"/>
        <v>0</v>
      </c>
    </row>
    <row r="177" spans="1:19" hidden="1" x14ac:dyDescent="0.25">
      <c r="A177" s="93" t="str">
        <f>DMTK!B174</f>
        <v>3561</v>
      </c>
      <c r="B177" s="65" t="str">
        <f>VLOOKUP(A177,DMTK!$B$5:$Q$263,3,0)</f>
        <v>Quỹ phát triển khoa học và công nghệ</v>
      </c>
      <c r="C177" s="65" t="str">
        <f>VLOOKUP(A177,DMTK!$B$5:$Q$263,16,0)</f>
        <v xml:space="preserve"> </v>
      </c>
      <c r="D177" s="69">
        <f>VLOOKUP(A177,DMTK!$B$5:$Q$263,4,0)</f>
        <v>0</v>
      </c>
      <c r="E177" s="69">
        <f>VLOOKUP(A177,DMTK!$B$5:$Q$263,5,0)</f>
        <v>0</v>
      </c>
      <c r="F177" s="69">
        <f>SUMIFS(CT!$F$5:$F$143,CT!$A$5:$A$143,"&lt;"&amp;$I$3,CT!$D$5:$D$143,A177)</f>
        <v>0</v>
      </c>
      <c r="G177" s="69">
        <f>SUMIFS(CT!$H$5:$H$143,CT!$A$5:$A$143,"&lt;"&amp;$I$3,CT!$D$5:$D$143,A177)</f>
        <v>0</v>
      </c>
      <c r="H177" s="69">
        <f>SUMIFS(CT!$F$5:$F$143,CT!$A$5:$A$143,"&lt;"&amp;$I$3,CT!$E$5:$E$143,A177)</f>
        <v>0</v>
      </c>
      <c r="I177" s="69">
        <f>SUMIFS(CT!$H$5:$H$143,CT!$A$5:$A$143,"&lt;"&amp;$I$3,CT!$E$5:$E$143,A177)</f>
        <v>0</v>
      </c>
      <c r="J177" s="69">
        <f t="shared" si="12"/>
        <v>0</v>
      </c>
      <c r="K177" s="69">
        <f t="shared" si="13"/>
        <v>0</v>
      </c>
      <c r="L177" s="69">
        <f>SUMIFS(CT!$F$5:$F$143,CT!$A$5:$A$143,"&gt;="&amp;$I$3,CT!$A$5:$A$143,"&lt;="&amp;$K$3,CT!$D$5:$D$143,A177)</f>
        <v>0</v>
      </c>
      <c r="M177" s="69">
        <f>SUMIFS(CT!$H$5:$H$143,CT!$A$5:$A$143,"&gt;="&amp;$I$3,CT!$A$5:$A$143,"&lt;="&amp;$K$3,CT!$D$5:$D$143,A177)</f>
        <v>0</v>
      </c>
      <c r="N177" s="69">
        <f>SUMIFS(CT!$F$5:$F$143,CT!$A$5:$A$143,"&gt;="&amp;$I$3,CT!$A$5:$A$143,"&lt;="&amp;$K$3,CT!$E$5:$E$143,A177)</f>
        <v>0</v>
      </c>
      <c r="O177" s="69">
        <f>SUMIFS(CT!$H$5:$H$143,CT!$A$5:$A$143,"&gt;="&amp;$I$3,CT!$A$5:$A$143,"&lt;="&amp;$K$3,CT!$E$5:$E$143,A177)</f>
        <v>0</v>
      </c>
      <c r="P177" s="69">
        <f t="shared" si="14"/>
        <v>0</v>
      </c>
      <c r="Q177" s="69">
        <f t="shared" si="15"/>
        <v>0</v>
      </c>
      <c r="R177" s="69">
        <f t="shared" si="16"/>
        <v>0</v>
      </c>
      <c r="S177" t="b">
        <f t="shared" si="17"/>
        <v>0</v>
      </c>
    </row>
    <row r="178" spans="1:19" hidden="1" x14ac:dyDescent="0.25">
      <c r="A178" s="93" t="str">
        <f>DMTK!B175</f>
        <v>3562</v>
      </c>
      <c r="B178" s="65" t="str">
        <f>VLOOKUP(A178,DMTK!$B$5:$Q$263,3,0)</f>
        <v>Quỹ phát triển khoa học và công nghệ đã hình thành TSCĐ</v>
      </c>
      <c r="C178" s="65" t="str">
        <f>VLOOKUP(A178,DMTK!$B$5:$Q$263,16,0)</f>
        <v xml:space="preserve"> </v>
      </c>
      <c r="D178" s="69">
        <f>VLOOKUP(A178,DMTK!$B$5:$Q$263,4,0)</f>
        <v>0</v>
      </c>
      <c r="E178" s="69">
        <f>VLOOKUP(A178,DMTK!$B$5:$Q$263,5,0)</f>
        <v>0</v>
      </c>
      <c r="F178" s="69">
        <f>SUMIFS(CT!$F$5:$F$143,CT!$A$5:$A$143,"&lt;"&amp;$I$3,CT!$D$5:$D$143,A178)</f>
        <v>0</v>
      </c>
      <c r="G178" s="69">
        <f>SUMIFS(CT!$H$5:$H$143,CT!$A$5:$A$143,"&lt;"&amp;$I$3,CT!$D$5:$D$143,A178)</f>
        <v>0</v>
      </c>
      <c r="H178" s="69">
        <f>SUMIFS(CT!$F$5:$F$143,CT!$A$5:$A$143,"&lt;"&amp;$I$3,CT!$E$5:$E$143,A178)</f>
        <v>0</v>
      </c>
      <c r="I178" s="69">
        <f>SUMIFS(CT!$H$5:$H$143,CT!$A$5:$A$143,"&lt;"&amp;$I$3,CT!$E$5:$E$143,A178)</f>
        <v>0</v>
      </c>
      <c r="J178" s="69">
        <f t="shared" si="12"/>
        <v>0</v>
      </c>
      <c r="K178" s="69">
        <f t="shared" si="13"/>
        <v>0</v>
      </c>
      <c r="L178" s="69">
        <f>SUMIFS(CT!$F$5:$F$143,CT!$A$5:$A$143,"&gt;="&amp;$I$3,CT!$A$5:$A$143,"&lt;="&amp;$K$3,CT!$D$5:$D$143,A178)</f>
        <v>0</v>
      </c>
      <c r="M178" s="69">
        <f>SUMIFS(CT!$H$5:$H$143,CT!$A$5:$A$143,"&gt;="&amp;$I$3,CT!$A$5:$A$143,"&lt;="&amp;$K$3,CT!$D$5:$D$143,A178)</f>
        <v>0</v>
      </c>
      <c r="N178" s="69">
        <f>SUMIFS(CT!$F$5:$F$143,CT!$A$5:$A$143,"&gt;="&amp;$I$3,CT!$A$5:$A$143,"&lt;="&amp;$K$3,CT!$E$5:$E$143,A178)</f>
        <v>0</v>
      </c>
      <c r="O178" s="69">
        <f>SUMIFS(CT!$H$5:$H$143,CT!$A$5:$A$143,"&gt;="&amp;$I$3,CT!$A$5:$A$143,"&lt;="&amp;$K$3,CT!$E$5:$E$143,A178)</f>
        <v>0</v>
      </c>
      <c r="P178" s="69">
        <f t="shared" si="14"/>
        <v>0</v>
      </c>
      <c r="Q178" s="69">
        <f t="shared" si="15"/>
        <v>0</v>
      </c>
      <c r="R178" s="69">
        <f t="shared" si="16"/>
        <v>0</v>
      </c>
      <c r="S178" t="b">
        <f t="shared" si="17"/>
        <v>0</v>
      </c>
    </row>
    <row r="179" spans="1:19" hidden="1" x14ac:dyDescent="0.25">
      <c r="A179" s="93" t="str">
        <f>DMTK!B176</f>
        <v>357</v>
      </c>
      <c r="B179" s="65" t="str">
        <f>VLOOKUP(A179,DMTK!$B$5:$Q$263,3,0)</f>
        <v>Quỹ bình ổn giá</v>
      </c>
      <c r="C179" s="65" t="str">
        <f>VLOOKUP(A179,DMTK!$B$5:$Q$263,16,0)</f>
        <v xml:space="preserve"> </v>
      </c>
      <c r="D179" s="69">
        <f>VLOOKUP(A179,DMTK!$B$5:$Q$263,4,0)</f>
        <v>0</v>
      </c>
      <c r="E179" s="69">
        <f>VLOOKUP(A179,DMTK!$B$5:$Q$263,5,0)</f>
        <v>0</v>
      </c>
      <c r="F179" s="69">
        <f>SUMIFS(CT!$F$5:$F$143,CT!$A$5:$A$143,"&lt;"&amp;$I$3,CT!$D$5:$D$143,A179)</f>
        <v>0</v>
      </c>
      <c r="G179" s="69">
        <f>SUMIFS(CT!$H$5:$H$143,CT!$A$5:$A$143,"&lt;"&amp;$I$3,CT!$D$5:$D$143,A179)</f>
        <v>0</v>
      </c>
      <c r="H179" s="69">
        <f>SUMIFS(CT!$F$5:$F$143,CT!$A$5:$A$143,"&lt;"&amp;$I$3,CT!$E$5:$E$143,A179)</f>
        <v>0</v>
      </c>
      <c r="I179" s="69">
        <f>SUMIFS(CT!$H$5:$H$143,CT!$A$5:$A$143,"&lt;"&amp;$I$3,CT!$E$5:$E$143,A179)</f>
        <v>0</v>
      </c>
      <c r="J179" s="69">
        <f t="shared" si="12"/>
        <v>0</v>
      </c>
      <c r="K179" s="69">
        <f t="shared" si="13"/>
        <v>0</v>
      </c>
      <c r="L179" s="69">
        <f>SUMIFS(CT!$F$5:$F$143,CT!$A$5:$A$143,"&gt;="&amp;$I$3,CT!$A$5:$A$143,"&lt;="&amp;$K$3,CT!$D$5:$D$143,A179)</f>
        <v>0</v>
      </c>
      <c r="M179" s="69">
        <f>SUMIFS(CT!$H$5:$H$143,CT!$A$5:$A$143,"&gt;="&amp;$I$3,CT!$A$5:$A$143,"&lt;="&amp;$K$3,CT!$D$5:$D$143,A179)</f>
        <v>0</v>
      </c>
      <c r="N179" s="69">
        <f>SUMIFS(CT!$F$5:$F$143,CT!$A$5:$A$143,"&gt;="&amp;$I$3,CT!$A$5:$A$143,"&lt;="&amp;$K$3,CT!$E$5:$E$143,A179)</f>
        <v>0</v>
      </c>
      <c r="O179" s="69">
        <f>SUMIFS(CT!$H$5:$H$143,CT!$A$5:$A$143,"&gt;="&amp;$I$3,CT!$A$5:$A$143,"&lt;="&amp;$K$3,CT!$E$5:$E$143,A179)</f>
        <v>0</v>
      </c>
      <c r="P179" s="69">
        <f t="shared" si="14"/>
        <v>0</v>
      </c>
      <c r="Q179" s="69">
        <f t="shared" si="15"/>
        <v>0</v>
      </c>
      <c r="R179" s="69">
        <f t="shared" si="16"/>
        <v>0</v>
      </c>
      <c r="S179" t="b">
        <f t="shared" si="17"/>
        <v>0</v>
      </c>
    </row>
    <row r="180" spans="1:19" hidden="1" x14ac:dyDescent="0.25">
      <c r="A180" s="93" t="str">
        <f>DMTK!B177</f>
        <v>41111</v>
      </c>
      <c r="B180" s="65" t="str">
        <f>VLOOKUP(A180,DMTK!$B$5:$Q$263,3,0)</f>
        <v>Cổ phiếu phổ thông có quyền biểu quyết</v>
      </c>
      <c r="C180" s="65" t="str">
        <f>VLOOKUP(A180,DMTK!$B$5:$Q$263,16,0)</f>
        <v xml:space="preserve"> </v>
      </c>
      <c r="D180" s="69">
        <f>VLOOKUP(A180,DMTK!$B$5:$Q$263,4,0)</f>
        <v>0</v>
      </c>
      <c r="E180" s="69">
        <f>VLOOKUP(A180,DMTK!$B$5:$Q$263,5,0)</f>
        <v>1430000000</v>
      </c>
      <c r="F180" s="69">
        <f>SUMIFS(CT!$F$5:$F$143,CT!$A$5:$A$143,"&lt;"&amp;$I$3,CT!$D$5:$D$143,A180)</f>
        <v>0</v>
      </c>
      <c r="G180" s="69">
        <f>SUMIFS(CT!$H$5:$H$143,CT!$A$5:$A$143,"&lt;"&amp;$I$3,CT!$D$5:$D$143,A180)</f>
        <v>0</v>
      </c>
      <c r="H180" s="69">
        <f>SUMIFS(CT!$F$5:$F$143,CT!$A$5:$A$143,"&lt;"&amp;$I$3,CT!$E$5:$E$143,A180)</f>
        <v>0</v>
      </c>
      <c r="I180" s="69">
        <f>SUMIFS(CT!$H$5:$H$143,CT!$A$5:$A$143,"&lt;"&amp;$I$3,CT!$E$5:$E$143,A180)</f>
        <v>0</v>
      </c>
      <c r="J180" s="69">
        <f t="shared" si="12"/>
        <v>0</v>
      </c>
      <c r="K180" s="69">
        <f t="shared" si="13"/>
        <v>1430000000</v>
      </c>
      <c r="L180" s="69">
        <f>SUMIFS(CT!$F$5:$F$143,CT!$A$5:$A$143,"&gt;="&amp;$I$3,CT!$A$5:$A$143,"&lt;="&amp;$K$3,CT!$D$5:$D$143,A180)</f>
        <v>0</v>
      </c>
      <c r="M180" s="69">
        <f>SUMIFS(CT!$H$5:$H$143,CT!$A$5:$A$143,"&gt;="&amp;$I$3,CT!$A$5:$A$143,"&lt;="&amp;$K$3,CT!$D$5:$D$143,A180)</f>
        <v>0</v>
      </c>
      <c r="N180" s="69">
        <f>SUMIFS(CT!$F$5:$F$143,CT!$A$5:$A$143,"&gt;="&amp;$I$3,CT!$A$5:$A$143,"&lt;="&amp;$K$3,CT!$E$5:$E$143,A180)</f>
        <v>0</v>
      </c>
      <c r="O180" s="69">
        <f>SUMIFS(CT!$H$5:$H$143,CT!$A$5:$A$143,"&gt;="&amp;$I$3,CT!$A$5:$A$143,"&lt;="&amp;$K$3,CT!$E$5:$E$143,A180)</f>
        <v>0</v>
      </c>
      <c r="P180" s="69">
        <f t="shared" si="14"/>
        <v>0</v>
      </c>
      <c r="Q180" s="69">
        <f t="shared" si="15"/>
        <v>1430000000</v>
      </c>
      <c r="R180" s="69">
        <f t="shared" si="16"/>
        <v>0</v>
      </c>
      <c r="S180" t="b">
        <f t="shared" si="17"/>
        <v>0</v>
      </c>
    </row>
    <row r="181" spans="1:19" hidden="1" x14ac:dyDescent="0.25">
      <c r="A181" s="93" t="str">
        <f>DMTK!B178</f>
        <v>41112</v>
      </c>
      <c r="B181" s="65" t="str">
        <f>VLOOKUP(A181,DMTK!$B$5:$Q$263,3,0)</f>
        <v>Cổ phiếu ưu đãi</v>
      </c>
      <c r="C181" s="65" t="str">
        <f>VLOOKUP(A181,DMTK!$B$5:$Q$263,16,0)</f>
        <v xml:space="preserve"> </v>
      </c>
      <c r="D181" s="69">
        <f>VLOOKUP(A181,DMTK!$B$5:$Q$263,4,0)</f>
        <v>0</v>
      </c>
      <c r="E181" s="69">
        <f>VLOOKUP(A181,DMTK!$B$5:$Q$263,5,0)</f>
        <v>43641000</v>
      </c>
      <c r="F181" s="69">
        <f>SUMIFS(CT!$F$5:$F$143,CT!$A$5:$A$143,"&lt;"&amp;$I$3,CT!$D$5:$D$143,A181)</f>
        <v>0</v>
      </c>
      <c r="G181" s="69">
        <f>SUMIFS(CT!$H$5:$H$143,CT!$A$5:$A$143,"&lt;"&amp;$I$3,CT!$D$5:$D$143,A181)</f>
        <v>0</v>
      </c>
      <c r="H181" s="69">
        <f>SUMIFS(CT!$F$5:$F$143,CT!$A$5:$A$143,"&lt;"&amp;$I$3,CT!$E$5:$E$143,A181)</f>
        <v>0</v>
      </c>
      <c r="I181" s="69">
        <f>SUMIFS(CT!$H$5:$H$143,CT!$A$5:$A$143,"&lt;"&amp;$I$3,CT!$E$5:$E$143,A181)</f>
        <v>0</v>
      </c>
      <c r="J181" s="69">
        <f t="shared" si="12"/>
        <v>0</v>
      </c>
      <c r="K181" s="69">
        <f t="shared" si="13"/>
        <v>43641000</v>
      </c>
      <c r="L181" s="69">
        <f>SUMIFS(CT!$F$5:$F$143,CT!$A$5:$A$143,"&gt;="&amp;$I$3,CT!$A$5:$A$143,"&lt;="&amp;$K$3,CT!$D$5:$D$143,A181)</f>
        <v>0</v>
      </c>
      <c r="M181" s="69">
        <f>SUMIFS(CT!$H$5:$H$143,CT!$A$5:$A$143,"&gt;="&amp;$I$3,CT!$A$5:$A$143,"&lt;="&amp;$K$3,CT!$D$5:$D$143,A181)</f>
        <v>0</v>
      </c>
      <c r="N181" s="69">
        <f>SUMIFS(CT!$F$5:$F$143,CT!$A$5:$A$143,"&gt;="&amp;$I$3,CT!$A$5:$A$143,"&lt;="&amp;$K$3,CT!$E$5:$E$143,A181)</f>
        <v>0</v>
      </c>
      <c r="O181" s="69">
        <f>SUMIFS(CT!$H$5:$H$143,CT!$A$5:$A$143,"&gt;="&amp;$I$3,CT!$A$5:$A$143,"&lt;="&amp;$K$3,CT!$E$5:$E$143,A181)</f>
        <v>0</v>
      </c>
      <c r="P181" s="69">
        <f t="shared" si="14"/>
        <v>0</v>
      </c>
      <c r="Q181" s="69">
        <f t="shared" si="15"/>
        <v>43641000</v>
      </c>
      <c r="R181" s="69">
        <f t="shared" si="16"/>
        <v>0</v>
      </c>
      <c r="S181" t="b">
        <f t="shared" si="17"/>
        <v>0</v>
      </c>
    </row>
    <row r="182" spans="1:19" hidden="1" x14ac:dyDescent="0.25">
      <c r="A182" s="93" t="str">
        <f>DMTK!B179</f>
        <v>4112</v>
      </c>
      <c r="B182" s="65" t="str">
        <f>VLOOKUP(A182,DMTK!$B$5:$Q$263,3,0)</f>
        <v>Thặng dư vốn cổ phần</v>
      </c>
      <c r="C182" s="65" t="str">
        <f>VLOOKUP(A182,DMTK!$B$5:$Q$263,16,0)</f>
        <v xml:space="preserve"> </v>
      </c>
      <c r="D182" s="69">
        <f>VLOOKUP(A182,DMTK!$B$5:$Q$263,4,0)</f>
        <v>0</v>
      </c>
      <c r="E182" s="69">
        <f>VLOOKUP(A182,DMTK!$B$5:$Q$263,5,0)</f>
        <v>0</v>
      </c>
      <c r="F182" s="69">
        <f>SUMIFS(CT!$F$5:$F$143,CT!$A$5:$A$143,"&lt;"&amp;$I$3,CT!$D$5:$D$143,A182)</f>
        <v>0</v>
      </c>
      <c r="G182" s="69">
        <f>SUMIFS(CT!$H$5:$H$143,CT!$A$5:$A$143,"&lt;"&amp;$I$3,CT!$D$5:$D$143,A182)</f>
        <v>0</v>
      </c>
      <c r="H182" s="69">
        <f>SUMIFS(CT!$F$5:$F$143,CT!$A$5:$A$143,"&lt;"&amp;$I$3,CT!$E$5:$E$143,A182)</f>
        <v>0</v>
      </c>
      <c r="I182" s="69">
        <f>SUMIFS(CT!$H$5:$H$143,CT!$A$5:$A$143,"&lt;"&amp;$I$3,CT!$E$5:$E$143,A182)</f>
        <v>0</v>
      </c>
      <c r="J182" s="69">
        <f t="shared" si="12"/>
        <v>0</v>
      </c>
      <c r="K182" s="69">
        <f t="shared" si="13"/>
        <v>0</v>
      </c>
      <c r="L182" s="69">
        <f>SUMIFS(CT!$F$5:$F$143,CT!$A$5:$A$143,"&gt;="&amp;$I$3,CT!$A$5:$A$143,"&lt;="&amp;$K$3,CT!$D$5:$D$143,A182)</f>
        <v>0</v>
      </c>
      <c r="M182" s="69">
        <f>SUMIFS(CT!$H$5:$H$143,CT!$A$5:$A$143,"&gt;="&amp;$I$3,CT!$A$5:$A$143,"&lt;="&amp;$K$3,CT!$D$5:$D$143,A182)</f>
        <v>0</v>
      </c>
      <c r="N182" s="69">
        <f>SUMIFS(CT!$F$5:$F$143,CT!$A$5:$A$143,"&gt;="&amp;$I$3,CT!$A$5:$A$143,"&lt;="&amp;$K$3,CT!$E$5:$E$143,A182)</f>
        <v>0</v>
      </c>
      <c r="O182" s="69">
        <f>SUMIFS(CT!$H$5:$H$143,CT!$A$5:$A$143,"&gt;="&amp;$I$3,CT!$A$5:$A$143,"&lt;="&amp;$K$3,CT!$E$5:$E$143,A182)</f>
        <v>0</v>
      </c>
      <c r="P182" s="69">
        <f t="shared" si="14"/>
        <v>0</v>
      </c>
      <c r="Q182" s="69">
        <f t="shared" si="15"/>
        <v>0</v>
      </c>
      <c r="R182" s="69">
        <f t="shared" si="16"/>
        <v>0</v>
      </c>
      <c r="S182" t="b">
        <f t="shared" si="17"/>
        <v>0</v>
      </c>
    </row>
    <row r="183" spans="1:19" hidden="1" x14ac:dyDescent="0.25">
      <c r="A183" s="93" t="str">
        <f>DMTK!B180</f>
        <v>4113</v>
      </c>
      <c r="B183" s="65" t="str">
        <f>VLOOKUP(A183,DMTK!$B$5:$Q$263,3,0)</f>
        <v>Quyền chọn chuyển đổi trái phiếu</v>
      </c>
      <c r="C183" s="65" t="str">
        <f>VLOOKUP(A183,DMTK!$B$5:$Q$263,16,0)</f>
        <v xml:space="preserve"> </v>
      </c>
      <c r="D183" s="69">
        <f>VLOOKUP(A183,DMTK!$B$5:$Q$263,4,0)</f>
        <v>0</v>
      </c>
      <c r="E183" s="69">
        <f>VLOOKUP(A183,DMTK!$B$5:$Q$263,5,0)</f>
        <v>0</v>
      </c>
      <c r="F183" s="69">
        <f>SUMIFS(CT!$F$5:$F$143,CT!$A$5:$A$143,"&lt;"&amp;$I$3,CT!$D$5:$D$143,A183)</f>
        <v>0</v>
      </c>
      <c r="G183" s="69">
        <f>SUMIFS(CT!$H$5:$H$143,CT!$A$5:$A$143,"&lt;"&amp;$I$3,CT!$D$5:$D$143,A183)</f>
        <v>0</v>
      </c>
      <c r="H183" s="69">
        <f>SUMIFS(CT!$F$5:$F$143,CT!$A$5:$A$143,"&lt;"&amp;$I$3,CT!$E$5:$E$143,A183)</f>
        <v>0</v>
      </c>
      <c r="I183" s="69">
        <f>SUMIFS(CT!$H$5:$H$143,CT!$A$5:$A$143,"&lt;"&amp;$I$3,CT!$E$5:$E$143,A183)</f>
        <v>0</v>
      </c>
      <c r="J183" s="69">
        <f t="shared" si="12"/>
        <v>0</v>
      </c>
      <c r="K183" s="69">
        <f t="shared" si="13"/>
        <v>0</v>
      </c>
      <c r="L183" s="69">
        <f>SUMIFS(CT!$F$5:$F$143,CT!$A$5:$A$143,"&gt;="&amp;$I$3,CT!$A$5:$A$143,"&lt;="&amp;$K$3,CT!$D$5:$D$143,A183)</f>
        <v>0</v>
      </c>
      <c r="M183" s="69">
        <f>SUMIFS(CT!$H$5:$H$143,CT!$A$5:$A$143,"&gt;="&amp;$I$3,CT!$A$5:$A$143,"&lt;="&amp;$K$3,CT!$D$5:$D$143,A183)</f>
        <v>0</v>
      </c>
      <c r="N183" s="69">
        <f>SUMIFS(CT!$F$5:$F$143,CT!$A$5:$A$143,"&gt;="&amp;$I$3,CT!$A$5:$A$143,"&lt;="&amp;$K$3,CT!$E$5:$E$143,A183)</f>
        <v>0</v>
      </c>
      <c r="O183" s="69">
        <f>SUMIFS(CT!$H$5:$H$143,CT!$A$5:$A$143,"&gt;="&amp;$I$3,CT!$A$5:$A$143,"&lt;="&amp;$K$3,CT!$E$5:$E$143,A183)</f>
        <v>0</v>
      </c>
      <c r="P183" s="69">
        <f t="shared" si="14"/>
        <v>0</v>
      </c>
      <c r="Q183" s="69">
        <f t="shared" si="15"/>
        <v>0</v>
      </c>
      <c r="R183" s="69">
        <f t="shared" si="16"/>
        <v>0</v>
      </c>
      <c r="S183" t="b">
        <f t="shared" si="17"/>
        <v>0</v>
      </c>
    </row>
    <row r="184" spans="1:19" hidden="1" x14ac:dyDescent="0.25">
      <c r="A184" s="93" t="str">
        <f>DMTK!B181</f>
        <v>4118</v>
      </c>
      <c r="B184" s="65" t="str">
        <f>VLOOKUP(A184,DMTK!$B$5:$Q$263,3,0)</f>
        <v>Vốn khác</v>
      </c>
      <c r="C184" s="65" t="str">
        <f>VLOOKUP(A184,DMTK!$B$5:$Q$263,16,0)</f>
        <v xml:space="preserve"> </v>
      </c>
      <c r="D184" s="69">
        <f>VLOOKUP(A184,DMTK!$B$5:$Q$263,4,0)</f>
        <v>0</v>
      </c>
      <c r="E184" s="69">
        <f>VLOOKUP(A184,DMTK!$B$5:$Q$263,5,0)</f>
        <v>18898000</v>
      </c>
      <c r="F184" s="69">
        <f>SUMIFS(CT!$F$5:$F$143,CT!$A$5:$A$143,"&lt;"&amp;$I$3,CT!$D$5:$D$143,A184)</f>
        <v>0</v>
      </c>
      <c r="G184" s="69">
        <f>SUMIFS(CT!$H$5:$H$143,CT!$A$5:$A$143,"&lt;"&amp;$I$3,CT!$D$5:$D$143,A184)</f>
        <v>0</v>
      </c>
      <c r="H184" s="69">
        <f>SUMIFS(CT!$F$5:$F$143,CT!$A$5:$A$143,"&lt;"&amp;$I$3,CT!$E$5:$E$143,A184)</f>
        <v>0</v>
      </c>
      <c r="I184" s="69">
        <f>SUMIFS(CT!$H$5:$H$143,CT!$A$5:$A$143,"&lt;"&amp;$I$3,CT!$E$5:$E$143,A184)</f>
        <v>0</v>
      </c>
      <c r="J184" s="69">
        <f t="shared" si="12"/>
        <v>0</v>
      </c>
      <c r="K184" s="69">
        <f t="shared" si="13"/>
        <v>18898000</v>
      </c>
      <c r="L184" s="69">
        <f>SUMIFS(CT!$F$5:$F$143,CT!$A$5:$A$143,"&gt;="&amp;$I$3,CT!$A$5:$A$143,"&lt;="&amp;$K$3,CT!$D$5:$D$143,A184)</f>
        <v>0</v>
      </c>
      <c r="M184" s="69">
        <f>SUMIFS(CT!$H$5:$H$143,CT!$A$5:$A$143,"&gt;="&amp;$I$3,CT!$A$5:$A$143,"&lt;="&amp;$K$3,CT!$D$5:$D$143,A184)</f>
        <v>0</v>
      </c>
      <c r="N184" s="69">
        <f>SUMIFS(CT!$F$5:$F$143,CT!$A$5:$A$143,"&gt;="&amp;$I$3,CT!$A$5:$A$143,"&lt;="&amp;$K$3,CT!$E$5:$E$143,A184)</f>
        <v>0</v>
      </c>
      <c r="O184" s="69">
        <f>SUMIFS(CT!$H$5:$H$143,CT!$A$5:$A$143,"&gt;="&amp;$I$3,CT!$A$5:$A$143,"&lt;="&amp;$K$3,CT!$E$5:$E$143,A184)</f>
        <v>0</v>
      </c>
      <c r="P184" s="69">
        <f t="shared" si="14"/>
        <v>0</v>
      </c>
      <c r="Q184" s="69">
        <f t="shared" si="15"/>
        <v>18898000</v>
      </c>
      <c r="R184" s="69">
        <f t="shared" si="16"/>
        <v>0</v>
      </c>
      <c r="S184" t="b">
        <f t="shared" si="17"/>
        <v>0</v>
      </c>
    </row>
    <row r="185" spans="1:19" hidden="1" x14ac:dyDescent="0.25">
      <c r="A185" s="93" t="str">
        <f>DMTK!B182</f>
        <v>412</v>
      </c>
      <c r="B185" s="65" t="str">
        <f>VLOOKUP(A185,DMTK!$B$5:$Q$263,3,0)</f>
        <v>Chênh lệch đánh giá lại tài sản</v>
      </c>
      <c r="C185" s="65" t="str">
        <f>VLOOKUP(A185,DMTK!$B$5:$Q$263,16,0)</f>
        <v xml:space="preserve"> </v>
      </c>
      <c r="D185" s="69">
        <f>VLOOKUP(A185,DMTK!$B$5:$Q$263,4,0)</f>
        <v>0</v>
      </c>
      <c r="E185" s="69">
        <f>VLOOKUP(A185,DMTK!$B$5:$Q$263,5,0)</f>
        <v>0</v>
      </c>
      <c r="F185" s="69">
        <f>SUMIFS(CT!$F$5:$F$143,CT!$A$5:$A$143,"&lt;"&amp;$I$3,CT!$D$5:$D$143,A185)</f>
        <v>0</v>
      </c>
      <c r="G185" s="69">
        <f>SUMIFS(CT!$H$5:$H$143,CT!$A$5:$A$143,"&lt;"&amp;$I$3,CT!$D$5:$D$143,A185)</f>
        <v>0</v>
      </c>
      <c r="H185" s="69">
        <f>SUMIFS(CT!$F$5:$F$143,CT!$A$5:$A$143,"&lt;"&amp;$I$3,CT!$E$5:$E$143,A185)</f>
        <v>0</v>
      </c>
      <c r="I185" s="69">
        <f>SUMIFS(CT!$H$5:$H$143,CT!$A$5:$A$143,"&lt;"&amp;$I$3,CT!$E$5:$E$143,A185)</f>
        <v>0</v>
      </c>
      <c r="J185" s="69">
        <f t="shared" si="12"/>
        <v>0</v>
      </c>
      <c r="K185" s="69">
        <f t="shared" si="13"/>
        <v>0</v>
      </c>
      <c r="L185" s="69">
        <f>SUMIFS(CT!$F$5:$F$143,CT!$A$5:$A$143,"&gt;="&amp;$I$3,CT!$A$5:$A$143,"&lt;="&amp;$K$3,CT!$D$5:$D$143,A185)</f>
        <v>0</v>
      </c>
      <c r="M185" s="69">
        <f>SUMIFS(CT!$H$5:$H$143,CT!$A$5:$A$143,"&gt;="&amp;$I$3,CT!$A$5:$A$143,"&lt;="&amp;$K$3,CT!$D$5:$D$143,A185)</f>
        <v>0</v>
      </c>
      <c r="N185" s="69">
        <f>SUMIFS(CT!$F$5:$F$143,CT!$A$5:$A$143,"&gt;="&amp;$I$3,CT!$A$5:$A$143,"&lt;="&amp;$K$3,CT!$E$5:$E$143,A185)</f>
        <v>0</v>
      </c>
      <c r="O185" s="69">
        <f>SUMIFS(CT!$H$5:$H$143,CT!$A$5:$A$143,"&gt;="&amp;$I$3,CT!$A$5:$A$143,"&lt;="&amp;$K$3,CT!$E$5:$E$143,A185)</f>
        <v>0</v>
      </c>
      <c r="P185" s="69">
        <f t="shared" si="14"/>
        <v>0</v>
      </c>
      <c r="Q185" s="69">
        <f t="shared" si="15"/>
        <v>0</v>
      </c>
      <c r="R185" s="69">
        <f t="shared" si="16"/>
        <v>0</v>
      </c>
      <c r="S185" t="b">
        <f t="shared" si="17"/>
        <v>0</v>
      </c>
    </row>
    <row r="186" spans="1:19" hidden="1" x14ac:dyDescent="0.25">
      <c r="A186" s="93" t="str">
        <f>DMTK!B183</f>
        <v>4131</v>
      </c>
      <c r="B186" s="65" t="str">
        <f>VLOOKUP(A186,DMTK!$B$5:$Q$263,3,0)</f>
        <v>Chênh lệch tỷ giá do đánh giá lại các khoản mục tiền tệ có gốc ngoại tệ</v>
      </c>
      <c r="C186" s="65" t="str">
        <f>VLOOKUP(A186,DMTK!$B$5:$Q$263,16,0)</f>
        <v xml:space="preserve"> </v>
      </c>
      <c r="D186" s="69">
        <f>VLOOKUP(A186,DMTK!$B$5:$Q$263,4,0)</f>
        <v>0</v>
      </c>
      <c r="E186" s="69">
        <f>VLOOKUP(A186,DMTK!$B$5:$Q$263,5,0)</f>
        <v>0</v>
      </c>
      <c r="F186" s="69">
        <f>SUMIFS(CT!$F$5:$F$143,CT!$A$5:$A$143,"&lt;"&amp;$I$3,CT!$D$5:$D$143,A186)</f>
        <v>0</v>
      </c>
      <c r="G186" s="69">
        <f>SUMIFS(CT!$H$5:$H$143,CT!$A$5:$A$143,"&lt;"&amp;$I$3,CT!$D$5:$D$143,A186)</f>
        <v>0</v>
      </c>
      <c r="H186" s="69">
        <f>SUMIFS(CT!$F$5:$F$143,CT!$A$5:$A$143,"&lt;"&amp;$I$3,CT!$E$5:$E$143,A186)</f>
        <v>0</v>
      </c>
      <c r="I186" s="69">
        <f>SUMIFS(CT!$H$5:$H$143,CT!$A$5:$A$143,"&lt;"&amp;$I$3,CT!$E$5:$E$143,A186)</f>
        <v>0</v>
      </c>
      <c r="J186" s="69">
        <f t="shared" si="12"/>
        <v>0</v>
      </c>
      <c r="K186" s="69">
        <f t="shared" si="13"/>
        <v>0</v>
      </c>
      <c r="L186" s="69">
        <f>SUMIFS(CT!$F$5:$F$143,CT!$A$5:$A$143,"&gt;="&amp;$I$3,CT!$A$5:$A$143,"&lt;="&amp;$K$3,CT!$D$5:$D$143,A186)</f>
        <v>0</v>
      </c>
      <c r="M186" s="69">
        <f>SUMIFS(CT!$H$5:$H$143,CT!$A$5:$A$143,"&gt;="&amp;$I$3,CT!$A$5:$A$143,"&lt;="&amp;$K$3,CT!$D$5:$D$143,A186)</f>
        <v>0</v>
      </c>
      <c r="N186" s="69">
        <f>SUMIFS(CT!$F$5:$F$143,CT!$A$5:$A$143,"&gt;="&amp;$I$3,CT!$A$5:$A$143,"&lt;="&amp;$K$3,CT!$E$5:$E$143,A186)</f>
        <v>0</v>
      </c>
      <c r="O186" s="69">
        <f>SUMIFS(CT!$H$5:$H$143,CT!$A$5:$A$143,"&gt;="&amp;$I$3,CT!$A$5:$A$143,"&lt;="&amp;$K$3,CT!$E$5:$E$143,A186)</f>
        <v>0</v>
      </c>
      <c r="P186" s="69">
        <f t="shared" si="14"/>
        <v>0</v>
      </c>
      <c r="Q186" s="69">
        <f t="shared" si="15"/>
        <v>0</v>
      </c>
      <c r="R186" s="69">
        <f t="shared" si="16"/>
        <v>0</v>
      </c>
      <c r="S186" t="b">
        <f t="shared" si="17"/>
        <v>0</v>
      </c>
    </row>
    <row r="187" spans="1:19" hidden="1" x14ac:dyDescent="0.25">
      <c r="A187" s="93" t="str">
        <f>DMTK!B184</f>
        <v>4132</v>
      </c>
      <c r="B187" s="65" t="str">
        <f>VLOOKUP(A187,DMTK!$B$5:$Q$263,3,0)</f>
        <v>Chênh lệch tỷ giá hối đoái trong giai đoạn trước hoạt động</v>
      </c>
      <c r="C187" s="65" t="str">
        <f>VLOOKUP(A187,DMTK!$B$5:$Q$263,16,0)</f>
        <v xml:space="preserve"> </v>
      </c>
      <c r="D187" s="69">
        <f>VLOOKUP(A187,DMTK!$B$5:$Q$263,4,0)</f>
        <v>0</v>
      </c>
      <c r="E187" s="69">
        <f>VLOOKUP(A187,DMTK!$B$5:$Q$263,5,0)</f>
        <v>0</v>
      </c>
      <c r="F187" s="69">
        <f>SUMIFS(CT!$F$5:$F$143,CT!$A$5:$A$143,"&lt;"&amp;$I$3,CT!$D$5:$D$143,A187)</f>
        <v>0</v>
      </c>
      <c r="G187" s="69">
        <f>SUMIFS(CT!$H$5:$H$143,CT!$A$5:$A$143,"&lt;"&amp;$I$3,CT!$D$5:$D$143,A187)</f>
        <v>0</v>
      </c>
      <c r="H187" s="69">
        <f>SUMIFS(CT!$F$5:$F$143,CT!$A$5:$A$143,"&lt;"&amp;$I$3,CT!$E$5:$E$143,A187)</f>
        <v>0</v>
      </c>
      <c r="I187" s="69">
        <f>SUMIFS(CT!$H$5:$H$143,CT!$A$5:$A$143,"&lt;"&amp;$I$3,CT!$E$5:$E$143,A187)</f>
        <v>0</v>
      </c>
      <c r="J187" s="69">
        <f t="shared" si="12"/>
        <v>0</v>
      </c>
      <c r="K187" s="69">
        <f t="shared" si="13"/>
        <v>0</v>
      </c>
      <c r="L187" s="69">
        <f>SUMIFS(CT!$F$5:$F$143,CT!$A$5:$A$143,"&gt;="&amp;$I$3,CT!$A$5:$A$143,"&lt;="&amp;$K$3,CT!$D$5:$D$143,A187)</f>
        <v>0</v>
      </c>
      <c r="M187" s="69">
        <f>SUMIFS(CT!$H$5:$H$143,CT!$A$5:$A$143,"&gt;="&amp;$I$3,CT!$A$5:$A$143,"&lt;="&amp;$K$3,CT!$D$5:$D$143,A187)</f>
        <v>0</v>
      </c>
      <c r="N187" s="69">
        <f>SUMIFS(CT!$F$5:$F$143,CT!$A$5:$A$143,"&gt;="&amp;$I$3,CT!$A$5:$A$143,"&lt;="&amp;$K$3,CT!$E$5:$E$143,A187)</f>
        <v>0</v>
      </c>
      <c r="O187" s="69">
        <f>SUMIFS(CT!$H$5:$H$143,CT!$A$5:$A$143,"&gt;="&amp;$I$3,CT!$A$5:$A$143,"&lt;="&amp;$K$3,CT!$E$5:$E$143,A187)</f>
        <v>0</v>
      </c>
      <c r="P187" s="69">
        <f t="shared" si="14"/>
        <v>0</v>
      </c>
      <c r="Q187" s="69">
        <f t="shared" si="15"/>
        <v>0</v>
      </c>
      <c r="R187" s="69">
        <f t="shared" si="16"/>
        <v>0</v>
      </c>
      <c r="S187" t="b">
        <f t="shared" si="17"/>
        <v>0</v>
      </c>
    </row>
    <row r="188" spans="1:19" hidden="1" x14ac:dyDescent="0.25">
      <c r="A188" s="93" t="str">
        <f>DMTK!B185</f>
        <v>414</v>
      </c>
      <c r="B188" s="65" t="str">
        <f>VLOOKUP(A188,DMTK!$B$5:$Q$263,3,0)</f>
        <v>Quỹ đầu tư phát triển</v>
      </c>
      <c r="C188" s="65" t="str">
        <f>VLOOKUP(A188,DMTK!$B$5:$Q$263,16,0)</f>
        <v xml:space="preserve"> </v>
      </c>
      <c r="D188" s="69">
        <f>VLOOKUP(A188,DMTK!$B$5:$Q$263,4,0)</f>
        <v>0</v>
      </c>
      <c r="E188" s="69">
        <f>VLOOKUP(A188,DMTK!$B$5:$Q$263,5,0)</f>
        <v>120000000</v>
      </c>
      <c r="F188" s="69">
        <f>SUMIFS(CT!$F$5:$F$143,CT!$A$5:$A$143,"&lt;"&amp;$I$3,CT!$D$5:$D$143,A188)</f>
        <v>0</v>
      </c>
      <c r="G188" s="69">
        <f>SUMIFS(CT!$H$5:$H$143,CT!$A$5:$A$143,"&lt;"&amp;$I$3,CT!$D$5:$D$143,A188)</f>
        <v>0</v>
      </c>
      <c r="H188" s="69">
        <f>SUMIFS(CT!$F$5:$F$143,CT!$A$5:$A$143,"&lt;"&amp;$I$3,CT!$E$5:$E$143,A188)</f>
        <v>0</v>
      </c>
      <c r="I188" s="69">
        <f>SUMIFS(CT!$H$5:$H$143,CT!$A$5:$A$143,"&lt;"&amp;$I$3,CT!$E$5:$E$143,A188)</f>
        <v>0</v>
      </c>
      <c r="J188" s="69">
        <f t="shared" si="12"/>
        <v>0</v>
      </c>
      <c r="K188" s="69">
        <f t="shared" si="13"/>
        <v>120000000</v>
      </c>
      <c r="L188" s="69">
        <f>SUMIFS(CT!$F$5:$F$143,CT!$A$5:$A$143,"&gt;="&amp;$I$3,CT!$A$5:$A$143,"&lt;="&amp;$K$3,CT!$D$5:$D$143,A188)</f>
        <v>0</v>
      </c>
      <c r="M188" s="69">
        <f>SUMIFS(CT!$H$5:$H$143,CT!$A$5:$A$143,"&gt;="&amp;$I$3,CT!$A$5:$A$143,"&lt;="&amp;$K$3,CT!$D$5:$D$143,A188)</f>
        <v>0</v>
      </c>
      <c r="N188" s="69">
        <f>SUMIFS(CT!$F$5:$F$143,CT!$A$5:$A$143,"&gt;="&amp;$I$3,CT!$A$5:$A$143,"&lt;="&amp;$K$3,CT!$E$5:$E$143,A188)</f>
        <v>0</v>
      </c>
      <c r="O188" s="69">
        <f>SUMIFS(CT!$H$5:$H$143,CT!$A$5:$A$143,"&gt;="&amp;$I$3,CT!$A$5:$A$143,"&lt;="&amp;$K$3,CT!$E$5:$E$143,A188)</f>
        <v>0</v>
      </c>
      <c r="P188" s="69">
        <f t="shared" si="14"/>
        <v>0</v>
      </c>
      <c r="Q188" s="69">
        <f t="shared" si="15"/>
        <v>120000000</v>
      </c>
      <c r="R188" s="69">
        <f t="shared" si="16"/>
        <v>0</v>
      </c>
      <c r="S188" t="b">
        <f t="shared" si="17"/>
        <v>0</v>
      </c>
    </row>
    <row r="189" spans="1:19" hidden="1" x14ac:dyDescent="0.25">
      <c r="A189" s="93" t="str">
        <f>DMTK!B186</f>
        <v>417</v>
      </c>
      <c r="B189" s="65" t="str">
        <f>VLOOKUP(A189,DMTK!$B$5:$Q$263,3,0)</f>
        <v>Quỹ hỗ trợ sắp xếp doanh nghiệp</v>
      </c>
      <c r="C189" s="65" t="str">
        <f>VLOOKUP(A189,DMTK!$B$5:$Q$263,16,0)</f>
        <v xml:space="preserve"> </v>
      </c>
      <c r="D189" s="69">
        <f>VLOOKUP(A189,DMTK!$B$5:$Q$263,4,0)</f>
        <v>0</v>
      </c>
      <c r="E189" s="69">
        <f>VLOOKUP(A189,DMTK!$B$5:$Q$263,5,0)</f>
        <v>0</v>
      </c>
      <c r="F189" s="69">
        <f>SUMIFS(CT!$F$5:$F$143,CT!$A$5:$A$143,"&lt;"&amp;$I$3,CT!$D$5:$D$143,A189)</f>
        <v>0</v>
      </c>
      <c r="G189" s="69">
        <f>SUMIFS(CT!$H$5:$H$143,CT!$A$5:$A$143,"&lt;"&amp;$I$3,CT!$D$5:$D$143,A189)</f>
        <v>0</v>
      </c>
      <c r="H189" s="69">
        <f>SUMIFS(CT!$F$5:$F$143,CT!$A$5:$A$143,"&lt;"&amp;$I$3,CT!$E$5:$E$143,A189)</f>
        <v>0</v>
      </c>
      <c r="I189" s="69">
        <f>SUMIFS(CT!$H$5:$H$143,CT!$A$5:$A$143,"&lt;"&amp;$I$3,CT!$E$5:$E$143,A189)</f>
        <v>0</v>
      </c>
      <c r="J189" s="69">
        <f t="shared" si="12"/>
        <v>0</v>
      </c>
      <c r="K189" s="69">
        <f t="shared" si="13"/>
        <v>0</v>
      </c>
      <c r="L189" s="69">
        <f>SUMIFS(CT!$F$5:$F$143,CT!$A$5:$A$143,"&gt;="&amp;$I$3,CT!$A$5:$A$143,"&lt;="&amp;$K$3,CT!$D$5:$D$143,A189)</f>
        <v>0</v>
      </c>
      <c r="M189" s="69">
        <f>SUMIFS(CT!$H$5:$H$143,CT!$A$5:$A$143,"&gt;="&amp;$I$3,CT!$A$5:$A$143,"&lt;="&amp;$K$3,CT!$D$5:$D$143,A189)</f>
        <v>0</v>
      </c>
      <c r="N189" s="69">
        <f>SUMIFS(CT!$F$5:$F$143,CT!$A$5:$A$143,"&gt;="&amp;$I$3,CT!$A$5:$A$143,"&lt;="&amp;$K$3,CT!$E$5:$E$143,A189)</f>
        <v>0</v>
      </c>
      <c r="O189" s="69">
        <f>SUMIFS(CT!$H$5:$H$143,CT!$A$5:$A$143,"&gt;="&amp;$I$3,CT!$A$5:$A$143,"&lt;="&amp;$K$3,CT!$E$5:$E$143,A189)</f>
        <v>0</v>
      </c>
      <c r="P189" s="69">
        <f t="shared" si="14"/>
        <v>0</v>
      </c>
      <c r="Q189" s="69">
        <f t="shared" si="15"/>
        <v>0</v>
      </c>
      <c r="R189" s="69">
        <f t="shared" si="16"/>
        <v>0</v>
      </c>
      <c r="S189" t="b">
        <f t="shared" si="17"/>
        <v>0</v>
      </c>
    </row>
    <row r="190" spans="1:19" hidden="1" x14ac:dyDescent="0.25">
      <c r="A190" s="93" t="str">
        <f>DMTK!B187</f>
        <v>418</v>
      </c>
      <c r="B190" s="65" t="str">
        <f>VLOOKUP(A190,DMTK!$B$5:$Q$263,3,0)</f>
        <v>Các quỹ khác thuộc vốn chủ sở hữu</v>
      </c>
      <c r="C190" s="65" t="str">
        <f>VLOOKUP(A190,DMTK!$B$5:$Q$263,16,0)</f>
        <v xml:space="preserve"> </v>
      </c>
      <c r="D190" s="69">
        <f>VLOOKUP(A190,DMTK!$B$5:$Q$263,4,0)</f>
        <v>0</v>
      </c>
      <c r="E190" s="69">
        <f>VLOOKUP(A190,DMTK!$B$5:$Q$263,5,0)</f>
        <v>130000000</v>
      </c>
      <c r="F190" s="69">
        <f>SUMIFS(CT!$F$5:$F$143,CT!$A$5:$A$143,"&lt;"&amp;$I$3,CT!$D$5:$D$143,A190)</f>
        <v>0</v>
      </c>
      <c r="G190" s="69">
        <f>SUMIFS(CT!$H$5:$H$143,CT!$A$5:$A$143,"&lt;"&amp;$I$3,CT!$D$5:$D$143,A190)</f>
        <v>0</v>
      </c>
      <c r="H190" s="69">
        <f>SUMIFS(CT!$F$5:$F$143,CT!$A$5:$A$143,"&lt;"&amp;$I$3,CT!$E$5:$E$143,A190)</f>
        <v>0</v>
      </c>
      <c r="I190" s="69">
        <f>SUMIFS(CT!$H$5:$H$143,CT!$A$5:$A$143,"&lt;"&amp;$I$3,CT!$E$5:$E$143,A190)</f>
        <v>0</v>
      </c>
      <c r="J190" s="69">
        <f t="shared" si="12"/>
        <v>0</v>
      </c>
      <c r="K190" s="69">
        <f t="shared" si="13"/>
        <v>130000000</v>
      </c>
      <c r="L190" s="69">
        <f>SUMIFS(CT!$F$5:$F$143,CT!$A$5:$A$143,"&gt;="&amp;$I$3,CT!$A$5:$A$143,"&lt;="&amp;$K$3,CT!$D$5:$D$143,A190)</f>
        <v>0</v>
      </c>
      <c r="M190" s="69">
        <f>SUMIFS(CT!$H$5:$H$143,CT!$A$5:$A$143,"&gt;="&amp;$I$3,CT!$A$5:$A$143,"&lt;="&amp;$K$3,CT!$D$5:$D$143,A190)</f>
        <v>0</v>
      </c>
      <c r="N190" s="69">
        <f>SUMIFS(CT!$F$5:$F$143,CT!$A$5:$A$143,"&gt;="&amp;$I$3,CT!$A$5:$A$143,"&lt;="&amp;$K$3,CT!$E$5:$E$143,A190)</f>
        <v>0</v>
      </c>
      <c r="O190" s="69">
        <f>SUMIFS(CT!$H$5:$H$143,CT!$A$5:$A$143,"&gt;="&amp;$I$3,CT!$A$5:$A$143,"&lt;="&amp;$K$3,CT!$E$5:$E$143,A190)</f>
        <v>0</v>
      </c>
      <c r="P190" s="69">
        <f t="shared" si="14"/>
        <v>0</v>
      </c>
      <c r="Q190" s="69">
        <f t="shared" si="15"/>
        <v>130000000</v>
      </c>
      <c r="R190" s="69">
        <f t="shared" si="16"/>
        <v>0</v>
      </c>
      <c r="S190" t="b">
        <f t="shared" si="17"/>
        <v>0</v>
      </c>
    </row>
    <row r="191" spans="1:19" hidden="1" x14ac:dyDescent="0.25">
      <c r="A191" s="93" t="str">
        <f>DMTK!B188</f>
        <v>419</v>
      </c>
      <c r="B191" s="65" t="str">
        <f>VLOOKUP(A191,DMTK!$B$5:$Q$263,3,0)</f>
        <v>Cổ phiếu quỹ</v>
      </c>
      <c r="C191" s="65" t="str">
        <f>VLOOKUP(A191,DMTK!$B$5:$Q$263,16,0)</f>
        <v xml:space="preserve"> </v>
      </c>
      <c r="D191" s="69">
        <f>VLOOKUP(A191,DMTK!$B$5:$Q$263,4,0)</f>
        <v>0</v>
      </c>
      <c r="E191" s="69">
        <f>VLOOKUP(A191,DMTK!$B$5:$Q$263,5,0)</f>
        <v>9449000</v>
      </c>
      <c r="F191" s="69">
        <f>SUMIFS(CT!$F$5:$F$143,CT!$A$5:$A$143,"&lt;"&amp;$I$3,CT!$D$5:$D$143,A191)</f>
        <v>0</v>
      </c>
      <c r="G191" s="69">
        <f>SUMIFS(CT!$H$5:$H$143,CT!$A$5:$A$143,"&lt;"&amp;$I$3,CT!$D$5:$D$143,A191)</f>
        <v>0</v>
      </c>
      <c r="H191" s="69">
        <f>SUMIFS(CT!$F$5:$F$143,CT!$A$5:$A$143,"&lt;"&amp;$I$3,CT!$E$5:$E$143,A191)</f>
        <v>0</v>
      </c>
      <c r="I191" s="69">
        <f>SUMIFS(CT!$H$5:$H$143,CT!$A$5:$A$143,"&lt;"&amp;$I$3,CT!$E$5:$E$143,A191)</f>
        <v>0</v>
      </c>
      <c r="J191" s="69">
        <f t="shared" si="12"/>
        <v>0</v>
      </c>
      <c r="K191" s="69">
        <f t="shared" si="13"/>
        <v>9449000</v>
      </c>
      <c r="L191" s="69">
        <f>SUMIFS(CT!$F$5:$F$143,CT!$A$5:$A$143,"&gt;="&amp;$I$3,CT!$A$5:$A$143,"&lt;="&amp;$K$3,CT!$D$5:$D$143,A191)</f>
        <v>0</v>
      </c>
      <c r="M191" s="69">
        <f>SUMIFS(CT!$H$5:$H$143,CT!$A$5:$A$143,"&gt;="&amp;$I$3,CT!$A$5:$A$143,"&lt;="&amp;$K$3,CT!$D$5:$D$143,A191)</f>
        <v>0</v>
      </c>
      <c r="N191" s="69">
        <f>SUMIFS(CT!$F$5:$F$143,CT!$A$5:$A$143,"&gt;="&amp;$I$3,CT!$A$5:$A$143,"&lt;="&amp;$K$3,CT!$E$5:$E$143,A191)</f>
        <v>0</v>
      </c>
      <c r="O191" s="69">
        <f>SUMIFS(CT!$H$5:$H$143,CT!$A$5:$A$143,"&gt;="&amp;$I$3,CT!$A$5:$A$143,"&lt;="&amp;$K$3,CT!$E$5:$E$143,A191)</f>
        <v>0</v>
      </c>
      <c r="P191" s="69">
        <f t="shared" si="14"/>
        <v>0</v>
      </c>
      <c r="Q191" s="69">
        <f t="shared" si="15"/>
        <v>9449000</v>
      </c>
      <c r="R191" s="69">
        <f t="shared" si="16"/>
        <v>0</v>
      </c>
      <c r="S191" t="b">
        <f t="shared" si="17"/>
        <v>0</v>
      </c>
    </row>
    <row r="192" spans="1:19" hidden="1" x14ac:dyDescent="0.25">
      <c r="A192" s="93" t="str">
        <f>DMTK!B189</f>
        <v>4211</v>
      </c>
      <c r="B192" s="65" t="str">
        <f>VLOOKUP(A192,DMTK!$B$5:$Q$263,3,0)</f>
        <v>Lợi nhuận sau thuế chưa phân phối năm trước</v>
      </c>
      <c r="C192" s="65" t="str">
        <f>VLOOKUP(A192,DMTK!$B$5:$Q$263,16,0)</f>
        <v xml:space="preserve"> </v>
      </c>
      <c r="D192" s="69">
        <f>VLOOKUP(A192,DMTK!$B$5:$Q$263,4,0)</f>
        <v>0</v>
      </c>
      <c r="E192" s="69">
        <f>VLOOKUP(A192,DMTK!$B$5:$Q$263,5,0)</f>
        <v>204410000</v>
      </c>
      <c r="F192" s="69">
        <f>SUMIFS(CT!$F$5:$F$143,CT!$A$5:$A$143,"&lt;"&amp;$I$3,CT!$D$5:$D$143,A192)</f>
        <v>0</v>
      </c>
      <c r="G192" s="69">
        <f>SUMIFS(CT!$H$5:$H$143,CT!$A$5:$A$143,"&lt;"&amp;$I$3,CT!$D$5:$D$143,A192)</f>
        <v>0</v>
      </c>
      <c r="H192" s="69">
        <f>SUMIFS(CT!$F$5:$F$143,CT!$A$5:$A$143,"&lt;"&amp;$I$3,CT!$E$5:$E$143,A192)</f>
        <v>0</v>
      </c>
      <c r="I192" s="69">
        <f>SUMIFS(CT!$H$5:$H$143,CT!$A$5:$A$143,"&lt;"&amp;$I$3,CT!$E$5:$E$143,A192)</f>
        <v>0</v>
      </c>
      <c r="J192" s="69">
        <f t="shared" si="12"/>
        <v>0</v>
      </c>
      <c r="K192" s="69">
        <f t="shared" si="13"/>
        <v>204410000</v>
      </c>
      <c r="L192" s="69">
        <f>SUMIFS(CT!$F$5:$F$143,CT!$A$5:$A$143,"&gt;="&amp;$I$3,CT!$A$5:$A$143,"&lt;="&amp;$K$3,CT!$D$5:$D$143,A192)</f>
        <v>0</v>
      </c>
      <c r="M192" s="69">
        <f>SUMIFS(CT!$H$5:$H$143,CT!$A$5:$A$143,"&gt;="&amp;$I$3,CT!$A$5:$A$143,"&lt;="&amp;$K$3,CT!$D$5:$D$143,A192)</f>
        <v>0</v>
      </c>
      <c r="N192" s="69">
        <f>SUMIFS(CT!$F$5:$F$143,CT!$A$5:$A$143,"&gt;="&amp;$I$3,CT!$A$5:$A$143,"&lt;="&amp;$K$3,CT!$E$5:$E$143,A192)</f>
        <v>0</v>
      </c>
      <c r="O192" s="69">
        <f>SUMIFS(CT!$H$5:$H$143,CT!$A$5:$A$143,"&gt;="&amp;$I$3,CT!$A$5:$A$143,"&lt;="&amp;$K$3,CT!$E$5:$E$143,A192)</f>
        <v>0</v>
      </c>
      <c r="P192" s="69">
        <f t="shared" si="14"/>
        <v>0</v>
      </c>
      <c r="Q192" s="69">
        <f t="shared" si="15"/>
        <v>204410000</v>
      </c>
      <c r="R192" s="69">
        <f t="shared" si="16"/>
        <v>0</v>
      </c>
      <c r="S192" t="b">
        <f t="shared" si="17"/>
        <v>0</v>
      </c>
    </row>
    <row r="193" spans="1:19" hidden="1" x14ac:dyDescent="0.25">
      <c r="A193" s="93" t="str">
        <f>DMTK!B190</f>
        <v>4212</v>
      </c>
      <c r="B193" s="65" t="str">
        <f>VLOOKUP(A193,DMTK!$B$5:$Q$263,3,0)</f>
        <v>Lợi nhuận sau thuế chưa phân phối năm nay</v>
      </c>
      <c r="C193" s="65" t="str">
        <f>VLOOKUP(A193,DMTK!$B$5:$Q$263,16,0)</f>
        <v xml:space="preserve"> </v>
      </c>
      <c r="D193" s="69">
        <f>VLOOKUP(A193,DMTK!$B$5:$Q$263,4,0)</f>
        <v>0</v>
      </c>
      <c r="E193" s="69">
        <f>VLOOKUP(A193,DMTK!$B$5:$Q$263,5,0)</f>
        <v>0</v>
      </c>
      <c r="F193" s="69">
        <f>SUMIFS(CT!$F$5:$F$143,CT!$A$5:$A$143,"&lt;"&amp;$I$3,CT!$D$5:$D$143,A193)</f>
        <v>0</v>
      </c>
      <c r="G193" s="69">
        <f>SUMIFS(CT!$H$5:$H$143,CT!$A$5:$A$143,"&lt;"&amp;$I$3,CT!$D$5:$D$143,A193)</f>
        <v>0</v>
      </c>
      <c r="H193" s="69">
        <f>SUMIFS(CT!$F$5:$F$143,CT!$A$5:$A$143,"&lt;"&amp;$I$3,CT!$E$5:$E$143,A193)</f>
        <v>0</v>
      </c>
      <c r="I193" s="69">
        <f>SUMIFS(CT!$H$5:$H$143,CT!$A$5:$A$143,"&lt;"&amp;$I$3,CT!$E$5:$E$143,A193)</f>
        <v>0</v>
      </c>
      <c r="J193" s="69">
        <f t="shared" si="12"/>
        <v>0</v>
      </c>
      <c r="K193" s="69">
        <f t="shared" si="13"/>
        <v>0</v>
      </c>
      <c r="L193" s="69">
        <f>SUMIFS(CT!$F$5:$F$143,CT!$A$5:$A$143,"&gt;="&amp;$I$3,CT!$A$5:$A$143,"&lt;="&amp;$K$3,CT!$D$5:$D$143,A193)</f>
        <v>0</v>
      </c>
      <c r="M193" s="69">
        <f>SUMIFS(CT!$H$5:$H$143,CT!$A$5:$A$143,"&gt;="&amp;$I$3,CT!$A$5:$A$143,"&lt;="&amp;$K$3,CT!$D$5:$D$143,A193)</f>
        <v>3387852</v>
      </c>
      <c r="N193" s="69">
        <f>SUMIFS(CT!$F$5:$F$143,CT!$A$5:$A$143,"&gt;="&amp;$I$3,CT!$A$5:$A$143,"&lt;="&amp;$K$3,CT!$E$5:$E$143,A193)</f>
        <v>0</v>
      </c>
      <c r="O193" s="69">
        <f>SUMIFS(CT!$H$5:$H$143,CT!$A$5:$A$143,"&gt;="&amp;$I$3,CT!$A$5:$A$143,"&lt;="&amp;$K$3,CT!$E$5:$E$143,A193)</f>
        <v>2269619</v>
      </c>
      <c r="P193" s="69">
        <f t="shared" si="14"/>
        <v>0</v>
      </c>
      <c r="Q193" s="69">
        <f t="shared" si="15"/>
        <v>1118233</v>
      </c>
      <c r="R193" s="69">
        <f t="shared" si="16"/>
        <v>0</v>
      </c>
      <c r="S193" t="b">
        <f t="shared" si="17"/>
        <v>0</v>
      </c>
    </row>
    <row r="194" spans="1:19" hidden="1" x14ac:dyDescent="0.25">
      <c r="A194" s="93" t="str">
        <f>DMTK!B191</f>
        <v>441</v>
      </c>
      <c r="B194" s="65" t="str">
        <f>VLOOKUP(A194,DMTK!$B$5:$Q$263,3,0)</f>
        <v>Nguồn vốn đầu tư xây dựng cơ bản</v>
      </c>
      <c r="C194" s="65" t="str">
        <f>VLOOKUP(A194,DMTK!$B$5:$Q$263,16,0)</f>
        <v xml:space="preserve"> </v>
      </c>
      <c r="D194" s="69">
        <f>VLOOKUP(A194,DMTK!$B$5:$Q$263,4,0)</f>
        <v>0</v>
      </c>
      <c r="E194" s="69">
        <f>VLOOKUP(A194,DMTK!$B$5:$Q$263,5,0)</f>
        <v>300000000</v>
      </c>
      <c r="F194" s="69">
        <f>SUMIFS(CT!$F$5:$F$143,CT!$A$5:$A$143,"&lt;"&amp;$I$3,CT!$D$5:$D$143,A194)</f>
        <v>0</v>
      </c>
      <c r="G194" s="69">
        <f>SUMIFS(CT!$H$5:$H$143,CT!$A$5:$A$143,"&lt;"&amp;$I$3,CT!$D$5:$D$143,A194)</f>
        <v>0</v>
      </c>
      <c r="H194" s="69">
        <f>SUMIFS(CT!$F$5:$F$143,CT!$A$5:$A$143,"&lt;"&amp;$I$3,CT!$E$5:$E$143,A194)</f>
        <v>0</v>
      </c>
      <c r="I194" s="69">
        <f>SUMIFS(CT!$H$5:$H$143,CT!$A$5:$A$143,"&lt;"&amp;$I$3,CT!$E$5:$E$143,A194)</f>
        <v>0</v>
      </c>
      <c r="J194" s="69">
        <f t="shared" si="12"/>
        <v>0</v>
      </c>
      <c r="K194" s="69">
        <f t="shared" si="13"/>
        <v>300000000</v>
      </c>
      <c r="L194" s="69">
        <f>SUMIFS(CT!$F$5:$F$143,CT!$A$5:$A$143,"&gt;="&amp;$I$3,CT!$A$5:$A$143,"&lt;="&amp;$K$3,CT!$D$5:$D$143,A194)</f>
        <v>0</v>
      </c>
      <c r="M194" s="69">
        <f>SUMIFS(CT!$H$5:$H$143,CT!$A$5:$A$143,"&gt;="&amp;$I$3,CT!$A$5:$A$143,"&lt;="&amp;$K$3,CT!$D$5:$D$143,A194)</f>
        <v>0</v>
      </c>
      <c r="N194" s="69">
        <f>SUMIFS(CT!$F$5:$F$143,CT!$A$5:$A$143,"&gt;="&amp;$I$3,CT!$A$5:$A$143,"&lt;="&amp;$K$3,CT!$E$5:$E$143,A194)</f>
        <v>0</v>
      </c>
      <c r="O194" s="69">
        <f>SUMIFS(CT!$H$5:$H$143,CT!$A$5:$A$143,"&gt;="&amp;$I$3,CT!$A$5:$A$143,"&lt;="&amp;$K$3,CT!$E$5:$E$143,A194)</f>
        <v>0</v>
      </c>
      <c r="P194" s="69">
        <f t="shared" si="14"/>
        <v>0</v>
      </c>
      <c r="Q194" s="69">
        <f t="shared" si="15"/>
        <v>300000000</v>
      </c>
      <c r="R194" s="69">
        <f t="shared" si="16"/>
        <v>0</v>
      </c>
      <c r="S194" t="b">
        <f t="shared" si="17"/>
        <v>0</v>
      </c>
    </row>
    <row r="195" spans="1:19" hidden="1" x14ac:dyDescent="0.25">
      <c r="A195" s="93" t="str">
        <f>DMTK!B192</f>
        <v>461</v>
      </c>
      <c r="B195" s="65" t="str">
        <f>VLOOKUP(A195,DMTK!$B$5:$Q$263,3,0)</f>
        <v>Nguồn kinh phí sự nghiệp</v>
      </c>
      <c r="C195" s="65" t="str">
        <f>VLOOKUP(A195,DMTK!$B$5:$Q$263,16,0)</f>
        <v xml:space="preserve"> </v>
      </c>
      <c r="D195" s="69">
        <f>VLOOKUP(A195,DMTK!$B$5:$Q$263,4,0)</f>
        <v>0</v>
      </c>
      <c r="E195" s="69">
        <f>VLOOKUP(A195,DMTK!$B$5:$Q$263,5,0)</f>
        <v>0</v>
      </c>
      <c r="F195" s="69">
        <f>SUMIFS(CT!$F$5:$F$143,CT!$A$5:$A$143,"&lt;"&amp;$I$3,CT!$D$5:$D$143,A195)</f>
        <v>0</v>
      </c>
      <c r="G195" s="69">
        <f>SUMIFS(CT!$H$5:$H$143,CT!$A$5:$A$143,"&lt;"&amp;$I$3,CT!$D$5:$D$143,A195)</f>
        <v>0</v>
      </c>
      <c r="H195" s="69">
        <f>SUMIFS(CT!$F$5:$F$143,CT!$A$5:$A$143,"&lt;"&amp;$I$3,CT!$E$5:$E$143,A195)</f>
        <v>0</v>
      </c>
      <c r="I195" s="69">
        <f>SUMIFS(CT!$H$5:$H$143,CT!$A$5:$A$143,"&lt;"&amp;$I$3,CT!$E$5:$E$143,A195)</f>
        <v>0</v>
      </c>
      <c r="J195" s="69">
        <f t="shared" si="12"/>
        <v>0</v>
      </c>
      <c r="K195" s="69">
        <f t="shared" si="13"/>
        <v>0</v>
      </c>
      <c r="L195" s="69">
        <f>SUMIFS(CT!$F$5:$F$143,CT!$A$5:$A$143,"&gt;="&amp;$I$3,CT!$A$5:$A$143,"&lt;="&amp;$K$3,CT!$D$5:$D$143,A195)</f>
        <v>0</v>
      </c>
      <c r="M195" s="69">
        <f>SUMIFS(CT!$H$5:$H$143,CT!$A$5:$A$143,"&gt;="&amp;$I$3,CT!$A$5:$A$143,"&lt;="&amp;$K$3,CT!$D$5:$D$143,A195)</f>
        <v>0</v>
      </c>
      <c r="N195" s="69">
        <f>SUMIFS(CT!$F$5:$F$143,CT!$A$5:$A$143,"&gt;="&amp;$I$3,CT!$A$5:$A$143,"&lt;="&amp;$K$3,CT!$E$5:$E$143,A195)</f>
        <v>0</v>
      </c>
      <c r="O195" s="69">
        <f>SUMIFS(CT!$H$5:$H$143,CT!$A$5:$A$143,"&gt;="&amp;$I$3,CT!$A$5:$A$143,"&lt;="&amp;$K$3,CT!$E$5:$E$143,A195)</f>
        <v>0</v>
      </c>
      <c r="P195" s="69">
        <f t="shared" si="14"/>
        <v>0</v>
      </c>
      <c r="Q195" s="69">
        <f t="shared" si="15"/>
        <v>0</v>
      </c>
      <c r="R195" s="69">
        <f t="shared" si="16"/>
        <v>0</v>
      </c>
      <c r="S195" t="b">
        <f t="shared" si="17"/>
        <v>0</v>
      </c>
    </row>
    <row r="196" spans="1:19" hidden="1" x14ac:dyDescent="0.25">
      <c r="A196" s="93" t="str">
        <f>DMTK!B193</f>
        <v>466</v>
      </c>
      <c r="B196" s="65" t="str">
        <f>VLOOKUP(A196,DMTK!$B$5:$Q$263,3,0)</f>
        <v>Nguồn kinh phí đã hình thành TSCĐ</v>
      </c>
      <c r="C196" s="65" t="str">
        <f>VLOOKUP(A196,DMTK!$B$5:$Q$263,16,0)</f>
        <v xml:space="preserve"> </v>
      </c>
      <c r="D196" s="69">
        <f>VLOOKUP(A196,DMTK!$B$5:$Q$263,4,0)</f>
        <v>0</v>
      </c>
      <c r="E196" s="69">
        <f>VLOOKUP(A196,DMTK!$B$5:$Q$263,5,0)</f>
        <v>0</v>
      </c>
      <c r="F196" s="69">
        <f>SUMIFS(CT!$F$5:$F$143,CT!$A$5:$A$143,"&lt;"&amp;$I$3,CT!$D$5:$D$143,A196)</f>
        <v>0</v>
      </c>
      <c r="G196" s="69">
        <f>SUMIFS(CT!$H$5:$H$143,CT!$A$5:$A$143,"&lt;"&amp;$I$3,CT!$D$5:$D$143,A196)</f>
        <v>0</v>
      </c>
      <c r="H196" s="69">
        <f>SUMIFS(CT!$F$5:$F$143,CT!$A$5:$A$143,"&lt;"&amp;$I$3,CT!$E$5:$E$143,A196)</f>
        <v>0</v>
      </c>
      <c r="I196" s="69">
        <f>SUMIFS(CT!$H$5:$H$143,CT!$A$5:$A$143,"&lt;"&amp;$I$3,CT!$E$5:$E$143,A196)</f>
        <v>0</v>
      </c>
      <c r="J196" s="69">
        <f t="shared" si="12"/>
        <v>0</v>
      </c>
      <c r="K196" s="69">
        <f t="shared" si="13"/>
        <v>0</v>
      </c>
      <c r="L196" s="69">
        <f>SUMIFS(CT!$F$5:$F$143,CT!$A$5:$A$143,"&gt;="&amp;$I$3,CT!$A$5:$A$143,"&lt;="&amp;$K$3,CT!$D$5:$D$143,A196)</f>
        <v>0</v>
      </c>
      <c r="M196" s="69">
        <f>SUMIFS(CT!$H$5:$H$143,CT!$A$5:$A$143,"&gt;="&amp;$I$3,CT!$A$5:$A$143,"&lt;="&amp;$K$3,CT!$D$5:$D$143,A196)</f>
        <v>0</v>
      </c>
      <c r="N196" s="69">
        <f>SUMIFS(CT!$F$5:$F$143,CT!$A$5:$A$143,"&gt;="&amp;$I$3,CT!$A$5:$A$143,"&lt;="&amp;$K$3,CT!$E$5:$E$143,A196)</f>
        <v>0</v>
      </c>
      <c r="O196" s="69">
        <f>SUMIFS(CT!$H$5:$H$143,CT!$A$5:$A$143,"&gt;="&amp;$I$3,CT!$A$5:$A$143,"&lt;="&amp;$K$3,CT!$E$5:$E$143,A196)</f>
        <v>0</v>
      </c>
      <c r="P196" s="69">
        <f t="shared" si="14"/>
        <v>0</v>
      </c>
      <c r="Q196" s="69">
        <f t="shared" si="15"/>
        <v>0</v>
      </c>
      <c r="R196" s="69">
        <f t="shared" si="16"/>
        <v>0</v>
      </c>
      <c r="S196" t="b">
        <f t="shared" si="17"/>
        <v>0</v>
      </c>
    </row>
    <row r="197" spans="1:19" hidden="1" x14ac:dyDescent="0.25">
      <c r="A197" s="93" t="str">
        <f>DMTK!B194</f>
        <v>5111</v>
      </c>
      <c r="B197" s="65" t="str">
        <f>VLOOKUP(A197,DMTK!$B$5:$Q$263,3,0)</f>
        <v>Doanh thu bán hàng hóa</v>
      </c>
      <c r="C197" s="65" t="str">
        <f>VLOOKUP(A197,DMTK!$B$5:$Q$263,16,0)</f>
        <v xml:space="preserve"> </v>
      </c>
      <c r="D197" s="69">
        <f>VLOOKUP(A197,DMTK!$B$5:$Q$263,4,0)</f>
        <v>0</v>
      </c>
      <c r="E197" s="69">
        <f>VLOOKUP(A197,DMTK!$B$5:$Q$263,5,0)</f>
        <v>0</v>
      </c>
      <c r="F197" s="69">
        <f>SUMIFS(CT!$F$5:$F$143,CT!$A$5:$A$143,"&lt;"&amp;$I$3,CT!$D$5:$D$143,A197)</f>
        <v>0</v>
      </c>
      <c r="G197" s="69">
        <f>SUMIFS(CT!$H$5:$H$143,CT!$A$5:$A$143,"&lt;"&amp;$I$3,CT!$D$5:$D$143,A197)</f>
        <v>0</v>
      </c>
      <c r="H197" s="69">
        <f>SUMIFS(CT!$F$5:$F$143,CT!$A$5:$A$143,"&lt;"&amp;$I$3,CT!$E$5:$E$143,A197)</f>
        <v>0</v>
      </c>
      <c r="I197" s="69">
        <f>SUMIFS(CT!$H$5:$H$143,CT!$A$5:$A$143,"&lt;"&amp;$I$3,CT!$E$5:$E$143,A197)</f>
        <v>0</v>
      </c>
      <c r="J197" s="69">
        <f t="shared" si="12"/>
        <v>0</v>
      </c>
      <c r="K197" s="69">
        <f t="shared" si="13"/>
        <v>0</v>
      </c>
      <c r="L197" s="69">
        <f>SUMIFS(CT!$F$5:$F$143,CT!$A$5:$A$143,"&gt;="&amp;$I$3,CT!$A$5:$A$143,"&lt;="&amp;$K$3,CT!$D$5:$D$143,A197)</f>
        <v>0</v>
      </c>
      <c r="M197" s="69">
        <f>SUMIFS(CT!$H$5:$H$143,CT!$A$5:$A$143,"&gt;="&amp;$I$3,CT!$A$5:$A$143,"&lt;="&amp;$K$3,CT!$D$5:$D$143,A197)</f>
        <v>0</v>
      </c>
      <c r="N197" s="69">
        <f>SUMIFS(CT!$F$5:$F$143,CT!$A$5:$A$143,"&gt;="&amp;$I$3,CT!$A$5:$A$143,"&lt;="&amp;$K$3,CT!$E$5:$E$143,A197)</f>
        <v>0</v>
      </c>
      <c r="O197" s="69">
        <f>SUMIFS(CT!$H$5:$H$143,CT!$A$5:$A$143,"&gt;="&amp;$I$3,CT!$A$5:$A$143,"&lt;="&amp;$K$3,CT!$E$5:$E$143,A197)</f>
        <v>0</v>
      </c>
      <c r="P197" s="69">
        <f t="shared" si="14"/>
        <v>0</v>
      </c>
      <c r="Q197" s="69">
        <f t="shared" si="15"/>
        <v>0</v>
      </c>
      <c r="R197" s="69">
        <f t="shared" si="16"/>
        <v>0</v>
      </c>
      <c r="S197" t="b">
        <f t="shared" si="17"/>
        <v>0</v>
      </c>
    </row>
    <row r="198" spans="1:19" hidden="1" x14ac:dyDescent="0.25">
      <c r="A198" s="93" t="str">
        <f>DMTK!B195</f>
        <v>5112.0101</v>
      </c>
      <c r="B198" s="65" t="str">
        <f>VLOOKUP(A198,DMTK!$B$5:$Q$263,3,0)</f>
        <v>Doanh thu bán Ghế tay vịn</v>
      </c>
      <c r="C198" s="65" t="str">
        <f>VLOOKUP(A198,DMTK!$B$5:$Q$263,16,0)</f>
        <v xml:space="preserve"> </v>
      </c>
      <c r="D198" s="69">
        <f>VLOOKUP(A198,DMTK!$B$5:$Q$263,4,0)</f>
        <v>0</v>
      </c>
      <c r="E198" s="69">
        <f>VLOOKUP(A198,DMTK!$B$5:$Q$263,5,0)</f>
        <v>0</v>
      </c>
      <c r="F198" s="69">
        <f>SUMIFS(CT!$F$5:$F$143,CT!$A$5:$A$143,"&lt;"&amp;$I$3,CT!$D$5:$D$143,A198)</f>
        <v>0</v>
      </c>
      <c r="G198" s="69">
        <f>SUMIFS(CT!$H$5:$H$143,CT!$A$5:$A$143,"&lt;"&amp;$I$3,CT!$D$5:$D$143,A198)</f>
        <v>0</v>
      </c>
      <c r="H198" s="69">
        <f>SUMIFS(CT!$F$5:$F$143,CT!$A$5:$A$143,"&lt;"&amp;$I$3,CT!$E$5:$E$143,A198)</f>
        <v>0</v>
      </c>
      <c r="I198" s="69">
        <f>SUMIFS(CT!$H$5:$H$143,CT!$A$5:$A$143,"&lt;"&amp;$I$3,CT!$E$5:$E$143,A198)</f>
        <v>0</v>
      </c>
      <c r="J198" s="69">
        <f t="shared" si="12"/>
        <v>0</v>
      </c>
      <c r="K198" s="69">
        <f t="shared" si="13"/>
        <v>0</v>
      </c>
      <c r="L198" s="69">
        <f>SUMIFS(CT!$F$5:$F$143,CT!$A$5:$A$143,"&gt;="&amp;$I$3,CT!$A$5:$A$143,"&lt;="&amp;$K$3,CT!$D$5:$D$143,A198)</f>
        <v>0</v>
      </c>
      <c r="M198" s="69">
        <f>SUMIFS(CT!$H$5:$H$143,CT!$A$5:$A$143,"&gt;="&amp;$I$3,CT!$A$5:$A$143,"&lt;="&amp;$K$3,CT!$D$5:$D$143,A198)</f>
        <v>30000000</v>
      </c>
      <c r="N198" s="69">
        <f>SUMIFS(CT!$F$5:$F$143,CT!$A$5:$A$143,"&gt;="&amp;$I$3,CT!$A$5:$A$143,"&lt;="&amp;$K$3,CT!$E$5:$E$143,A198)</f>
        <v>100</v>
      </c>
      <c r="O198" s="69">
        <f>SUMIFS(CT!$H$5:$H$143,CT!$A$5:$A$143,"&gt;="&amp;$I$3,CT!$A$5:$A$143,"&lt;="&amp;$K$3,CT!$E$5:$E$143,A198)</f>
        <v>30000000</v>
      </c>
      <c r="P198" s="69">
        <f t="shared" si="14"/>
        <v>0</v>
      </c>
      <c r="Q198" s="69">
        <f t="shared" si="15"/>
        <v>0</v>
      </c>
      <c r="R198" s="69">
        <f t="shared" si="16"/>
        <v>0</v>
      </c>
      <c r="S198" t="b">
        <f t="shared" si="17"/>
        <v>0</v>
      </c>
    </row>
    <row r="199" spans="1:19" hidden="1" x14ac:dyDescent="0.25">
      <c r="A199" s="93" t="str">
        <f>DMTK!B196</f>
        <v>5112.0102</v>
      </c>
      <c r="B199" s="65" t="str">
        <f>VLOOKUP(A199,DMTK!$B$5:$Q$263,3,0)</f>
        <v>Doanh thu bán Ghế không tay</v>
      </c>
      <c r="C199" s="65" t="str">
        <f>VLOOKUP(A199,DMTK!$B$5:$Q$263,16,0)</f>
        <v xml:space="preserve"> </v>
      </c>
      <c r="D199" s="69">
        <f>VLOOKUP(A199,DMTK!$B$5:$Q$263,4,0)</f>
        <v>0</v>
      </c>
      <c r="E199" s="69">
        <f>VLOOKUP(A199,DMTK!$B$5:$Q$263,5,0)</f>
        <v>0</v>
      </c>
      <c r="F199" s="69">
        <f>SUMIFS(CT!$F$5:$F$143,CT!$A$5:$A$143,"&lt;"&amp;$I$3,CT!$D$5:$D$143,A199)</f>
        <v>0</v>
      </c>
      <c r="G199" s="69">
        <f>SUMIFS(CT!$H$5:$H$143,CT!$A$5:$A$143,"&lt;"&amp;$I$3,CT!$D$5:$D$143,A199)</f>
        <v>0</v>
      </c>
      <c r="H199" s="69">
        <f>SUMIFS(CT!$F$5:$F$143,CT!$A$5:$A$143,"&lt;"&amp;$I$3,CT!$E$5:$E$143,A199)</f>
        <v>0</v>
      </c>
      <c r="I199" s="69">
        <f>SUMIFS(CT!$H$5:$H$143,CT!$A$5:$A$143,"&lt;"&amp;$I$3,CT!$E$5:$E$143,A199)</f>
        <v>0</v>
      </c>
      <c r="J199" s="69">
        <f t="shared" si="12"/>
        <v>0</v>
      </c>
      <c r="K199" s="69">
        <f t="shared" si="13"/>
        <v>0</v>
      </c>
      <c r="L199" s="69">
        <f>SUMIFS(CT!$F$5:$F$143,CT!$A$5:$A$143,"&gt;="&amp;$I$3,CT!$A$5:$A$143,"&lt;="&amp;$K$3,CT!$D$5:$D$143,A199)</f>
        <v>0</v>
      </c>
      <c r="M199" s="69">
        <f>SUMIFS(CT!$H$5:$H$143,CT!$A$5:$A$143,"&gt;="&amp;$I$3,CT!$A$5:$A$143,"&lt;="&amp;$K$3,CT!$D$5:$D$143,A199)</f>
        <v>28000000</v>
      </c>
      <c r="N199" s="69">
        <f>SUMIFS(CT!$F$5:$F$143,CT!$A$5:$A$143,"&gt;="&amp;$I$3,CT!$A$5:$A$143,"&lt;="&amp;$K$3,CT!$E$5:$E$143,A199)</f>
        <v>100</v>
      </c>
      <c r="O199" s="69">
        <f>SUMIFS(CT!$H$5:$H$143,CT!$A$5:$A$143,"&gt;="&amp;$I$3,CT!$A$5:$A$143,"&lt;="&amp;$K$3,CT!$E$5:$E$143,A199)</f>
        <v>28000000</v>
      </c>
      <c r="P199" s="69">
        <f t="shared" si="14"/>
        <v>0</v>
      </c>
      <c r="Q199" s="69">
        <f t="shared" si="15"/>
        <v>0</v>
      </c>
      <c r="R199" s="69">
        <f t="shared" si="16"/>
        <v>0</v>
      </c>
      <c r="S199" t="b">
        <f t="shared" si="17"/>
        <v>0</v>
      </c>
    </row>
    <row r="200" spans="1:19" hidden="1" x14ac:dyDescent="0.25">
      <c r="A200" s="93" t="str">
        <f>DMTK!B197</f>
        <v>5112.0201</v>
      </c>
      <c r="B200" s="65" t="str">
        <f>VLOOKUP(A200,DMTK!$B$5:$Q$263,3,0)</f>
        <v>Doanh thu bán  Bàn tròn</v>
      </c>
      <c r="C200" s="65" t="str">
        <f>VLOOKUP(A200,DMTK!$B$5:$Q$263,16,0)</f>
        <v xml:space="preserve"> </v>
      </c>
      <c r="D200" s="69">
        <f>VLOOKUP(A200,DMTK!$B$5:$Q$263,4,0)</f>
        <v>0</v>
      </c>
      <c r="E200" s="69">
        <f>VLOOKUP(A200,DMTK!$B$5:$Q$263,5,0)</f>
        <v>0</v>
      </c>
      <c r="F200" s="69">
        <f>SUMIFS(CT!$F$5:$F$143,CT!$A$5:$A$143,"&lt;"&amp;$I$3,CT!$D$5:$D$143,A200)</f>
        <v>0</v>
      </c>
      <c r="G200" s="69">
        <f>SUMIFS(CT!$H$5:$H$143,CT!$A$5:$A$143,"&lt;"&amp;$I$3,CT!$D$5:$D$143,A200)</f>
        <v>0</v>
      </c>
      <c r="H200" s="69">
        <f>SUMIFS(CT!$F$5:$F$143,CT!$A$5:$A$143,"&lt;"&amp;$I$3,CT!$E$5:$E$143,A200)</f>
        <v>0</v>
      </c>
      <c r="I200" s="69">
        <f>SUMIFS(CT!$H$5:$H$143,CT!$A$5:$A$143,"&lt;"&amp;$I$3,CT!$E$5:$E$143,A200)</f>
        <v>0</v>
      </c>
      <c r="J200" s="69">
        <f t="shared" si="12"/>
        <v>0</v>
      </c>
      <c r="K200" s="69">
        <f t="shared" si="13"/>
        <v>0</v>
      </c>
      <c r="L200" s="69">
        <f>SUMIFS(CT!$F$5:$F$143,CT!$A$5:$A$143,"&gt;="&amp;$I$3,CT!$A$5:$A$143,"&lt;="&amp;$K$3,CT!$D$5:$D$143,A200)</f>
        <v>0</v>
      </c>
      <c r="M200" s="69">
        <f>SUMIFS(CT!$H$5:$H$143,CT!$A$5:$A$143,"&gt;="&amp;$I$3,CT!$A$5:$A$143,"&lt;="&amp;$K$3,CT!$D$5:$D$143,A200)</f>
        <v>0</v>
      </c>
      <c r="N200" s="69">
        <f>SUMIFS(CT!$F$5:$F$143,CT!$A$5:$A$143,"&gt;="&amp;$I$3,CT!$A$5:$A$143,"&lt;="&amp;$K$3,CT!$E$5:$E$143,A200)</f>
        <v>0</v>
      </c>
      <c r="O200" s="69">
        <f>SUMIFS(CT!$H$5:$H$143,CT!$A$5:$A$143,"&gt;="&amp;$I$3,CT!$A$5:$A$143,"&lt;="&amp;$K$3,CT!$E$5:$E$143,A200)</f>
        <v>0</v>
      </c>
      <c r="P200" s="69">
        <f t="shared" si="14"/>
        <v>0</v>
      </c>
      <c r="Q200" s="69">
        <f t="shared" si="15"/>
        <v>0</v>
      </c>
      <c r="R200" s="69">
        <f t="shared" si="16"/>
        <v>0</v>
      </c>
      <c r="S200" t="b">
        <f t="shared" si="17"/>
        <v>0</v>
      </c>
    </row>
    <row r="201" spans="1:19" hidden="1" x14ac:dyDescent="0.25">
      <c r="A201" s="93" t="str">
        <f>DMTK!B198</f>
        <v>5112.0202</v>
      </c>
      <c r="B201" s="65" t="str">
        <f>VLOOKUP(A201,DMTK!$B$5:$Q$263,3,0)</f>
        <v>Doanh thu bán Bàn oval</v>
      </c>
      <c r="C201" s="65" t="str">
        <f>VLOOKUP(A201,DMTK!$B$5:$Q$263,16,0)</f>
        <v xml:space="preserve"> </v>
      </c>
      <c r="D201" s="69">
        <f>VLOOKUP(A201,DMTK!$B$5:$Q$263,4,0)</f>
        <v>0</v>
      </c>
      <c r="E201" s="69">
        <f>VLOOKUP(A201,DMTK!$B$5:$Q$263,5,0)</f>
        <v>0</v>
      </c>
      <c r="F201" s="69">
        <f>SUMIFS(CT!$F$5:$F$143,CT!$A$5:$A$143,"&lt;"&amp;$I$3,CT!$D$5:$D$143,A201)</f>
        <v>0</v>
      </c>
      <c r="G201" s="69">
        <f>SUMIFS(CT!$H$5:$H$143,CT!$A$5:$A$143,"&lt;"&amp;$I$3,CT!$D$5:$D$143,A201)</f>
        <v>0</v>
      </c>
      <c r="H201" s="69">
        <f>SUMIFS(CT!$F$5:$F$143,CT!$A$5:$A$143,"&lt;"&amp;$I$3,CT!$E$5:$E$143,A201)</f>
        <v>0</v>
      </c>
      <c r="I201" s="69">
        <f>SUMIFS(CT!$H$5:$H$143,CT!$A$5:$A$143,"&lt;"&amp;$I$3,CT!$E$5:$E$143,A201)</f>
        <v>0</v>
      </c>
      <c r="J201" s="69">
        <f t="shared" ref="J201:J264" si="18">MAX(D201+F201-H201,0)</f>
        <v>0</v>
      </c>
      <c r="K201" s="69">
        <f t="shared" ref="K201:K264" si="19">MAX(E201+G201-I201,0)</f>
        <v>0</v>
      </c>
      <c r="L201" s="69">
        <f>SUMIFS(CT!$F$5:$F$143,CT!$A$5:$A$143,"&gt;="&amp;$I$3,CT!$A$5:$A$143,"&lt;="&amp;$K$3,CT!$D$5:$D$143,A201)</f>
        <v>0</v>
      </c>
      <c r="M201" s="69">
        <f>SUMIFS(CT!$H$5:$H$143,CT!$A$5:$A$143,"&gt;="&amp;$I$3,CT!$A$5:$A$143,"&lt;="&amp;$K$3,CT!$D$5:$D$143,A201)</f>
        <v>30000000</v>
      </c>
      <c r="N201" s="69">
        <f>SUMIFS(CT!$F$5:$F$143,CT!$A$5:$A$143,"&gt;="&amp;$I$3,CT!$A$5:$A$143,"&lt;="&amp;$K$3,CT!$E$5:$E$143,A201)</f>
        <v>50</v>
      </c>
      <c r="O201" s="69">
        <f>SUMIFS(CT!$H$5:$H$143,CT!$A$5:$A$143,"&gt;="&amp;$I$3,CT!$A$5:$A$143,"&lt;="&amp;$K$3,CT!$E$5:$E$143,A201)</f>
        <v>30000000</v>
      </c>
      <c r="P201" s="69">
        <f t="shared" ref="P201:P264" si="20">MAX(J201+L201-N201,0)</f>
        <v>0</v>
      </c>
      <c r="Q201" s="69">
        <f t="shared" ref="Q201:Q264" si="21">MAX(K201+M201-O201,0)</f>
        <v>0</v>
      </c>
      <c r="R201" s="69">
        <f t="shared" ref="R201:R264" si="22">IF(P201&lt;&gt;0,Q201/P201,0)</f>
        <v>0</v>
      </c>
      <c r="S201" t="b">
        <f t="shared" ref="S201:S264" si="23">LEFT(A201,LEN($I$2))=$I$2</f>
        <v>0</v>
      </c>
    </row>
    <row r="202" spans="1:19" hidden="1" x14ac:dyDescent="0.25">
      <c r="A202" s="93" t="str">
        <f>DMTK!B199</f>
        <v>5112.0203</v>
      </c>
      <c r="B202" s="65" t="str">
        <f>VLOOKUP(A202,DMTK!$B$5:$Q$263,3,0)</f>
        <v>Doanh thu bán Bàn chữ nhật</v>
      </c>
      <c r="C202" s="65" t="str">
        <f>VLOOKUP(A202,DMTK!$B$5:$Q$263,16,0)</f>
        <v xml:space="preserve"> </v>
      </c>
      <c r="D202" s="69">
        <f>VLOOKUP(A202,DMTK!$B$5:$Q$263,4,0)</f>
        <v>0</v>
      </c>
      <c r="E202" s="69">
        <f>VLOOKUP(A202,DMTK!$B$5:$Q$263,5,0)</f>
        <v>0</v>
      </c>
      <c r="F202" s="69">
        <f>SUMIFS(CT!$F$5:$F$143,CT!$A$5:$A$143,"&lt;"&amp;$I$3,CT!$D$5:$D$143,A202)</f>
        <v>0</v>
      </c>
      <c r="G202" s="69">
        <f>SUMIFS(CT!$H$5:$H$143,CT!$A$5:$A$143,"&lt;"&amp;$I$3,CT!$D$5:$D$143,A202)</f>
        <v>0</v>
      </c>
      <c r="H202" s="69">
        <f>SUMIFS(CT!$F$5:$F$143,CT!$A$5:$A$143,"&lt;"&amp;$I$3,CT!$E$5:$E$143,A202)</f>
        <v>0</v>
      </c>
      <c r="I202" s="69">
        <f>SUMIFS(CT!$H$5:$H$143,CT!$A$5:$A$143,"&lt;"&amp;$I$3,CT!$E$5:$E$143,A202)</f>
        <v>0</v>
      </c>
      <c r="J202" s="69">
        <f t="shared" si="18"/>
        <v>0</v>
      </c>
      <c r="K202" s="69">
        <f t="shared" si="19"/>
        <v>0</v>
      </c>
      <c r="L202" s="69">
        <f>SUMIFS(CT!$F$5:$F$143,CT!$A$5:$A$143,"&gt;="&amp;$I$3,CT!$A$5:$A$143,"&lt;="&amp;$K$3,CT!$D$5:$D$143,A202)</f>
        <v>0</v>
      </c>
      <c r="M202" s="69">
        <f>SUMIFS(CT!$H$5:$H$143,CT!$A$5:$A$143,"&gt;="&amp;$I$3,CT!$A$5:$A$143,"&lt;="&amp;$K$3,CT!$D$5:$D$143,A202)</f>
        <v>0</v>
      </c>
      <c r="N202" s="69">
        <f>SUMIFS(CT!$F$5:$F$143,CT!$A$5:$A$143,"&gt;="&amp;$I$3,CT!$A$5:$A$143,"&lt;="&amp;$K$3,CT!$E$5:$E$143,A202)</f>
        <v>0</v>
      </c>
      <c r="O202" s="69">
        <f>SUMIFS(CT!$H$5:$H$143,CT!$A$5:$A$143,"&gt;="&amp;$I$3,CT!$A$5:$A$143,"&lt;="&amp;$K$3,CT!$E$5:$E$143,A202)</f>
        <v>0</v>
      </c>
      <c r="P202" s="69">
        <f t="shared" si="20"/>
        <v>0</v>
      </c>
      <c r="Q202" s="69">
        <f t="shared" si="21"/>
        <v>0</v>
      </c>
      <c r="R202" s="69">
        <f t="shared" si="22"/>
        <v>0</v>
      </c>
      <c r="S202" t="b">
        <f t="shared" si="23"/>
        <v>0</v>
      </c>
    </row>
    <row r="203" spans="1:19" hidden="1" x14ac:dyDescent="0.25">
      <c r="A203" s="93" t="str">
        <f>DMTK!B200</f>
        <v>5113</v>
      </c>
      <c r="B203" s="65" t="str">
        <f>VLOOKUP(A203,DMTK!$B$5:$Q$263,3,0)</f>
        <v>Doanh thu cung cấp dịch vụ</v>
      </c>
      <c r="C203" s="65" t="str">
        <f>VLOOKUP(A203,DMTK!$B$5:$Q$263,16,0)</f>
        <v xml:space="preserve"> </v>
      </c>
      <c r="D203" s="69">
        <f>VLOOKUP(A203,DMTK!$B$5:$Q$263,4,0)</f>
        <v>0</v>
      </c>
      <c r="E203" s="69">
        <f>VLOOKUP(A203,DMTK!$B$5:$Q$263,5,0)</f>
        <v>0</v>
      </c>
      <c r="F203" s="69">
        <f>SUMIFS(CT!$F$5:$F$143,CT!$A$5:$A$143,"&lt;"&amp;$I$3,CT!$D$5:$D$143,A203)</f>
        <v>0</v>
      </c>
      <c r="G203" s="69">
        <f>SUMIFS(CT!$H$5:$H$143,CT!$A$5:$A$143,"&lt;"&amp;$I$3,CT!$D$5:$D$143,A203)</f>
        <v>0</v>
      </c>
      <c r="H203" s="69">
        <f>SUMIFS(CT!$F$5:$F$143,CT!$A$5:$A$143,"&lt;"&amp;$I$3,CT!$E$5:$E$143,A203)</f>
        <v>0</v>
      </c>
      <c r="I203" s="69">
        <f>SUMIFS(CT!$H$5:$H$143,CT!$A$5:$A$143,"&lt;"&amp;$I$3,CT!$E$5:$E$143,A203)</f>
        <v>0</v>
      </c>
      <c r="J203" s="69">
        <f t="shared" si="18"/>
        <v>0</v>
      </c>
      <c r="K203" s="69">
        <f t="shared" si="19"/>
        <v>0</v>
      </c>
      <c r="L203" s="69">
        <f>SUMIFS(CT!$F$5:$F$143,CT!$A$5:$A$143,"&gt;="&amp;$I$3,CT!$A$5:$A$143,"&lt;="&amp;$K$3,CT!$D$5:$D$143,A203)</f>
        <v>0</v>
      </c>
      <c r="M203" s="69">
        <f>SUMIFS(CT!$H$5:$H$143,CT!$A$5:$A$143,"&gt;="&amp;$I$3,CT!$A$5:$A$143,"&lt;="&amp;$K$3,CT!$D$5:$D$143,A203)</f>
        <v>0</v>
      </c>
      <c r="N203" s="69">
        <f>SUMIFS(CT!$F$5:$F$143,CT!$A$5:$A$143,"&gt;="&amp;$I$3,CT!$A$5:$A$143,"&lt;="&amp;$K$3,CT!$E$5:$E$143,A203)</f>
        <v>0</v>
      </c>
      <c r="O203" s="69">
        <f>SUMIFS(CT!$H$5:$H$143,CT!$A$5:$A$143,"&gt;="&amp;$I$3,CT!$A$5:$A$143,"&lt;="&amp;$K$3,CT!$E$5:$E$143,A203)</f>
        <v>0</v>
      </c>
      <c r="P203" s="69">
        <f t="shared" si="20"/>
        <v>0</v>
      </c>
      <c r="Q203" s="69">
        <f t="shared" si="21"/>
        <v>0</v>
      </c>
      <c r="R203" s="69">
        <f t="shared" si="22"/>
        <v>0</v>
      </c>
      <c r="S203" t="b">
        <f t="shared" si="23"/>
        <v>0</v>
      </c>
    </row>
    <row r="204" spans="1:19" hidden="1" x14ac:dyDescent="0.25">
      <c r="A204" s="93" t="str">
        <f>DMTK!B201</f>
        <v>5114</v>
      </c>
      <c r="B204" s="65" t="str">
        <f>VLOOKUP(A204,DMTK!$B$5:$Q$263,3,0)</f>
        <v>Doanh thu trợ cấp, trợ giá</v>
      </c>
      <c r="C204" s="65" t="str">
        <f>VLOOKUP(A204,DMTK!$B$5:$Q$263,16,0)</f>
        <v xml:space="preserve"> </v>
      </c>
      <c r="D204" s="69">
        <f>VLOOKUP(A204,DMTK!$B$5:$Q$263,4,0)</f>
        <v>0</v>
      </c>
      <c r="E204" s="69">
        <f>VLOOKUP(A204,DMTK!$B$5:$Q$263,5,0)</f>
        <v>0</v>
      </c>
      <c r="F204" s="69">
        <f>SUMIFS(CT!$F$5:$F$143,CT!$A$5:$A$143,"&lt;"&amp;$I$3,CT!$D$5:$D$143,A204)</f>
        <v>0</v>
      </c>
      <c r="G204" s="69">
        <f>SUMIFS(CT!$H$5:$H$143,CT!$A$5:$A$143,"&lt;"&amp;$I$3,CT!$D$5:$D$143,A204)</f>
        <v>0</v>
      </c>
      <c r="H204" s="69">
        <f>SUMIFS(CT!$F$5:$F$143,CT!$A$5:$A$143,"&lt;"&amp;$I$3,CT!$E$5:$E$143,A204)</f>
        <v>0</v>
      </c>
      <c r="I204" s="69">
        <f>SUMIFS(CT!$H$5:$H$143,CT!$A$5:$A$143,"&lt;"&amp;$I$3,CT!$E$5:$E$143,A204)</f>
        <v>0</v>
      </c>
      <c r="J204" s="69">
        <f t="shared" si="18"/>
        <v>0</v>
      </c>
      <c r="K204" s="69">
        <f t="shared" si="19"/>
        <v>0</v>
      </c>
      <c r="L204" s="69">
        <f>SUMIFS(CT!$F$5:$F$143,CT!$A$5:$A$143,"&gt;="&amp;$I$3,CT!$A$5:$A$143,"&lt;="&amp;$K$3,CT!$D$5:$D$143,A204)</f>
        <v>0</v>
      </c>
      <c r="M204" s="69">
        <f>SUMIFS(CT!$H$5:$H$143,CT!$A$5:$A$143,"&gt;="&amp;$I$3,CT!$A$5:$A$143,"&lt;="&amp;$K$3,CT!$D$5:$D$143,A204)</f>
        <v>0</v>
      </c>
      <c r="N204" s="69">
        <f>SUMIFS(CT!$F$5:$F$143,CT!$A$5:$A$143,"&gt;="&amp;$I$3,CT!$A$5:$A$143,"&lt;="&amp;$K$3,CT!$E$5:$E$143,A204)</f>
        <v>0</v>
      </c>
      <c r="O204" s="69">
        <f>SUMIFS(CT!$H$5:$H$143,CT!$A$5:$A$143,"&gt;="&amp;$I$3,CT!$A$5:$A$143,"&lt;="&amp;$K$3,CT!$E$5:$E$143,A204)</f>
        <v>0</v>
      </c>
      <c r="P204" s="69">
        <f t="shared" si="20"/>
        <v>0</v>
      </c>
      <c r="Q204" s="69">
        <f t="shared" si="21"/>
        <v>0</v>
      </c>
      <c r="R204" s="69">
        <f t="shared" si="22"/>
        <v>0</v>
      </c>
      <c r="S204" t="b">
        <f t="shared" si="23"/>
        <v>0</v>
      </c>
    </row>
    <row r="205" spans="1:19" hidden="1" x14ac:dyDescent="0.25">
      <c r="A205" s="93" t="str">
        <f>DMTK!B202</f>
        <v>5117</v>
      </c>
      <c r="B205" s="65" t="str">
        <f>VLOOKUP(A205,DMTK!$B$5:$Q$263,3,0)</f>
        <v>Doanh thu kinh doanh bất động sản đầu tư</v>
      </c>
      <c r="C205" s="65" t="str">
        <f>VLOOKUP(A205,DMTK!$B$5:$Q$263,16,0)</f>
        <v xml:space="preserve"> </v>
      </c>
      <c r="D205" s="69">
        <f>VLOOKUP(A205,DMTK!$B$5:$Q$263,4,0)</f>
        <v>0</v>
      </c>
      <c r="E205" s="69">
        <f>VLOOKUP(A205,DMTK!$B$5:$Q$263,5,0)</f>
        <v>0</v>
      </c>
      <c r="F205" s="69">
        <f>SUMIFS(CT!$F$5:$F$143,CT!$A$5:$A$143,"&lt;"&amp;$I$3,CT!$D$5:$D$143,A205)</f>
        <v>0</v>
      </c>
      <c r="G205" s="69">
        <f>SUMIFS(CT!$H$5:$H$143,CT!$A$5:$A$143,"&lt;"&amp;$I$3,CT!$D$5:$D$143,A205)</f>
        <v>0</v>
      </c>
      <c r="H205" s="69">
        <f>SUMIFS(CT!$F$5:$F$143,CT!$A$5:$A$143,"&lt;"&amp;$I$3,CT!$E$5:$E$143,A205)</f>
        <v>0</v>
      </c>
      <c r="I205" s="69">
        <f>SUMIFS(CT!$H$5:$H$143,CT!$A$5:$A$143,"&lt;"&amp;$I$3,CT!$E$5:$E$143,A205)</f>
        <v>0</v>
      </c>
      <c r="J205" s="69">
        <f t="shared" si="18"/>
        <v>0</v>
      </c>
      <c r="K205" s="69">
        <f t="shared" si="19"/>
        <v>0</v>
      </c>
      <c r="L205" s="69">
        <f>SUMIFS(CT!$F$5:$F$143,CT!$A$5:$A$143,"&gt;="&amp;$I$3,CT!$A$5:$A$143,"&lt;="&amp;$K$3,CT!$D$5:$D$143,A205)</f>
        <v>0</v>
      </c>
      <c r="M205" s="69">
        <f>SUMIFS(CT!$H$5:$H$143,CT!$A$5:$A$143,"&gt;="&amp;$I$3,CT!$A$5:$A$143,"&lt;="&amp;$K$3,CT!$D$5:$D$143,A205)</f>
        <v>0</v>
      </c>
      <c r="N205" s="69">
        <f>SUMIFS(CT!$F$5:$F$143,CT!$A$5:$A$143,"&gt;="&amp;$I$3,CT!$A$5:$A$143,"&lt;="&amp;$K$3,CT!$E$5:$E$143,A205)</f>
        <v>0</v>
      </c>
      <c r="O205" s="69">
        <f>SUMIFS(CT!$H$5:$H$143,CT!$A$5:$A$143,"&gt;="&amp;$I$3,CT!$A$5:$A$143,"&lt;="&amp;$K$3,CT!$E$5:$E$143,A205)</f>
        <v>0</v>
      </c>
      <c r="P205" s="69">
        <f t="shared" si="20"/>
        <v>0</v>
      </c>
      <c r="Q205" s="69">
        <f t="shared" si="21"/>
        <v>0</v>
      </c>
      <c r="R205" s="69">
        <f t="shared" si="22"/>
        <v>0</v>
      </c>
      <c r="S205" t="b">
        <f t="shared" si="23"/>
        <v>0</v>
      </c>
    </row>
    <row r="206" spans="1:19" hidden="1" x14ac:dyDescent="0.25">
      <c r="A206" s="93" t="str">
        <f>DMTK!B203</f>
        <v>515</v>
      </c>
      <c r="B206" s="65" t="str">
        <f>VLOOKUP(A206,DMTK!$B$5:$Q$263,3,0)</f>
        <v>Doanh thu hoạt động tài chính</v>
      </c>
      <c r="C206" s="65" t="str">
        <f>VLOOKUP(A206,DMTK!$B$5:$Q$263,16,0)</f>
        <v xml:space="preserve"> </v>
      </c>
      <c r="D206" s="69">
        <f>VLOOKUP(A206,DMTK!$B$5:$Q$263,4,0)</f>
        <v>0</v>
      </c>
      <c r="E206" s="69">
        <f>VLOOKUP(A206,DMTK!$B$5:$Q$263,5,0)</f>
        <v>0</v>
      </c>
      <c r="F206" s="69">
        <f>SUMIFS(CT!$F$5:$F$143,CT!$A$5:$A$143,"&lt;"&amp;$I$3,CT!$D$5:$D$143,A206)</f>
        <v>0</v>
      </c>
      <c r="G206" s="69">
        <f>SUMIFS(CT!$H$5:$H$143,CT!$A$5:$A$143,"&lt;"&amp;$I$3,CT!$D$5:$D$143,A206)</f>
        <v>0</v>
      </c>
      <c r="H206" s="69">
        <f>SUMIFS(CT!$F$5:$F$143,CT!$A$5:$A$143,"&lt;"&amp;$I$3,CT!$E$5:$E$143,A206)</f>
        <v>0</v>
      </c>
      <c r="I206" s="69">
        <f>SUMIFS(CT!$H$5:$H$143,CT!$A$5:$A$143,"&lt;"&amp;$I$3,CT!$E$5:$E$143,A206)</f>
        <v>0</v>
      </c>
      <c r="J206" s="69">
        <f t="shared" si="18"/>
        <v>0</v>
      </c>
      <c r="K206" s="69">
        <f t="shared" si="19"/>
        <v>0</v>
      </c>
      <c r="L206" s="69">
        <f>SUMIFS(CT!$F$5:$F$143,CT!$A$5:$A$143,"&gt;="&amp;$I$3,CT!$A$5:$A$143,"&lt;="&amp;$K$3,CT!$D$5:$D$143,A206)</f>
        <v>0</v>
      </c>
      <c r="M206" s="69">
        <f>SUMIFS(CT!$H$5:$H$143,CT!$A$5:$A$143,"&gt;="&amp;$I$3,CT!$A$5:$A$143,"&lt;="&amp;$K$3,CT!$D$5:$D$143,A206)</f>
        <v>0</v>
      </c>
      <c r="N206" s="69">
        <f>SUMIFS(CT!$F$5:$F$143,CT!$A$5:$A$143,"&gt;="&amp;$I$3,CT!$A$5:$A$143,"&lt;="&amp;$K$3,CT!$E$5:$E$143,A206)</f>
        <v>0</v>
      </c>
      <c r="O206" s="69">
        <f>SUMIFS(CT!$H$5:$H$143,CT!$A$5:$A$143,"&gt;="&amp;$I$3,CT!$A$5:$A$143,"&lt;="&amp;$K$3,CT!$E$5:$E$143,A206)</f>
        <v>0</v>
      </c>
      <c r="P206" s="69">
        <f t="shared" si="20"/>
        <v>0</v>
      </c>
      <c r="Q206" s="69">
        <f t="shared" si="21"/>
        <v>0</v>
      </c>
      <c r="R206" s="69">
        <f t="shared" si="22"/>
        <v>0</v>
      </c>
      <c r="S206" t="b">
        <f t="shared" si="23"/>
        <v>0</v>
      </c>
    </row>
    <row r="207" spans="1:19" hidden="1" x14ac:dyDescent="0.25">
      <c r="A207" s="93" t="str">
        <f>DMTK!B204</f>
        <v>5211</v>
      </c>
      <c r="B207" s="65" t="str">
        <f>VLOOKUP(A207,DMTK!$B$5:$Q$263,3,0)</f>
        <v>Chiết khấu thương mại</v>
      </c>
      <c r="C207" s="65" t="str">
        <f>VLOOKUP(A207,DMTK!$B$5:$Q$263,16,0)</f>
        <v xml:space="preserve"> </v>
      </c>
      <c r="D207" s="69">
        <f>VLOOKUP(A207,DMTK!$B$5:$Q$263,4,0)</f>
        <v>0</v>
      </c>
      <c r="E207" s="69">
        <f>VLOOKUP(A207,DMTK!$B$5:$Q$263,5,0)</f>
        <v>0</v>
      </c>
      <c r="F207" s="69">
        <f>SUMIFS(CT!$F$5:$F$143,CT!$A$5:$A$143,"&lt;"&amp;$I$3,CT!$D$5:$D$143,A207)</f>
        <v>0</v>
      </c>
      <c r="G207" s="69">
        <f>SUMIFS(CT!$H$5:$H$143,CT!$A$5:$A$143,"&lt;"&amp;$I$3,CT!$D$5:$D$143,A207)</f>
        <v>0</v>
      </c>
      <c r="H207" s="69">
        <f>SUMIFS(CT!$F$5:$F$143,CT!$A$5:$A$143,"&lt;"&amp;$I$3,CT!$E$5:$E$143,A207)</f>
        <v>0</v>
      </c>
      <c r="I207" s="69">
        <f>SUMIFS(CT!$H$5:$H$143,CT!$A$5:$A$143,"&lt;"&amp;$I$3,CT!$E$5:$E$143,A207)</f>
        <v>0</v>
      </c>
      <c r="J207" s="69">
        <f t="shared" si="18"/>
        <v>0</v>
      </c>
      <c r="K207" s="69">
        <f t="shared" si="19"/>
        <v>0</v>
      </c>
      <c r="L207" s="69">
        <f>SUMIFS(CT!$F$5:$F$143,CT!$A$5:$A$143,"&gt;="&amp;$I$3,CT!$A$5:$A$143,"&lt;="&amp;$K$3,CT!$D$5:$D$143,A207)</f>
        <v>0</v>
      </c>
      <c r="M207" s="69">
        <f>SUMIFS(CT!$H$5:$H$143,CT!$A$5:$A$143,"&gt;="&amp;$I$3,CT!$A$5:$A$143,"&lt;="&amp;$K$3,CT!$D$5:$D$143,A207)</f>
        <v>0</v>
      </c>
      <c r="N207" s="69">
        <f>SUMIFS(CT!$F$5:$F$143,CT!$A$5:$A$143,"&gt;="&amp;$I$3,CT!$A$5:$A$143,"&lt;="&amp;$K$3,CT!$E$5:$E$143,A207)</f>
        <v>0</v>
      </c>
      <c r="O207" s="69">
        <f>SUMIFS(CT!$H$5:$H$143,CT!$A$5:$A$143,"&gt;="&amp;$I$3,CT!$A$5:$A$143,"&lt;="&amp;$K$3,CT!$E$5:$E$143,A207)</f>
        <v>0</v>
      </c>
      <c r="P207" s="69">
        <f t="shared" si="20"/>
        <v>0</v>
      </c>
      <c r="Q207" s="69">
        <f t="shared" si="21"/>
        <v>0</v>
      </c>
      <c r="R207" s="69">
        <f t="shared" si="22"/>
        <v>0</v>
      </c>
      <c r="S207" t="b">
        <f t="shared" si="23"/>
        <v>0</v>
      </c>
    </row>
    <row r="208" spans="1:19" hidden="1" x14ac:dyDescent="0.25">
      <c r="A208" s="93" t="str">
        <f>DMTK!B205</f>
        <v>5212</v>
      </c>
      <c r="B208" s="65" t="str">
        <f>VLOOKUP(A208,DMTK!$B$5:$Q$263,3,0)</f>
        <v>Giảm giá hàng bán</v>
      </c>
      <c r="C208" s="65" t="str">
        <f>VLOOKUP(A208,DMTK!$B$5:$Q$263,16,0)</f>
        <v xml:space="preserve"> </v>
      </c>
      <c r="D208" s="69">
        <f>VLOOKUP(A208,DMTK!$B$5:$Q$263,4,0)</f>
        <v>0</v>
      </c>
      <c r="E208" s="69">
        <f>VLOOKUP(A208,DMTK!$B$5:$Q$263,5,0)</f>
        <v>0</v>
      </c>
      <c r="F208" s="69">
        <f>SUMIFS(CT!$F$5:$F$143,CT!$A$5:$A$143,"&lt;"&amp;$I$3,CT!$D$5:$D$143,A208)</f>
        <v>0</v>
      </c>
      <c r="G208" s="69">
        <f>SUMIFS(CT!$H$5:$H$143,CT!$A$5:$A$143,"&lt;"&amp;$I$3,CT!$D$5:$D$143,A208)</f>
        <v>0</v>
      </c>
      <c r="H208" s="69">
        <f>SUMIFS(CT!$F$5:$F$143,CT!$A$5:$A$143,"&lt;"&amp;$I$3,CT!$E$5:$E$143,A208)</f>
        <v>0</v>
      </c>
      <c r="I208" s="69">
        <f>SUMIFS(CT!$H$5:$H$143,CT!$A$5:$A$143,"&lt;"&amp;$I$3,CT!$E$5:$E$143,A208)</f>
        <v>0</v>
      </c>
      <c r="J208" s="69">
        <f t="shared" si="18"/>
        <v>0</v>
      </c>
      <c r="K208" s="69">
        <f t="shared" si="19"/>
        <v>0</v>
      </c>
      <c r="L208" s="69">
        <f>SUMIFS(CT!$F$5:$F$143,CT!$A$5:$A$143,"&gt;="&amp;$I$3,CT!$A$5:$A$143,"&lt;="&amp;$K$3,CT!$D$5:$D$143,A208)</f>
        <v>0</v>
      </c>
      <c r="M208" s="69">
        <f>SUMIFS(CT!$H$5:$H$143,CT!$A$5:$A$143,"&gt;="&amp;$I$3,CT!$A$5:$A$143,"&lt;="&amp;$K$3,CT!$D$5:$D$143,A208)</f>
        <v>0</v>
      </c>
      <c r="N208" s="69">
        <f>SUMIFS(CT!$F$5:$F$143,CT!$A$5:$A$143,"&gt;="&amp;$I$3,CT!$A$5:$A$143,"&lt;="&amp;$K$3,CT!$E$5:$E$143,A208)</f>
        <v>0</v>
      </c>
      <c r="O208" s="69">
        <f>SUMIFS(CT!$H$5:$H$143,CT!$A$5:$A$143,"&gt;="&amp;$I$3,CT!$A$5:$A$143,"&lt;="&amp;$K$3,CT!$E$5:$E$143,A208)</f>
        <v>0</v>
      </c>
      <c r="P208" s="69">
        <f t="shared" si="20"/>
        <v>0</v>
      </c>
      <c r="Q208" s="69">
        <f t="shared" si="21"/>
        <v>0</v>
      </c>
      <c r="R208" s="69">
        <f t="shared" si="22"/>
        <v>0</v>
      </c>
      <c r="S208" t="b">
        <f t="shared" si="23"/>
        <v>0</v>
      </c>
    </row>
    <row r="209" spans="1:19" hidden="1" x14ac:dyDescent="0.25">
      <c r="A209" s="93" t="str">
        <f>DMTK!B206</f>
        <v>5213</v>
      </c>
      <c r="B209" s="65" t="str">
        <f>VLOOKUP(A209,DMTK!$B$5:$Q$263,3,0)</f>
        <v>Hàng bán bị trả lại</v>
      </c>
      <c r="C209" s="65" t="str">
        <f>VLOOKUP(A209,DMTK!$B$5:$Q$263,16,0)</f>
        <v xml:space="preserve"> </v>
      </c>
      <c r="D209" s="69">
        <f>VLOOKUP(A209,DMTK!$B$5:$Q$263,4,0)</f>
        <v>0</v>
      </c>
      <c r="E209" s="69">
        <f>VLOOKUP(A209,DMTK!$B$5:$Q$263,5,0)</f>
        <v>0</v>
      </c>
      <c r="F209" s="69">
        <f>SUMIFS(CT!$F$5:$F$143,CT!$A$5:$A$143,"&lt;"&amp;$I$3,CT!$D$5:$D$143,A209)</f>
        <v>0</v>
      </c>
      <c r="G209" s="69">
        <f>SUMIFS(CT!$H$5:$H$143,CT!$A$5:$A$143,"&lt;"&amp;$I$3,CT!$D$5:$D$143,A209)</f>
        <v>0</v>
      </c>
      <c r="H209" s="69">
        <f>SUMIFS(CT!$F$5:$F$143,CT!$A$5:$A$143,"&lt;"&amp;$I$3,CT!$E$5:$E$143,A209)</f>
        <v>0</v>
      </c>
      <c r="I209" s="69">
        <f>SUMIFS(CT!$H$5:$H$143,CT!$A$5:$A$143,"&lt;"&amp;$I$3,CT!$E$5:$E$143,A209)</f>
        <v>0</v>
      </c>
      <c r="J209" s="69">
        <f t="shared" si="18"/>
        <v>0</v>
      </c>
      <c r="K209" s="69">
        <f t="shared" si="19"/>
        <v>0</v>
      </c>
      <c r="L209" s="69">
        <f>SUMIFS(CT!$F$5:$F$143,CT!$A$5:$A$143,"&gt;="&amp;$I$3,CT!$A$5:$A$143,"&lt;="&amp;$K$3,CT!$D$5:$D$143,A209)</f>
        <v>0</v>
      </c>
      <c r="M209" s="69">
        <f>SUMIFS(CT!$H$5:$H$143,CT!$A$5:$A$143,"&gt;="&amp;$I$3,CT!$A$5:$A$143,"&lt;="&amp;$K$3,CT!$D$5:$D$143,A209)</f>
        <v>0</v>
      </c>
      <c r="N209" s="69">
        <f>SUMIFS(CT!$F$5:$F$143,CT!$A$5:$A$143,"&gt;="&amp;$I$3,CT!$A$5:$A$143,"&lt;="&amp;$K$3,CT!$E$5:$E$143,A209)</f>
        <v>0</v>
      </c>
      <c r="O209" s="69">
        <f>SUMIFS(CT!$H$5:$H$143,CT!$A$5:$A$143,"&gt;="&amp;$I$3,CT!$A$5:$A$143,"&lt;="&amp;$K$3,CT!$E$5:$E$143,A209)</f>
        <v>0</v>
      </c>
      <c r="P209" s="69">
        <f t="shared" si="20"/>
        <v>0</v>
      </c>
      <c r="Q209" s="69">
        <f t="shared" si="21"/>
        <v>0</v>
      </c>
      <c r="R209" s="69">
        <f t="shared" si="22"/>
        <v>0</v>
      </c>
      <c r="S209" t="b">
        <f t="shared" si="23"/>
        <v>0</v>
      </c>
    </row>
    <row r="210" spans="1:19" hidden="1" x14ac:dyDescent="0.25">
      <c r="A210" s="93" t="str">
        <f>DMTK!B207</f>
        <v>6111</v>
      </c>
      <c r="B210" s="65" t="str">
        <f>VLOOKUP(A210,DMTK!$B$5:$Q$263,3,0)</f>
        <v>Mua nguyên liệu, vật liệu</v>
      </c>
      <c r="C210" s="65" t="str">
        <f>VLOOKUP(A210,DMTK!$B$5:$Q$263,16,0)</f>
        <v xml:space="preserve"> </v>
      </c>
      <c r="D210" s="69">
        <f>VLOOKUP(A210,DMTK!$B$5:$Q$263,4,0)</f>
        <v>0</v>
      </c>
      <c r="E210" s="69">
        <f>VLOOKUP(A210,DMTK!$B$5:$Q$263,5,0)</f>
        <v>0</v>
      </c>
      <c r="F210" s="69">
        <f>SUMIFS(CT!$F$5:$F$143,CT!$A$5:$A$143,"&lt;"&amp;$I$3,CT!$D$5:$D$143,A210)</f>
        <v>0</v>
      </c>
      <c r="G210" s="69">
        <f>SUMIFS(CT!$H$5:$H$143,CT!$A$5:$A$143,"&lt;"&amp;$I$3,CT!$D$5:$D$143,A210)</f>
        <v>0</v>
      </c>
      <c r="H210" s="69">
        <f>SUMIFS(CT!$F$5:$F$143,CT!$A$5:$A$143,"&lt;"&amp;$I$3,CT!$E$5:$E$143,A210)</f>
        <v>0</v>
      </c>
      <c r="I210" s="69">
        <f>SUMIFS(CT!$H$5:$H$143,CT!$A$5:$A$143,"&lt;"&amp;$I$3,CT!$E$5:$E$143,A210)</f>
        <v>0</v>
      </c>
      <c r="J210" s="69">
        <f t="shared" si="18"/>
        <v>0</v>
      </c>
      <c r="K210" s="69">
        <f t="shared" si="19"/>
        <v>0</v>
      </c>
      <c r="L210" s="69">
        <f>SUMIFS(CT!$F$5:$F$143,CT!$A$5:$A$143,"&gt;="&amp;$I$3,CT!$A$5:$A$143,"&lt;="&amp;$K$3,CT!$D$5:$D$143,A210)</f>
        <v>0</v>
      </c>
      <c r="M210" s="69">
        <f>SUMIFS(CT!$H$5:$H$143,CT!$A$5:$A$143,"&gt;="&amp;$I$3,CT!$A$5:$A$143,"&lt;="&amp;$K$3,CT!$D$5:$D$143,A210)</f>
        <v>0</v>
      </c>
      <c r="N210" s="69">
        <f>SUMIFS(CT!$F$5:$F$143,CT!$A$5:$A$143,"&gt;="&amp;$I$3,CT!$A$5:$A$143,"&lt;="&amp;$K$3,CT!$E$5:$E$143,A210)</f>
        <v>0</v>
      </c>
      <c r="O210" s="69">
        <f>SUMIFS(CT!$H$5:$H$143,CT!$A$5:$A$143,"&gt;="&amp;$I$3,CT!$A$5:$A$143,"&lt;="&amp;$K$3,CT!$E$5:$E$143,A210)</f>
        <v>0</v>
      </c>
      <c r="P210" s="69">
        <f t="shared" si="20"/>
        <v>0</v>
      </c>
      <c r="Q210" s="69">
        <f t="shared" si="21"/>
        <v>0</v>
      </c>
      <c r="R210" s="69">
        <f t="shared" si="22"/>
        <v>0</v>
      </c>
      <c r="S210" t="b">
        <f t="shared" si="23"/>
        <v>0</v>
      </c>
    </row>
    <row r="211" spans="1:19" hidden="1" x14ac:dyDescent="0.25">
      <c r="A211" s="93" t="str">
        <f>DMTK!B208</f>
        <v>6112</v>
      </c>
      <c r="B211" s="65" t="str">
        <f>VLOOKUP(A211,DMTK!$B$5:$Q$263,3,0)</f>
        <v>Mua hàng hóa</v>
      </c>
      <c r="C211" s="65" t="str">
        <f>VLOOKUP(A211,DMTK!$B$5:$Q$263,16,0)</f>
        <v xml:space="preserve"> </v>
      </c>
      <c r="D211" s="69">
        <f>VLOOKUP(A211,DMTK!$B$5:$Q$263,4,0)</f>
        <v>0</v>
      </c>
      <c r="E211" s="69">
        <f>VLOOKUP(A211,DMTK!$B$5:$Q$263,5,0)</f>
        <v>0</v>
      </c>
      <c r="F211" s="69">
        <f>SUMIFS(CT!$F$5:$F$143,CT!$A$5:$A$143,"&lt;"&amp;$I$3,CT!$D$5:$D$143,A211)</f>
        <v>0</v>
      </c>
      <c r="G211" s="69">
        <f>SUMIFS(CT!$H$5:$H$143,CT!$A$5:$A$143,"&lt;"&amp;$I$3,CT!$D$5:$D$143,A211)</f>
        <v>0</v>
      </c>
      <c r="H211" s="69">
        <f>SUMIFS(CT!$F$5:$F$143,CT!$A$5:$A$143,"&lt;"&amp;$I$3,CT!$E$5:$E$143,A211)</f>
        <v>0</v>
      </c>
      <c r="I211" s="69">
        <f>SUMIFS(CT!$H$5:$H$143,CT!$A$5:$A$143,"&lt;"&amp;$I$3,CT!$E$5:$E$143,A211)</f>
        <v>0</v>
      </c>
      <c r="J211" s="69">
        <f t="shared" si="18"/>
        <v>0</v>
      </c>
      <c r="K211" s="69">
        <f t="shared" si="19"/>
        <v>0</v>
      </c>
      <c r="L211" s="69">
        <f>SUMIFS(CT!$F$5:$F$143,CT!$A$5:$A$143,"&gt;="&amp;$I$3,CT!$A$5:$A$143,"&lt;="&amp;$K$3,CT!$D$5:$D$143,A211)</f>
        <v>0</v>
      </c>
      <c r="M211" s="69">
        <f>SUMIFS(CT!$H$5:$H$143,CT!$A$5:$A$143,"&gt;="&amp;$I$3,CT!$A$5:$A$143,"&lt;="&amp;$K$3,CT!$D$5:$D$143,A211)</f>
        <v>0</v>
      </c>
      <c r="N211" s="69">
        <f>SUMIFS(CT!$F$5:$F$143,CT!$A$5:$A$143,"&gt;="&amp;$I$3,CT!$A$5:$A$143,"&lt;="&amp;$K$3,CT!$E$5:$E$143,A211)</f>
        <v>0</v>
      </c>
      <c r="O211" s="69">
        <f>SUMIFS(CT!$H$5:$H$143,CT!$A$5:$A$143,"&gt;="&amp;$I$3,CT!$A$5:$A$143,"&lt;="&amp;$K$3,CT!$E$5:$E$143,A211)</f>
        <v>0</v>
      </c>
      <c r="P211" s="69">
        <f t="shared" si="20"/>
        <v>0</v>
      </c>
      <c r="Q211" s="69">
        <f t="shared" si="21"/>
        <v>0</v>
      </c>
      <c r="R211" s="69">
        <f t="shared" si="22"/>
        <v>0</v>
      </c>
      <c r="S211" t="b">
        <f t="shared" si="23"/>
        <v>0</v>
      </c>
    </row>
    <row r="212" spans="1:19" hidden="1" x14ac:dyDescent="0.25">
      <c r="A212" s="93" t="str">
        <f>DMTK!B209</f>
        <v>6211.01</v>
      </c>
      <c r="B212" s="65" t="str">
        <f>VLOOKUP(A212,DMTK!$B$5:$Q$263,3,0)</f>
        <v>CFNVL Ghế tay vịn</v>
      </c>
      <c r="C212" s="65" t="str">
        <f>VLOOKUP(A212,DMTK!$B$5:$Q$263,16,0)</f>
        <v xml:space="preserve"> </v>
      </c>
      <c r="D212" s="69">
        <f>VLOOKUP(A212,DMTK!$B$5:$Q$263,4,0)</f>
        <v>0</v>
      </c>
      <c r="E212" s="69">
        <f>VLOOKUP(A212,DMTK!$B$5:$Q$263,5,0)</f>
        <v>0</v>
      </c>
      <c r="F212" s="69">
        <f>SUMIFS(CT!$F$5:$F$143,CT!$A$5:$A$143,"&lt;"&amp;$I$3,CT!$D$5:$D$143,A212)</f>
        <v>0</v>
      </c>
      <c r="G212" s="69">
        <f>SUMIFS(CT!$H$5:$H$143,CT!$A$5:$A$143,"&lt;"&amp;$I$3,CT!$D$5:$D$143,A212)</f>
        <v>0</v>
      </c>
      <c r="H212" s="69">
        <f>SUMIFS(CT!$F$5:$F$143,CT!$A$5:$A$143,"&lt;"&amp;$I$3,CT!$E$5:$E$143,A212)</f>
        <v>0</v>
      </c>
      <c r="I212" s="69">
        <f>SUMIFS(CT!$H$5:$H$143,CT!$A$5:$A$143,"&lt;"&amp;$I$3,CT!$E$5:$E$143,A212)</f>
        <v>0</v>
      </c>
      <c r="J212" s="69">
        <f t="shared" si="18"/>
        <v>0</v>
      </c>
      <c r="K212" s="69">
        <f t="shared" si="19"/>
        <v>0</v>
      </c>
      <c r="L212" s="69">
        <f>SUMIFS(CT!$F$5:$F$143,CT!$A$5:$A$143,"&gt;="&amp;$I$3,CT!$A$5:$A$143,"&lt;="&amp;$K$3,CT!$D$5:$D$143,A212)</f>
        <v>64</v>
      </c>
      <c r="M212" s="69">
        <f>SUMIFS(CT!$H$5:$H$143,CT!$A$5:$A$143,"&gt;="&amp;$I$3,CT!$A$5:$A$143,"&lt;="&amp;$K$3,CT!$D$5:$D$143,A212)</f>
        <v>14432200</v>
      </c>
      <c r="N212" s="69">
        <f>SUMIFS(CT!$F$5:$F$143,CT!$A$5:$A$143,"&gt;="&amp;$I$3,CT!$A$5:$A$143,"&lt;="&amp;$K$3,CT!$E$5:$E$143,A212)</f>
        <v>0</v>
      </c>
      <c r="O212" s="69">
        <f>SUMIFS(CT!$H$5:$H$143,CT!$A$5:$A$143,"&gt;="&amp;$I$3,CT!$A$5:$A$143,"&lt;="&amp;$K$3,CT!$E$5:$E$143,A212)</f>
        <v>14432200</v>
      </c>
      <c r="P212" s="69">
        <f t="shared" si="20"/>
        <v>64</v>
      </c>
      <c r="Q212" s="69">
        <f t="shared" si="21"/>
        <v>0</v>
      </c>
      <c r="R212" s="69">
        <f t="shared" si="22"/>
        <v>0</v>
      </c>
      <c r="S212" t="b">
        <f t="shared" si="23"/>
        <v>0</v>
      </c>
    </row>
    <row r="213" spans="1:19" hidden="1" x14ac:dyDescent="0.25">
      <c r="A213" s="93" t="str">
        <f>DMTK!B210</f>
        <v>6211.02</v>
      </c>
      <c r="B213" s="65" t="str">
        <f>VLOOKUP(A213,DMTK!$B$5:$Q$263,3,0)</f>
        <v>CFNVL Ghế không tay</v>
      </c>
      <c r="C213" s="65" t="str">
        <f>VLOOKUP(A213,DMTK!$B$5:$Q$263,16,0)</f>
        <v xml:space="preserve"> </v>
      </c>
      <c r="D213" s="69">
        <f>VLOOKUP(A213,DMTK!$B$5:$Q$263,4,0)</f>
        <v>0</v>
      </c>
      <c r="E213" s="69">
        <f>VLOOKUP(A213,DMTK!$B$5:$Q$263,5,0)</f>
        <v>0</v>
      </c>
      <c r="F213" s="69">
        <f>SUMIFS(CT!$F$5:$F$143,CT!$A$5:$A$143,"&lt;"&amp;$I$3,CT!$D$5:$D$143,A213)</f>
        <v>0</v>
      </c>
      <c r="G213" s="69">
        <f>SUMIFS(CT!$H$5:$H$143,CT!$A$5:$A$143,"&lt;"&amp;$I$3,CT!$D$5:$D$143,A213)</f>
        <v>0</v>
      </c>
      <c r="H213" s="69">
        <f>SUMIFS(CT!$F$5:$F$143,CT!$A$5:$A$143,"&lt;"&amp;$I$3,CT!$E$5:$E$143,A213)</f>
        <v>0</v>
      </c>
      <c r="I213" s="69">
        <f>SUMIFS(CT!$H$5:$H$143,CT!$A$5:$A$143,"&lt;"&amp;$I$3,CT!$E$5:$E$143,A213)</f>
        <v>0</v>
      </c>
      <c r="J213" s="69">
        <f t="shared" si="18"/>
        <v>0</v>
      </c>
      <c r="K213" s="69">
        <f t="shared" si="19"/>
        <v>0</v>
      </c>
      <c r="L213" s="69">
        <f>SUMIFS(CT!$F$5:$F$143,CT!$A$5:$A$143,"&gt;="&amp;$I$3,CT!$A$5:$A$143,"&lt;="&amp;$K$3,CT!$D$5:$D$143,A213)</f>
        <v>0</v>
      </c>
      <c r="M213" s="69">
        <f>SUMIFS(CT!$H$5:$H$143,CT!$A$5:$A$143,"&gt;="&amp;$I$3,CT!$A$5:$A$143,"&lt;="&amp;$K$3,CT!$D$5:$D$143,A213)</f>
        <v>0</v>
      </c>
      <c r="N213" s="69">
        <f>SUMIFS(CT!$F$5:$F$143,CT!$A$5:$A$143,"&gt;="&amp;$I$3,CT!$A$5:$A$143,"&lt;="&amp;$K$3,CT!$E$5:$E$143,A213)</f>
        <v>0</v>
      </c>
      <c r="O213" s="69">
        <f>SUMIFS(CT!$H$5:$H$143,CT!$A$5:$A$143,"&gt;="&amp;$I$3,CT!$A$5:$A$143,"&lt;="&amp;$K$3,CT!$E$5:$E$143,A213)</f>
        <v>0</v>
      </c>
      <c r="P213" s="69">
        <f t="shared" si="20"/>
        <v>0</v>
      </c>
      <c r="Q213" s="69">
        <f t="shared" si="21"/>
        <v>0</v>
      </c>
      <c r="R213" s="69">
        <f t="shared" si="22"/>
        <v>0</v>
      </c>
      <c r="S213" t="b">
        <f t="shared" si="23"/>
        <v>0</v>
      </c>
    </row>
    <row r="214" spans="1:19" hidden="1" x14ac:dyDescent="0.25">
      <c r="A214" s="93" t="str">
        <f>DMTK!B211</f>
        <v>6211.03</v>
      </c>
      <c r="B214" s="65" t="str">
        <f>VLOOKUP(A214,DMTK!$B$5:$Q$263,3,0)</f>
        <v>CFNVL Bàn tròn</v>
      </c>
      <c r="C214" s="65" t="str">
        <f>VLOOKUP(A214,DMTK!$B$5:$Q$263,16,0)</f>
        <v xml:space="preserve"> </v>
      </c>
      <c r="D214" s="69">
        <f>VLOOKUP(A214,DMTK!$B$5:$Q$263,4,0)</f>
        <v>0</v>
      </c>
      <c r="E214" s="69">
        <f>VLOOKUP(A214,DMTK!$B$5:$Q$263,5,0)</f>
        <v>0</v>
      </c>
      <c r="F214" s="69">
        <f>SUMIFS(CT!$F$5:$F$143,CT!$A$5:$A$143,"&lt;"&amp;$I$3,CT!$D$5:$D$143,A214)</f>
        <v>0</v>
      </c>
      <c r="G214" s="69">
        <f>SUMIFS(CT!$H$5:$H$143,CT!$A$5:$A$143,"&lt;"&amp;$I$3,CT!$D$5:$D$143,A214)</f>
        <v>0</v>
      </c>
      <c r="H214" s="69">
        <f>SUMIFS(CT!$F$5:$F$143,CT!$A$5:$A$143,"&lt;"&amp;$I$3,CT!$E$5:$E$143,A214)</f>
        <v>0</v>
      </c>
      <c r="I214" s="69">
        <f>SUMIFS(CT!$H$5:$H$143,CT!$A$5:$A$143,"&lt;"&amp;$I$3,CT!$E$5:$E$143,A214)</f>
        <v>0</v>
      </c>
      <c r="J214" s="69">
        <f t="shared" si="18"/>
        <v>0</v>
      </c>
      <c r="K214" s="69">
        <f t="shared" si="19"/>
        <v>0</v>
      </c>
      <c r="L214" s="69">
        <f>SUMIFS(CT!$F$5:$F$143,CT!$A$5:$A$143,"&gt;="&amp;$I$3,CT!$A$5:$A$143,"&lt;="&amp;$K$3,CT!$D$5:$D$143,A214)</f>
        <v>50</v>
      </c>
      <c r="M214" s="69">
        <f>SUMIFS(CT!$H$5:$H$143,CT!$A$5:$A$143,"&gt;="&amp;$I$3,CT!$A$5:$A$143,"&lt;="&amp;$K$3,CT!$D$5:$D$143,A214)</f>
        <v>3646000</v>
      </c>
      <c r="N214" s="69">
        <f>SUMIFS(CT!$F$5:$F$143,CT!$A$5:$A$143,"&gt;="&amp;$I$3,CT!$A$5:$A$143,"&lt;="&amp;$K$3,CT!$E$5:$E$143,A214)</f>
        <v>0</v>
      </c>
      <c r="O214" s="69">
        <f>SUMIFS(CT!$H$5:$H$143,CT!$A$5:$A$143,"&gt;="&amp;$I$3,CT!$A$5:$A$143,"&lt;="&amp;$K$3,CT!$E$5:$E$143,A214)</f>
        <v>3646000</v>
      </c>
      <c r="P214" s="69">
        <f t="shared" si="20"/>
        <v>50</v>
      </c>
      <c r="Q214" s="69">
        <f t="shared" si="21"/>
        <v>0</v>
      </c>
      <c r="R214" s="69">
        <f t="shared" si="22"/>
        <v>0</v>
      </c>
      <c r="S214" t="b">
        <f t="shared" si="23"/>
        <v>0</v>
      </c>
    </row>
    <row r="215" spans="1:19" hidden="1" x14ac:dyDescent="0.25">
      <c r="A215" s="93" t="str">
        <f>DMTK!B212</f>
        <v>6211.04</v>
      </c>
      <c r="B215" s="65" t="str">
        <f>VLOOKUP(A215,DMTK!$B$5:$Q$263,3,0)</f>
        <v>CFNVL Bàn oval</v>
      </c>
      <c r="C215" s="65" t="str">
        <f>VLOOKUP(A215,DMTK!$B$5:$Q$263,16,0)</f>
        <v xml:space="preserve"> </v>
      </c>
      <c r="D215" s="69">
        <f>VLOOKUP(A215,DMTK!$B$5:$Q$263,4,0)</f>
        <v>0</v>
      </c>
      <c r="E215" s="69">
        <f>VLOOKUP(A215,DMTK!$B$5:$Q$263,5,0)</f>
        <v>0</v>
      </c>
      <c r="F215" s="69">
        <f>SUMIFS(CT!$F$5:$F$143,CT!$A$5:$A$143,"&lt;"&amp;$I$3,CT!$D$5:$D$143,A215)</f>
        <v>0</v>
      </c>
      <c r="G215" s="69">
        <f>SUMIFS(CT!$H$5:$H$143,CT!$A$5:$A$143,"&lt;"&amp;$I$3,CT!$D$5:$D$143,A215)</f>
        <v>0</v>
      </c>
      <c r="H215" s="69">
        <f>SUMIFS(CT!$F$5:$F$143,CT!$A$5:$A$143,"&lt;"&amp;$I$3,CT!$E$5:$E$143,A215)</f>
        <v>0</v>
      </c>
      <c r="I215" s="69">
        <f>SUMIFS(CT!$H$5:$H$143,CT!$A$5:$A$143,"&lt;"&amp;$I$3,CT!$E$5:$E$143,A215)</f>
        <v>0</v>
      </c>
      <c r="J215" s="69">
        <f t="shared" si="18"/>
        <v>0</v>
      </c>
      <c r="K215" s="69">
        <f t="shared" si="19"/>
        <v>0</v>
      </c>
      <c r="L215" s="69">
        <f>SUMIFS(CT!$F$5:$F$143,CT!$A$5:$A$143,"&gt;="&amp;$I$3,CT!$A$5:$A$143,"&lt;="&amp;$K$3,CT!$D$5:$D$143,A215)</f>
        <v>0</v>
      </c>
      <c r="M215" s="69">
        <f>SUMIFS(CT!$H$5:$H$143,CT!$A$5:$A$143,"&gt;="&amp;$I$3,CT!$A$5:$A$143,"&lt;="&amp;$K$3,CT!$D$5:$D$143,A215)</f>
        <v>0</v>
      </c>
      <c r="N215" s="69">
        <f>SUMIFS(CT!$F$5:$F$143,CT!$A$5:$A$143,"&gt;="&amp;$I$3,CT!$A$5:$A$143,"&lt;="&amp;$K$3,CT!$E$5:$E$143,A215)</f>
        <v>0</v>
      </c>
      <c r="O215" s="69">
        <f>SUMIFS(CT!$H$5:$H$143,CT!$A$5:$A$143,"&gt;="&amp;$I$3,CT!$A$5:$A$143,"&lt;="&amp;$K$3,CT!$E$5:$E$143,A215)</f>
        <v>0</v>
      </c>
      <c r="P215" s="69">
        <f t="shared" si="20"/>
        <v>0</v>
      </c>
      <c r="Q215" s="69">
        <f t="shared" si="21"/>
        <v>0</v>
      </c>
      <c r="R215" s="69">
        <f t="shared" si="22"/>
        <v>0</v>
      </c>
      <c r="S215" t="b">
        <f t="shared" si="23"/>
        <v>0</v>
      </c>
    </row>
    <row r="216" spans="1:19" hidden="1" x14ac:dyDescent="0.25">
      <c r="A216" s="93" t="str">
        <f>DMTK!B213</f>
        <v>6211.05</v>
      </c>
      <c r="B216" s="65" t="str">
        <f>VLOOKUP(A216,DMTK!$B$5:$Q$263,3,0)</f>
        <v>CFNVL Bàn chữ nhật</v>
      </c>
      <c r="C216" s="65" t="str">
        <f>VLOOKUP(A216,DMTK!$B$5:$Q$263,16,0)</f>
        <v xml:space="preserve"> </v>
      </c>
      <c r="D216" s="69">
        <f>VLOOKUP(A216,DMTK!$B$5:$Q$263,4,0)</f>
        <v>0</v>
      </c>
      <c r="E216" s="69">
        <f>VLOOKUP(A216,DMTK!$B$5:$Q$263,5,0)</f>
        <v>0</v>
      </c>
      <c r="F216" s="69">
        <f>SUMIFS(CT!$F$5:$F$143,CT!$A$5:$A$143,"&lt;"&amp;$I$3,CT!$D$5:$D$143,A216)</f>
        <v>0</v>
      </c>
      <c r="G216" s="69">
        <f>SUMIFS(CT!$H$5:$H$143,CT!$A$5:$A$143,"&lt;"&amp;$I$3,CT!$D$5:$D$143,A216)</f>
        <v>0</v>
      </c>
      <c r="H216" s="69">
        <f>SUMIFS(CT!$F$5:$F$143,CT!$A$5:$A$143,"&lt;"&amp;$I$3,CT!$E$5:$E$143,A216)</f>
        <v>0</v>
      </c>
      <c r="I216" s="69">
        <f>SUMIFS(CT!$H$5:$H$143,CT!$A$5:$A$143,"&lt;"&amp;$I$3,CT!$E$5:$E$143,A216)</f>
        <v>0</v>
      </c>
      <c r="J216" s="69">
        <f t="shared" si="18"/>
        <v>0</v>
      </c>
      <c r="K216" s="69">
        <f t="shared" si="19"/>
        <v>0</v>
      </c>
      <c r="L216" s="69">
        <f>SUMIFS(CT!$F$5:$F$143,CT!$A$5:$A$143,"&gt;="&amp;$I$3,CT!$A$5:$A$143,"&lt;="&amp;$K$3,CT!$D$5:$D$143,A216)</f>
        <v>0</v>
      </c>
      <c r="M216" s="69">
        <f>SUMIFS(CT!$H$5:$H$143,CT!$A$5:$A$143,"&gt;="&amp;$I$3,CT!$A$5:$A$143,"&lt;="&amp;$K$3,CT!$D$5:$D$143,A216)</f>
        <v>0</v>
      </c>
      <c r="N216" s="69">
        <f>SUMIFS(CT!$F$5:$F$143,CT!$A$5:$A$143,"&gt;="&amp;$I$3,CT!$A$5:$A$143,"&lt;="&amp;$K$3,CT!$E$5:$E$143,A216)</f>
        <v>0</v>
      </c>
      <c r="O216" s="69">
        <f>SUMIFS(CT!$H$5:$H$143,CT!$A$5:$A$143,"&gt;="&amp;$I$3,CT!$A$5:$A$143,"&lt;="&amp;$K$3,CT!$E$5:$E$143,A216)</f>
        <v>0</v>
      </c>
      <c r="P216" s="69">
        <f t="shared" si="20"/>
        <v>0</v>
      </c>
      <c r="Q216" s="69">
        <f t="shared" si="21"/>
        <v>0</v>
      </c>
      <c r="R216" s="69">
        <f t="shared" si="22"/>
        <v>0</v>
      </c>
      <c r="S216" t="b">
        <f t="shared" si="23"/>
        <v>0</v>
      </c>
    </row>
    <row r="217" spans="1:19" hidden="1" x14ac:dyDescent="0.25">
      <c r="A217" s="93" t="str">
        <f>DMTK!B214</f>
        <v>622.01</v>
      </c>
      <c r="B217" s="65" t="str">
        <f>VLOOKUP(A217,DMTK!$B$5:$Q$263,3,0)</f>
        <v>CFNC Ghế tay vịn</v>
      </c>
      <c r="C217" s="65" t="str">
        <f>VLOOKUP(A217,DMTK!$B$5:$Q$263,16,0)</f>
        <v xml:space="preserve"> </v>
      </c>
      <c r="D217" s="69">
        <f>VLOOKUP(A217,DMTK!$B$5:$Q$263,4,0)</f>
        <v>0</v>
      </c>
      <c r="E217" s="69">
        <f>VLOOKUP(A217,DMTK!$B$5:$Q$263,5,0)</f>
        <v>0</v>
      </c>
      <c r="F217" s="69">
        <f>SUMIFS(CT!$F$5:$F$143,CT!$A$5:$A$143,"&lt;"&amp;$I$3,CT!$D$5:$D$143,A217)</f>
        <v>0</v>
      </c>
      <c r="G217" s="69">
        <f>SUMIFS(CT!$H$5:$H$143,CT!$A$5:$A$143,"&lt;"&amp;$I$3,CT!$D$5:$D$143,A217)</f>
        <v>0</v>
      </c>
      <c r="H217" s="69">
        <f>SUMIFS(CT!$F$5:$F$143,CT!$A$5:$A$143,"&lt;"&amp;$I$3,CT!$E$5:$E$143,A217)</f>
        <v>0</v>
      </c>
      <c r="I217" s="69">
        <f>SUMIFS(CT!$H$5:$H$143,CT!$A$5:$A$143,"&lt;"&amp;$I$3,CT!$E$5:$E$143,A217)</f>
        <v>0</v>
      </c>
      <c r="J217" s="69">
        <f t="shared" si="18"/>
        <v>0</v>
      </c>
      <c r="K217" s="69">
        <f t="shared" si="19"/>
        <v>0</v>
      </c>
      <c r="L217" s="69">
        <f>SUMIFS(CT!$F$5:$F$143,CT!$A$5:$A$143,"&gt;="&amp;$I$3,CT!$A$5:$A$143,"&lt;="&amp;$K$3,CT!$D$5:$D$143,A217)</f>
        <v>0</v>
      </c>
      <c r="M217" s="69">
        <f>SUMIFS(CT!$H$5:$H$143,CT!$A$5:$A$143,"&gt;="&amp;$I$3,CT!$A$5:$A$143,"&lt;="&amp;$K$3,CT!$D$5:$D$143,A217)</f>
        <v>48800000</v>
      </c>
      <c r="N217" s="69">
        <f>SUMIFS(CT!$F$5:$F$143,CT!$A$5:$A$143,"&gt;="&amp;$I$3,CT!$A$5:$A$143,"&lt;="&amp;$K$3,CT!$E$5:$E$143,A217)</f>
        <v>0</v>
      </c>
      <c r="O217" s="69">
        <f>SUMIFS(CT!$H$5:$H$143,CT!$A$5:$A$143,"&gt;="&amp;$I$3,CT!$A$5:$A$143,"&lt;="&amp;$K$3,CT!$E$5:$E$143,A217)</f>
        <v>48800000</v>
      </c>
      <c r="P217" s="69">
        <f t="shared" si="20"/>
        <v>0</v>
      </c>
      <c r="Q217" s="69">
        <f t="shared" si="21"/>
        <v>0</v>
      </c>
      <c r="R217" s="69">
        <f t="shared" si="22"/>
        <v>0</v>
      </c>
      <c r="S217" t="b">
        <f t="shared" si="23"/>
        <v>0</v>
      </c>
    </row>
    <row r="218" spans="1:19" hidden="1" x14ac:dyDescent="0.25">
      <c r="A218" s="93" t="str">
        <f>DMTK!B215</f>
        <v>622.02</v>
      </c>
      <c r="B218" s="65" t="str">
        <f>VLOOKUP(A218,DMTK!$B$5:$Q$263,3,0)</f>
        <v>CFNC Ghế không tay</v>
      </c>
      <c r="C218" s="65" t="str">
        <f>VLOOKUP(A218,DMTK!$B$5:$Q$263,16,0)</f>
        <v xml:space="preserve"> </v>
      </c>
      <c r="D218" s="69">
        <f>VLOOKUP(A218,DMTK!$B$5:$Q$263,4,0)</f>
        <v>0</v>
      </c>
      <c r="E218" s="69">
        <f>VLOOKUP(A218,DMTK!$B$5:$Q$263,5,0)</f>
        <v>0</v>
      </c>
      <c r="F218" s="69">
        <f>SUMIFS(CT!$F$5:$F$143,CT!$A$5:$A$143,"&lt;"&amp;$I$3,CT!$D$5:$D$143,A218)</f>
        <v>0</v>
      </c>
      <c r="G218" s="69">
        <f>SUMIFS(CT!$H$5:$H$143,CT!$A$5:$A$143,"&lt;"&amp;$I$3,CT!$D$5:$D$143,A218)</f>
        <v>0</v>
      </c>
      <c r="H218" s="69">
        <f>SUMIFS(CT!$F$5:$F$143,CT!$A$5:$A$143,"&lt;"&amp;$I$3,CT!$E$5:$E$143,A218)</f>
        <v>0</v>
      </c>
      <c r="I218" s="69">
        <f>SUMIFS(CT!$H$5:$H$143,CT!$A$5:$A$143,"&lt;"&amp;$I$3,CT!$E$5:$E$143,A218)</f>
        <v>0</v>
      </c>
      <c r="J218" s="69">
        <f t="shared" si="18"/>
        <v>0</v>
      </c>
      <c r="K218" s="69">
        <f t="shared" si="19"/>
        <v>0</v>
      </c>
      <c r="L218" s="69">
        <f>SUMIFS(CT!$F$5:$F$143,CT!$A$5:$A$143,"&gt;="&amp;$I$3,CT!$A$5:$A$143,"&lt;="&amp;$K$3,CT!$D$5:$D$143,A218)</f>
        <v>0</v>
      </c>
      <c r="M218" s="69">
        <f>SUMIFS(CT!$H$5:$H$143,CT!$A$5:$A$143,"&gt;="&amp;$I$3,CT!$A$5:$A$143,"&lt;="&amp;$K$3,CT!$D$5:$D$143,A218)</f>
        <v>48800000</v>
      </c>
      <c r="N218" s="69">
        <f>SUMIFS(CT!$F$5:$F$143,CT!$A$5:$A$143,"&gt;="&amp;$I$3,CT!$A$5:$A$143,"&lt;="&amp;$K$3,CT!$E$5:$E$143,A218)</f>
        <v>0</v>
      </c>
      <c r="O218" s="69">
        <f>SUMIFS(CT!$H$5:$H$143,CT!$A$5:$A$143,"&gt;="&amp;$I$3,CT!$A$5:$A$143,"&lt;="&amp;$K$3,CT!$E$5:$E$143,A218)</f>
        <v>48800000</v>
      </c>
      <c r="P218" s="69">
        <f t="shared" si="20"/>
        <v>0</v>
      </c>
      <c r="Q218" s="69">
        <f t="shared" si="21"/>
        <v>0</v>
      </c>
      <c r="R218" s="69">
        <f t="shared" si="22"/>
        <v>0</v>
      </c>
      <c r="S218" t="b">
        <f t="shared" si="23"/>
        <v>0</v>
      </c>
    </row>
    <row r="219" spans="1:19" hidden="1" x14ac:dyDescent="0.25">
      <c r="A219" s="93" t="str">
        <f>DMTK!B216</f>
        <v>622.03</v>
      </c>
      <c r="B219" s="65" t="str">
        <f>VLOOKUP(A219,DMTK!$B$5:$Q$263,3,0)</f>
        <v>CFNC Bàn tròn</v>
      </c>
      <c r="C219" s="65" t="str">
        <f>VLOOKUP(A219,DMTK!$B$5:$Q$263,16,0)</f>
        <v xml:space="preserve"> </v>
      </c>
      <c r="D219" s="69">
        <f>VLOOKUP(A219,DMTK!$B$5:$Q$263,4,0)</f>
        <v>0</v>
      </c>
      <c r="E219" s="69">
        <f>VLOOKUP(A219,DMTK!$B$5:$Q$263,5,0)</f>
        <v>0</v>
      </c>
      <c r="F219" s="69">
        <f>SUMIFS(CT!$F$5:$F$143,CT!$A$5:$A$143,"&lt;"&amp;$I$3,CT!$D$5:$D$143,A219)</f>
        <v>0</v>
      </c>
      <c r="G219" s="69">
        <f>SUMIFS(CT!$H$5:$H$143,CT!$A$5:$A$143,"&lt;"&amp;$I$3,CT!$D$5:$D$143,A219)</f>
        <v>0</v>
      </c>
      <c r="H219" s="69">
        <f>SUMIFS(CT!$F$5:$F$143,CT!$A$5:$A$143,"&lt;"&amp;$I$3,CT!$E$5:$E$143,A219)</f>
        <v>0</v>
      </c>
      <c r="I219" s="69">
        <f>SUMIFS(CT!$H$5:$H$143,CT!$A$5:$A$143,"&lt;"&amp;$I$3,CT!$E$5:$E$143,A219)</f>
        <v>0</v>
      </c>
      <c r="J219" s="69">
        <f t="shared" si="18"/>
        <v>0</v>
      </c>
      <c r="K219" s="69">
        <f t="shared" si="19"/>
        <v>0</v>
      </c>
      <c r="L219" s="69">
        <f>SUMIFS(CT!$F$5:$F$143,CT!$A$5:$A$143,"&gt;="&amp;$I$3,CT!$A$5:$A$143,"&lt;="&amp;$K$3,CT!$D$5:$D$143,A219)</f>
        <v>0</v>
      </c>
      <c r="M219" s="69">
        <f>SUMIFS(CT!$H$5:$H$143,CT!$A$5:$A$143,"&gt;="&amp;$I$3,CT!$A$5:$A$143,"&lt;="&amp;$K$3,CT!$D$5:$D$143,A219)</f>
        <v>48800000</v>
      </c>
      <c r="N219" s="69">
        <f>SUMIFS(CT!$F$5:$F$143,CT!$A$5:$A$143,"&gt;="&amp;$I$3,CT!$A$5:$A$143,"&lt;="&amp;$K$3,CT!$E$5:$E$143,A219)</f>
        <v>0</v>
      </c>
      <c r="O219" s="69">
        <f>SUMIFS(CT!$H$5:$H$143,CT!$A$5:$A$143,"&gt;="&amp;$I$3,CT!$A$5:$A$143,"&lt;="&amp;$K$3,CT!$E$5:$E$143,A219)</f>
        <v>48800000</v>
      </c>
      <c r="P219" s="69">
        <f t="shared" si="20"/>
        <v>0</v>
      </c>
      <c r="Q219" s="69">
        <f t="shared" si="21"/>
        <v>0</v>
      </c>
      <c r="R219" s="69">
        <f t="shared" si="22"/>
        <v>0</v>
      </c>
      <c r="S219" t="b">
        <f t="shared" si="23"/>
        <v>0</v>
      </c>
    </row>
    <row r="220" spans="1:19" hidden="1" x14ac:dyDescent="0.25">
      <c r="A220" s="93" t="str">
        <f>DMTK!B217</f>
        <v>622.04</v>
      </c>
      <c r="B220" s="65" t="str">
        <f>VLOOKUP(A220,DMTK!$B$5:$Q$263,3,0)</f>
        <v>CFNCBàn oval</v>
      </c>
      <c r="C220" s="65" t="str">
        <f>VLOOKUP(A220,DMTK!$B$5:$Q$263,16,0)</f>
        <v xml:space="preserve"> </v>
      </c>
      <c r="D220" s="69">
        <f>VLOOKUP(A220,DMTK!$B$5:$Q$263,4,0)</f>
        <v>0</v>
      </c>
      <c r="E220" s="69">
        <f>VLOOKUP(A220,DMTK!$B$5:$Q$263,5,0)</f>
        <v>0</v>
      </c>
      <c r="F220" s="69">
        <f>SUMIFS(CT!$F$5:$F$143,CT!$A$5:$A$143,"&lt;"&amp;$I$3,CT!$D$5:$D$143,A220)</f>
        <v>0</v>
      </c>
      <c r="G220" s="69">
        <f>SUMIFS(CT!$H$5:$H$143,CT!$A$5:$A$143,"&lt;"&amp;$I$3,CT!$D$5:$D$143,A220)</f>
        <v>0</v>
      </c>
      <c r="H220" s="69">
        <f>SUMIFS(CT!$F$5:$F$143,CT!$A$5:$A$143,"&lt;"&amp;$I$3,CT!$E$5:$E$143,A220)</f>
        <v>0</v>
      </c>
      <c r="I220" s="69">
        <f>SUMIFS(CT!$H$5:$H$143,CT!$A$5:$A$143,"&lt;"&amp;$I$3,CT!$E$5:$E$143,A220)</f>
        <v>0</v>
      </c>
      <c r="J220" s="69">
        <f t="shared" si="18"/>
        <v>0</v>
      </c>
      <c r="K220" s="69">
        <f t="shared" si="19"/>
        <v>0</v>
      </c>
      <c r="L220" s="69">
        <f>SUMIFS(CT!$F$5:$F$143,CT!$A$5:$A$143,"&gt;="&amp;$I$3,CT!$A$5:$A$143,"&lt;="&amp;$K$3,CT!$D$5:$D$143,A220)</f>
        <v>0</v>
      </c>
      <c r="M220" s="69">
        <f>SUMIFS(CT!$H$5:$H$143,CT!$A$5:$A$143,"&gt;="&amp;$I$3,CT!$A$5:$A$143,"&lt;="&amp;$K$3,CT!$D$5:$D$143,A220)</f>
        <v>48800000</v>
      </c>
      <c r="N220" s="69">
        <f>SUMIFS(CT!$F$5:$F$143,CT!$A$5:$A$143,"&gt;="&amp;$I$3,CT!$A$5:$A$143,"&lt;="&amp;$K$3,CT!$E$5:$E$143,A220)</f>
        <v>0</v>
      </c>
      <c r="O220" s="69">
        <f>SUMIFS(CT!$H$5:$H$143,CT!$A$5:$A$143,"&gt;="&amp;$I$3,CT!$A$5:$A$143,"&lt;="&amp;$K$3,CT!$E$5:$E$143,A220)</f>
        <v>48800000</v>
      </c>
      <c r="P220" s="69">
        <f t="shared" si="20"/>
        <v>0</v>
      </c>
      <c r="Q220" s="69">
        <f t="shared" si="21"/>
        <v>0</v>
      </c>
      <c r="R220" s="69">
        <f t="shared" si="22"/>
        <v>0</v>
      </c>
      <c r="S220" t="b">
        <f t="shared" si="23"/>
        <v>0</v>
      </c>
    </row>
    <row r="221" spans="1:19" hidden="1" x14ac:dyDescent="0.25">
      <c r="A221" s="93" t="str">
        <f>DMTK!B218</f>
        <v>622.05</v>
      </c>
      <c r="B221" s="65" t="str">
        <f>VLOOKUP(A221,DMTK!$B$5:$Q$263,3,0)</f>
        <v>CFNC Bàn chữ nhật</v>
      </c>
      <c r="C221" s="65" t="str">
        <f>VLOOKUP(A221,DMTK!$B$5:$Q$263,16,0)</f>
        <v xml:space="preserve"> </v>
      </c>
      <c r="D221" s="69">
        <f>VLOOKUP(A221,DMTK!$B$5:$Q$263,4,0)</f>
        <v>0</v>
      </c>
      <c r="E221" s="69">
        <f>VLOOKUP(A221,DMTK!$B$5:$Q$263,5,0)</f>
        <v>0</v>
      </c>
      <c r="F221" s="69">
        <f>SUMIFS(CT!$F$5:$F$143,CT!$A$5:$A$143,"&lt;"&amp;$I$3,CT!$D$5:$D$143,A221)</f>
        <v>0</v>
      </c>
      <c r="G221" s="69">
        <f>SUMIFS(CT!$H$5:$H$143,CT!$A$5:$A$143,"&lt;"&amp;$I$3,CT!$D$5:$D$143,A221)</f>
        <v>0</v>
      </c>
      <c r="H221" s="69">
        <f>SUMIFS(CT!$F$5:$F$143,CT!$A$5:$A$143,"&lt;"&amp;$I$3,CT!$E$5:$E$143,A221)</f>
        <v>0</v>
      </c>
      <c r="I221" s="69">
        <f>SUMIFS(CT!$H$5:$H$143,CT!$A$5:$A$143,"&lt;"&amp;$I$3,CT!$E$5:$E$143,A221)</f>
        <v>0</v>
      </c>
      <c r="J221" s="69">
        <f t="shared" si="18"/>
        <v>0</v>
      </c>
      <c r="K221" s="69">
        <f t="shared" si="19"/>
        <v>0</v>
      </c>
      <c r="L221" s="69">
        <f>SUMIFS(CT!$F$5:$F$143,CT!$A$5:$A$143,"&gt;="&amp;$I$3,CT!$A$5:$A$143,"&lt;="&amp;$K$3,CT!$D$5:$D$143,A221)</f>
        <v>0</v>
      </c>
      <c r="M221" s="69">
        <f>SUMIFS(CT!$H$5:$H$143,CT!$A$5:$A$143,"&gt;="&amp;$I$3,CT!$A$5:$A$143,"&lt;="&amp;$K$3,CT!$D$5:$D$143,A221)</f>
        <v>48800000</v>
      </c>
      <c r="N221" s="69">
        <f>SUMIFS(CT!$F$5:$F$143,CT!$A$5:$A$143,"&gt;="&amp;$I$3,CT!$A$5:$A$143,"&lt;="&amp;$K$3,CT!$E$5:$E$143,A221)</f>
        <v>0</v>
      </c>
      <c r="O221" s="69">
        <f>SUMIFS(CT!$H$5:$H$143,CT!$A$5:$A$143,"&gt;="&amp;$I$3,CT!$A$5:$A$143,"&lt;="&amp;$K$3,CT!$E$5:$E$143,A221)</f>
        <v>48800000</v>
      </c>
      <c r="P221" s="69">
        <f t="shared" si="20"/>
        <v>0</v>
      </c>
      <c r="Q221" s="69">
        <f t="shared" si="21"/>
        <v>0</v>
      </c>
      <c r="R221" s="69">
        <f t="shared" si="22"/>
        <v>0</v>
      </c>
      <c r="S221" t="b">
        <f t="shared" si="23"/>
        <v>0</v>
      </c>
    </row>
    <row r="222" spans="1:19" hidden="1" x14ac:dyDescent="0.25">
      <c r="A222" s="93" t="str">
        <f>DMTK!B219</f>
        <v>6231</v>
      </c>
      <c r="B222" s="65" t="str">
        <f>VLOOKUP(A222,DMTK!$B$5:$Q$263,3,0)</f>
        <v>Chi phí nhân công</v>
      </c>
      <c r="C222" s="65" t="str">
        <f>VLOOKUP(A222,DMTK!$B$5:$Q$263,16,0)</f>
        <v xml:space="preserve"> </v>
      </c>
      <c r="D222" s="69">
        <f>VLOOKUP(A222,DMTK!$B$5:$Q$263,4,0)</f>
        <v>0</v>
      </c>
      <c r="E222" s="69">
        <f>VLOOKUP(A222,DMTK!$B$5:$Q$263,5,0)</f>
        <v>0</v>
      </c>
      <c r="F222" s="69">
        <f>SUMIFS(CT!$F$5:$F$143,CT!$A$5:$A$143,"&lt;"&amp;$I$3,CT!$D$5:$D$143,A222)</f>
        <v>0</v>
      </c>
      <c r="G222" s="69">
        <f>SUMIFS(CT!$H$5:$H$143,CT!$A$5:$A$143,"&lt;"&amp;$I$3,CT!$D$5:$D$143,A222)</f>
        <v>0</v>
      </c>
      <c r="H222" s="69">
        <f>SUMIFS(CT!$F$5:$F$143,CT!$A$5:$A$143,"&lt;"&amp;$I$3,CT!$E$5:$E$143,A222)</f>
        <v>0</v>
      </c>
      <c r="I222" s="69">
        <f>SUMIFS(CT!$H$5:$H$143,CT!$A$5:$A$143,"&lt;"&amp;$I$3,CT!$E$5:$E$143,A222)</f>
        <v>0</v>
      </c>
      <c r="J222" s="69">
        <f t="shared" si="18"/>
        <v>0</v>
      </c>
      <c r="K222" s="69">
        <f t="shared" si="19"/>
        <v>0</v>
      </c>
      <c r="L222" s="69">
        <f>SUMIFS(CT!$F$5:$F$143,CT!$A$5:$A$143,"&gt;="&amp;$I$3,CT!$A$5:$A$143,"&lt;="&amp;$K$3,CT!$D$5:$D$143,A222)</f>
        <v>0</v>
      </c>
      <c r="M222" s="69">
        <f>SUMIFS(CT!$H$5:$H$143,CT!$A$5:$A$143,"&gt;="&amp;$I$3,CT!$A$5:$A$143,"&lt;="&amp;$K$3,CT!$D$5:$D$143,A222)</f>
        <v>0</v>
      </c>
      <c r="N222" s="69">
        <f>SUMIFS(CT!$F$5:$F$143,CT!$A$5:$A$143,"&gt;="&amp;$I$3,CT!$A$5:$A$143,"&lt;="&amp;$K$3,CT!$E$5:$E$143,A222)</f>
        <v>0</v>
      </c>
      <c r="O222" s="69">
        <f>SUMIFS(CT!$H$5:$H$143,CT!$A$5:$A$143,"&gt;="&amp;$I$3,CT!$A$5:$A$143,"&lt;="&amp;$K$3,CT!$E$5:$E$143,A222)</f>
        <v>0</v>
      </c>
      <c r="P222" s="69">
        <f t="shared" si="20"/>
        <v>0</v>
      </c>
      <c r="Q222" s="69">
        <f t="shared" si="21"/>
        <v>0</v>
      </c>
      <c r="R222" s="69">
        <f t="shared" si="22"/>
        <v>0</v>
      </c>
      <c r="S222" t="b">
        <f t="shared" si="23"/>
        <v>0</v>
      </c>
    </row>
    <row r="223" spans="1:19" hidden="1" x14ac:dyDescent="0.25">
      <c r="A223" s="93" t="str">
        <f>DMTK!B220</f>
        <v>6232</v>
      </c>
      <c r="B223" s="65" t="str">
        <f>VLOOKUP(A223,DMTK!$B$5:$Q$263,3,0)</f>
        <v>Chi phí nguyên, vật liệu</v>
      </c>
      <c r="C223" s="65" t="str">
        <f>VLOOKUP(A223,DMTK!$B$5:$Q$263,16,0)</f>
        <v xml:space="preserve"> </v>
      </c>
      <c r="D223" s="69">
        <f>VLOOKUP(A223,DMTK!$B$5:$Q$263,4,0)</f>
        <v>0</v>
      </c>
      <c r="E223" s="69">
        <f>VLOOKUP(A223,DMTK!$B$5:$Q$263,5,0)</f>
        <v>0</v>
      </c>
      <c r="F223" s="69">
        <f>SUMIFS(CT!$F$5:$F$143,CT!$A$5:$A$143,"&lt;"&amp;$I$3,CT!$D$5:$D$143,A223)</f>
        <v>0</v>
      </c>
      <c r="G223" s="69">
        <f>SUMIFS(CT!$H$5:$H$143,CT!$A$5:$A$143,"&lt;"&amp;$I$3,CT!$D$5:$D$143,A223)</f>
        <v>0</v>
      </c>
      <c r="H223" s="69">
        <f>SUMIFS(CT!$F$5:$F$143,CT!$A$5:$A$143,"&lt;"&amp;$I$3,CT!$E$5:$E$143,A223)</f>
        <v>0</v>
      </c>
      <c r="I223" s="69">
        <f>SUMIFS(CT!$H$5:$H$143,CT!$A$5:$A$143,"&lt;"&amp;$I$3,CT!$E$5:$E$143,A223)</f>
        <v>0</v>
      </c>
      <c r="J223" s="69">
        <f t="shared" si="18"/>
        <v>0</v>
      </c>
      <c r="K223" s="69">
        <f t="shared" si="19"/>
        <v>0</v>
      </c>
      <c r="L223" s="69">
        <f>SUMIFS(CT!$F$5:$F$143,CT!$A$5:$A$143,"&gt;="&amp;$I$3,CT!$A$5:$A$143,"&lt;="&amp;$K$3,CT!$D$5:$D$143,A223)</f>
        <v>0</v>
      </c>
      <c r="M223" s="69">
        <f>SUMIFS(CT!$H$5:$H$143,CT!$A$5:$A$143,"&gt;="&amp;$I$3,CT!$A$5:$A$143,"&lt;="&amp;$K$3,CT!$D$5:$D$143,A223)</f>
        <v>0</v>
      </c>
      <c r="N223" s="69">
        <f>SUMIFS(CT!$F$5:$F$143,CT!$A$5:$A$143,"&gt;="&amp;$I$3,CT!$A$5:$A$143,"&lt;="&amp;$K$3,CT!$E$5:$E$143,A223)</f>
        <v>0</v>
      </c>
      <c r="O223" s="69">
        <f>SUMIFS(CT!$H$5:$H$143,CT!$A$5:$A$143,"&gt;="&amp;$I$3,CT!$A$5:$A$143,"&lt;="&amp;$K$3,CT!$E$5:$E$143,A223)</f>
        <v>0</v>
      </c>
      <c r="P223" s="69">
        <f t="shared" si="20"/>
        <v>0</v>
      </c>
      <c r="Q223" s="69">
        <f t="shared" si="21"/>
        <v>0</v>
      </c>
      <c r="R223" s="69">
        <f t="shared" si="22"/>
        <v>0</v>
      </c>
      <c r="S223" t="b">
        <f t="shared" si="23"/>
        <v>0</v>
      </c>
    </row>
    <row r="224" spans="1:19" hidden="1" x14ac:dyDescent="0.25">
      <c r="A224" s="93" t="str">
        <f>DMTK!B221</f>
        <v>6233</v>
      </c>
      <c r="B224" s="65" t="str">
        <f>VLOOKUP(A224,DMTK!$B$5:$Q$263,3,0)</f>
        <v>Chi phí dụng cụ sản xuất</v>
      </c>
      <c r="C224" s="65" t="str">
        <f>VLOOKUP(A224,DMTK!$B$5:$Q$263,16,0)</f>
        <v xml:space="preserve"> </v>
      </c>
      <c r="D224" s="69">
        <f>VLOOKUP(A224,DMTK!$B$5:$Q$263,4,0)</f>
        <v>0</v>
      </c>
      <c r="E224" s="69">
        <f>VLOOKUP(A224,DMTK!$B$5:$Q$263,5,0)</f>
        <v>0</v>
      </c>
      <c r="F224" s="69">
        <f>SUMIFS(CT!$F$5:$F$143,CT!$A$5:$A$143,"&lt;"&amp;$I$3,CT!$D$5:$D$143,A224)</f>
        <v>0</v>
      </c>
      <c r="G224" s="69">
        <f>SUMIFS(CT!$H$5:$H$143,CT!$A$5:$A$143,"&lt;"&amp;$I$3,CT!$D$5:$D$143,A224)</f>
        <v>0</v>
      </c>
      <c r="H224" s="69">
        <f>SUMIFS(CT!$F$5:$F$143,CT!$A$5:$A$143,"&lt;"&amp;$I$3,CT!$E$5:$E$143,A224)</f>
        <v>0</v>
      </c>
      <c r="I224" s="69">
        <f>SUMIFS(CT!$H$5:$H$143,CT!$A$5:$A$143,"&lt;"&amp;$I$3,CT!$E$5:$E$143,A224)</f>
        <v>0</v>
      </c>
      <c r="J224" s="69">
        <f t="shared" si="18"/>
        <v>0</v>
      </c>
      <c r="K224" s="69">
        <f t="shared" si="19"/>
        <v>0</v>
      </c>
      <c r="L224" s="69">
        <f>SUMIFS(CT!$F$5:$F$143,CT!$A$5:$A$143,"&gt;="&amp;$I$3,CT!$A$5:$A$143,"&lt;="&amp;$K$3,CT!$D$5:$D$143,A224)</f>
        <v>0</v>
      </c>
      <c r="M224" s="69">
        <f>SUMIFS(CT!$H$5:$H$143,CT!$A$5:$A$143,"&gt;="&amp;$I$3,CT!$A$5:$A$143,"&lt;="&amp;$K$3,CT!$D$5:$D$143,A224)</f>
        <v>0</v>
      </c>
      <c r="N224" s="69">
        <f>SUMIFS(CT!$F$5:$F$143,CT!$A$5:$A$143,"&gt;="&amp;$I$3,CT!$A$5:$A$143,"&lt;="&amp;$K$3,CT!$E$5:$E$143,A224)</f>
        <v>0</v>
      </c>
      <c r="O224" s="69">
        <f>SUMIFS(CT!$H$5:$H$143,CT!$A$5:$A$143,"&gt;="&amp;$I$3,CT!$A$5:$A$143,"&lt;="&amp;$K$3,CT!$E$5:$E$143,A224)</f>
        <v>0</v>
      </c>
      <c r="P224" s="69">
        <f t="shared" si="20"/>
        <v>0</v>
      </c>
      <c r="Q224" s="69">
        <f t="shared" si="21"/>
        <v>0</v>
      </c>
      <c r="R224" s="69">
        <f t="shared" si="22"/>
        <v>0</v>
      </c>
      <c r="S224" t="b">
        <f t="shared" si="23"/>
        <v>0</v>
      </c>
    </row>
    <row r="225" spans="1:19" hidden="1" x14ac:dyDescent="0.25">
      <c r="A225" s="93" t="str">
        <f>DMTK!B222</f>
        <v>6234</v>
      </c>
      <c r="B225" s="65" t="str">
        <f>VLOOKUP(A225,DMTK!$B$5:$Q$263,3,0)</f>
        <v>Chi phí khấu hao máy thi công</v>
      </c>
      <c r="C225" s="65" t="str">
        <f>VLOOKUP(A225,DMTK!$B$5:$Q$263,16,0)</f>
        <v xml:space="preserve"> </v>
      </c>
      <c r="D225" s="69">
        <f>VLOOKUP(A225,DMTK!$B$5:$Q$263,4,0)</f>
        <v>0</v>
      </c>
      <c r="E225" s="69">
        <f>VLOOKUP(A225,DMTK!$B$5:$Q$263,5,0)</f>
        <v>0</v>
      </c>
      <c r="F225" s="69">
        <f>SUMIFS(CT!$F$5:$F$143,CT!$A$5:$A$143,"&lt;"&amp;$I$3,CT!$D$5:$D$143,A225)</f>
        <v>0</v>
      </c>
      <c r="G225" s="69">
        <f>SUMIFS(CT!$H$5:$H$143,CT!$A$5:$A$143,"&lt;"&amp;$I$3,CT!$D$5:$D$143,A225)</f>
        <v>0</v>
      </c>
      <c r="H225" s="69">
        <f>SUMIFS(CT!$F$5:$F$143,CT!$A$5:$A$143,"&lt;"&amp;$I$3,CT!$E$5:$E$143,A225)</f>
        <v>0</v>
      </c>
      <c r="I225" s="69">
        <f>SUMIFS(CT!$H$5:$H$143,CT!$A$5:$A$143,"&lt;"&amp;$I$3,CT!$E$5:$E$143,A225)</f>
        <v>0</v>
      </c>
      <c r="J225" s="69">
        <f t="shared" si="18"/>
        <v>0</v>
      </c>
      <c r="K225" s="69">
        <f t="shared" si="19"/>
        <v>0</v>
      </c>
      <c r="L225" s="69">
        <f>SUMIFS(CT!$F$5:$F$143,CT!$A$5:$A$143,"&gt;="&amp;$I$3,CT!$A$5:$A$143,"&lt;="&amp;$K$3,CT!$D$5:$D$143,A225)</f>
        <v>0</v>
      </c>
      <c r="M225" s="69">
        <f>SUMIFS(CT!$H$5:$H$143,CT!$A$5:$A$143,"&gt;="&amp;$I$3,CT!$A$5:$A$143,"&lt;="&amp;$K$3,CT!$D$5:$D$143,A225)</f>
        <v>0</v>
      </c>
      <c r="N225" s="69">
        <f>SUMIFS(CT!$F$5:$F$143,CT!$A$5:$A$143,"&gt;="&amp;$I$3,CT!$A$5:$A$143,"&lt;="&amp;$K$3,CT!$E$5:$E$143,A225)</f>
        <v>0</v>
      </c>
      <c r="O225" s="69">
        <f>SUMIFS(CT!$H$5:$H$143,CT!$A$5:$A$143,"&gt;="&amp;$I$3,CT!$A$5:$A$143,"&lt;="&amp;$K$3,CT!$E$5:$E$143,A225)</f>
        <v>0</v>
      </c>
      <c r="P225" s="69">
        <f t="shared" si="20"/>
        <v>0</v>
      </c>
      <c r="Q225" s="69">
        <f t="shared" si="21"/>
        <v>0</v>
      </c>
      <c r="R225" s="69">
        <f t="shared" si="22"/>
        <v>0</v>
      </c>
      <c r="S225" t="b">
        <f t="shared" si="23"/>
        <v>0</v>
      </c>
    </row>
    <row r="226" spans="1:19" hidden="1" x14ac:dyDescent="0.25">
      <c r="A226" s="93" t="str">
        <f>DMTK!B223</f>
        <v>6237</v>
      </c>
      <c r="B226" s="65" t="str">
        <f>VLOOKUP(A226,DMTK!$B$5:$Q$263,3,0)</f>
        <v>Chi phí dịch vụ mua ngoài</v>
      </c>
      <c r="C226" s="65" t="str">
        <f>VLOOKUP(A226,DMTK!$B$5:$Q$263,16,0)</f>
        <v xml:space="preserve"> </v>
      </c>
      <c r="D226" s="69">
        <f>VLOOKUP(A226,DMTK!$B$5:$Q$263,4,0)</f>
        <v>0</v>
      </c>
      <c r="E226" s="69">
        <f>VLOOKUP(A226,DMTK!$B$5:$Q$263,5,0)</f>
        <v>0</v>
      </c>
      <c r="F226" s="69">
        <f>SUMIFS(CT!$F$5:$F$143,CT!$A$5:$A$143,"&lt;"&amp;$I$3,CT!$D$5:$D$143,A226)</f>
        <v>0</v>
      </c>
      <c r="G226" s="69">
        <f>SUMIFS(CT!$H$5:$H$143,CT!$A$5:$A$143,"&lt;"&amp;$I$3,CT!$D$5:$D$143,A226)</f>
        <v>0</v>
      </c>
      <c r="H226" s="69">
        <f>SUMIFS(CT!$F$5:$F$143,CT!$A$5:$A$143,"&lt;"&amp;$I$3,CT!$E$5:$E$143,A226)</f>
        <v>0</v>
      </c>
      <c r="I226" s="69">
        <f>SUMIFS(CT!$H$5:$H$143,CT!$A$5:$A$143,"&lt;"&amp;$I$3,CT!$E$5:$E$143,A226)</f>
        <v>0</v>
      </c>
      <c r="J226" s="69">
        <f t="shared" si="18"/>
        <v>0</v>
      </c>
      <c r="K226" s="69">
        <f t="shared" si="19"/>
        <v>0</v>
      </c>
      <c r="L226" s="69">
        <f>SUMIFS(CT!$F$5:$F$143,CT!$A$5:$A$143,"&gt;="&amp;$I$3,CT!$A$5:$A$143,"&lt;="&amp;$K$3,CT!$D$5:$D$143,A226)</f>
        <v>0</v>
      </c>
      <c r="M226" s="69">
        <f>SUMIFS(CT!$H$5:$H$143,CT!$A$5:$A$143,"&gt;="&amp;$I$3,CT!$A$5:$A$143,"&lt;="&amp;$K$3,CT!$D$5:$D$143,A226)</f>
        <v>0</v>
      </c>
      <c r="N226" s="69">
        <f>SUMIFS(CT!$F$5:$F$143,CT!$A$5:$A$143,"&gt;="&amp;$I$3,CT!$A$5:$A$143,"&lt;="&amp;$K$3,CT!$E$5:$E$143,A226)</f>
        <v>0</v>
      </c>
      <c r="O226" s="69">
        <f>SUMIFS(CT!$H$5:$H$143,CT!$A$5:$A$143,"&gt;="&amp;$I$3,CT!$A$5:$A$143,"&lt;="&amp;$K$3,CT!$E$5:$E$143,A226)</f>
        <v>0</v>
      </c>
      <c r="P226" s="69">
        <f t="shared" si="20"/>
        <v>0</v>
      </c>
      <c r="Q226" s="69">
        <f t="shared" si="21"/>
        <v>0</v>
      </c>
      <c r="R226" s="69">
        <f t="shared" si="22"/>
        <v>0</v>
      </c>
      <c r="S226" t="b">
        <f t="shared" si="23"/>
        <v>0</v>
      </c>
    </row>
    <row r="227" spans="1:19" hidden="1" x14ac:dyDescent="0.25">
      <c r="A227" s="93" t="str">
        <f>DMTK!B224</f>
        <v>6238</v>
      </c>
      <c r="B227" s="65" t="str">
        <f>VLOOKUP(A227,DMTK!$B$5:$Q$263,3,0)</f>
        <v>Chi phí bằng tiền khác</v>
      </c>
      <c r="C227" s="65" t="str">
        <f>VLOOKUP(A227,DMTK!$B$5:$Q$263,16,0)</f>
        <v xml:space="preserve"> </v>
      </c>
      <c r="D227" s="69">
        <f>VLOOKUP(A227,DMTK!$B$5:$Q$263,4,0)</f>
        <v>0</v>
      </c>
      <c r="E227" s="69">
        <f>VLOOKUP(A227,DMTK!$B$5:$Q$263,5,0)</f>
        <v>0</v>
      </c>
      <c r="F227" s="69">
        <f>SUMIFS(CT!$F$5:$F$143,CT!$A$5:$A$143,"&lt;"&amp;$I$3,CT!$D$5:$D$143,A227)</f>
        <v>0</v>
      </c>
      <c r="G227" s="69">
        <f>SUMIFS(CT!$H$5:$H$143,CT!$A$5:$A$143,"&lt;"&amp;$I$3,CT!$D$5:$D$143,A227)</f>
        <v>0</v>
      </c>
      <c r="H227" s="69">
        <f>SUMIFS(CT!$F$5:$F$143,CT!$A$5:$A$143,"&lt;"&amp;$I$3,CT!$E$5:$E$143,A227)</f>
        <v>0</v>
      </c>
      <c r="I227" s="69">
        <f>SUMIFS(CT!$H$5:$H$143,CT!$A$5:$A$143,"&lt;"&amp;$I$3,CT!$E$5:$E$143,A227)</f>
        <v>0</v>
      </c>
      <c r="J227" s="69">
        <f t="shared" si="18"/>
        <v>0</v>
      </c>
      <c r="K227" s="69">
        <f t="shared" si="19"/>
        <v>0</v>
      </c>
      <c r="L227" s="69">
        <f>SUMIFS(CT!$F$5:$F$143,CT!$A$5:$A$143,"&gt;="&amp;$I$3,CT!$A$5:$A$143,"&lt;="&amp;$K$3,CT!$D$5:$D$143,A227)</f>
        <v>0</v>
      </c>
      <c r="M227" s="69">
        <f>SUMIFS(CT!$H$5:$H$143,CT!$A$5:$A$143,"&gt;="&amp;$I$3,CT!$A$5:$A$143,"&lt;="&amp;$K$3,CT!$D$5:$D$143,A227)</f>
        <v>0</v>
      </c>
      <c r="N227" s="69">
        <f>SUMIFS(CT!$F$5:$F$143,CT!$A$5:$A$143,"&gt;="&amp;$I$3,CT!$A$5:$A$143,"&lt;="&amp;$K$3,CT!$E$5:$E$143,A227)</f>
        <v>0</v>
      </c>
      <c r="O227" s="69">
        <f>SUMIFS(CT!$H$5:$H$143,CT!$A$5:$A$143,"&gt;="&amp;$I$3,CT!$A$5:$A$143,"&lt;="&amp;$K$3,CT!$E$5:$E$143,A227)</f>
        <v>0</v>
      </c>
      <c r="P227" s="69">
        <f t="shared" si="20"/>
        <v>0</v>
      </c>
      <c r="Q227" s="69">
        <f t="shared" si="21"/>
        <v>0</v>
      </c>
      <c r="R227" s="69">
        <f t="shared" si="22"/>
        <v>0</v>
      </c>
      <c r="S227" t="b">
        <f t="shared" si="23"/>
        <v>0</v>
      </c>
    </row>
    <row r="228" spans="1:19" hidden="1" x14ac:dyDescent="0.25">
      <c r="A228" s="93" t="str">
        <f>DMTK!B225</f>
        <v>6271</v>
      </c>
      <c r="B228" s="65" t="str">
        <f>VLOOKUP(A228,DMTK!$B$5:$Q$263,3,0)</f>
        <v>Chi phí nhân viên phân xưởng</v>
      </c>
      <c r="C228" s="65" t="str">
        <f>VLOOKUP(A228,DMTK!$B$5:$Q$263,16,0)</f>
        <v xml:space="preserve"> </v>
      </c>
      <c r="D228" s="69">
        <f>VLOOKUP(A228,DMTK!$B$5:$Q$263,4,0)</f>
        <v>0</v>
      </c>
      <c r="E228" s="69">
        <f>VLOOKUP(A228,DMTK!$B$5:$Q$263,5,0)</f>
        <v>0</v>
      </c>
      <c r="F228" s="69">
        <f>SUMIFS(CT!$F$5:$F$143,CT!$A$5:$A$143,"&lt;"&amp;$I$3,CT!$D$5:$D$143,A228)</f>
        <v>0</v>
      </c>
      <c r="G228" s="69">
        <f>SUMIFS(CT!$H$5:$H$143,CT!$A$5:$A$143,"&lt;"&amp;$I$3,CT!$D$5:$D$143,A228)</f>
        <v>0</v>
      </c>
      <c r="H228" s="69">
        <f>SUMIFS(CT!$F$5:$F$143,CT!$A$5:$A$143,"&lt;"&amp;$I$3,CT!$E$5:$E$143,A228)</f>
        <v>0</v>
      </c>
      <c r="I228" s="69">
        <f>SUMIFS(CT!$H$5:$H$143,CT!$A$5:$A$143,"&lt;"&amp;$I$3,CT!$E$5:$E$143,A228)</f>
        <v>0</v>
      </c>
      <c r="J228" s="69">
        <f t="shared" si="18"/>
        <v>0</v>
      </c>
      <c r="K228" s="69">
        <f t="shared" si="19"/>
        <v>0</v>
      </c>
      <c r="L228" s="69">
        <f>SUMIFS(CT!$F$5:$F$143,CT!$A$5:$A$143,"&gt;="&amp;$I$3,CT!$A$5:$A$143,"&lt;="&amp;$K$3,CT!$D$5:$D$143,A228)</f>
        <v>0</v>
      </c>
      <c r="M228" s="69">
        <f>SUMIFS(CT!$H$5:$H$143,CT!$A$5:$A$143,"&gt;="&amp;$I$3,CT!$A$5:$A$143,"&lt;="&amp;$K$3,CT!$D$5:$D$143,A228)</f>
        <v>42700000</v>
      </c>
      <c r="N228" s="69">
        <f>SUMIFS(CT!$F$5:$F$143,CT!$A$5:$A$143,"&gt;="&amp;$I$3,CT!$A$5:$A$143,"&lt;="&amp;$K$3,CT!$E$5:$E$143,A228)</f>
        <v>0</v>
      </c>
      <c r="O228" s="69">
        <f>SUMIFS(CT!$H$5:$H$143,CT!$A$5:$A$143,"&gt;="&amp;$I$3,CT!$A$5:$A$143,"&lt;="&amp;$K$3,CT!$E$5:$E$143,A228)</f>
        <v>42700000</v>
      </c>
      <c r="P228" s="69">
        <f t="shared" si="20"/>
        <v>0</v>
      </c>
      <c r="Q228" s="69">
        <f t="shared" si="21"/>
        <v>0</v>
      </c>
      <c r="R228" s="69">
        <f t="shared" si="22"/>
        <v>0</v>
      </c>
      <c r="S228" t="b">
        <f t="shared" si="23"/>
        <v>0</v>
      </c>
    </row>
    <row r="229" spans="1:19" hidden="1" x14ac:dyDescent="0.25">
      <c r="A229" s="93" t="str">
        <f>DMTK!B226</f>
        <v>6272</v>
      </c>
      <c r="B229" s="65" t="str">
        <f>VLOOKUP(A229,DMTK!$B$5:$Q$263,3,0)</f>
        <v>Chi phí nguyên, vật liệu</v>
      </c>
      <c r="C229" s="65" t="str">
        <f>VLOOKUP(A229,DMTK!$B$5:$Q$263,16,0)</f>
        <v xml:space="preserve"> </v>
      </c>
      <c r="D229" s="69">
        <f>VLOOKUP(A229,DMTK!$B$5:$Q$263,4,0)</f>
        <v>0</v>
      </c>
      <c r="E229" s="69">
        <f>VLOOKUP(A229,DMTK!$B$5:$Q$263,5,0)</f>
        <v>0</v>
      </c>
      <c r="F229" s="69">
        <f>SUMIFS(CT!$F$5:$F$143,CT!$A$5:$A$143,"&lt;"&amp;$I$3,CT!$D$5:$D$143,A229)</f>
        <v>0</v>
      </c>
      <c r="G229" s="69">
        <f>SUMIFS(CT!$H$5:$H$143,CT!$A$5:$A$143,"&lt;"&amp;$I$3,CT!$D$5:$D$143,A229)</f>
        <v>0</v>
      </c>
      <c r="H229" s="69">
        <f>SUMIFS(CT!$F$5:$F$143,CT!$A$5:$A$143,"&lt;"&amp;$I$3,CT!$E$5:$E$143,A229)</f>
        <v>0</v>
      </c>
      <c r="I229" s="69">
        <f>SUMIFS(CT!$H$5:$H$143,CT!$A$5:$A$143,"&lt;"&amp;$I$3,CT!$E$5:$E$143,A229)</f>
        <v>0</v>
      </c>
      <c r="J229" s="69">
        <f t="shared" si="18"/>
        <v>0</v>
      </c>
      <c r="K229" s="69">
        <f t="shared" si="19"/>
        <v>0</v>
      </c>
      <c r="L229" s="69">
        <f>SUMIFS(CT!$F$5:$F$143,CT!$A$5:$A$143,"&gt;="&amp;$I$3,CT!$A$5:$A$143,"&lt;="&amp;$K$3,CT!$D$5:$D$143,A229)</f>
        <v>0</v>
      </c>
      <c r="M229" s="69">
        <f>SUMIFS(CT!$H$5:$H$143,CT!$A$5:$A$143,"&gt;="&amp;$I$3,CT!$A$5:$A$143,"&lt;="&amp;$K$3,CT!$D$5:$D$143,A229)</f>
        <v>0</v>
      </c>
      <c r="N229" s="69">
        <f>SUMIFS(CT!$F$5:$F$143,CT!$A$5:$A$143,"&gt;="&amp;$I$3,CT!$A$5:$A$143,"&lt;="&amp;$K$3,CT!$E$5:$E$143,A229)</f>
        <v>0</v>
      </c>
      <c r="O229" s="69">
        <f>SUMIFS(CT!$H$5:$H$143,CT!$A$5:$A$143,"&gt;="&amp;$I$3,CT!$A$5:$A$143,"&lt;="&amp;$K$3,CT!$E$5:$E$143,A229)</f>
        <v>0</v>
      </c>
      <c r="P229" s="69">
        <f t="shared" si="20"/>
        <v>0</v>
      </c>
      <c r="Q229" s="69">
        <f t="shared" si="21"/>
        <v>0</v>
      </c>
      <c r="R229" s="69">
        <f t="shared" si="22"/>
        <v>0</v>
      </c>
      <c r="S229" t="b">
        <f t="shared" si="23"/>
        <v>0</v>
      </c>
    </row>
    <row r="230" spans="1:19" hidden="1" x14ac:dyDescent="0.25">
      <c r="A230" s="93" t="str">
        <f>DMTK!B227</f>
        <v>6273</v>
      </c>
      <c r="B230" s="65" t="str">
        <f>VLOOKUP(A230,DMTK!$B$5:$Q$263,3,0)</f>
        <v>Chi phí dụng cụ sản xuất</v>
      </c>
      <c r="C230" s="65" t="str">
        <f>VLOOKUP(A230,DMTK!$B$5:$Q$263,16,0)</f>
        <v xml:space="preserve"> </v>
      </c>
      <c r="D230" s="69">
        <f>VLOOKUP(A230,DMTK!$B$5:$Q$263,4,0)</f>
        <v>0</v>
      </c>
      <c r="E230" s="69">
        <f>VLOOKUP(A230,DMTK!$B$5:$Q$263,5,0)</f>
        <v>0</v>
      </c>
      <c r="F230" s="69">
        <f>SUMIFS(CT!$F$5:$F$143,CT!$A$5:$A$143,"&lt;"&amp;$I$3,CT!$D$5:$D$143,A230)</f>
        <v>0</v>
      </c>
      <c r="G230" s="69">
        <f>SUMIFS(CT!$H$5:$H$143,CT!$A$5:$A$143,"&lt;"&amp;$I$3,CT!$D$5:$D$143,A230)</f>
        <v>0</v>
      </c>
      <c r="H230" s="69">
        <f>SUMIFS(CT!$F$5:$F$143,CT!$A$5:$A$143,"&lt;"&amp;$I$3,CT!$E$5:$E$143,A230)</f>
        <v>0</v>
      </c>
      <c r="I230" s="69">
        <f>SUMIFS(CT!$H$5:$H$143,CT!$A$5:$A$143,"&lt;"&amp;$I$3,CT!$E$5:$E$143,A230)</f>
        <v>0</v>
      </c>
      <c r="J230" s="69">
        <f t="shared" si="18"/>
        <v>0</v>
      </c>
      <c r="K230" s="69">
        <f t="shared" si="19"/>
        <v>0</v>
      </c>
      <c r="L230" s="69">
        <f>SUMIFS(CT!$F$5:$F$143,CT!$A$5:$A$143,"&gt;="&amp;$I$3,CT!$A$5:$A$143,"&lt;="&amp;$K$3,CT!$D$5:$D$143,A230)</f>
        <v>60</v>
      </c>
      <c r="M230" s="69">
        <f>SUMIFS(CT!$H$5:$H$143,CT!$A$5:$A$143,"&gt;="&amp;$I$3,CT!$A$5:$A$143,"&lt;="&amp;$K$3,CT!$D$5:$D$143,A230)</f>
        <v>500000</v>
      </c>
      <c r="N230" s="69">
        <f>SUMIFS(CT!$F$5:$F$143,CT!$A$5:$A$143,"&gt;="&amp;$I$3,CT!$A$5:$A$143,"&lt;="&amp;$K$3,CT!$E$5:$E$143,A230)</f>
        <v>0</v>
      </c>
      <c r="O230" s="69">
        <f>SUMIFS(CT!$H$5:$H$143,CT!$A$5:$A$143,"&gt;="&amp;$I$3,CT!$A$5:$A$143,"&lt;="&amp;$K$3,CT!$E$5:$E$143,A230)</f>
        <v>500000</v>
      </c>
      <c r="P230" s="69">
        <f t="shared" si="20"/>
        <v>60</v>
      </c>
      <c r="Q230" s="69">
        <f t="shared" si="21"/>
        <v>0</v>
      </c>
      <c r="R230" s="69">
        <f t="shared" si="22"/>
        <v>0</v>
      </c>
      <c r="S230" t="b">
        <f t="shared" si="23"/>
        <v>0</v>
      </c>
    </row>
    <row r="231" spans="1:19" hidden="1" x14ac:dyDescent="0.25">
      <c r="A231" s="93" t="str">
        <f>DMTK!B228</f>
        <v>6274</v>
      </c>
      <c r="B231" s="65" t="str">
        <f>VLOOKUP(A231,DMTK!$B$5:$Q$263,3,0)</f>
        <v>Chi phí khấu hao TSCĐ</v>
      </c>
      <c r="C231" s="65" t="str">
        <f>VLOOKUP(A231,DMTK!$B$5:$Q$263,16,0)</f>
        <v xml:space="preserve"> </v>
      </c>
      <c r="D231" s="69">
        <f>VLOOKUP(A231,DMTK!$B$5:$Q$263,4,0)</f>
        <v>0</v>
      </c>
      <c r="E231" s="69">
        <f>VLOOKUP(A231,DMTK!$B$5:$Q$263,5,0)</f>
        <v>0</v>
      </c>
      <c r="F231" s="69">
        <f>SUMIFS(CT!$F$5:$F$143,CT!$A$5:$A$143,"&lt;"&amp;$I$3,CT!$D$5:$D$143,A231)</f>
        <v>0</v>
      </c>
      <c r="G231" s="69">
        <f>SUMIFS(CT!$H$5:$H$143,CT!$A$5:$A$143,"&lt;"&amp;$I$3,CT!$D$5:$D$143,A231)</f>
        <v>0</v>
      </c>
      <c r="H231" s="69">
        <f>SUMIFS(CT!$F$5:$F$143,CT!$A$5:$A$143,"&lt;"&amp;$I$3,CT!$E$5:$E$143,A231)</f>
        <v>0</v>
      </c>
      <c r="I231" s="69">
        <f>SUMIFS(CT!$H$5:$H$143,CT!$A$5:$A$143,"&lt;"&amp;$I$3,CT!$E$5:$E$143,A231)</f>
        <v>0</v>
      </c>
      <c r="J231" s="69">
        <f t="shared" si="18"/>
        <v>0</v>
      </c>
      <c r="K231" s="69">
        <f t="shared" si="19"/>
        <v>0</v>
      </c>
      <c r="L231" s="69">
        <f>SUMIFS(CT!$F$5:$F$143,CT!$A$5:$A$143,"&gt;="&amp;$I$3,CT!$A$5:$A$143,"&lt;="&amp;$K$3,CT!$D$5:$D$143,A231)</f>
        <v>0</v>
      </c>
      <c r="M231" s="69">
        <f>SUMIFS(CT!$H$5:$H$143,CT!$A$5:$A$143,"&gt;="&amp;$I$3,CT!$A$5:$A$143,"&lt;="&amp;$K$3,CT!$D$5:$D$143,A231)</f>
        <v>1666666</v>
      </c>
      <c r="N231" s="69">
        <f>SUMIFS(CT!$F$5:$F$143,CT!$A$5:$A$143,"&gt;="&amp;$I$3,CT!$A$5:$A$143,"&lt;="&amp;$K$3,CT!$E$5:$E$143,A231)</f>
        <v>0</v>
      </c>
      <c r="O231" s="69">
        <f>SUMIFS(CT!$H$5:$H$143,CT!$A$5:$A$143,"&gt;="&amp;$I$3,CT!$A$5:$A$143,"&lt;="&amp;$K$3,CT!$E$5:$E$143,A231)</f>
        <v>1666666</v>
      </c>
      <c r="P231" s="69">
        <f t="shared" si="20"/>
        <v>0</v>
      </c>
      <c r="Q231" s="69">
        <f t="shared" si="21"/>
        <v>0</v>
      </c>
      <c r="R231" s="69">
        <f t="shared" si="22"/>
        <v>0</v>
      </c>
      <c r="S231" t="b">
        <f t="shared" si="23"/>
        <v>0</v>
      </c>
    </row>
    <row r="232" spans="1:19" hidden="1" x14ac:dyDescent="0.25">
      <c r="A232" s="93" t="str">
        <f>DMTK!B229</f>
        <v>6277</v>
      </c>
      <c r="B232" s="65" t="str">
        <f>VLOOKUP(A232,DMTK!$B$5:$Q$263,3,0)</f>
        <v>Chi phí dịch vụ mua ngoài</v>
      </c>
      <c r="C232" s="65" t="str">
        <f>VLOOKUP(A232,DMTK!$B$5:$Q$263,16,0)</f>
        <v xml:space="preserve"> </v>
      </c>
      <c r="D232" s="69">
        <f>VLOOKUP(A232,DMTK!$B$5:$Q$263,4,0)</f>
        <v>0</v>
      </c>
      <c r="E232" s="69">
        <f>VLOOKUP(A232,DMTK!$B$5:$Q$263,5,0)</f>
        <v>0</v>
      </c>
      <c r="F232" s="69">
        <f>SUMIFS(CT!$F$5:$F$143,CT!$A$5:$A$143,"&lt;"&amp;$I$3,CT!$D$5:$D$143,A232)</f>
        <v>0</v>
      </c>
      <c r="G232" s="69">
        <f>SUMIFS(CT!$H$5:$H$143,CT!$A$5:$A$143,"&lt;"&amp;$I$3,CT!$D$5:$D$143,A232)</f>
        <v>0</v>
      </c>
      <c r="H232" s="69">
        <f>SUMIFS(CT!$F$5:$F$143,CT!$A$5:$A$143,"&lt;"&amp;$I$3,CT!$E$5:$E$143,A232)</f>
        <v>0</v>
      </c>
      <c r="I232" s="69">
        <f>SUMIFS(CT!$H$5:$H$143,CT!$A$5:$A$143,"&lt;"&amp;$I$3,CT!$E$5:$E$143,A232)</f>
        <v>0</v>
      </c>
      <c r="J232" s="69">
        <f t="shared" si="18"/>
        <v>0</v>
      </c>
      <c r="K232" s="69">
        <f t="shared" si="19"/>
        <v>0</v>
      </c>
      <c r="L232" s="69">
        <f>SUMIFS(CT!$F$5:$F$143,CT!$A$5:$A$143,"&gt;="&amp;$I$3,CT!$A$5:$A$143,"&lt;="&amp;$K$3,CT!$D$5:$D$143,A232)</f>
        <v>0</v>
      </c>
      <c r="M232" s="69">
        <f>SUMIFS(CT!$H$5:$H$143,CT!$A$5:$A$143,"&gt;="&amp;$I$3,CT!$A$5:$A$143,"&lt;="&amp;$K$3,CT!$D$5:$D$143,A232)</f>
        <v>0</v>
      </c>
      <c r="N232" s="69">
        <f>SUMIFS(CT!$F$5:$F$143,CT!$A$5:$A$143,"&gt;="&amp;$I$3,CT!$A$5:$A$143,"&lt;="&amp;$K$3,CT!$E$5:$E$143,A232)</f>
        <v>0</v>
      </c>
      <c r="O232" s="69">
        <f>SUMIFS(CT!$H$5:$H$143,CT!$A$5:$A$143,"&gt;="&amp;$I$3,CT!$A$5:$A$143,"&lt;="&amp;$K$3,CT!$E$5:$E$143,A232)</f>
        <v>0</v>
      </c>
      <c r="P232" s="69">
        <f t="shared" si="20"/>
        <v>0</v>
      </c>
      <c r="Q232" s="69">
        <f t="shared" si="21"/>
        <v>0</v>
      </c>
      <c r="R232" s="69">
        <f t="shared" si="22"/>
        <v>0</v>
      </c>
      <c r="S232" t="b">
        <f t="shared" si="23"/>
        <v>0</v>
      </c>
    </row>
    <row r="233" spans="1:19" hidden="1" x14ac:dyDescent="0.25">
      <c r="A233" s="93" t="str">
        <f>DMTK!B230</f>
        <v>6278</v>
      </c>
      <c r="B233" s="65" t="str">
        <f>VLOOKUP(A233,DMTK!$B$5:$Q$263,3,0)</f>
        <v>Chi phí bằng tiền khác</v>
      </c>
      <c r="C233" s="65" t="str">
        <f>VLOOKUP(A233,DMTK!$B$5:$Q$263,16,0)</f>
        <v xml:space="preserve"> </v>
      </c>
      <c r="D233" s="69">
        <f>VLOOKUP(A233,DMTK!$B$5:$Q$263,4,0)</f>
        <v>0</v>
      </c>
      <c r="E233" s="69">
        <f>VLOOKUP(A233,DMTK!$B$5:$Q$263,5,0)</f>
        <v>0</v>
      </c>
      <c r="F233" s="69">
        <f>SUMIFS(CT!$F$5:$F$143,CT!$A$5:$A$143,"&lt;"&amp;$I$3,CT!$D$5:$D$143,A233)</f>
        <v>0</v>
      </c>
      <c r="G233" s="69">
        <f>SUMIFS(CT!$H$5:$H$143,CT!$A$5:$A$143,"&lt;"&amp;$I$3,CT!$D$5:$D$143,A233)</f>
        <v>0</v>
      </c>
      <c r="H233" s="69">
        <f>SUMIFS(CT!$F$5:$F$143,CT!$A$5:$A$143,"&lt;"&amp;$I$3,CT!$E$5:$E$143,A233)</f>
        <v>0</v>
      </c>
      <c r="I233" s="69">
        <f>SUMIFS(CT!$H$5:$H$143,CT!$A$5:$A$143,"&lt;"&amp;$I$3,CT!$E$5:$E$143,A233)</f>
        <v>0</v>
      </c>
      <c r="J233" s="69">
        <f t="shared" si="18"/>
        <v>0</v>
      </c>
      <c r="K233" s="69">
        <f t="shared" si="19"/>
        <v>0</v>
      </c>
      <c r="L233" s="69">
        <f>SUMIFS(CT!$F$5:$F$143,CT!$A$5:$A$143,"&gt;="&amp;$I$3,CT!$A$5:$A$143,"&lt;="&amp;$K$3,CT!$D$5:$D$143,A233)</f>
        <v>0</v>
      </c>
      <c r="M233" s="69">
        <f>SUMIFS(CT!$H$5:$H$143,CT!$A$5:$A$143,"&gt;="&amp;$I$3,CT!$A$5:$A$143,"&lt;="&amp;$K$3,CT!$D$5:$D$143,A233)</f>
        <v>0</v>
      </c>
      <c r="N233" s="69">
        <f>SUMIFS(CT!$F$5:$F$143,CT!$A$5:$A$143,"&gt;="&amp;$I$3,CT!$A$5:$A$143,"&lt;="&amp;$K$3,CT!$E$5:$E$143,A233)</f>
        <v>0</v>
      </c>
      <c r="O233" s="69">
        <f>SUMIFS(CT!$H$5:$H$143,CT!$A$5:$A$143,"&gt;="&amp;$I$3,CT!$A$5:$A$143,"&lt;="&amp;$K$3,CT!$E$5:$E$143,A233)</f>
        <v>0</v>
      </c>
      <c r="P233" s="69">
        <f t="shared" si="20"/>
        <v>0</v>
      </c>
      <c r="Q233" s="69">
        <f t="shared" si="21"/>
        <v>0</v>
      </c>
      <c r="R233" s="69">
        <f t="shared" si="22"/>
        <v>0</v>
      </c>
      <c r="S233" t="b">
        <f t="shared" si="23"/>
        <v>0</v>
      </c>
    </row>
    <row r="234" spans="1:19" hidden="1" x14ac:dyDescent="0.25">
      <c r="A234" s="93" t="str">
        <f>DMTK!B231</f>
        <v>631</v>
      </c>
      <c r="B234" s="65" t="str">
        <f>VLOOKUP(A234,DMTK!$B$5:$Q$263,3,0)</f>
        <v>Giá thành sản xuất</v>
      </c>
      <c r="C234" s="65" t="str">
        <f>VLOOKUP(A234,DMTK!$B$5:$Q$263,16,0)</f>
        <v xml:space="preserve"> </v>
      </c>
      <c r="D234" s="69">
        <f>VLOOKUP(A234,DMTK!$B$5:$Q$263,4,0)</f>
        <v>0</v>
      </c>
      <c r="E234" s="69">
        <f>VLOOKUP(A234,DMTK!$B$5:$Q$263,5,0)</f>
        <v>0</v>
      </c>
      <c r="F234" s="69">
        <f>SUMIFS(CT!$F$5:$F$143,CT!$A$5:$A$143,"&lt;"&amp;$I$3,CT!$D$5:$D$143,A234)</f>
        <v>0</v>
      </c>
      <c r="G234" s="69">
        <f>SUMIFS(CT!$H$5:$H$143,CT!$A$5:$A$143,"&lt;"&amp;$I$3,CT!$D$5:$D$143,A234)</f>
        <v>0</v>
      </c>
      <c r="H234" s="69">
        <f>SUMIFS(CT!$F$5:$F$143,CT!$A$5:$A$143,"&lt;"&amp;$I$3,CT!$E$5:$E$143,A234)</f>
        <v>0</v>
      </c>
      <c r="I234" s="69">
        <f>SUMIFS(CT!$H$5:$H$143,CT!$A$5:$A$143,"&lt;"&amp;$I$3,CT!$E$5:$E$143,A234)</f>
        <v>0</v>
      </c>
      <c r="J234" s="69">
        <f t="shared" si="18"/>
        <v>0</v>
      </c>
      <c r="K234" s="69">
        <f t="shared" si="19"/>
        <v>0</v>
      </c>
      <c r="L234" s="69">
        <f>SUMIFS(CT!$F$5:$F$143,CT!$A$5:$A$143,"&gt;="&amp;$I$3,CT!$A$5:$A$143,"&lt;="&amp;$K$3,CT!$D$5:$D$143,A234)</f>
        <v>0</v>
      </c>
      <c r="M234" s="69">
        <f>SUMIFS(CT!$H$5:$H$143,CT!$A$5:$A$143,"&gt;="&amp;$I$3,CT!$A$5:$A$143,"&lt;="&amp;$K$3,CT!$D$5:$D$143,A234)</f>
        <v>0</v>
      </c>
      <c r="N234" s="69">
        <f>SUMIFS(CT!$F$5:$F$143,CT!$A$5:$A$143,"&gt;="&amp;$I$3,CT!$A$5:$A$143,"&lt;="&amp;$K$3,CT!$E$5:$E$143,A234)</f>
        <v>0</v>
      </c>
      <c r="O234" s="69">
        <f>SUMIFS(CT!$H$5:$H$143,CT!$A$5:$A$143,"&gt;="&amp;$I$3,CT!$A$5:$A$143,"&lt;="&amp;$K$3,CT!$E$5:$E$143,A234)</f>
        <v>0</v>
      </c>
      <c r="P234" s="69">
        <f t="shared" si="20"/>
        <v>0</v>
      </c>
      <c r="Q234" s="69">
        <f t="shared" si="21"/>
        <v>0</v>
      </c>
      <c r="R234" s="69">
        <f t="shared" si="22"/>
        <v>0</v>
      </c>
      <c r="S234" t="b">
        <f t="shared" si="23"/>
        <v>0</v>
      </c>
    </row>
    <row r="235" spans="1:19" hidden="1" x14ac:dyDescent="0.25">
      <c r="A235" s="93" t="str">
        <f>DMTK!B232</f>
        <v>632.0101</v>
      </c>
      <c r="B235" s="65" t="str">
        <f>VLOOKUP(A235,DMTK!$B$5:$Q$263,3,0)</f>
        <v>GVHB Ghế tay vịn</v>
      </c>
      <c r="C235" s="65" t="str">
        <f>VLOOKUP(A235,DMTK!$B$5:$Q$263,16,0)</f>
        <v xml:space="preserve"> </v>
      </c>
      <c r="D235" s="69">
        <f>VLOOKUP(A235,DMTK!$B$5:$Q$263,4,0)</f>
        <v>0</v>
      </c>
      <c r="E235" s="69">
        <f>VLOOKUP(A235,DMTK!$B$5:$Q$263,5,0)</f>
        <v>0</v>
      </c>
      <c r="F235" s="69">
        <f>SUMIFS(CT!$F$5:$F$143,CT!$A$5:$A$143,"&lt;"&amp;$I$3,CT!$D$5:$D$143,A235)</f>
        <v>0</v>
      </c>
      <c r="G235" s="69">
        <f>SUMIFS(CT!$H$5:$H$143,CT!$A$5:$A$143,"&lt;"&amp;$I$3,CT!$D$5:$D$143,A235)</f>
        <v>0</v>
      </c>
      <c r="H235" s="69">
        <f>SUMIFS(CT!$F$5:$F$143,CT!$A$5:$A$143,"&lt;"&amp;$I$3,CT!$E$5:$E$143,A235)</f>
        <v>0</v>
      </c>
      <c r="I235" s="69">
        <f>SUMIFS(CT!$H$5:$H$143,CT!$A$5:$A$143,"&lt;"&amp;$I$3,CT!$E$5:$E$143,A235)</f>
        <v>0</v>
      </c>
      <c r="J235" s="69">
        <f t="shared" si="18"/>
        <v>0</v>
      </c>
      <c r="K235" s="69">
        <f t="shared" si="19"/>
        <v>0</v>
      </c>
      <c r="L235" s="69">
        <f>SUMIFS(CT!$F$5:$F$143,CT!$A$5:$A$143,"&gt;="&amp;$I$3,CT!$A$5:$A$143,"&lt;="&amp;$K$3,CT!$D$5:$D$143,A235)</f>
        <v>100</v>
      </c>
      <c r="M235" s="69">
        <f>SUMIFS(CT!$H$5:$H$143,CT!$A$5:$A$143,"&gt;="&amp;$I$3,CT!$A$5:$A$143,"&lt;="&amp;$K$3,CT!$D$5:$D$143,A235)</f>
        <v>25123700</v>
      </c>
      <c r="N235" s="69">
        <f>SUMIFS(CT!$F$5:$F$143,CT!$A$5:$A$143,"&gt;="&amp;$I$3,CT!$A$5:$A$143,"&lt;="&amp;$K$3,CT!$E$5:$E$143,A235)</f>
        <v>0</v>
      </c>
      <c r="O235" s="69">
        <f>SUMIFS(CT!$H$5:$H$143,CT!$A$5:$A$143,"&gt;="&amp;$I$3,CT!$A$5:$A$143,"&lt;="&amp;$K$3,CT!$E$5:$E$143,A235)</f>
        <v>25123700</v>
      </c>
      <c r="P235" s="69">
        <f t="shared" si="20"/>
        <v>100</v>
      </c>
      <c r="Q235" s="69">
        <f t="shared" si="21"/>
        <v>0</v>
      </c>
      <c r="R235" s="69">
        <f t="shared" si="22"/>
        <v>0</v>
      </c>
      <c r="S235" t="b">
        <f t="shared" si="23"/>
        <v>0</v>
      </c>
    </row>
    <row r="236" spans="1:19" hidden="1" x14ac:dyDescent="0.25">
      <c r="A236" s="93" t="str">
        <f>DMTK!B233</f>
        <v>632.0102</v>
      </c>
      <c r="B236" s="65" t="str">
        <f>VLOOKUP(A236,DMTK!$B$5:$Q$263,3,0)</f>
        <v>GVHB Ghế không tay</v>
      </c>
      <c r="C236" s="65" t="str">
        <f>VLOOKUP(A236,DMTK!$B$5:$Q$263,16,0)</f>
        <v xml:space="preserve"> </v>
      </c>
      <c r="D236" s="69">
        <f>VLOOKUP(A236,DMTK!$B$5:$Q$263,4,0)</f>
        <v>0</v>
      </c>
      <c r="E236" s="69">
        <f>VLOOKUP(A236,DMTK!$B$5:$Q$263,5,0)</f>
        <v>0</v>
      </c>
      <c r="F236" s="69">
        <f>SUMIFS(CT!$F$5:$F$143,CT!$A$5:$A$143,"&lt;"&amp;$I$3,CT!$D$5:$D$143,A236)</f>
        <v>0</v>
      </c>
      <c r="G236" s="69">
        <f>SUMIFS(CT!$H$5:$H$143,CT!$A$5:$A$143,"&lt;"&amp;$I$3,CT!$D$5:$D$143,A236)</f>
        <v>0</v>
      </c>
      <c r="H236" s="69">
        <f>SUMIFS(CT!$F$5:$F$143,CT!$A$5:$A$143,"&lt;"&amp;$I$3,CT!$E$5:$E$143,A236)</f>
        <v>0</v>
      </c>
      <c r="I236" s="69">
        <f>SUMIFS(CT!$H$5:$H$143,CT!$A$5:$A$143,"&lt;"&amp;$I$3,CT!$E$5:$E$143,A236)</f>
        <v>0</v>
      </c>
      <c r="J236" s="69">
        <f t="shared" si="18"/>
        <v>0</v>
      </c>
      <c r="K236" s="69">
        <f t="shared" si="19"/>
        <v>0</v>
      </c>
      <c r="L236" s="69">
        <f>SUMIFS(CT!$F$5:$F$143,CT!$A$5:$A$143,"&gt;="&amp;$I$3,CT!$A$5:$A$143,"&lt;="&amp;$K$3,CT!$D$5:$D$143,A236)</f>
        <v>100</v>
      </c>
      <c r="M236" s="69">
        <f>SUMIFS(CT!$H$5:$H$143,CT!$A$5:$A$143,"&gt;="&amp;$I$3,CT!$A$5:$A$143,"&lt;="&amp;$K$3,CT!$D$5:$D$143,A236)</f>
        <v>20346200</v>
      </c>
      <c r="N236" s="69">
        <f>SUMIFS(CT!$F$5:$F$143,CT!$A$5:$A$143,"&gt;="&amp;$I$3,CT!$A$5:$A$143,"&lt;="&amp;$K$3,CT!$E$5:$E$143,A236)</f>
        <v>0</v>
      </c>
      <c r="O236" s="69">
        <f>SUMIFS(CT!$H$5:$H$143,CT!$A$5:$A$143,"&gt;="&amp;$I$3,CT!$A$5:$A$143,"&lt;="&amp;$K$3,CT!$E$5:$E$143,A236)</f>
        <v>20346200</v>
      </c>
      <c r="P236" s="69">
        <f t="shared" si="20"/>
        <v>100</v>
      </c>
      <c r="Q236" s="69">
        <f t="shared" si="21"/>
        <v>0</v>
      </c>
      <c r="R236" s="69">
        <f t="shared" si="22"/>
        <v>0</v>
      </c>
      <c r="S236" t="b">
        <f t="shared" si="23"/>
        <v>0</v>
      </c>
    </row>
    <row r="237" spans="1:19" hidden="1" x14ac:dyDescent="0.25">
      <c r="A237" s="93" t="str">
        <f>DMTK!B234</f>
        <v>632.0201</v>
      </c>
      <c r="B237" s="65" t="str">
        <f>VLOOKUP(A237,DMTK!$B$5:$Q$263,3,0)</f>
        <v>GVHB Bàn tròn</v>
      </c>
      <c r="C237" s="65" t="str">
        <f>VLOOKUP(A237,DMTK!$B$5:$Q$263,16,0)</f>
        <v xml:space="preserve"> </v>
      </c>
      <c r="D237" s="69">
        <f>VLOOKUP(A237,DMTK!$B$5:$Q$263,4,0)</f>
        <v>0</v>
      </c>
      <c r="E237" s="69">
        <f>VLOOKUP(A237,DMTK!$B$5:$Q$263,5,0)</f>
        <v>0</v>
      </c>
      <c r="F237" s="69">
        <f>SUMIFS(CT!$F$5:$F$143,CT!$A$5:$A$143,"&lt;"&amp;$I$3,CT!$D$5:$D$143,A237)</f>
        <v>0</v>
      </c>
      <c r="G237" s="69">
        <f>SUMIFS(CT!$H$5:$H$143,CT!$A$5:$A$143,"&lt;"&amp;$I$3,CT!$D$5:$D$143,A237)</f>
        <v>0</v>
      </c>
      <c r="H237" s="69">
        <f>SUMIFS(CT!$F$5:$F$143,CT!$A$5:$A$143,"&lt;"&amp;$I$3,CT!$E$5:$E$143,A237)</f>
        <v>0</v>
      </c>
      <c r="I237" s="69">
        <f>SUMIFS(CT!$H$5:$H$143,CT!$A$5:$A$143,"&lt;"&amp;$I$3,CT!$E$5:$E$143,A237)</f>
        <v>0</v>
      </c>
      <c r="J237" s="69">
        <f t="shared" si="18"/>
        <v>0</v>
      </c>
      <c r="K237" s="69">
        <f t="shared" si="19"/>
        <v>0</v>
      </c>
      <c r="L237" s="69">
        <f>SUMIFS(CT!$F$5:$F$143,CT!$A$5:$A$143,"&gt;="&amp;$I$3,CT!$A$5:$A$143,"&lt;="&amp;$K$3,CT!$D$5:$D$143,A237)</f>
        <v>0</v>
      </c>
      <c r="M237" s="69">
        <f>SUMIFS(CT!$H$5:$H$143,CT!$A$5:$A$143,"&gt;="&amp;$I$3,CT!$A$5:$A$143,"&lt;="&amp;$K$3,CT!$D$5:$D$143,A237)</f>
        <v>0</v>
      </c>
      <c r="N237" s="69">
        <f>SUMIFS(CT!$F$5:$F$143,CT!$A$5:$A$143,"&gt;="&amp;$I$3,CT!$A$5:$A$143,"&lt;="&amp;$K$3,CT!$E$5:$E$143,A237)</f>
        <v>0</v>
      </c>
      <c r="O237" s="69">
        <f>SUMIFS(CT!$H$5:$H$143,CT!$A$5:$A$143,"&gt;="&amp;$I$3,CT!$A$5:$A$143,"&lt;="&amp;$K$3,CT!$E$5:$E$143,A237)</f>
        <v>0</v>
      </c>
      <c r="P237" s="69">
        <f t="shared" si="20"/>
        <v>0</v>
      </c>
      <c r="Q237" s="69">
        <f t="shared" si="21"/>
        <v>0</v>
      </c>
      <c r="R237" s="69">
        <f t="shared" si="22"/>
        <v>0</v>
      </c>
      <c r="S237" t="b">
        <f t="shared" si="23"/>
        <v>0</v>
      </c>
    </row>
    <row r="238" spans="1:19" hidden="1" x14ac:dyDescent="0.25">
      <c r="A238" s="93" t="str">
        <f>DMTK!B235</f>
        <v>632.0202</v>
      </c>
      <c r="B238" s="65" t="str">
        <f>VLOOKUP(A238,DMTK!$B$5:$Q$263,3,0)</f>
        <v>GVHB Bàn oval</v>
      </c>
      <c r="C238" s="65" t="str">
        <f>VLOOKUP(A238,DMTK!$B$5:$Q$263,16,0)</f>
        <v xml:space="preserve"> </v>
      </c>
      <c r="D238" s="69">
        <f>VLOOKUP(A238,DMTK!$B$5:$Q$263,4,0)</f>
        <v>0</v>
      </c>
      <c r="E238" s="69">
        <f>VLOOKUP(A238,DMTK!$B$5:$Q$263,5,0)</f>
        <v>0</v>
      </c>
      <c r="F238" s="69">
        <f>SUMIFS(CT!$F$5:$F$143,CT!$A$5:$A$143,"&lt;"&amp;$I$3,CT!$D$5:$D$143,A238)</f>
        <v>0</v>
      </c>
      <c r="G238" s="69">
        <f>SUMIFS(CT!$H$5:$H$143,CT!$A$5:$A$143,"&lt;"&amp;$I$3,CT!$D$5:$D$143,A238)</f>
        <v>0</v>
      </c>
      <c r="H238" s="69">
        <f>SUMIFS(CT!$F$5:$F$143,CT!$A$5:$A$143,"&lt;"&amp;$I$3,CT!$E$5:$E$143,A238)</f>
        <v>0</v>
      </c>
      <c r="I238" s="69">
        <f>SUMIFS(CT!$H$5:$H$143,CT!$A$5:$A$143,"&lt;"&amp;$I$3,CT!$E$5:$E$143,A238)</f>
        <v>0</v>
      </c>
      <c r="J238" s="69">
        <f t="shared" si="18"/>
        <v>0</v>
      </c>
      <c r="K238" s="69">
        <f t="shared" si="19"/>
        <v>0</v>
      </c>
      <c r="L238" s="69">
        <f>SUMIFS(CT!$F$5:$F$143,CT!$A$5:$A$143,"&gt;="&amp;$I$3,CT!$A$5:$A$143,"&lt;="&amp;$K$3,CT!$D$5:$D$143,A238)</f>
        <v>50</v>
      </c>
      <c r="M238" s="69">
        <f>SUMIFS(CT!$H$5:$H$143,CT!$A$5:$A$143,"&gt;="&amp;$I$3,CT!$A$5:$A$143,"&lt;="&amp;$K$3,CT!$D$5:$D$143,A238)</f>
        <v>25000000</v>
      </c>
      <c r="N238" s="69">
        <f>SUMIFS(CT!$F$5:$F$143,CT!$A$5:$A$143,"&gt;="&amp;$I$3,CT!$A$5:$A$143,"&lt;="&amp;$K$3,CT!$E$5:$E$143,A238)</f>
        <v>0</v>
      </c>
      <c r="O238" s="69">
        <f>SUMIFS(CT!$H$5:$H$143,CT!$A$5:$A$143,"&gt;="&amp;$I$3,CT!$A$5:$A$143,"&lt;="&amp;$K$3,CT!$E$5:$E$143,A238)</f>
        <v>25000000</v>
      </c>
      <c r="P238" s="69">
        <f t="shared" si="20"/>
        <v>50</v>
      </c>
      <c r="Q238" s="69">
        <f t="shared" si="21"/>
        <v>0</v>
      </c>
      <c r="R238" s="69">
        <f t="shared" si="22"/>
        <v>0</v>
      </c>
      <c r="S238" t="b">
        <f t="shared" si="23"/>
        <v>0</v>
      </c>
    </row>
    <row r="239" spans="1:19" hidden="1" x14ac:dyDescent="0.25">
      <c r="A239" s="93" t="str">
        <f>DMTK!B236</f>
        <v>632.0203</v>
      </c>
      <c r="B239" s="65" t="str">
        <f>VLOOKUP(A239,DMTK!$B$5:$Q$263,3,0)</f>
        <v>GVHB Bàn chữ nhật</v>
      </c>
      <c r="C239" s="65" t="str">
        <f>VLOOKUP(A239,DMTK!$B$5:$Q$263,16,0)</f>
        <v xml:space="preserve"> </v>
      </c>
      <c r="D239" s="69">
        <f>VLOOKUP(A239,DMTK!$B$5:$Q$263,4,0)</f>
        <v>0</v>
      </c>
      <c r="E239" s="69">
        <f>VLOOKUP(A239,DMTK!$B$5:$Q$263,5,0)</f>
        <v>0</v>
      </c>
      <c r="F239" s="69">
        <f>SUMIFS(CT!$F$5:$F$143,CT!$A$5:$A$143,"&lt;"&amp;$I$3,CT!$D$5:$D$143,A239)</f>
        <v>0</v>
      </c>
      <c r="G239" s="69">
        <f>SUMIFS(CT!$H$5:$H$143,CT!$A$5:$A$143,"&lt;"&amp;$I$3,CT!$D$5:$D$143,A239)</f>
        <v>0</v>
      </c>
      <c r="H239" s="69">
        <f>SUMIFS(CT!$F$5:$F$143,CT!$A$5:$A$143,"&lt;"&amp;$I$3,CT!$E$5:$E$143,A239)</f>
        <v>0</v>
      </c>
      <c r="I239" s="69">
        <f>SUMIFS(CT!$H$5:$H$143,CT!$A$5:$A$143,"&lt;"&amp;$I$3,CT!$E$5:$E$143,A239)</f>
        <v>0</v>
      </c>
      <c r="J239" s="69">
        <f t="shared" si="18"/>
        <v>0</v>
      </c>
      <c r="K239" s="69">
        <f t="shared" si="19"/>
        <v>0</v>
      </c>
      <c r="L239" s="69">
        <f>SUMIFS(CT!$F$5:$F$143,CT!$A$5:$A$143,"&gt;="&amp;$I$3,CT!$A$5:$A$143,"&lt;="&amp;$K$3,CT!$D$5:$D$143,A239)</f>
        <v>0</v>
      </c>
      <c r="M239" s="69">
        <f>SUMIFS(CT!$H$5:$H$143,CT!$A$5:$A$143,"&gt;="&amp;$I$3,CT!$A$5:$A$143,"&lt;="&amp;$K$3,CT!$D$5:$D$143,A239)</f>
        <v>0</v>
      </c>
      <c r="N239" s="69">
        <f>SUMIFS(CT!$F$5:$F$143,CT!$A$5:$A$143,"&gt;="&amp;$I$3,CT!$A$5:$A$143,"&lt;="&amp;$K$3,CT!$E$5:$E$143,A239)</f>
        <v>0</v>
      </c>
      <c r="O239" s="69">
        <f>SUMIFS(CT!$H$5:$H$143,CT!$A$5:$A$143,"&gt;="&amp;$I$3,CT!$A$5:$A$143,"&lt;="&amp;$K$3,CT!$E$5:$E$143,A239)</f>
        <v>0</v>
      </c>
      <c r="P239" s="69">
        <f t="shared" si="20"/>
        <v>0</v>
      </c>
      <c r="Q239" s="69">
        <f t="shared" si="21"/>
        <v>0</v>
      </c>
      <c r="R239" s="69">
        <f t="shared" si="22"/>
        <v>0</v>
      </c>
      <c r="S239" t="b">
        <f t="shared" si="23"/>
        <v>0</v>
      </c>
    </row>
    <row r="240" spans="1:19" hidden="1" x14ac:dyDescent="0.25">
      <c r="A240" s="93" t="str">
        <f>DMTK!B237</f>
        <v>635</v>
      </c>
      <c r="B240" s="65" t="str">
        <f>VLOOKUP(A240,DMTK!$B$5:$Q$263,3,0)</f>
        <v>Chi phí tài chính</v>
      </c>
      <c r="C240" s="65" t="str">
        <f>VLOOKUP(A240,DMTK!$B$5:$Q$263,16,0)</f>
        <v xml:space="preserve"> </v>
      </c>
      <c r="D240" s="69">
        <f>VLOOKUP(A240,DMTK!$B$5:$Q$263,4,0)</f>
        <v>0</v>
      </c>
      <c r="E240" s="69">
        <f>VLOOKUP(A240,DMTK!$B$5:$Q$263,5,0)</f>
        <v>0</v>
      </c>
      <c r="F240" s="69">
        <f>SUMIFS(CT!$F$5:$F$143,CT!$A$5:$A$143,"&lt;"&amp;$I$3,CT!$D$5:$D$143,A240)</f>
        <v>0</v>
      </c>
      <c r="G240" s="69">
        <f>SUMIFS(CT!$H$5:$H$143,CT!$A$5:$A$143,"&lt;"&amp;$I$3,CT!$D$5:$D$143,A240)</f>
        <v>0</v>
      </c>
      <c r="H240" s="69">
        <f>SUMIFS(CT!$F$5:$F$143,CT!$A$5:$A$143,"&lt;"&amp;$I$3,CT!$E$5:$E$143,A240)</f>
        <v>0</v>
      </c>
      <c r="I240" s="69">
        <f>SUMIFS(CT!$H$5:$H$143,CT!$A$5:$A$143,"&lt;"&amp;$I$3,CT!$E$5:$E$143,A240)</f>
        <v>0</v>
      </c>
      <c r="J240" s="69">
        <f t="shared" si="18"/>
        <v>0</v>
      </c>
      <c r="K240" s="69">
        <f t="shared" si="19"/>
        <v>0</v>
      </c>
      <c r="L240" s="69">
        <f>SUMIFS(CT!$F$5:$F$143,CT!$A$5:$A$143,"&gt;="&amp;$I$3,CT!$A$5:$A$143,"&lt;="&amp;$K$3,CT!$D$5:$D$143,A240)</f>
        <v>0</v>
      </c>
      <c r="M240" s="69">
        <f>SUMIFS(CT!$H$5:$H$143,CT!$A$5:$A$143,"&gt;="&amp;$I$3,CT!$A$5:$A$143,"&lt;="&amp;$K$3,CT!$D$5:$D$143,A240)</f>
        <v>0</v>
      </c>
      <c r="N240" s="69">
        <f>SUMIFS(CT!$F$5:$F$143,CT!$A$5:$A$143,"&gt;="&amp;$I$3,CT!$A$5:$A$143,"&lt;="&amp;$K$3,CT!$E$5:$E$143,A240)</f>
        <v>0</v>
      </c>
      <c r="O240" s="69">
        <f>SUMIFS(CT!$H$5:$H$143,CT!$A$5:$A$143,"&gt;="&amp;$I$3,CT!$A$5:$A$143,"&lt;="&amp;$K$3,CT!$E$5:$E$143,A240)</f>
        <v>0</v>
      </c>
      <c r="P240" s="69">
        <f t="shared" si="20"/>
        <v>0</v>
      </c>
      <c r="Q240" s="69">
        <f t="shared" si="21"/>
        <v>0</v>
      </c>
      <c r="R240" s="69">
        <f t="shared" si="22"/>
        <v>0</v>
      </c>
      <c r="S240" t="b">
        <f t="shared" si="23"/>
        <v>0</v>
      </c>
    </row>
    <row r="241" spans="1:19" hidden="1" x14ac:dyDescent="0.25">
      <c r="A241" s="93" t="str">
        <f>DMTK!B238</f>
        <v>6351</v>
      </c>
      <c r="B241" s="65" t="str">
        <f>VLOOKUP(A241,DMTK!$B$5:$Q$263,3,0)</f>
        <v>Chi phí lãi vay</v>
      </c>
      <c r="C241" s="65" t="str">
        <f>VLOOKUP(A241,DMTK!$B$5:$Q$263,16,0)</f>
        <v xml:space="preserve"> </v>
      </c>
      <c r="D241" s="69">
        <f>VLOOKUP(A241,DMTK!$B$5:$Q$263,4,0)</f>
        <v>0</v>
      </c>
      <c r="E241" s="69">
        <f>VLOOKUP(A241,DMTK!$B$5:$Q$263,5,0)</f>
        <v>0</v>
      </c>
      <c r="F241" s="69">
        <f>SUMIFS(CT!$F$5:$F$143,CT!$A$5:$A$143,"&lt;"&amp;$I$3,CT!$D$5:$D$143,A241)</f>
        <v>0</v>
      </c>
      <c r="G241" s="69">
        <f>SUMIFS(CT!$H$5:$H$143,CT!$A$5:$A$143,"&lt;"&amp;$I$3,CT!$D$5:$D$143,A241)</f>
        <v>0</v>
      </c>
      <c r="H241" s="69">
        <f>SUMIFS(CT!$F$5:$F$143,CT!$A$5:$A$143,"&lt;"&amp;$I$3,CT!$E$5:$E$143,A241)</f>
        <v>0</v>
      </c>
      <c r="I241" s="69">
        <f>SUMIFS(CT!$H$5:$H$143,CT!$A$5:$A$143,"&lt;"&amp;$I$3,CT!$E$5:$E$143,A241)</f>
        <v>0</v>
      </c>
      <c r="J241" s="69">
        <f t="shared" si="18"/>
        <v>0</v>
      </c>
      <c r="K241" s="69">
        <f t="shared" si="19"/>
        <v>0</v>
      </c>
      <c r="L241" s="69">
        <f>SUMIFS(CT!$F$5:$F$143,CT!$A$5:$A$143,"&gt;="&amp;$I$3,CT!$A$5:$A$143,"&lt;="&amp;$K$3,CT!$D$5:$D$143,A241)</f>
        <v>0</v>
      </c>
      <c r="M241" s="69">
        <f>SUMIFS(CT!$H$5:$H$143,CT!$A$5:$A$143,"&gt;="&amp;$I$3,CT!$A$5:$A$143,"&lt;="&amp;$K$3,CT!$D$5:$D$143,A241)</f>
        <v>0</v>
      </c>
      <c r="N241" s="69">
        <f>SUMIFS(CT!$F$5:$F$143,CT!$A$5:$A$143,"&gt;="&amp;$I$3,CT!$A$5:$A$143,"&lt;="&amp;$K$3,CT!$E$5:$E$143,A241)</f>
        <v>0</v>
      </c>
      <c r="O241" s="69">
        <f>SUMIFS(CT!$H$5:$H$143,CT!$A$5:$A$143,"&gt;="&amp;$I$3,CT!$A$5:$A$143,"&lt;="&amp;$K$3,CT!$E$5:$E$143,A241)</f>
        <v>0</v>
      </c>
      <c r="P241" s="69">
        <f t="shared" si="20"/>
        <v>0</v>
      </c>
      <c r="Q241" s="69">
        <f t="shared" si="21"/>
        <v>0</v>
      </c>
      <c r="R241" s="69">
        <f t="shared" si="22"/>
        <v>0</v>
      </c>
      <c r="S241" t="b">
        <f t="shared" si="23"/>
        <v>0</v>
      </c>
    </row>
    <row r="242" spans="1:19" hidden="1" x14ac:dyDescent="0.25">
      <c r="A242" s="93" t="str">
        <f>DMTK!B239</f>
        <v>6411</v>
      </c>
      <c r="B242" s="65" t="str">
        <f>VLOOKUP(A242,DMTK!$B$5:$Q$263,3,0)</f>
        <v xml:space="preserve">Chi phí nhân viên </v>
      </c>
      <c r="C242" s="65" t="str">
        <f>VLOOKUP(A242,DMTK!$B$5:$Q$263,16,0)</f>
        <v xml:space="preserve"> </v>
      </c>
      <c r="D242" s="69">
        <f>VLOOKUP(A242,DMTK!$B$5:$Q$263,4,0)</f>
        <v>0</v>
      </c>
      <c r="E242" s="69">
        <f>VLOOKUP(A242,DMTK!$B$5:$Q$263,5,0)</f>
        <v>0</v>
      </c>
      <c r="F242" s="69">
        <f>SUMIFS(CT!$F$5:$F$143,CT!$A$5:$A$143,"&lt;"&amp;$I$3,CT!$D$5:$D$143,A242)</f>
        <v>0</v>
      </c>
      <c r="G242" s="69">
        <f>SUMIFS(CT!$H$5:$H$143,CT!$A$5:$A$143,"&lt;"&amp;$I$3,CT!$D$5:$D$143,A242)</f>
        <v>0</v>
      </c>
      <c r="H242" s="69">
        <f>SUMIFS(CT!$F$5:$F$143,CT!$A$5:$A$143,"&lt;"&amp;$I$3,CT!$E$5:$E$143,A242)</f>
        <v>0</v>
      </c>
      <c r="I242" s="69">
        <f>SUMIFS(CT!$H$5:$H$143,CT!$A$5:$A$143,"&lt;"&amp;$I$3,CT!$E$5:$E$143,A242)</f>
        <v>0</v>
      </c>
      <c r="J242" s="69">
        <f t="shared" si="18"/>
        <v>0</v>
      </c>
      <c r="K242" s="69">
        <f t="shared" si="19"/>
        <v>0</v>
      </c>
      <c r="L242" s="69">
        <f>SUMIFS(CT!$F$5:$F$143,CT!$A$5:$A$143,"&gt;="&amp;$I$3,CT!$A$5:$A$143,"&lt;="&amp;$K$3,CT!$D$5:$D$143,A242)</f>
        <v>0</v>
      </c>
      <c r="M242" s="69">
        <f>SUMIFS(CT!$H$5:$H$143,CT!$A$5:$A$143,"&gt;="&amp;$I$3,CT!$A$5:$A$143,"&lt;="&amp;$K$3,CT!$D$5:$D$143,A242)</f>
        <v>6100000</v>
      </c>
      <c r="N242" s="69">
        <f>SUMIFS(CT!$F$5:$F$143,CT!$A$5:$A$143,"&gt;="&amp;$I$3,CT!$A$5:$A$143,"&lt;="&amp;$K$3,CT!$E$5:$E$143,A242)</f>
        <v>0</v>
      </c>
      <c r="O242" s="69">
        <f>SUMIFS(CT!$H$5:$H$143,CT!$A$5:$A$143,"&gt;="&amp;$I$3,CT!$A$5:$A$143,"&lt;="&amp;$K$3,CT!$E$5:$E$143,A242)</f>
        <v>6100000</v>
      </c>
      <c r="P242" s="69">
        <f t="shared" si="20"/>
        <v>0</v>
      </c>
      <c r="Q242" s="69">
        <f t="shared" si="21"/>
        <v>0</v>
      </c>
      <c r="R242" s="69">
        <f t="shared" si="22"/>
        <v>0</v>
      </c>
      <c r="S242" t="b">
        <f t="shared" si="23"/>
        <v>0</v>
      </c>
    </row>
    <row r="243" spans="1:19" hidden="1" x14ac:dyDescent="0.25">
      <c r="A243" s="93" t="str">
        <f>DMTK!B240</f>
        <v>6412</v>
      </c>
      <c r="B243" s="65" t="str">
        <f>VLOOKUP(A243,DMTK!$B$5:$Q$263,3,0)</f>
        <v>Chi phí nguyên vật liệu, bao bì</v>
      </c>
      <c r="C243" s="65" t="str">
        <f>VLOOKUP(A243,DMTK!$B$5:$Q$263,16,0)</f>
        <v xml:space="preserve"> </v>
      </c>
      <c r="D243" s="69">
        <f>VLOOKUP(A243,DMTK!$B$5:$Q$263,4,0)</f>
        <v>0</v>
      </c>
      <c r="E243" s="69">
        <f>VLOOKUP(A243,DMTK!$B$5:$Q$263,5,0)</f>
        <v>0</v>
      </c>
      <c r="F243" s="69">
        <f>SUMIFS(CT!$F$5:$F$143,CT!$A$5:$A$143,"&lt;"&amp;$I$3,CT!$D$5:$D$143,A243)</f>
        <v>0</v>
      </c>
      <c r="G243" s="69">
        <f>SUMIFS(CT!$H$5:$H$143,CT!$A$5:$A$143,"&lt;"&amp;$I$3,CT!$D$5:$D$143,A243)</f>
        <v>0</v>
      </c>
      <c r="H243" s="69">
        <f>SUMIFS(CT!$F$5:$F$143,CT!$A$5:$A$143,"&lt;"&amp;$I$3,CT!$E$5:$E$143,A243)</f>
        <v>0</v>
      </c>
      <c r="I243" s="69">
        <f>SUMIFS(CT!$H$5:$H$143,CT!$A$5:$A$143,"&lt;"&amp;$I$3,CT!$E$5:$E$143,A243)</f>
        <v>0</v>
      </c>
      <c r="J243" s="69">
        <f t="shared" si="18"/>
        <v>0</v>
      </c>
      <c r="K243" s="69">
        <f t="shared" si="19"/>
        <v>0</v>
      </c>
      <c r="L243" s="69">
        <f>SUMIFS(CT!$F$5:$F$143,CT!$A$5:$A$143,"&gt;="&amp;$I$3,CT!$A$5:$A$143,"&lt;="&amp;$K$3,CT!$D$5:$D$143,A243)</f>
        <v>0</v>
      </c>
      <c r="M243" s="69">
        <f>SUMIFS(CT!$H$5:$H$143,CT!$A$5:$A$143,"&gt;="&amp;$I$3,CT!$A$5:$A$143,"&lt;="&amp;$K$3,CT!$D$5:$D$143,A243)</f>
        <v>0</v>
      </c>
      <c r="N243" s="69">
        <f>SUMIFS(CT!$F$5:$F$143,CT!$A$5:$A$143,"&gt;="&amp;$I$3,CT!$A$5:$A$143,"&lt;="&amp;$K$3,CT!$E$5:$E$143,A243)</f>
        <v>0</v>
      </c>
      <c r="O243" s="69">
        <f>SUMIFS(CT!$H$5:$H$143,CT!$A$5:$A$143,"&gt;="&amp;$I$3,CT!$A$5:$A$143,"&lt;="&amp;$K$3,CT!$E$5:$E$143,A243)</f>
        <v>0</v>
      </c>
      <c r="P243" s="69">
        <f t="shared" si="20"/>
        <v>0</v>
      </c>
      <c r="Q243" s="69">
        <f t="shared" si="21"/>
        <v>0</v>
      </c>
      <c r="R243" s="69">
        <f t="shared" si="22"/>
        <v>0</v>
      </c>
      <c r="S243" t="b">
        <f t="shared" si="23"/>
        <v>0</v>
      </c>
    </row>
    <row r="244" spans="1:19" hidden="1" x14ac:dyDescent="0.25">
      <c r="A244" s="93" t="str">
        <f>DMTK!B241</f>
        <v>6413</v>
      </c>
      <c r="B244" s="65" t="str">
        <f>VLOOKUP(A244,DMTK!$B$5:$Q$263,3,0)</f>
        <v>Chi phí dụng cụ, đồ dùng</v>
      </c>
      <c r="C244" s="65" t="str">
        <f>VLOOKUP(A244,DMTK!$B$5:$Q$263,16,0)</f>
        <v xml:space="preserve"> </v>
      </c>
      <c r="D244" s="69">
        <f>VLOOKUP(A244,DMTK!$B$5:$Q$263,4,0)</f>
        <v>0</v>
      </c>
      <c r="E244" s="69">
        <f>VLOOKUP(A244,DMTK!$B$5:$Q$263,5,0)</f>
        <v>0</v>
      </c>
      <c r="F244" s="69">
        <f>SUMIFS(CT!$F$5:$F$143,CT!$A$5:$A$143,"&lt;"&amp;$I$3,CT!$D$5:$D$143,A244)</f>
        <v>0</v>
      </c>
      <c r="G244" s="69">
        <f>SUMIFS(CT!$H$5:$H$143,CT!$A$5:$A$143,"&lt;"&amp;$I$3,CT!$D$5:$D$143,A244)</f>
        <v>0</v>
      </c>
      <c r="H244" s="69">
        <f>SUMIFS(CT!$F$5:$F$143,CT!$A$5:$A$143,"&lt;"&amp;$I$3,CT!$E$5:$E$143,A244)</f>
        <v>0</v>
      </c>
      <c r="I244" s="69">
        <f>SUMIFS(CT!$H$5:$H$143,CT!$A$5:$A$143,"&lt;"&amp;$I$3,CT!$E$5:$E$143,A244)</f>
        <v>0</v>
      </c>
      <c r="J244" s="69">
        <f t="shared" si="18"/>
        <v>0</v>
      </c>
      <c r="K244" s="69">
        <f t="shared" si="19"/>
        <v>0</v>
      </c>
      <c r="L244" s="69">
        <f>SUMIFS(CT!$F$5:$F$143,CT!$A$5:$A$143,"&gt;="&amp;$I$3,CT!$A$5:$A$143,"&lt;="&amp;$K$3,CT!$D$5:$D$143,A244)</f>
        <v>0</v>
      </c>
      <c r="M244" s="69">
        <f>SUMIFS(CT!$H$5:$H$143,CT!$A$5:$A$143,"&gt;="&amp;$I$3,CT!$A$5:$A$143,"&lt;="&amp;$K$3,CT!$D$5:$D$143,A244)</f>
        <v>250000</v>
      </c>
      <c r="N244" s="69">
        <f>SUMIFS(CT!$F$5:$F$143,CT!$A$5:$A$143,"&gt;="&amp;$I$3,CT!$A$5:$A$143,"&lt;="&amp;$K$3,CT!$E$5:$E$143,A244)</f>
        <v>0</v>
      </c>
      <c r="O244" s="69">
        <f>SUMIFS(CT!$H$5:$H$143,CT!$A$5:$A$143,"&gt;="&amp;$I$3,CT!$A$5:$A$143,"&lt;="&amp;$K$3,CT!$E$5:$E$143,A244)</f>
        <v>250000</v>
      </c>
      <c r="P244" s="69">
        <f t="shared" si="20"/>
        <v>0</v>
      </c>
      <c r="Q244" s="69">
        <f t="shared" si="21"/>
        <v>0</v>
      </c>
      <c r="R244" s="69">
        <f t="shared" si="22"/>
        <v>0</v>
      </c>
      <c r="S244" t="b">
        <f t="shared" si="23"/>
        <v>0</v>
      </c>
    </row>
    <row r="245" spans="1:19" hidden="1" x14ac:dyDescent="0.25">
      <c r="A245" s="93" t="str">
        <f>DMTK!B242</f>
        <v>6414</v>
      </c>
      <c r="B245" s="65" t="str">
        <f>VLOOKUP(A245,DMTK!$B$5:$Q$263,3,0)</f>
        <v>Chi phí khấu hao TSCĐ</v>
      </c>
      <c r="C245" s="65" t="str">
        <f>VLOOKUP(A245,DMTK!$B$5:$Q$263,16,0)</f>
        <v xml:space="preserve"> </v>
      </c>
      <c r="D245" s="69">
        <f>VLOOKUP(A245,DMTK!$B$5:$Q$263,4,0)</f>
        <v>0</v>
      </c>
      <c r="E245" s="69">
        <f>VLOOKUP(A245,DMTK!$B$5:$Q$263,5,0)</f>
        <v>0</v>
      </c>
      <c r="F245" s="69">
        <f>SUMIFS(CT!$F$5:$F$143,CT!$A$5:$A$143,"&lt;"&amp;$I$3,CT!$D$5:$D$143,A245)</f>
        <v>0</v>
      </c>
      <c r="G245" s="69">
        <f>SUMIFS(CT!$H$5:$H$143,CT!$A$5:$A$143,"&lt;"&amp;$I$3,CT!$D$5:$D$143,A245)</f>
        <v>0</v>
      </c>
      <c r="H245" s="69">
        <f>SUMIFS(CT!$F$5:$F$143,CT!$A$5:$A$143,"&lt;"&amp;$I$3,CT!$E$5:$E$143,A245)</f>
        <v>0</v>
      </c>
      <c r="I245" s="69">
        <f>SUMIFS(CT!$H$5:$H$143,CT!$A$5:$A$143,"&lt;"&amp;$I$3,CT!$E$5:$E$143,A245)</f>
        <v>0</v>
      </c>
      <c r="J245" s="69">
        <f t="shared" si="18"/>
        <v>0</v>
      </c>
      <c r="K245" s="69">
        <f t="shared" si="19"/>
        <v>0</v>
      </c>
      <c r="L245" s="69">
        <f>SUMIFS(CT!$F$5:$F$143,CT!$A$5:$A$143,"&gt;="&amp;$I$3,CT!$A$5:$A$143,"&lt;="&amp;$K$3,CT!$D$5:$D$143,A245)</f>
        <v>0</v>
      </c>
      <c r="M245" s="69">
        <f>SUMIFS(CT!$H$5:$H$143,CT!$A$5:$A$143,"&gt;="&amp;$I$3,CT!$A$5:$A$143,"&lt;="&amp;$K$3,CT!$D$5:$D$143,A245)</f>
        <v>0</v>
      </c>
      <c r="N245" s="69">
        <f>SUMIFS(CT!$F$5:$F$143,CT!$A$5:$A$143,"&gt;="&amp;$I$3,CT!$A$5:$A$143,"&lt;="&amp;$K$3,CT!$E$5:$E$143,A245)</f>
        <v>0</v>
      </c>
      <c r="O245" s="69">
        <f>SUMIFS(CT!$H$5:$H$143,CT!$A$5:$A$143,"&gt;="&amp;$I$3,CT!$A$5:$A$143,"&lt;="&amp;$K$3,CT!$E$5:$E$143,A245)</f>
        <v>0</v>
      </c>
      <c r="P245" s="69">
        <f t="shared" si="20"/>
        <v>0</v>
      </c>
      <c r="Q245" s="69">
        <f t="shared" si="21"/>
        <v>0</v>
      </c>
      <c r="R245" s="69">
        <f t="shared" si="22"/>
        <v>0</v>
      </c>
      <c r="S245" t="b">
        <f t="shared" si="23"/>
        <v>0</v>
      </c>
    </row>
    <row r="246" spans="1:19" hidden="1" x14ac:dyDescent="0.25">
      <c r="A246" s="93" t="str">
        <f>DMTK!B243</f>
        <v>6415</v>
      </c>
      <c r="B246" s="65" t="str">
        <f>VLOOKUP(A246,DMTK!$B$5:$Q$263,3,0)</f>
        <v>Chi phí bảo hành</v>
      </c>
      <c r="C246" s="65" t="str">
        <f>VLOOKUP(A246,DMTK!$B$5:$Q$263,16,0)</f>
        <v xml:space="preserve"> </v>
      </c>
      <c r="D246" s="69">
        <f>VLOOKUP(A246,DMTK!$B$5:$Q$263,4,0)</f>
        <v>0</v>
      </c>
      <c r="E246" s="69">
        <f>VLOOKUP(A246,DMTK!$B$5:$Q$263,5,0)</f>
        <v>0</v>
      </c>
      <c r="F246" s="69">
        <f>SUMIFS(CT!$F$5:$F$143,CT!$A$5:$A$143,"&lt;"&amp;$I$3,CT!$D$5:$D$143,A246)</f>
        <v>0</v>
      </c>
      <c r="G246" s="69">
        <f>SUMIFS(CT!$H$5:$H$143,CT!$A$5:$A$143,"&lt;"&amp;$I$3,CT!$D$5:$D$143,A246)</f>
        <v>0</v>
      </c>
      <c r="H246" s="69">
        <f>SUMIFS(CT!$F$5:$F$143,CT!$A$5:$A$143,"&lt;"&amp;$I$3,CT!$E$5:$E$143,A246)</f>
        <v>0</v>
      </c>
      <c r="I246" s="69">
        <f>SUMIFS(CT!$H$5:$H$143,CT!$A$5:$A$143,"&lt;"&amp;$I$3,CT!$E$5:$E$143,A246)</f>
        <v>0</v>
      </c>
      <c r="J246" s="69">
        <f t="shared" si="18"/>
        <v>0</v>
      </c>
      <c r="K246" s="69">
        <f t="shared" si="19"/>
        <v>0</v>
      </c>
      <c r="L246" s="69">
        <f>SUMIFS(CT!$F$5:$F$143,CT!$A$5:$A$143,"&gt;="&amp;$I$3,CT!$A$5:$A$143,"&lt;="&amp;$K$3,CT!$D$5:$D$143,A246)</f>
        <v>0</v>
      </c>
      <c r="M246" s="69">
        <f>SUMIFS(CT!$H$5:$H$143,CT!$A$5:$A$143,"&gt;="&amp;$I$3,CT!$A$5:$A$143,"&lt;="&amp;$K$3,CT!$D$5:$D$143,A246)</f>
        <v>0</v>
      </c>
      <c r="N246" s="69">
        <f>SUMIFS(CT!$F$5:$F$143,CT!$A$5:$A$143,"&gt;="&amp;$I$3,CT!$A$5:$A$143,"&lt;="&amp;$K$3,CT!$E$5:$E$143,A246)</f>
        <v>0</v>
      </c>
      <c r="O246" s="69">
        <f>SUMIFS(CT!$H$5:$H$143,CT!$A$5:$A$143,"&gt;="&amp;$I$3,CT!$A$5:$A$143,"&lt;="&amp;$K$3,CT!$E$5:$E$143,A246)</f>
        <v>0</v>
      </c>
      <c r="P246" s="69">
        <f t="shared" si="20"/>
        <v>0</v>
      </c>
      <c r="Q246" s="69">
        <f t="shared" si="21"/>
        <v>0</v>
      </c>
      <c r="R246" s="69">
        <f t="shared" si="22"/>
        <v>0</v>
      </c>
      <c r="S246" t="b">
        <f t="shared" si="23"/>
        <v>0</v>
      </c>
    </row>
    <row r="247" spans="1:19" hidden="1" x14ac:dyDescent="0.25">
      <c r="A247" s="93" t="str">
        <f>DMTK!B244</f>
        <v>6417</v>
      </c>
      <c r="B247" s="65" t="str">
        <f>VLOOKUP(A247,DMTK!$B$5:$Q$263,3,0)</f>
        <v>Chi phí dịch vụ mua ngoài</v>
      </c>
      <c r="C247" s="65" t="str">
        <f>VLOOKUP(A247,DMTK!$B$5:$Q$263,16,0)</f>
        <v xml:space="preserve"> </v>
      </c>
      <c r="D247" s="69">
        <f>VLOOKUP(A247,DMTK!$B$5:$Q$263,4,0)</f>
        <v>0</v>
      </c>
      <c r="E247" s="69">
        <f>VLOOKUP(A247,DMTK!$B$5:$Q$263,5,0)</f>
        <v>0</v>
      </c>
      <c r="F247" s="69">
        <f>SUMIFS(CT!$F$5:$F$143,CT!$A$5:$A$143,"&lt;"&amp;$I$3,CT!$D$5:$D$143,A247)</f>
        <v>0</v>
      </c>
      <c r="G247" s="69">
        <f>SUMIFS(CT!$H$5:$H$143,CT!$A$5:$A$143,"&lt;"&amp;$I$3,CT!$D$5:$D$143,A247)</f>
        <v>0</v>
      </c>
      <c r="H247" s="69">
        <f>SUMIFS(CT!$F$5:$F$143,CT!$A$5:$A$143,"&lt;"&amp;$I$3,CT!$E$5:$E$143,A247)</f>
        <v>0</v>
      </c>
      <c r="I247" s="69">
        <f>SUMIFS(CT!$H$5:$H$143,CT!$A$5:$A$143,"&lt;"&amp;$I$3,CT!$E$5:$E$143,A247)</f>
        <v>0</v>
      </c>
      <c r="J247" s="69">
        <f t="shared" si="18"/>
        <v>0</v>
      </c>
      <c r="K247" s="69">
        <f t="shared" si="19"/>
        <v>0</v>
      </c>
      <c r="L247" s="69">
        <f>SUMIFS(CT!$F$5:$F$143,CT!$A$5:$A$143,"&gt;="&amp;$I$3,CT!$A$5:$A$143,"&lt;="&amp;$K$3,CT!$D$5:$D$143,A247)</f>
        <v>0</v>
      </c>
      <c r="M247" s="69">
        <f>SUMIFS(CT!$H$5:$H$143,CT!$A$5:$A$143,"&gt;="&amp;$I$3,CT!$A$5:$A$143,"&lt;="&amp;$K$3,CT!$D$5:$D$143,A247)</f>
        <v>0</v>
      </c>
      <c r="N247" s="69">
        <f>SUMIFS(CT!$F$5:$F$143,CT!$A$5:$A$143,"&gt;="&amp;$I$3,CT!$A$5:$A$143,"&lt;="&amp;$K$3,CT!$E$5:$E$143,A247)</f>
        <v>0</v>
      </c>
      <c r="O247" s="69">
        <f>SUMIFS(CT!$H$5:$H$143,CT!$A$5:$A$143,"&gt;="&amp;$I$3,CT!$A$5:$A$143,"&lt;="&amp;$K$3,CT!$E$5:$E$143,A247)</f>
        <v>0</v>
      </c>
      <c r="P247" s="69">
        <f t="shared" si="20"/>
        <v>0</v>
      </c>
      <c r="Q247" s="69">
        <f t="shared" si="21"/>
        <v>0</v>
      </c>
      <c r="R247" s="69">
        <f t="shared" si="22"/>
        <v>0</v>
      </c>
      <c r="S247" t="b">
        <f t="shared" si="23"/>
        <v>0</v>
      </c>
    </row>
    <row r="248" spans="1:19" hidden="1" x14ac:dyDescent="0.25">
      <c r="A248" s="93" t="str">
        <f>DMTK!B245</f>
        <v>6418</v>
      </c>
      <c r="B248" s="65" t="str">
        <f>VLOOKUP(A248,DMTK!$B$5:$Q$263,3,0)</f>
        <v>Chi phí bằng tiền khác</v>
      </c>
      <c r="C248" s="65" t="str">
        <f>VLOOKUP(A248,DMTK!$B$5:$Q$263,16,0)</f>
        <v xml:space="preserve"> </v>
      </c>
      <c r="D248" s="69">
        <f>VLOOKUP(A248,DMTK!$B$5:$Q$263,4,0)</f>
        <v>0</v>
      </c>
      <c r="E248" s="69">
        <f>VLOOKUP(A248,DMTK!$B$5:$Q$263,5,0)</f>
        <v>0</v>
      </c>
      <c r="F248" s="69">
        <f>SUMIFS(CT!$F$5:$F$143,CT!$A$5:$A$143,"&lt;"&amp;$I$3,CT!$D$5:$D$143,A248)</f>
        <v>0</v>
      </c>
      <c r="G248" s="69">
        <f>SUMIFS(CT!$H$5:$H$143,CT!$A$5:$A$143,"&lt;"&amp;$I$3,CT!$D$5:$D$143,A248)</f>
        <v>0</v>
      </c>
      <c r="H248" s="69">
        <f>SUMIFS(CT!$F$5:$F$143,CT!$A$5:$A$143,"&lt;"&amp;$I$3,CT!$E$5:$E$143,A248)</f>
        <v>0</v>
      </c>
      <c r="I248" s="69">
        <f>SUMIFS(CT!$H$5:$H$143,CT!$A$5:$A$143,"&lt;"&amp;$I$3,CT!$E$5:$E$143,A248)</f>
        <v>0</v>
      </c>
      <c r="J248" s="69">
        <f t="shared" si="18"/>
        <v>0</v>
      </c>
      <c r="K248" s="69">
        <f t="shared" si="19"/>
        <v>0</v>
      </c>
      <c r="L248" s="69">
        <f>SUMIFS(CT!$F$5:$F$143,CT!$A$5:$A$143,"&gt;="&amp;$I$3,CT!$A$5:$A$143,"&lt;="&amp;$K$3,CT!$D$5:$D$143,A248)</f>
        <v>0</v>
      </c>
      <c r="M248" s="69">
        <f>SUMIFS(CT!$H$5:$H$143,CT!$A$5:$A$143,"&gt;="&amp;$I$3,CT!$A$5:$A$143,"&lt;="&amp;$K$3,CT!$D$5:$D$143,A248)</f>
        <v>0</v>
      </c>
      <c r="N248" s="69">
        <f>SUMIFS(CT!$F$5:$F$143,CT!$A$5:$A$143,"&gt;="&amp;$I$3,CT!$A$5:$A$143,"&lt;="&amp;$K$3,CT!$E$5:$E$143,A248)</f>
        <v>0</v>
      </c>
      <c r="O248" s="69">
        <f>SUMIFS(CT!$H$5:$H$143,CT!$A$5:$A$143,"&gt;="&amp;$I$3,CT!$A$5:$A$143,"&lt;="&amp;$K$3,CT!$E$5:$E$143,A248)</f>
        <v>0</v>
      </c>
      <c r="P248" s="69">
        <f t="shared" si="20"/>
        <v>0</v>
      </c>
      <c r="Q248" s="69">
        <f t="shared" si="21"/>
        <v>0</v>
      </c>
      <c r="R248" s="69">
        <f t="shared" si="22"/>
        <v>0</v>
      </c>
      <c r="S248" t="b">
        <f t="shared" si="23"/>
        <v>0</v>
      </c>
    </row>
    <row r="249" spans="1:19" hidden="1" x14ac:dyDescent="0.25">
      <c r="A249" s="93" t="str">
        <f>DMTK!B246</f>
        <v>6421</v>
      </c>
      <c r="B249" s="65" t="str">
        <f>VLOOKUP(A249,DMTK!$B$5:$Q$263,3,0)</f>
        <v>Chi phí nhân viên quản lý</v>
      </c>
      <c r="C249" s="65" t="str">
        <f>VLOOKUP(A249,DMTK!$B$5:$Q$263,16,0)</f>
        <v xml:space="preserve"> </v>
      </c>
      <c r="D249" s="69">
        <f>VLOOKUP(A249,DMTK!$B$5:$Q$263,4,0)</f>
        <v>0</v>
      </c>
      <c r="E249" s="69">
        <f>VLOOKUP(A249,DMTK!$B$5:$Q$263,5,0)</f>
        <v>0</v>
      </c>
      <c r="F249" s="69">
        <f>SUMIFS(CT!$F$5:$F$143,CT!$A$5:$A$143,"&lt;"&amp;$I$3,CT!$D$5:$D$143,A249)</f>
        <v>0</v>
      </c>
      <c r="G249" s="69">
        <f>SUMIFS(CT!$H$5:$H$143,CT!$A$5:$A$143,"&lt;"&amp;$I$3,CT!$D$5:$D$143,A249)</f>
        <v>0</v>
      </c>
      <c r="H249" s="69">
        <f>SUMIFS(CT!$F$5:$F$143,CT!$A$5:$A$143,"&lt;"&amp;$I$3,CT!$E$5:$E$143,A249)</f>
        <v>0</v>
      </c>
      <c r="I249" s="69">
        <f>SUMIFS(CT!$H$5:$H$143,CT!$A$5:$A$143,"&lt;"&amp;$I$3,CT!$E$5:$E$143,A249)</f>
        <v>0</v>
      </c>
      <c r="J249" s="69">
        <f t="shared" si="18"/>
        <v>0</v>
      </c>
      <c r="K249" s="69">
        <f t="shared" si="19"/>
        <v>0</v>
      </c>
      <c r="L249" s="69">
        <f>SUMIFS(CT!$F$5:$F$143,CT!$A$5:$A$143,"&gt;="&amp;$I$3,CT!$A$5:$A$143,"&lt;="&amp;$K$3,CT!$D$5:$D$143,A249)</f>
        <v>0</v>
      </c>
      <c r="M249" s="69">
        <f>SUMIFS(CT!$H$5:$H$143,CT!$A$5:$A$143,"&gt;="&amp;$I$3,CT!$A$5:$A$143,"&lt;="&amp;$K$3,CT!$D$5:$D$143,A249)</f>
        <v>8540000</v>
      </c>
      <c r="N249" s="69">
        <f>SUMIFS(CT!$F$5:$F$143,CT!$A$5:$A$143,"&gt;="&amp;$I$3,CT!$A$5:$A$143,"&lt;="&amp;$K$3,CT!$E$5:$E$143,A249)</f>
        <v>0</v>
      </c>
      <c r="O249" s="69">
        <f>SUMIFS(CT!$H$5:$H$143,CT!$A$5:$A$143,"&gt;="&amp;$I$3,CT!$A$5:$A$143,"&lt;="&amp;$K$3,CT!$E$5:$E$143,A249)</f>
        <v>8540000</v>
      </c>
      <c r="P249" s="69">
        <f t="shared" si="20"/>
        <v>0</v>
      </c>
      <c r="Q249" s="69">
        <f t="shared" si="21"/>
        <v>0</v>
      </c>
      <c r="R249" s="69">
        <f t="shared" si="22"/>
        <v>0</v>
      </c>
      <c r="S249" t="b">
        <f t="shared" si="23"/>
        <v>0</v>
      </c>
    </row>
    <row r="250" spans="1:19" hidden="1" x14ac:dyDescent="0.25">
      <c r="A250" s="93" t="str">
        <f>DMTK!B247</f>
        <v>6422</v>
      </c>
      <c r="B250" s="65" t="str">
        <f>VLOOKUP(A250,DMTK!$B$5:$Q$263,3,0)</f>
        <v>Chi phí vật liệu quản lý</v>
      </c>
      <c r="C250" s="65" t="str">
        <f>VLOOKUP(A250,DMTK!$B$5:$Q$263,16,0)</f>
        <v xml:space="preserve"> </v>
      </c>
      <c r="D250" s="69">
        <f>VLOOKUP(A250,DMTK!$B$5:$Q$263,4,0)</f>
        <v>0</v>
      </c>
      <c r="E250" s="69">
        <f>VLOOKUP(A250,DMTK!$B$5:$Q$263,5,0)</f>
        <v>0</v>
      </c>
      <c r="F250" s="69">
        <f>SUMIFS(CT!$F$5:$F$143,CT!$A$5:$A$143,"&lt;"&amp;$I$3,CT!$D$5:$D$143,A250)</f>
        <v>0</v>
      </c>
      <c r="G250" s="69">
        <f>SUMIFS(CT!$H$5:$H$143,CT!$A$5:$A$143,"&lt;"&amp;$I$3,CT!$D$5:$D$143,A250)</f>
        <v>0</v>
      </c>
      <c r="H250" s="69">
        <f>SUMIFS(CT!$F$5:$F$143,CT!$A$5:$A$143,"&lt;"&amp;$I$3,CT!$E$5:$E$143,A250)</f>
        <v>0</v>
      </c>
      <c r="I250" s="69">
        <f>SUMIFS(CT!$H$5:$H$143,CT!$A$5:$A$143,"&lt;"&amp;$I$3,CT!$E$5:$E$143,A250)</f>
        <v>0</v>
      </c>
      <c r="J250" s="69">
        <f t="shared" si="18"/>
        <v>0</v>
      </c>
      <c r="K250" s="69">
        <f t="shared" si="19"/>
        <v>0</v>
      </c>
      <c r="L250" s="69">
        <f>SUMIFS(CT!$F$5:$F$143,CT!$A$5:$A$143,"&gt;="&amp;$I$3,CT!$A$5:$A$143,"&lt;="&amp;$K$3,CT!$D$5:$D$143,A250)</f>
        <v>0</v>
      </c>
      <c r="M250" s="69">
        <f>SUMIFS(CT!$H$5:$H$143,CT!$A$5:$A$143,"&gt;="&amp;$I$3,CT!$A$5:$A$143,"&lt;="&amp;$K$3,CT!$D$5:$D$143,A250)</f>
        <v>0</v>
      </c>
      <c r="N250" s="69">
        <f>SUMIFS(CT!$F$5:$F$143,CT!$A$5:$A$143,"&gt;="&amp;$I$3,CT!$A$5:$A$143,"&lt;="&amp;$K$3,CT!$E$5:$E$143,A250)</f>
        <v>0</v>
      </c>
      <c r="O250" s="69">
        <f>SUMIFS(CT!$H$5:$H$143,CT!$A$5:$A$143,"&gt;="&amp;$I$3,CT!$A$5:$A$143,"&lt;="&amp;$K$3,CT!$E$5:$E$143,A250)</f>
        <v>0</v>
      </c>
      <c r="P250" s="69">
        <f t="shared" si="20"/>
        <v>0</v>
      </c>
      <c r="Q250" s="69">
        <f t="shared" si="21"/>
        <v>0</v>
      </c>
      <c r="R250" s="69">
        <f t="shared" si="22"/>
        <v>0</v>
      </c>
      <c r="S250" t="b">
        <f t="shared" si="23"/>
        <v>0</v>
      </c>
    </row>
    <row r="251" spans="1:19" hidden="1" x14ac:dyDescent="0.25">
      <c r="A251" s="93" t="str">
        <f>DMTK!B248</f>
        <v>6423</v>
      </c>
      <c r="B251" s="65" t="str">
        <f>VLOOKUP(A251,DMTK!$B$5:$Q$263,3,0)</f>
        <v>Chi phí đồ dùng văn phòng</v>
      </c>
      <c r="C251" s="65" t="str">
        <f>VLOOKUP(A251,DMTK!$B$5:$Q$263,16,0)</f>
        <v xml:space="preserve"> </v>
      </c>
      <c r="D251" s="69">
        <f>VLOOKUP(A251,DMTK!$B$5:$Q$263,4,0)</f>
        <v>0</v>
      </c>
      <c r="E251" s="69">
        <f>VLOOKUP(A251,DMTK!$B$5:$Q$263,5,0)</f>
        <v>0</v>
      </c>
      <c r="F251" s="69">
        <f>SUMIFS(CT!$F$5:$F$143,CT!$A$5:$A$143,"&lt;"&amp;$I$3,CT!$D$5:$D$143,A251)</f>
        <v>0</v>
      </c>
      <c r="G251" s="69">
        <f>SUMIFS(CT!$H$5:$H$143,CT!$A$5:$A$143,"&lt;"&amp;$I$3,CT!$D$5:$D$143,A251)</f>
        <v>0</v>
      </c>
      <c r="H251" s="69">
        <f>SUMIFS(CT!$F$5:$F$143,CT!$A$5:$A$143,"&lt;"&amp;$I$3,CT!$E$5:$E$143,A251)</f>
        <v>0</v>
      </c>
      <c r="I251" s="69">
        <f>SUMIFS(CT!$H$5:$H$143,CT!$A$5:$A$143,"&lt;"&amp;$I$3,CT!$E$5:$E$143,A251)</f>
        <v>0</v>
      </c>
      <c r="J251" s="69">
        <f t="shared" si="18"/>
        <v>0</v>
      </c>
      <c r="K251" s="69">
        <f t="shared" si="19"/>
        <v>0</v>
      </c>
      <c r="L251" s="69">
        <f>SUMIFS(CT!$F$5:$F$143,CT!$A$5:$A$143,"&gt;="&amp;$I$3,CT!$A$5:$A$143,"&lt;="&amp;$K$3,CT!$D$5:$D$143,A251)</f>
        <v>0</v>
      </c>
      <c r="M251" s="69">
        <f>SUMIFS(CT!$H$5:$H$143,CT!$A$5:$A$143,"&gt;="&amp;$I$3,CT!$A$5:$A$143,"&lt;="&amp;$K$3,CT!$D$5:$D$143,A251)</f>
        <v>500000</v>
      </c>
      <c r="N251" s="69">
        <f>SUMIFS(CT!$F$5:$F$143,CT!$A$5:$A$143,"&gt;="&amp;$I$3,CT!$A$5:$A$143,"&lt;="&amp;$K$3,CT!$E$5:$E$143,A251)</f>
        <v>0</v>
      </c>
      <c r="O251" s="69">
        <f>SUMIFS(CT!$H$5:$H$143,CT!$A$5:$A$143,"&gt;="&amp;$I$3,CT!$A$5:$A$143,"&lt;="&amp;$K$3,CT!$E$5:$E$143,A251)</f>
        <v>500000</v>
      </c>
      <c r="P251" s="69">
        <f t="shared" si="20"/>
        <v>0</v>
      </c>
      <c r="Q251" s="69">
        <f t="shared" si="21"/>
        <v>0</v>
      </c>
      <c r="R251" s="69">
        <f t="shared" si="22"/>
        <v>0</v>
      </c>
      <c r="S251" t="b">
        <f t="shared" si="23"/>
        <v>0</v>
      </c>
    </row>
    <row r="252" spans="1:19" hidden="1" x14ac:dyDescent="0.25">
      <c r="A252" s="93" t="str">
        <f>DMTK!B249</f>
        <v>6424</v>
      </c>
      <c r="B252" s="65" t="str">
        <f>VLOOKUP(A252,DMTK!$B$5:$Q$263,3,0)</f>
        <v>Chi phí khấu hao TSCĐ</v>
      </c>
      <c r="C252" s="65" t="str">
        <f>VLOOKUP(A252,DMTK!$B$5:$Q$263,16,0)</f>
        <v xml:space="preserve"> </v>
      </c>
      <c r="D252" s="69">
        <f>VLOOKUP(A252,DMTK!$B$5:$Q$263,4,0)</f>
        <v>0</v>
      </c>
      <c r="E252" s="69">
        <f>VLOOKUP(A252,DMTK!$B$5:$Q$263,5,0)</f>
        <v>0</v>
      </c>
      <c r="F252" s="69">
        <f>SUMIFS(CT!$F$5:$F$143,CT!$A$5:$A$143,"&lt;"&amp;$I$3,CT!$D$5:$D$143,A252)</f>
        <v>0</v>
      </c>
      <c r="G252" s="69">
        <f>SUMIFS(CT!$H$5:$H$143,CT!$A$5:$A$143,"&lt;"&amp;$I$3,CT!$D$5:$D$143,A252)</f>
        <v>0</v>
      </c>
      <c r="H252" s="69">
        <f>SUMIFS(CT!$F$5:$F$143,CT!$A$5:$A$143,"&lt;"&amp;$I$3,CT!$E$5:$E$143,A252)</f>
        <v>0</v>
      </c>
      <c r="I252" s="69">
        <f>SUMIFS(CT!$H$5:$H$143,CT!$A$5:$A$143,"&lt;"&amp;$I$3,CT!$E$5:$E$143,A252)</f>
        <v>0</v>
      </c>
      <c r="J252" s="69">
        <f t="shared" si="18"/>
        <v>0</v>
      </c>
      <c r="K252" s="69">
        <f t="shared" si="19"/>
        <v>0</v>
      </c>
      <c r="L252" s="69">
        <f>SUMIFS(CT!$F$5:$F$143,CT!$A$5:$A$143,"&gt;="&amp;$I$3,CT!$A$5:$A$143,"&lt;="&amp;$K$3,CT!$D$5:$D$143,A252)</f>
        <v>0</v>
      </c>
      <c r="M252" s="69">
        <f>SUMIFS(CT!$H$5:$H$143,CT!$A$5:$A$143,"&gt;="&amp;$I$3,CT!$A$5:$A$143,"&lt;="&amp;$K$3,CT!$D$5:$D$143,A252)</f>
        <v>458333</v>
      </c>
      <c r="N252" s="69">
        <f>SUMIFS(CT!$F$5:$F$143,CT!$A$5:$A$143,"&gt;="&amp;$I$3,CT!$A$5:$A$143,"&lt;="&amp;$K$3,CT!$E$5:$E$143,A252)</f>
        <v>0</v>
      </c>
      <c r="O252" s="69">
        <f>SUMIFS(CT!$H$5:$H$143,CT!$A$5:$A$143,"&gt;="&amp;$I$3,CT!$A$5:$A$143,"&lt;="&amp;$K$3,CT!$E$5:$E$143,A252)</f>
        <v>458333</v>
      </c>
      <c r="P252" s="69">
        <f t="shared" si="20"/>
        <v>0</v>
      </c>
      <c r="Q252" s="69">
        <f t="shared" si="21"/>
        <v>0</v>
      </c>
      <c r="R252" s="69">
        <f t="shared" si="22"/>
        <v>0</v>
      </c>
      <c r="S252" t="b">
        <f t="shared" si="23"/>
        <v>0</v>
      </c>
    </row>
    <row r="253" spans="1:19" hidden="1" x14ac:dyDescent="0.25">
      <c r="A253" s="93" t="str">
        <f>DMTK!B250</f>
        <v>6425</v>
      </c>
      <c r="B253" s="65" t="str">
        <f>VLOOKUP(A253,DMTK!$B$5:$Q$263,3,0)</f>
        <v>Thuế, phí và lệ phí</v>
      </c>
      <c r="C253" s="65" t="str">
        <f>VLOOKUP(A253,DMTK!$B$5:$Q$263,16,0)</f>
        <v xml:space="preserve"> </v>
      </c>
      <c r="D253" s="69">
        <f>VLOOKUP(A253,DMTK!$B$5:$Q$263,4,0)</f>
        <v>0</v>
      </c>
      <c r="E253" s="69">
        <f>VLOOKUP(A253,DMTK!$B$5:$Q$263,5,0)</f>
        <v>0</v>
      </c>
      <c r="F253" s="69">
        <f>SUMIFS(CT!$F$5:$F$143,CT!$A$5:$A$143,"&lt;"&amp;$I$3,CT!$D$5:$D$143,A253)</f>
        <v>0</v>
      </c>
      <c r="G253" s="69">
        <f>SUMIFS(CT!$H$5:$H$143,CT!$A$5:$A$143,"&lt;"&amp;$I$3,CT!$D$5:$D$143,A253)</f>
        <v>0</v>
      </c>
      <c r="H253" s="69">
        <f>SUMIFS(CT!$F$5:$F$143,CT!$A$5:$A$143,"&lt;"&amp;$I$3,CT!$E$5:$E$143,A253)</f>
        <v>0</v>
      </c>
      <c r="I253" s="69">
        <f>SUMIFS(CT!$H$5:$H$143,CT!$A$5:$A$143,"&lt;"&amp;$I$3,CT!$E$5:$E$143,A253)</f>
        <v>0</v>
      </c>
      <c r="J253" s="69">
        <f t="shared" si="18"/>
        <v>0</v>
      </c>
      <c r="K253" s="69">
        <f t="shared" si="19"/>
        <v>0</v>
      </c>
      <c r="L253" s="69">
        <f>SUMIFS(CT!$F$5:$F$143,CT!$A$5:$A$143,"&gt;="&amp;$I$3,CT!$A$5:$A$143,"&lt;="&amp;$K$3,CT!$D$5:$D$143,A253)</f>
        <v>0</v>
      </c>
      <c r="M253" s="69">
        <f>SUMIFS(CT!$H$5:$H$143,CT!$A$5:$A$143,"&gt;="&amp;$I$3,CT!$A$5:$A$143,"&lt;="&amp;$K$3,CT!$D$5:$D$143,A253)</f>
        <v>0</v>
      </c>
      <c r="N253" s="69">
        <f>SUMIFS(CT!$F$5:$F$143,CT!$A$5:$A$143,"&gt;="&amp;$I$3,CT!$A$5:$A$143,"&lt;="&amp;$K$3,CT!$E$5:$E$143,A253)</f>
        <v>0</v>
      </c>
      <c r="O253" s="69">
        <f>SUMIFS(CT!$H$5:$H$143,CT!$A$5:$A$143,"&gt;="&amp;$I$3,CT!$A$5:$A$143,"&lt;="&amp;$K$3,CT!$E$5:$E$143,A253)</f>
        <v>0</v>
      </c>
      <c r="P253" s="69">
        <f t="shared" si="20"/>
        <v>0</v>
      </c>
      <c r="Q253" s="69">
        <f t="shared" si="21"/>
        <v>0</v>
      </c>
      <c r="R253" s="69">
        <f t="shared" si="22"/>
        <v>0</v>
      </c>
      <c r="S253" t="b">
        <f t="shared" si="23"/>
        <v>0</v>
      </c>
    </row>
    <row r="254" spans="1:19" hidden="1" x14ac:dyDescent="0.25">
      <c r="A254" s="93" t="str">
        <f>DMTK!B251</f>
        <v>6426</v>
      </c>
      <c r="B254" s="65" t="str">
        <f>VLOOKUP(A254,DMTK!$B$5:$Q$263,3,0)</f>
        <v>Chi phí dự phòng</v>
      </c>
      <c r="C254" s="65" t="str">
        <f>VLOOKUP(A254,DMTK!$B$5:$Q$263,16,0)</f>
        <v xml:space="preserve"> </v>
      </c>
      <c r="D254" s="69">
        <f>VLOOKUP(A254,DMTK!$B$5:$Q$263,4,0)</f>
        <v>0</v>
      </c>
      <c r="E254" s="69">
        <f>VLOOKUP(A254,DMTK!$B$5:$Q$263,5,0)</f>
        <v>0</v>
      </c>
      <c r="F254" s="69">
        <f>SUMIFS(CT!$F$5:$F$143,CT!$A$5:$A$143,"&lt;"&amp;$I$3,CT!$D$5:$D$143,A254)</f>
        <v>0</v>
      </c>
      <c r="G254" s="69">
        <f>SUMIFS(CT!$H$5:$H$143,CT!$A$5:$A$143,"&lt;"&amp;$I$3,CT!$D$5:$D$143,A254)</f>
        <v>0</v>
      </c>
      <c r="H254" s="69">
        <f>SUMIFS(CT!$F$5:$F$143,CT!$A$5:$A$143,"&lt;"&amp;$I$3,CT!$E$5:$E$143,A254)</f>
        <v>0</v>
      </c>
      <c r="I254" s="69">
        <f>SUMIFS(CT!$H$5:$H$143,CT!$A$5:$A$143,"&lt;"&amp;$I$3,CT!$E$5:$E$143,A254)</f>
        <v>0</v>
      </c>
      <c r="J254" s="69">
        <f t="shared" si="18"/>
        <v>0</v>
      </c>
      <c r="K254" s="69">
        <f t="shared" si="19"/>
        <v>0</v>
      </c>
      <c r="L254" s="69">
        <f>SUMIFS(CT!$F$5:$F$143,CT!$A$5:$A$143,"&gt;="&amp;$I$3,CT!$A$5:$A$143,"&lt;="&amp;$K$3,CT!$D$5:$D$143,A254)</f>
        <v>0</v>
      </c>
      <c r="M254" s="69">
        <f>SUMIFS(CT!$H$5:$H$143,CT!$A$5:$A$143,"&gt;="&amp;$I$3,CT!$A$5:$A$143,"&lt;="&amp;$K$3,CT!$D$5:$D$143,A254)</f>
        <v>0</v>
      </c>
      <c r="N254" s="69">
        <f>SUMIFS(CT!$F$5:$F$143,CT!$A$5:$A$143,"&gt;="&amp;$I$3,CT!$A$5:$A$143,"&lt;="&amp;$K$3,CT!$E$5:$E$143,A254)</f>
        <v>0</v>
      </c>
      <c r="O254" s="69">
        <f>SUMIFS(CT!$H$5:$H$143,CT!$A$5:$A$143,"&gt;="&amp;$I$3,CT!$A$5:$A$143,"&lt;="&amp;$K$3,CT!$E$5:$E$143,A254)</f>
        <v>0</v>
      </c>
      <c r="P254" s="69">
        <f t="shared" si="20"/>
        <v>0</v>
      </c>
      <c r="Q254" s="69">
        <f t="shared" si="21"/>
        <v>0</v>
      </c>
      <c r="R254" s="69">
        <f t="shared" si="22"/>
        <v>0</v>
      </c>
      <c r="S254" t="b">
        <f t="shared" si="23"/>
        <v>0</v>
      </c>
    </row>
    <row r="255" spans="1:19" hidden="1" x14ac:dyDescent="0.25">
      <c r="A255" s="93" t="str">
        <f>DMTK!B252</f>
        <v>6427</v>
      </c>
      <c r="B255" s="65" t="str">
        <f>VLOOKUP(A255,DMTK!$B$5:$Q$263,3,0)</f>
        <v>Chi phí dịch vụ mua ngoài</v>
      </c>
      <c r="C255" s="65" t="str">
        <f>VLOOKUP(A255,DMTK!$B$5:$Q$263,16,0)</f>
        <v xml:space="preserve"> </v>
      </c>
      <c r="D255" s="69">
        <f>VLOOKUP(A255,DMTK!$B$5:$Q$263,4,0)</f>
        <v>0</v>
      </c>
      <c r="E255" s="69">
        <f>VLOOKUP(A255,DMTK!$B$5:$Q$263,5,0)</f>
        <v>0</v>
      </c>
      <c r="F255" s="69">
        <f>SUMIFS(CT!$F$5:$F$143,CT!$A$5:$A$143,"&lt;"&amp;$I$3,CT!$D$5:$D$143,A255)</f>
        <v>0</v>
      </c>
      <c r="G255" s="69">
        <f>SUMIFS(CT!$H$5:$H$143,CT!$A$5:$A$143,"&lt;"&amp;$I$3,CT!$D$5:$D$143,A255)</f>
        <v>0</v>
      </c>
      <c r="H255" s="69">
        <f>SUMIFS(CT!$F$5:$F$143,CT!$A$5:$A$143,"&lt;"&amp;$I$3,CT!$E$5:$E$143,A255)</f>
        <v>0</v>
      </c>
      <c r="I255" s="69">
        <f>SUMIFS(CT!$H$5:$H$143,CT!$A$5:$A$143,"&lt;"&amp;$I$3,CT!$E$5:$E$143,A255)</f>
        <v>0</v>
      </c>
      <c r="J255" s="69">
        <f t="shared" si="18"/>
        <v>0</v>
      </c>
      <c r="K255" s="69">
        <f t="shared" si="19"/>
        <v>0</v>
      </c>
      <c r="L255" s="69">
        <f>SUMIFS(CT!$F$5:$F$143,CT!$A$5:$A$143,"&gt;="&amp;$I$3,CT!$A$5:$A$143,"&lt;="&amp;$K$3,CT!$D$5:$D$143,A255)</f>
        <v>0</v>
      </c>
      <c r="M255" s="69">
        <f>SUMIFS(CT!$H$5:$H$143,CT!$A$5:$A$143,"&gt;="&amp;$I$3,CT!$A$5:$A$143,"&lt;="&amp;$K$3,CT!$D$5:$D$143,A255)</f>
        <v>0</v>
      </c>
      <c r="N255" s="69">
        <f>SUMIFS(CT!$F$5:$F$143,CT!$A$5:$A$143,"&gt;="&amp;$I$3,CT!$A$5:$A$143,"&lt;="&amp;$K$3,CT!$E$5:$E$143,A255)</f>
        <v>0</v>
      </c>
      <c r="O255" s="69">
        <f>SUMIFS(CT!$H$5:$H$143,CT!$A$5:$A$143,"&gt;="&amp;$I$3,CT!$A$5:$A$143,"&lt;="&amp;$K$3,CT!$E$5:$E$143,A255)</f>
        <v>0</v>
      </c>
      <c r="P255" s="69">
        <f t="shared" si="20"/>
        <v>0</v>
      </c>
      <c r="Q255" s="69">
        <f t="shared" si="21"/>
        <v>0</v>
      </c>
      <c r="R255" s="69">
        <f t="shared" si="22"/>
        <v>0</v>
      </c>
      <c r="S255" t="b">
        <f t="shared" si="23"/>
        <v>0</v>
      </c>
    </row>
    <row r="256" spans="1:19" hidden="1" x14ac:dyDescent="0.25">
      <c r="A256" s="93" t="str">
        <f>DMTK!B253</f>
        <v>6428</v>
      </c>
      <c r="B256" s="65" t="str">
        <f>VLOOKUP(A256,DMTK!$B$5:$Q$263,3,0)</f>
        <v>Chi phí bằng tiền khác</v>
      </c>
      <c r="C256" s="65" t="str">
        <f>VLOOKUP(A256,DMTK!$B$5:$Q$263,16,0)</f>
        <v xml:space="preserve"> </v>
      </c>
      <c r="D256" s="69">
        <f>VLOOKUP(A256,DMTK!$B$5:$Q$263,4,0)</f>
        <v>0</v>
      </c>
      <c r="E256" s="69">
        <f>VLOOKUP(A256,DMTK!$B$5:$Q$263,5,0)</f>
        <v>0</v>
      </c>
      <c r="F256" s="69">
        <f>SUMIFS(CT!$F$5:$F$143,CT!$A$5:$A$143,"&lt;"&amp;$I$3,CT!$D$5:$D$143,A256)</f>
        <v>0</v>
      </c>
      <c r="G256" s="69">
        <f>SUMIFS(CT!$H$5:$H$143,CT!$A$5:$A$143,"&lt;"&amp;$I$3,CT!$D$5:$D$143,A256)</f>
        <v>1000000</v>
      </c>
      <c r="H256" s="69">
        <f>SUMIFS(CT!$F$5:$F$143,CT!$A$5:$A$143,"&lt;"&amp;$I$3,CT!$E$5:$E$143,A256)</f>
        <v>0</v>
      </c>
      <c r="I256" s="69">
        <f>SUMIFS(CT!$H$5:$H$143,CT!$A$5:$A$143,"&lt;"&amp;$I$3,CT!$E$5:$E$143,A256)</f>
        <v>0</v>
      </c>
      <c r="J256" s="69">
        <f t="shared" si="18"/>
        <v>0</v>
      </c>
      <c r="K256" s="69">
        <f t="shared" si="19"/>
        <v>1000000</v>
      </c>
      <c r="L256" s="69">
        <f>SUMIFS(CT!$F$5:$F$143,CT!$A$5:$A$143,"&gt;="&amp;$I$3,CT!$A$5:$A$143,"&lt;="&amp;$K$3,CT!$D$5:$D$143,A256)</f>
        <v>0</v>
      </c>
      <c r="M256" s="69">
        <f>SUMIFS(CT!$H$5:$H$143,CT!$A$5:$A$143,"&gt;="&amp;$I$3,CT!$A$5:$A$143,"&lt;="&amp;$K$3,CT!$D$5:$D$143,A256)</f>
        <v>1800000</v>
      </c>
      <c r="N256" s="69">
        <f>SUMIFS(CT!$F$5:$F$143,CT!$A$5:$A$143,"&gt;="&amp;$I$3,CT!$A$5:$A$143,"&lt;="&amp;$K$3,CT!$E$5:$E$143,A256)</f>
        <v>0</v>
      </c>
      <c r="O256" s="69">
        <f>SUMIFS(CT!$H$5:$H$143,CT!$A$5:$A$143,"&gt;="&amp;$I$3,CT!$A$5:$A$143,"&lt;="&amp;$K$3,CT!$E$5:$E$143,A256)</f>
        <v>2800000</v>
      </c>
      <c r="P256" s="69">
        <f t="shared" si="20"/>
        <v>0</v>
      </c>
      <c r="Q256" s="69">
        <f t="shared" si="21"/>
        <v>0</v>
      </c>
      <c r="R256" s="69">
        <f t="shared" si="22"/>
        <v>0</v>
      </c>
      <c r="S256" t="b">
        <f t="shared" si="23"/>
        <v>0</v>
      </c>
    </row>
    <row r="257" spans="1:19" hidden="1" x14ac:dyDescent="0.25">
      <c r="A257" s="93" t="str">
        <f>DMTK!B254</f>
        <v>711</v>
      </c>
      <c r="B257" s="65" t="str">
        <f>VLOOKUP(A257,DMTK!$B$5:$Q$263,3,0)</f>
        <v>Thu nhập khác</v>
      </c>
      <c r="C257" s="65" t="str">
        <f>VLOOKUP(A257,DMTK!$B$5:$Q$263,16,0)</f>
        <v xml:space="preserve"> </v>
      </c>
      <c r="D257" s="69">
        <f>VLOOKUP(A257,DMTK!$B$5:$Q$263,4,0)</f>
        <v>0</v>
      </c>
      <c r="E257" s="69">
        <f>VLOOKUP(A257,DMTK!$B$5:$Q$263,5,0)</f>
        <v>0</v>
      </c>
      <c r="F257" s="69">
        <f>SUMIFS(CT!$F$5:$F$143,CT!$A$5:$A$143,"&lt;"&amp;$I$3,CT!$D$5:$D$143,A257)</f>
        <v>0</v>
      </c>
      <c r="G257" s="69">
        <f>SUMIFS(CT!$H$5:$H$143,CT!$A$5:$A$143,"&lt;"&amp;$I$3,CT!$D$5:$D$143,A257)</f>
        <v>0</v>
      </c>
      <c r="H257" s="69">
        <f>SUMIFS(CT!$F$5:$F$143,CT!$A$5:$A$143,"&lt;"&amp;$I$3,CT!$E$5:$E$143,A257)</f>
        <v>0</v>
      </c>
      <c r="I257" s="69">
        <f>SUMIFS(CT!$H$5:$H$143,CT!$A$5:$A$143,"&lt;"&amp;$I$3,CT!$E$5:$E$143,A257)</f>
        <v>0</v>
      </c>
      <c r="J257" s="69">
        <f t="shared" si="18"/>
        <v>0</v>
      </c>
      <c r="K257" s="69">
        <f t="shared" si="19"/>
        <v>0</v>
      </c>
      <c r="L257" s="69">
        <f>SUMIFS(CT!$F$5:$F$143,CT!$A$5:$A$143,"&gt;="&amp;$I$3,CT!$A$5:$A$143,"&lt;="&amp;$K$3,CT!$D$5:$D$143,A257)</f>
        <v>0</v>
      </c>
      <c r="M257" s="69">
        <f>SUMIFS(CT!$H$5:$H$143,CT!$A$5:$A$143,"&gt;="&amp;$I$3,CT!$A$5:$A$143,"&lt;="&amp;$K$3,CT!$D$5:$D$143,A257)</f>
        <v>0</v>
      </c>
      <c r="N257" s="69">
        <f>SUMIFS(CT!$F$5:$F$143,CT!$A$5:$A$143,"&gt;="&amp;$I$3,CT!$A$5:$A$143,"&lt;="&amp;$K$3,CT!$E$5:$E$143,A257)</f>
        <v>0</v>
      </c>
      <c r="O257" s="69">
        <f>SUMIFS(CT!$H$5:$H$143,CT!$A$5:$A$143,"&gt;="&amp;$I$3,CT!$A$5:$A$143,"&lt;="&amp;$K$3,CT!$E$5:$E$143,A257)</f>
        <v>0</v>
      </c>
      <c r="P257" s="69">
        <f t="shared" si="20"/>
        <v>0</v>
      </c>
      <c r="Q257" s="69">
        <f t="shared" si="21"/>
        <v>0</v>
      </c>
      <c r="R257" s="69">
        <f t="shared" si="22"/>
        <v>0</v>
      </c>
      <c r="S257" t="b">
        <f t="shared" si="23"/>
        <v>0</v>
      </c>
    </row>
    <row r="258" spans="1:19" hidden="1" x14ac:dyDescent="0.25">
      <c r="A258" s="93" t="str">
        <f>DMTK!B255</f>
        <v>811</v>
      </c>
      <c r="B258" s="65" t="str">
        <f>VLOOKUP(A258,DMTK!$B$5:$Q$263,3,0)</f>
        <v>Chi phí khác</v>
      </c>
      <c r="C258" s="65" t="str">
        <f>VLOOKUP(A258,DMTK!$B$5:$Q$263,16,0)</f>
        <v xml:space="preserve"> </v>
      </c>
      <c r="D258" s="69">
        <f>VLOOKUP(A258,DMTK!$B$5:$Q$263,4,0)</f>
        <v>0</v>
      </c>
      <c r="E258" s="69">
        <f>VLOOKUP(A258,DMTK!$B$5:$Q$263,5,0)</f>
        <v>0</v>
      </c>
      <c r="F258" s="69">
        <f>SUMIFS(CT!$F$5:$F$143,CT!$A$5:$A$143,"&lt;"&amp;$I$3,CT!$D$5:$D$143,A258)</f>
        <v>0</v>
      </c>
      <c r="G258" s="69">
        <f>SUMIFS(CT!$H$5:$H$143,CT!$A$5:$A$143,"&lt;"&amp;$I$3,CT!$D$5:$D$143,A258)</f>
        <v>0</v>
      </c>
      <c r="H258" s="69">
        <f>SUMIFS(CT!$F$5:$F$143,CT!$A$5:$A$143,"&lt;"&amp;$I$3,CT!$E$5:$E$143,A258)</f>
        <v>0</v>
      </c>
      <c r="I258" s="69">
        <f>SUMIFS(CT!$H$5:$H$143,CT!$A$5:$A$143,"&lt;"&amp;$I$3,CT!$E$5:$E$143,A258)</f>
        <v>0</v>
      </c>
      <c r="J258" s="69">
        <f t="shared" si="18"/>
        <v>0</v>
      </c>
      <c r="K258" s="69">
        <f t="shared" si="19"/>
        <v>0</v>
      </c>
      <c r="L258" s="69">
        <f>SUMIFS(CT!$F$5:$F$143,CT!$A$5:$A$143,"&gt;="&amp;$I$3,CT!$A$5:$A$143,"&lt;="&amp;$K$3,CT!$D$5:$D$143,A258)</f>
        <v>0</v>
      </c>
      <c r="M258" s="69">
        <f>SUMIFS(CT!$H$5:$H$143,CT!$A$5:$A$143,"&gt;="&amp;$I$3,CT!$A$5:$A$143,"&lt;="&amp;$K$3,CT!$D$5:$D$143,A258)</f>
        <v>0</v>
      </c>
      <c r="N258" s="69">
        <f>SUMIFS(CT!$F$5:$F$143,CT!$A$5:$A$143,"&gt;="&amp;$I$3,CT!$A$5:$A$143,"&lt;="&amp;$K$3,CT!$E$5:$E$143,A258)</f>
        <v>0</v>
      </c>
      <c r="O258" s="69">
        <f>SUMIFS(CT!$H$5:$H$143,CT!$A$5:$A$143,"&gt;="&amp;$I$3,CT!$A$5:$A$143,"&lt;="&amp;$K$3,CT!$E$5:$E$143,A258)</f>
        <v>0</v>
      </c>
      <c r="P258" s="69">
        <f t="shared" si="20"/>
        <v>0</v>
      </c>
      <c r="Q258" s="69">
        <f t="shared" si="21"/>
        <v>0</v>
      </c>
      <c r="R258" s="69">
        <f t="shared" si="22"/>
        <v>0</v>
      </c>
      <c r="S258" t="b">
        <f t="shared" si="23"/>
        <v>0</v>
      </c>
    </row>
    <row r="259" spans="1:19" hidden="1" x14ac:dyDescent="0.25">
      <c r="A259" s="93" t="str">
        <f>DMTK!B256</f>
        <v>8211</v>
      </c>
      <c r="B259" s="65" t="str">
        <f>VLOOKUP(A259,DMTK!$B$5:$Q$263,3,0)</f>
        <v>Chi phí thuế TNDN hiện hành</v>
      </c>
      <c r="C259" s="65" t="str">
        <f>VLOOKUP(A259,DMTK!$B$5:$Q$263,16,0)</f>
        <v xml:space="preserve"> </v>
      </c>
      <c r="D259" s="69">
        <f>VLOOKUP(A259,DMTK!$B$5:$Q$263,4,0)</f>
        <v>0</v>
      </c>
      <c r="E259" s="69">
        <f>VLOOKUP(A259,DMTK!$B$5:$Q$263,5,0)</f>
        <v>0</v>
      </c>
      <c r="F259" s="69">
        <f>SUMIFS(CT!$F$5:$F$143,CT!$A$5:$A$143,"&lt;"&amp;$I$3,CT!$D$5:$D$143,A259)</f>
        <v>0</v>
      </c>
      <c r="G259" s="69">
        <f>SUMIFS(CT!$H$5:$H$143,CT!$A$5:$A$143,"&lt;"&amp;$I$3,CT!$D$5:$D$143,A259)</f>
        <v>0</v>
      </c>
      <c r="H259" s="69">
        <f>SUMIFS(CT!$F$5:$F$143,CT!$A$5:$A$143,"&lt;"&amp;$I$3,CT!$E$5:$E$143,A259)</f>
        <v>0</v>
      </c>
      <c r="I259" s="69">
        <f>SUMIFS(CT!$H$5:$H$143,CT!$A$5:$A$143,"&lt;"&amp;$I$3,CT!$E$5:$E$143,A259)</f>
        <v>0</v>
      </c>
      <c r="J259" s="69">
        <f t="shared" si="18"/>
        <v>0</v>
      </c>
      <c r="K259" s="69">
        <f t="shared" si="19"/>
        <v>0</v>
      </c>
      <c r="L259" s="69">
        <f>SUMIFS(CT!$F$5:$F$143,CT!$A$5:$A$143,"&gt;="&amp;$I$3,CT!$A$5:$A$143,"&lt;="&amp;$K$3,CT!$D$5:$D$143,A259)</f>
        <v>0</v>
      </c>
      <c r="M259" s="69">
        <f>SUMIFS(CT!$H$5:$H$143,CT!$A$5:$A$143,"&gt;="&amp;$I$3,CT!$A$5:$A$143,"&lt;="&amp;$K$3,CT!$D$5:$D$143,A259)</f>
        <v>0</v>
      </c>
      <c r="N259" s="69">
        <f>SUMIFS(CT!$F$5:$F$143,CT!$A$5:$A$143,"&gt;="&amp;$I$3,CT!$A$5:$A$143,"&lt;="&amp;$K$3,CT!$E$5:$E$143,A259)</f>
        <v>0</v>
      </c>
      <c r="O259" s="69">
        <f>SUMIFS(CT!$H$5:$H$143,CT!$A$5:$A$143,"&gt;="&amp;$I$3,CT!$A$5:$A$143,"&lt;="&amp;$K$3,CT!$E$5:$E$143,A259)</f>
        <v>0</v>
      </c>
      <c r="P259" s="69">
        <f t="shared" si="20"/>
        <v>0</v>
      </c>
      <c r="Q259" s="69">
        <f t="shared" si="21"/>
        <v>0</v>
      </c>
      <c r="R259" s="69">
        <f t="shared" si="22"/>
        <v>0</v>
      </c>
      <c r="S259" t="b">
        <f t="shared" si="23"/>
        <v>0</v>
      </c>
    </row>
    <row r="260" spans="1:19" hidden="1" x14ac:dyDescent="0.25">
      <c r="A260" s="93" t="str">
        <f>DMTK!B257</f>
        <v>8212</v>
      </c>
      <c r="B260" s="65" t="str">
        <f>VLOOKUP(A260,DMTK!$B$5:$Q$263,3,0)</f>
        <v>Chi phí thuế TNDN hoãn lại</v>
      </c>
      <c r="C260" s="65" t="str">
        <f>VLOOKUP(A260,DMTK!$B$5:$Q$263,16,0)</f>
        <v xml:space="preserve"> </v>
      </c>
      <c r="D260" s="69">
        <f>VLOOKUP(A260,DMTK!$B$5:$Q$263,4,0)</f>
        <v>0</v>
      </c>
      <c r="E260" s="69">
        <f>VLOOKUP(A260,DMTK!$B$5:$Q$263,5,0)</f>
        <v>0</v>
      </c>
      <c r="F260" s="69">
        <f>SUMIFS(CT!$F$5:$F$143,CT!$A$5:$A$143,"&lt;"&amp;$I$3,CT!$D$5:$D$143,A260)</f>
        <v>0</v>
      </c>
      <c r="G260" s="69">
        <f>SUMIFS(CT!$H$5:$H$143,CT!$A$5:$A$143,"&lt;"&amp;$I$3,CT!$D$5:$D$143,A260)</f>
        <v>0</v>
      </c>
      <c r="H260" s="69">
        <f>SUMIFS(CT!$F$5:$F$143,CT!$A$5:$A$143,"&lt;"&amp;$I$3,CT!$E$5:$E$143,A260)</f>
        <v>0</v>
      </c>
      <c r="I260" s="69">
        <f>SUMIFS(CT!$H$5:$H$143,CT!$A$5:$A$143,"&lt;"&amp;$I$3,CT!$E$5:$E$143,A260)</f>
        <v>0</v>
      </c>
      <c r="J260" s="69">
        <f t="shared" si="18"/>
        <v>0</v>
      </c>
      <c r="K260" s="69">
        <f t="shared" si="19"/>
        <v>0</v>
      </c>
      <c r="L260" s="69">
        <f>SUMIFS(CT!$F$5:$F$143,CT!$A$5:$A$143,"&gt;="&amp;$I$3,CT!$A$5:$A$143,"&lt;="&amp;$K$3,CT!$D$5:$D$143,A260)</f>
        <v>0</v>
      </c>
      <c r="M260" s="69">
        <f>SUMIFS(CT!$H$5:$H$143,CT!$A$5:$A$143,"&gt;="&amp;$I$3,CT!$A$5:$A$143,"&lt;="&amp;$K$3,CT!$D$5:$D$143,A260)</f>
        <v>0</v>
      </c>
      <c r="N260" s="69">
        <f>SUMIFS(CT!$F$5:$F$143,CT!$A$5:$A$143,"&gt;="&amp;$I$3,CT!$A$5:$A$143,"&lt;="&amp;$K$3,CT!$E$5:$E$143,A260)</f>
        <v>0</v>
      </c>
      <c r="O260" s="69">
        <f>SUMIFS(CT!$H$5:$H$143,CT!$A$5:$A$143,"&gt;="&amp;$I$3,CT!$A$5:$A$143,"&lt;="&amp;$K$3,CT!$E$5:$E$143,A260)</f>
        <v>0</v>
      </c>
      <c r="P260" s="69">
        <f t="shared" si="20"/>
        <v>0</v>
      </c>
      <c r="Q260" s="69">
        <f t="shared" si="21"/>
        <v>0</v>
      </c>
      <c r="R260" s="69">
        <f t="shared" si="22"/>
        <v>0</v>
      </c>
      <c r="S260" t="b">
        <f t="shared" si="23"/>
        <v>0</v>
      </c>
    </row>
    <row r="261" spans="1:19" hidden="1" x14ac:dyDescent="0.25">
      <c r="A261" s="93" t="str">
        <f>DMTK!B258</f>
        <v>9111.0101</v>
      </c>
      <c r="B261" s="65" t="str">
        <f>VLOOKUP(A261,DMTK!$B$5:$Q$263,3,0)</f>
        <v>Xác định kết quả kinh doanh (GTV)</v>
      </c>
      <c r="C261" s="65" t="str">
        <f>VLOOKUP(A261,DMTK!$B$5:$Q$263,16,0)</f>
        <v xml:space="preserve"> </v>
      </c>
      <c r="D261" s="69">
        <f>VLOOKUP(A261,DMTK!$B$5:$Q$263,4,0)</f>
        <v>0</v>
      </c>
      <c r="E261" s="69">
        <f>VLOOKUP(A261,DMTK!$B$5:$Q$263,5,0)</f>
        <v>0</v>
      </c>
      <c r="F261" s="69">
        <f>SUMIFS(CT!$F$5:$F$143,CT!$A$5:$A$143,"&lt;"&amp;$I$3,CT!$D$5:$D$143,A261)</f>
        <v>0</v>
      </c>
      <c r="G261" s="69">
        <f>SUMIFS(CT!$H$5:$H$143,CT!$A$5:$A$143,"&lt;"&amp;$I$3,CT!$D$5:$D$143,A261)</f>
        <v>0</v>
      </c>
      <c r="H261" s="69">
        <f>SUMIFS(CT!$F$5:$F$143,CT!$A$5:$A$143,"&lt;"&amp;$I$3,CT!$E$5:$E$143,A261)</f>
        <v>0</v>
      </c>
      <c r="I261" s="69">
        <f>SUMIFS(CT!$H$5:$H$143,CT!$A$5:$A$143,"&lt;"&amp;$I$3,CT!$E$5:$E$143,A261)</f>
        <v>0</v>
      </c>
      <c r="J261" s="69">
        <f t="shared" si="18"/>
        <v>0</v>
      </c>
      <c r="K261" s="69">
        <f t="shared" si="19"/>
        <v>0</v>
      </c>
      <c r="L261" s="69">
        <f>SUMIFS(CT!$F$5:$F$143,CT!$A$5:$A$143,"&gt;="&amp;$I$3,CT!$A$5:$A$143,"&lt;="&amp;$K$3,CT!$D$5:$D$143,A261)</f>
        <v>0</v>
      </c>
      <c r="M261" s="69">
        <f>SUMIFS(CT!$H$5:$H$143,CT!$A$5:$A$143,"&gt;="&amp;$I$3,CT!$A$5:$A$143,"&lt;="&amp;$K$3,CT!$D$5:$D$143,A261)</f>
        <v>31772143</v>
      </c>
      <c r="N261" s="69">
        <f>SUMIFS(CT!$F$5:$F$143,CT!$A$5:$A$143,"&gt;="&amp;$I$3,CT!$A$5:$A$143,"&lt;="&amp;$K$3,CT!$E$5:$E$143,A261)</f>
        <v>0</v>
      </c>
      <c r="O261" s="69">
        <f>SUMIFS(CT!$H$5:$H$143,CT!$A$5:$A$143,"&gt;="&amp;$I$3,CT!$A$5:$A$143,"&lt;="&amp;$K$3,CT!$E$5:$E$143,A261)</f>
        <v>31772143</v>
      </c>
      <c r="P261" s="69">
        <f t="shared" si="20"/>
        <v>0</v>
      </c>
      <c r="Q261" s="69">
        <f t="shared" si="21"/>
        <v>0</v>
      </c>
      <c r="R261" s="69">
        <f t="shared" si="22"/>
        <v>0</v>
      </c>
      <c r="S261" t="b">
        <f t="shared" si="23"/>
        <v>0</v>
      </c>
    </row>
    <row r="262" spans="1:19" hidden="1" x14ac:dyDescent="0.25">
      <c r="A262" s="93" t="str">
        <f>DMTK!B259</f>
        <v>9111.0102</v>
      </c>
      <c r="B262" s="65" t="str">
        <f>VLOOKUP(A262,DMTK!$B$5:$Q$263,3,0)</f>
        <v>Xác định kết quả kinh doanh (GKT)</v>
      </c>
      <c r="C262" s="65" t="str">
        <f>VLOOKUP(A262,DMTK!$B$5:$Q$263,16,0)</f>
        <v xml:space="preserve"> </v>
      </c>
      <c r="D262" s="69">
        <f>VLOOKUP(A262,DMTK!$B$5:$Q$263,4,0)</f>
        <v>0</v>
      </c>
      <c r="E262" s="69">
        <f>VLOOKUP(A262,DMTK!$B$5:$Q$263,5,0)</f>
        <v>0</v>
      </c>
      <c r="F262" s="69">
        <f>SUMIFS(CT!$F$5:$F$143,CT!$A$5:$A$143,"&lt;"&amp;$I$3,CT!$D$5:$D$143,A262)</f>
        <v>0</v>
      </c>
      <c r="G262" s="69">
        <f>SUMIFS(CT!$H$5:$H$143,CT!$A$5:$A$143,"&lt;"&amp;$I$3,CT!$D$5:$D$143,A262)</f>
        <v>0</v>
      </c>
      <c r="H262" s="69">
        <f>SUMIFS(CT!$F$5:$F$143,CT!$A$5:$A$143,"&lt;"&amp;$I$3,CT!$E$5:$E$143,A262)</f>
        <v>0</v>
      </c>
      <c r="I262" s="69">
        <f>SUMIFS(CT!$H$5:$H$143,CT!$A$5:$A$143,"&lt;"&amp;$I$3,CT!$E$5:$E$143,A262)</f>
        <v>0</v>
      </c>
      <c r="J262" s="69">
        <f t="shared" si="18"/>
        <v>0</v>
      </c>
      <c r="K262" s="69">
        <f t="shared" si="19"/>
        <v>0</v>
      </c>
      <c r="L262" s="69">
        <f>SUMIFS(CT!$F$5:$F$143,CT!$A$5:$A$143,"&gt;="&amp;$I$3,CT!$A$5:$A$143,"&lt;="&amp;$K$3,CT!$D$5:$D$143,A262)</f>
        <v>0</v>
      </c>
      <c r="M262" s="69">
        <f>SUMIFS(CT!$H$5:$H$143,CT!$A$5:$A$143,"&gt;="&amp;$I$3,CT!$A$5:$A$143,"&lt;="&amp;$K$3,CT!$D$5:$D$143,A262)</f>
        <v>28000000</v>
      </c>
      <c r="N262" s="69">
        <f>SUMIFS(CT!$F$5:$F$143,CT!$A$5:$A$143,"&gt;="&amp;$I$3,CT!$A$5:$A$143,"&lt;="&amp;$K$3,CT!$E$5:$E$143,A262)</f>
        <v>0</v>
      </c>
      <c r="O262" s="69">
        <f>SUMIFS(CT!$H$5:$H$143,CT!$A$5:$A$143,"&gt;="&amp;$I$3,CT!$A$5:$A$143,"&lt;="&amp;$K$3,CT!$E$5:$E$143,A262)</f>
        <v>28000000</v>
      </c>
      <c r="P262" s="69">
        <f t="shared" si="20"/>
        <v>0</v>
      </c>
      <c r="Q262" s="69">
        <f t="shared" si="21"/>
        <v>0</v>
      </c>
      <c r="R262" s="69">
        <f t="shared" si="22"/>
        <v>0</v>
      </c>
      <c r="S262" t="b">
        <f t="shared" si="23"/>
        <v>0</v>
      </c>
    </row>
    <row r="263" spans="1:19" hidden="1" x14ac:dyDescent="0.25">
      <c r="A263" s="93" t="str">
        <f>DMTK!B260</f>
        <v>9111.0201</v>
      </c>
      <c r="B263" s="65" t="str">
        <f>VLOOKUP(A263,DMTK!$B$5:$Q$263,3,0)</f>
        <v>Xác định kết quả kinh doanh (BT)</v>
      </c>
      <c r="C263" s="65" t="str">
        <f>VLOOKUP(A263,DMTK!$B$5:$Q$263,16,0)</f>
        <v xml:space="preserve"> </v>
      </c>
      <c r="D263" s="69">
        <f>VLOOKUP(A263,DMTK!$B$5:$Q$263,4,0)</f>
        <v>0</v>
      </c>
      <c r="E263" s="69">
        <f>VLOOKUP(A263,DMTK!$B$5:$Q$263,5,0)</f>
        <v>0</v>
      </c>
      <c r="F263" s="69">
        <f>SUMIFS(CT!$F$5:$F$143,CT!$A$5:$A$143,"&lt;"&amp;$I$3,CT!$D$5:$D$143,A263)</f>
        <v>0</v>
      </c>
      <c r="G263" s="69">
        <f>SUMIFS(CT!$H$5:$H$143,CT!$A$5:$A$143,"&lt;"&amp;$I$3,CT!$D$5:$D$143,A263)</f>
        <v>0</v>
      </c>
      <c r="H263" s="69">
        <f>SUMIFS(CT!$F$5:$F$143,CT!$A$5:$A$143,"&lt;"&amp;$I$3,CT!$E$5:$E$143,A263)</f>
        <v>0</v>
      </c>
      <c r="I263" s="69">
        <f>SUMIFS(CT!$H$5:$H$143,CT!$A$5:$A$143,"&lt;"&amp;$I$3,CT!$E$5:$E$143,A263)</f>
        <v>0</v>
      </c>
      <c r="J263" s="69">
        <f t="shared" si="18"/>
        <v>0</v>
      </c>
      <c r="K263" s="69">
        <f t="shared" si="19"/>
        <v>0</v>
      </c>
      <c r="L263" s="69">
        <f>SUMIFS(CT!$F$5:$F$143,CT!$A$5:$A$143,"&gt;="&amp;$I$3,CT!$A$5:$A$143,"&lt;="&amp;$K$3,CT!$D$5:$D$143,A263)</f>
        <v>0</v>
      </c>
      <c r="M263" s="69">
        <f>SUMIFS(CT!$H$5:$H$143,CT!$A$5:$A$143,"&gt;="&amp;$I$3,CT!$A$5:$A$143,"&lt;="&amp;$K$3,CT!$D$5:$D$143,A263)</f>
        <v>0</v>
      </c>
      <c r="N263" s="69">
        <f>SUMIFS(CT!$F$5:$F$143,CT!$A$5:$A$143,"&gt;="&amp;$I$3,CT!$A$5:$A$143,"&lt;="&amp;$K$3,CT!$E$5:$E$143,A263)</f>
        <v>0</v>
      </c>
      <c r="O263" s="69">
        <f>SUMIFS(CT!$H$5:$H$143,CT!$A$5:$A$143,"&gt;="&amp;$I$3,CT!$A$5:$A$143,"&lt;="&amp;$K$3,CT!$E$5:$E$143,A263)</f>
        <v>0</v>
      </c>
      <c r="P263" s="69">
        <f t="shared" si="20"/>
        <v>0</v>
      </c>
      <c r="Q263" s="69">
        <f t="shared" si="21"/>
        <v>0</v>
      </c>
      <c r="R263" s="69">
        <f t="shared" si="22"/>
        <v>0</v>
      </c>
      <c r="S263" t="b">
        <f t="shared" si="23"/>
        <v>0</v>
      </c>
    </row>
    <row r="264" spans="1:19" hidden="1" x14ac:dyDescent="0.25">
      <c r="A264" s="93" t="str">
        <f>DMTK!B261</f>
        <v>9111.0202</v>
      </c>
      <c r="B264" s="65" t="str">
        <f>VLOOKUP(A264,DMTK!$B$5:$Q$263,3,0)</f>
        <v>Xác định kết quả kinh doanh (BO)</v>
      </c>
      <c r="C264" s="65" t="str">
        <f>VLOOKUP(A264,DMTK!$B$5:$Q$263,16,0)</f>
        <v xml:space="preserve"> </v>
      </c>
      <c r="D264" s="69">
        <f>VLOOKUP(A264,DMTK!$B$5:$Q$263,4,0)</f>
        <v>0</v>
      </c>
      <c r="E264" s="69">
        <f>VLOOKUP(A264,DMTK!$B$5:$Q$263,5,0)</f>
        <v>0</v>
      </c>
      <c r="F264" s="69">
        <f>SUMIFS(CT!$F$5:$F$143,CT!$A$5:$A$143,"&lt;"&amp;$I$3,CT!$D$5:$D$143,A264)</f>
        <v>0</v>
      </c>
      <c r="G264" s="69">
        <f>SUMIFS(CT!$H$5:$H$143,CT!$A$5:$A$143,"&lt;"&amp;$I$3,CT!$D$5:$D$143,A264)</f>
        <v>0</v>
      </c>
      <c r="H264" s="69">
        <f>SUMIFS(CT!$F$5:$F$143,CT!$A$5:$A$143,"&lt;"&amp;$I$3,CT!$E$5:$E$143,A264)</f>
        <v>0</v>
      </c>
      <c r="I264" s="69">
        <f>SUMIFS(CT!$H$5:$H$143,CT!$A$5:$A$143,"&lt;"&amp;$I$3,CT!$E$5:$E$143,A264)</f>
        <v>0</v>
      </c>
      <c r="J264" s="69">
        <f t="shared" si="18"/>
        <v>0</v>
      </c>
      <c r="K264" s="69">
        <f t="shared" si="19"/>
        <v>0</v>
      </c>
      <c r="L264" s="69">
        <f>SUMIFS(CT!$F$5:$F$143,CT!$A$5:$A$143,"&gt;="&amp;$I$3,CT!$A$5:$A$143,"&lt;="&amp;$K$3,CT!$D$5:$D$143,A264)</f>
        <v>0</v>
      </c>
      <c r="M264" s="69">
        <f>SUMIFS(CT!$H$5:$H$143,CT!$A$5:$A$143,"&gt;="&amp;$I$3,CT!$A$5:$A$143,"&lt;="&amp;$K$3,CT!$D$5:$D$143,A264)</f>
        <v>31615709</v>
      </c>
      <c r="N264" s="69">
        <f>SUMIFS(CT!$F$5:$F$143,CT!$A$5:$A$143,"&gt;="&amp;$I$3,CT!$A$5:$A$143,"&lt;="&amp;$K$3,CT!$E$5:$E$143,A264)</f>
        <v>0</v>
      </c>
      <c r="O264" s="69">
        <f>SUMIFS(CT!$H$5:$H$143,CT!$A$5:$A$143,"&gt;="&amp;$I$3,CT!$A$5:$A$143,"&lt;="&amp;$K$3,CT!$E$5:$E$143,A264)</f>
        <v>31615709</v>
      </c>
      <c r="P264" s="69">
        <f t="shared" si="20"/>
        <v>0</v>
      </c>
      <c r="Q264" s="69">
        <f t="shared" si="21"/>
        <v>0</v>
      </c>
      <c r="R264" s="69">
        <f t="shared" si="22"/>
        <v>0</v>
      </c>
      <c r="S264" t="b">
        <f t="shared" si="23"/>
        <v>0</v>
      </c>
    </row>
    <row r="265" spans="1:19" hidden="1" x14ac:dyDescent="0.25">
      <c r="A265" s="93" t="str">
        <f>DMTK!B262</f>
        <v>9111.0203</v>
      </c>
      <c r="B265" s="65" t="str">
        <f>VLOOKUP(A265,DMTK!$B$5:$Q$263,3,0)</f>
        <v>Xác định kết quả kinh doanh (BCN)</v>
      </c>
      <c r="C265" s="65" t="str">
        <f>VLOOKUP(A265,DMTK!$B$5:$Q$263,16,0)</f>
        <v xml:space="preserve"> </v>
      </c>
      <c r="D265" s="69">
        <f>VLOOKUP(A265,DMTK!$B$5:$Q$263,4,0)</f>
        <v>0</v>
      </c>
      <c r="E265" s="69">
        <f>VLOOKUP(A265,DMTK!$B$5:$Q$263,5,0)</f>
        <v>0</v>
      </c>
      <c r="F265" s="69">
        <f>SUMIFS(CT!$F$5:$F$143,CT!$A$5:$A$143,"&lt;"&amp;$I$3,CT!$D$5:$D$143,A265)</f>
        <v>0</v>
      </c>
      <c r="G265" s="69">
        <f>SUMIFS(CT!$H$5:$H$143,CT!$A$5:$A$143,"&lt;"&amp;$I$3,CT!$D$5:$D$143,A265)</f>
        <v>0</v>
      </c>
      <c r="H265" s="69">
        <f>SUMIFS(CT!$F$5:$F$143,CT!$A$5:$A$143,"&lt;"&amp;$I$3,CT!$E$5:$E$143,A265)</f>
        <v>0</v>
      </c>
      <c r="I265" s="69">
        <f>SUMIFS(CT!$H$5:$H$143,CT!$A$5:$A$143,"&lt;"&amp;$I$3,CT!$E$5:$E$143,A265)</f>
        <v>0</v>
      </c>
      <c r="J265" s="69">
        <f t="shared" ref="J265:J266" si="24">MAX(D265+F265-H265,0)</f>
        <v>0</v>
      </c>
      <c r="K265" s="69">
        <f t="shared" ref="K265:K266" si="25">MAX(E265+G265-I265,0)</f>
        <v>0</v>
      </c>
      <c r="L265" s="69">
        <f>SUMIFS(CT!$F$5:$F$143,CT!$A$5:$A$143,"&gt;="&amp;$I$3,CT!$A$5:$A$143,"&lt;="&amp;$K$3,CT!$D$5:$D$143,A265)</f>
        <v>0</v>
      </c>
      <c r="M265" s="69">
        <f>SUMIFS(CT!$H$5:$H$143,CT!$A$5:$A$143,"&gt;="&amp;$I$3,CT!$A$5:$A$143,"&lt;="&amp;$K$3,CT!$D$5:$D$143,A265)</f>
        <v>0</v>
      </c>
      <c r="N265" s="69">
        <f>SUMIFS(CT!$F$5:$F$143,CT!$A$5:$A$143,"&gt;="&amp;$I$3,CT!$A$5:$A$143,"&lt;="&amp;$K$3,CT!$E$5:$E$143,A265)</f>
        <v>0</v>
      </c>
      <c r="O265" s="69">
        <f>SUMIFS(CT!$H$5:$H$143,CT!$A$5:$A$143,"&gt;="&amp;$I$3,CT!$A$5:$A$143,"&lt;="&amp;$K$3,CT!$E$5:$E$143,A265)</f>
        <v>0</v>
      </c>
      <c r="P265" s="69">
        <f t="shared" ref="P265:P266" si="26">MAX(J265+L265-N265,0)</f>
        <v>0</v>
      </c>
      <c r="Q265" s="69">
        <f t="shared" ref="Q265:Q266" si="27">MAX(K265+M265-O265,0)</f>
        <v>0</v>
      </c>
      <c r="R265" s="69">
        <f t="shared" ref="R265:R266" si="28">IF(P265&lt;&gt;0,Q265/P265,0)</f>
        <v>0</v>
      </c>
      <c r="S265" t="b">
        <f t="shared" ref="S265:S266" si="29">LEFT(A265,LEN($I$2))=$I$2</f>
        <v>0</v>
      </c>
    </row>
    <row r="266" spans="1:19" hidden="1" x14ac:dyDescent="0.25">
      <c r="A266" s="93" t="str">
        <f>DMTK!B263</f>
        <v>9111.0303</v>
      </c>
      <c r="B266" s="65" t="str">
        <f>VLOOKUP(A266,DMTK!$B$5:$Q$263,3,0)</f>
        <v>Xác định kết quả kinh doanh</v>
      </c>
      <c r="C266" s="65" t="str">
        <f>VLOOKUP(A266,DMTK!$B$5:$Q$263,16,0)</f>
        <v xml:space="preserve"> </v>
      </c>
      <c r="D266" s="69">
        <f>VLOOKUP(A266,DMTK!$B$5:$Q$263,4,0)</f>
        <v>0</v>
      </c>
      <c r="E266" s="69">
        <f>VLOOKUP(A266,DMTK!$B$5:$Q$263,5,0)</f>
        <v>0</v>
      </c>
      <c r="F266" s="69">
        <f>SUMIFS(CT!$F$5:$F$143,CT!$A$5:$A$143,"&lt;"&amp;$I$3,CT!$D$5:$D$143,A266)</f>
        <v>0</v>
      </c>
      <c r="G266" s="69">
        <f>SUMIFS(CT!$H$5:$H$143,CT!$A$5:$A$143,"&lt;"&amp;$I$3,CT!$D$5:$D$143,A266)</f>
        <v>0</v>
      </c>
      <c r="H266" s="69">
        <f>SUMIFS(CT!$F$5:$F$143,CT!$A$5:$A$143,"&lt;"&amp;$I$3,CT!$E$5:$E$143,A266)</f>
        <v>0</v>
      </c>
      <c r="I266" s="69">
        <f>SUMIFS(CT!$H$5:$H$143,CT!$A$5:$A$143,"&lt;"&amp;$I$3,CT!$E$5:$E$143,A266)</f>
        <v>0</v>
      </c>
      <c r="J266" s="69">
        <f t="shared" si="24"/>
        <v>0</v>
      </c>
      <c r="K266" s="69">
        <f t="shared" si="25"/>
        <v>0</v>
      </c>
      <c r="L266" s="69">
        <f>SUMIFS(CT!$F$5:$F$143,CT!$A$5:$A$143,"&gt;="&amp;$I$3,CT!$A$5:$A$143,"&lt;="&amp;$K$3,CT!$D$5:$D$143,A266)</f>
        <v>0</v>
      </c>
      <c r="M266" s="69">
        <f>SUMIFS(CT!$H$5:$H$143,CT!$A$5:$A$143,"&gt;="&amp;$I$3,CT!$A$5:$A$143,"&lt;="&amp;$K$3,CT!$D$5:$D$143,A266)</f>
        <v>0</v>
      </c>
      <c r="N266" s="69">
        <f>SUMIFS(CT!$F$5:$F$143,CT!$A$5:$A$143,"&gt;="&amp;$I$3,CT!$A$5:$A$143,"&lt;="&amp;$K$3,CT!$E$5:$E$143,A266)</f>
        <v>0</v>
      </c>
      <c r="O266" s="69">
        <f>SUMIFS(CT!$H$5:$H$143,CT!$A$5:$A$143,"&gt;="&amp;$I$3,CT!$A$5:$A$143,"&lt;="&amp;$K$3,CT!$E$5:$E$143,A266)</f>
        <v>0</v>
      </c>
      <c r="P266" s="69">
        <f t="shared" si="26"/>
        <v>0</v>
      </c>
      <c r="Q266" s="69">
        <f t="shared" si="27"/>
        <v>0</v>
      </c>
      <c r="R266" s="69">
        <f t="shared" si="28"/>
        <v>0</v>
      </c>
      <c r="S266" t="b">
        <f t="shared" si="29"/>
        <v>0</v>
      </c>
    </row>
    <row r="267" spans="1:19" s="184" customFormat="1" x14ac:dyDescent="0.25">
      <c r="B267" s="184" t="s">
        <v>916</v>
      </c>
      <c r="D267" s="185">
        <f>SUBTOTAL(9,D8:D266)</f>
        <v>1549</v>
      </c>
      <c r="E267" s="185">
        <f t="shared" ref="E267:P267" si="30">SUBTOTAL(9,E8:E266)</f>
        <v>147540000</v>
      </c>
      <c r="F267" s="185">
        <f t="shared" si="30"/>
        <v>505</v>
      </c>
      <c r="G267" s="185">
        <f t="shared" si="30"/>
        <v>32200000</v>
      </c>
      <c r="H267" s="185">
        <f t="shared" si="30"/>
        <v>0</v>
      </c>
      <c r="I267" s="185">
        <f t="shared" si="30"/>
        <v>0</v>
      </c>
      <c r="J267" s="185">
        <f t="shared" si="30"/>
        <v>2054</v>
      </c>
      <c r="K267" s="185">
        <f t="shared" si="30"/>
        <v>179740000</v>
      </c>
      <c r="L267" s="185">
        <f t="shared" si="30"/>
        <v>0</v>
      </c>
      <c r="M267" s="185">
        <f t="shared" si="30"/>
        <v>0</v>
      </c>
      <c r="N267" s="185">
        <f t="shared" si="30"/>
        <v>114</v>
      </c>
      <c r="O267" s="185">
        <f t="shared" si="30"/>
        <v>18078200</v>
      </c>
      <c r="P267" s="185">
        <f t="shared" si="30"/>
        <v>1940</v>
      </c>
      <c r="Q267" s="185">
        <f>SUBTOTAL(9,Q8:Q266)</f>
        <v>161661800</v>
      </c>
      <c r="S267" s="186" t="b">
        <v>1</v>
      </c>
    </row>
  </sheetData>
  <autoFilter ref="S7:S267" xr:uid="{B374F245-4D3C-46D1-BF77-F2EBA4CE1668}">
    <filterColumn colId="0">
      <filters>
        <filter val="TRUE"/>
      </filters>
    </filterColumn>
  </autoFilter>
  <mergeCells count="11">
    <mergeCell ref="P5:R5"/>
    <mergeCell ref="A5:A6"/>
    <mergeCell ref="B5:B6"/>
    <mergeCell ref="C5:C6"/>
    <mergeCell ref="A1:N1"/>
    <mergeCell ref="D5:E5"/>
    <mergeCell ref="F5:G5"/>
    <mergeCell ref="H5:I5"/>
    <mergeCell ref="J5:K5"/>
    <mergeCell ref="L5:M5"/>
    <mergeCell ref="N5:O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5EF9-E9FD-46FA-AA53-E9DA5F551248}">
  <sheetPr>
    <tabColor rgb="FFFF66CC"/>
  </sheetPr>
  <dimension ref="A1:H265"/>
  <sheetViews>
    <sheetView workbookViewId="0">
      <selection activeCell="C26" sqref="C26"/>
    </sheetView>
  </sheetViews>
  <sheetFormatPr defaultRowHeight="13.2" x14ac:dyDescent="0.25"/>
  <cols>
    <col min="1" max="1" width="15.77734375" customWidth="1"/>
    <col min="2" max="2" width="73.44140625" customWidth="1"/>
    <col min="3" max="3" width="17.33203125" customWidth="1"/>
    <col min="4" max="4" width="16.44140625" customWidth="1"/>
    <col min="5" max="5" width="15.6640625" customWidth="1"/>
    <col min="6" max="6" width="15.33203125" customWidth="1"/>
    <col min="7" max="7" width="15" customWidth="1"/>
    <col min="8" max="8" width="15.109375" customWidth="1"/>
  </cols>
  <sheetData>
    <row r="1" spans="1:8" ht="16.8" x14ac:dyDescent="0.3">
      <c r="A1" s="176" t="s">
        <v>913</v>
      </c>
      <c r="B1" s="176"/>
      <c r="C1" s="176"/>
      <c r="D1" s="176"/>
      <c r="E1" s="176"/>
      <c r="F1" s="176"/>
      <c r="G1" s="176"/>
      <c r="H1" s="176"/>
    </row>
    <row r="2" spans="1:8" ht="16.8" x14ac:dyDescent="0.3">
      <c r="A2" s="87"/>
      <c r="B2" s="87"/>
      <c r="C2" s="87"/>
      <c r="D2" s="87"/>
      <c r="E2" s="87"/>
      <c r="F2" s="87"/>
      <c r="G2" s="87"/>
      <c r="H2" s="87"/>
    </row>
    <row r="3" spans="1:8" ht="16.8" x14ac:dyDescent="0.25">
      <c r="A3" s="170" t="s">
        <v>834</v>
      </c>
      <c r="B3" s="170" t="s">
        <v>861</v>
      </c>
      <c r="C3" s="170" t="s">
        <v>914</v>
      </c>
      <c r="D3" s="170"/>
      <c r="E3" s="170" t="s">
        <v>915</v>
      </c>
      <c r="F3" s="170"/>
      <c r="G3" s="170" t="s">
        <v>898</v>
      </c>
      <c r="H3" s="170"/>
    </row>
    <row r="4" spans="1:8" ht="16.8" x14ac:dyDescent="0.25">
      <c r="A4" s="170"/>
      <c r="B4" s="170"/>
      <c r="C4" s="100" t="s">
        <v>856</v>
      </c>
      <c r="D4" s="100" t="s">
        <v>857</v>
      </c>
      <c r="E4" s="100" t="s">
        <v>856</v>
      </c>
      <c r="F4" s="100" t="s">
        <v>857</v>
      </c>
      <c r="G4" s="100" t="s">
        <v>856</v>
      </c>
      <c r="H4" s="100" t="s">
        <v>857</v>
      </c>
    </row>
    <row r="5" spans="1:8" ht="16.8" x14ac:dyDescent="0.25">
      <c r="A5" s="149">
        <v>1</v>
      </c>
      <c r="B5" s="149">
        <v>2</v>
      </c>
      <c r="C5" s="149">
        <v>3</v>
      </c>
      <c r="D5" s="149">
        <v>4</v>
      </c>
      <c r="E5" s="149">
        <v>5</v>
      </c>
      <c r="F5" s="149">
        <v>6</v>
      </c>
      <c r="G5" s="149">
        <v>7</v>
      </c>
      <c r="H5" s="149">
        <v>8</v>
      </c>
    </row>
    <row r="6" spans="1:8" x14ac:dyDescent="0.25">
      <c r="A6" s="93" t="str">
        <f>DMTK!B5</f>
        <v>1111</v>
      </c>
      <c r="B6" s="65" t="str">
        <f>VLOOKUP(A6,DMTK!$B$5:$Q$263,3,0)</f>
        <v>Tiền Việt Nam</v>
      </c>
      <c r="C6" s="69">
        <f>VLOOKUP(A6,DMTK!$B$5:$Q$263,10,0)</f>
        <v>400000000</v>
      </c>
      <c r="D6" s="69">
        <f>VLOOKUP(A6,DMTK!B5:$Q$263,11,0)</f>
        <v>0</v>
      </c>
      <c r="E6" s="69">
        <f>SUMIFS(CT!$H$5:$H$143,CT!$D$5:$D$143,CĐPS_CT!A6)</f>
        <v>25200000</v>
      </c>
      <c r="F6" s="69">
        <f>SUMIFS(CT!$H$5:$H$143,CT!$E$5:$E$143,CĐPS_CT!A6)</f>
        <v>404100000</v>
      </c>
      <c r="G6" s="69">
        <f>MAX(C6+E6-D6-F6,0)</f>
        <v>21100000</v>
      </c>
      <c r="H6" s="69">
        <f>MAX(D6+F6-C6-E6,0)</f>
        <v>0</v>
      </c>
    </row>
    <row r="7" spans="1:8" x14ac:dyDescent="0.25">
      <c r="A7" s="93" t="str">
        <f>DMTK!B6</f>
        <v>1112</v>
      </c>
      <c r="B7" s="65" t="str">
        <f>VLOOKUP(A7,DMTK!$B$5:$Q$263,3,0)</f>
        <v>Ngoại tệ</v>
      </c>
      <c r="C7" s="69">
        <f>VLOOKUP(A7,DMTK!$B$5:$Q$263,10,0)</f>
        <v>0</v>
      </c>
      <c r="D7" s="69">
        <f>VLOOKUP(A7,DMTK!B6:$Q$263,11,0)</f>
        <v>0</v>
      </c>
      <c r="E7" s="69">
        <f>SUMIFS(CT!$H$5:$H$143,CT!$D$5:$D$143,CĐPS_CT!A7)</f>
        <v>0</v>
      </c>
      <c r="F7" s="69">
        <f>SUMIFS(CT!$H$5:$H$143,CT!$E$5:$E$143,CĐPS_CT!A7)</f>
        <v>0</v>
      </c>
      <c r="G7" s="69">
        <f t="shared" ref="G7:G70" si="0">MAX(C7+E7-D7-F7,0)</f>
        <v>0</v>
      </c>
      <c r="H7" s="69">
        <f t="shared" ref="H7:H70" si="1">MAX(D7+F7-C7-E7,0)</f>
        <v>0</v>
      </c>
    </row>
    <row r="8" spans="1:8" x14ac:dyDescent="0.25">
      <c r="A8" s="93" t="str">
        <f>DMTK!B7</f>
        <v>1113</v>
      </c>
      <c r="B8" s="65" t="str">
        <f>VLOOKUP(A8,DMTK!$B$5:$Q$263,3,0)</f>
        <v>Vàng tiền tệ</v>
      </c>
      <c r="C8" s="69">
        <f>VLOOKUP(A8,DMTK!$B$5:$Q$263,10,0)</f>
        <v>0</v>
      </c>
      <c r="D8" s="69">
        <f>VLOOKUP(A8,DMTK!B7:$Q$263,11,0)</f>
        <v>0</v>
      </c>
      <c r="E8" s="69">
        <f>SUMIFS(CT!$H$5:$H$143,CT!$D$5:$D$143,CĐPS_CT!A8)</f>
        <v>0</v>
      </c>
      <c r="F8" s="69">
        <f>SUMIFS(CT!$H$5:$H$143,CT!$E$5:$E$143,CĐPS_CT!A8)</f>
        <v>0</v>
      </c>
      <c r="G8" s="69">
        <f t="shared" si="0"/>
        <v>0</v>
      </c>
      <c r="H8" s="69">
        <f t="shared" si="1"/>
        <v>0</v>
      </c>
    </row>
    <row r="9" spans="1:8" x14ac:dyDescent="0.25">
      <c r="A9" s="93" t="str">
        <f>DMTK!B8</f>
        <v>1121.01</v>
      </c>
      <c r="B9" s="65" t="str">
        <f>VLOOKUP(A9,DMTK!$B$5:$Q$263,3,0)</f>
        <v>Tiền Việt Nam NH Ngoại Thương</v>
      </c>
      <c r="C9" s="69">
        <f>VLOOKUP(A9,DMTK!$B$5:$Q$263,10,0)</f>
        <v>258221000</v>
      </c>
      <c r="D9" s="69">
        <f>VLOOKUP(A9,DMTK!B8:$Q$263,11,0)</f>
        <v>0</v>
      </c>
      <c r="E9" s="69">
        <f>SUMIFS(CT!$H$5:$H$143,CT!$D$5:$D$143,CĐPS_CT!A9)</f>
        <v>0</v>
      </c>
      <c r="F9" s="69">
        <f>SUMIFS(CT!$H$5:$H$143,CT!$E$5:$E$143,CĐPS_CT!A9)</f>
        <v>90000000</v>
      </c>
      <c r="G9" s="69">
        <f t="shared" si="0"/>
        <v>168221000</v>
      </c>
      <c r="H9" s="69">
        <f t="shared" si="1"/>
        <v>0</v>
      </c>
    </row>
    <row r="10" spans="1:8" x14ac:dyDescent="0.25">
      <c r="A10" s="93" t="str">
        <f>DMTK!B9</f>
        <v>1121.02</v>
      </c>
      <c r="B10" s="65" t="str">
        <f>VLOOKUP(A10,DMTK!$B$5:$Q$263,3,0)</f>
        <v>Tiền Việt Nam NH Đông Á</v>
      </c>
      <c r="C10" s="69">
        <f>VLOOKUP(A10,DMTK!$B$5:$Q$263,10,0)</f>
        <v>60000000</v>
      </c>
      <c r="D10" s="69">
        <f>VLOOKUP(A10,DMTK!B9:$Q$263,11,0)</f>
        <v>0</v>
      </c>
      <c r="E10" s="69">
        <f>SUMIFS(CT!$H$5:$H$143,CT!$D$5:$D$143,CĐPS_CT!A10)</f>
        <v>30000000</v>
      </c>
      <c r="F10" s="69">
        <f>SUMIFS(CT!$H$5:$H$143,CT!$E$5:$E$143,CĐPS_CT!A10)</f>
        <v>0</v>
      </c>
      <c r="G10" s="69">
        <f t="shared" si="0"/>
        <v>90000000</v>
      </c>
      <c r="H10" s="69">
        <f t="shared" si="1"/>
        <v>0</v>
      </c>
    </row>
    <row r="11" spans="1:8" x14ac:dyDescent="0.25">
      <c r="A11" s="93" t="str">
        <f>DMTK!B10</f>
        <v>1121.03</v>
      </c>
      <c r="B11" s="65" t="str">
        <f>VLOOKUP(A11,DMTK!$B$5:$Q$263,3,0)</f>
        <v>Tiền Việt Nam NH Á Châu</v>
      </c>
      <c r="C11" s="69">
        <f>VLOOKUP(A11,DMTK!$B$5:$Q$263,10,0)</f>
        <v>40000000</v>
      </c>
      <c r="D11" s="69">
        <f>VLOOKUP(A11,DMTK!B10:$Q$263,11,0)</f>
        <v>0</v>
      </c>
      <c r="E11" s="69">
        <f>SUMIFS(CT!$H$5:$H$143,CT!$D$5:$D$143,CĐPS_CT!A11)</f>
        <v>0</v>
      </c>
      <c r="F11" s="69">
        <f>SUMIFS(CT!$H$5:$H$143,CT!$E$5:$E$143,CĐPS_CT!A11)</f>
        <v>0</v>
      </c>
      <c r="G11" s="69">
        <f t="shared" si="0"/>
        <v>40000000</v>
      </c>
      <c r="H11" s="69">
        <f t="shared" si="1"/>
        <v>0</v>
      </c>
    </row>
    <row r="12" spans="1:8" x14ac:dyDescent="0.25">
      <c r="A12" s="93" t="str">
        <f>DMTK!B11</f>
        <v>1122</v>
      </c>
      <c r="B12" s="65" t="str">
        <f>VLOOKUP(A12,DMTK!$B$5:$Q$263,3,0)</f>
        <v>Ngoại tệ</v>
      </c>
      <c r="C12" s="69">
        <f>VLOOKUP(A12,DMTK!$B$5:$Q$263,10,0)</f>
        <v>0</v>
      </c>
      <c r="D12" s="69">
        <f>VLOOKUP(A12,DMTK!B11:$Q$263,11,0)</f>
        <v>0</v>
      </c>
      <c r="E12" s="69">
        <f>SUMIFS(CT!$H$5:$H$143,CT!$D$5:$D$143,CĐPS_CT!A12)</f>
        <v>0</v>
      </c>
      <c r="F12" s="69">
        <f>SUMIFS(CT!$H$5:$H$143,CT!$E$5:$E$143,CĐPS_CT!A12)</f>
        <v>0</v>
      </c>
      <c r="G12" s="69">
        <f t="shared" si="0"/>
        <v>0</v>
      </c>
      <c r="H12" s="69">
        <f t="shared" si="1"/>
        <v>0</v>
      </c>
    </row>
    <row r="13" spans="1:8" x14ac:dyDescent="0.25">
      <c r="A13" s="93" t="str">
        <f>DMTK!B12</f>
        <v>1123</v>
      </c>
      <c r="B13" s="65" t="str">
        <f>VLOOKUP(A13,DMTK!$B$5:$Q$263,3,0)</f>
        <v>Vàng tiền tệ</v>
      </c>
      <c r="C13" s="69">
        <f>VLOOKUP(A13,DMTK!$B$5:$Q$263,10,0)</f>
        <v>0</v>
      </c>
      <c r="D13" s="69">
        <f>VLOOKUP(A13,DMTK!B12:$Q$263,11,0)</f>
        <v>0</v>
      </c>
      <c r="E13" s="69">
        <f>SUMIFS(CT!$H$5:$H$143,CT!$D$5:$D$143,CĐPS_CT!A13)</f>
        <v>0</v>
      </c>
      <c r="F13" s="69">
        <f>SUMIFS(CT!$H$5:$H$143,CT!$E$5:$E$143,CĐPS_CT!A13)</f>
        <v>0</v>
      </c>
      <c r="G13" s="69">
        <f t="shared" si="0"/>
        <v>0</v>
      </c>
      <c r="H13" s="69">
        <f t="shared" si="1"/>
        <v>0</v>
      </c>
    </row>
    <row r="14" spans="1:8" x14ac:dyDescent="0.25">
      <c r="A14" s="93" t="str">
        <f>DMTK!B13</f>
        <v>1131</v>
      </c>
      <c r="B14" s="65" t="str">
        <f>VLOOKUP(A14,DMTK!$B$5:$Q$263,3,0)</f>
        <v>Tiền Việt Nam</v>
      </c>
      <c r="C14" s="69">
        <f>VLOOKUP(A14,DMTK!$B$5:$Q$263,10,0)</f>
        <v>0</v>
      </c>
      <c r="D14" s="69">
        <f>VLOOKUP(A14,DMTK!B13:$Q$263,11,0)</f>
        <v>0</v>
      </c>
      <c r="E14" s="69">
        <f>SUMIFS(CT!$H$5:$H$143,CT!$D$5:$D$143,CĐPS_CT!A14)</f>
        <v>0</v>
      </c>
      <c r="F14" s="69">
        <f>SUMIFS(CT!$H$5:$H$143,CT!$E$5:$E$143,CĐPS_CT!A14)</f>
        <v>0</v>
      </c>
      <c r="G14" s="69">
        <f t="shared" si="0"/>
        <v>0</v>
      </c>
      <c r="H14" s="69">
        <f t="shared" si="1"/>
        <v>0</v>
      </c>
    </row>
    <row r="15" spans="1:8" x14ac:dyDescent="0.25">
      <c r="A15" s="93" t="str">
        <f>DMTK!B14</f>
        <v>1132</v>
      </c>
      <c r="B15" s="65" t="str">
        <f>VLOOKUP(A15,DMTK!$B$5:$Q$263,3,0)</f>
        <v>Ngoại tệ</v>
      </c>
      <c r="C15" s="69">
        <f>VLOOKUP(A15,DMTK!$B$5:$Q$263,10,0)</f>
        <v>0</v>
      </c>
      <c r="D15" s="69">
        <f>VLOOKUP(A15,DMTK!B14:$Q$263,11,0)</f>
        <v>0</v>
      </c>
      <c r="E15" s="69">
        <f>SUMIFS(CT!$H$5:$H$143,CT!$D$5:$D$143,CĐPS_CT!A15)</f>
        <v>0</v>
      </c>
      <c r="F15" s="69">
        <f>SUMIFS(CT!$H$5:$H$143,CT!$E$5:$E$143,CĐPS_CT!A15)</f>
        <v>0</v>
      </c>
      <c r="G15" s="69">
        <f t="shared" si="0"/>
        <v>0</v>
      </c>
      <c r="H15" s="69">
        <f t="shared" si="1"/>
        <v>0</v>
      </c>
    </row>
    <row r="16" spans="1:8" x14ac:dyDescent="0.25">
      <c r="A16" s="93" t="str">
        <f>DMTK!B15</f>
        <v>1211</v>
      </c>
      <c r="B16" s="65" t="str">
        <f>VLOOKUP(A16,DMTK!$B$5:$Q$263,3,0)</f>
        <v xml:space="preserve">Cổ phiếu </v>
      </c>
      <c r="C16" s="69">
        <f>VLOOKUP(A16,DMTK!$B$5:$Q$263,10,0)</f>
        <v>0</v>
      </c>
      <c r="D16" s="69">
        <f>VLOOKUP(A16,DMTK!B15:$Q$263,11,0)</f>
        <v>0</v>
      </c>
      <c r="E16" s="69">
        <f>SUMIFS(CT!$H$5:$H$143,CT!$D$5:$D$143,CĐPS_CT!A16)</f>
        <v>0</v>
      </c>
      <c r="F16" s="69">
        <f>SUMIFS(CT!$H$5:$H$143,CT!$E$5:$E$143,CĐPS_CT!A16)</f>
        <v>0</v>
      </c>
      <c r="G16" s="69">
        <f t="shared" si="0"/>
        <v>0</v>
      </c>
      <c r="H16" s="69">
        <f t="shared" si="1"/>
        <v>0</v>
      </c>
    </row>
    <row r="17" spans="1:8" x14ac:dyDescent="0.25">
      <c r="A17" s="93" t="str">
        <f>DMTK!B16</f>
        <v>1212</v>
      </c>
      <c r="B17" s="65" t="str">
        <f>VLOOKUP(A17,DMTK!$B$5:$Q$263,3,0)</f>
        <v>Trái phiếu</v>
      </c>
      <c r="C17" s="69">
        <f>VLOOKUP(A17,DMTK!$B$5:$Q$263,10,0)</f>
        <v>0</v>
      </c>
      <c r="D17" s="69">
        <f>VLOOKUP(A17,DMTK!B16:$Q$263,11,0)</f>
        <v>0</v>
      </c>
      <c r="E17" s="69">
        <f>SUMIFS(CT!$H$5:$H$143,CT!$D$5:$D$143,CĐPS_CT!A17)</f>
        <v>0</v>
      </c>
      <c r="F17" s="69">
        <f>SUMIFS(CT!$H$5:$H$143,CT!$E$5:$E$143,CĐPS_CT!A17)</f>
        <v>0</v>
      </c>
      <c r="G17" s="69">
        <f t="shared" si="0"/>
        <v>0</v>
      </c>
      <c r="H17" s="69">
        <f t="shared" si="1"/>
        <v>0</v>
      </c>
    </row>
    <row r="18" spans="1:8" x14ac:dyDescent="0.25">
      <c r="A18" s="93" t="str">
        <f>DMTK!B17</f>
        <v>12811</v>
      </c>
      <c r="B18" s="65" t="str">
        <f>VLOOKUP(A18,DMTK!$B$5:$Q$263,3,0)</f>
        <v>Tiền gửi có kỳ hạn (không quá 3 tháng)</v>
      </c>
      <c r="C18" s="69">
        <f>VLOOKUP(A18,DMTK!$B$5:$Q$263,10,0)</f>
        <v>100000000</v>
      </c>
      <c r="D18" s="69">
        <f>VLOOKUP(A18,DMTK!B17:$Q$263,11,0)</f>
        <v>0</v>
      </c>
      <c r="E18" s="69">
        <f>SUMIFS(CT!$H$5:$H$143,CT!$D$5:$D$143,CĐPS_CT!A18)</f>
        <v>0</v>
      </c>
      <c r="F18" s="69">
        <f>SUMIFS(CT!$H$5:$H$143,CT!$E$5:$E$143,CĐPS_CT!A18)</f>
        <v>0</v>
      </c>
      <c r="G18" s="69">
        <f t="shared" si="0"/>
        <v>100000000</v>
      </c>
      <c r="H18" s="69">
        <f t="shared" si="1"/>
        <v>0</v>
      </c>
    </row>
    <row r="19" spans="1:8" x14ac:dyDescent="0.25">
      <c r="A19" s="93" t="str">
        <f>DMTK!B18</f>
        <v>12812</v>
      </c>
      <c r="B19" s="65" t="str">
        <f>VLOOKUP(A19,DMTK!$B$5:$Q$263,3,0)</f>
        <v>Tiền gửi có kỳ hạn (không quá 12 tháng)</v>
      </c>
      <c r="C19" s="69">
        <f>VLOOKUP(A19,DMTK!$B$5:$Q$263,10,0)</f>
        <v>0</v>
      </c>
      <c r="D19" s="69">
        <f>VLOOKUP(A19,DMTK!B18:$Q$263,11,0)</f>
        <v>0</v>
      </c>
      <c r="E19" s="69">
        <f>SUMIFS(CT!$H$5:$H$143,CT!$D$5:$D$143,CĐPS_CT!A19)</f>
        <v>0</v>
      </c>
      <c r="F19" s="69">
        <f>SUMIFS(CT!$H$5:$H$143,CT!$E$5:$E$143,CĐPS_CT!A19)</f>
        <v>0</v>
      </c>
      <c r="G19" s="69">
        <f t="shared" si="0"/>
        <v>0</v>
      </c>
      <c r="H19" s="69">
        <f t="shared" si="1"/>
        <v>0</v>
      </c>
    </row>
    <row r="20" spans="1:8" x14ac:dyDescent="0.25">
      <c r="A20" s="93" t="str">
        <f>DMTK!B19</f>
        <v>12831</v>
      </c>
      <c r="B20" s="65" t="str">
        <f>VLOOKUP(A20,DMTK!$B$5:$Q$263,3,0)</f>
        <v>Cho vay (không quá 12 tháng)</v>
      </c>
      <c r="C20" s="69">
        <f>VLOOKUP(A20,DMTK!$B$5:$Q$263,10,0)</f>
        <v>0</v>
      </c>
      <c r="D20" s="69">
        <f>VLOOKUP(A20,DMTK!B19:$Q$263,11,0)</f>
        <v>0</v>
      </c>
      <c r="E20" s="69">
        <f>SUMIFS(CT!$H$5:$H$143,CT!$D$5:$D$143,CĐPS_CT!A20)</f>
        <v>0</v>
      </c>
      <c r="F20" s="69">
        <f>SUMIFS(CT!$H$5:$H$143,CT!$E$5:$E$143,CĐPS_CT!A20)</f>
        <v>0</v>
      </c>
      <c r="G20" s="69">
        <f t="shared" si="0"/>
        <v>0</v>
      </c>
      <c r="H20" s="69">
        <f t="shared" si="1"/>
        <v>0</v>
      </c>
    </row>
    <row r="21" spans="1:8" x14ac:dyDescent="0.25">
      <c r="A21" s="93" t="str">
        <f>DMTK!B20</f>
        <v>12832</v>
      </c>
      <c r="B21" s="65" t="str">
        <f>VLOOKUP(A21,DMTK!$B$5:$Q$263,3,0)</f>
        <v>Cho vay (trên 12 tháng)</v>
      </c>
      <c r="C21" s="69">
        <f>VLOOKUP(A21,DMTK!$B$5:$Q$263,10,0)</f>
        <v>0</v>
      </c>
      <c r="D21" s="69">
        <f>VLOOKUP(A21,DMTK!B20:$Q$263,11,0)</f>
        <v>0</v>
      </c>
      <c r="E21" s="69">
        <f>SUMIFS(CT!$H$5:$H$143,CT!$D$5:$D$143,CĐPS_CT!A21)</f>
        <v>0</v>
      </c>
      <c r="F21" s="69">
        <f>SUMIFS(CT!$H$5:$H$143,CT!$E$5:$E$143,CĐPS_CT!A21)</f>
        <v>0</v>
      </c>
      <c r="G21" s="69">
        <f t="shared" si="0"/>
        <v>0</v>
      </c>
      <c r="H21" s="69">
        <f t="shared" si="1"/>
        <v>0</v>
      </c>
    </row>
    <row r="22" spans="1:8" x14ac:dyDescent="0.25">
      <c r="A22" s="93" t="str">
        <f>DMTK!B21</f>
        <v>12881</v>
      </c>
      <c r="B22" s="65" t="str">
        <f>VLOOKUP(A22,DMTK!$B$5:$Q$263,3,0)</f>
        <v>Các khoản đầu tư khác nắm giữ đến ngày đáo hạn</v>
      </c>
      <c r="C22" s="69">
        <f>VLOOKUP(A22,DMTK!$B$5:$Q$263,10,0)</f>
        <v>0</v>
      </c>
      <c r="D22" s="69">
        <f>VLOOKUP(A22,DMTK!B21:$Q$263,11,0)</f>
        <v>0</v>
      </c>
      <c r="E22" s="69">
        <f>SUMIFS(CT!$H$5:$H$143,CT!$D$5:$D$143,CĐPS_CT!A22)</f>
        <v>0</v>
      </c>
      <c r="F22" s="69">
        <f>SUMIFS(CT!$H$5:$H$143,CT!$E$5:$E$143,CĐPS_CT!A22)</f>
        <v>0</v>
      </c>
      <c r="G22" s="69">
        <f t="shared" si="0"/>
        <v>0</v>
      </c>
      <c r="H22" s="69">
        <f t="shared" si="1"/>
        <v>0</v>
      </c>
    </row>
    <row r="23" spans="1:8" x14ac:dyDescent="0.25">
      <c r="A23" s="93" t="str">
        <f>DMTK!B22</f>
        <v>12882</v>
      </c>
      <c r="B23" s="65" t="str">
        <f>VLOOKUP(A23,DMTK!$B$5:$Q$263,3,0)</f>
        <v>Các khoản đầu tư khác nắm giữ đến ngày đáo hạn (không quá 12 tháng)</v>
      </c>
      <c r="C23" s="69">
        <f>VLOOKUP(A23,DMTK!$B$5:$Q$263,10,0)</f>
        <v>0</v>
      </c>
      <c r="D23" s="69">
        <f>VLOOKUP(A23,DMTK!B22:$Q$263,11,0)</f>
        <v>0</v>
      </c>
      <c r="E23" s="69">
        <f>SUMIFS(CT!$H$5:$H$143,CT!$D$5:$D$143,CĐPS_CT!A23)</f>
        <v>0</v>
      </c>
      <c r="F23" s="69">
        <f>SUMIFS(CT!$H$5:$H$143,CT!$E$5:$E$143,CĐPS_CT!A23)</f>
        <v>0</v>
      </c>
      <c r="G23" s="69">
        <f t="shared" si="0"/>
        <v>0</v>
      </c>
      <c r="H23" s="69">
        <f t="shared" si="1"/>
        <v>0</v>
      </c>
    </row>
    <row r="24" spans="1:8" x14ac:dyDescent="0.25">
      <c r="A24" s="93" t="str">
        <f>DMTK!B23</f>
        <v>1311.01</v>
      </c>
      <c r="B24" s="65" t="str">
        <f>VLOOKUP(A24,DMTK!$B$5:$Q$263,3,0)</f>
        <v>Công ty Quang Minh (ngắn hạn)</v>
      </c>
      <c r="C24" s="69">
        <f>VLOOKUP(A24,DMTK!$B$5:$Q$263,10,0)</f>
        <v>100000000</v>
      </c>
      <c r="D24" s="69">
        <f>VLOOKUP(A24,DMTK!B23:$Q$263,11,0)</f>
        <v>0</v>
      </c>
      <c r="E24" s="69">
        <f>SUMIFS(CT!$H$5:$H$143,CT!$D$5:$D$143,CĐPS_CT!A24)</f>
        <v>0</v>
      </c>
      <c r="F24" s="69">
        <f>SUMIFS(CT!$H$5:$H$143,CT!$E$5:$E$143,CĐPS_CT!A24)</f>
        <v>20000000</v>
      </c>
      <c r="G24" s="69">
        <f t="shared" si="0"/>
        <v>80000000</v>
      </c>
      <c r="H24" s="69">
        <f t="shared" si="1"/>
        <v>0</v>
      </c>
    </row>
    <row r="25" spans="1:8" x14ac:dyDescent="0.25">
      <c r="A25" s="93" t="str">
        <f>DMTK!B24</f>
        <v>1311.02</v>
      </c>
      <c r="B25" s="65" t="str">
        <f>VLOOKUP(A25,DMTK!$B$5:$Q$263,3,0)</f>
        <v>Cty TNHH TMDV Mai Anh (ngắn hạn)</v>
      </c>
      <c r="C25" s="69">
        <f>VLOOKUP(A25,DMTK!$B$5:$Q$263,10,0)</f>
        <v>70000000</v>
      </c>
      <c r="D25" s="69">
        <f>VLOOKUP(A25,DMTK!B24:$Q$263,11,0)</f>
        <v>0</v>
      </c>
      <c r="E25" s="69">
        <f>SUMIFS(CT!$H$5:$H$143,CT!$D$5:$D$143,CĐPS_CT!A25)</f>
        <v>0</v>
      </c>
      <c r="F25" s="69">
        <f>SUMIFS(CT!$H$5:$H$143,CT!$E$5:$E$143,CĐPS_CT!A25)</f>
        <v>30000000</v>
      </c>
      <c r="G25" s="69">
        <f t="shared" si="0"/>
        <v>40000000</v>
      </c>
      <c r="H25" s="69">
        <f t="shared" si="1"/>
        <v>0</v>
      </c>
    </row>
    <row r="26" spans="1:8" x14ac:dyDescent="0.25">
      <c r="A26" s="93" t="str">
        <f>DMTK!B25</f>
        <v>1311.03</v>
      </c>
      <c r="B26" s="65" t="str">
        <f>VLOOKUP(A26,DMTK!$B$5:$Q$263,3,0)</f>
        <v>Cty TNHH Phương Nam (ngắn hạn)</v>
      </c>
      <c r="C26" s="69">
        <f>VLOOKUP(A26,DMTK!$B$5:$Q$263,10,0)</f>
        <v>57000000</v>
      </c>
      <c r="D26" s="69">
        <f>VLOOKUP(A26,DMTK!B25:$Q$263,11,0)</f>
        <v>0</v>
      </c>
      <c r="E26" s="69">
        <f>SUMIFS(CT!$H$5:$H$143,CT!$D$5:$D$143,CĐPS_CT!A26)</f>
        <v>0</v>
      </c>
      <c r="F26" s="69">
        <f>SUMIFS(CT!$H$5:$H$143,CT!$E$5:$E$143,CĐPS_CT!A26)</f>
        <v>5000000</v>
      </c>
      <c r="G26" s="69">
        <f t="shared" si="0"/>
        <v>52000000</v>
      </c>
      <c r="H26" s="69">
        <f t="shared" si="1"/>
        <v>0</v>
      </c>
    </row>
    <row r="27" spans="1:8" x14ac:dyDescent="0.25">
      <c r="A27" s="93" t="str">
        <f>DMTK!B26</f>
        <v>1311.04</v>
      </c>
      <c r="B27" s="65" t="str">
        <f>VLOOKUP(A27,DMTK!$B$5:$Q$263,3,0)</f>
        <v>Cty TNHH Kim Tín (ngắn hạn)</v>
      </c>
      <c r="C27" s="69">
        <f>VLOOKUP(A27,DMTK!$B$5:$Q$263,10,0)</f>
        <v>0</v>
      </c>
      <c r="D27" s="69">
        <f>VLOOKUP(A27,DMTK!B26:$Q$263,11,0)</f>
        <v>52000000</v>
      </c>
      <c r="E27" s="69">
        <f>SUMIFS(CT!$H$5:$H$143,CT!$D$5:$D$143,CĐPS_CT!A27)</f>
        <v>0</v>
      </c>
      <c r="F27" s="69">
        <f>SUMIFS(CT!$H$5:$H$143,CT!$E$5:$E$143,CĐPS_CT!A27)</f>
        <v>0</v>
      </c>
      <c r="G27" s="69">
        <f t="shared" si="0"/>
        <v>0</v>
      </c>
      <c r="H27" s="69">
        <f t="shared" si="1"/>
        <v>52000000</v>
      </c>
    </row>
    <row r="28" spans="1:8" x14ac:dyDescent="0.25">
      <c r="A28" s="93" t="str">
        <f>DMTK!B27</f>
        <v>1311.05</v>
      </c>
      <c r="B28" s="65" t="str">
        <f>VLOOKUP(A28,DMTK!$B$5:$Q$263,3,0)</f>
        <v>Cty TNHH Nam Việt (ngắn hạn)</v>
      </c>
      <c r="C28" s="69">
        <f>VLOOKUP(A28,DMTK!$B$5:$Q$263,10,0)</f>
        <v>0</v>
      </c>
      <c r="D28" s="69">
        <f>VLOOKUP(A28,DMTK!B27:$Q$263,11,0)</f>
        <v>0</v>
      </c>
      <c r="E28" s="69">
        <f>SUMIFS(CT!$H$5:$H$143,CT!$D$5:$D$143,CĐPS_CT!A28)</f>
        <v>30150000</v>
      </c>
      <c r="F28" s="69">
        <f>SUMIFS(CT!$H$5:$H$143,CT!$E$5:$E$143,CĐPS_CT!A28)</f>
        <v>0</v>
      </c>
      <c r="G28" s="69">
        <f t="shared" si="0"/>
        <v>30150000</v>
      </c>
      <c r="H28" s="69">
        <f t="shared" si="1"/>
        <v>0</v>
      </c>
    </row>
    <row r="29" spans="1:8" x14ac:dyDescent="0.25">
      <c r="A29" s="93" t="str">
        <f>DMTK!B28</f>
        <v>1311.06</v>
      </c>
      <c r="B29" s="65" t="str">
        <f>VLOOKUP(A29,DMTK!$B$5:$Q$263,3,0)</f>
        <v>Cty XNK Vật Tư (ngắn hạn)</v>
      </c>
      <c r="C29" s="69">
        <f>VLOOKUP(A29,DMTK!$B$5:$Q$263,10,0)</f>
        <v>0</v>
      </c>
      <c r="D29" s="69">
        <f>VLOOKUP(A29,DMTK!B28:$Q$263,11,0)</f>
        <v>0</v>
      </c>
      <c r="E29" s="69">
        <f>SUMIFS(CT!$H$5:$H$143,CT!$D$5:$D$143,CĐPS_CT!A29)</f>
        <v>61007500</v>
      </c>
      <c r="F29" s="69">
        <f>SUMIFS(CT!$H$5:$H$143,CT!$E$5:$E$143,CĐPS_CT!A29)</f>
        <v>0</v>
      </c>
      <c r="G29" s="69">
        <f t="shared" si="0"/>
        <v>61007500</v>
      </c>
      <c r="H29" s="69">
        <f t="shared" si="1"/>
        <v>0</v>
      </c>
    </row>
    <row r="30" spans="1:8" x14ac:dyDescent="0.25">
      <c r="A30" s="93" t="str">
        <f>DMTK!B29</f>
        <v>1331</v>
      </c>
      <c r="B30" s="65" t="str">
        <f>VLOOKUP(A30,DMTK!$B$5:$Q$263,3,0)</f>
        <v>Thuế GTGT được khấu trừ của hàng hóa, dịch vụ</v>
      </c>
      <c r="C30" s="69">
        <f>VLOOKUP(A30,DMTK!$B$5:$Q$263,10,0)</f>
        <v>0</v>
      </c>
      <c r="D30" s="69">
        <f>VLOOKUP(A30,DMTK!B29:$Q$263,11,0)</f>
        <v>0</v>
      </c>
      <c r="E30" s="69">
        <f>SUMIFS(CT!$H$5:$H$143,CT!$D$5:$D$143,CĐPS_CT!A30)</f>
        <v>1655000</v>
      </c>
      <c r="F30" s="69">
        <f>SUMIFS(CT!$H$5:$H$143,CT!$E$5:$E$143,CĐPS_CT!A30)</f>
        <v>0</v>
      </c>
      <c r="G30" s="69">
        <f t="shared" si="0"/>
        <v>1655000</v>
      </c>
      <c r="H30" s="69">
        <f t="shared" si="1"/>
        <v>0</v>
      </c>
    </row>
    <row r="31" spans="1:8" x14ac:dyDescent="0.25">
      <c r="A31" s="93" t="str">
        <f>DMTK!B30</f>
        <v>1332</v>
      </c>
      <c r="B31" s="65" t="str">
        <f>VLOOKUP(A31,DMTK!$B$5:$Q$263,3,0)</f>
        <v>Thuế GTGT được khấu trừ của TSCĐ</v>
      </c>
      <c r="C31" s="69">
        <f>VLOOKUP(A31,DMTK!$B$5:$Q$263,10,0)</f>
        <v>0</v>
      </c>
      <c r="D31" s="69">
        <f>VLOOKUP(A31,DMTK!B30:$Q$263,11,0)</f>
        <v>0</v>
      </c>
      <c r="E31" s="69">
        <f>SUMIFS(CT!$H$5:$H$143,CT!$D$5:$D$143,CĐPS_CT!A31)</f>
        <v>14000000</v>
      </c>
      <c r="F31" s="69">
        <f>SUMIFS(CT!$H$5:$H$143,CT!$E$5:$E$143,CĐPS_CT!A31)</f>
        <v>0</v>
      </c>
      <c r="G31" s="69">
        <f t="shared" si="0"/>
        <v>14000000</v>
      </c>
      <c r="H31" s="69">
        <f t="shared" si="1"/>
        <v>0</v>
      </c>
    </row>
    <row r="32" spans="1:8" x14ac:dyDescent="0.25">
      <c r="A32" s="93" t="str">
        <f>DMTK!B31</f>
        <v>1361</v>
      </c>
      <c r="B32" s="65" t="str">
        <f>VLOOKUP(A32,DMTK!$B$5:$Q$263,3,0)</f>
        <v>Vốn kinh doanh ở các đơn vị trực thuộc</v>
      </c>
      <c r="C32" s="69">
        <f>VLOOKUP(A32,DMTK!$B$5:$Q$263,10,0)</f>
        <v>0</v>
      </c>
      <c r="D32" s="69">
        <f>VLOOKUP(A32,DMTK!B31:$Q$263,11,0)</f>
        <v>0</v>
      </c>
      <c r="E32" s="69">
        <f>SUMIFS(CT!$H$5:$H$143,CT!$D$5:$D$143,CĐPS_CT!A32)</f>
        <v>0</v>
      </c>
      <c r="F32" s="69">
        <f>SUMIFS(CT!$H$5:$H$143,CT!$E$5:$E$143,CĐPS_CT!A32)</f>
        <v>0</v>
      </c>
      <c r="G32" s="69">
        <f t="shared" si="0"/>
        <v>0</v>
      </c>
      <c r="H32" s="69">
        <f t="shared" si="1"/>
        <v>0</v>
      </c>
    </row>
    <row r="33" spans="1:8" x14ac:dyDescent="0.25">
      <c r="A33" s="93" t="str">
        <f>DMTK!B32</f>
        <v>13621</v>
      </c>
      <c r="B33" s="65" t="str">
        <f>VLOOKUP(A33,DMTK!$B$5:$Q$263,3,0)</f>
        <v>Phải thu nội bộ về chênh lệch tỷ giá (không quá 12 tháng)</v>
      </c>
      <c r="C33" s="69">
        <f>VLOOKUP(A33,DMTK!$B$5:$Q$263,10,0)</f>
        <v>0</v>
      </c>
      <c r="D33" s="69">
        <f>VLOOKUP(A33,DMTK!B32:$Q$263,11,0)</f>
        <v>0</v>
      </c>
      <c r="E33" s="69">
        <f>SUMIFS(CT!$H$5:$H$143,CT!$D$5:$D$143,CĐPS_CT!A33)</f>
        <v>0</v>
      </c>
      <c r="F33" s="69">
        <f>SUMIFS(CT!$H$5:$H$143,CT!$E$5:$E$143,CĐPS_CT!A33)</f>
        <v>0</v>
      </c>
      <c r="G33" s="69">
        <f t="shared" si="0"/>
        <v>0</v>
      </c>
      <c r="H33" s="69">
        <f t="shared" si="1"/>
        <v>0</v>
      </c>
    </row>
    <row r="34" spans="1:8" x14ac:dyDescent="0.25">
      <c r="A34" s="93" t="str">
        <f>DMTK!B33</f>
        <v>13622</v>
      </c>
      <c r="B34" s="65" t="str">
        <f>VLOOKUP(A34,DMTK!$B$5:$Q$263,3,0)</f>
        <v>Phải thu nội bộ về chênh lệch tỷ giá (trên 12 tháng)</v>
      </c>
      <c r="C34" s="69">
        <f>VLOOKUP(A34,DMTK!$B$5:$Q$263,10,0)</f>
        <v>0</v>
      </c>
      <c r="D34" s="69">
        <f>VLOOKUP(A34,DMTK!B33:$Q$263,11,0)</f>
        <v>0</v>
      </c>
      <c r="E34" s="69">
        <f>SUMIFS(CT!$H$5:$H$143,CT!$D$5:$D$143,CĐPS_CT!A34)</f>
        <v>0</v>
      </c>
      <c r="F34" s="69">
        <f>SUMIFS(CT!$H$5:$H$143,CT!$E$5:$E$143,CĐPS_CT!A34)</f>
        <v>0</v>
      </c>
      <c r="G34" s="69">
        <f t="shared" si="0"/>
        <v>0</v>
      </c>
      <c r="H34" s="69">
        <f t="shared" si="1"/>
        <v>0</v>
      </c>
    </row>
    <row r="35" spans="1:8" x14ac:dyDescent="0.25">
      <c r="A35" s="93" t="str">
        <f>DMTK!B34</f>
        <v>13631</v>
      </c>
      <c r="B35" s="65" t="str">
        <f>VLOOKUP(A35,DMTK!$B$5:$Q$263,3,0)</f>
        <v>Phải thu nội bộ về chi phí đi vay đủ điều kiện được vốn hóa (không quá 12 tháng)</v>
      </c>
      <c r="C35" s="69">
        <f>VLOOKUP(A35,DMTK!$B$5:$Q$263,10,0)</f>
        <v>0</v>
      </c>
      <c r="D35" s="69">
        <f>VLOOKUP(A35,DMTK!B34:$Q$263,11,0)</f>
        <v>0</v>
      </c>
      <c r="E35" s="69">
        <f>SUMIFS(CT!$H$5:$H$143,CT!$D$5:$D$143,CĐPS_CT!A35)</f>
        <v>0</v>
      </c>
      <c r="F35" s="69">
        <f>SUMIFS(CT!$H$5:$H$143,CT!$E$5:$E$143,CĐPS_CT!A35)</f>
        <v>0</v>
      </c>
      <c r="G35" s="69">
        <f t="shared" si="0"/>
        <v>0</v>
      </c>
      <c r="H35" s="69">
        <f t="shared" si="1"/>
        <v>0</v>
      </c>
    </row>
    <row r="36" spans="1:8" x14ac:dyDescent="0.25">
      <c r="A36" s="93" t="str">
        <f>DMTK!B35</f>
        <v>13632</v>
      </c>
      <c r="B36" s="65" t="str">
        <f>VLOOKUP(A36,DMTK!$B$5:$Q$263,3,0)</f>
        <v>Phải thu nội bộ về chi phí đi vay đủ điều kiện được vốn hóa (trên 12 tháng)</v>
      </c>
      <c r="C36" s="69">
        <f>VLOOKUP(A36,DMTK!$B$5:$Q$263,10,0)</f>
        <v>0</v>
      </c>
      <c r="D36" s="69">
        <f>VLOOKUP(A36,DMTK!B35:$Q$263,11,0)</f>
        <v>0</v>
      </c>
      <c r="E36" s="69">
        <f>SUMIFS(CT!$H$5:$H$143,CT!$D$5:$D$143,CĐPS_CT!A36)</f>
        <v>0</v>
      </c>
      <c r="F36" s="69">
        <f>SUMIFS(CT!$H$5:$H$143,CT!$E$5:$E$143,CĐPS_CT!A36)</f>
        <v>0</v>
      </c>
      <c r="G36" s="69">
        <f t="shared" si="0"/>
        <v>0</v>
      </c>
      <c r="H36" s="69">
        <f t="shared" si="1"/>
        <v>0</v>
      </c>
    </row>
    <row r="37" spans="1:8" x14ac:dyDescent="0.25">
      <c r="A37" s="93" t="str">
        <f>DMTK!B36</f>
        <v>13681</v>
      </c>
      <c r="B37" s="65" t="str">
        <f>VLOOKUP(A37,DMTK!$B$5:$Q$263,3,0)</f>
        <v>Phải thu nội bộ khác (không quá 12 tháng)</v>
      </c>
      <c r="C37" s="69">
        <f>VLOOKUP(A37,DMTK!$B$5:$Q$263,10,0)</f>
        <v>0</v>
      </c>
      <c r="D37" s="69">
        <f>VLOOKUP(A37,DMTK!B36:$Q$263,11,0)</f>
        <v>0</v>
      </c>
      <c r="E37" s="69">
        <f>SUMIFS(CT!$H$5:$H$143,CT!$D$5:$D$143,CĐPS_CT!A37)</f>
        <v>0</v>
      </c>
      <c r="F37" s="69">
        <f>SUMIFS(CT!$H$5:$H$143,CT!$E$5:$E$143,CĐPS_CT!A37)</f>
        <v>0</v>
      </c>
      <c r="G37" s="69">
        <f t="shared" si="0"/>
        <v>0</v>
      </c>
      <c r="H37" s="69">
        <f t="shared" si="1"/>
        <v>0</v>
      </c>
    </row>
    <row r="38" spans="1:8" x14ac:dyDescent="0.25">
      <c r="A38" s="93" t="str">
        <f>DMTK!B37</f>
        <v>13682</v>
      </c>
      <c r="B38" s="65" t="str">
        <f>VLOOKUP(A38,DMTK!$B$5:$Q$263,3,0)</f>
        <v>Phải thu nội bộ khác (trên 12 tháng)</v>
      </c>
      <c r="C38" s="69">
        <f>VLOOKUP(A38,DMTK!$B$5:$Q$263,10,0)</f>
        <v>0</v>
      </c>
      <c r="D38" s="69">
        <f>VLOOKUP(A38,DMTK!B37:$Q$263,11,0)</f>
        <v>0</v>
      </c>
      <c r="E38" s="69">
        <f>SUMIFS(CT!$H$5:$H$143,CT!$D$5:$D$143,CĐPS_CT!A38)</f>
        <v>0</v>
      </c>
      <c r="F38" s="69">
        <f>SUMIFS(CT!$H$5:$H$143,CT!$E$5:$E$143,CĐPS_CT!A38)</f>
        <v>0</v>
      </c>
      <c r="G38" s="69">
        <f t="shared" si="0"/>
        <v>0</v>
      </c>
      <c r="H38" s="69">
        <f t="shared" si="1"/>
        <v>0</v>
      </c>
    </row>
    <row r="39" spans="1:8" x14ac:dyDescent="0.25">
      <c r="A39" s="93" t="str">
        <f>DMTK!B38</f>
        <v>1381</v>
      </c>
      <c r="B39" s="65" t="str">
        <f>VLOOKUP(A39,DMTK!$B$5:$Q$263,3,0)</f>
        <v>Tài sản thiếu chờ xử lý</v>
      </c>
      <c r="C39" s="69">
        <f>VLOOKUP(A39,DMTK!$B$5:$Q$263,10,0)</f>
        <v>0</v>
      </c>
      <c r="D39" s="69">
        <f>VLOOKUP(A39,DMTK!B38:$Q$263,11,0)</f>
        <v>0</v>
      </c>
      <c r="E39" s="69">
        <f>SUMIFS(CT!$H$5:$H$143,CT!$D$5:$D$143,CĐPS_CT!A39)</f>
        <v>0</v>
      </c>
      <c r="F39" s="69">
        <f>SUMIFS(CT!$H$5:$H$143,CT!$E$5:$E$143,CĐPS_CT!A39)</f>
        <v>0</v>
      </c>
      <c r="G39" s="69">
        <f t="shared" si="0"/>
        <v>0</v>
      </c>
      <c r="H39" s="69">
        <f t="shared" si="1"/>
        <v>0</v>
      </c>
    </row>
    <row r="40" spans="1:8" x14ac:dyDescent="0.25">
      <c r="A40" s="93" t="str">
        <f>DMTK!B39</f>
        <v>13851</v>
      </c>
      <c r="B40" s="65" t="str">
        <f>VLOOKUP(A40,DMTK!$B$5:$Q$263,3,0)</f>
        <v>Phải thu về cổ phần hóa (không quá 12 tháng)</v>
      </c>
      <c r="C40" s="69">
        <f>VLOOKUP(A40,DMTK!$B$5:$Q$263,10,0)</f>
        <v>0</v>
      </c>
      <c r="D40" s="69">
        <f>VLOOKUP(A40,DMTK!B39:$Q$263,11,0)</f>
        <v>0</v>
      </c>
      <c r="E40" s="69">
        <f>SUMIFS(CT!$H$5:$H$143,CT!$D$5:$D$143,CĐPS_CT!A40)</f>
        <v>0</v>
      </c>
      <c r="F40" s="69">
        <f>SUMIFS(CT!$H$5:$H$143,CT!$E$5:$E$143,CĐPS_CT!A40)</f>
        <v>0</v>
      </c>
      <c r="G40" s="69">
        <f t="shared" si="0"/>
        <v>0</v>
      </c>
      <c r="H40" s="69">
        <f t="shared" si="1"/>
        <v>0</v>
      </c>
    </row>
    <row r="41" spans="1:8" x14ac:dyDescent="0.25">
      <c r="A41" s="93" t="str">
        <f>DMTK!B40</f>
        <v>13852</v>
      </c>
      <c r="B41" s="65" t="str">
        <f>VLOOKUP(A41,DMTK!$B$5:$Q$263,3,0)</f>
        <v>Phải thu về cổ phần hóa</v>
      </c>
      <c r="C41" s="69">
        <f>VLOOKUP(A41,DMTK!$B$5:$Q$263,10,0)</f>
        <v>0</v>
      </c>
      <c r="D41" s="69">
        <f>VLOOKUP(A41,DMTK!B40:$Q$263,11,0)</f>
        <v>0</v>
      </c>
      <c r="E41" s="69">
        <f>SUMIFS(CT!$H$5:$H$143,CT!$D$5:$D$143,CĐPS_CT!A41)</f>
        <v>0</v>
      </c>
      <c r="F41" s="69">
        <f>SUMIFS(CT!$H$5:$H$143,CT!$E$5:$E$143,CĐPS_CT!A41)</f>
        <v>0</v>
      </c>
      <c r="G41" s="69">
        <f t="shared" si="0"/>
        <v>0</v>
      </c>
      <c r="H41" s="69">
        <f t="shared" si="1"/>
        <v>0</v>
      </c>
    </row>
    <row r="42" spans="1:8" x14ac:dyDescent="0.25">
      <c r="A42" s="93" t="str">
        <f>DMTK!B41</f>
        <v>13881</v>
      </c>
      <c r="B42" s="65" t="str">
        <f>VLOOKUP(A42,DMTK!$B$5:$Q$263,3,0)</f>
        <v>Phải thu khác (không quá 12 tháng)</v>
      </c>
      <c r="C42" s="69">
        <f>VLOOKUP(A42,DMTK!$B$5:$Q$263,10,0)</f>
        <v>52200000</v>
      </c>
      <c r="D42" s="69">
        <f>VLOOKUP(A42,DMTK!B41:$Q$263,11,0)</f>
        <v>0</v>
      </c>
      <c r="E42" s="69">
        <f>SUMIFS(CT!$H$5:$H$143,CT!$D$5:$D$143,CĐPS_CT!A42)</f>
        <v>0</v>
      </c>
      <c r="F42" s="69">
        <f>SUMIFS(CT!$H$5:$H$143,CT!$E$5:$E$143,CĐPS_CT!A42)</f>
        <v>0</v>
      </c>
      <c r="G42" s="69">
        <f t="shared" si="0"/>
        <v>52200000</v>
      </c>
      <c r="H42" s="69">
        <f t="shared" si="1"/>
        <v>0</v>
      </c>
    </row>
    <row r="43" spans="1:8" x14ac:dyDescent="0.25">
      <c r="A43" s="93" t="str">
        <f>DMTK!B42</f>
        <v>13882</v>
      </c>
      <c r="B43" s="65" t="str">
        <f>VLOOKUP(A43,DMTK!$B$5:$Q$263,3,0)</f>
        <v>Phải thu khác (trên 12 tháng)</v>
      </c>
      <c r="C43" s="69">
        <f>VLOOKUP(A43,DMTK!$B$5:$Q$263,10,0)</f>
        <v>0</v>
      </c>
      <c r="D43" s="69">
        <f>VLOOKUP(A43,DMTK!B42:$Q$263,11,0)</f>
        <v>0</v>
      </c>
      <c r="E43" s="69">
        <f>SUMIFS(CT!$H$5:$H$143,CT!$D$5:$D$143,CĐPS_CT!A43)</f>
        <v>0</v>
      </c>
      <c r="F43" s="69">
        <f>SUMIFS(CT!$H$5:$H$143,CT!$E$5:$E$143,CĐPS_CT!A43)</f>
        <v>0</v>
      </c>
      <c r="G43" s="69">
        <f t="shared" si="0"/>
        <v>0</v>
      </c>
      <c r="H43" s="69">
        <f t="shared" si="1"/>
        <v>0</v>
      </c>
    </row>
    <row r="44" spans="1:8" x14ac:dyDescent="0.25">
      <c r="A44" s="93" t="str">
        <f>DMTK!B43</f>
        <v>141.0101</v>
      </c>
      <c r="B44" s="65" t="str">
        <f>VLOOKUP(A44,DMTK!$B$5:$Q$263,3,0)</f>
        <v>Vương Thiện Minh</v>
      </c>
      <c r="C44" s="69">
        <f>VLOOKUP(A44,DMTK!$B$5:$Q$263,10,0)</f>
        <v>200000</v>
      </c>
      <c r="D44" s="69">
        <f>VLOOKUP(A44,DMTK!B43:$Q$263,11,0)</f>
        <v>0</v>
      </c>
      <c r="E44" s="69">
        <f>SUMIFS(CT!$H$5:$H$143,CT!$D$5:$D$143,CĐPS_CT!A44)</f>
        <v>0</v>
      </c>
      <c r="F44" s="69">
        <f>SUMIFS(CT!$H$5:$H$143,CT!$E$5:$E$143,CĐPS_CT!A44)</f>
        <v>0</v>
      </c>
      <c r="G44" s="69">
        <f t="shared" si="0"/>
        <v>200000</v>
      </c>
      <c r="H44" s="69">
        <f t="shared" si="1"/>
        <v>0</v>
      </c>
    </row>
    <row r="45" spans="1:8" x14ac:dyDescent="0.25">
      <c r="A45" s="93" t="str">
        <f>DMTK!B44</f>
        <v>141.0102</v>
      </c>
      <c r="B45" s="65" t="str">
        <f>VLOOKUP(A45,DMTK!$B$5:$Q$263,3,0)</f>
        <v>Hồ Sĩ Nhật</v>
      </c>
      <c r="C45" s="69">
        <f>VLOOKUP(A45,DMTK!$B$5:$Q$263,10,0)</f>
        <v>1000000</v>
      </c>
      <c r="D45" s="69">
        <f>VLOOKUP(A45,DMTK!B44:$Q$263,11,0)</f>
        <v>0</v>
      </c>
      <c r="E45" s="69">
        <f>SUMIFS(CT!$H$5:$H$143,CT!$D$5:$D$143,CĐPS_CT!A45)</f>
        <v>2000000</v>
      </c>
      <c r="F45" s="69">
        <f>SUMIFS(CT!$H$5:$H$143,CT!$E$5:$E$143,CĐPS_CT!A45)</f>
        <v>2000000</v>
      </c>
      <c r="G45" s="69">
        <f t="shared" si="0"/>
        <v>1000000</v>
      </c>
      <c r="H45" s="69">
        <f t="shared" si="1"/>
        <v>0</v>
      </c>
    </row>
    <row r="46" spans="1:8" x14ac:dyDescent="0.25">
      <c r="A46" s="93" t="str">
        <f>DMTK!B45</f>
        <v>141.0103</v>
      </c>
      <c r="B46" s="65" t="str">
        <f>VLOOKUP(A46,DMTK!$B$5:$Q$263,3,0)</f>
        <v>Phạm Minh Duy</v>
      </c>
      <c r="C46" s="69">
        <f>VLOOKUP(A46,DMTK!$B$5:$Q$263,10,0)</f>
        <v>300000</v>
      </c>
      <c r="D46" s="69">
        <f>VLOOKUP(A46,DMTK!B45:$Q$263,11,0)</f>
        <v>0</v>
      </c>
      <c r="E46" s="69">
        <f>SUMIFS(CT!$H$5:$H$143,CT!$D$5:$D$143,CĐPS_CT!A46)</f>
        <v>0</v>
      </c>
      <c r="F46" s="69">
        <f>SUMIFS(CT!$H$5:$H$143,CT!$E$5:$E$143,CĐPS_CT!A46)</f>
        <v>0</v>
      </c>
      <c r="G46" s="69">
        <f t="shared" si="0"/>
        <v>300000</v>
      </c>
      <c r="H46" s="69">
        <f t="shared" si="1"/>
        <v>0</v>
      </c>
    </row>
    <row r="47" spans="1:8" x14ac:dyDescent="0.25">
      <c r="A47" s="93" t="str">
        <f>DMTK!B46</f>
        <v>141.0201</v>
      </c>
      <c r="B47" s="65" t="str">
        <f>VLOOKUP(A47,DMTK!$B$5:$Q$263,3,0)</f>
        <v>Đoàn Trâm Anh</v>
      </c>
      <c r="C47" s="69">
        <f>VLOOKUP(A47,DMTK!$B$5:$Q$263,10,0)</f>
        <v>1500000</v>
      </c>
      <c r="D47" s="69">
        <f>VLOOKUP(A47,DMTK!B46:$Q$263,11,0)</f>
        <v>0</v>
      </c>
      <c r="E47" s="69">
        <f>SUMIFS(CT!$H$5:$H$143,CT!$D$5:$D$143,CĐPS_CT!A47)</f>
        <v>0</v>
      </c>
      <c r="F47" s="69">
        <f>SUMIFS(CT!$H$5:$H$143,CT!$E$5:$E$143,CĐPS_CT!A47)</f>
        <v>0</v>
      </c>
      <c r="G47" s="69">
        <f t="shared" si="0"/>
        <v>1500000</v>
      </c>
      <c r="H47" s="69">
        <f t="shared" si="1"/>
        <v>0</v>
      </c>
    </row>
    <row r="48" spans="1:8" x14ac:dyDescent="0.25">
      <c r="A48" s="93" t="str">
        <f>DMTK!B47</f>
        <v>141.0202</v>
      </c>
      <c r="B48" s="65" t="str">
        <f>VLOOKUP(A48,DMTK!$B$5:$Q$263,3,0)</f>
        <v>Nguyễn Hoài Nam</v>
      </c>
      <c r="C48" s="69">
        <f>VLOOKUP(A48,DMTK!$B$5:$Q$263,10,0)</f>
        <v>500000</v>
      </c>
      <c r="D48" s="69">
        <f>VLOOKUP(A48,DMTK!B47:$Q$263,11,0)</f>
        <v>0</v>
      </c>
      <c r="E48" s="69">
        <f>SUMIFS(CT!$H$5:$H$143,CT!$D$5:$D$143,CĐPS_CT!A48)</f>
        <v>0</v>
      </c>
      <c r="F48" s="69">
        <f>SUMIFS(CT!$H$5:$H$143,CT!$E$5:$E$143,CĐPS_CT!A48)</f>
        <v>0</v>
      </c>
      <c r="G48" s="69">
        <f t="shared" si="0"/>
        <v>500000</v>
      </c>
      <c r="H48" s="69">
        <f t="shared" si="1"/>
        <v>0</v>
      </c>
    </row>
    <row r="49" spans="1:8" x14ac:dyDescent="0.25">
      <c r="A49" s="93" t="str">
        <f>DMTK!B48</f>
        <v>151</v>
      </c>
      <c r="B49" s="65" t="str">
        <f>VLOOKUP(A49,DMTK!$B$5:$Q$263,3,0)</f>
        <v>Hàng hóa đang đi đường</v>
      </c>
      <c r="C49" s="69">
        <f>VLOOKUP(A49,DMTK!$B$5:$Q$263,10,0)</f>
        <v>0</v>
      </c>
      <c r="D49" s="69">
        <f>VLOOKUP(A49,DMTK!B48:$Q$263,11,0)</f>
        <v>0</v>
      </c>
      <c r="E49" s="69">
        <f>SUMIFS(CT!$H$5:$H$143,CT!$D$5:$D$143,CĐPS_CT!A49)</f>
        <v>0</v>
      </c>
      <c r="F49" s="69">
        <f>SUMIFS(CT!$H$5:$H$143,CT!$E$5:$E$143,CĐPS_CT!A49)</f>
        <v>0</v>
      </c>
      <c r="G49" s="69">
        <f t="shared" si="0"/>
        <v>0</v>
      </c>
      <c r="H49" s="69">
        <f t="shared" si="1"/>
        <v>0</v>
      </c>
    </row>
    <row r="50" spans="1:8" x14ac:dyDescent="0.25">
      <c r="A50" s="93" t="str">
        <f>DMTK!B49</f>
        <v>1521.0101</v>
      </c>
      <c r="B50" s="65" t="str">
        <f>VLOOKUP(A50,DMTK!$B$5:$Q$263,3,0)</f>
        <v>Gỗ cao su</v>
      </c>
      <c r="C50" s="69">
        <f>VLOOKUP(A50,DMTK!$B$5:$Q$263,10,0)</f>
        <v>33000000</v>
      </c>
      <c r="D50" s="69">
        <f>VLOOKUP(A50,DMTK!B49:$Q$263,11,0)</f>
        <v>0</v>
      </c>
      <c r="E50" s="69">
        <f>SUMIFS(CT!$H$5:$H$143,CT!$D$5:$D$143,CĐPS_CT!A50)</f>
        <v>0</v>
      </c>
      <c r="F50" s="69">
        <f>SUMIFS(CT!$H$5:$H$143,CT!$E$5:$E$143,CĐPS_CT!A50)</f>
        <v>13200000</v>
      </c>
      <c r="G50" s="69">
        <f t="shared" si="0"/>
        <v>19800000</v>
      </c>
      <c r="H50" s="69">
        <f t="shared" si="1"/>
        <v>0</v>
      </c>
    </row>
    <row r="51" spans="1:8" x14ac:dyDescent="0.25">
      <c r="A51" s="93" t="str">
        <f>DMTK!B50</f>
        <v>1521.0102</v>
      </c>
      <c r="B51" s="65" t="str">
        <f>VLOOKUP(A51,DMTK!$B$5:$Q$263,3,0)</f>
        <v>Gỗ tràm bông vàng</v>
      </c>
      <c r="C51" s="69">
        <f>VLOOKUP(A51,DMTK!$B$5:$Q$263,10,0)</f>
        <v>22000000</v>
      </c>
      <c r="D51" s="69">
        <f>VLOOKUP(A51,DMTK!B50:$Q$263,11,0)</f>
        <v>0</v>
      </c>
      <c r="E51" s="69">
        <f>SUMIFS(CT!$H$5:$H$143,CT!$D$5:$D$143,CĐPS_CT!A51)</f>
        <v>22500000</v>
      </c>
      <c r="F51" s="69">
        <f>SUMIFS(CT!$H$5:$H$143,CT!$E$5:$E$143,CĐPS_CT!A51)</f>
        <v>0</v>
      </c>
      <c r="G51" s="69">
        <f t="shared" si="0"/>
        <v>44500000</v>
      </c>
      <c r="H51" s="69">
        <f t="shared" si="1"/>
        <v>0</v>
      </c>
    </row>
    <row r="52" spans="1:8" x14ac:dyDescent="0.25">
      <c r="A52" s="93" t="str">
        <f>DMTK!B51</f>
        <v>1521.0103</v>
      </c>
      <c r="B52" s="65" t="str">
        <f>VLOOKUP(A52,DMTK!$B$5:$Q$263,3,0)</f>
        <v>Gỗ thông</v>
      </c>
      <c r="C52" s="69">
        <f>VLOOKUP(A52,DMTK!$B$5:$Q$263,10,0)</f>
        <v>14400000</v>
      </c>
      <c r="D52" s="69">
        <f>VLOOKUP(A52,DMTK!B51:$Q$263,11,0)</f>
        <v>0</v>
      </c>
      <c r="E52" s="69">
        <f>SUMIFS(CT!$H$5:$H$143,CT!$D$5:$D$143,CĐPS_CT!A52)</f>
        <v>0</v>
      </c>
      <c r="F52" s="69">
        <f>SUMIFS(CT!$H$5:$H$143,CT!$E$5:$E$143,CĐPS_CT!A52)</f>
        <v>0</v>
      </c>
      <c r="G52" s="69">
        <f t="shared" si="0"/>
        <v>14400000</v>
      </c>
      <c r="H52" s="69">
        <f t="shared" si="1"/>
        <v>0</v>
      </c>
    </row>
    <row r="53" spans="1:8" x14ac:dyDescent="0.25">
      <c r="A53" s="93" t="str">
        <f>DMTK!B52</f>
        <v>1521.0201</v>
      </c>
      <c r="B53" s="65" t="str">
        <f>VLOOKUP(A53,DMTK!$B$5:$Q$263,3,0)</f>
        <v>Ván MDF 9x6x8</v>
      </c>
      <c r="C53" s="69">
        <f>VLOOKUP(A53,DMTK!$B$5:$Q$263,10,0)</f>
        <v>24000000</v>
      </c>
      <c r="D53" s="69">
        <f>VLOOKUP(A53,DMTK!B52:$Q$263,11,0)</f>
        <v>0</v>
      </c>
      <c r="E53" s="69">
        <f>SUMIFS(CT!$H$5:$H$143,CT!$D$5:$D$143,CĐPS_CT!A53)</f>
        <v>0</v>
      </c>
      <c r="F53" s="69">
        <f>SUMIFS(CT!$H$5:$H$143,CT!$E$5:$E$143,CĐPS_CT!A53)</f>
        <v>3600000</v>
      </c>
      <c r="G53" s="69">
        <f t="shared" si="0"/>
        <v>20400000</v>
      </c>
      <c r="H53" s="69">
        <f t="shared" si="1"/>
        <v>0</v>
      </c>
    </row>
    <row r="54" spans="1:8" x14ac:dyDescent="0.25">
      <c r="A54" s="93" t="str">
        <f>DMTK!B53</f>
        <v>1521.0202</v>
      </c>
      <c r="B54" s="65" t="str">
        <f>VLOOKUP(A54,DMTK!$B$5:$Q$263,3,0)</f>
        <v>Ván MDF 9x4x8</v>
      </c>
      <c r="C54" s="69">
        <f>VLOOKUP(A54,DMTK!$B$5:$Q$263,10,0)</f>
        <v>31200000</v>
      </c>
      <c r="D54" s="69">
        <f>VLOOKUP(A54,DMTK!B53:$Q$263,11,0)</f>
        <v>0</v>
      </c>
      <c r="E54" s="69">
        <f>SUMIFS(CT!$H$5:$H$143,CT!$D$5:$D$143,CĐPS_CT!A54)</f>
        <v>0</v>
      </c>
      <c r="F54" s="69">
        <f>SUMIFS(CT!$H$5:$H$143,CT!$E$5:$E$143,CĐPS_CT!A54)</f>
        <v>0</v>
      </c>
      <c r="G54" s="69">
        <f t="shared" si="0"/>
        <v>31200000</v>
      </c>
      <c r="H54" s="69">
        <f t="shared" si="1"/>
        <v>0</v>
      </c>
    </row>
    <row r="55" spans="1:8" x14ac:dyDescent="0.25">
      <c r="A55" s="93" t="str">
        <f>DMTK!B54</f>
        <v>1521.0203</v>
      </c>
      <c r="B55" s="65" t="str">
        <f>VLOOKUP(A55,DMTK!$B$5:$Q$263,3,0)</f>
        <v>Ván MDF 4,5x6x8</v>
      </c>
      <c r="C55" s="69">
        <f>VLOOKUP(A55,DMTK!$B$5:$Q$263,10,0)</f>
        <v>10000000</v>
      </c>
      <c r="D55" s="69">
        <f>VLOOKUP(A55,DMTK!B54:$Q$263,11,0)</f>
        <v>0</v>
      </c>
      <c r="E55" s="69">
        <f>SUMIFS(CT!$H$5:$H$143,CT!$D$5:$D$143,CĐPS_CT!A55)</f>
        <v>0</v>
      </c>
      <c r="F55" s="69">
        <f>SUMIFS(CT!$H$5:$H$143,CT!$E$5:$E$143,CĐPS_CT!A55)</f>
        <v>0</v>
      </c>
      <c r="G55" s="69">
        <f t="shared" si="0"/>
        <v>10000000</v>
      </c>
      <c r="H55" s="69">
        <f t="shared" si="1"/>
        <v>0</v>
      </c>
    </row>
    <row r="56" spans="1:8" x14ac:dyDescent="0.25">
      <c r="A56" s="93" t="str">
        <f>DMTK!B55</f>
        <v>1521.0301</v>
      </c>
      <c r="B56" s="65" t="str">
        <f>VLOOKUP(A56,DMTK!$B$5:$Q$263,3,0)</f>
        <v>Keo AB</v>
      </c>
      <c r="C56" s="69">
        <f>VLOOKUP(A56,DMTK!$B$5:$Q$263,10,0)</f>
        <v>1200000</v>
      </c>
      <c r="D56" s="69">
        <f>VLOOKUP(A56,DMTK!B55:$Q$263,11,0)</f>
        <v>0</v>
      </c>
      <c r="E56" s="69">
        <f>SUMIFS(CT!$H$5:$H$143,CT!$D$5:$D$143,CĐPS_CT!A56)</f>
        <v>5000000</v>
      </c>
      <c r="F56" s="69">
        <f>SUMIFS(CT!$H$5:$H$143,CT!$E$5:$E$143,CĐPS_CT!A56)</f>
        <v>0</v>
      </c>
      <c r="G56" s="69">
        <f t="shared" si="0"/>
        <v>6200000</v>
      </c>
      <c r="H56" s="69">
        <f t="shared" si="1"/>
        <v>0</v>
      </c>
    </row>
    <row r="57" spans="1:8" x14ac:dyDescent="0.25">
      <c r="A57" s="93" t="str">
        <f>DMTK!B56</f>
        <v>1521.0302</v>
      </c>
      <c r="B57" s="65" t="str">
        <f>VLOOKUP(A57,DMTK!$B$5:$Q$263,3,0)</f>
        <v>Keo ghép</v>
      </c>
      <c r="C57" s="69">
        <f>VLOOKUP(A57,DMTK!$B$5:$Q$263,10,0)</f>
        <v>7200000</v>
      </c>
      <c r="D57" s="69">
        <f>VLOOKUP(A57,DMTK!B56:$Q$263,11,0)</f>
        <v>0</v>
      </c>
      <c r="E57" s="69">
        <f>SUMIFS(CT!$H$5:$H$143,CT!$D$5:$D$143,CĐPS_CT!A57)</f>
        <v>0</v>
      </c>
      <c r="F57" s="69">
        <f>SUMIFS(CT!$H$5:$H$143,CT!$E$5:$E$143,CĐPS_CT!A57)</f>
        <v>480000</v>
      </c>
      <c r="G57" s="69">
        <f t="shared" si="0"/>
        <v>6720000</v>
      </c>
      <c r="H57" s="69">
        <f t="shared" si="1"/>
        <v>0</v>
      </c>
    </row>
    <row r="58" spans="1:8" x14ac:dyDescent="0.25">
      <c r="A58" s="93" t="str">
        <f>DMTK!B57</f>
        <v>1521.0303</v>
      </c>
      <c r="B58" s="65" t="str">
        <f>VLOOKUP(A58,DMTK!$B$5:$Q$263,3,0)</f>
        <v>Keo 502</v>
      </c>
      <c r="C58" s="69">
        <f>VLOOKUP(A58,DMTK!$B$5:$Q$263,10,0)</f>
        <v>1150000</v>
      </c>
      <c r="D58" s="69">
        <f>VLOOKUP(A58,DMTK!B57:$Q$263,11,0)</f>
        <v>0</v>
      </c>
      <c r="E58" s="69">
        <f>SUMIFS(CT!$H$5:$H$143,CT!$D$5:$D$143,CĐPS_CT!A58)</f>
        <v>0</v>
      </c>
      <c r="F58" s="69">
        <f>SUMIFS(CT!$H$5:$H$143,CT!$E$5:$E$143,CĐPS_CT!A58)</f>
        <v>46000</v>
      </c>
      <c r="G58" s="69">
        <f t="shared" si="0"/>
        <v>1104000</v>
      </c>
      <c r="H58" s="69">
        <f t="shared" si="1"/>
        <v>0</v>
      </c>
    </row>
    <row r="59" spans="1:8" x14ac:dyDescent="0.25">
      <c r="A59" s="93" t="str">
        <f>DMTK!B58</f>
        <v>1521.0401</v>
      </c>
      <c r="B59" s="65" t="str">
        <f>VLOOKUP(A59,DMTK!$B$5:$Q$263,3,0)</f>
        <v>AC chuối</v>
      </c>
      <c r="C59" s="69">
        <f>VLOOKUP(A59,DMTK!$B$5:$Q$263,10,0)</f>
        <v>1500000</v>
      </c>
      <c r="D59" s="69">
        <f>VLOOKUP(A59,DMTK!B58:$Q$263,11,0)</f>
        <v>0</v>
      </c>
      <c r="E59" s="69">
        <f>SUMIFS(CT!$H$5:$H$143,CT!$D$5:$D$143,CĐPS_CT!A59)</f>
        <v>3200000</v>
      </c>
      <c r="F59" s="69">
        <f>SUMIFS(CT!$H$5:$H$143,CT!$E$5:$E$143,CĐPS_CT!A59)</f>
        <v>469980</v>
      </c>
      <c r="G59" s="69">
        <f t="shared" si="0"/>
        <v>4230020</v>
      </c>
      <c r="H59" s="69">
        <f t="shared" si="1"/>
        <v>0</v>
      </c>
    </row>
    <row r="60" spans="1:8" x14ac:dyDescent="0.25">
      <c r="A60" s="93" t="str">
        <f>DMTK!B59</f>
        <v>1521.0402</v>
      </c>
      <c r="B60" s="65" t="str">
        <f>VLOOKUP(A60,DMTK!$B$5:$Q$263,3,0)</f>
        <v>NC chuối</v>
      </c>
      <c r="C60" s="69">
        <f>VLOOKUP(A60,DMTK!$B$5:$Q$263,10,0)</f>
        <v>850000</v>
      </c>
      <c r="D60" s="69">
        <f>VLOOKUP(A60,DMTK!B59:$Q$263,11,0)</f>
        <v>0</v>
      </c>
      <c r="E60" s="69">
        <f>SUMIFS(CT!$H$5:$H$143,CT!$D$5:$D$143,CĐPS_CT!A60)</f>
        <v>0</v>
      </c>
      <c r="F60" s="69">
        <f>SUMIFS(CT!$H$5:$H$143,CT!$E$5:$E$143,CĐPS_CT!A60)</f>
        <v>0</v>
      </c>
      <c r="G60" s="69">
        <f t="shared" si="0"/>
        <v>850000</v>
      </c>
      <c r="H60" s="69">
        <f t="shared" si="1"/>
        <v>0</v>
      </c>
    </row>
    <row r="61" spans="1:8" x14ac:dyDescent="0.25">
      <c r="A61" s="93" t="str">
        <f>DMTK!B60</f>
        <v>1521.0403</v>
      </c>
      <c r="B61" s="65" t="str">
        <f>VLOOKUP(A61,DMTK!$B$5:$Q$263,3,0)</f>
        <v>Dầu thông</v>
      </c>
      <c r="C61" s="69">
        <f>VLOOKUP(A61,DMTK!$B$5:$Q$263,10,0)</f>
        <v>1040000</v>
      </c>
      <c r="D61" s="69">
        <f>VLOOKUP(A61,DMTK!B60:$Q$263,11,0)</f>
        <v>0</v>
      </c>
      <c r="E61" s="69">
        <f>SUMIFS(CT!$H$5:$H$143,CT!$D$5:$D$143,CĐPS_CT!A61)</f>
        <v>1500000</v>
      </c>
      <c r="F61" s="69">
        <f>SUMIFS(CT!$H$5:$H$143,CT!$E$5:$E$143,CĐPS_CT!A61)</f>
        <v>282220</v>
      </c>
      <c r="G61" s="69">
        <f t="shared" si="0"/>
        <v>2257780</v>
      </c>
      <c r="H61" s="69">
        <f t="shared" si="1"/>
        <v>0</v>
      </c>
    </row>
    <row r="62" spans="1:8" x14ac:dyDescent="0.25">
      <c r="A62" s="93" t="str">
        <f>DMTK!B61</f>
        <v>1522</v>
      </c>
      <c r="B62" s="65" t="str">
        <f>VLOOKUP(A62,DMTK!$B$5:$Q$263,3,0)</f>
        <v>Nguyên vật liệu phụ</v>
      </c>
      <c r="C62" s="69">
        <f>VLOOKUP(A62,DMTK!$B$5:$Q$263,10,0)</f>
        <v>0</v>
      </c>
      <c r="D62" s="69">
        <f>VLOOKUP(A62,DMTK!B61:$Q$263,11,0)</f>
        <v>0</v>
      </c>
      <c r="E62" s="69">
        <f>SUMIFS(CT!$H$5:$H$143,CT!$D$5:$D$143,CĐPS_CT!A62)</f>
        <v>0</v>
      </c>
      <c r="F62" s="69">
        <f>SUMIFS(CT!$H$5:$H$143,CT!$E$5:$E$143,CĐPS_CT!A62)</f>
        <v>0</v>
      </c>
      <c r="G62" s="69">
        <f t="shared" si="0"/>
        <v>0</v>
      </c>
      <c r="H62" s="69">
        <f t="shared" si="1"/>
        <v>0</v>
      </c>
    </row>
    <row r="63" spans="1:8" x14ac:dyDescent="0.25">
      <c r="A63" s="93" t="str">
        <f>DMTK!B62</f>
        <v>1531.01</v>
      </c>
      <c r="B63" s="65" t="str">
        <f>VLOOKUP(A63,DMTK!$B$5:$Q$263,3,0)</f>
        <v>Máy tính Casio</v>
      </c>
      <c r="C63" s="69">
        <f>VLOOKUP(A63,DMTK!$B$5:$Q$263,10,0)</f>
        <v>7500000</v>
      </c>
      <c r="D63" s="69">
        <f>VLOOKUP(A63,DMTK!B62:$Q$263,11,0)</f>
        <v>0</v>
      </c>
      <c r="E63" s="69">
        <f>SUMIFS(CT!$H$5:$H$143,CT!$D$5:$D$143,CĐPS_CT!A63)</f>
        <v>0</v>
      </c>
      <c r="F63" s="69">
        <f>SUMIFS(CT!$H$5:$H$143,CT!$E$5:$E$143,CĐPS_CT!A63)</f>
        <v>2500000</v>
      </c>
      <c r="G63" s="69">
        <f t="shared" si="0"/>
        <v>5000000</v>
      </c>
      <c r="H63" s="69">
        <f t="shared" si="1"/>
        <v>0</v>
      </c>
    </row>
    <row r="64" spans="1:8" x14ac:dyDescent="0.25">
      <c r="A64" s="93" t="str">
        <f>DMTK!B63</f>
        <v>1531.02</v>
      </c>
      <c r="B64" s="65" t="str">
        <f>VLOOKUP(A64,DMTK!$B$5:$Q$263,3,0)</f>
        <v>Kệ tủ</v>
      </c>
      <c r="C64" s="69">
        <f>VLOOKUP(A64,DMTK!$B$5:$Q$263,10,0)</f>
        <v>5000000</v>
      </c>
      <c r="D64" s="69">
        <f>VLOOKUP(A64,DMTK!B63:$Q$263,11,0)</f>
        <v>0</v>
      </c>
      <c r="E64" s="69">
        <f>SUMIFS(CT!$H$5:$H$143,CT!$D$5:$D$143,CĐPS_CT!A64)</f>
        <v>0</v>
      </c>
      <c r="F64" s="69">
        <f>SUMIFS(CT!$H$5:$H$143,CT!$E$5:$E$143,CĐPS_CT!A64)</f>
        <v>1000000</v>
      </c>
      <c r="G64" s="69">
        <f t="shared" si="0"/>
        <v>4000000</v>
      </c>
      <c r="H64" s="69">
        <f t="shared" si="1"/>
        <v>0</v>
      </c>
    </row>
    <row r="65" spans="1:8" x14ac:dyDescent="0.25">
      <c r="A65" s="93" t="str">
        <f>DMTK!B64</f>
        <v>1531.03</v>
      </c>
      <c r="B65" s="65" t="str">
        <f>VLOOKUP(A65,DMTK!$B$5:$Q$263,3,0)</f>
        <v>Lưỡi cưa</v>
      </c>
      <c r="C65" s="69">
        <f>VLOOKUP(A65,DMTK!$B$5:$Q$263,10,0)</f>
        <v>1000000</v>
      </c>
      <c r="D65" s="69">
        <f>VLOOKUP(A65,DMTK!B64:$Q$263,11,0)</f>
        <v>0</v>
      </c>
      <c r="E65" s="69">
        <f>SUMIFS(CT!$H$5:$H$143,CT!$D$5:$D$143,CĐPS_CT!A65)</f>
        <v>0</v>
      </c>
      <c r="F65" s="69">
        <f>SUMIFS(CT!$H$5:$H$143,CT!$E$5:$E$143,CĐPS_CT!A65)</f>
        <v>100000</v>
      </c>
      <c r="G65" s="69">
        <f t="shared" si="0"/>
        <v>900000</v>
      </c>
      <c r="H65" s="69">
        <f t="shared" si="1"/>
        <v>0</v>
      </c>
    </row>
    <row r="66" spans="1:8" x14ac:dyDescent="0.25">
      <c r="A66" s="93" t="str">
        <f>DMTK!B65</f>
        <v>1531.04</v>
      </c>
      <c r="B66" s="65" t="str">
        <f>VLOOKUP(A66,DMTK!$B$5:$Q$263,3,0)</f>
        <v>Mũi khoan</v>
      </c>
      <c r="C66" s="69">
        <f>VLOOKUP(A66,DMTK!$B$5:$Q$263,10,0)</f>
        <v>2000000</v>
      </c>
      <c r="D66" s="69">
        <f>VLOOKUP(A66,DMTK!B65:$Q$263,11,0)</f>
        <v>0</v>
      </c>
      <c r="E66" s="69">
        <f>SUMIFS(CT!$H$5:$H$143,CT!$D$5:$D$143,CĐPS_CT!A66)</f>
        <v>0</v>
      </c>
      <c r="F66" s="69">
        <f>SUMIFS(CT!$H$5:$H$143,CT!$E$5:$E$143,CĐPS_CT!A66)</f>
        <v>100000</v>
      </c>
      <c r="G66" s="69">
        <f t="shared" si="0"/>
        <v>1900000</v>
      </c>
      <c r="H66" s="69">
        <f t="shared" si="1"/>
        <v>0</v>
      </c>
    </row>
    <row r="67" spans="1:8" x14ac:dyDescent="0.25">
      <c r="A67" s="93" t="str">
        <f>DMTK!B66</f>
        <v>1531.05</v>
      </c>
      <c r="B67" s="65" t="str">
        <f>VLOOKUP(A67,DMTK!$B$5:$Q$263,3,0)</f>
        <v>Dao thép</v>
      </c>
      <c r="C67" s="69">
        <f>VLOOKUP(A67,DMTK!$B$5:$Q$263,10,0)</f>
        <v>1000000</v>
      </c>
      <c r="D67" s="69">
        <f>VLOOKUP(A67,DMTK!B66:$Q$263,11,0)</f>
        <v>0</v>
      </c>
      <c r="E67" s="69">
        <f>SUMIFS(CT!$H$5:$H$143,CT!$D$5:$D$143,CĐPS_CT!A67)</f>
        <v>0</v>
      </c>
      <c r="F67" s="69">
        <f>SUMIFS(CT!$H$5:$H$143,CT!$E$5:$E$143,CĐPS_CT!A67)</f>
        <v>300000</v>
      </c>
      <c r="G67" s="69">
        <f t="shared" si="0"/>
        <v>700000</v>
      </c>
      <c r="H67" s="69">
        <f t="shared" si="1"/>
        <v>0</v>
      </c>
    </row>
    <row r="68" spans="1:8" x14ac:dyDescent="0.25">
      <c r="A68" s="93" t="str">
        <f>DMTK!B67</f>
        <v>154.01</v>
      </c>
      <c r="B68" s="65" t="str">
        <f>VLOOKUP(A68,DMTK!$B$5:$Q$263,3,0)</f>
        <v>Ghế tay vịn</v>
      </c>
      <c r="C68" s="69">
        <f>VLOOKUP(A68,DMTK!$B$5:$Q$263,10,0)</f>
        <v>70000000</v>
      </c>
      <c r="D68" s="69">
        <f>VLOOKUP(A68,DMTK!B67:$Q$263,11,0)</f>
        <v>0</v>
      </c>
      <c r="E68" s="69">
        <f>SUMIFS(CT!$H$5:$H$143,CT!$D$5:$D$143,CĐPS_CT!A68)</f>
        <v>99050185</v>
      </c>
      <c r="F68" s="69">
        <f>SUMIFS(CT!$H$5:$H$143,CT!$E$5:$E$143,CĐPS_CT!A68)</f>
        <v>102060000</v>
      </c>
      <c r="G68" s="69">
        <f t="shared" si="0"/>
        <v>66990185</v>
      </c>
      <c r="H68" s="69">
        <f t="shared" si="1"/>
        <v>0</v>
      </c>
    </row>
    <row r="69" spans="1:8" x14ac:dyDescent="0.25">
      <c r="A69" s="93" t="str">
        <f>DMTK!B68</f>
        <v>154.02</v>
      </c>
      <c r="B69" s="65" t="str">
        <f>VLOOKUP(A69,DMTK!$B$5:$Q$263,3,0)</f>
        <v>Ghế không tay</v>
      </c>
      <c r="C69" s="69">
        <f>VLOOKUP(A69,DMTK!$B$5:$Q$263,10,0)</f>
        <v>80000000</v>
      </c>
      <c r="D69" s="69">
        <f>VLOOKUP(A69,DMTK!B68:$Q$263,11,0)</f>
        <v>0</v>
      </c>
      <c r="E69" s="69">
        <f>SUMIFS(CT!$H$5:$H$143,CT!$D$5:$D$143,CĐPS_CT!A69)</f>
        <v>48800000</v>
      </c>
      <c r="F69" s="69">
        <f>SUMIFS(CT!$H$5:$H$143,CT!$E$5:$E$143,CĐPS_CT!A69)</f>
        <v>61800000</v>
      </c>
      <c r="G69" s="69">
        <f t="shared" si="0"/>
        <v>67000000</v>
      </c>
      <c r="H69" s="69">
        <f t="shared" si="1"/>
        <v>0</v>
      </c>
    </row>
    <row r="70" spans="1:8" x14ac:dyDescent="0.25">
      <c r="A70" s="93" t="str">
        <f>DMTK!B69</f>
        <v>154.03</v>
      </c>
      <c r="B70" s="65" t="str">
        <f>VLOOKUP(A70,DMTK!$B$5:$Q$263,3,0)</f>
        <v>Bàn tròn</v>
      </c>
      <c r="C70" s="69">
        <f>VLOOKUP(A70,DMTK!$B$5:$Q$263,10,0)</f>
        <v>7000000</v>
      </c>
      <c r="D70" s="69">
        <f>VLOOKUP(A70,DMTK!B69:$Q$263,11,0)</f>
        <v>0</v>
      </c>
      <c r="E70" s="69">
        <f>SUMIFS(CT!$H$5:$H$143,CT!$D$5:$D$143,CĐPS_CT!A70)</f>
        <v>61494681</v>
      </c>
      <c r="F70" s="69">
        <f>SUMIFS(CT!$H$5:$H$143,CT!$E$5:$E$143,CĐPS_CT!A70)</f>
        <v>61500000</v>
      </c>
      <c r="G70" s="69">
        <f t="shared" si="0"/>
        <v>6994681</v>
      </c>
      <c r="H70" s="69">
        <f t="shared" si="1"/>
        <v>0</v>
      </c>
    </row>
    <row r="71" spans="1:8" x14ac:dyDescent="0.25">
      <c r="A71" s="93" t="str">
        <f>DMTK!B70</f>
        <v>154.04</v>
      </c>
      <c r="B71" s="65" t="str">
        <f>VLOOKUP(A71,DMTK!$B$5:$Q$263,3,0)</f>
        <v>Bàn oval</v>
      </c>
      <c r="C71" s="69">
        <f>VLOOKUP(A71,DMTK!$B$5:$Q$263,10,0)</f>
        <v>43000000</v>
      </c>
      <c r="D71" s="69">
        <f>VLOOKUP(A71,DMTK!B70:$Q$263,11,0)</f>
        <v>0</v>
      </c>
      <c r="E71" s="69">
        <f>SUMIFS(CT!$H$5:$H$143,CT!$D$5:$D$143,CĐPS_CT!A71)</f>
        <v>48800000</v>
      </c>
      <c r="F71" s="69">
        <f>SUMIFS(CT!$H$5:$H$143,CT!$E$5:$E$143,CĐPS_CT!A71)</f>
        <v>0</v>
      </c>
      <c r="G71" s="69">
        <f t="shared" ref="G71:G134" si="2">MAX(C71+E71-D71-F71,0)</f>
        <v>91800000</v>
      </c>
      <c r="H71" s="69">
        <f t="shared" ref="H71:H134" si="3">MAX(D71+F71-C71-E71,0)</f>
        <v>0</v>
      </c>
    </row>
    <row r="72" spans="1:8" x14ac:dyDescent="0.25">
      <c r="A72" s="93" t="str">
        <f>DMTK!B71</f>
        <v>154.05</v>
      </c>
      <c r="B72" s="65" t="str">
        <f>VLOOKUP(A72,DMTK!$B$5:$Q$263,3,0)</f>
        <v>Bàn chữ nhật</v>
      </c>
      <c r="C72" s="69">
        <f>VLOOKUP(A72,DMTK!$B$5:$Q$263,10,0)</f>
        <v>22000000</v>
      </c>
      <c r="D72" s="69">
        <f>VLOOKUP(A72,DMTK!B71:$Q$263,11,0)</f>
        <v>0</v>
      </c>
      <c r="E72" s="69">
        <f>SUMIFS(CT!$H$5:$H$143,CT!$D$5:$D$143,CĐPS_CT!A72)</f>
        <v>48800000</v>
      </c>
      <c r="F72" s="69">
        <f>SUMIFS(CT!$H$5:$H$143,CT!$E$5:$E$143,CĐPS_CT!A72)</f>
        <v>0</v>
      </c>
      <c r="G72" s="69">
        <f t="shared" si="2"/>
        <v>70800000</v>
      </c>
      <c r="H72" s="69">
        <f t="shared" si="3"/>
        <v>0</v>
      </c>
    </row>
    <row r="73" spans="1:8" x14ac:dyDescent="0.25">
      <c r="A73" s="93" t="str">
        <f>DMTK!B72</f>
        <v>1551.0101</v>
      </c>
      <c r="B73" s="65" t="str">
        <f>VLOOKUP(A73,DMTK!$B$5:$Q$263,3,0)</f>
        <v>Ghế tay vịn</v>
      </c>
      <c r="C73" s="69">
        <f>VLOOKUP(A73,DMTK!$B$5:$Q$263,10,0)</f>
        <v>62500000</v>
      </c>
      <c r="D73" s="69">
        <f>VLOOKUP(A73,DMTK!B72:$Q$263,11,0)</f>
        <v>0</v>
      </c>
      <c r="E73" s="69">
        <f>SUMIFS(CT!$H$5:$H$143,CT!$D$5:$D$143,CĐPS_CT!A73)</f>
        <v>102060000</v>
      </c>
      <c r="F73" s="69">
        <f>SUMIFS(CT!$H$5:$H$143,CT!$E$5:$E$143,CĐPS_CT!A73)</f>
        <v>25123700</v>
      </c>
      <c r="G73" s="69">
        <f t="shared" si="2"/>
        <v>139436300</v>
      </c>
      <c r="H73" s="69">
        <f t="shared" si="3"/>
        <v>0</v>
      </c>
    </row>
    <row r="74" spans="1:8" x14ac:dyDescent="0.25">
      <c r="A74" s="93" t="str">
        <f>DMTK!B73</f>
        <v>1551.0102</v>
      </c>
      <c r="B74" s="65" t="str">
        <f>VLOOKUP(A74,DMTK!$B$5:$Q$263,3,0)</f>
        <v>Ghế không tay</v>
      </c>
      <c r="C74" s="69">
        <f>VLOOKUP(A74,DMTK!$B$5:$Q$263,10,0)</f>
        <v>44000000</v>
      </c>
      <c r="D74" s="69">
        <f>VLOOKUP(A74,DMTK!B73:$Q$263,11,0)</f>
        <v>0</v>
      </c>
      <c r="E74" s="69">
        <f>SUMIFS(CT!$H$5:$H$143,CT!$D$5:$D$143,CĐPS_CT!A74)</f>
        <v>61800000</v>
      </c>
      <c r="F74" s="69">
        <f>SUMIFS(CT!$H$5:$H$143,CT!$E$5:$E$143,CĐPS_CT!A74)</f>
        <v>20346200</v>
      </c>
      <c r="G74" s="69">
        <f t="shared" si="2"/>
        <v>85453800</v>
      </c>
      <c r="H74" s="69">
        <f t="shared" si="3"/>
        <v>0</v>
      </c>
    </row>
    <row r="75" spans="1:8" x14ac:dyDescent="0.25">
      <c r="A75" s="93" t="str">
        <f>DMTK!B74</f>
        <v>1551.0201</v>
      </c>
      <c r="B75" s="65" t="str">
        <f>VLOOKUP(A75,DMTK!$B$5:$Q$263,3,0)</f>
        <v>Bàn tròn</v>
      </c>
      <c r="C75" s="69">
        <f>VLOOKUP(A75,DMTK!$B$5:$Q$263,10,0)</f>
        <v>45000000</v>
      </c>
      <c r="D75" s="69">
        <f>VLOOKUP(A75,DMTK!B74:$Q$263,11,0)</f>
        <v>0</v>
      </c>
      <c r="E75" s="69">
        <f>SUMIFS(CT!$H$5:$H$143,CT!$D$5:$D$143,CĐPS_CT!A75)</f>
        <v>61500000</v>
      </c>
      <c r="F75" s="69">
        <f>SUMIFS(CT!$H$5:$H$143,CT!$E$5:$E$143,CĐPS_CT!A75)</f>
        <v>0</v>
      </c>
      <c r="G75" s="69">
        <f t="shared" si="2"/>
        <v>106500000</v>
      </c>
      <c r="H75" s="69">
        <f t="shared" si="3"/>
        <v>0</v>
      </c>
    </row>
    <row r="76" spans="1:8" x14ac:dyDescent="0.25">
      <c r="A76" s="93" t="str">
        <f>DMTK!B75</f>
        <v>1551.0202</v>
      </c>
      <c r="B76" s="65" t="str">
        <f>VLOOKUP(A76,DMTK!$B$5:$Q$263,3,0)</f>
        <v>Bàn oval</v>
      </c>
      <c r="C76" s="69">
        <f>VLOOKUP(A76,DMTK!$B$5:$Q$263,10,0)</f>
        <v>25000000</v>
      </c>
      <c r="D76" s="69">
        <f>VLOOKUP(A76,DMTK!B75:$Q$263,11,0)</f>
        <v>0</v>
      </c>
      <c r="E76" s="69">
        <f>SUMIFS(CT!$H$5:$H$143,CT!$D$5:$D$143,CĐPS_CT!A76)</f>
        <v>0</v>
      </c>
      <c r="F76" s="69">
        <f>SUMIFS(CT!$H$5:$H$143,CT!$E$5:$E$143,CĐPS_CT!A76)</f>
        <v>25000000</v>
      </c>
      <c r="G76" s="69">
        <f t="shared" si="2"/>
        <v>0</v>
      </c>
      <c r="H76" s="69">
        <f t="shared" si="3"/>
        <v>0</v>
      </c>
    </row>
    <row r="77" spans="1:8" x14ac:dyDescent="0.25">
      <c r="A77" s="93" t="str">
        <f>DMTK!B76</f>
        <v>1551.0203</v>
      </c>
      <c r="B77" s="65" t="str">
        <f>VLOOKUP(A77,DMTK!$B$5:$Q$263,3,0)</f>
        <v>Bàn chữ nhật</v>
      </c>
      <c r="C77" s="69">
        <f>VLOOKUP(A77,DMTK!$B$5:$Q$263,10,0)</f>
        <v>70000000</v>
      </c>
      <c r="D77" s="69">
        <f>VLOOKUP(A77,DMTK!B76:$Q$263,11,0)</f>
        <v>0</v>
      </c>
      <c r="E77" s="69">
        <f>SUMIFS(CT!$H$5:$H$143,CT!$D$5:$D$143,CĐPS_CT!A77)</f>
        <v>0</v>
      </c>
      <c r="F77" s="69">
        <f>SUMIFS(CT!$H$5:$H$143,CT!$E$5:$E$143,CĐPS_CT!A77)</f>
        <v>0</v>
      </c>
      <c r="G77" s="69">
        <f t="shared" si="2"/>
        <v>70000000</v>
      </c>
      <c r="H77" s="69">
        <f t="shared" si="3"/>
        <v>0</v>
      </c>
    </row>
    <row r="78" spans="1:8" x14ac:dyDescent="0.25">
      <c r="A78" s="93" t="str">
        <f>DMTK!B77</f>
        <v>1561</v>
      </c>
      <c r="B78" s="65" t="str">
        <f>VLOOKUP(A78,DMTK!$B$5:$Q$263,3,0)</f>
        <v>Giá mua hàng hóa</v>
      </c>
      <c r="C78" s="69">
        <f>VLOOKUP(A78,DMTK!$B$5:$Q$263,10,0)</f>
        <v>0</v>
      </c>
      <c r="D78" s="69">
        <f>VLOOKUP(A78,DMTK!B77:$Q$263,11,0)</f>
        <v>0</v>
      </c>
      <c r="E78" s="69">
        <f>SUMIFS(CT!$H$5:$H$143,CT!$D$5:$D$143,CĐPS_CT!A78)</f>
        <v>0</v>
      </c>
      <c r="F78" s="69">
        <f>SUMIFS(CT!$H$5:$H$143,CT!$E$5:$E$143,CĐPS_CT!A78)</f>
        <v>0</v>
      </c>
      <c r="G78" s="69">
        <f t="shared" si="2"/>
        <v>0</v>
      </c>
      <c r="H78" s="69">
        <f t="shared" si="3"/>
        <v>0</v>
      </c>
    </row>
    <row r="79" spans="1:8" x14ac:dyDescent="0.25">
      <c r="A79" s="93" t="str">
        <f>DMTK!B78</f>
        <v>1562</v>
      </c>
      <c r="B79" s="65" t="str">
        <f>VLOOKUP(A79,DMTK!$B$5:$Q$263,3,0)</f>
        <v>Chi phí thu mua hàng hóa</v>
      </c>
      <c r="C79" s="69">
        <f>VLOOKUP(A79,DMTK!$B$5:$Q$263,10,0)</f>
        <v>0</v>
      </c>
      <c r="D79" s="69">
        <f>VLOOKUP(A79,DMTK!B78:$Q$263,11,0)</f>
        <v>0</v>
      </c>
      <c r="E79" s="69">
        <f>SUMIFS(CT!$H$5:$H$143,CT!$D$5:$D$143,CĐPS_CT!A79)</f>
        <v>0</v>
      </c>
      <c r="F79" s="69">
        <f>SUMIFS(CT!$H$5:$H$143,CT!$E$5:$E$143,CĐPS_CT!A79)</f>
        <v>0</v>
      </c>
      <c r="G79" s="69">
        <f t="shared" si="2"/>
        <v>0</v>
      </c>
      <c r="H79" s="69">
        <f t="shared" si="3"/>
        <v>0</v>
      </c>
    </row>
    <row r="80" spans="1:8" x14ac:dyDescent="0.25">
      <c r="A80" s="93" t="str">
        <f>DMTK!B79</f>
        <v>1567</v>
      </c>
      <c r="B80" s="65" t="str">
        <f>VLOOKUP(A80,DMTK!$B$5:$Q$263,3,0)</f>
        <v>Hàng hóa bất động sản</v>
      </c>
      <c r="C80" s="69">
        <f>VLOOKUP(A80,DMTK!$B$5:$Q$263,10,0)</f>
        <v>0</v>
      </c>
      <c r="D80" s="69">
        <f>VLOOKUP(A80,DMTK!B79:$Q$263,11,0)</f>
        <v>0</v>
      </c>
      <c r="E80" s="69">
        <f>SUMIFS(CT!$H$5:$H$143,CT!$D$5:$D$143,CĐPS_CT!A80)</f>
        <v>0</v>
      </c>
      <c r="F80" s="69">
        <f>SUMIFS(CT!$H$5:$H$143,CT!$E$5:$E$143,CĐPS_CT!A80)</f>
        <v>0</v>
      </c>
      <c r="G80" s="69">
        <f t="shared" si="2"/>
        <v>0</v>
      </c>
      <c r="H80" s="69">
        <f t="shared" si="3"/>
        <v>0</v>
      </c>
    </row>
    <row r="81" spans="1:8" x14ac:dyDescent="0.25">
      <c r="A81" s="93" t="str">
        <f>DMTK!B80</f>
        <v>157</v>
      </c>
      <c r="B81" s="65" t="str">
        <f>VLOOKUP(A81,DMTK!$B$5:$Q$263,3,0)</f>
        <v>Hàng gửi đi bán</v>
      </c>
      <c r="C81" s="69">
        <f>VLOOKUP(A81,DMTK!$B$5:$Q$263,10,0)</f>
        <v>0</v>
      </c>
      <c r="D81" s="69">
        <f>VLOOKUP(A81,DMTK!B80:$Q$263,11,0)</f>
        <v>0</v>
      </c>
      <c r="E81" s="69">
        <f>SUMIFS(CT!$H$5:$H$143,CT!$D$5:$D$143,CĐPS_CT!A81)</f>
        <v>0</v>
      </c>
      <c r="F81" s="69">
        <f>SUMIFS(CT!$H$5:$H$143,CT!$E$5:$E$143,CĐPS_CT!A81)</f>
        <v>0</v>
      </c>
      <c r="G81" s="69">
        <f t="shared" si="2"/>
        <v>0</v>
      </c>
      <c r="H81" s="69">
        <f t="shared" si="3"/>
        <v>0</v>
      </c>
    </row>
    <row r="82" spans="1:8" x14ac:dyDescent="0.25">
      <c r="A82" s="93" t="str">
        <f>DMTK!B81</f>
        <v>158</v>
      </c>
      <c r="B82" s="65" t="str">
        <f>VLOOKUP(A82,DMTK!$B$5:$Q$263,3,0)</f>
        <v>Hàng hóa kho bảo thuế</v>
      </c>
      <c r="C82" s="69">
        <f>VLOOKUP(A82,DMTK!$B$5:$Q$263,10,0)</f>
        <v>0</v>
      </c>
      <c r="D82" s="69">
        <f>VLOOKUP(A82,DMTK!B81:$Q$263,11,0)</f>
        <v>0</v>
      </c>
      <c r="E82" s="69">
        <f>SUMIFS(CT!$H$5:$H$143,CT!$D$5:$D$143,CĐPS_CT!A82)</f>
        <v>0</v>
      </c>
      <c r="F82" s="69">
        <f>SUMIFS(CT!$H$5:$H$143,CT!$E$5:$E$143,CĐPS_CT!A82)</f>
        <v>0</v>
      </c>
      <c r="G82" s="69">
        <f t="shared" si="2"/>
        <v>0</v>
      </c>
      <c r="H82" s="69">
        <f t="shared" si="3"/>
        <v>0</v>
      </c>
    </row>
    <row r="83" spans="1:8" x14ac:dyDescent="0.25">
      <c r="A83" s="93" t="str">
        <f>DMTK!B82</f>
        <v>1611</v>
      </c>
      <c r="B83" s="65" t="str">
        <f>VLOOKUP(A83,DMTK!$B$5:$Q$263,3,0)</f>
        <v>Chi sự nghiệp năm trước</v>
      </c>
      <c r="C83" s="69">
        <f>VLOOKUP(A83,DMTK!$B$5:$Q$263,10,0)</f>
        <v>0</v>
      </c>
      <c r="D83" s="69">
        <f>VLOOKUP(A83,DMTK!B82:$Q$263,11,0)</f>
        <v>0</v>
      </c>
      <c r="E83" s="69">
        <f>SUMIFS(CT!$H$5:$H$143,CT!$D$5:$D$143,CĐPS_CT!A83)</f>
        <v>0</v>
      </c>
      <c r="F83" s="69">
        <f>SUMIFS(CT!$H$5:$H$143,CT!$E$5:$E$143,CĐPS_CT!A83)</f>
        <v>0</v>
      </c>
      <c r="G83" s="69">
        <f t="shared" si="2"/>
        <v>0</v>
      </c>
      <c r="H83" s="69">
        <f t="shared" si="3"/>
        <v>0</v>
      </c>
    </row>
    <row r="84" spans="1:8" x14ac:dyDescent="0.25">
      <c r="A84" s="93" t="str">
        <f>DMTK!B83</f>
        <v>1612</v>
      </c>
      <c r="B84" s="65" t="str">
        <f>VLOOKUP(A84,DMTK!$B$5:$Q$263,3,0)</f>
        <v>Chi sự nghiệp năm nay</v>
      </c>
      <c r="C84" s="69">
        <f>VLOOKUP(A84,DMTK!$B$5:$Q$263,10,0)</f>
        <v>0</v>
      </c>
      <c r="D84" s="69">
        <f>VLOOKUP(A84,DMTK!B83:$Q$263,11,0)</f>
        <v>0</v>
      </c>
      <c r="E84" s="69">
        <f>SUMIFS(CT!$H$5:$H$143,CT!$D$5:$D$143,CĐPS_CT!A84)</f>
        <v>0</v>
      </c>
      <c r="F84" s="69">
        <f>SUMIFS(CT!$H$5:$H$143,CT!$E$5:$E$143,CĐPS_CT!A84)</f>
        <v>0</v>
      </c>
      <c r="G84" s="69">
        <f t="shared" si="2"/>
        <v>0</v>
      </c>
      <c r="H84" s="69">
        <f t="shared" si="3"/>
        <v>0</v>
      </c>
    </row>
    <row r="85" spans="1:8" x14ac:dyDescent="0.25">
      <c r="A85" s="93" t="str">
        <f>DMTK!B84</f>
        <v>171</v>
      </c>
      <c r="B85" s="65" t="str">
        <f>VLOOKUP(A85,DMTK!$B$5:$Q$263,3,0)</f>
        <v>Giao dịch mua bán lại trái phiếu chính phủ</v>
      </c>
      <c r="C85" s="69">
        <f>VLOOKUP(A85,DMTK!$B$5:$Q$263,10,0)</f>
        <v>0</v>
      </c>
      <c r="D85" s="69">
        <f>VLOOKUP(A85,DMTK!B84:$Q$263,11,0)</f>
        <v>0</v>
      </c>
      <c r="E85" s="69">
        <f>SUMIFS(CT!$H$5:$H$143,CT!$D$5:$D$143,CĐPS_CT!A85)</f>
        <v>0</v>
      </c>
      <c r="F85" s="69">
        <f>SUMIFS(CT!$H$5:$H$143,CT!$E$5:$E$143,CĐPS_CT!A85)</f>
        <v>0</v>
      </c>
      <c r="G85" s="69">
        <f t="shared" si="2"/>
        <v>0</v>
      </c>
      <c r="H85" s="69">
        <f t="shared" si="3"/>
        <v>0</v>
      </c>
    </row>
    <row r="86" spans="1:8" x14ac:dyDescent="0.25">
      <c r="A86" s="93" t="str">
        <f>DMTK!B85</f>
        <v>2111</v>
      </c>
      <c r="B86" s="65" t="str">
        <f>VLOOKUP(A86,DMTK!$B$5:$Q$263,3,0)</f>
        <v>Nhà cửa, vật kiến trúc</v>
      </c>
      <c r="C86" s="69">
        <f>VLOOKUP(A86,DMTK!$B$5:$Q$263,10,0)</f>
        <v>200000000</v>
      </c>
      <c r="D86" s="69">
        <f>VLOOKUP(A86,DMTK!B85:$Q$263,11,0)</f>
        <v>0</v>
      </c>
      <c r="E86" s="69">
        <f>SUMIFS(CT!$H$5:$H$143,CT!$D$5:$D$143,CĐPS_CT!A86)</f>
        <v>0</v>
      </c>
      <c r="F86" s="69">
        <f>SUMIFS(CT!$H$5:$H$143,CT!$E$5:$E$143,CĐPS_CT!A86)</f>
        <v>0</v>
      </c>
      <c r="G86" s="69">
        <f t="shared" si="2"/>
        <v>200000000</v>
      </c>
      <c r="H86" s="69">
        <f t="shared" si="3"/>
        <v>0</v>
      </c>
    </row>
    <row r="87" spans="1:8" x14ac:dyDescent="0.25">
      <c r="A87" s="93" t="str">
        <f>DMTK!B86</f>
        <v>2112.02</v>
      </c>
      <c r="B87" s="65" t="str">
        <f>VLOOKUP(A87,DMTK!$B$5:$Q$263,3,0)</f>
        <v>Máy cắt phôi HITACHI</v>
      </c>
      <c r="C87" s="69">
        <f>VLOOKUP(A87,DMTK!$B$5:$Q$263,10,0)</f>
        <v>188000000</v>
      </c>
      <c r="D87" s="69">
        <f>VLOOKUP(A87,DMTK!B86:$Q$263,11,0)</f>
        <v>0</v>
      </c>
      <c r="E87" s="69">
        <f>SUMIFS(CT!$H$5:$H$143,CT!$D$5:$D$143,CĐPS_CT!A87)</f>
        <v>0</v>
      </c>
      <c r="F87" s="69">
        <f>SUMIFS(CT!$H$5:$H$143,CT!$E$5:$E$143,CĐPS_CT!A87)</f>
        <v>0</v>
      </c>
      <c r="G87" s="69">
        <f t="shared" si="2"/>
        <v>188000000</v>
      </c>
      <c r="H87" s="69">
        <f t="shared" si="3"/>
        <v>0</v>
      </c>
    </row>
    <row r="88" spans="1:8" x14ac:dyDescent="0.25">
      <c r="A88" s="93" t="str">
        <f>DMTK!B87</f>
        <v>2112.03</v>
      </c>
      <c r="B88" s="65" t="str">
        <f>VLOOKUP(A88,DMTK!$B$5:$Q$263,3,0)</f>
        <v>Máy phun xi HITACHI</v>
      </c>
      <c r="C88" s="69">
        <f>VLOOKUP(A88,DMTK!$B$5:$Q$263,10,0)</f>
        <v>150000000</v>
      </c>
      <c r="D88" s="69">
        <f>VLOOKUP(A88,DMTK!B87:$Q$263,11,0)</f>
        <v>0</v>
      </c>
      <c r="E88" s="69">
        <f>SUMIFS(CT!$H$5:$H$143,CT!$D$5:$D$143,CĐPS_CT!A88)</f>
        <v>0</v>
      </c>
      <c r="F88" s="69">
        <f>SUMIFS(CT!$H$5:$H$143,CT!$E$5:$E$143,CĐPS_CT!A88)</f>
        <v>0</v>
      </c>
      <c r="G88" s="69">
        <f t="shared" si="2"/>
        <v>150000000</v>
      </c>
      <c r="H88" s="69">
        <f t="shared" si="3"/>
        <v>0</v>
      </c>
    </row>
    <row r="89" spans="1:8" x14ac:dyDescent="0.25">
      <c r="A89" s="93" t="str">
        <f>DMTK!B88</f>
        <v>2112.04</v>
      </c>
      <c r="B89" s="65" t="str">
        <f>VLOOKUP(A89,DMTK!$B$5:$Q$263,3,0)</f>
        <v>Máy xẻ gỗ</v>
      </c>
      <c r="C89" s="69">
        <f>VLOOKUP(A89,DMTK!$B$5:$Q$263,10,0)</f>
        <v>0</v>
      </c>
      <c r="D89" s="69">
        <f>VLOOKUP(A89,DMTK!B88:$Q$263,11,0)</f>
        <v>0</v>
      </c>
      <c r="E89" s="69">
        <f>SUMIFS(CT!$H$5:$H$143,CT!$D$5:$D$143,CĐPS_CT!A89)</f>
        <v>140000000</v>
      </c>
      <c r="F89" s="69">
        <f>SUMIFS(CT!$H$5:$H$143,CT!$E$5:$E$143,CĐPS_CT!A89)</f>
        <v>0</v>
      </c>
      <c r="G89" s="69">
        <f t="shared" si="2"/>
        <v>140000000</v>
      </c>
      <c r="H89" s="69">
        <f t="shared" si="3"/>
        <v>0</v>
      </c>
    </row>
    <row r="90" spans="1:8" x14ac:dyDescent="0.25">
      <c r="A90" s="93" t="str">
        <f>DMTK!B89</f>
        <v>2113</v>
      </c>
      <c r="B90" s="65" t="str">
        <f>VLOOKUP(A90,DMTK!$B$5:$Q$263,3,0)</f>
        <v>Phương tiện vận tải, truyền dẫn</v>
      </c>
      <c r="C90" s="69">
        <f>VLOOKUP(A90,DMTK!$B$5:$Q$263,10,0)</f>
        <v>220000000</v>
      </c>
      <c r="D90" s="69">
        <f>VLOOKUP(A90,DMTK!B89:$Q$263,11,0)</f>
        <v>0</v>
      </c>
      <c r="E90" s="69">
        <f>SUMIFS(CT!$H$5:$H$143,CT!$D$5:$D$143,CĐPS_CT!A90)</f>
        <v>0</v>
      </c>
      <c r="F90" s="69">
        <f>SUMIFS(CT!$H$5:$H$143,CT!$E$5:$E$143,CĐPS_CT!A90)</f>
        <v>0</v>
      </c>
      <c r="G90" s="69">
        <f t="shared" si="2"/>
        <v>220000000</v>
      </c>
      <c r="H90" s="69">
        <f t="shared" si="3"/>
        <v>0</v>
      </c>
    </row>
    <row r="91" spans="1:8" x14ac:dyDescent="0.25">
      <c r="A91" s="93" t="str">
        <f>DMTK!B90</f>
        <v>2114.01</v>
      </c>
      <c r="B91" s="65" t="str">
        <f>VLOOKUP(A91,DMTK!$B$5:$Q$263,3,0)</f>
        <v>Máy vi tính</v>
      </c>
      <c r="C91" s="69">
        <f>VLOOKUP(A91,DMTK!$B$5:$Q$263,10,0)</f>
        <v>50779000</v>
      </c>
      <c r="D91" s="69">
        <f>VLOOKUP(A91,DMTK!B90:$Q$263,11,0)</f>
        <v>0</v>
      </c>
      <c r="E91" s="69">
        <f>SUMIFS(CT!$H$5:$H$143,CT!$D$5:$D$143,CĐPS_CT!A91)</f>
        <v>0</v>
      </c>
      <c r="F91" s="69">
        <f>SUMIFS(CT!$H$5:$H$143,CT!$E$5:$E$143,CĐPS_CT!A91)</f>
        <v>0</v>
      </c>
      <c r="G91" s="69">
        <f t="shared" si="2"/>
        <v>50779000</v>
      </c>
      <c r="H91" s="69">
        <f t="shared" si="3"/>
        <v>0</v>
      </c>
    </row>
    <row r="92" spans="1:8" x14ac:dyDescent="0.25">
      <c r="A92" s="93" t="str">
        <f>DMTK!B91</f>
        <v>2114.02</v>
      </c>
      <c r="B92" s="65" t="str">
        <f>VLOOKUP(A92,DMTK!$B$5:$Q$263,3,0)</f>
        <v>Máy photocopy</v>
      </c>
      <c r="C92" s="69">
        <f>VLOOKUP(A92,DMTK!$B$5:$Q$263,10,0)</f>
        <v>125000000</v>
      </c>
      <c r="D92" s="69">
        <f>VLOOKUP(A92,DMTK!B91:$Q$263,11,0)</f>
        <v>0</v>
      </c>
      <c r="E92" s="69">
        <f>SUMIFS(CT!$H$5:$H$143,CT!$D$5:$D$143,CĐPS_CT!A92)</f>
        <v>0</v>
      </c>
      <c r="F92" s="69">
        <f>SUMIFS(CT!$H$5:$H$143,CT!$E$5:$E$143,CĐPS_CT!A92)</f>
        <v>0</v>
      </c>
      <c r="G92" s="69">
        <f t="shared" si="2"/>
        <v>125000000</v>
      </c>
      <c r="H92" s="69">
        <f t="shared" si="3"/>
        <v>0</v>
      </c>
    </row>
    <row r="93" spans="1:8" x14ac:dyDescent="0.25">
      <c r="A93" s="93" t="str">
        <f>DMTK!B92</f>
        <v>2118</v>
      </c>
      <c r="B93" s="65" t="str">
        <f>VLOOKUP(A93,DMTK!$B$5:$Q$263,3,0)</f>
        <v>TSCĐ khác</v>
      </c>
      <c r="C93" s="69">
        <f>VLOOKUP(A93,DMTK!$B$5:$Q$263,10,0)</f>
        <v>0</v>
      </c>
      <c r="D93" s="69">
        <f>VLOOKUP(A93,DMTK!B92:$Q$263,11,0)</f>
        <v>0</v>
      </c>
      <c r="E93" s="69">
        <f>SUMIFS(CT!$H$5:$H$143,CT!$D$5:$D$143,CĐPS_CT!A93)</f>
        <v>0</v>
      </c>
      <c r="F93" s="69">
        <f>SUMIFS(CT!$H$5:$H$143,CT!$E$5:$E$143,CĐPS_CT!A93)</f>
        <v>0</v>
      </c>
      <c r="G93" s="69">
        <f t="shared" si="2"/>
        <v>0</v>
      </c>
      <c r="H93" s="69">
        <f t="shared" si="3"/>
        <v>0</v>
      </c>
    </row>
    <row r="94" spans="1:8" x14ac:dyDescent="0.25">
      <c r="A94" s="93" t="str">
        <f>DMTK!B93</f>
        <v>2121</v>
      </c>
      <c r="B94" s="65">
        <f>VLOOKUP(A94,DMTK!$B$5:$Q$263,3,0)</f>
        <v>0</v>
      </c>
      <c r="C94" s="69">
        <f>VLOOKUP(A94,DMTK!$B$5:$Q$263,10,0)</f>
        <v>0</v>
      </c>
      <c r="D94" s="69">
        <f>VLOOKUP(A94,DMTK!B93:$Q$263,11,0)</f>
        <v>0</v>
      </c>
      <c r="E94" s="69">
        <f>SUMIFS(CT!$H$5:$H$143,CT!$D$5:$D$143,CĐPS_CT!A94)</f>
        <v>0</v>
      </c>
      <c r="F94" s="69">
        <f>SUMIFS(CT!$H$5:$H$143,CT!$E$5:$E$143,CĐPS_CT!A94)</f>
        <v>0</v>
      </c>
      <c r="G94" s="69">
        <f t="shared" si="2"/>
        <v>0</v>
      </c>
      <c r="H94" s="69">
        <f t="shared" si="3"/>
        <v>0</v>
      </c>
    </row>
    <row r="95" spans="1:8" x14ac:dyDescent="0.25">
      <c r="A95" s="93" t="str">
        <f>DMTK!B94</f>
        <v>2131</v>
      </c>
      <c r="B95" s="65">
        <f>VLOOKUP(A95,DMTK!$B$5:$Q$263,3,0)</f>
        <v>0</v>
      </c>
      <c r="C95" s="69">
        <f>VLOOKUP(A95,DMTK!$B$5:$Q$263,10,0)</f>
        <v>0</v>
      </c>
      <c r="D95" s="69">
        <f>VLOOKUP(A95,DMTK!B94:$Q$263,11,0)</f>
        <v>0</v>
      </c>
      <c r="E95" s="69">
        <f>SUMIFS(CT!$H$5:$H$143,CT!$D$5:$D$143,CĐPS_CT!A95)</f>
        <v>0</v>
      </c>
      <c r="F95" s="69">
        <f>SUMIFS(CT!$H$5:$H$143,CT!$E$5:$E$143,CĐPS_CT!A95)</f>
        <v>0</v>
      </c>
      <c r="G95" s="69">
        <f t="shared" si="2"/>
        <v>0</v>
      </c>
      <c r="H95" s="69">
        <f t="shared" si="3"/>
        <v>0</v>
      </c>
    </row>
    <row r="96" spans="1:8" x14ac:dyDescent="0.25">
      <c r="A96" s="93" t="str">
        <f>DMTK!B95</f>
        <v>2141</v>
      </c>
      <c r="B96" s="65" t="str">
        <f>VLOOKUP(A96,DMTK!$B$5:$Q$263,3,0)</f>
        <v>Hao mòn TSCĐ hữu hình</v>
      </c>
      <c r="C96" s="69">
        <f>VLOOKUP(A96,DMTK!$B$5:$Q$263,10,0)</f>
        <v>0</v>
      </c>
      <c r="D96" s="69">
        <f>VLOOKUP(A96,DMTK!B95:$Q$263,11,0)</f>
        <v>90000000</v>
      </c>
      <c r="E96" s="69">
        <f>SUMIFS(CT!$H$5:$H$143,CT!$D$5:$D$143,CĐPS_CT!A96)</f>
        <v>0</v>
      </c>
      <c r="F96" s="69">
        <f>SUMIFS(CT!$H$5:$H$143,CT!$E$5:$E$143,CĐPS_CT!A96)</f>
        <v>2124999</v>
      </c>
      <c r="G96" s="69">
        <f t="shared" si="2"/>
        <v>0</v>
      </c>
      <c r="H96" s="69">
        <f t="shared" si="3"/>
        <v>92124999</v>
      </c>
    </row>
    <row r="97" spans="1:8" x14ac:dyDescent="0.25">
      <c r="A97" s="93" t="str">
        <f>DMTK!B96</f>
        <v>2147</v>
      </c>
      <c r="B97" s="65" t="str">
        <f>VLOOKUP(A97,DMTK!$B$5:$Q$263,3,0)</f>
        <v>Hao mòn bất động sản đầu tư</v>
      </c>
      <c r="C97" s="69">
        <f>VLOOKUP(A97,DMTK!$B$5:$Q$263,10,0)</f>
        <v>0</v>
      </c>
      <c r="D97" s="69">
        <f>VLOOKUP(A97,DMTK!B96:$Q$263,11,0)</f>
        <v>0</v>
      </c>
      <c r="E97" s="69">
        <f>SUMIFS(CT!$H$5:$H$143,CT!$D$5:$D$143,CĐPS_CT!A97)</f>
        <v>0</v>
      </c>
      <c r="F97" s="69">
        <f>SUMIFS(CT!$H$5:$H$143,CT!$E$5:$E$143,CĐPS_CT!A97)</f>
        <v>0</v>
      </c>
      <c r="G97" s="69">
        <f t="shared" si="2"/>
        <v>0</v>
      </c>
      <c r="H97" s="69">
        <f t="shared" si="3"/>
        <v>0</v>
      </c>
    </row>
    <row r="98" spans="1:8" x14ac:dyDescent="0.25">
      <c r="A98" s="93" t="str">
        <f>DMTK!B97</f>
        <v>217</v>
      </c>
      <c r="B98" s="65" t="str">
        <f>VLOOKUP(A98,DMTK!$B$5:$Q$263,3,0)</f>
        <v>Bất động sản đầu tư</v>
      </c>
      <c r="C98" s="69">
        <f>VLOOKUP(A98,DMTK!$B$5:$Q$263,10,0)</f>
        <v>0</v>
      </c>
      <c r="D98" s="69">
        <f>VLOOKUP(A98,DMTK!B97:$Q$263,11,0)</f>
        <v>0</v>
      </c>
      <c r="E98" s="69">
        <f>SUMIFS(CT!$H$5:$H$143,CT!$D$5:$D$143,CĐPS_CT!A98)</f>
        <v>0</v>
      </c>
      <c r="F98" s="69">
        <f>SUMIFS(CT!$H$5:$H$143,CT!$E$5:$E$143,CĐPS_CT!A98)</f>
        <v>0</v>
      </c>
      <c r="G98" s="69">
        <f t="shared" si="2"/>
        <v>0</v>
      </c>
      <c r="H98" s="69">
        <f t="shared" si="3"/>
        <v>0</v>
      </c>
    </row>
    <row r="99" spans="1:8" x14ac:dyDescent="0.25">
      <c r="A99" s="93" t="str">
        <f>DMTK!B98</f>
        <v>221</v>
      </c>
      <c r="B99" s="65" t="str">
        <f>VLOOKUP(A99,DMTK!$B$5:$Q$263,3,0)</f>
        <v>Đầu tư vào công ty con</v>
      </c>
      <c r="C99" s="69">
        <f>VLOOKUP(A99,DMTK!$B$5:$Q$263,10,0)</f>
        <v>0</v>
      </c>
      <c r="D99" s="69">
        <f>VLOOKUP(A99,DMTK!B98:$Q$263,11,0)</f>
        <v>0</v>
      </c>
      <c r="E99" s="69">
        <f>SUMIFS(CT!$H$5:$H$143,CT!$D$5:$D$143,CĐPS_CT!A99)</f>
        <v>0</v>
      </c>
      <c r="F99" s="69">
        <f>SUMIFS(CT!$H$5:$H$143,CT!$E$5:$E$143,CĐPS_CT!A99)</f>
        <v>0</v>
      </c>
      <c r="G99" s="69">
        <f t="shared" si="2"/>
        <v>0</v>
      </c>
      <c r="H99" s="69">
        <f t="shared" si="3"/>
        <v>0</v>
      </c>
    </row>
    <row r="100" spans="1:8" x14ac:dyDescent="0.25">
      <c r="A100" s="93" t="str">
        <f>DMTK!B99</f>
        <v>222</v>
      </c>
      <c r="B100" s="65" t="str">
        <f>VLOOKUP(A100,DMTK!$B$5:$Q$263,3,0)</f>
        <v>Đầu tư vào công ty liên doanh, liên kết</v>
      </c>
      <c r="C100" s="69">
        <f>VLOOKUP(A100,DMTK!$B$5:$Q$263,10,0)</f>
        <v>26000000</v>
      </c>
      <c r="D100" s="69">
        <f>VLOOKUP(A100,DMTK!B99:$Q$263,11,0)</f>
        <v>0</v>
      </c>
      <c r="E100" s="69">
        <f>SUMIFS(CT!$H$5:$H$143,CT!$D$5:$D$143,CĐPS_CT!A100)</f>
        <v>0</v>
      </c>
      <c r="F100" s="69">
        <f>SUMIFS(CT!$H$5:$H$143,CT!$E$5:$E$143,CĐPS_CT!A100)</f>
        <v>0</v>
      </c>
      <c r="G100" s="69">
        <f t="shared" si="2"/>
        <v>26000000</v>
      </c>
      <c r="H100" s="69">
        <f t="shared" si="3"/>
        <v>0</v>
      </c>
    </row>
    <row r="101" spans="1:8" x14ac:dyDescent="0.25">
      <c r="A101" s="93" t="str">
        <f>DMTK!B100</f>
        <v>2281</v>
      </c>
      <c r="B101" s="65" t="str">
        <f>VLOOKUP(A101,DMTK!$B$5:$Q$263,3,0)</f>
        <v>Đầu tư góp vốn vào đơn vị khác</v>
      </c>
      <c r="C101" s="69">
        <f>VLOOKUP(A101,DMTK!$B$5:$Q$263,10,0)</f>
        <v>80000000</v>
      </c>
      <c r="D101" s="69">
        <f>VLOOKUP(A101,DMTK!B100:$Q$263,11,0)</f>
        <v>0</v>
      </c>
      <c r="E101" s="69">
        <f>SUMIFS(CT!$H$5:$H$143,CT!$D$5:$D$143,CĐPS_CT!A101)</f>
        <v>0</v>
      </c>
      <c r="F101" s="69">
        <f>SUMIFS(CT!$H$5:$H$143,CT!$E$5:$E$143,CĐPS_CT!A101)</f>
        <v>0</v>
      </c>
      <c r="G101" s="69">
        <f t="shared" si="2"/>
        <v>80000000</v>
      </c>
      <c r="H101" s="69">
        <f t="shared" si="3"/>
        <v>0</v>
      </c>
    </row>
    <row r="102" spans="1:8" x14ac:dyDescent="0.25">
      <c r="A102" s="93" t="str">
        <f>DMTK!B101</f>
        <v>22881</v>
      </c>
      <c r="B102" s="65" t="str">
        <f>VLOOKUP(A102,DMTK!$B$5:$Q$263,3,0)</f>
        <v>Đầu tư khác</v>
      </c>
      <c r="C102" s="69">
        <f>VLOOKUP(A102,DMTK!$B$5:$Q$263,10,0)</f>
        <v>30000000</v>
      </c>
      <c r="D102" s="69">
        <f>VLOOKUP(A102,DMTK!B101:$Q$263,11,0)</f>
        <v>0</v>
      </c>
      <c r="E102" s="69">
        <f>SUMIFS(CT!$H$5:$H$143,CT!$D$5:$D$143,CĐPS_CT!A102)</f>
        <v>0</v>
      </c>
      <c r="F102" s="69">
        <f>SUMIFS(CT!$H$5:$H$143,CT!$E$5:$E$143,CĐPS_CT!A102)</f>
        <v>0</v>
      </c>
      <c r="G102" s="69">
        <f t="shared" si="2"/>
        <v>30000000</v>
      </c>
      <c r="H102" s="69">
        <f t="shared" si="3"/>
        <v>0</v>
      </c>
    </row>
    <row r="103" spans="1:8" x14ac:dyDescent="0.25">
      <c r="A103" s="93" t="str">
        <f>DMTK!B102</f>
        <v>2291</v>
      </c>
      <c r="B103" s="65" t="str">
        <f>VLOOKUP(A103,DMTK!$B$5:$Q$263,3,0)</f>
        <v>Dự phòng giảm giá chứng khoán kinh doanh</v>
      </c>
      <c r="C103" s="69">
        <f>VLOOKUP(A103,DMTK!$B$5:$Q$263,10,0)</f>
        <v>0</v>
      </c>
      <c r="D103" s="69">
        <f>VLOOKUP(A103,DMTK!B102:$Q$263,11,0)</f>
        <v>0</v>
      </c>
      <c r="E103" s="69">
        <f>SUMIFS(CT!$H$5:$H$143,CT!$D$5:$D$143,CĐPS_CT!A103)</f>
        <v>0</v>
      </c>
      <c r="F103" s="69">
        <f>SUMIFS(CT!$H$5:$H$143,CT!$E$5:$E$143,CĐPS_CT!A103)</f>
        <v>0</v>
      </c>
      <c r="G103" s="69">
        <f t="shared" si="2"/>
        <v>0</v>
      </c>
      <c r="H103" s="69">
        <f t="shared" si="3"/>
        <v>0</v>
      </c>
    </row>
    <row r="104" spans="1:8" x14ac:dyDescent="0.25">
      <c r="A104" s="93" t="str">
        <f>DMTK!B103</f>
        <v>2292</v>
      </c>
      <c r="B104" s="65" t="str">
        <f>VLOOKUP(A104,DMTK!$B$5:$Q$263,3,0)</f>
        <v>Dự phòng tổn thất đầu tư vào đơn vị khác</v>
      </c>
      <c r="C104" s="69">
        <f>VLOOKUP(A104,DMTK!$B$5:$Q$263,10,0)</f>
        <v>0</v>
      </c>
      <c r="D104" s="69">
        <f>VLOOKUP(A104,DMTK!B103:$Q$263,11,0)</f>
        <v>0</v>
      </c>
      <c r="E104" s="69">
        <f>SUMIFS(CT!$H$5:$H$143,CT!$D$5:$D$143,CĐPS_CT!A104)</f>
        <v>0</v>
      </c>
      <c r="F104" s="69">
        <f>SUMIFS(CT!$H$5:$H$143,CT!$E$5:$E$143,CĐPS_CT!A104)</f>
        <v>0</v>
      </c>
      <c r="G104" s="69">
        <f t="shared" si="2"/>
        <v>0</v>
      </c>
      <c r="H104" s="69">
        <f t="shared" si="3"/>
        <v>0</v>
      </c>
    </row>
    <row r="105" spans="1:8" x14ac:dyDescent="0.25">
      <c r="A105" s="93" t="str">
        <f>DMTK!B104</f>
        <v>22931</v>
      </c>
      <c r="B105" s="65" t="str">
        <f>VLOOKUP(A105,DMTK!$B$5:$Q$263,3,0)</f>
        <v>Dự phòng phải thu khó đòi</v>
      </c>
      <c r="C105" s="69">
        <f>VLOOKUP(A105,DMTK!$B$5:$Q$263,10,0)</f>
        <v>0</v>
      </c>
      <c r="D105" s="69">
        <f>VLOOKUP(A105,DMTK!B104:$Q$263,11,0)</f>
        <v>30000000</v>
      </c>
      <c r="E105" s="69">
        <f>SUMIFS(CT!$H$5:$H$143,CT!$D$5:$D$143,CĐPS_CT!A105)</f>
        <v>0</v>
      </c>
      <c r="F105" s="69">
        <f>SUMIFS(CT!$H$5:$H$143,CT!$E$5:$E$143,CĐPS_CT!A105)</f>
        <v>0</v>
      </c>
      <c r="G105" s="69">
        <f t="shared" si="2"/>
        <v>0</v>
      </c>
      <c r="H105" s="69">
        <f t="shared" si="3"/>
        <v>30000000</v>
      </c>
    </row>
    <row r="106" spans="1:8" x14ac:dyDescent="0.25">
      <c r="A106" s="93" t="str">
        <f>DMTK!B105</f>
        <v>22932</v>
      </c>
      <c r="B106" s="65" t="str">
        <f>VLOOKUP(A106,DMTK!$B$5:$Q$263,3,0)</f>
        <v>Dự phòng phải thu khó đòi (dài hạn)</v>
      </c>
      <c r="C106" s="69">
        <f>VLOOKUP(A106,DMTK!$B$5:$Q$263,10,0)</f>
        <v>0</v>
      </c>
      <c r="D106" s="69">
        <f>VLOOKUP(A106,DMTK!B105:$Q$263,11,0)</f>
        <v>0</v>
      </c>
      <c r="E106" s="69">
        <f>SUMIFS(CT!$H$5:$H$143,CT!$D$5:$D$143,CĐPS_CT!A106)</f>
        <v>0</v>
      </c>
      <c r="F106" s="69">
        <f>SUMIFS(CT!$H$5:$H$143,CT!$E$5:$E$143,CĐPS_CT!A106)</f>
        <v>0</v>
      </c>
      <c r="G106" s="69">
        <f t="shared" si="2"/>
        <v>0</v>
      </c>
      <c r="H106" s="69">
        <f t="shared" si="3"/>
        <v>0</v>
      </c>
    </row>
    <row r="107" spans="1:8" x14ac:dyDescent="0.25">
      <c r="A107" s="93" t="str">
        <f>DMTK!B106</f>
        <v>2294</v>
      </c>
      <c r="B107" s="65" t="str">
        <f>VLOOKUP(A107,DMTK!$B$5:$Q$263,3,0)</f>
        <v>Dự phòng giảm giá hàng tồn kho</v>
      </c>
      <c r="C107" s="69">
        <f>VLOOKUP(A107,DMTK!$B$5:$Q$263,10,0)</f>
        <v>0</v>
      </c>
      <c r="D107" s="69">
        <f>VLOOKUP(A107,DMTK!B106:$Q$263,11,0)</f>
        <v>80000000</v>
      </c>
      <c r="E107" s="69">
        <f>SUMIFS(CT!$H$5:$H$143,CT!$D$5:$D$143,CĐPS_CT!A107)</f>
        <v>0</v>
      </c>
      <c r="F107" s="69">
        <f>SUMIFS(CT!$H$5:$H$143,CT!$E$5:$E$143,CĐPS_CT!A107)</f>
        <v>0</v>
      </c>
      <c r="G107" s="69">
        <f t="shared" si="2"/>
        <v>0</v>
      </c>
      <c r="H107" s="69">
        <f t="shared" si="3"/>
        <v>80000000</v>
      </c>
    </row>
    <row r="108" spans="1:8" x14ac:dyDescent="0.25">
      <c r="A108" s="93" t="str">
        <f>DMTK!B107</f>
        <v>2411</v>
      </c>
      <c r="B108" s="65" t="str">
        <f>VLOOKUP(A108,DMTK!$B$5:$Q$263,3,0)</f>
        <v>Mua sắm TSCĐ</v>
      </c>
      <c r="C108" s="69">
        <f>VLOOKUP(A108,DMTK!$B$5:$Q$263,10,0)</f>
        <v>250000000</v>
      </c>
      <c r="D108" s="69">
        <f>VLOOKUP(A108,DMTK!B107:$Q$263,11,0)</f>
        <v>0</v>
      </c>
      <c r="E108" s="69">
        <f>SUMIFS(CT!$H$5:$H$143,CT!$D$5:$D$143,CĐPS_CT!A108)</f>
        <v>0</v>
      </c>
      <c r="F108" s="69">
        <f>SUMIFS(CT!$H$5:$H$143,CT!$E$5:$E$143,CĐPS_CT!A108)</f>
        <v>0</v>
      </c>
      <c r="G108" s="69">
        <f t="shared" si="2"/>
        <v>250000000</v>
      </c>
      <c r="H108" s="69">
        <f t="shared" si="3"/>
        <v>0</v>
      </c>
    </row>
    <row r="109" spans="1:8" x14ac:dyDescent="0.25">
      <c r="A109" s="93" t="str">
        <f>DMTK!B108</f>
        <v>2412</v>
      </c>
      <c r="B109" s="65" t="str">
        <f>VLOOKUP(A109,DMTK!$B$5:$Q$263,3,0)</f>
        <v>Xây dựng cơ bản</v>
      </c>
      <c r="C109" s="69">
        <f>VLOOKUP(A109,DMTK!$B$5:$Q$263,10,0)</f>
        <v>213760000</v>
      </c>
      <c r="D109" s="69">
        <f>VLOOKUP(A109,DMTK!B108:$Q$263,11,0)</f>
        <v>0</v>
      </c>
      <c r="E109" s="69">
        <f>SUMIFS(CT!$H$5:$H$143,CT!$D$5:$D$143,CĐPS_CT!A109)</f>
        <v>0</v>
      </c>
      <c r="F109" s="69">
        <f>SUMIFS(CT!$H$5:$H$143,CT!$E$5:$E$143,CĐPS_CT!A109)</f>
        <v>0</v>
      </c>
      <c r="G109" s="69">
        <f t="shared" si="2"/>
        <v>213760000</v>
      </c>
      <c r="H109" s="69">
        <f t="shared" si="3"/>
        <v>0</v>
      </c>
    </row>
    <row r="110" spans="1:8" x14ac:dyDescent="0.25">
      <c r="A110" s="93" t="str">
        <f>DMTK!B109</f>
        <v>2413</v>
      </c>
      <c r="B110" s="65" t="str">
        <f>VLOOKUP(A110,DMTK!$B$5:$Q$263,3,0)</f>
        <v>Sửa chữa lớn TSCĐ</v>
      </c>
      <c r="C110" s="69">
        <f>VLOOKUP(A110,DMTK!$B$5:$Q$263,10,0)</f>
        <v>0</v>
      </c>
      <c r="D110" s="69">
        <f>VLOOKUP(A110,DMTK!B109:$Q$263,11,0)</f>
        <v>0</v>
      </c>
      <c r="E110" s="69">
        <f>SUMIFS(CT!$H$5:$H$143,CT!$D$5:$D$143,CĐPS_CT!A110)</f>
        <v>0</v>
      </c>
      <c r="F110" s="69">
        <f>SUMIFS(CT!$H$5:$H$143,CT!$E$5:$E$143,CĐPS_CT!A110)</f>
        <v>0</v>
      </c>
      <c r="G110" s="69">
        <f t="shared" si="2"/>
        <v>0</v>
      </c>
      <c r="H110" s="69">
        <f t="shared" si="3"/>
        <v>0</v>
      </c>
    </row>
    <row r="111" spans="1:8" x14ac:dyDescent="0.25">
      <c r="A111" s="93" t="str">
        <f>DMTK!B110</f>
        <v>2421.01</v>
      </c>
      <c r="B111" s="65" t="str">
        <f>VLOOKUP(A111,DMTK!$B$5:$Q$263,3,0)</f>
        <v>Máy tính Casio (không quá 12 tháng)</v>
      </c>
      <c r="C111" s="69">
        <f>VLOOKUP(A111,DMTK!$B$5:$Q$263,10,0)</f>
        <v>5000000</v>
      </c>
      <c r="D111" s="69">
        <f>VLOOKUP(A111,DMTK!B110:$Q$263,11,0)</f>
        <v>0</v>
      </c>
      <c r="E111" s="69">
        <f>SUMIFS(CT!$H$5:$H$143,CT!$D$5:$D$143,CĐPS_CT!A111)</f>
        <v>2500000</v>
      </c>
      <c r="F111" s="69">
        <f>SUMIFS(CT!$H$5:$H$143,CT!$E$5:$E$143,CĐPS_CT!A111)</f>
        <v>500000</v>
      </c>
      <c r="G111" s="69">
        <f t="shared" si="2"/>
        <v>7000000</v>
      </c>
      <c r="H111" s="69">
        <f t="shared" si="3"/>
        <v>0</v>
      </c>
    </row>
    <row r="112" spans="1:8" x14ac:dyDescent="0.25">
      <c r="A112" s="93" t="str">
        <f>DMTK!B111</f>
        <v>2421.02</v>
      </c>
      <c r="B112" s="65" t="str">
        <f>VLOOKUP(A112,DMTK!$B$5:$Q$263,3,0)</f>
        <v>Kệ tủ (không quá 12 tháng)</v>
      </c>
      <c r="C112" s="69">
        <f>VLOOKUP(A112,DMTK!$B$5:$Q$263,10,0)</f>
        <v>8000000</v>
      </c>
      <c r="D112" s="69">
        <f>VLOOKUP(A112,DMTK!B111:$Q$263,11,0)</f>
        <v>0</v>
      </c>
      <c r="E112" s="69">
        <f>SUMIFS(CT!$H$5:$H$143,CT!$D$5:$D$143,CĐPS_CT!A112)</f>
        <v>1000000</v>
      </c>
      <c r="F112" s="69">
        <f>SUMIFS(CT!$H$5:$H$143,CT!$E$5:$E$143,CĐPS_CT!A112)</f>
        <v>250000</v>
      </c>
      <c r="G112" s="69">
        <f t="shared" si="2"/>
        <v>8750000</v>
      </c>
      <c r="H112" s="69">
        <f t="shared" si="3"/>
        <v>0</v>
      </c>
    </row>
    <row r="113" spans="1:8" x14ac:dyDescent="0.25">
      <c r="A113" s="93" t="str">
        <f>DMTK!B112</f>
        <v>2422.01</v>
      </c>
      <c r="B113" s="65" t="str">
        <f>VLOOKUP(A113,DMTK!$B$5:$Q$263,3,0)</f>
        <v>Máy tính Casio (trên 12 tháng)</v>
      </c>
      <c r="C113" s="69">
        <f>VLOOKUP(A113,DMTK!$B$5:$Q$263,10,0)</f>
        <v>0</v>
      </c>
      <c r="D113" s="69">
        <f>VLOOKUP(A113,DMTK!B112:$Q$263,11,0)</f>
        <v>0</v>
      </c>
      <c r="E113" s="69">
        <f>SUMIFS(CT!$H$5:$H$143,CT!$D$5:$D$143,CĐPS_CT!A113)</f>
        <v>0</v>
      </c>
      <c r="F113" s="69">
        <f>SUMIFS(CT!$H$5:$H$143,CT!$E$5:$E$143,CĐPS_CT!A113)</f>
        <v>0</v>
      </c>
      <c r="G113" s="69">
        <f t="shared" si="2"/>
        <v>0</v>
      </c>
      <c r="H113" s="69">
        <f t="shared" si="3"/>
        <v>0</v>
      </c>
    </row>
    <row r="114" spans="1:8" x14ac:dyDescent="0.25">
      <c r="A114" s="93" t="str">
        <f>DMTK!B113</f>
        <v>2422.02</v>
      </c>
      <c r="B114" s="65" t="str">
        <f>VLOOKUP(A114,DMTK!$B$5:$Q$263,3,0)</f>
        <v>Kệ tủ (trên 12 tháng)</v>
      </c>
      <c r="C114" s="69">
        <f>VLOOKUP(A114,DMTK!$B$5:$Q$263,10,0)</f>
        <v>0</v>
      </c>
      <c r="D114" s="69">
        <f>VLOOKUP(A114,DMTK!B113:$Q$263,11,0)</f>
        <v>0</v>
      </c>
      <c r="E114" s="69">
        <f>SUMIFS(CT!$H$5:$H$143,CT!$D$5:$D$143,CĐPS_CT!A114)</f>
        <v>0</v>
      </c>
      <c r="F114" s="69">
        <f>SUMIFS(CT!$H$5:$H$143,CT!$E$5:$E$143,CĐPS_CT!A114)</f>
        <v>0</v>
      </c>
      <c r="G114" s="69">
        <f t="shared" si="2"/>
        <v>0</v>
      </c>
      <c r="H114" s="69">
        <f t="shared" si="3"/>
        <v>0</v>
      </c>
    </row>
    <row r="115" spans="1:8" x14ac:dyDescent="0.25">
      <c r="A115" s="93" t="str">
        <f>DMTK!B114</f>
        <v>2422.03</v>
      </c>
      <c r="B115" s="65" t="str">
        <f>VLOOKUP(A115,DMTK!$B$5:$Q$263,3,0)</f>
        <v>Chi phí sửa chữa lớn TSCĐ</v>
      </c>
      <c r="C115" s="69">
        <f>VLOOKUP(A115,DMTK!$B$5:$Q$263,10,0)</f>
        <v>0</v>
      </c>
      <c r="D115" s="69">
        <f>VLOOKUP(A115,DMTK!B114:$Q$263,11,0)</f>
        <v>0</v>
      </c>
      <c r="E115" s="69">
        <f>SUMIFS(CT!$H$5:$H$143,CT!$D$5:$D$143,CĐPS_CT!A115)</f>
        <v>0</v>
      </c>
      <c r="F115" s="69">
        <f>SUMIFS(CT!$H$5:$H$143,CT!$E$5:$E$143,CĐPS_CT!A115)</f>
        <v>0</v>
      </c>
      <c r="G115" s="69">
        <f t="shared" si="2"/>
        <v>0</v>
      </c>
      <c r="H115" s="69">
        <f t="shared" si="3"/>
        <v>0</v>
      </c>
    </row>
    <row r="116" spans="1:8" x14ac:dyDescent="0.25">
      <c r="A116" s="93" t="str">
        <f>DMTK!B115</f>
        <v>243</v>
      </c>
      <c r="B116" s="65" t="str">
        <f>VLOOKUP(A116,DMTK!$B$5:$Q$263,3,0)</f>
        <v>Tài sản thuế thu nhập hoãn lại</v>
      </c>
      <c r="C116" s="69">
        <f>VLOOKUP(A116,DMTK!$B$5:$Q$263,10,0)</f>
        <v>0</v>
      </c>
      <c r="D116" s="69">
        <f>VLOOKUP(A116,DMTK!B115:$Q$263,11,0)</f>
        <v>0</v>
      </c>
      <c r="E116" s="69">
        <f>SUMIFS(CT!$H$5:$H$143,CT!$D$5:$D$143,CĐPS_CT!A116)</f>
        <v>0</v>
      </c>
      <c r="F116" s="69">
        <f>SUMIFS(CT!$H$5:$H$143,CT!$E$5:$E$143,CĐPS_CT!A116)</f>
        <v>0</v>
      </c>
      <c r="G116" s="69">
        <f t="shared" si="2"/>
        <v>0</v>
      </c>
      <c r="H116" s="69">
        <f t="shared" si="3"/>
        <v>0</v>
      </c>
    </row>
    <row r="117" spans="1:8" x14ac:dyDescent="0.25">
      <c r="A117" s="93" t="str">
        <f>DMTK!B116</f>
        <v>2441</v>
      </c>
      <c r="B117" s="65" t="str">
        <f>VLOOKUP(A117,DMTK!$B$5:$Q$263,3,0)</f>
        <v>Cầm cố, thế chấp, ký quỹ, ký cược (không quá 12 tháng)</v>
      </c>
      <c r="C117" s="69">
        <f>VLOOKUP(A117,DMTK!$B$5:$Q$263,10,0)</f>
        <v>130000000</v>
      </c>
      <c r="D117" s="69">
        <f>VLOOKUP(A117,DMTK!B116:$Q$263,11,0)</f>
        <v>0</v>
      </c>
      <c r="E117" s="69">
        <f>SUMIFS(CT!$H$5:$H$143,CT!$D$5:$D$143,CĐPS_CT!A117)</f>
        <v>0</v>
      </c>
      <c r="F117" s="69">
        <f>SUMIFS(CT!$H$5:$H$143,CT!$E$5:$E$143,CĐPS_CT!A117)</f>
        <v>0</v>
      </c>
      <c r="G117" s="69">
        <f t="shared" si="2"/>
        <v>130000000</v>
      </c>
      <c r="H117" s="69">
        <f t="shared" si="3"/>
        <v>0</v>
      </c>
    </row>
    <row r="118" spans="1:8" x14ac:dyDescent="0.25">
      <c r="A118" s="93" t="str">
        <f>DMTK!B117</f>
        <v>2442</v>
      </c>
      <c r="B118" s="65" t="str">
        <f>VLOOKUP(A118,DMTK!$B$5:$Q$263,3,0)</f>
        <v>Cầm cố, thế chấp, ký quỹ, ký cược (trên 12 tháng)</v>
      </c>
      <c r="C118" s="69">
        <f>VLOOKUP(A118,DMTK!$B$5:$Q$263,10,0)</f>
        <v>0</v>
      </c>
      <c r="D118" s="69">
        <f>VLOOKUP(A118,DMTK!B117:$Q$263,11,0)</f>
        <v>0</v>
      </c>
      <c r="E118" s="69">
        <f>SUMIFS(CT!$H$5:$H$143,CT!$D$5:$D$143,CĐPS_CT!A118)</f>
        <v>0</v>
      </c>
      <c r="F118" s="69">
        <f>SUMIFS(CT!$H$5:$H$143,CT!$E$5:$E$143,CĐPS_CT!A118)</f>
        <v>0</v>
      </c>
      <c r="G118" s="69">
        <f t="shared" si="2"/>
        <v>0</v>
      </c>
      <c r="H118" s="69">
        <f t="shared" si="3"/>
        <v>0</v>
      </c>
    </row>
    <row r="119" spans="1:8" x14ac:dyDescent="0.25">
      <c r="A119" s="93" t="str">
        <f>DMTK!B118</f>
        <v>3311.01</v>
      </c>
      <c r="B119" s="65" t="str">
        <f>VLOOKUP(A119,DMTK!$B$5:$Q$263,3,0)</f>
        <v>Cty CP Mai Lan</v>
      </c>
      <c r="C119" s="69">
        <f>VLOOKUP(A119,DMTK!$B$5:$Q$263,10,0)</f>
        <v>0</v>
      </c>
      <c r="D119" s="69">
        <f>VLOOKUP(A119,DMTK!B118:$Q$263,11,0)</f>
        <v>139000000</v>
      </c>
      <c r="E119" s="69">
        <f>SUMIFS(CT!$H$5:$H$143,CT!$D$5:$D$143,CĐPS_CT!A119)</f>
        <v>40000000</v>
      </c>
      <c r="F119" s="69">
        <f>SUMIFS(CT!$H$5:$H$143,CT!$E$5:$E$143,CĐPS_CT!A119)</f>
        <v>4755000</v>
      </c>
      <c r="G119" s="69">
        <f t="shared" si="2"/>
        <v>0</v>
      </c>
      <c r="H119" s="69">
        <f t="shared" si="3"/>
        <v>103755000</v>
      </c>
    </row>
    <row r="120" spans="1:8" x14ac:dyDescent="0.25">
      <c r="A120" s="93" t="str">
        <f>DMTK!B119</f>
        <v>3311.02</v>
      </c>
      <c r="B120" s="65" t="str">
        <f>VLOOKUP(A120,DMTK!$B$5:$Q$263,3,0)</f>
        <v>Cty TNHH Cường Phát</v>
      </c>
      <c r="C120" s="69">
        <f>VLOOKUP(A120,DMTK!$B$5:$Q$263,10,0)</f>
        <v>0</v>
      </c>
      <c r="D120" s="69">
        <f>VLOOKUP(A120,DMTK!B119:$Q$263,11,0)</f>
        <v>73000000</v>
      </c>
      <c r="E120" s="69">
        <f>SUMIFS(CT!$H$5:$H$143,CT!$D$5:$D$143,CĐPS_CT!A120)</f>
        <v>0</v>
      </c>
      <c r="F120" s="69">
        <f>SUMIFS(CT!$H$5:$H$143,CT!$E$5:$E$143,CĐPS_CT!A120)</f>
        <v>23500000</v>
      </c>
      <c r="G120" s="69">
        <f t="shared" si="2"/>
        <v>0</v>
      </c>
      <c r="H120" s="69">
        <f t="shared" si="3"/>
        <v>96500000</v>
      </c>
    </row>
    <row r="121" spans="1:8" x14ac:dyDescent="0.25">
      <c r="A121" s="93" t="str">
        <f>DMTK!B120</f>
        <v>3311.03</v>
      </c>
      <c r="B121" s="65" t="str">
        <f>VLOOKUP(A121,DMTK!$B$5:$Q$263,3,0)</f>
        <v>Cty TNHH Minh Gia Phát</v>
      </c>
      <c r="C121" s="69">
        <f>VLOOKUP(A121,DMTK!$B$5:$Q$263,10,0)</f>
        <v>0</v>
      </c>
      <c r="D121" s="69">
        <f>VLOOKUP(A121,DMTK!B120:$Q$263,11,0)</f>
        <v>0</v>
      </c>
      <c r="E121" s="69">
        <f>SUMIFS(CT!$H$5:$H$143,CT!$D$5:$D$143,CĐPS_CT!A121)</f>
        <v>50000000</v>
      </c>
      <c r="F121" s="69">
        <f>SUMIFS(CT!$H$5:$H$143,CT!$E$5:$E$143,CĐPS_CT!A121)</f>
        <v>5500000</v>
      </c>
      <c r="G121" s="69">
        <f t="shared" si="2"/>
        <v>44500000</v>
      </c>
      <c r="H121" s="69">
        <f t="shared" si="3"/>
        <v>0</v>
      </c>
    </row>
    <row r="122" spans="1:8" x14ac:dyDescent="0.25">
      <c r="A122" s="93" t="str">
        <f>DMTK!B121</f>
        <v>33311</v>
      </c>
      <c r="B122" s="65" t="str">
        <f>VLOOKUP(A122,DMTK!$B$5:$Q$263,3,0)</f>
        <v>Thuế GTGT đầu ra</v>
      </c>
      <c r="C122" s="69">
        <f>VLOOKUP(A122,DMTK!$B$5:$Q$263,10,0)</f>
        <v>0</v>
      </c>
      <c r="D122" s="69">
        <f>VLOOKUP(A122,DMTK!B121:$Q$263,11,0)</f>
        <v>14200000</v>
      </c>
      <c r="E122" s="69">
        <f>SUMIFS(CT!$H$5:$H$143,CT!$D$5:$D$143,CĐPS_CT!A122)</f>
        <v>0</v>
      </c>
      <c r="F122" s="69">
        <f>SUMIFS(CT!$H$5:$H$143,CT!$E$5:$E$143,CĐPS_CT!A122)</f>
        <v>3157500</v>
      </c>
      <c r="G122" s="69">
        <f t="shared" si="2"/>
        <v>0</v>
      </c>
      <c r="H122" s="69">
        <f t="shared" si="3"/>
        <v>17357500</v>
      </c>
    </row>
    <row r="123" spans="1:8" x14ac:dyDescent="0.25">
      <c r="A123" s="93" t="str">
        <f>DMTK!B122</f>
        <v>33312</v>
      </c>
      <c r="B123" s="65" t="str">
        <f>VLOOKUP(A123,DMTK!$B$5:$Q$263,3,0)</f>
        <v>Thuế GTGT hàng nhập khẩu</v>
      </c>
      <c r="C123" s="69">
        <f>VLOOKUP(A123,DMTK!$B$5:$Q$263,10,0)</f>
        <v>0</v>
      </c>
      <c r="D123" s="69">
        <f>VLOOKUP(A123,DMTK!B122:$Q$263,11,0)</f>
        <v>8000000</v>
      </c>
      <c r="E123" s="69">
        <f>SUMIFS(CT!$H$5:$H$143,CT!$D$5:$D$143,CĐPS_CT!A123)</f>
        <v>0</v>
      </c>
      <c r="F123" s="69">
        <f>SUMIFS(CT!$H$5:$H$143,CT!$E$5:$E$143,CĐPS_CT!A123)</f>
        <v>0</v>
      </c>
      <c r="G123" s="69">
        <f t="shared" si="2"/>
        <v>0</v>
      </c>
      <c r="H123" s="69">
        <f t="shared" si="3"/>
        <v>8000000</v>
      </c>
    </row>
    <row r="124" spans="1:8" x14ac:dyDescent="0.25">
      <c r="A124" s="93" t="str">
        <f>DMTK!B123</f>
        <v>3332</v>
      </c>
      <c r="B124" s="65" t="str">
        <f>VLOOKUP(A124,DMTK!$B$5:$Q$263,3,0)</f>
        <v>Thuế tiêu thụ đặc biệt</v>
      </c>
      <c r="C124" s="69">
        <f>VLOOKUP(A124,DMTK!$B$5:$Q$263,10,0)</f>
        <v>0</v>
      </c>
      <c r="D124" s="69">
        <f>VLOOKUP(A124,DMTK!B123:$Q$263,11,0)</f>
        <v>0</v>
      </c>
      <c r="E124" s="69">
        <f>SUMIFS(CT!$H$5:$H$143,CT!$D$5:$D$143,CĐPS_CT!A124)</f>
        <v>0</v>
      </c>
      <c r="F124" s="69">
        <f>SUMIFS(CT!$H$5:$H$143,CT!$E$5:$E$143,CĐPS_CT!A124)</f>
        <v>0</v>
      </c>
      <c r="G124" s="69">
        <f t="shared" si="2"/>
        <v>0</v>
      </c>
      <c r="H124" s="69">
        <f t="shared" si="3"/>
        <v>0</v>
      </c>
    </row>
    <row r="125" spans="1:8" x14ac:dyDescent="0.25">
      <c r="A125" s="93" t="str">
        <f>DMTK!B124</f>
        <v>3333</v>
      </c>
      <c r="B125" s="65" t="str">
        <f>VLOOKUP(A125,DMTK!$B$5:$Q$263,3,0)</f>
        <v>Thuế xuất, nhập khẩu</v>
      </c>
      <c r="C125" s="69">
        <f>VLOOKUP(A125,DMTK!$B$5:$Q$263,10,0)</f>
        <v>0</v>
      </c>
      <c r="D125" s="69">
        <f>VLOOKUP(A125,DMTK!B124:$Q$263,11,0)</f>
        <v>0</v>
      </c>
      <c r="E125" s="69">
        <f>SUMIFS(CT!$H$5:$H$143,CT!$D$5:$D$143,CĐPS_CT!A125)</f>
        <v>0</v>
      </c>
      <c r="F125" s="69">
        <f>SUMIFS(CT!$H$5:$H$143,CT!$E$5:$E$143,CĐPS_CT!A125)</f>
        <v>0</v>
      </c>
      <c r="G125" s="69">
        <f t="shared" si="2"/>
        <v>0</v>
      </c>
      <c r="H125" s="69">
        <f t="shared" si="3"/>
        <v>0</v>
      </c>
    </row>
    <row r="126" spans="1:8" x14ac:dyDescent="0.25">
      <c r="A126" s="93" t="str">
        <f>DMTK!B125</f>
        <v>3334</v>
      </c>
      <c r="B126" s="65" t="str">
        <f>VLOOKUP(A126,DMTK!$B$5:$Q$263,3,0)</f>
        <v>Thuế thu nhập doanh nghiệp</v>
      </c>
      <c r="C126" s="69">
        <f>VLOOKUP(A126,DMTK!$B$5:$Q$263,10,0)</f>
        <v>0</v>
      </c>
      <c r="D126" s="69">
        <f>VLOOKUP(A126,DMTK!B125:$Q$263,11,0)</f>
        <v>12000000</v>
      </c>
      <c r="E126" s="69">
        <f>SUMIFS(CT!$H$5:$H$143,CT!$D$5:$D$143,CĐPS_CT!A126)</f>
        <v>0</v>
      </c>
      <c r="F126" s="69">
        <f>SUMIFS(CT!$H$5:$H$143,CT!$E$5:$E$143,CĐPS_CT!A126)</f>
        <v>0</v>
      </c>
      <c r="G126" s="69">
        <f t="shared" si="2"/>
        <v>0</v>
      </c>
      <c r="H126" s="69">
        <f t="shared" si="3"/>
        <v>12000000</v>
      </c>
    </row>
    <row r="127" spans="1:8" x14ac:dyDescent="0.25">
      <c r="A127" s="93" t="str">
        <f>DMTK!B126</f>
        <v>3335</v>
      </c>
      <c r="B127" s="65" t="str">
        <f>VLOOKUP(A127,DMTK!$B$5:$Q$263,3,0)</f>
        <v>Thuế thu nhập cá nhân</v>
      </c>
      <c r="C127" s="69">
        <f>VLOOKUP(A127,DMTK!$B$5:$Q$263,10,0)</f>
        <v>0</v>
      </c>
      <c r="D127" s="69">
        <f>VLOOKUP(A127,DMTK!B126:$Q$263,11,0)</f>
        <v>0</v>
      </c>
      <c r="E127" s="69">
        <f>SUMIFS(CT!$H$5:$H$143,CT!$D$5:$D$143,CĐPS_CT!A127)</f>
        <v>0</v>
      </c>
      <c r="F127" s="69">
        <f>SUMIFS(CT!$H$5:$H$143,CT!$E$5:$E$143,CĐPS_CT!A127)</f>
        <v>0</v>
      </c>
      <c r="G127" s="69">
        <f t="shared" si="2"/>
        <v>0</v>
      </c>
      <c r="H127" s="69">
        <f t="shared" si="3"/>
        <v>0</v>
      </c>
    </row>
    <row r="128" spans="1:8" x14ac:dyDescent="0.25">
      <c r="A128" s="93" t="str">
        <f>DMTK!B127</f>
        <v>3336</v>
      </c>
      <c r="B128" s="65" t="str">
        <f>VLOOKUP(A128,DMTK!$B$5:$Q$263,3,0)</f>
        <v>Thuế tài nguyên</v>
      </c>
      <c r="C128" s="69">
        <f>VLOOKUP(A128,DMTK!$B$5:$Q$263,10,0)</f>
        <v>0</v>
      </c>
      <c r="D128" s="69">
        <f>VLOOKUP(A128,DMTK!B127:$Q$263,11,0)</f>
        <v>0</v>
      </c>
      <c r="E128" s="69">
        <f>SUMIFS(CT!$H$5:$H$143,CT!$D$5:$D$143,CĐPS_CT!A128)</f>
        <v>0</v>
      </c>
      <c r="F128" s="69">
        <f>SUMIFS(CT!$H$5:$H$143,CT!$E$5:$E$143,CĐPS_CT!A128)</f>
        <v>0</v>
      </c>
      <c r="G128" s="69">
        <f t="shared" si="2"/>
        <v>0</v>
      </c>
      <c r="H128" s="69">
        <f t="shared" si="3"/>
        <v>0</v>
      </c>
    </row>
    <row r="129" spans="1:8" x14ac:dyDescent="0.25">
      <c r="A129" s="93" t="str">
        <f>DMTK!B128</f>
        <v>3337</v>
      </c>
      <c r="B129" s="65" t="str">
        <f>VLOOKUP(A129,DMTK!$B$5:$Q$263,3,0)</f>
        <v>Thuế nhà đất, tiền thuê đất</v>
      </c>
      <c r="C129" s="69">
        <f>VLOOKUP(A129,DMTK!$B$5:$Q$263,10,0)</f>
        <v>0</v>
      </c>
      <c r="D129" s="69">
        <f>VLOOKUP(A129,DMTK!B128:$Q$263,11,0)</f>
        <v>0</v>
      </c>
      <c r="E129" s="69">
        <f>SUMIFS(CT!$H$5:$H$143,CT!$D$5:$D$143,CĐPS_CT!A129)</f>
        <v>0</v>
      </c>
      <c r="F129" s="69">
        <f>SUMIFS(CT!$H$5:$H$143,CT!$E$5:$E$143,CĐPS_CT!A129)</f>
        <v>0</v>
      </c>
      <c r="G129" s="69">
        <f t="shared" si="2"/>
        <v>0</v>
      </c>
      <c r="H129" s="69">
        <f t="shared" si="3"/>
        <v>0</v>
      </c>
    </row>
    <row r="130" spans="1:8" x14ac:dyDescent="0.25">
      <c r="A130" s="93" t="str">
        <f>DMTK!B129</f>
        <v>3338</v>
      </c>
      <c r="B130" s="65" t="str">
        <f>VLOOKUP(A130,DMTK!$B$5:$Q$263,3,0)</f>
        <v>Thuế bảo vệ môi trường và các loại thuế khác</v>
      </c>
      <c r="C130" s="69">
        <f>VLOOKUP(A130,DMTK!$B$5:$Q$263,10,0)</f>
        <v>0</v>
      </c>
      <c r="D130" s="69">
        <f>VLOOKUP(A130,DMTK!B129:$Q$263,11,0)</f>
        <v>0</v>
      </c>
      <c r="E130" s="69">
        <f>SUMIFS(CT!$H$5:$H$143,CT!$D$5:$D$143,CĐPS_CT!A130)</f>
        <v>0</v>
      </c>
      <c r="F130" s="69">
        <f>SUMIFS(CT!$H$5:$H$143,CT!$E$5:$E$143,CĐPS_CT!A130)</f>
        <v>0</v>
      </c>
      <c r="G130" s="69">
        <f t="shared" si="2"/>
        <v>0</v>
      </c>
      <c r="H130" s="69">
        <f t="shared" si="3"/>
        <v>0</v>
      </c>
    </row>
    <row r="131" spans="1:8" x14ac:dyDescent="0.25">
      <c r="A131" s="93" t="str">
        <f>DMTK!B130</f>
        <v>3339</v>
      </c>
      <c r="B131" s="65" t="str">
        <f>VLOOKUP(A131,DMTK!$B$5:$Q$263,3,0)</f>
        <v>Phí, lệ phí và các khoản phải nộp khác</v>
      </c>
      <c r="C131" s="69">
        <f>VLOOKUP(A131,DMTK!$B$5:$Q$263,10,0)</f>
        <v>0</v>
      </c>
      <c r="D131" s="69">
        <f>VLOOKUP(A131,DMTK!B130:$Q$263,11,0)</f>
        <v>0</v>
      </c>
      <c r="E131" s="69">
        <f>SUMIFS(CT!$H$5:$H$143,CT!$D$5:$D$143,CĐPS_CT!A131)</f>
        <v>0</v>
      </c>
      <c r="F131" s="69">
        <f>SUMIFS(CT!$H$5:$H$143,CT!$E$5:$E$143,CĐPS_CT!A131)</f>
        <v>0</v>
      </c>
      <c r="G131" s="69">
        <f t="shared" si="2"/>
        <v>0</v>
      </c>
      <c r="H131" s="69">
        <f t="shared" si="3"/>
        <v>0</v>
      </c>
    </row>
    <row r="132" spans="1:8" x14ac:dyDescent="0.25">
      <c r="A132" s="93" t="str">
        <f>DMTK!B131</f>
        <v>3341.01</v>
      </c>
      <c r="B132" s="65" t="str">
        <f>VLOOKUP(A132,DMTK!$B$5:$Q$263,3,0)</f>
        <v>Lương CNSX Ghế tay vịn</v>
      </c>
      <c r="C132" s="69">
        <f>VLOOKUP(A132,DMTK!$B$5:$Q$263,10,0)</f>
        <v>0</v>
      </c>
      <c r="D132" s="69">
        <f>VLOOKUP(A132,DMTK!B131:$Q$263,11,0)</f>
        <v>12000000</v>
      </c>
      <c r="E132" s="69">
        <f>SUMIFS(CT!$H$5:$H$143,CT!$D$5:$D$143,CĐPS_CT!A132)</f>
        <v>40000000</v>
      </c>
      <c r="F132" s="69">
        <f>SUMIFS(CT!$H$5:$H$143,CT!$E$5:$E$143,CĐPS_CT!A132)</f>
        <v>40000000</v>
      </c>
      <c r="G132" s="69">
        <f t="shared" si="2"/>
        <v>0</v>
      </c>
      <c r="H132" s="69">
        <f t="shared" si="3"/>
        <v>12000000</v>
      </c>
    </row>
    <row r="133" spans="1:8" x14ac:dyDescent="0.25">
      <c r="A133" s="93" t="str">
        <f>DMTK!B132</f>
        <v>3341.02</v>
      </c>
      <c r="B133" s="65" t="str">
        <f>VLOOKUP(A133,DMTK!$B$5:$Q$263,3,0)</f>
        <v>Lương CNSX Ghế không tay</v>
      </c>
      <c r="C133" s="69">
        <f>VLOOKUP(A133,DMTK!$B$5:$Q$263,10,0)</f>
        <v>0</v>
      </c>
      <c r="D133" s="69">
        <f>VLOOKUP(A133,DMTK!B132:$Q$263,11,0)</f>
        <v>8000000</v>
      </c>
      <c r="E133" s="69">
        <f>SUMIFS(CT!$H$5:$H$143,CT!$D$5:$D$143,CĐPS_CT!A133)</f>
        <v>40000000</v>
      </c>
      <c r="F133" s="69">
        <f>SUMIFS(CT!$H$5:$H$143,CT!$E$5:$E$143,CĐPS_CT!A133)</f>
        <v>40000000</v>
      </c>
      <c r="G133" s="69">
        <f t="shared" si="2"/>
        <v>0</v>
      </c>
      <c r="H133" s="69">
        <f t="shared" si="3"/>
        <v>8000000</v>
      </c>
    </row>
    <row r="134" spans="1:8" x14ac:dyDescent="0.25">
      <c r="A134" s="93" t="str">
        <f>DMTK!B133</f>
        <v>3341.03</v>
      </c>
      <c r="B134" s="65" t="str">
        <f>VLOOKUP(A134,DMTK!$B$5:$Q$263,3,0)</f>
        <v>Lương CNSX Bàn tròn</v>
      </c>
      <c r="C134" s="69">
        <f>VLOOKUP(A134,DMTK!$B$5:$Q$263,10,0)</f>
        <v>0</v>
      </c>
      <c r="D134" s="69">
        <f>VLOOKUP(A134,DMTK!B133:$Q$263,11,0)</f>
        <v>10000000</v>
      </c>
      <c r="E134" s="69">
        <f>SUMIFS(CT!$H$5:$H$143,CT!$D$5:$D$143,CĐPS_CT!A134)</f>
        <v>40000000</v>
      </c>
      <c r="F134" s="69">
        <f>SUMIFS(CT!$H$5:$H$143,CT!$E$5:$E$143,CĐPS_CT!A134)</f>
        <v>40000000</v>
      </c>
      <c r="G134" s="69">
        <f t="shared" si="2"/>
        <v>0</v>
      </c>
      <c r="H134" s="69">
        <f t="shared" si="3"/>
        <v>10000000</v>
      </c>
    </row>
    <row r="135" spans="1:8" x14ac:dyDescent="0.25">
      <c r="A135" s="93" t="str">
        <f>DMTK!B134</f>
        <v>3341.04</v>
      </c>
      <c r="B135" s="65" t="str">
        <f>VLOOKUP(A135,DMTK!$B$5:$Q$263,3,0)</f>
        <v>Lương CNSX Bàn oval</v>
      </c>
      <c r="C135" s="69">
        <f>VLOOKUP(A135,DMTK!$B$5:$Q$263,10,0)</f>
        <v>0</v>
      </c>
      <c r="D135" s="69">
        <f>VLOOKUP(A135,DMTK!B134:$Q$263,11,0)</f>
        <v>12000000</v>
      </c>
      <c r="E135" s="69">
        <f>SUMIFS(CT!$H$5:$H$143,CT!$D$5:$D$143,CĐPS_CT!A135)</f>
        <v>40000000</v>
      </c>
      <c r="F135" s="69">
        <f>SUMIFS(CT!$H$5:$H$143,CT!$E$5:$E$143,CĐPS_CT!A135)</f>
        <v>40000000</v>
      </c>
      <c r="G135" s="69">
        <f t="shared" ref="G135:G198" si="4">MAX(C135+E135-D135-F135,0)</f>
        <v>0</v>
      </c>
      <c r="H135" s="69">
        <f t="shared" ref="H135:H198" si="5">MAX(D135+F135-C135-E135,0)</f>
        <v>12000000</v>
      </c>
    </row>
    <row r="136" spans="1:8" x14ac:dyDescent="0.25">
      <c r="A136" s="93" t="str">
        <f>DMTK!B135</f>
        <v>3341.05</v>
      </c>
      <c r="B136" s="65" t="str">
        <f>VLOOKUP(A136,DMTK!$B$5:$Q$263,3,0)</f>
        <v>Lương CNSX Bàn chữ nhật</v>
      </c>
      <c r="C136" s="69">
        <f>VLOOKUP(A136,DMTK!$B$5:$Q$263,10,0)</f>
        <v>0</v>
      </c>
      <c r="D136" s="69">
        <f>VLOOKUP(A136,DMTK!B135:$Q$263,11,0)</f>
        <v>10000000</v>
      </c>
      <c r="E136" s="69">
        <f>SUMIFS(CT!$H$5:$H$143,CT!$D$5:$D$143,CĐPS_CT!A136)</f>
        <v>40000000</v>
      </c>
      <c r="F136" s="69">
        <f>SUMIFS(CT!$H$5:$H$143,CT!$E$5:$E$143,CĐPS_CT!A136)</f>
        <v>40000000</v>
      </c>
      <c r="G136" s="69">
        <f t="shared" si="4"/>
        <v>0</v>
      </c>
      <c r="H136" s="69">
        <f t="shared" si="5"/>
        <v>10000000</v>
      </c>
    </row>
    <row r="137" spans="1:8" x14ac:dyDescent="0.25">
      <c r="A137" s="93" t="str">
        <f>DMTK!B136</f>
        <v>3348.01</v>
      </c>
      <c r="B137" s="65" t="str">
        <f>VLOOKUP(A137,DMTK!$B$5:$Q$263,3,0)</f>
        <v>Lương NV QLPX</v>
      </c>
      <c r="C137" s="69">
        <f>VLOOKUP(A137,DMTK!$B$5:$Q$263,10,0)</f>
        <v>0</v>
      </c>
      <c r="D137" s="69">
        <f>VLOOKUP(A137,DMTK!B136:$Q$263,11,0)</f>
        <v>53000000</v>
      </c>
      <c r="E137" s="69">
        <f>SUMIFS(CT!$H$5:$H$143,CT!$D$5:$D$143,CĐPS_CT!A137)</f>
        <v>35000000</v>
      </c>
      <c r="F137" s="69">
        <f>SUMIFS(CT!$H$5:$H$143,CT!$E$5:$E$143,CĐPS_CT!A137)</f>
        <v>35000000</v>
      </c>
      <c r="G137" s="69">
        <f t="shared" si="4"/>
        <v>0</v>
      </c>
      <c r="H137" s="69">
        <f t="shared" si="5"/>
        <v>53000000</v>
      </c>
    </row>
    <row r="138" spans="1:8" x14ac:dyDescent="0.25">
      <c r="A138" s="93" t="str">
        <f>DMTK!B137</f>
        <v>3348.02</v>
      </c>
      <c r="B138" s="65" t="str">
        <f>VLOOKUP(A138,DMTK!$B$5:$Q$263,3,0)</f>
        <v>Lương NV bán hàng</v>
      </c>
      <c r="C138" s="69">
        <f>VLOOKUP(A138,DMTK!$B$5:$Q$263,10,0)</f>
        <v>0</v>
      </c>
      <c r="D138" s="69">
        <f>VLOOKUP(A138,DMTK!B137:$Q$263,11,0)</f>
        <v>3000000</v>
      </c>
      <c r="E138" s="69">
        <f>SUMIFS(CT!$H$5:$H$143,CT!$D$5:$D$143,CĐPS_CT!A138)</f>
        <v>5000000</v>
      </c>
      <c r="F138" s="69">
        <f>SUMIFS(CT!$H$5:$H$143,CT!$E$5:$E$143,CĐPS_CT!A138)</f>
        <v>5000000</v>
      </c>
      <c r="G138" s="69">
        <f t="shared" si="4"/>
        <v>0</v>
      </c>
      <c r="H138" s="69">
        <f t="shared" si="5"/>
        <v>3000000</v>
      </c>
    </row>
    <row r="139" spans="1:8" x14ac:dyDescent="0.25">
      <c r="A139" s="93" t="str">
        <f>DMTK!B138</f>
        <v>3348.03</v>
      </c>
      <c r="B139" s="65" t="str">
        <f>VLOOKUP(A139,DMTK!$B$5:$Q$263,3,0)</f>
        <v>Lương CB QLDN</v>
      </c>
      <c r="C139" s="69">
        <f>VLOOKUP(A139,DMTK!$B$5:$Q$263,10,0)</f>
        <v>0</v>
      </c>
      <c r="D139" s="69">
        <f>VLOOKUP(A139,DMTK!B138:$Q$263,11,0)</f>
        <v>1500000</v>
      </c>
      <c r="E139" s="69">
        <f>SUMIFS(CT!$H$5:$H$143,CT!$D$5:$D$143,CĐPS_CT!A139)</f>
        <v>7000000</v>
      </c>
      <c r="F139" s="69">
        <f>SUMIFS(CT!$H$5:$H$143,CT!$E$5:$E$143,CĐPS_CT!A139)</f>
        <v>7000000</v>
      </c>
      <c r="G139" s="69">
        <f t="shared" si="4"/>
        <v>0</v>
      </c>
      <c r="H139" s="69">
        <f t="shared" si="5"/>
        <v>1500000</v>
      </c>
    </row>
    <row r="140" spans="1:8" x14ac:dyDescent="0.25">
      <c r="A140" s="93" t="str">
        <f>DMTK!B139</f>
        <v>3351</v>
      </c>
      <c r="B140" s="65" t="str">
        <f>VLOOKUP(A140,DMTK!$B$5:$Q$263,3,0)</f>
        <v>Chi phí phải trả (ngắn hạn)</v>
      </c>
      <c r="C140" s="69">
        <f>VLOOKUP(A140,DMTK!$B$5:$Q$263,10,0)</f>
        <v>0</v>
      </c>
      <c r="D140" s="69">
        <f>VLOOKUP(A140,DMTK!B139:$Q$263,11,0)</f>
        <v>56000000</v>
      </c>
      <c r="E140" s="69">
        <f>SUMIFS(CT!$H$5:$H$143,CT!$D$5:$D$143,CĐPS_CT!A140)</f>
        <v>0</v>
      </c>
      <c r="F140" s="69">
        <f>SUMIFS(CT!$H$5:$H$143,CT!$E$5:$E$143,CĐPS_CT!A140)</f>
        <v>0</v>
      </c>
      <c r="G140" s="69">
        <f t="shared" si="4"/>
        <v>0</v>
      </c>
      <c r="H140" s="69">
        <f t="shared" si="5"/>
        <v>56000000</v>
      </c>
    </row>
    <row r="141" spans="1:8" x14ac:dyDescent="0.25">
      <c r="A141" s="93" t="str">
        <f>DMTK!B140</f>
        <v>3352</v>
      </c>
      <c r="B141" s="65" t="str">
        <f>VLOOKUP(A141,DMTK!$B$5:$Q$263,3,0)</f>
        <v>Chi phí phải trả (dài hạn)</v>
      </c>
      <c r="C141" s="69">
        <f>VLOOKUP(A141,DMTK!$B$5:$Q$263,10,0)</f>
        <v>0</v>
      </c>
      <c r="D141" s="69">
        <f>VLOOKUP(A141,DMTK!B140:$Q$263,11,0)</f>
        <v>0</v>
      </c>
      <c r="E141" s="69">
        <f>SUMIFS(CT!$H$5:$H$143,CT!$D$5:$D$143,CĐPS_CT!A141)</f>
        <v>0</v>
      </c>
      <c r="F141" s="69">
        <f>SUMIFS(CT!$H$5:$H$143,CT!$E$5:$E$143,CĐPS_CT!A141)</f>
        <v>0</v>
      </c>
      <c r="G141" s="69">
        <f t="shared" si="4"/>
        <v>0</v>
      </c>
      <c r="H141" s="69">
        <f t="shared" si="5"/>
        <v>0</v>
      </c>
    </row>
    <row r="142" spans="1:8" x14ac:dyDescent="0.25">
      <c r="A142" s="93" t="str">
        <f>DMTK!B141</f>
        <v>3361</v>
      </c>
      <c r="B142" s="65" t="str">
        <f>VLOOKUP(A142,DMTK!$B$5:$Q$263,3,0)</f>
        <v>Phải trả nội bộ về vốn kinh doanh</v>
      </c>
      <c r="C142" s="69">
        <f>VLOOKUP(A142,DMTK!$B$5:$Q$263,10,0)</f>
        <v>0</v>
      </c>
      <c r="D142" s="69">
        <f>VLOOKUP(A142,DMTK!B141:$Q$263,11,0)</f>
        <v>0</v>
      </c>
      <c r="E142" s="69">
        <f>SUMIFS(CT!$H$5:$H$143,CT!$D$5:$D$143,CĐPS_CT!A142)</f>
        <v>0</v>
      </c>
      <c r="F142" s="69">
        <f>SUMIFS(CT!$H$5:$H$143,CT!$E$5:$E$143,CĐPS_CT!A142)</f>
        <v>0</v>
      </c>
      <c r="G142" s="69">
        <f t="shared" si="4"/>
        <v>0</v>
      </c>
      <c r="H142" s="69">
        <f t="shared" si="5"/>
        <v>0</v>
      </c>
    </row>
    <row r="143" spans="1:8" x14ac:dyDescent="0.25">
      <c r="A143" s="93" t="str">
        <f>DMTK!B142</f>
        <v>33621</v>
      </c>
      <c r="B143" s="65" t="str">
        <f>VLOOKUP(A143,DMTK!$B$5:$Q$263,3,0)</f>
        <v>Phải trả nội bộ về chênh lệch tỷ giá</v>
      </c>
      <c r="C143" s="69">
        <f>VLOOKUP(A143,DMTK!$B$5:$Q$263,10,0)</f>
        <v>0</v>
      </c>
      <c r="D143" s="69">
        <f>VLOOKUP(A143,DMTK!B142:$Q$263,11,0)</f>
        <v>0</v>
      </c>
      <c r="E143" s="69">
        <f>SUMIFS(CT!$H$5:$H$143,CT!$D$5:$D$143,CĐPS_CT!A143)</f>
        <v>0</v>
      </c>
      <c r="F143" s="69">
        <f>SUMIFS(CT!$H$5:$H$143,CT!$E$5:$E$143,CĐPS_CT!A143)</f>
        <v>0</v>
      </c>
      <c r="G143" s="69">
        <f t="shared" si="4"/>
        <v>0</v>
      </c>
      <c r="H143" s="69">
        <f t="shared" si="5"/>
        <v>0</v>
      </c>
    </row>
    <row r="144" spans="1:8" x14ac:dyDescent="0.25">
      <c r="A144" s="93" t="str">
        <f>DMTK!B143</f>
        <v>33622</v>
      </c>
      <c r="B144" s="65" t="str">
        <f>VLOOKUP(A144,DMTK!$B$5:$Q$263,3,0)</f>
        <v>Phải trả nội bộ về chênh lệch tỷ giá (dài hạn)</v>
      </c>
      <c r="C144" s="69">
        <f>VLOOKUP(A144,DMTK!$B$5:$Q$263,10,0)</f>
        <v>0</v>
      </c>
      <c r="D144" s="69">
        <f>VLOOKUP(A144,DMTK!B143:$Q$263,11,0)</f>
        <v>0</v>
      </c>
      <c r="E144" s="69">
        <f>SUMIFS(CT!$H$5:$H$143,CT!$D$5:$D$143,CĐPS_CT!A144)</f>
        <v>0</v>
      </c>
      <c r="F144" s="69">
        <f>SUMIFS(CT!$H$5:$H$143,CT!$E$5:$E$143,CĐPS_CT!A144)</f>
        <v>0</v>
      </c>
      <c r="G144" s="69">
        <f t="shared" si="4"/>
        <v>0</v>
      </c>
      <c r="H144" s="69">
        <f t="shared" si="5"/>
        <v>0</v>
      </c>
    </row>
    <row r="145" spans="1:8" x14ac:dyDescent="0.25">
      <c r="A145" s="93" t="str">
        <f>DMTK!B144</f>
        <v>33631</v>
      </c>
      <c r="B145" s="65" t="str">
        <f>VLOOKUP(A145,DMTK!$B$5:$Q$263,3,0)</f>
        <v>Phải trả nội bộ về chi phí đi vay đủ điều kiện được vốn hóa</v>
      </c>
      <c r="C145" s="69">
        <f>VLOOKUP(A145,DMTK!$B$5:$Q$263,10,0)</f>
        <v>0</v>
      </c>
      <c r="D145" s="69">
        <f>VLOOKUP(A145,DMTK!B144:$Q$263,11,0)</f>
        <v>0</v>
      </c>
      <c r="E145" s="69">
        <f>SUMIFS(CT!$H$5:$H$143,CT!$D$5:$D$143,CĐPS_CT!A145)</f>
        <v>0</v>
      </c>
      <c r="F145" s="69">
        <f>SUMIFS(CT!$H$5:$H$143,CT!$E$5:$E$143,CĐPS_CT!A145)</f>
        <v>0</v>
      </c>
      <c r="G145" s="69">
        <f t="shared" si="4"/>
        <v>0</v>
      </c>
      <c r="H145" s="69">
        <f t="shared" si="5"/>
        <v>0</v>
      </c>
    </row>
    <row r="146" spans="1:8" x14ac:dyDescent="0.25">
      <c r="A146" s="93" t="str">
        <f>DMTK!B145</f>
        <v>33632</v>
      </c>
      <c r="B146" s="65" t="str">
        <f>VLOOKUP(A146,DMTK!$B$5:$Q$263,3,0)</f>
        <v>Phải trả nội bộ về chi phí đi vay đủ điều kiện được vốn hóa (dài hạn)</v>
      </c>
      <c r="C146" s="69">
        <f>VLOOKUP(A146,DMTK!$B$5:$Q$263,10,0)</f>
        <v>0</v>
      </c>
      <c r="D146" s="69">
        <f>VLOOKUP(A146,DMTK!B145:$Q$263,11,0)</f>
        <v>0</v>
      </c>
      <c r="E146" s="69">
        <f>SUMIFS(CT!$H$5:$H$143,CT!$D$5:$D$143,CĐPS_CT!A146)</f>
        <v>0</v>
      </c>
      <c r="F146" s="69">
        <f>SUMIFS(CT!$H$5:$H$143,CT!$E$5:$E$143,CĐPS_CT!A146)</f>
        <v>0</v>
      </c>
      <c r="G146" s="69">
        <f t="shared" si="4"/>
        <v>0</v>
      </c>
      <c r="H146" s="69">
        <f t="shared" si="5"/>
        <v>0</v>
      </c>
    </row>
    <row r="147" spans="1:8" x14ac:dyDescent="0.25">
      <c r="A147" s="93" t="str">
        <f>DMTK!B146</f>
        <v>33681</v>
      </c>
      <c r="B147" s="65" t="str">
        <f>VLOOKUP(A147,DMTK!$B$5:$Q$263,3,0)</f>
        <v>Phải trả nội bộ khác</v>
      </c>
      <c r="C147" s="69">
        <f>VLOOKUP(A147,DMTK!$B$5:$Q$263,10,0)</f>
        <v>0</v>
      </c>
      <c r="D147" s="69">
        <f>VLOOKUP(A147,DMTK!B146:$Q$263,11,0)</f>
        <v>0</v>
      </c>
      <c r="E147" s="69">
        <f>SUMIFS(CT!$H$5:$H$143,CT!$D$5:$D$143,CĐPS_CT!A147)</f>
        <v>0</v>
      </c>
      <c r="F147" s="69">
        <f>SUMIFS(CT!$H$5:$H$143,CT!$E$5:$E$143,CĐPS_CT!A147)</f>
        <v>0</v>
      </c>
      <c r="G147" s="69">
        <f t="shared" si="4"/>
        <v>0</v>
      </c>
      <c r="H147" s="69">
        <f t="shared" si="5"/>
        <v>0</v>
      </c>
    </row>
    <row r="148" spans="1:8" x14ac:dyDescent="0.25">
      <c r="A148" s="93" t="str">
        <f>DMTK!B147</f>
        <v>33682</v>
      </c>
      <c r="B148" s="65" t="str">
        <f>VLOOKUP(A148,DMTK!$B$5:$Q$263,3,0)</f>
        <v>Phải trả nội bộ khác (dài hạn)</v>
      </c>
      <c r="C148" s="69">
        <f>VLOOKUP(A148,DMTK!$B$5:$Q$263,10,0)</f>
        <v>0</v>
      </c>
      <c r="D148" s="69">
        <f>VLOOKUP(A148,DMTK!B147:$Q$263,11,0)</f>
        <v>0</v>
      </c>
      <c r="E148" s="69">
        <f>SUMIFS(CT!$H$5:$H$143,CT!$D$5:$D$143,CĐPS_CT!A148)</f>
        <v>0</v>
      </c>
      <c r="F148" s="69">
        <f>SUMIFS(CT!$H$5:$H$143,CT!$E$5:$E$143,CĐPS_CT!A148)</f>
        <v>0</v>
      </c>
      <c r="G148" s="69">
        <f t="shared" si="4"/>
        <v>0</v>
      </c>
      <c r="H148" s="69">
        <f t="shared" si="5"/>
        <v>0</v>
      </c>
    </row>
    <row r="149" spans="1:8" x14ac:dyDescent="0.25">
      <c r="A149" s="93" t="str">
        <f>DMTK!B148</f>
        <v>337</v>
      </c>
      <c r="B149" s="65" t="str">
        <f>VLOOKUP(A149,DMTK!$B$5:$Q$263,3,0)</f>
        <v>Thanh toán theo tiến độ kế hoạch hợp đồng xây dựng</v>
      </c>
      <c r="C149" s="69">
        <f>VLOOKUP(A149,DMTK!$B$5:$Q$263,10,0)</f>
        <v>0</v>
      </c>
      <c r="D149" s="69">
        <f>VLOOKUP(A149,DMTK!B148:$Q$263,11,0)</f>
        <v>0</v>
      </c>
      <c r="E149" s="69">
        <f>SUMIFS(CT!$H$5:$H$143,CT!$D$5:$D$143,CĐPS_CT!A149)</f>
        <v>0</v>
      </c>
      <c r="F149" s="69">
        <f>SUMIFS(CT!$H$5:$H$143,CT!$E$5:$E$143,CĐPS_CT!A149)</f>
        <v>0</v>
      </c>
      <c r="G149" s="69">
        <f t="shared" si="4"/>
        <v>0</v>
      </c>
      <c r="H149" s="69">
        <f t="shared" si="5"/>
        <v>0</v>
      </c>
    </row>
    <row r="150" spans="1:8" x14ac:dyDescent="0.25">
      <c r="A150" s="93" t="str">
        <f>DMTK!B149</f>
        <v>3381</v>
      </c>
      <c r="B150" s="65" t="str">
        <f>VLOOKUP(A150,DMTK!$B$5:$Q$263,3,0)</f>
        <v>Tài sản thừa chờ giải quyết</v>
      </c>
      <c r="C150" s="69">
        <f>VLOOKUP(A150,DMTK!$B$5:$Q$263,10,0)</f>
        <v>0</v>
      </c>
      <c r="D150" s="69">
        <f>VLOOKUP(A150,DMTK!B149:$Q$263,11,0)</f>
        <v>0</v>
      </c>
      <c r="E150" s="69">
        <f>SUMIFS(CT!$H$5:$H$143,CT!$D$5:$D$143,CĐPS_CT!A150)</f>
        <v>0</v>
      </c>
      <c r="F150" s="69">
        <f>SUMIFS(CT!$H$5:$H$143,CT!$E$5:$E$143,CĐPS_CT!A150)</f>
        <v>0</v>
      </c>
      <c r="G150" s="69">
        <f t="shared" si="4"/>
        <v>0</v>
      </c>
      <c r="H150" s="69">
        <f t="shared" si="5"/>
        <v>0</v>
      </c>
    </row>
    <row r="151" spans="1:8" x14ac:dyDescent="0.25">
      <c r="A151" s="93" t="str">
        <f>DMTK!B150</f>
        <v>3382</v>
      </c>
      <c r="B151" s="65" t="str">
        <f>VLOOKUP(A151,DMTK!$B$5:$Q$263,3,0)</f>
        <v>Kinh phí công đoàn</v>
      </c>
      <c r="C151" s="69">
        <f>VLOOKUP(A151,DMTK!$B$5:$Q$263,10,0)</f>
        <v>0</v>
      </c>
      <c r="D151" s="69">
        <f>VLOOKUP(A151,DMTK!B150:$Q$263,11,0)</f>
        <v>0</v>
      </c>
      <c r="E151" s="69">
        <f>SUMIFS(CT!$H$5:$H$143,CT!$D$5:$D$143,CĐPS_CT!A151)</f>
        <v>0</v>
      </c>
      <c r="F151" s="69">
        <f>SUMIFS(CT!$H$5:$H$143,CT!$E$5:$E$143,CĐPS_CT!A151)</f>
        <v>4940000</v>
      </c>
      <c r="G151" s="69">
        <f t="shared" si="4"/>
        <v>0</v>
      </c>
      <c r="H151" s="69">
        <f t="shared" si="5"/>
        <v>4940000</v>
      </c>
    </row>
    <row r="152" spans="1:8" x14ac:dyDescent="0.25">
      <c r="A152" s="93" t="str">
        <f>DMTK!B151</f>
        <v>3383</v>
      </c>
      <c r="B152" s="65" t="str">
        <f>VLOOKUP(A152,DMTK!$B$5:$Q$263,3,0)</f>
        <v>Bảo hiểm xã hội</v>
      </c>
      <c r="C152" s="69">
        <f>VLOOKUP(A152,DMTK!$B$5:$Q$263,10,0)</f>
        <v>0</v>
      </c>
      <c r="D152" s="69">
        <f>VLOOKUP(A152,DMTK!B151:$Q$263,11,0)</f>
        <v>20000000</v>
      </c>
      <c r="E152" s="69">
        <f>SUMIFS(CT!$H$5:$H$143,CT!$D$5:$D$143,CĐPS_CT!A152)</f>
        <v>0</v>
      </c>
      <c r="F152" s="69">
        <f>SUMIFS(CT!$H$5:$H$143,CT!$E$5:$E$143,CĐPS_CT!A152)</f>
        <v>39520000</v>
      </c>
      <c r="G152" s="69">
        <f t="shared" si="4"/>
        <v>0</v>
      </c>
      <c r="H152" s="69">
        <f t="shared" si="5"/>
        <v>59520000</v>
      </c>
    </row>
    <row r="153" spans="1:8" x14ac:dyDescent="0.25">
      <c r="A153" s="93" t="str">
        <f>DMTK!B152</f>
        <v>3384</v>
      </c>
      <c r="B153" s="65" t="str">
        <f>VLOOKUP(A153,DMTK!$B$5:$Q$263,3,0)</f>
        <v>Bảo hiểm y tế</v>
      </c>
      <c r="C153" s="69">
        <f>VLOOKUP(A153,DMTK!$B$5:$Q$263,10,0)</f>
        <v>0</v>
      </c>
      <c r="D153" s="69">
        <f>VLOOKUP(A153,DMTK!B152:$Q$263,11,0)</f>
        <v>0</v>
      </c>
      <c r="E153" s="69">
        <f>SUMIFS(CT!$H$5:$H$143,CT!$D$5:$D$143,CĐPS_CT!A153)</f>
        <v>0</v>
      </c>
      <c r="F153" s="69">
        <f>SUMIFS(CT!$H$5:$H$143,CT!$E$5:$E$143,CĐPS_CT!A153)</f>
        <v>7410000</v>
      </c>
      <c r="G153" s="69">
        <f t="shared" si="4"/>
        <v>0</v>
      </c>
      <c r="H153" s="69">
        <f t="shared" si="5"/>
        <v>7410000</v>
      </c>
    </row>
    <row r="154" spans="1:8" x14ac:dyDescent="0.25">
      <c r="A154" s="93" t="str">
        <f>DMTK!B153</f>
        <v>3385</v>
      </c>
      <c r="B154" s="65" t="str">
        <f>VLOOKUP(A154,DMTK!$B$5:$Q$263,3,0)</f>
        <v>Phải trả về cổ phần hóa</v>
      </c>
      <c r="C154" s="69">
        <f>VLOOKUP(A154,DMTK!$B$5:$Q$263,10,0)</f>
        <v>0</v>
      </c>
      <c r="D154" s="69">
        <f>VLOOKUP(A154,DMTK!B153:$Q$263,11,0)</f>
        <v>0</v>
      </c>
      <c r="E154" s="69">
        <f>SUMIFS(CT!$H$5:$H$143,CT!$D$5:$D$143,CĐPS_CT!A154)</f>
        <v>0</v>
      </c>
      <c r="F154" s="69">
        <f>SUMIFS(CT!$H$5:$H$143,CT!$E$5:$E$143,CĐPS_CT!A154)</f>
        <v>0</v>
      </c>
      <c r="G154" s="69">
        <f t="shared" si="4"/>
        <v>0</v>
      </c>
      <c r="H154" s="69">
        <f t="shared" si="5"/>
        <v>0</v>
      </c>
    </row>
    <row r="155" spans="1:8" x14ac:dyDescent="0.25">
      <c r="A155" s="93" t="str">
        <f>DMTK!B154</f>
        <v>3386</v>
      </c>
      <c r="B155" s="65" t="str">
        <f>VLOOKUP(A155,DMTK!$B$5:$Q$263,3,0)</f>
        <v>Bảo hiểm thất nghiệp</v>
      </c>
      <c r="C155" s="69">
        <f>VLOOKUP(A155,DMTK!$B$5:$Q$263,10,0)</f>
        <v>0</v>
      </c>
      <c r="D155" s="69">
        <f>VLOOKUP(A155,DMTK!B154:$Q$263,11,0)</f>
        <v>0</v>
      </c>
      <c r="E155" s="69">
        <f>SUMIFS(CT!$H$5:$H$143,CT!$D$5:$D$143,CĐPS_CT!A155)</f>
        <v>0</v>
      </c>
      <c r="F155" s="69">
        <f>SUMIFS(CT!$H$5:$H$143,CT!$E$5:$E$143,CĐPS_CT!A155)</f>
        <v>0</v>
      </c>
      <c r="G155" s="69">
        <f t="shared" si="4"/>
        <v>0</v>
      </c>
      <c r="H155" s="69">
        <f t="shared" si="5"/>
        <v>0</v>
      </c>
    </row>
    <row r="156" spans="1:8" x14ac:dyDescent="0.25">
      <c r="A156" s="93" t="str">
        <f>DMTK!B155</f>
        <v>33871</v>
      </c>
      <c r="B156" s="65" t="str">
        <f>VLOOKUP(A156,DMTK!$B$5:$Q$263,3,0)</f>
        <v>Doanh thu chưa thực hiện</v>
      </c>
      <c r="C156" s="69">
        <f>VLOOKUP(A156,DMTK!$B$5:$Q$263,10,0)</f>
        <v>0</v>
      </c>
      <c r="D156" s="69">
        <f>VLOOKUP(A156,DMTK!B155:$Q$263,11,0)</f>
        <v>0</v>
      </c>
      <c r="E156" s="69">
        <f>SUMIFS(CT!$H$5:$H$143,CT!$D$5:$D$143,CĐPS_CT!A156)</f>
        <v>0</v>
      </c>
      <c r="F156" s="69">
        <f>SUMIFS(CT!$H$5:$H$143,CT!$E$5:$E$143,CĐPS_CT!A156)</f>
        <v>0</v>
      </c>
      <c r="G156" s="69">
        <f t="shared" si="4"/>
        <v>0</v>
      </c>
      <c r="H156" s="69">
        <f t="shared" si="5"/>
        <v>0</v>
      </c>
    </row>
    <row r="157" spans="1:8" x14ac:dyDescent="0.25">
      <c r="A157" s="93" t="str">
        <f>DMTK!B156</f>
        <v>33872</v>
      </c>
      <c r="B157" s="65" t="str">
        <f>VLOOKUP(A157,DMTK!$B$5:$Q$263,3,0)</f>
        <v>Doanh thu chưa thực hiện (sau 12 tháng)</v>
      </c>
      <c r="C157" s="69">
        <f>VLOOKUP(A157,DMTK!$B$5:$Q$263,10,0)</f>
        <v>0</v>
      </c>
      <c r="D157" s="69">
        <f>VLOOKUP(A157,DMTK!B156:$Q$263,11,0)</f>
        <v>0</v>
      </c>
      <c r="E157" s="69">
        <f>SUMIFS(CT!$H$5:$H$143,CT!$D$5:$D$143,CĐPS_CT!A157)</f>
        <v>0</v>
      </c>
      <c r="F157" s="69">
        <f>SUMIFS(CT!$H$5:$H$143,CT!$E$5:$E$143,CĐPS_CT!A157)</f>
        <v>0</v>
      </c>
      <c r="G157" s="69">
        <f t="shared" si="4"/>
        <v>0</v>
      </c>
      <c r="H157" s="69">
        <f t="shared" si="5"/>
        <v>0</v>
      </c>
    </row>
    <row r="158" spans="1:8" x14ac:dyDescent="0.25">
      <c r="A158" s="93" t="str">
        <f>DMTK!B157</f>
        <v>3388</v>
      </c>
      <c r="B158" s="65" t="str">
        <f>VLOOKUP(A158,DMTK!$B$5:$Q$263,3,0)</f>
        <v>Phải trả, phải nộp khác</v>
      </c>
      <c r="C158" s="69">
        <f>VLOOKUP(A158,DMTK!$B$5:$Q$263,10,0)</f>
        <v>0</v>
      </c>
      <c r="D158" s="69">
        <f>VLOOKUP(A158,DMTK!B157:$Q$263,11,0)</f>
        <v>38800000</v>
      </c>
      <c r="E158" s="69">
        <f>SUMIFS(CT!$H$5:$H$143,CT!$D$5:$D$143,CĐPS_CT!A158)</f>
        <v>0</v>
      </c>
      <c r="F158" s="69">
        <f>SUMIFS(CT!$H$5:$H$143,CT!$E$5:$E$143,CĐPS_CT!A158)</f>
        <v>2470000</v>
      </c>
      <c r="G158" s="69">
        <f t="shared" si="4"/>
        <v>0</v>
      </c>
      <c r="H158" s="69">
        <f t="shared" si="5"/>
        <v>41270000</v>
      </c>
    </row>
    <row r="159" spans="1:8" x14ac:dyDescent="0.25">
      <c r="A159" s="93" t="str">
        <f>DMTK!B158</f>
        <v>3411</v>
      </c>
      <c r="B159" s="65" t="str">
        <f>VLOOKUP(A159,DMTK!$B$5:$Q$263,3,0)</f>
        <v>Các khoản đi vay</v>
      </c>
      <c r="C159" s="69">
        <f>VLOOKUP(A159,DMTK!$B$5:$Q$263,10,0)</f>
        <v>0</v>
      </c>
      <c r="D159" s="69">
        <f>VLOOKUP(A159,DMTK!B158:$Q$263,11,0)</f>
        <v>385000000</v>
      </c>
      <c r="E159" s="69">
        <f>SUMIFS(CT!$H$5:$H$143,CT!$D$5:$D$143,CĐPS_CT!A159)</f>
        <v>0</v>
      </c>
      <c r="F159" s="69">
        <f>SUMIFS(CT!$H$5:$H$143,CT!$E$5:$E$143,CĐPS_CT!A159)</f>
        <v>0</v>
      </c>
      <c r="G159" s="69">
        <f t="shared" si="4"/>
        <v>0</v>
      </c>
      <c r="H159" s="69">
        <f t="shared" si="5"/>
        <v>385000000</v>
      </c>
    </row>
    <row r="160" spans="1:8" x14ac:dyDescent="0.25">
      <c r="A160" s="93" t="str">
        <f>DMTK!B159</f>
        <v>3412</v>
      </c>
      <c r="B160" s="65" t="str">
        <f>VLOOKUP(A160,DMTK!$B$5:$Q$263,3,0)</f>
        <v>Nợ thuê tài chính</v>
      </c>
      <c r="C160" s="69">
        <f>VLOOKUP(A160,DMTK!$B$5:$Q$263,10,0)</f>
        <v>0</v>
      </c>
      <c r="D160" s="69">
        <f>VLOOKUP(A160,DMTK!B159:$Q$263,11,0)</f>
        <v>0</v>
      </c>
      <c r="E160" s="69">
        <f>SUMIFS(CT!$H$5:$H$143,CT!$D$5:$D$143,CĐPS_CT!A160)</f>
        <v>0</v>
      </c>
      <c r="F160" s="69">
        <f>SUMIFS(CT!$H$5:$H$143,CT!$E$5:$E$143,CĐPS_CT!A160)</f>
        <v>0</v>
      </c>
      <c r="G160" s="69">
        <f t="shared" si="4"/>
        <v>0</v>
      </c>
      <c r="H160" s="69">
        <f t="shared" si="5"/>
        <v>0</v>
      </c>
    </row>
    <row r="161" spans="1:8" x14ac:dyDescent="0.25">
      <c r="A161" s="93" t="str">
        <f>DMTK!B160</f>
        <v>34311</v>
      </c>
      <c r="B161" s="65" t="str">
        <f>VLOOKUP(A161,DMTK!$B$5:$Q$263,3,0)</f>
        <v>Mệnh giá trái phiếu</v>
      </c>
      <c r="C161" s="69">
        <f>VLOOKUP(A161,DMTK!$B$5:$Q$263,10,0)</f>
        <v>0</v>
      </c>
      <c r="D161" s="69">
        <f>VLOOKUP(A161,DMTK!B160:$Q$263,11,0)</f>
        <v>0</v>
      </c>
      <c r="E161" s="69">
        <f>SUMIFS(CT!$H$5:$H$143,CT!$D$5:$D$143,CĐPS_CT!A161)</f>
        <v>0</v>
      </c>
      <c r="F161" s="69">
        <f>SUMIFS(CT!$H$5:$H$143,CT!$E$5:$E$143,CĐPS_CT!A161)</f>
        <v>0</v>
      </c>
      <c r="G161" s="69">
        <f t="shared" si="4"/>
        <v>0</v>
      </c>
      <c r="H161" s="69">
        <f t="shared" si="5"/>
        <v>0</v>
      </c>
    </row>
    <row r="162" spans="1:8" x14ac:dyDescent="0.25">
      <c r="A162" s="93" t="str">
        <f>DMTK!B161</f>
        <v>34312</v>
      </c>
      <c r="B162" s="65" t="str">
        <f>VLOOKUP(A162,DMTK!$B$5:$Q$263,3,0)</f>
        <v>Chiết khấu trái phiếu</v>
      </c>
      <c r="C162" s="69">
        <f>VLOOKUP(A162,DMTK!$B$5:$Q$263,10,0)</f>
        <v>0</v>
      </c>
      <c r="D162" s="69">
        <f>VLOOKUP(A162,DMTK!B161:$Q$263,11,0)</f>
        <v>0</v>
      </c>
      <c r="E162" s="69">
        <f>SUMIFS(CT!$H$5:$H$143,CT!$D$5:$D$143,CĐPS_CT!A162)</f>
        <v>0</v>
      </c>
      <c r="F162" s="69">
        <f>SUMIFS(CT!$H$5:$H$143,CT!$E$5:$E$143,CĐPS_CT!A162)</f>
        <v>0</v>
      </c>
      <c r="G162" s="69">
        <f t="shared" si="4"/>
        <v>0</v>
      </c>
      <c r="H162" s="69">
        <f t="shared" si="5"/>
        <v>0</v>
      </c>
    </row>
    <row r="163" spans="1:8" x14ac:dyDescent="0.25">
      <c r="A163" s="93" t="str">
        <f>DMTK!B162</f>
        <v>34313</v>
      </c>
      <c r="B163" s="65" t="str">
        <f>VLOOKUP(A163,DMTK!$B$5:$Q$263,3,0)</f>
        <v>Phụ trội trái phiếu</v>
      </c>
      <c r="C163" s="69">
        <f>VLOOKUP(A163,DMTK!$B$5:$Q$263,10,0)</f>
        <v>0</v>
      </c>
      <c r="D163" s="69">
        <f>VLOOKUP(A163,DMTK!B162:$Q$263,11,0)</f>
        <v>0</v>
      </c>
      <c r="E163" s="69">
        <f>SUMIFS(CT!$H$5:$H$143,CT!$D$5:$D$143,CĐPS_CT!A163)</f>
        <v>0</v>
      </c>
      <c r="F163" s="69">
        <f>SUMIFS(CT!$H$5:$H$143,CT!$E$5:$E$143,CĐPS_CT!A163)</f>
        <v>0</v>
      </c>
      <c r="G163" s="69">
        <f t="shared" si="4"/>
        <v>0</v>
      </c>
      <c r="H163" s="69">
        <f t="shared" si="5"/>
        <v>0</v>
      </c>
    </row>
    <row r="164" spans="1:8" x14ac:dyDescent="0.25">
      <c r="A164" s="93" t="str">
        <f>DMTK!B163</f>
        <v>3432</v>
      </c>
      <c r="B164" s="65" t="str">
        <f>VLOOKUP(A164,DMTK!$B$5:$Q$263,3,0)</f>
        <v>Trái phiếu chuyển đổi</v>
      </c>
      <c r="C164" s="69">
        <f>VLOOKUP(A164,DMTK!$B$5:$Q$263,10,0)</f>
        <v>0</v>
      </c>
      <c r="D164" s="69">
        <f>VLOOKUP(A164,DMTK!B163:$Q$263,11,0)</f>
        <v>0</v>
      </c>
      <c r="E164" s="69">
        <f>SUMIFS(CT!$H$5:$H$143,CT!$D$5:$D$143,CĐPS_CT!A164)</f>
        <v>0</v>
      </c>
      <c r="F164" s="69">
        <f>SUMIFS(CT!$H$5:$H$143,CT!$E$5:$E$143,CĐPS_CT!A164)</f>
        <v>0</v>
      </c>
      <c r="G164" s="69">
        <f t="shared" si="4"/>
        <v>0</v>
      </c>
      <c r="H164" s="69">
        <f t="shared" si="5"/>
        <v>0</v>
      </c>
    </row>
    <row r="165" spans="1:8" x14ac:dyDescent="0.25">
      <c r="A165" s="93" t="str">
        <f>DMTK!B164</f>
        <v>344</v>
      </c>
      <c r="B165" s="65" t="str">
        <f>VLOOKUP(A165,DMTK!$B$5:$Q$263,3,0)</f>
        <v>Nhận ký quỹ, ký cược</v>
      </c>
      <c r="C165" s="69">
        <f>VLOOKUP(A165,DMTK!$B$5:$Q$263,10,0)</f>
        <v>0</v>
      </c>
      <c r="D165" s="69">
        <f>VLOOKUP(A165,DMTK!B164:$Q$263,11,0)</f>
        <v>0</v>
      </c>
      <c r="E165" s="69">
        <f>SUMIFS(CT!$H$5:$H$143,CT!$D$5:$D$143,CĐPS_CT!A165)</f>
        <v>0</v>
      </c>
      <c r="F165" s="69">
        <f>SUMIFS(CT!$H$5:$H$143,CT!$E$5:$E$143,CĐPS_CT!A165)</f>
        <v>0</v>
      </c>
      <c r="G165" s="69">
        <f t="shared" si="4"/>
        <v>0</v>
      </c>
      <c r="H165" s="69">
        <f t="shared" si="5"/>
        <v>0</v>
      </c>
    </row>
    <row r="166" spans="1:8" x14ac:dyDescent="0.25">
      <c r="A166" s="93" t="str">
        <f>DMTK!B165</f>
        <v>347</v>
      </c>
      <c r="B166" s="65" t="str">
        <f>VLOOKUP(A166,DMTK!$B$5:$Q$263,3,0)</f>
        <v>Thuế thu nhập hoãn lại phải trả</v>
      </c>
      <c r="C166" s="69">
        <f>VLOOKUP(A166,DMTK!$B$5:$Q$263,10,0)</f>
        <v>0</v>
      </c>
      <c r="D166" s="69">
        <f>VLOOKUP(A166,DMTK!B165:$Q$263,11,0)</f>
        <v>0</v>
      </c>
      <c r="E166" s="69">
        <f>SUMIFS(CT!$H$5:$H$143,CT!$D$5:$D$143,CĐPS_CT!A166)</f>
        <v>0</v>
      </c>
      <c r="F166" s="69">
        <f>SUMIFS(CT!$H$5:$H$143,CT!$E$5:$E$143,CĐPS_CT!A166)</f>
        <v>0</v>
      </c>
      <c r="G166" s="69">
        <f t="shared" si="4"/>
        <v>0</v>
      </c>
      <c r="H166" s="69">
        <f t="shared" si="5"/>
        <v>0</v>
      </c>
    </row>
    <row r="167" spans="1:8" x14ac:dyDescent="0.25">
      <c r="A167" s="93" t="str">
        <f>DMTK!B166</f>
        <v>3521</v>
      </c>
      <c r="B167" s="65" t="str">
        <f>VLOOKUP(A167,DMTK!$B$5:$Q$263,3,0)</f>
        <v>Dự phòng bảo hành sản phẩm hàng hóa</v>
      </c>
      <c r="C167" s="69">
        <f>VLOOKUP(A167,DMTK!$B$5:$Q$263,10,0)</f>
        <v>0</v>
      </c>
      <c r="D167" s="69">
        <f>VLOOKUP(A167,DMTK!B166:$Q$263,11,0)</f>
        <v>22000000</v>
      </c>
      <c r="E167" s="69">
        <f>SUMIFS(CT!$H$5:$H$143,CT!$D$5:$D$143,CĐPS_CT!A167)</f>
        <v>0</v>
      </c>
      <c r="F167" s="69">
        <f>SUMIFS(CT!$H$5:$H$143,CT!$E$5:$E$143,CĐPS_CT!A167)</f>
        <v>0</v>
      </c>
      <c r="G167" s="69">
        <f t="shared" si="4"/>
        <v>0</v>
      </c>
      <c r="H167" s="69">
        <f t="shared" si="5"/>
        <v>22000000</v>
      </c>
    </row>
    <row r="168" spans="1:8" x14ac:dyDescent="0.25">
      <c r="A168" s="93" t="str">
        <f>DMTK!B167</f>
        <v>3522</v>
      </c>
      <c r="B168" s="65" t="str">
        <f>VLOOKUP(A168,DMTK!$B$5:$Q$263,3,0)</f>
        <v>Dự phòng bảo hành công trình xây dựng</v>
      </c>
      <c r="C168" s="69">
        <f>VLOOKUP(A168,DMTK!$B$5:$Q$263,10,0)</f>
        <v>0</v>
      </c>
      <c r="D168" s="69">
        <f>VLOOKUP(A168,DMTK!B167:$Q$263,11,0)</f>
        <v>0</v>
      </c>
      <c r="E168" s="69">
        <f>SUMIFS(CT!$H$5:$H$143,CT!$D$5:$D$143,CĐPS_CT!A168)</f>
        <v>0</v>
      </c>
      <c r="F168" s="69">
        <f>SUMIFS(CT!$H$5:$H$143,CT!$E$5:$E$143,CĐPS_CT!A168)</f>
        <v>0</v>
      </c>
      <c r="G168" s="69">
        <f t="shared" si="4"/>
        <v>0</v>
      </c>
      <c r="H168" s="69">
        <f t="shared" si="5"/>
        <v>0</v>
      </c>
    </row>
    <row r="169" spans="1:8" x14ac:dyDescent="0.25">
      <c r="A169" s="93" t="str">
        <f>DMTK!B168</f>
        <v>3523</v>
      </c>
      <c r="B169" s="65" t="str">
        <f>VLOOKUP(A169,DMTK!$B$5:$Q$263,3,0)</f>
        <v>Dự phòng tái cơ cấu doanh nghiệp</v>
      </c>
      <c r="C169" s="69">
        <f>VLOOKUP(A169,DMTK!$B$5:$Q$263,10,0)</f>
        <v>0</v>
      </c>
      <c r="D169" s="69">
        <f>VLOOKUP(A169,DMTK!B168:$Q$263,11,0)</f>
        <v>0</v>
      </c>
      <c r="E169" s="69">
        <f>SUMIFS(CT!$H$5:$H$143,CT!$D$5:$D$143,CĐPS_CT!A169)</f>
        <v>0</v>
      </c>
      <c r="F169" s="69">
        <f>SUMIFS(CT!$H$5:$H$143,CT!$E$5:$E$143,CĐPS_CT!A169)</f>
        <v>0</v>
      </c>
      <c r="G169" s="69">
        <f t="shared" si="4"/>
        <v>0</v>
      </c>
      <c r="H169" s="69">
        <f t="shared" si="5"/>
        <v>0</v>
      </c>
    </row>
    <row r="170" spans="1:8" x14ac:dyDescent="0.25">
      <c r="A170" s="93" t="str">
        <f>DMTK!B169</f>
        <v>3524</v>
      </c>
      <c r="B170" s="65" t="str">
        <f>VLOOKUP(A170,DMTK!$B$5:$Q$263,3,0)</f>
        <v>Dự phòng phải trả khác</v>
      </c>
      <c r="C170" s="69">
        <f>VLOOKUP(A170,DMTK!$B$5:$Q$263,10,0)</f>
        <v>0</v>
      </c>
      <c r="D170" s="69">
        <f>VLOOKUP(A170,DMTK!B169:$Q$263,11,0)</f>
        <v>0</v>
      </c>
      <c r="E170" s="69">
        <f>SUMIFS(CT!$H$5:$H$143,CT!$D$5:$D$143,CĐPS_CT!A170)</f>
        <v>0</v>
      </c>
      <c r="F170" s="69">
        <f>SUMIFS(CT!$H$5:$H$143,CT!$E$5:$E$143,CĐPS_CT!A170)</f>
        <v>0</v>
      </c>
      <c r="G170" s="69">
        <f t="shared" si="4"/>
        <v>0</v>
      </c>
      <c r="H170" s="69">
        <f t="shared" si="5"/>
        <v>0</v>
      </c>
    </row>
    <row r="171" spans="1:8" x14ac:dyDescent="0.25">
      <c r="A171" s="93" t="str">
        <f>DMTK!B170</f>
        <v>3531</v>
      </c>
      <c r="B171" s="65" t="str">
        <f>VLOOKUP(A171,DMTK!$B$5:$Q$263,3,0)</f>
        <v>Quỹ khen thưởng</v>
      </c>
      <c r="C171" s="69">
        <f>VLOOKUP(A171,DMTK!$B$5:$Q$263,10,0)</f>
        <v>0</v>
      </c>
      <c r="D171" s="69">
        <f>VLOOKUP(A171,DMTK!B170:$Q$263,11,0)</f>
        <v>37000000</v>
      </c>
      <c r="E171" s="69">
        <f>SUMIFS(CT!$H$5:$H$143,CT!$D$5:$D$143,CĐPS_CT!A171)</f>
        <v>0</v>
      </c>
      <c r="F171" s="69">
        <f>SUMIFS(CT!$H$5:$H$143,CT!$E$5:$E$143,CĐPS_CT!A171)</f>
        <v>0</v>
      </c>
      <c r="G171" s="69">
        <f t="shared" si="4"/>
        <v>0</v>
      </c>
      <c r="H171" s="69">
        <f t="shared" si="5"/>
        <v>37000000</v>
      </c>
    </row>
    <row r="172" spans="1:8" x14ac:dyDescent="0.25">
      <c r="A172" s="93" t="str">
        <f>DMTK!B171</f>
        <v>3532</v>
      </c>
      <c r="B172" s="65" t="str">
        <f>VLOOKUP(A172,DMTK!$B$5:$Q$263,3,0)</f>
        <v>Quỹ phúc lợi</v>
      </c>
      <c r="C172" s="69">
        <f>VLOOKUP(A172,DMTK!$B$5:$Q$263,10,0)</f>
        <v>0</v>
      </c>
      <c r="D172" s="69">
        <f>VLOOKUP(A172,DMTK!B171:$Q$263,11,0)</f>
        <v>26000000</v>
      </c>
      <c r="E172" s="69">
        <f>SUMIFS(CT!$H$5:$H$143,CT!$D$5:$D$143,CĐPS_CT!A172)</f>
        <v>0</v>
      </c>
      <c r="F172" s="69">
        <f>SUMIFS(CT!$H$5:$H$143,CT!$E$5:$E$143,CĐPS_CT!A172)</f>
        <v>0</v>
      </c>
      <c r="G172" s="69">
        <f t="shared" si="4"/>
        <v>0</v>
      </c>
      <c r="H172" s="69">
        <f t="shared" si="5"/>
        <v>26000000</v>
      </c>
    </row>
    <row r="173" spans="1:8" x14ac:dyDescent="0.25">
      <c r="A173" s="93" t="str">
        <f>DMTK!B172</f>
        <v>3533</v>
      </c>
      <c r="B173" s="65" t="str">
        <f>VLOOKUP(A173,DMTK!$B$5:$Q$263,3,0)</f>
        <v>Quỹ phúc lợi đã hình thành TSCĐ</v>
      </c>
      <c r="C173" s="69">
        <f>VLOOKUP(A173,DMTK!$B$5:$Q$263,10,0)</f>
        <v>0</v>
      </c>
      <c r="D173" s="69">
        <f>VLOOKUP(A173,DMTK!B172:$Q$263,11,0)</f>
        <v>20000000</v>
      </c>
      <c r="E173" s="69">
        <f>SUMIFS(CT!$H$5:$H$143,CT!$D$5:$D$143,CĐPS_CT!A173)</f>
        <v>0</v>
      </c>
      <c r="F173" s="69">
        <f>SUMIFS(CT!$H$5:$H$143,CT!$E$5:$E$143,CĐPS_CT!A173)</f>
        <v>0</v>
      </c>
      <c r="G173" s="69">
        <f t="shared" si="4"/>
        <v>0</v>
      </c>
      <c r="H173" s="69">
        <f t="shared" si="5"/>
        <v>20000000</v>
      </c>
    </row>
    <row r="174" spans="1:8" x14ac:dyDescent="0.25">
      <c r="A174" s="93" t="str">
        <f>DMTK!B173</f>
        <v>3534</v>
      </c>
      <c r="B174" s="65" t="str">
        <f>VLOOKUP(A174,DMTK!$B$5:$Q$263,3,0)</f>
        <v>Quỹ thưởng ban điều hành công ty</v>
      </c>
      <c r="C174" s="69">
        <f>VLOOKUP(A174,DMTK!$B$5:$Q$263,10,0)</f>
        <v>0</v>
      </c>
      <c r="D174" s="69">
        <f>VLOOKUP(A174,DMTK!B173:$Q$263,11,0)</f>
        <v>0</v>
      </c>
      <c r="E174" s="69">
        <f>SUMIFS(CT!$H$5:$H$143,CT!$D$5:$D$143,CĐPS_CT!A174)</f>
        <v>0</v>
      </c>
      <c r="F174" s="69">
        <f>SUMIFS(CT!$H$5:$H$143,CT!$E$5:$E$143,CĐPS_CT!A174)</f>
        <v>0</v>
      </c>
      <c r="G174" s="69">
        <f t="shared" si="4"/>
        <v>0</v>
      </c>
      <c r="H174" s="69">
        <f t="shared" si="5"/>
        <v>0</v>
      </c>
    </row>
    <row r="175" spans="1:8" x14ac:dyDescent="0.25">
      <c r="A175" s="93" t="str">
        <f>DMTK!B174</f>
        <v>3561</v>
      </c>
      <c r="B175" s="65" t="str">
        <f>VLOOKUP(A175,DMTK!$B$5:$Q$263,3,0)</f>
        <v>Quỹ phát triển khoa học và công nghệ</v>
      </c>
      <c r="C175" s="69">
        <f>VLOOKUP(A175,DMTK!$B$5:$Q$263,10,0)</f>
        <v>0</v>
      </c>
      <c r="D175" s="69">
        <f>VLOOKUP(A175,DMTK!B174:$Q$263,11,0)</f>
        <v>0</v>
      </c>
      <c r="E175" s="69">
        <f>SUMIFS(CT!$H$5:$H$143,CT!$D$5:$D$143,CĐPS_CT!A175)</f>
        <v>0</v>
      </c>
      <c r="F175" s="69">
        <f>SUMIFS(CT!$H$5:$H$143,CT!$E$5:$E$143,CĐPS_CT!A175)</f>
        <v>0</v>
      </c>
      <c r="G175" s="69">
        <f t="shared" si="4"/>
        <v>0</v>
      </c>
      <c r="H175" s="69">
        <f t="shared" si="5"/>
        <v>0</v>
      </c>
    </row>
    <row r="176" spans="1:8" x14ac:dyDescent="0.25">
      <c r="A176" s="93" t="str">
        <f>DMTK!B175</f>
        <v>3562</v>
      </c>
      <c r="B176" s="65" t="str">
        <f>VLOOKUP(A176,DMTK!$B$5:$Q$263,3,0)</f>
        <v>Quỹ phát triển khoa học và công nghệ đã hình thành TSCĐ</v>
      </c>
      <c r="C176" s="69">
        <f>VLOOKUP(A176,DMTK!$B$5:$Q$263,10,0)</f>
        <v>0</v>
      </c>
      <c r="D176" s="69">
        <f>VLOOKUP(A176,DMTK!B175:$Q$263,11,0)</f>
        <v>0</v>
      </c>
      <c r="E176" s="69">
        <f>SUMIFS(CT!$H$5:$H$143,CT!$D$5:$D$143,CĐPS_CT!A176)</f>
        <v>0</v>
      </c>
      <c r="F176" s="69">
        <f>SUMIFS(CT!$H$5:$H$143,CT!$E$5:$E$143,CĐPS_CT!A176)</f>
        <v>0</v>
      </c>
      <c r="G176" s="69">
        <f t="shared" si="4"/>
        <v>0</v>
      </c>
      <c r="H176" s="69">
        <f t="shared" si="5"/>
        <v>0</v>
      </c>
    </row>
    <row r="177" spans="1:8" x14ac:dyDescent="0.25">
      <c r="A177" s="93" t="str">
        <f>DMTK!B176</f>
        <v>357</v>
      </c>
      <c r="B177" s="65" t="str">
        <f>VLOOKUP(A177,DMTK!$B$5:$Q$263,3,0)</f>
        <v>Quỹ bình ổn giá</v>
      </c>
      <c r="C177" s="69">
        <f>VLOOKUP(A177,DMTK!$B$5:$Q$263,10,0)</f>
        <v>0</v>
      </c>
      <c r="D177" s="69">
        <f>VLOOKUP(A177,DMTK!B176:$Q$263,11,0)</f>
        <v>0</v>
      </c>
      <c r="E177" s="69">
        <f>SUMIFS(CT!$H$5:$H$143,CT!$D$5:$D$143,CĐPS_CT!A177)</f>
        <v>0</v>
      </c>
      <c r="F177" s="69">
        <f>SUMIFS(CT!$H$5:$H$143,CT!$E$5:$E$143,CĐPS_CT!A177)</f>
        <v>0</v>
      </c>
      <c r="G177" s="69">
        <f t="shared" si="4"/>
        <v>0</v>
      </c>
      <c r="H177" s="69">
        <f t="shared" si="5"/>
        <v>0</v>
      </c>
    </row>
    <row r="178" spans="1:8" x14ac:dyDescent="0.25">
      <c r="A178" s="93" t="str">
        <f>DMTK!B177</f>
        <v>41111</v>
      </c>
      <c r="B178" s="65" t="str">
        <f>VLOOKUP(A178,DMTK!$B$5:$Q$263,3,0)</f>
        <v>Cổ phiếu phổ thông có quyền biểu quyết</v>
      </c>
      <c r="C178" s="69">
        <f>VLOOKUP(A178,DMTK!$B$5:$Q$263,10,0)</f>
        <v>0</v>
      </c>
      <c r="D178" s="69">
        <f>VLOOKUP(A178,DMTK!B177:$Q$263,11,0)</f>
        <v>1430000000</v>
      </c>
      <c r="E178" s="69">
        <f>SUMIFS(CT!$H$5:$H$143,CT!$D$5:$D$143,CĐPS_CT!A178)</f>
        <v>0</v>
      </c>
      <c r="F178" s="69">
        <f>SUMIFS(CT!$H$5:$H$143,CT!$E$5:$E$143,CĐPS_CT!A178)</f>
        <v>0</v>
      </c>
      <c r="G178" s="69">
        <f t="shared" si="4"/>
        <v>0</v>
      </c>
      <c r="H178" s="69">
        <f t="shared" si="5"/>
        <v>1430000000</v>
      </c>
    </row>
    <row r="179" spans="1:8" x14ac:dyDescent="0.25">
      <c r="A179" s="93" t="str">
        <f>DMTK!B178</f>
        <v>41112</v>
      </c>
      <c r="B179" s="65" t="str">
        <f>VLOOKUP(A179,DMTK!$B$5:$Q$263,3,0)</f>
        <v>Cổ phiếu ưu đãi</v>
      </c>
      <c r="C179" s="69">
        <f>VLOOKUP(A179,DMTK!$B$5:$Q$263,10,0)</f>
        <v>0</v>
      </c>
      <c r="D179" s="69">
        <f>VLOOKUP(A179,DMTK!B178:$Q$263,11,0)</f>
        <v>43641000</v>
      </c>
      <c r="E179" s="69">
        <f>SUMIFS(CT!$H$5:$H$143,CT!$D$5:$D$143,CĐPS_CT!A179)</f>
        <v>0</v>
      </c>
      <c r="F179" s="69">
        <f>SUMIFS(CT!$H$5:$H$143,CT!$E$5:$E$143,CĐPS_CT!A179)</f>
        <v>0</v>
      </c>
      <c r="G179" s="69">
        <f t="shared" si="4"/>
        <v>0</v>
      </c>
      <c r="H179" s="69">
        <f t="shared" si="5"/>
        <v>43641000</v>
      </c>
    </row>
    <row r="180" spans="1:8" x14ac:dyDescent="0.25">
      <c r="A180" s="93" t="str">
        <f>DMTK!B179</f>
        <v>4112</v>
      </c>
      <c r="B180" s="65" t="str">
        <f>VLOOKUP(A180,DMTK!$B$5:$Q$263,3,0)</f>
        <v>Thặng dư vốn cổ phần</v>
      </c>
      <c r="C180" s="69">
        <f>VLOOKUP(A180,DMTK!$B$5:$Q$263,10,0)</f>
        <v>0</v>
      </c>
      <c r="D180" s="69">
        <f>VLOOKUP(A180,DMTK!B179:$Q$263,11,0)</f>
        <v>0</v>
      </c>
      <c r="E180" s="69">
        <f>SUMIFS(CT!$H$5:$H$143,CT!$D$5:$D$143,CĐPS_CT!A180)</f>
        <v>0</v>
      </c>
      <c r="F180" s="69">
        <f>SUMIFS(CT!$H$5:$H$143,CT!$E$5:$E$143,CĐPS_CT!A180)</f>
        <v>0</v>
      </c>
      <c r="G180" s="69">
        <f t="shared" si="4"/>
        <v>0</v>
      </c>
      <c r="H180" s="69">
        <f t="shared" si="5"/>
        <v>0</v>
      </c>
    </row>
    <row r="181" spans="1:8" x14ac:dyDescent="0.25">
      <c r="A181" s="93" t="str">
        <f>DMTK!B180</f>
        <v>4113</v>
      </c>
      <c r="B181" s="65" t="str">
        <f>VLOOKUP(A181,DMTK!$B$5:$Q$263,3,0)</f>
        <v>Quyền chọn chuyển đổi trái phiếu</v>
      </c>
      <c r="C181" s="69">
        <f>VLOOKUP(A181,DMTK!$B$5:$Q$263,10,0)</f>
        <v>0</v>
      </c>
      <c r="D181" s="69">
        <f>VLOOKUP(A181,DMTK!B180:$Q$263,11,0)</f>
        <v>0</v>
      </c>
      <c r="E181" s="69">
        <f>SUMIFS(CT!$H$5:$H$143,CT!$D$5:$D$143,CĐPS_CT!A181)</f>
        <v>0</v>
      </c>
      <c r="F181" s="69">
        <f>SUMIFS(CT!$H$5:$H$143,CT!$E$5:$E$143,CĐPS_CT!A181)</f>
        <v>0</v>
      </c>
      <c r="G181" s="69">
        <f t="shared" si="4"/>
        <v>0</v>
      </c>
      <c r="H181" s="69">
        <f t="shared" si="5"/>
        <v>0</v>
      </c>
    </row>
    <row r="182" spans="1:8" x14ac:dyDescent="0.25">
      <c r="A182" s="93" t="str">
        <f>DMTK!B181</f>
        <v>4118</v>
      </c>
      <c r="B182" s="65" t="str">
        <f>VLOOKUP(A182,DMTK!$B$5:$Q$263,3,0)</f>
        <v>Vốn khác</v>
      </c>
      <c r="C182" s="69">
        <f>VLOOKUP(A182,DMTK!$B$5:$Q$263,10,0)</f>
        <v>0</v>
      </c>
      <c r="D182" s="69">
        <f>VLOOKUP(A182,DMTK!B181:$Q$263,11,0)</f>
        <v>18898000</v>
      </c>
      <c r="E182" s="69">
        <f>SUMIFS(CT!$H$5:$H$143,CT!$D$5:$D$143,CĐPS_CT!A182)</f>
        <v>0</v>
      </c>
      <c r="F182" s="69">
        <f>SUMIFS(CT!$H$5:$H$143,CT!$E$5:$E$143,CĐPS_CT!A182)</f>
        <v>0</v>
      </c>
      <c r="G182" s="69">
        <f t="shared" si="4"/>
        <v>0</v>
      </c>
      <c r="H182" s="69">
        <f t="shared" si="5"/>
        <v>18898000</v>
      </c>
    </row>
    <row r="183" spans="1:8" x14ac:dyDescent="0.25">
      <c r="A183" s="93" t="str">
        <f>DMTK!B182</f>
        <v>412</v>
      </c>
      <c r="B183" s="65" t="str">
        <f>VLOOKUP(A183,DMTK!$B$5:$Q$263,3,0)</f>
        <v>Chênh lệch đánh giá lại tài sản</v>
      </c>
      <c r="C183" s="69">
        <f>VLOOKUP(A183,DMTK!$B$5:$Q$263,10,0)</f>
        <v>0</v>
      </c>
      <c r="D183" s="69">
        <f>VLOOKUP(A183,DMTK!B182:$Q$263,11,0)</f>
        <v>0</v>
      </c>
      <c r="E183" s="69">
        <f>SUMIFS(CT!$H$5:$H$143,CT!$D$5:$D$143,CĐPS_CT!A183)</f>
        <v>0</v>
      </c>
      <c r="F183" s="69">
        <f>SUMIFS(CT!$H$5:$H$143,CT!$E$5:$E$143,CĐPS_CT!A183)</f>
        <v>0</v>
      </c>
      <c r="G183" s="69">
        <f t="shared" si="4"/>
        <v>0</v>
      </c>
      <c r="H183" s="69">
        <f t="shared" si="5"/>
        <v>0</v>
      </c>
    </row>
    <row r="184" spans="1:8" x14ac:dyDescent="0.25">
      <c r="A184" s="93" t="str">
        <f>DMTK!B183</f>
        <v>4131</v>
      </c>
      <c r="B184" s="65" t="str">
        <f>VLOOKUP(A184,DMTK!$B$5:$Q$263,3,0)</f>
        <v>Chênh lệch tỷ giá do đánh giá lại các khoản mục tiền tệ có gốc ngoại tệ</v>
      </c>
      <c r="C184" s="69">
        <f>VLOOKUP(A184,DMTK!$B$5:$Q$263,10,0)</f>
        <v>0</v>
      </c>
      <c r="D184" s="69">
        <f>VLOOKUP(A184,DMTK!B183:$Q$263,11,0)</f>
        <v>0</v>
      </c>
      <c r="E184" s="69">
        <f>SUMIFS(CT!$H$5:$H$143,CT!$D$5:$D$143,CĐPS_CT!A184)</f>
        <v>0</v>
      </c>
      <c r="F184" s="69">
        <f>SUMIFS(CT!$H$5:$H$143,CT!$E$5:$E$143,CĐPS_CT!A184)</f>
        <v>0</v>
      </c>
      <c r="G184" s="69">
        <f t="shared" si="4"/>
        <v>0</v>
      </c>
      <c r="H184" s="69">
        <f t="shared" si="5"/>
        <v>0</v>
      </c>
    </row>
    <row r="185" spans="1:8" x14ac:dyDescent="0.25">
      <c r="A185" s="93" t="str">
        <f>DMTK!B184</f>
        <v>4132</v>
      </c>
      <c r="B185" s="65" t="str">
        <f>VLOOKUP(A185,DMTK!$B$5:$Q$263,3,0)</f>
        <v>Chênh lệch tỷ giá hối đoái trong giai đoạn trước hoạt động</v>
      </c>
      <c r="C185" s="69">
        <f>VLOOKUP(A185,DMTK!$B$5:$Q$263,10,0)</f>
        <v>0</v>
      </c>
      <c r="D185" s="69">
        <f>VLOOKUP(A185,DMTK!B184:$Q$263,11,0)</f>
        <v>0</v>
      </c>
      <c r="E185" s="69">
        <f>SUMIFS(CT!$H$5:$H$143,CT!$D$5:$D$143,CĐPS_CT!A185)</f>
        <v>0</v>
      </c>
      <c r="F185" s="69">
        <f>SUMIFS(CT!$H$5:$H$143,CT!$E$5:$E$143,CĐPS_CT!A185)</f>
        <v>0</v>
      </c>
      <c r="G185" s="69">
        <f t="shared" si="4"/>
        <v>0</v>
      </c>
      <c r="H185" s="69">
        <f t="shared" si="5"/>
        <v>0</v>
      </c>
    </row>
    <row r="186" spans="1:8" x14ac:dyDescent="0.25">
      <c r="A186" s="93" t="str">
        <f>DMTK!B185</f>
        <v>414</v>
      </c>
      <c r="B186" s="65" t="str">
        <f>VLOOKUP(A186,DMTK!$B$5:$Q$263,3,0)</f>
        <v>Quỹ đầu tư phát triển</v>
      </c>
      <c r="C186" s="69">
        <f>VLOOKUP(A186,DMTK!$B$5:$Q$263,10,0)</f>
        <v>0</v>
      </c>
      <c r="D186" s="69">
        <f>VLOOKUP(A186,DMTK!B185:$Q$263,11,0)</f>
        <v>120000000</v>
      </c>
      <c r="E186" s="69">
        <f>SUMIFS(CT!$H$5:$H$143,CT!$D$5:$D$143,CĐPS_CT!A186)</f>
        <v>0</v>
      </c>
      <c r="F186" s="69">
        <f>SUMIFS(CT!$H$5:$H$143,CT!$E$5:$E$143,CĐPS_CT!A186)</f>
        <v>0</v>
      </c>
      <c r="G186" s="69">
        <f t="shared" si="4"/>
        <v>0</v>
      </c>
      <c r="H186" s="69">
        <f t="shared" si="5"/>
        <v>120000000</v>
      </c>
    </row>
    <row r="187" spans="1:8" x14ac:dyDescent="0.25">
      <c r="A187" s="93" t="str">
        <f>DMTK!B186</f>
        <v>417</v>
      </c>
      <c r="B187" s="65" t="str">
        <f>VLOOKUP(A187,DMTK!$B$5:$Q$263,3,0)</f>
        <v>Quỹ hỗ trợ sắp xếp doanh nghiệp</v>
      </c>
      <c r="C187" s="69">
        <f>VLOOKUP(A187,DMTK!$B$5:$Q$263,10,0)</f>
        <v>0</v>
      </c>
      <c r="D187" s="69">
        <f>VLOOKUP(A187,DMTK!B186:$Q$263,11,0)</f>
        <v>0</v>
      </c>
      <c r="E187" s="69">
        <f>SUMIFS(CT!$H$5:$H$143,CT!$D$5:$D$143,CĐPS_CT!A187)</f>
        <v>0</v>
      </c>
      <c r="F187" s="69">
        <f>SUMIFS(CT!$H$5:$H$143,CT!$E$5:$E$143,CĐPS_CT!A187)</f>
        <v>0</v>
      </c>
      <c r="G187" s="69">
        <f t="shared" si="4"/>
        <v>0</v>
      </c>
      <c r="H187" s="69">
        <f t="shared" si="5"/>
        <v>0</v>
      </c>
    </row>
    <row r="188" spans="1:8" x14ac:dyDescent="0.25">
      <c r="A188" s="93" t="str">
        <f>DMTK!B187</f>
        <v>418</v>
      </c>
      <c r="B188" s="65" t="str">
        <f>VLOOKUP(A188,DMTK!$B$5:$Q$263,3,0)</f>
        <v>Các quỹ khác thuộc vốn chủ sở hữu</v>
      </c>
      <c r="C188" s="69">
        <f>VLOOKUP(A188,DMTK!$B$5:$Q$263,10,0)</f>
        <v>0</v>
      </c>
      <c r="D188" s="69">
        <f>VLOOKUP(A188,DMTK!B187:$Q$263,11,0)</f>
        <v>130000000</v>
      </c>
      <c r="E188" s="69">
        <f>SUMIFS(CT!$H$5:$H$143,CT!$D$5:$D$143,CĐPS_CT!A188)</f>
        <v>0</v>
      </c>
      <c r="F188" s="69">
        <f>SUMIFS(CT!$H$5:$H$143,CT!$E$5:$E$143,CĐPS_CT!A188)</f>
        <v>0</v>
      </c>
      <c r="G188" s="69">
        <f t="shared" si="4"/>
        <v>0</v>
      </c>
      <c r="H188" s="69">
        <f t="shared" si="5"/>
        <v>130000000</v>
      </c>
    </row>
    <row r="189" spans="1:8" x14ac:dyDescent="0.25">
      <c r="A189" s="93" t="str">
        <f>DMTK!B188</f>
        <v>419</v>
      </c>
      <c r="B189" s="65" t="str">
        <f>VLOOKUP(A189,DMTK!$B$5:$Q$263,3,0)</f>
        <v>Cổ phiếu quỹ</v>
      </c>
      <c r="C189" s="69">
        <f>VLOOKUP(A189,DMTK!$B$5:$Q$263,10,0)</f>
        <v>9449000</v>
      </c>
      <c r="D189" s="69">
        <f>VLOOKUP(A189,DMTK!B188:$Q$263,11,0)</f>
        <v>0</v>
      </c>
      <c r="E189" s="69">
        <f>SUMIFS(CT!$H$5:$H$143,CT!$D$5:$D$143,CĐPS_CT!A189)</f>
        <v>0</v>
      </c>
      <c r="F189" s="69">
        <f>SUMIFS(CT!$H$5:$H$143,CT!$E$5:$E$143,CĐPS_CT!A189)</f>
        <v>0</v>
      </c>
      <c r="G189" s="69">
        <f t="shared" si="4"/>
        <v>9449000</v>
      </c>
      <c r="H189" s="69">
        <f t="shared" si="5"/>
        <v>0</v>
      </c>
    </row>
    <row r="190" spans="1:8" x14ac:dyDescent="0.25">
      <c r="A190" s="93" t="str">
        <f>DMTK!B189</f>
        <v>4211</v>
      </c>
      <c r="B190" s="65" t="str">
        <f>VLOOKUP(A190,DMTK!$B$5:$Q$263,3,0)</f>
        <v>Lợi nhuận sau thuế chưa phân phối năm trước</v>
      </c>
      <c r="C190" s="69">
        <f>VLOOKUP(A190,DMTK!$B$5:$Q$263,10,0)</f>
        <v>0</v>
      </c>
      <c r="D190" s="69">
        <f>VLOOKUP(A190,DMTK!B189:$Q$263,11,0)</f>
        <v>204410000</v>
      </c>
      <c r="E190" s="69">
        <f>SUMIFS(CT!$H$5:$H$143,CT!$D$5:$D$143,CĐPS_CT!A190)</f>
        <v>0</v>
      </c>
      <c r="F190" s="69">
        <f>SUMIFS(CT!$H$5:$H$143,CT!$E$5:$E$143,CĐPS_CT!A190)</f>
        <v>0</v>
      </c>
      <c r="G190" s="69">
        <f t="shared" si="4"/>
        <v>0</v>
      </c>
      <c r="H190" s="69">
        <f t="shared" si="5"/>
        <v>204410000</v>
      </c>
    </row>
    <row r="191" spans="1:8" x14ac:dyDescent="0.25">
      <c r="A191" s="93" t="str">
        <f>DMTK!B190</f>
        <v>4212</v>
      </c>
      <c r="B191" s="65" t="str">
        <f>VLOOKUP(A191,DMTK!$B$5:$Q$263,3,0)</f>
        <v>Lợi nhuận sau thuế chưa phân phối năm nay</v>
      </c>
      <c r="C191" s="69">
        <f>VLOOKUP(A191,DMTK!$B$5:$Q$263,10,0)</f>
        <v>0</v>
      </c>
      <c r="D191" s="69">
        <f>VLOOKUP(A191,DMTK!B190:$Q$263,11,0)</f>
        <v>0</v>
      </c>
      <c r="E191" s="69">
        <f>SUMIFS(CT!$H$5:$H$143,CT!$D$5:$D$143,CĐPS_CT!A191)</f>
        <v>3387852</v>
      </c>
      <c r="F191" s="69">
        <f>SUMIFS(CT!$H$5:$H$143,CT!$E$5:$E$143,CĐPS_CT!A191)</f>
        <v>2269619</v>
      </c>
      <c r="G191" s="69">
        <f t="shared" si="4"/>
        <v>1118233</v>
      </c>
      <c r="H191" s="69">
        <f t="shared" si="5"/>
        <v>0</v>
      </c>
    </row>
    <row r="192" spans="1:8" x14ac:dyDescent="0.25">
      <c r="A192" s="93" t="str">
        <f>DMTK!B191</f>
        <v>441</v>
      </c>
      <c r="B192" s="65" t="str">
        <f>VLOOKUP(A192,DMTK!$B$5:$Q$263,3,0)</f>
        <v>Nguồn vốn đầu tư xây dựng cơ bản</v>
      </c>
      <c r="C192" s="69">
        <f>VLOOKUP(A192,DMTK!$B$5:$Q$263,10,0)</f>
        <v>0</v>
      </c>
      <c r="D192" s="69">
        <f>VLOOKUP(A192,DMTK!B191:$Q$263,11,0)</f>
        <v>300000000</v>
      </c>
      <c r="E192" s="69">
        <f>SUMIFS(CT!$H$5:$H$143,CT!$D$5:$D$143,CĐPS_CT!A192)</f>
        <v>0</v>
      </c>
      <c r="F192" s="69">
        <f>SUMIFS(CT!$H$5:$H$143,CT!$E$5:$E$143,CĐPS_CT!A192)</f>
        <v>0</v>
      </c>
      <c r="G192" s="69">
        <f t="shared" si="4"/>
        <v>0</v>
      </c>
      <c r="H192" s="69">
        <f t="shared" si="5"/>
        <v>300000000</v>
      </c>
    </row>
    <row r="193" spans="1:8" x14ac:dyDescent="0.25">
      <c r="A193" s="93" t="str">
        <f>DMTK!B192</f>
        <v>461</v>
      </c>
      <c r="B193" s="65" t="str">
        <f>VLOOKUP(A193,DMTK!$B$5:$Q$263,3,0)</f>
        <v>Nguồn kinh phí sự nghiệp</v>
      </c>
      <c r="C193" s="69">
        <f>VLOOKUP(A193,DMTK!$B$5:$Q$263,10,0)</f>
        <v>0</v>
      </c>
      <c r="D193" s="69">
        <f>VLOOKUP(A193,DMTK!B192:$Q$263,11,0)</f>
        <v>0</v>
      </c>
      <c r="E193" s="69">
        <f>SUMIFS(CT!$H$5:$H$143,CT!$D$5:$D$143,CĐPS_CT!A193)</f>
        <v>0</v>
      </c>
      <c r="F193" s="69">
        <f>SUMIFS(CT!$H$5:$H$143,CT!$E$5:$E$143,CĐPS_CT!A193)</f>
        <v>0</v>
      </c>
      <c r="G193" s="69">
        <f t="shared" si="4"/>
        <v>0</v>
      </c>
      <c r="H193" s="69">
        <f t="shared" si="5"/>
        <v>0</v>
      </c>
    </row>
    <row r="194" spans="1:8" x14ac:dyDescent="0.25">
      <c r="A194" s="93" t="str">
        <f>DMTK!B193</f>
        <v>466</v>
      </c>
      <c r="B194" s="65" t="str">
        <f>VLOOKUP(A194,DMTK!$B$5:$Q$263,3,0)</f>
        <v>Nguồn kinh phí đã hình thành TSCĐ</v>
      </c>
      <c r="C194" s="69">
        <f>VLOOKUP(A194,DMTK!$B$5:$Q$263,10,0)</f>
        <v>0</v>
      </c>
      <c r="D194" s="69">
        <f>VLOOKUP(A194,DMTK!B193:$Q$263,11,0)</f>
        <v>0</v>
      </c>
      <c r="E194" s="69">
        <f>SUMIFS(CT!$H$5:$H$143,CT!$D$5:$D$143,CĐPS_CT!A194)</f>
        <v>0</v>
      </c>
      <c r="F194" s="69">
        <f>SUMIFS(CT!$H$5:$H$143,CT!$E$5:$E$143,CĐPS_CT!A194)</f>
        <v>0</v>
      </c>
      <c r="G194" s="69">
        <f t="shared" si="4"/>
        <v>0</v>
      </c>
      <c r="H194" s="69">
        <f t="shared" si="5"/>
        <v>0</v>
      </c>
    </row>
    <row r="195" spans="1:8" x14ac:dyDescent="0.25">
      <c r="A195" s="93" t="str">
        <f>DMTK!B194</f>
        <v>5111</v>
      </c>
      <c r="B195" s="65" t="str">
        <f>VLOOKUP(A195,DMTK!$B$5:$Q$263,3,0)</f>
        <v>Doanh thu bán hàng hóa</v>
      </c>
      <c r="C195" s="69">
        <f>VLOOKUP(A195,DMTK!$B$5:$Q$263,10,0)</f>
        <v>0</v>
      </c>
      <c r="D195" s="69">
        <f>VLOOKUP(A195,DMTK!B194:$Q$263,11,0)</f>
        <v>0</v>
      </c>
      <c r="E195" s="69">
        <f>SUMIFS(CT!$H$5:$H$143,CT!$D$5:$D$143,CĐPS_CT!A195)</f>
        <v>0</v>
      </c>
      <c r="F195" s="69">
        <f>SUMIFS(CT!$H$5:$H$143,CT!$E$5:$E$143,CĐPS_CT!A195)</f>
        <v>0</v>
      </c>
      <c r="G195" s="69">
        <f t="shared" si="4"/>
        <v>0</v>
      </c>
      <c r="H195" s="69">
        <f t="shared" si="5"/>
        <v>0</v>
      </c>
    </row>
    <row r="196" spans="1:8" x14ac:dyDescent="0.25">
      <c r="A196" s="93" t="str">
        <f>DMTK!B195</f>
        <v>5112.0101</v>
      </c>
      <c r="B196" s="65" t="str">
        <f>VLOOKUP(A196,DMTK!$B$5:$Q$263,3,0)</f>
        <v>Doanh thu bán Ghế tay vịn</v>
      </c>
      <c r="C196" s="69">
        <f>VLOOKUP(A196,DMTK!$B$5:$Q$263,10,0)</f>
        <v>0</v>
      </c>
      <c r="D196" s="69">
        <f>VLOOKUP(A196,DMTK!B195:$Q$263,11,0)</f>
        <v>0</v>
      </c>
      <c r="E196" s="69">
        <f>SUMIFS(CT!$H$5:$H$143,CT!$D$5:$D$143,CĐPS_CT!A196)</f>
        <v>30000000</v>
      </c>
      <c r="F196" s="69">
        <f>SUMIFS(CT!$H$5:$H$143,CT!$E$5:$E$143,CĐPS_CT!A196)</f>
        <v>30000000</v>
      </c>
      <c r="G196" s="69">
        <f t="shared" si="4"/>
        <v>0</v>
      </c>
      <c r="H196" s="69">
        <f t="shared" si="5"/>
        <v>0</v>
      </c>
    </row>
    <row r="197" spans="1:8" x14ac:dyDescent="0.25">
      <c r="A197" s="93" t="str">
        <f>DMTK!B196</f>
        <v>5112.0102</v>
      </c>
      <c r="B197" s="65" t="str">
        <f>VLOOKUP(A197,DMTK!$B$5:$Q$263,3,0)</f>
        <v>Doanh thu bán Ghế không tay</v>
      </c>
      <c r="C197" s="69">
        <f>VLOOKUP(A197,DMTK!$B$5:$Q$263,10,0)</f>
        <v>0</v>
      </c>
      <c r="D197" s="69">
        <f>VLOOKUP(A197,DMTK!B196:$Q$263,11,0)</f>
        <v>0</v>
      </c>
      <c r="E197" s="69">
        <f>SUMIFS(CT!$H$5:$H$143,CT!$D$5:$D$143,CĐPS_CT!A197)</f>
        <v>28000000</v>
      </c>
      <c r="F197" s="69">
        <f>SUMIFS(CT!$H$5:$H$143,CT!$E$5:$E$143,CĐPS_CT!A197)</f>
        <v>28000000</v>
      </c>
      <c r="G197" s="69">
        <f t="shared" si="4"/>
        <v>0</v>
      </c>
      <c r="H197" s="69">
        <f t="shared" si="5"/>
        <v>0</v>
      </c>
    </row>
    <row r="198" spans="1:8" x14ac:dyDescent="0.25">
      <c r="A198" s="93" t="str">
        <f>DMTK!B197</f>
        <v>5112.0201</v>
      </c>
      <c r="B198" s="65" t="str">
        <f>VLOOKUP(A198,DMTK!$B$5:$Q$263,3,0)</f>
        <v>Doanh thu bán  Bàn tròn</v>
      </c>
      <c r="C198" s="69">
        <f>VLOOKUP(A198,DMTK!$B$5:$Q$263,10,0)</f>
        <v>0</v>
      </c>
      <c r="D198" s="69">
        <f>VLOOKUP(A198,DMTK!B197:$Q$263,11,0)</f>
        <v>0</v>
      </c>
      <c r="E198" s="69">
        <f>SUMIFS(CT!$H$5:$H$143,CT!$D$5:$D$143,CĐPS_CT!A198)</f>
        <v>0</v>
      </c>
      <c r="F198" s="69">
        <f>SUMIFS(CT!$H$5:$H$143,CT!$E$5:$E$143,CĐPS_CT!A198)</f>
        <v>0</v>
      </c>
      <c r="G198" s="69">
        <f t="shared" si="4"/>
        <v>0</v>
      </c>
      <c r="H198" s="69">
        <f t="shared" si="5"/>
        <v>0</v>
      </c>
    </row>
    <row r="199" spans="1:8" x14ac:dyDescent="0.25">
      <c r="A199" s="93" t="str">
        <f>DMTK!B198</f>
        <v>5112.0202</v>
      </c>
      <c r="B199" s="65" t="str">
        <f>VLOOKUP(A199,DMTK!$B$5:$Q$263,3,0)</f>
        <v>Doanh thu bán Bàn oval</v>
      </c>
      <c r="C199" s="69">
        <f>VLOOKUP(A199,DMTK!$B$5:$Q$263,10,0)</f>
        <v>0</v>
      </c>
      <c r="D199" s="69">
        <f>VLOOKUP(A199,DMTK!B198:$Q$263,11,0)</f>
        <v>0</v>
      </c>
      <c r="E199" s="69">
        <f>SUMIFS(CT!$H$5:$H$143,CT!$D$5:$D$143,CĐPS_CT!A199)</f>
        <v>30000000</v>
      </c>
      <c r="F199" s="69">
        <f>SUMIFS(CT!$H$5:$H$143,CT!$E$5:$E$143,CĐPS_CT!A199)</f>
        <v>30000000</v>
      </c>
      <c r="G199" s="69">
        <f t="shared" ref="G199:G262" si="6">MAX(C199+E199-D199-F199,0)</f>
        <v>0</v>
      </c>
      <c r="H199" s="69">
        <f t="shared" ref="H199:H262" si="7">MAX(D199+F199-C199-E199,0)</f>
        <v>0</v>
      </c>
    </row>
    <row r="200" spans="1:8" x14ac:dyDescent="0.25">
      <c r="A200" s="93" t="str">
        <f>DMTK!B199</f>
        <v>5112.0203</v>
      </c>
      <c r="B200" s="65" t="str">
        <f>VLOOKUP(A200,DMTK!$B$5:$Q$263,3,0)</f>
        <v>Doanh thu bán Bàn chữ nhật</v>
      </c>
      <c r="C200" s="69">
        <f>VLOOKUP(A200,DMTK!$B$5:$Q$263,10,0)</f>
        <v>0</v>
      </c>
      <c r="D200" s="69">
        <f>VLOOKUP(A200,DMTK!B199:$Q$263,11,0)</f>
        <v>0</v>
      </c>
      <c r="E200" s="69">
        <f>SUMIFS(CT!$H$5:$H$143,CT!$D$5:$D$143,CĐPS_CT!A200)</f>
        <v>0</v>
      </c>
      <c r="F200" s="69">
        <f>SUMIFS(CT!$H$5:$H$143,CT!$E$5:$E$143,CĐPS_CT!A200)</f>
        <v>0</v>
      </c>
      <c r="G200" s="69">
        <f t="shared" si="6"/>
        <v>0</v>
      </c>
      <c r="H200" s="69">
        <f t="shared" si="7"/>
        <v>0</v>
      </c>
    </row>
    <row r="201" spans="1:8" x14ac:dyDescent="0.25">
      <c r="A201" s="93" t="str">
        <f>DMTK!B200</f>
        <v>5113</v>
      </c>
      <c r="B201" s="65" t="str">
        <f>VLOOKUP(A201,DMTK!$B$5:$Q$263,3,0)</f>
        <v>Doanh thu cung cấp dịch vụ</v>
      </c>
      <c r="C201" s="69">
        <f>VLOOKUP(A201,DMTK!$B$5:$Q$263,10,0)</f>
        <v>0</v>
      </c>
      <c r="D201" s="69">
        <f>VLOOKUP(A201,DMTK!B200:$Q$263,11,0)</f>
        <v>0</v>
      </c>
      <c r="E201" s="69">
        <f>SUMIFS(CT!$H$5:$H$143,CT!$D$5:$D$143,CĐPS_CT!A201)</f>
        <v>0</v>
      </c>
      <c r="F201" s="69">
        <f>SUMIFS(CT!$H$5:$H$143,CT!$E$5:$E$143,CĐPS_CT!A201)</f>
        <v>0</v>
      </c>
      <c r="G201" s="69">
        <f t="shared" si="6"/>
        <v>0</v>
      </c>
      <c r="H201" s="69">
        <f t="shared" si="7"/>
        <v>0</v>
      </c>
    </row>
    <row r="202" spans="1:8" x14ac:dyDescent="0.25">
      <c r="A202" s="93" t="str">
        <f>DMTK!B201</f>
        <v>5114</v>
      </c>
      <c r="B202" s="65" t="str">
        <f>VLOOKUP(A202,DMTK!$B$5:$Q$263,3,0)</f>
        <v>Doanh thu trợ cấp, trợ giá</v>
      </c>
      <c r="C202" s="69">
        <f>VLOOKUP(A202,DMTK!$B$5:$Q$263,10,0)</f>
        <v>0</v>
      </c>
      <c r="D202" s="69">
        <f>VLOOKUP(A202,DMTK!B201:$Q$263,11,0)</f>
        <v>0</v>
      </c>
      <c r="E202" s="69">
        <f>SUMIFS(CT!$H$5:$H$143,CT!$D$5:$D$143,CĐPS_CT!A202)</f>
        <v>0</v>
      </c>
      <c r="F202" s="69">
        <f>SUMIFS(CT!$H$5:$H$143,CT!$E$5:$E$143,CĐPS_CT!A202)</f>
        <v>0</v>
      </c>
      <c r="G202" s="69">
        <f t="shared" si="6"/>
        <v>0</v>
      </c>
      <c r="H202" s="69">
        <f t="shared" si="7"/>
        <v>0</v>
      </c>
    </row>
    <row r="203" spans="1:8" x14ac:dyDescent="0.25">
      <c r="A203" s="93" t="str">
        <f>DMTK!B202</f>
        <v>5117</v>
      </c>
      <c r="B203" s="65" t="str">
        <f>VLOOKUP(A203,DMTK!$B$5:$Q$263,3,0)</f>
        <v>Doanh thu kinh doanh bất động sản đầu tư</v>
      </c>
      <c r="C203" s="69">
        <f>VLOOKUP(A203,DMTK!$B$5:$Q$263,10,0)</f>
        <v>0</v>
      </c>
      <c r="D203" s="69">
        <f>VLOOKUP(A203,DMTK!B202:$Q$263,11,0)</f>
        <v>0</v>
      </c>
      <c r="E203" s="69">
        <f>SUMIFS(CT!$H$5:$H$143,CT!$D$5:$D$143,CĐPS_CT!A203)</f>
        <v>0</v>
      </c>
      <c r="F203" s="69">
        <f>SUMIFS(CT!$H$5:$H$143,CT!$E$5:$E$143,CĐPS_CT!A203)</f>
        <v>0</v>
      </c>
      <c r="G203" s="69">
        <f t="shared" si="6"/>
        <v>0</v>
      </c>
      <c r="H203" s="69">
        <f t="shared" si="7"/>
        <v>0</v>
      </c>
    </row>
    <row r="204" spans="1:8" x14ac:dyDescent="0.25">
      <c r="A204" s="93" t="str">
        <f>DMTK!B203</f>
        <v>515</v>
      </c>
      <c r="B204" s="65" t="str">
        <f>VLOOKUP(A204,DMTK!$B$5:$Q$263,3,0)</f>
        <v>Doanh thu hoạt động tài chính</v>
      </c>
      <c r="C204" s="69">
        <f>VLOOKUP(A204,DMTK!$B$5:$Q$263,10,0)</f>
        <v>0</v>
      </c>
      <c r="D204" s="69">
        <f>VLOOKUP(A204,DMTK!B203:$Q$263,11,0)</f>
        <v>0</v>
      </c>
      <c r="E204" s="69">
        <f>SUMIFS(CT!$H$5:$H$143,CT!$D$5:$D$143,CĐPS_CT!A204)</f>
        <v>0</v>
      </c>
      <c r="F204" s="69">
        <f>SUMIFS(CT!$H$5:$H$143,CT!$E$5:$E$143,CĐPS_CT!A204)</f>
        <v>0</v>
      </c>
      <c r="G204" s="69">
        <f t="shared" si="6"/>
        <v>0</v>
      </c>
      <c r="H204" s="69">
        <f t="shared" si="7"/>
        <v>0</v>
      </c>
    </row>
    <row r="205" spans="1:8" x14ac:dyDescent="0.25">
      <c r="A205" s="93" t="str">
        <f>DMTK!B204</f>
        <v>5211</v>
      </c>
      <c r="B205" s="65" t="str">
        <f>VLOOKUP(A205,DMTK!$B$5:$Q$263,3,0)</f>
        <v>Chiết khấu thương mại</v>
      </c>
      <c r="C205" s="69">
        <f>VLOOKUP(A205,DMTK!$B$5:$Q$263,10,0)</f>
        <v>0</v>
      </c>
      <c r="D205" s="69">
        <f>VLOOKUP(A205,DMTK!B204:$Q$263,11,0)</f>
        <v>0</v>
      </c>
      <c r="E205" s="69">
        <f>SUMIFS(CT!$H$5:$H$143,CT!$D$5:$D$143,CĐPS_CT!A205)</f>
        <v>0</v>
      </c>
      <c r="F205" s="69">
        <f>SUMIFS(CT!$H$5:$H$143,CT!$E$5:$E$143,CĐPS_CT!A205)</f>
        <v>0</v>
      </c>
      <c r="G205" s="69">
        <f t="shared" si="6"/>
        <v>0</v>
      </c>
      <c r="H205" s="69">
        <f t="shared" si="7"/>
        <v>0</v>
      </c>
    </row>
    <row r="206" spans="1:8" x14ac:dyDescent="0.25">
      <c r="A206" s="93" t="str">
        <f>DMTK!B205</f>
        <v>5212</v>
      </c>
      <c r="B206" s="65" t="str">
        <f>VLOOKUP(A206,DMTK!$B$5:$Q$263,3,0)</f>
        <v>Giảm giá hàng bán</v>
      </c>
      <c r="C206" s="69">
        <f>VLOOKUP(A206,DMTK!$B$5:$Q$263,10,0)</f>
        <v>0</v>
      </c>
      <c r="D206" s="69">
        <f>VLOOKUP(A206,DMTK!B205:$Q$263,11,0)</f>
        <v>0</v>
      </c>
      <c r="E206" s="69">
        <f>SUMIFS(CT!$H$5:$H$143,CT!$D$5:$D$143,CĐPS_CT!A206)</f>
        <v>0</v>
      </c>
      <c r="F206" s="69">
        <f>SUMIFS(CT!$H$5:$H$143,CT!$E$5:$E$143,CĐPS_CT!A206)</f>
        <v>0</v>
      </c>
      <c r="G206" s="69">
        <f t="shared" si="6"/>
        <v>0</v>
      </c>
      <c r="H206" s="69">
        <f t="shared" si="7"/>
        <v>0</v>
      </c>
    </row>
    <row r="207" spans="1:8" x14ac:dyDescent="0.25">
      <c r="A207" s="93" t="str">
        <f>DMTK!B206</f>
        <v>5213</v>
      </c>
      <c r="B207" s="65" t="str">
        <f>VLOOKUP(A207,DMTK!$B$5:$Q$263,3,0)</f>
        <v>Hàng bán bị trả lại</v>
      </c>
      <c r="C207" s="69">
        <f>VLOOKUP(A207,DMTK!$B$5:$Q$263,10,0)</f>
        <v>0</v>
      </c>
      <c r="D207" s="69">
        <f>VLOOKUP(A207,DMTK!B206:$Q$263,11,0)</f>
        <v>0</v>
      </c>
      <c r="E207" s="69">
        <f>SUMIFS(CT!$H$5:$H$143,CT!$D$5:$D$143,CĐPS_CT!A207)</f>
        <v>0</v>
      </c>
      <c r="F207" s="69">
        <f>SUMIFS(CT!$H$5:$H$143,CT!$E$5:$E$143,CĐPS_CT!A207)</f>
        <v>0</v>
      </c>
      <c r="G207" s="69">
        <f t="shared" si="6"/>
        <v>0</v>
      </c>
      <c r="H207" s="69">
        <f t="shared" si="7"/>
        <v>0</v>
      </c>
    </row>
    <row r="208" spans="1:8" x14ac:dyDescent="0.25">
      <c r="A208" s="93" t="str">
        <f>DMTK!B207</f>
        <v>6111</v>
      </c>
      <c r="B208" s="65" t="str">
        <f>VLOOKUP(A208,DMTK!$B$5:$Q$263,3,0)</f>
        <v>Mua nguyên liệu, vật liệu</v>
      </c>
      <c r="C208" s="69">
        <f>VLOOKUP(A208,DMTK!$B$5:$Q$263,10,0)</f>
        <v>0</v>
      </c>
      <c r="D208" s="69">
        <f>VLOOKUP(A208,DMTK!B207:$Q$263,11,0)</f>
        <v>0</v>
      </c>
      <c r="E208" s="69">
        <f>SUMIFS(CT!$H$5:$H$143,CT!$D$5:$D$143,CĐPS_CT!A208)</f>
        <v>0</v>
      </c>
      <c r="F208" s="69">
        <f>SUMIFS(CT!$H$5:$H$143,CT!$E$5:$E$143,CĐPS_CT!A208)</f>
        <v>0</v>
      </c>
      <c r="G208" s="69">
        <f t="shared" si="6"/>
        <v>0</v>
      </c>
      <c r="H208" s="69">
        <f t="shared" si="7"/>
        <v>0</v>
      </c>
    </row>
    <row r="209" spans="1:8" x14ac:dyDescent="0.25">
      <c r="A209" s="93" t="str">
        <f>DMTK!B208</f>
        <v>6112</v>
      </c>
      <c r="B209" s="65" t="str">
        <f>VLOOKUP(A209,DMTK!$B$5:$Q$263,3,0)</f>
        <v>Mua hàng hóa</v>
      </c>
      <c r="C209" s="69">
        <f>VLOOKUP(A209,DMTK!$B$5:$Q$263,10,0)</f>
        <v>0</v>
      </c>
      <c r="D209" s="69">
        <f>VLOOKUP(A209,DMTK!B208:$Q$263,11,0)</f>
        <v>0</v>
      </c>
      <c r="E209" s="69">
        <f>SUMIFS(CT!$H$5:$H$143,CT!$D$5:$D$143,CĐPS_CT!A209)</f>
        <v>0</v>
      </c>
      <c r="F209" s="69">
        <f>SUMIFS(CT!$H$5:$H$143,CT!$E$5:$E$143,CĐPS_CT!A209)</f>
        <v>0</v>
      </c>
      <c r="G209" s="69">
        <f t="shared" si="6"/>
        <v>0</v>
      </c>
      <c r="H209" s="69">
        <f t="shared" si="7"/>
        <v>0</v>
      </c>
    </row>
    <row r="210" spans="1:8" x14ac:dyDescent="0.25">
      <c r="A210" s="93" t="str">
        <f>DMTK!B209</f>
        <v>6211.01</v>
      </c>
      <c r="B210" s="65" t="str">
        <f>VLOOKUP(A210,DMTK!$B$5:$Q$263,3,0)</f>
        <v>CFNVL Ghế tay vịn</v>
      </c>
      <c r="C210" s="69">
        <f>VLOOKUP(A210,DMTK!$B$5:$Q$263,10,0)</f>
        <v>0</v>
      </c>
      <c r="D210" s="69">
        <f>VLOOKUP(A210,DMTK!B209:$Q$263,11,0)</f>
        <v>0</v>
      </c>
      <c r="E210" s="69">
        <f>SUMIFS(CT!$H$5:$H$143,CT!$D$5:$D$143,CĐPS_CT!A210)</f>
        <v>14432200</v>
      </c>
      <c r="F210" s="69">
        <f>SUMIFS(CT!$H$5:$H$143,CT!$E$5:$E$143,CĐPS_CT!A210)</f>
        <v>14432200</v>
      </c>
      <c r="G210" s="69">
        <f t="shared" si="6"/>
        <v>0</v>
      </c>
      <c r="H210" s="69">
        <f t="shared" si="7"/>
        <v>0</v>
      </c>
    </row>
    <row r="211" spans="1:8" x14ac:dyDescent="0.25">
      <c r="A211" s="93" t="str">
        <f>DMTK!B210</f>
        <v>6211.02</v>
      </c>
      <c r="B211" s="65" t="str">
        <f>VLOOKUP(A211,DMTK!$B$5:$Q$263,3,0)</f>
        <v>CFNVL Ghế không tay</v>
      </c>
      <c r="C211" s="69">
        <f>VLOOKUP(A211,DMTK!$B$5:$Q$263,10,0)</f>
        <v>0</v>
      </c>
      <c r="D211" s="69">
        <f>VLOOKUP(A211,DMTK!B210:$Q$263,11,0)</f>
        <v>0</v>
      </c>
      <c r="E211" s="69">
        <f>SUMIFS(CT!$H$5:$H$143,CT!$D$5:$D$143,CĐPS_CT!A211)</f>
        <v>0</v>
      </c>
      <c r="F211" s="69">
        <f>SUMIFS(CT!$H$5:$H$143,CT!$E$5:$E$143,CĐPS_CT!A211)</f>
        <v>0</v>
      </c>
      <c r="G211" s="69">
        <f t="shared" si="6"/>
        <v>0</v>
      </c>
      <c r="H211" s="69">
        <f t="shared" si="7"/>
        <v>0</v>
      </c>
    </row>
    <row r="212" spans="1:8" x14ac:dyDescent="0.25">
      <c r="A212" s="93" t="str">
        <f>DMTK!B211</f>
        <v>6211.03</v>
      </c>
      <c r="B212" s="65" t="str">
        <f>VLOOKUP(A212,DMTK!$B$5:$Q$263,3,0)</f>
        <v>CFNVL Bàn tròn</v>
      </c>
      <c r="C212" s="69">
        <f>VLOOKUP(A212,DMTK!$B$5:$Q$263,10,0)</f>
        <v>0</v>
      </c>
      <c r="D212" s="69">
        <f>VLOOKUP(A212,DMTK!B211:$Q$263,11,0)</f>
        <v>0</v>
      </c>
      <c r="E212" s="69">
        <f>SUMIFS(CT!$H$5:$H$143,CT!$D$5:$D$143,CĐPS_CT!A212)</f>
        <v>3646000</v>
      </c>
      <c r="F212" s="69">
        <f>SUMIFS(CT!$H$5:$H$143,CT!$E$5:$E$143,CĐPS_CT!A212)</f>
        <v>3646000</v>
      </c>
      <c r="G212" s="69">
        <f t="shared" si="6"/>
        <v>0</v>
      </c>
      <c r="H212" s="69">
        <f t="shared" si="7"/>
        <v>0</v>
      </c>
    </row>
    <row r="213" spans="1:8" x14ac:dyDescent="0.25">
      <c r="A213" s="93" t="str">
        <f>DMTK!B212</f>
        <v>6211.04</v>
      </c>
      <c r="B213" s="65" t="str">
        <f>VLOOKUP(A213,DMTK!$B$5:$Q$263,3,0)</f>
        <v>CFNVL Bàn oval</v>
      </c>
      <c r="C213" s="69">
        <f>VLOOKUP(A213,DMTK!$B$5:$Q$263,10,0)</f>
        <v>0</v>
      </c>
      <c r="D213" s="69">
        <f>VLOOKUP(A213,DMTK!B212:$Q$263,11,0)</f>
        <v>0</v>
      </c>
      <c r="E213" s="69">
        <f>SUMIFS(CT!$H$5:$H$143,CT!$D$5:$D$143,CĐPS_CT!A213)</f>
        <v>0</v>
      </c>
      <c r="F213" s="69">
        <f>SUMIFS(CT!$H$5:$H$143,CT!$E$5:$E$143,CĐPS_CT!A213)</f>
        <v>0</v>
      </c>
      <c r="G213" s="69">
        <f t="shared" si="6"/>
        <v>0</v>
      </c>
      <c r="H213" s="69">
        <f t="shared" si="7"/>
        <v>0</v>
      </c>
    </row>
    <row r="214" spans="1:8" x14ac:dyDescent="0.25">
      <c r="A214" s="93" t="str">
        <f>DMTK!B213</f>
        <v>6211.05</v>
      </c>
      <c r="B214" s="65" t="str">
        <f>VLOOKUP(A214,DMTK!$B$5:$Q$263,3,0)</f>
        <v>CFNVL Bàn chữ nhật</v>
      </c>
      <c r="C214" s="69">
        <f>VLOOKUP(A214,DMTK!$B$5:$Q$263,10,0)</f>
        <v>0</v>
      </c>
      <c r="D214" s="69">
        <f>VLOOKUP(A214,DMTK!B213:$Q$263,11,0)</f>
        <v>0</v>
      </c>
      <c r="E214" s="69">
        <f>SUMIFS(CT!$H$5:$H$143,CT!$D$5:$D$143,CĐPS_CT!A214)</f>
        <v>0</v>
      </c>
      <c r="F214" s="69">
        <f>SUMIFS(CT!$H$5:$H$143,CT!$E$5:$E$143,CĐPS_CT!A214)</f>
        <v>0</v>
      </c>
      <c r="G214" s="69">
        <f t="shared" si="6"/>
        <v>0</v>
      </c>
      <c r="H214" s="69">
        <f t="shared" si="7"/>
        <v>0</v>
      </c>
    </row>
    <row r="215" spans="1:8" x14ac:dyDescent="0.25">
      <c r="A215" s="93" t="str">
        <f>DMTK!B214</f>
        <v>622.01</v>
      </c>
      <c r="B215" s="65" t="str">
        <f>VLOOKUP(A215,DMTK!$B$5:$Q$263,3,0)</f>
        <v>CFNC Ghế tay vịn</v>
      </c>
      <c r="C215" s="69">
        <f>VLOOKUP(A215,DMTK!$B$5:$Q$263,10,0)</f>
        <v>0</v>
      </c>
      <c r="D215" s="69">
        <f>VLOOKUP(A215,DMTK!B214:$Q$263,11,0)</f>
        <v>0</v>
      </c>
      <c r="E215" s="69">
        <f>SUMIFS(CT!$H$5:$H$143,CT!$D$5:$D$143,CĐPS_CT!A215)</f>
        <v>48800000</v>
      </c>
      <c r="F215" s="69">
        <f>SUMIFS(CT!$H$5:$H$143,CT!$E$5:$E$143,CĐPS_CT!A215)</f>
        <v>48800000</v>
      </c>
      <c r="G215" s="69">
        <f t="shared" si="6"/>
        <v>0</v>
      </c>
      <c r="H215" s="69">
        <f t="shared" si="7"/>
        <v>0</v>
      </c>
    </row>
    <row r="216" spans="1:8" x14ac:dyDescent="0.25">
      <c r="A216" s="93" t="str">
        <f>DMTK!B215</f>
        <v>622.02</v>
      </c>
      <c r="B216" s="65" t="str">
        <f>VLOOKUP(A216,DMTK!$B$5:$Q$263,3,0)</f>
        <v>CFNC Ghế không tay</v>
      </c>
      <c r="C216" s="69">
        <f>VLOOKUP(A216,DMTK!$B$5:$Q$263,10,0)</f>
        <v>0</v>
      </c>
      <c r="D216" s="69">
        <f>VLOOKUP(A216,DMTK!B215:$Q$263,11,0)</f>
        <v>0</v>
      </c>
      <c r="E216" s="69">
        <f>SUMIFS(CT!$H$5:$H$143,CT!$D$5:$D$143,CĐPS_CT!A216)</f>
        <v>48800000</v>
      </c>
      <c r="F216" s="69">
        <f>SUMIFS(CT!$H$5:$H$143,CT!$E$5:$E$143,CĐPS_CT!A216)</f>
        <v>48800000</v>
      </c>
      <c r="G216" s="69">
        <f t="shared" si="6"/>
        <v>0</v>
      </c>
      <c r="H216" s="69">
        <f t="shared" si="7"/>
        <v>0</v>
      </c>
    </row>
    <row r="217" spans="1:8" x14ac:dyDescent="0.25">
      <c r="A217" s="93" t="str">
        <f>DMTK!B216</f>
        <v>622.03</v>
      </c>
      <c r="B217" s="65" t="str">
        <f>VLOOKUP(A217,DMTK!$B$5:$Q$263,3,0)</f>
        <v>CFNC Bàn tròn</v>
      </c>
      <c r="C217" s="69">
        <f>VLOOKUP(A217,DMTK!$B$5:$Q$263,10,0)</f>
        <v>0</v>
      </c>
      <c r="D217" s="69">
        <f>VLOOKUP(A217,DMTK!B216:$Q$263,11,0)</f>
        <v>0</v>
      </c>
      <c r="E217" s="69">
        <f>SUMIFS(CT!$H$5:$H$143,CT!$D$5:$D$143,CĐPS_CT!A217)</f>
        <v>48800000</v>
      </c>
      <c r="F217" s="69">
        <f>SUMIFS(CT!$H$5:$H$143,CT!$E$5:$E$143,CĐPS_CT!A217)</f>
        <v>48800000</v>
      </c>
      <c r="G217" s="69">
        <f t="shared" si="6"/>
        <v>0</v>
      </c>
      <c r="H217" s="69">
        <f t="shared" si="7"/>
        <v>0</v>
      </c>
    </row>
    <row r="218" spans="1:8" x14ac:dyDescent="0.25">
      <c r="A218" s="93" t="str">
        <f>DMTK!B217</f>
        <v>622.04</v>
      </c>
      <c r="B218" s="65" t="str">
        <f>VLOOKUP(A218,DMTK!$B$5:$Q$263,3,0)</f>
        <v>CFNCBàn oval</v>
      </c>
      <c r="C218" s="69">
        <f>VLOOKUP(A218,DMTK!$B$5:$Q$263,10,0)</f>
        <v>0</v>
      </c>
      <c r="D218" s="69">
        <f>VLOOKUP(A218,DMTK!B217:$Q$263,11,0)</f>
        <v>0</v>
      </c>
      <c r="E218" s="69">
        <f>SUMIFS(CT!$H$5:$H$143,CT!$D$5:$D$143,CĐPS_CT!A218)</f>
        <v>48800000</v>
      </c>
      <c r="F218" s="69">
        <f>SUMIFS(CT!$H$5:$H$143,CT!$E$5:$E$143,CĐPS_CT!A218)</f>
        <v>48800000</v>
      </c>
      <c r="G218" s="69">
        <f t="shared" si="6"/>
        <v>0</v>
      </c>
      <c r="H218" s="69">
        <f t="shared" si="7"/>
        <v>0</v>
      </c>
    </row>
    <row r="219" spans="1:8" x14ac:dyDescent="0.25">
      <c r="A219" s="93" t="str">
        <f>DMTK!B218</f>
        <v>622.05</v>
      </c>
      <c r="B219" s="65" t="str">
        <f>VLOOKUP(A219,DMTK!$B$5:$Q$263,3,0)</f>
        <v>CFNC Bàn chữ nhật</v>
      </c>
      <c r="C219" s="69">
        <f>VLOOKUP(A219,DMTK!$B$5:$Q$263,10,0)</f>
        <v>0</v>
      </c>
      <c r="D219" s="69">
        <f>VLOOKUP(A219,DMTK!B218:$Q$263,11,0)</f>
        <v>0</v>
      </c>
      <c r="E219" s="69">
        <f>SUMIFS(CT!$H$5:$H$143,CT!$D$5:$D$143,CĐPS_CT!A219)</f>
        <v>48800000</v>
      </c>
      <c r="F219" s="69">
        <f>SUMIFS(CT!$H$5:$H$143,CT!$E$5:$E$143,CĐPS_CT!A219)</f>
        <v>48800000</v>
      </c>
      <c r="G219" s="69">
        <f t="shared" si="6"/>
        <v>0</v>
      </c>
      <c r="H219" s="69">
        <f t="shared" si="7"/>
        <v>0</v>
      </c>
    </row>
    <row r="220" spans="1:8" x14ac:dyDescent="0.25">
      <c r="A220" s="93" t="str">
        <f>DMTK!B219</f>
        <v>6231</v>
      </c>
      <c r="B220" s="65" t="str">
        <f>VLOOKUP(A220,DMTK!$B$5:$Q$263,3,0)</f>
        <v>Chi phí nhân công</v>
      </c>
      <c r="C220" s="69">
        <f>VLOOKUP(A220,DMTK!$B$5:$Q$263,10,0)</f>
        <v>0</v>
      </c>
      <c r="D220" s="69">
        <f>VLOOKUP(A220,DMTK!B219:$Q$263,11,0)</f>
        <v>0</v>
      </c>
      <c r="E220" s="69">
        <f>SUMIFS(CT!$H$5:$H$143,CT!$D$5:$D$143,CĐPS_CT!A220)</f>
        <v>0</v>
      </c>
      <c r="F220" s="69">
        <f>SUMIFS(CT!$H$5:$H$143,CT!$E$5:$E$143,CĐPS_CT!A220)</f>
        <v>0</v>
      </c>
      <c r="G220" s="69">
        <f t="shared" si="6"/>
        <v>0</v>
      </c>
      <c r="H220" s="69">
        <f t="shared" si="7"/>
        <v>0</v>
      </c>
    </row>
    <row r="221" spans="1:8" x14ac:dyDescent="0.25">
      <c r="A221" s="93" t="str">
        <f>DMTK!B220</f>
        <v>6232</v>
      </c>
      <c r="B221" s="65" t="str">
        <f>VLOOKUP(A221,DMTK!$B$5:$Q$263,3,0)</f>
        <v>Chi phí nguyên, vật liệu</v>
      </c>
      <c r="C221" s="69">
        <f>VLOOKUP(A221,DMTK!$B$5:$Q$263,10,0)</f>
        <v>0</v>
      </c>
      <c r="D221" s="69">
        <f>VLOOKUP(A221,DMTK!B220:$Q$263,11,0)</f>
        <v>0</v>
      </c>
      <c r="E221" s="69">
        <f>SUMIFS(CT!$H$5:$H$143,CT!$D$5:$D$143,CĐPS_CT!A221)</f>
        <v>0</v>
      </c>
      <c r="F221" s="69">
        <f>SUMIFS(CT!$H$5:$H$143,CT!$E$5:$E$143,CĐPS_CT!A221)</f>
        <v>0</v>
      </c>
      <c r="G221" s="69">
        <f t="shared" si="6"/>
        <v>0</v>
      </c>
      <c r="H221" s="69">
        <f t="shared" si="7"/>
        <v>0</v>
      </c>
    </row>
    <row r="222" spans="1:8" x14ac:dyDescent="0.25">
      <c r="A222" s="93" t="str">
        <f>DMTK!B221</f>
        <v>6233</v>
      </c>
      <c r="B222" s="65" t="str">
        <f>VLOOKUP(A222,DMTK!$B$5:$Q$263,3,0)</f>
        <v>Chi phí dụng cụ sản xuất</v>
      </c>
      <c r="C222" s="69">
        <f>VLOOKUP(A222,DMTK!$B$5:$Q$263,10,0)</f>
        <v>0</v>
      </c>
      <c r="D222" s="69">
        <f>VLOOKUP(A222,DMTK!B221:$Q$263,11,0)</f>
        <v>0</v>
      </c>
      <c r="E222" s="69">
        <f>SUMIFS(CT!$H$5:$H$143,CT!$D$5:$D$143,CĐPS_CT!A222)</f>
        <v>0</v>
      </c>
      <c r="F222" s="69">
        <f>SUMIFS(CT!$H$5:$H$143,CT!$E$5:$E$143,CĐPS_CT!A222)</f>
        <v>0</v>
      </c>
      <c r="G222" s="69">
        <f t="shared" si="6"/>
        <v>0</v>
      </c>
      <c r="H222" s="69">
        <f t="shared" si="7"/>
        <v>0</v>
      </c>
    </row>
    <row r="223" spans="1:8" x14ac:dyDescent="0.25">
      <c r="A223" s="93" t="str">
        <f>DMTK!B222</f>
        <v>6234</v>
      </c>
      <c r="B223" s="65" t="str">
        <f>VLOOKUP(A223,DMTK!$B$5:$Q$263,3,0)</f>
        <v>Chi phí khấu hao máy thi công</v>
      </c>
      <c r="C223" s="69">
        <f>VLOOKUP(A223,DMTK!$B$5:$Q$263,10,0)</f>
        <v>0</v>
      </c>
      <c r="D223" s="69">
        <f>VLOOKUP(A223,DMTK!B222:$Q$263,11,0)</f>
        <v>0</v>
      </c>
      <c r="E223" s="69">
        <f>SUMIFS(CT!$H$5:$H$143,CT!$D$5:$D$143,CĐPS_CT!A223)</f>
        <v>0</v>
      </c>
      <c r="F223" s="69">
        <f>SUMIFS(CT!$H$5:$H$143,CT!$E$5:$E$143,CĐPS_CT!A223)</f>
        <v>0</v>
      </c>
      <c r="G223" s="69">
        <f t="shared" si="6"/>
        <v>0</v>
      </c>
      <c r="H223" s="69">
        <f t="shared" si="7"/>
        <v>0</v>
      </c>
    </row>
    <row r="224" spans="1:8" x14ac:dyDescent="0.25">
      <c r="A224" s="93" t="str">
        <f>DMTK!B223</f>
        <v>6237</v>
      </c>
      <c r="B224" s="65" t="str">
        <f>VLOOKUP(A224,DMTK!$B$5:$Q$263,3,0)</f>
        <v>Chi phí dịch vụ mua ngoài</v>
      </c>
      <c r="C224" s="69">
        <f>VLOOKUP(A224,DMTK!$B$5:$Q$263,10,0)</f>
        <v>0</v>
      </c>
      <c r="D224" s="69">
        <f>VLOOKUP(A224,DMTK!B223:$Q$263,11,0)</f>
        <v>0</v>
      </c>
      <c r="E224" s="69">
        <f>SUMIFS(CT!$H$5:$H$143,CT!$D$5:$D$143,CĐPS_CT!A224)</f>
        <v>0</v>
      </c>
      <c r="F224" s="69">
        <f>SUMIFS(CT!$H$5:$H$143,CT!$E$5:$E$143,CĐPS_CT!A224)</f>
        <v>0</v>
      </c>
      <c r="G224" s="69">
        <f t="shared" si="6"/>
        <v>0</v>
      </c>
      <c r="H224" s="69">
        <f t="shared" si="7"/>
        <v>0</v>
      </c>
    </row>
    <row r="225" spans="1:8" x14ac:dyDescent="0.25">
      <c r="A225" s="93" t="str">
        <f>DMTK!B224</f>
        <v>6238</v>
      </c>
      <c r="B225" s="65" t="str">
        <f>VLOOKUP(A225,DMTK!$B$5:$Q$263,3,0)</f>
        <v>Chi phí bằng tiền khác</v>
      </c>
      <c r="C225" s="69">
        <f>VLOOKUP(A225,DMTK!$B$5:$Q$263,10,0)</f>
        <v>0</v>
      </c>
      <c r="D225" s="69">
        <f>VLOOKUP(A225,DMTK!B224:$Q$263,11,0)</f>
        <v>0</v>
      </c>
      <c r="E225" s="69">
        <f>SUMIFS(CT!$H$5:$H$143,CT!$D$5:$D$143,CĐPS_CT!A225)</f>
        <v>0</v>
      </c>
      <c r="F225" s="69">
        <f>SUMIFS(CT!$H$5:$H$143,CT!$E$5:$E$143,CĐPS_CT!A225)</f>
        <v>0</v>
      </c>
      <c r="G225" s="69">
        <f t="shared" si="6"/>
        <v>0</v>
      </c>
      <c r="H225" s="69">
        <f t="shared" si="7"/>
        <v>0</v>
      </c>
    </row>
    <row r="226" spans="1:8" x14ac:dyDescent="0.25">
      <c r="A226" s="93" t="str">
        <f>DMTK!B225</f>
        <v>6271</v>
      </c>
      <c r="B226" s="65" t="str">
        <f>VLOOKUP(A226,DMTK!$B$5:$Q$263,3,0)</f>
        <v>Chi phí nhân viên phân xưởng</v>
      </c>
      <c r="C226" s="69">
        <f>VLOOKUP(A226,DMTK!$B$5:$Q$263,10,0)</f>
        <v>0</v>
      </c>
      <c r="D226" s="69">
        <f>VLOOKUP(A226,DMTK!B225:$Q$263,11,0)</f>
        <v>0</v>
      </c>
      <c r="E226" s="69">
        <f>SUMIFS(CT!$H$5:$H$143,CT!$D$5:$D$143,CĐPS_CT!A226)</f>
        <v>42700000</v>
      </c>
      <c r="F226" s="69">
        <f>SUMIFS(CT!$H$5:$H$143,CT!$E$5:$E$143,CĐPS_CT!A226)</f>
        <v>42700000</v>
      </c>
      <c r="G226" s="69">
        <f t="shared" si="6"/>
        <v>0</v>
      </c>
      <c r="H226" s="69">
        <f t="shared" si="7"/>
        <v>0</v>
      </c>
    </row>
    <row r="227" spans="1:8" x14ac:dyDescent="0.25">
      <c r="A227" s="93" t="str">
        <f>DMTK!B226</f>
        <v>6272</v>
      </c>
      <c r="B227" s="65" t="str">
        <f>VLOOKUP(A227,DMTK!$B$5:$Q$263,3,0)</f>
        <v>Chi phí nguyên, vật liệu</v>
      </c>
      <c r="C227" s="69">
        <f>VLOOKUP(A227,DMTK!$B$5:$Q$263,10,0)</f>
        <v>0</v>
      </c>
      <c r="D227" s="69">
        <f>VLOOKUP(A227,DMTK!B226:$Q$263,11,0)</f>
        <v>0</v>
      </c>
      <c r="E227" s="69">
        <f>SUMIFS(CT!$H$5:$H$143,CT!$D$5:$D$143,CĐPS_CT!A227)</f>
        <v>0</v>
      </c>
      <c r="F227" s="69">
        <f>SUMIFS(CT!$H$5:$H$143,CT!$E$5:$E$143,CĐPS_CT!A227)</f>
        <v>0</v>
      </c>
      <c r="G227" s="69">
        <f t="shared" si="6"/>
        <v>0</v>
      </c>
      <c r="H227" s="69">
        <f t="shared" si="7"/>
        <v>0</v>
      </c>
    </row>
    <row r="228" spans="1:8" x14ac:dyDescent="0.25">
      <c r="A228" s="93" t="str">
        <f>DMTK!B227</f>
        <v>6273</v>
      </c>
      <c r="B228" s="65" t="str">
        <f>VLOOKUP(A228,DMTK!$B$5:$Q$263,3,0)</f>
        <v>Chi phí dụng cụ sản xuất</v>
      </c>
      <c r="C228" s="69">
        <f>VLOOKUP(A228,DMTK!$B$5:$Q$263,10,0)</f>
        <v>0</v>
      </c>
      <c r="D228" s="69">
        <f>VLOOKUP(A228,DMTK!B227:$Q$263,11,0)</f>
        <v>0</v>
      </c>
      <c r="E228" s="69">
        <f>SUMIFS(CT!$H$5:$H$143,CT!$D$5:$D$143,CĐPS_CT!A228)</f>
        <v>500000</v>
      </c>
      <c r="F228" s="69">
        <f>SUMIFS(CT!$H$5:$H$143,CT!$E$5:$E$143,CĐPS_CT!A228)</f>
        <v>500000</v>
      </c>
      <c r="G228" s="69">
        <f t="shared" si="6"/>
        <v>0</v>
      </c>
      <c r="H228" s="69">
        <f t="shared" si="7"/>
        <v>0</v>
      </c>
    </row>
    <row r="229" spans="1:8" x14ac:dyDescent="0.25">
      <c r="A229" s="93" t="str">
        <f>DMTK!B228</f>
        <v>6274</v>
      </c>
      <c r="B229" s="65" t="str">
        <f>VLOOKUP(A229,DMTK!$B$5:$Q$263,3,0)</f>
        <v>Chi phí khấu hao TSCĐ</v>
      </c>
      <c r="C229" s="69">
        <f>VLOOKUP(A229,DMTK!$B$5:$Q$263,10,0)</f>
        <v>0</v>
      </c>
      <c r="D229" s="69">
        <f>VLOOKUP(A229,DMTK!B228:$Q$263,11,0)</f>
        <v>0</v>
      </c>
      <c r="E229" s="69">
        <f>SUMIFS(CT!$H$5:$H$143,CT!$D$5:$D$143,CĐPS_CT!A229)</f>
        <v>1666666</v>
      </c>
      <c r="F229" s="69">
        <f>SUMIFS(CT!$H$5:$H$143,CT!$E$5:$E$143,CĐPS_CT!A229)</f>
        <v>1666666</v>
      </c>
      <c r="G229" s="69">
        <f t="shared" si="6"/>
        <v>0</v>
      </c>
      <c r="H229" s="69">
        <f t="shared" si="7"/>
        <v>0</v>
      </c>
    </row>
    <row r="230" spans="1:8" x14ac:dyDescent="0.25">
      <c r="A230" s="93" t="str">
        <f>DMTK!B229</f>
        <v>6277</v>
      </c>
      <c r="B230" s="65" t="str">
        <f>VLOOKUP(A230,DMTK!$B$5:$Q$263,3,0)</f>
        <v>Chi phí dịch vụ mua ngoài</v>
      </c>
      <c r="C230" s="69">
        <f>VLOOKUP(A230,DMTK!$B$5:$Q$263,10,0)</f>
        <v>0</v>
      </c>
      <c r="D230" s="69">
        <f>VLOOKUP(A230,DMTK!B229:$Q$263,11,0)</f>
        <v>0</v>
      </c>
      <c r="E230" s="69">
        <f>SUMIFS(CT!$H$5:$H$143,CT!$D$5:$D$143,CĐPS_CT!A230)</f>
        <v>0</v>
      </c>
      <c r="F230" s="69">
        <f>SUMIFS(CT!$H$5:$H$143,CT!$E$5:$E$143,CĐPS_CT!A230)</f>
        <v>0</v>
      </c>
      <c r="G230" s="69">
        <f t="shared" si="6"/>
        <v>0</v>
      </c>
      <c r="H230" s="69">
        <f t="shared" si="7"/>
        <v>0</v>
      </c>
    </row>
    <row r="231" spans="1:8" x14ac:dyDescent="0.25">
      <c r="A231" s="93" t="str">
        <f>DMTK!B230</f>
        <v>6278</v>
      </c>
      <c r="B231" s="65" t="str">
        <f>VLOOKUP(A231,DMTK!$B$5:$Q$263,3,0)</f>
        <v>Chi phí bằng tiền khác</v>
      </c>
      <c r="C231" s="69">
        <f>VLOOKUP(A231,DMTK!$B$5:$Q$263,10,0)</f>
        <v>0</v>
      </c>
      <c r="D231" s="69">
        <f>VLOOKUP(A231,DMTK!B230:$Q$263,11,0)</f>
        <v>0</v>
      </c>
      <c r="E231" s="69">
        <f>SUMIFS(CT!$H$5:$H$143,CT!$D$5:$D$143,CĐPS_CT!A231)</f>
        <v>0</v>
      </c>
      <c r="F231" s="69">
        <f>SUMIFS(CT!$H$5:$H$143,CT!$E$5:$E$143,CĐPS_CT!A231)</f>
        <v>0</v>
      </c>
      <c r="G231" s="69">
        <f t="shared" si="6"/>
        <v>0</v>
      </c>
      <c r="H231" s="69">
        <f t="shared" si="7"/>
        <v>0</v>
      </c>
    </row>
    <row r="232" spans="1:8" x14ac:dyDescent="0.25">
      <c r="A232" s="93" t="str">
        <f>DMTK!B231</f>
        <v>631</v>
      </c>
      <c r="B232" s="65" t="str">
        <f>VLOOKUP(A232,DMTK!$B$5:$Q$263,3,0)</f>
        <v>Giá thành sản xuất</v>
      </c>
      <c r="C232" s="69">
        <f>VLOOKUP(A232,DMTK!$B$5:$Q$263,10,0)</f>
        <v>0</v>
      </c>
      <c r="D232" s="69">
        <f>VLOOKUP(A232,DMTK!B231:$Q$263,11,0)</f>
        <v>0</v>
      </c>
      <c r="E232" s="69">
        <f>SUMIFS(CT!$H$5:$H$143,CT!$D$5:$D$143,CĐPS_CT!A232)</f>
        <v>0</v>
      </c>
      <c r="F232" s="69">
        <f>SUMIFS(CT!$H$5:$H$143,CT!$E$5:$E$143,CĐPS_CT!A232)</f>
        <v>0</v>
      </c>
      <c r="G232" s="69">
        <f t="shared" si="6"/>
        <v>0</v>
      </c>
      <c r="H232" s="69">
        <f t="shared" si="7"/>
        <v>0</v>
      </c>
    </row>
    <row r="233" spans="1:8" x14ac:dyDescent="0.25">
      <c r="A233" s="93" t="str">
        <f>DMTK!B232</f>
        <v>632.0101</v>
      </c>
      <c r="B233" s="65" t="str">
        <f>VLOOKUP(A233,DMTK!$B$5:$Q$263,3,0)</f>
        <v>GVHB Ghế tay vịn</v>
      </c>
      <c r="C233" s="69">
        <f>VLOOKUP(A233,DMTK!$B$5:$Q$263,10,0)</f>
        <v>0</v>
      </c>
      <c r="D233" s="69">
        <f>VLOOKUP(A233,DMTK!B232:$Q$263,11,0)</f>
        <v>0</v>
      </c>
      <c r="E233" s="69">
        <f>SUMIFS(CT!$H$5:$H$143,CT!$D$5:$D$143,CĐPS_CT!A233)</f>
        <v>25123700</v>
      </c>
      <c r="F233" s="69">
        <f>SUMIFS(CT!$H$5:$H$143,CT!$E$5:$E$143,CĐPS_CT!A233)</f>
        <v>25123700</v>
      </c>
      <c r="G233" s="69">
        <f t="shared" si="6"/>
        <v>0</v>
      </c>
      <c r="H233" s="69">
        <f t="shared" si="7"/>
        <v>0</v>
      </c>
    </row>
    <row r="234" spans="1:8" x14ac:dyDescent="0.25">
      <c r="A234" s="93" t="str">
        <f>DMTK!B233</f>
        <v>632.0102</v>
      </c>
      <c r="B234" s="65" t="str">
        <f>VLOOKUP(A234,DMTK!$B$5:$Q$263,3,0)</f>
        <v>GVHB Ghế không tay</v>
      </c>
      <c r="C234" s="69">
        <f>VLOOKUP(A234,DMTK!$B$5:$Q$263,10,0)</f>
        <v>0</v>
      </c>
      <c r="D234" s="69">
        <f>VLOOKUP(A234,DMTK!B233:$Q$263,11,0)</f>
        <v>0</v>
      </c>
      <c r="E234" s="69">
        <f>SUMIFS(CT!$H$5:$H$143,CT!$D$5:$D$143,CĐPS_CT!A234)</f>
        <v>20346200</v>
      </c>
      <c r="F234" s="69">
        <f>SUMIFS(CT!$H$5:$H$143,CT!$E$5:$E$143,CĐPS_CT!A234)</f>
        <v>20346200</v>
      </c>
      <c r="G234" s="69">
        <f t="shared" si="6"/>
        <v>0</v>
      </c>
      <c r="H234" s="69">
        <f t="shared" si="7"/>
        <v>0</v>
      </c>
    </row>
    <row r="235" spans="1:8" x14ac:dyDescent="0.25">
      <c r="A235" s="93" t="str">
        <f>DMTK!B234</f>
        <v>632.0201</v>
      </c>
      <c r="B235" s="65" t="str">
        <f>VLOOKUP(A235,DMTK!$B$5:$Q$263,3,0)</f>
        <v>GVHB Bàn tròn</v>
      </c>
      <c r="C235" s="69">
        <f>VLOOKUP(A235,DMTK!$B$5:$Q$263,10,0)</f>
        <v>0</v>
      </c>
      <c r="D235" s="69">
        <f>VLOOKUP(A235,DMTK!B234:$Q$263,11,0)</f>
        <v>0</v>
      </c>
      <c r="E235" s="69">
        <f>SUMIFS(CT!$H$5:$H$143,CT!$D$5:$D$143,CĐPS_CT!A235)</f>
        <v>0</v>
      </c>
      <c r="F235" s="69">
        <f>SUMIFS(CT!$H$5:$H$143,CT!$E$5:$E$143,CĐPS_CT!A235)</f>
        <v>0</v>
      </c>
      <c r="G235" s="69">
        <f t="shared" si="6"/>
        <v>0</v>
      </c>
      <c r="H235" s="69">
        <f t="shared" si="7"/>
        <v>0</v>
      </c>
    </row>
    <row r="236" spans="1:8" x14ac:dyDescent="0.25">
      <c r="A236" s="93" t="str">
        <f>DMTK!B235</f>
        <v>632.0202</v>
      </c>
      <c r="B236" s="65" t="str">
        <f>VLOOKUP(A236,DMTK!$B$5:$Q$263,3,0)</f>
        <v>GVHB Bàn oval</v>
      </c>
      <c r="C236" s="69">
        <f>VLOOKUP(A236,DMTK!$B$5:$Q$263,10,0)</f>
        <v>0</v>
      </c>
      <c r="D236" s="69">
        <f>VLOOKUP(A236,DMTK!B235:$Q$263,11,0)</f>
        <v>0</v>
      </c>
      <c r="E236" s="69">
        <f>SUMIFS(CT!$H$5:$H$143,CT!$D$5:$D$143,CĐPS_CT!A236)</f>
        <v>25000000</v>
      </c>
      <c r="F236" s="69">
        <f>SUMIFS(CT!$H$5:$H$143,CT!$E$5:$E$143,CĐPS_CT!A236)</f>
        <v>25000000</v>
      </c>
      <c r="G236" s="69">
        <f t="shared" si="6"/>
        <v>0</v>
      </c>
      <c r="H236" s="69">
        <f t="shared" si="7"/>
        <v>0</v>
      </c>
    </row>
    <row r="237" spans="1:8" x14ac:dyDescent="0.25">
      <c r="A237" s="93" t="str">
        <f>DMTK!B236</f>
        <v>632.0203</v>
      </c>
      <c r="B237" s="65" t="str">
        <f>VLOOKUP(A237,DMTK!$B$5:$Q$263,3,0)</f>
        <v>GVHB Bàn chữ nhật</v>
      </c>
      <c r="C237" s="69">
        <f>VLOOKUP(A237,DMTK!$B$5:$Q$263,10,0)</f>
        <v>0</v>
      </c>
      <c r="D237" s="69">
        <f>VLOOKUP(A237,DMTK!B236:$Q$263,11,0)</f>
        <v>0</v>
      </c>
      <c r="E237" s="69">
        <f>SUMIFS(CT!$H$5:$H$143,CT!$D$5:$D$143,CĐPS_CT!A237)</f>
        <v>0</v>
      </c>
      <c r="F237" s="69">
        <f>SUMIFS(CT!$H$5:$H$143,CT!$E$5:$E$143,CĐPS_CT!A237)</f>
        <v>0</v>
      </c>
      <c r="G237" s="69">
        <f t="shared" si="6"/>
        <v>0</v>
      </c>
      <c r="H237" s="69">
        <f t="shared" si="7"/>
        <v>0</v>
      </c>
    </row>
    <row r="238" spans="1:8" x14ac:dyDescent="0.25">
      <c r="A238" s="93" t="str">
        <f>DMTK!B237</f>
        <v>635</v>
      </c>
      <c r="B238" s="65" t="str">
        <f>VLOOKUP(A238,DMTK!$B$5:$Q$263,3,0)</f>
        <v>Chi phí tài chính</v>
      </c>
      <c r="C238" s="69">
        <f>VLOOKUP(A238,DMTK!$B$5:$Q$263,10,0)</f>
        <v>0</v>
      </c>
      <c r="D238" s="69">
        <f>VLOOKUP(A238,DMTK!B237:$Q$263,11,0)</f>
        <v>0</v>
      </c>
      <c r="E238" s="69">
        <f>SUMIFS(CT!$H$5:$H$143,CT!$D$5:$D$143,CĐPS_CT!A238)</f>
        <v>0</v>
      </c>
      <c r="F238" s="69">
        <f>SUMIFS(CT!$H$5:$H$143,CT!$E$5:$E$143,CĐPS_CT!A238)</f>
        <v>0</v>
      </c>
      <c r="G238" s="69">
        <f t="shared" si="6"/>
        <v>0</v>
      </c>
      <c r="H238" s="69">
        <f t="shared" si="7"/>
        <v>0</v>
      </c>
    </row>
    <row r="239" spans="1:8" x14ac:dyDescent="0.25">
      <c r="A239" s="93" t="str">
        <f>DMTK!B238</f>
        <v>6351</v>
      </c>
      <c r="B239" s="65" t="str">
        <f>VLOOKUP(A239,DMTK!$B$5:$Q$263,3,0)</f>
        <v>Chi phí lãi vay</v>
      </c>
      <c r="C239" s="69">
        <f>VLOOKUP(A239,DMTK!$B$5:$Q$263,10,0)</f>
        <v>0</v>
      </c>
      <c r="D239" s="69">
        <f>VLOOKUP(A239,DMTK!B238:$Q$263,11,0)</f>
        <v>0</v>
      </c>
      <c r="E239" s="69">
        <f>SUMIFS(CT!$H$5:$H$143,CT!$D$5:$D$143,CĐPS_CT!A239)</f>
        <v>0</v>
      </c>
      <c r="F239" s="69">
        <f>SUMIFS(CT!$H$5:$H$143,CT!$E$5:$E$143,CĐPS_CT!A239)</f>
        <v>0</v>
      </c>
      <c r="G239" s="69">
        <f t="shared" si="6"/>
        <v>0</v>
      </c>
      <c r="H239" s="69">
        <f t="shared" si="7"/>
        <v>0</v>
      </c>
    </row>
    <row r="240" spans="1:8" x14ac:dyDescent="0.25">
      <c r="A240" s="93" t="str">
        <f>DMTK!B239</f>
        <v>6411</v>
      </c>
      <c r="B240" s="65" t="str">
        <f>VLOOKUP(A240,DMTK!$B$5:$Q$263,3,0)</f>
        <v xml:space="preserve">Chi phí nhân viên </v>
      </c>
      <c r="C240" s="69">
        <f>VLOOKUP(A240,DMTK!$B$5:$Q$263,10,0)</f>
        <v>0</v>
      </c>
      <c r="D240" s="69">
        <f>VLOOKUP(A240,DMTK!B239:$Q$263,11,0)</f>
        <v>0</v>
      </c>
      <c r="E240" s="69">
        <f>SUMIFS(CT!$H$5:$H$143,CT!$D$5:$D$143,CĐPS_CT!A240)</f>
        <v>6100000</v>
      </c>
      <c r="F240" s="69">
        <f>SUMIFS(CT!$H$5:$H$143,CT!$E$5:$E$143,CĐPS_CT!A240)</f>
        <v>6100000</v>
      </c>
      <c r="G240" s="69">
        <f t="shared" si="6"/>
        <v>0</v>
      </c>
      <c r="H240" s="69">
        <f t="shared" si="7"/>
        <v>0</v>
      </c>
    </row>
    <row r="241" spans="1:8" x14ac:dyDescent="0.25">
      <c r="A241" s="93" t="str">
        <f>DMTK!B240</f>
        <v>6412</v>
      </c>
      <c r="B241" s="65" t="str">
        <f>VLOOKUP(A241,DMTK!$B$5:$Q$263,3,0)</f>
        <v>Chi phí nguyên vật liệu, bao bì</v>
      </c>
      <c r="C241" s="69">
        <f>VLOOKUP(A241,DMTK!$B$5:$Q$263,10,0)</f>
        <v>0</v>
      </c>
      <c r="D241" s="69">
        <f>VLOOKUP(A241,DMTK!B240:$Q$263,11,0)</f>
        <v>0</v>
      </c>
      <c r="E241" s="69">
        <f>SUMIFS(CT!$H$5:$H$143,CT!$D$5:$D$143,CĐPS_CT!A241)</f>
        <v>0</v>
      </c>
      <c r="F241" s="69">
        <f>SUMIFS(CT!$H$5:$H$143,CT!$E$5:$E$143,CĐPS_CT!A241)</f>
        <v>0</v>
      </c>
      <c r="G241" s="69">
        <f t="shared" si="6"/>
        <v>0</v>
      </c>
      <c r="H241" s="69">
        <f t="shared" si="7"/>
        <v>0</v>
      </c>
    </row>
    <row r="242" spans="1:8" x14ac:dyDescent="0.25">
      <c r="A242" s="93" t="str">
        <f>DMTK!B241</f>
        <v>6413</v>
      </c>
      <c r="B242" s="65" t="str">
        <f>VLOOKUP(A242,DMTK!$B$5:$Q$263,3,0)</f>
        <v>Chi phí dụng cụ, đồ dùng</v>
      </c>
      <c r="C242" s="69">
        <f>VLOOKUP(A242,DMTK!$B$5:$Q$263,10,0)</f>
        <v>0</v>
      </c>
      <c r="D242" s="69">
        <f>VLOOKUP(A242,DMTK!B241:$Q$263,11,0)</f>
        <v>0</v>
      </c>
      <c r="E242" s="69">
        <f>SUMIFS(CT!$H$5:$H$143,CT!$D$5:$D$143,CĐPS_CT!A242)</f>
        <v>250000</v>
      </c>
      <c r="F242" s="69">
        <f>SUMIFS(CT!$H$5:$H$143,CT!$E$5:$E$143,CĐPS_CT!A242)</f>
        <v>250000</v>
      </c>
      <c r="G242" s="69">
        <f t="shared" si="6"/>
        <v>0</v>
      </c>
      <c r="H242" s="69">
        <f t="shared" si="7"/>
        <v>0</v>
      </c>
    </row>
    <row r="243" spans="1:8" x14ac:dyDescent="0.25">
      <c r="A243" s="93" t="str">
        <f>DMTK!B242</f>
        <v>6414</v>
      </c>
      <c r="B243" s="65" t="str">
        <f>VLOOKUP(A243,DMTK!$B$5:$Q$263,3,0)</f>
        <v>Chi phí khấu hao TSCĐ</v>
      </c>
      <c r="C243" s="69">
        <f>VLOOKUP(A243,DMTK!$B$5:$Q$263,10,0)</f>
        <v>0</v>
      </c>
      <c r="D243" s="69">
        <f>VLOOKUP(A243,DMTK!B242:$Q$263,11,0)</f>
        <v>0</v>
      </c>
      <c r="E243" s="69">
        <f>SUMIFS(CT!$H$5:$H$143,CT!$D$5:$D$143,CĐPS_CT!A243)</f>
        <v>0</v>
      </c>
      <c r="F243" s="69">
        <f>SUMIFS(CT!$H$5:$H$143,CT!$E$5:$E$143,CĐPS_CT!A243)</f>
        <v>0</v>
      </c>
      <c r="G243" s="69">
        <f t="shared" si="6"/>
        <v>0</v>
      </c>
      <c r="H243" s="69">
        <f t="shared" si="7"/>
        <v>0</v>
      </c>
    </row>
    <row r="244" spans="1:8" x14ac:dyDescent="0.25">
      <c r="A244" s="93" t="str">
        <f>DMTK!B243</f>
        <v>6415</v>
      </c>
      <c r="B244" s="65" t="str">
        <f>VLOOKUP(A244,DMTK!$B$5:$Q$263,3,0)</f>
        <v>Chi phí bảo hành</v>
      </c>
      <c r="C244" s="69">
        <f>VLOOKUP(A244,DMTK!$B$5:$Q$263,10,0)</f>
        <v>0</v>
      </c>
      <c r="D244" s="69">
        <f>VLOOKUP(A244,DMTK!B243:$Q$263,11,0)</f>
        <v>0</v>
      </c>
      <c r="E244" s="69">
        <f>SUMIFS(CT!$H$5:$H$143,CT!$D$5:$D$143,CĐPS_CT!A244)</f>
        <v>0</v>
      </c>
      <c r="F244" s="69">
        <f>SUMIFS(CT!$H$5:$H$143,CT!$E$5:$E$143,CĐPS_CT!A244)</f>
        <v>0</v>
      </c>
      <c r="G244" s="69">
        <f t="shared" si="6"/>
        <v>0</v>
      </c>
      <c r="H244" s="69">
        <f t="shared" si="7"/>
        <v>0</v>
      </c>
    </row>
    <row r="245" spans="1:8" x14ac:dyDescent="0.25">
      <c r="A245" s="93" t="str">
        <f>DMTK!B244</f>
        <v>6417</v>
      </c>
      <c r="B245" s="65" t="str">
        <f>VLOOKUP(A245,DMTK!$B$5:$Q$263,3,0)</f>
        <v>Chi phí dịch vụ mua ngoài</v>
      </c>
      <c r="C245" s="69">
        <f>VLOOKUP(A245,DMTK!$B$5:$Q$263,10,0)</f>
        <v>0</v>
      </c>
      <c r="D245" s="69">
        <f>VLOOKUP(A245,DMTK!B244:$Q$263,11,0)</f>
        <v>0</v>
      </c>
      <c r="E245" s="69">
        <f>SUMIFS(CT!$H$5:$H$143,CT!$D$5:$D$143,CĐPS_CT!A245)</f>
        <v>0</v>
      </c>
      <c r="F245" s="69">
        <f>SUMIFS(CT!$H$5:$H$143,CT!$E$5:$E$143,CĐPS_CT!A245)</f>
        <v>0</v>
      </c>
      <c r="G245" s="69">
        <f t="shared" si="6"/>
        <v>0</v>
      </c>
      <c r="H245" s="69">
        <f t="shared" si="7"/>
        <v>0</v>
      </c>
    </row>
    <row r="246" spans="1:8" x14ac:dyDescent="0.25">
      <c r="A246" s="93" t="str">
        <f>DMTK!B245</f>
        <v>6418</v>
      </c>
      <c r="B246" s="65" t="str">
        <f>VLOOKUP(A246,DMTK!$B$5:$Q$263,3,0)</f>
        <v>Chi phí bằng tiền khác</v>
      </c>
      <c r="C246" s="69">
        <f>VLOOKUP(A246,DMTK!$B$5:$Q$263,10,0)</f>
        <v>0</v>
      </c>
      <c r="D246" s="69">
        <f>VLOOKUP(A246,DMTK!B245:$Q$263,11,0)</f>
        <v>0</v>
      </c>
      <c r="E246" s="69">
        <f>SUMIFS(CT!$H$5:$H$143,CT!$D$5:$D$143,CĐPS_CT!A246)</f>
        <v>0</v>
      </c>
      <c r="F246" s="69">
        <f>SUMIFS(CT!$H$5:$H$143,CT!$E$5:$E$143,CĐPS_CT!A246)</f>
        <v>0</v>
      </c>
      <c r="G246" s="69">
        <f t="shared" si="6"/>
        <v>0</v>
      </c>
      <c r="H246" s="69">
        <f t="shared" si="7"/>
        <v>0</v>
      </c>
    </row>
    <row r="247" spans="1:8" x14ac:dyDescent="0.25">
      <c r="A247" s="93" t="str">
        <f>DMTK!B246</f>
        <v>6421</v>
      </c>
      <c r="B247" s="65" t="str">
        <f>VLOOKUP(A247,DMTK!$B$5:$Q$263,3,0)</f>
        <v>Chi phí nhân viên quản lý</v>
      </c>
      <c r="C247" s="69">
        <f>VLOOKUP(A247,DMTK!$B$5:$Q$263,10,0)</f>
        <v>0</v>
      </c>
      <c r="D247" s="69">
        <f>VLOOKUP(A247,DMTK!B246:$Q$263,11,0)</f>
        <v>0</v>
      </c>
      <c r="E247" s="69">
        <f>SUMIFS(CT!$H$5:$H$143,CT!$D$5:$D$143,CĐPS_CT!A247)</f>
        <v>8540000</v>
      </c>
      <c r="F247" s="69">
        <f>SUMIFS(CT!$H$5:$H$143,CT!$E$5:$E$143,CĐPS_CT!A247)</f>
        <v>8540000</v>
      </c>
      <c r="G247" s="69">
        <f t="shared" si="6"/>
        <v>0</v>
      </c>
      <c r="H247" s="69">
        <f t="shared" si="7"/>
        <v>0</v>
      </c>
    </row>
    <row r="248" spans="1:8" x14ac:dyDescent="0.25">
      <c r="A248" s="93" t="str">
        <f>DMTK!B247</f>
        <v>6422</v>
      </c>
      <c r="B248" s="65" t="str">
        <f>VLOOKUP(A248,DMTK!$B$5:$Q$263,3,0)</f>
        <v>Chi phí vật liệu quản lý</v>
      </c>
      <c r="C248" s="69">
        <f>VLOOKUP(A248,DMTK!$B$5:$Q$263,10,0)</f>
        <v>0</v>
      </c>
      <c r="D248" s="69">
        <f>VLOOKUP(A248,DMTK!B247:$Q$263,11,0)</f>
        <v>0</v>
      </c>
      <c r="E248" s="69">
        <f>SUMIFS(CT!$H$5:$H$143,CT!$D$5:$D$143,CĐPS_CT!A248)</f>
        <v>0</v>
      </c>
      <c r="F248" s="69">
        <f>SUMIFS(CT!$H$5:$H$143,CT!$E$5:$E$143,CĐPS_CT!A248)</f>
        <v>0</v>
      </c>
      <c r="G248" s="69">
        <f t="shared" si="6"/>
        <v>0</v>
      </c>
      <c r="H248" s="69">
        <f t="shared" si="7"/>
        <v>0</v>
      </c>
    </row>
    <row r="249" spans="1:8" x14ac:dyDescent="0.25">
      <c r="A249" s="93" t="str">
        <f>DMTK!B248</f>
        <v>6423</v>
      </c>
      <c r="B249" s="65" t="str">
        <f>VLOOKUP(A249,DMTK!$B$5:$Q$263,3,0)</f>
        <v>Chi phí đồ dùng văn phòng</v>
      </c>
      <c r="C249" s="69">
        <f>VLOOKUP(A249,DMTK!$B$5:$Q$263,10,0)</f>
        <v>0</v>
      </c>
      <c r="D249" s="69">
        <f>VLOOKUP(A249,DMTK!B248:$Q$263,11,0)</f>
        <v>0</v>
      </c>
      <c r="E249" s="69">
        <f>SUMIFS(CT!$H$5:$H$143,CT!$D$5:$D$143,CĐPS_CT!A249)</f>
        <v>500000</v>
      </c>
      <c r="F249" s="69">
        <f>SUMIFS(CT!$H$5:$H$143,CT!$E$5:$E$143,CĐPS_CT!A249)</f>
        <v>500000</v>
      </c>
      <c r="G249" s="69">
        <f t="shared" si="6"/>
        <v>0</v>
      </c>
      <c r="H249" s="69">
        <f t="shared" si="7"/>
        <v>0</v>
      </c>
    </row>
    <row r="250" spans="1:8" x14ac:dyDescent="0.25">
      <c r="A250" s="93" t="str">
        <f>DMTK!B249</f>
        <v>6424</v>
      </c>
      <c r="B250" s="65" t="str">
        <f>VLOOKUP(A250,DMTK!$B$5:$Q$263,3,0)</f>
        <v>Chi phí khấu hao TSCĐ</v>
      </c>
      <c r="C250" s="69">
        <f>VLOOKUP(A250,DMTK!$B$5:$Q$263,10,0)</f>
        <v>0</v>
      </c>
      <c r="D250" s="69">
        <f>VLOOKUP(A250,DMTK!B249:$Q$263,11,0)</f>
        <v>0</v>
      </c>
      <c r="E250" s="69">
        <f>SUMIFS(CT!$H$5:$H$143,CT!$D$5:$D$143,CĐPS_CT!A250)</f>
        <v>458333</v>
      </c>
      <c r="F250" s="69">
        <f>SUMIFS(CT!$H$5:$H$143,CT!$E$5:$E$143,CĐPS_CT!A250)</f>
        <v>458333</v>
      </c>
      <c r="G250" s="69">
        <f t="shared" si="6"/>
        <v>0</v>
      </c>
      <c r="H250" s="69">
        <f t="shared" si="7"/>
        <v>0</v>
      </c>
    </row>
    <row r="251" spans="1:8" x14ac:dyDescent="0.25">
      <c r="A251" s="93" t="str">
        <f>DMTK!B250</f>
        <v>6425</v>
      </c>
      <c r="B251" s="65" t="str">
        <f>VLOOKUP(A251,DMTK!$B$5:$Q$263,3,0)</f>
        <v>Thuế, phí và lệ phí</v>
      </c>
      <c r="C251" s="69">
        <f>VLOOKUP(A251,DMTK!$B$5:$Q$263,10,0)</f>
        <v>0</v>
      </c>
      <c r="D251" s="69">
        <f>VLOOKUP(A251,DMTK!B250:$Q$263,11,0)</f>
        <v>0</v>
      </c>
      <c r="E251" s="69">
        <f>SUMIFS(CT!$H$5:$H$143,CT!$D$5:$D$143,CĐPS_CT!A251)</f>
        <v>0</v>
      </c>
      <c r="F251" s="69">
        <f>SUMIFS(CT!$H$5:$H$143,CT!$E$5:$E$143,CĐPS_CT!A251)</f>
        <v>0</v>
      </c>
      <c r="G251" s="69">
        <f t="shared" si="6"/>
        <v>0</v>
      </c>
      <c r="H251" s="69">
        <f t="shared" si="7"/>
        <v>0</v>
      </c>
    </row>
    <row r="252" spans="1:8" x14ac:dyDescent="0.25">
      <c r="A252" s="93" t="str">
        <f>DMTK!B251</f>
        <v>6426</v>
      </c>
      <c r="B252" s="65" t="str">
        <f>VLOOKUP(A252,DMTK!$B$5:$Q$263,3,0)</f>
        <v>Chi phí dự phòng</v>
      </c>
      <c r="C252" s="69">
        <f>VLOOKUP(A252,DMTK!$B$5:$Q$263,10,0)</f>
        <v>0</v>
      </c>
      <c r="D252" s="69">
        <f>VLOOKUP(A252,DMTK!B251:$Q$263,11,0)</f>
        <v>0</v>
      </c>
      <c r="E252" s="69">
        <f>SUMIFS(CT!$H$5:$H$143,CT!$D$5:$D$143,CĐPS_CT!A252)</f>
        <v>0</v>
      </c>
      <c r="F252" s="69">
        <f>SUMIFS(CT!$H$5:$H$143,CT!$E$5:$E$143,CĐPS_CT!A252)</f>
        <v>0</v>
      </c>
      <c r="G252" s="69">
        <f t="shared" si="6"/>
        <v>0</v>
      </c>
      <c r="H252" s="69">
        <f t="shared" si="7"/>
        <v>0</v>
      </c>
    </row>
    <row r="253" spans="1:8" x14ac:dyDescent="0.25">
      <c r="A253" s="93" t="str">
        <f>DMTK!B252</f>
        <v>6427</v>
      </c>
      <c r="B253" s="65" t="str">
        <f>VLOOKUP(A253,DMTK!$B$5:$Q$263,3,0)</f>
        <v>Chi phí dịch vụ mua ngoài</v>
      </c>
      <c r="C253" s="69">
        <f>VLOOKUP(A253,DMTK!$B$5:$Q$263,10,0)</f>
        <v>0</v>
      </c>
      <c r="D253" s="69">
        <f>VLOOKUP(A253,DMTK!B252:$Q$263,11,0)</f>
        <v>0</v>
      </c>
      <c r="E253" s="69">
        <f>SUMIFS(CT!$H$5:$H$143,CT!$D$5:$D$143,CĐPS_CT!A253)</f>
        <v>0</v>
      </c>
      <c r="F253" s="69">
        <f>SUMIFS(CT!$H$5:$H$143,CT!$E$5:$E$143,CĐPS_CT!A253)</f>
        <v>0</v>
      </c>
      <c r="G253" s="69">
        <f t="shared" si="6"/>
        <v>0</v>
      </c>
      <c r="H253" s="69">
        <f t="shared" si="7"/>
        <v>0</v>
      </c>
    </row>
    <row r="254" spans="1:8" x14ac:dyDescent="0.25">
      <c r="A254" s="93" t="str">
        <f>DMTK!B253</f>
        <v>6428</v>
      </c>
      <c r="B254" s="65" t="str">
        <f>VLOOKUP(A254,DMTK!$B$5:$Q$263,3,0)</f>
        <v>Chi phí bằng tiền khác</v>
      </c>
      <c r="C254" s="69">
        <f>VLOOKUP(A254,DMTK!$B$5:$Q$263,10,0)</f>
        <v>0</v>
      </c>
      <c r="D254" s="69">
        <f>VLOOKUP(A254,DMTK!B253:$Q$263,11,0)</f>
        <v>0</v>
      </c>
      <c r="E254" s="69">
        <f>SUMIFS(CT!$H$5:$H$143,CT!$D$5:$D$143,CĐPS_CT!A254)</f>
        <v>2800000</v>
      </c>
      <c r="F254" s="69">
        <f>SUMIFS(CT!$H$5:$H$143,CT!$E$5:$E$143,CĐPS_CT!A254)</f>
        <v>2800000</v>
      </c>
      <c r="G254" s="69">
        <f t="shared" si="6"/>
        <v>0</v>
      </c>
      <c r="H254" s="69">
        <f t="shared" si="7"/>
        <v>0</v>
      </c>
    </row>
    <row r="255" spans="1:8" x14ac:dyDescent="0.25">
      <c r="A255" s="93" t="str">
        <f>DMTK!B254</f>
        <v>711</v>
      </c>
      <c r="B255" s="65" t="str">
        <f>VLOOKUP(A255,DMTK!$B$5:$Q$263,3,0)</f>
        <v>Thu nhập khác</v>
      </c>
      <c r="C255" s="69">
        <f>VLOOKUP(A255,DMTK!$B$5:$Q$263,10,0)</f>
        <v>0</v>
      </c>
      <c r="D255" s="69">
        <f>VLOOKUP(A255,DMTK!B254:$Q$263,11,0)</f>
        <v>0</v>
      </c>
      <c r="E255" s="69">
        <f>SUMIFS(CT!$H$5:$H$143,CT!$D$5:$D$143,CĐPS_CT!A255)</f>
        <v>0</v>
      </c>
      <c r="F255" s="69">
        <f>SUMIFS(CT!$H$5:$H$143,CT!$E$5:$E$143,CĐPS_CT!A255)</f>
        <v>0</v>
      </c>
      <c r="G255" s="69">
        <f t="shared" si="6"/>
        <v>0</v>
      </c>
      <c r="H255" s="69">
        <f t="shared" si="7"/>
        <v>0</v>
      </c>
    </row>
    <row r="256" spans="1:8" x14ac:dyDescent="0.25">
      <c r="A256" s="93" t="str">
        <f>DMTK!B255</f>
        <v>811</v>
      </c>
      <c r="B256" s="65" t="str">
        <f>VLOOKUP(A256,DMTK!$B$5:$Q$263,3,0)</f>
        <v>Chi phí khác</v>
      </c>
      <c r="C256" s="69">
        <f>VLOOKUP(A256,DMTK!$B$5:$Q$263,10,0)</f>
        <v>0</v>
      </c>
      <c r="D256" s="69">
        <f>VLOOKUP(A256,DMTK!B255:$Q$263,11,0)</f>
        <v>0</v>
      </c>
      <c r="E256" s="69">
        <f>SUMIFS(CT!$H$5:$H$143,CT!$D$5:$D$143,CĐPS_CT!A256)</f>
        <v>0</v>
      </c>
      <c r="F256" s="69">
        <f>SUMIFS(CT!$H$5:$H$143,CT!$E$5:$E$143,CĐPS_CT!A256)</f>
        <v>0</v>
      </c>
      <c r="G256" s="69">
        <f t="shared" si="6"/>
        <v>0</v>
      </c>
      <c r="H256" s="69">
        <f t="shared" si="7"/>
        <v>0</v>
      </c>
    </row>
    <row r="257" spans="1:8" x14ac:dyDescent="0.25">
      <c r="A257" s="93" t="str">
        <f>DMTK!B256</f>
        <v>8211</v>
      </c>
      <c r="B257" s="65" t="str">
        <f>VLOOKUP(A257,DMTK!$B$5:$Q$263,3,0)</f>
        <v>Chi phí thuế TNDN hiện hành</v>
      </c>
      <c r="C257" s="69">
        <f>VLOOKUP(A257,DMTK!$B$5:$Q$263,10,0)</f>
        <v>0</v>
      </c>
      <c r="D257" s="69">
        <f>VLOOKUP(A257,DMTK!B256:$Q$263,11,0)</f>
        <v>0</v>
      </c>
      <c r="E257" s="69">
        <f>SUMIFS(CT!$H$5:$H$143,CT!$D$5:$D$143,CĐPS_CT!A257)</f>
        <v>0</v>
      </c>
      <c r="F257" s="69">
        <f>SUMIFS(CT!$H$5:$H$143,CT!$E$5:$E$143,CĐPS_CT!A257)</f>
        <v>0</v>
      </c>
      <c r="G257" s="69">
        <f t="shared" si="6"/>
        <v>0</v>
      </c>
      <c r="H257" s="69">
        <f t="shared" si="7"/>
        <v>0</v>
      </c>
    </row>
    <row r="258" spans="1:8" x14ac:dyDescent="0.25">
      <c r="A258" s="93" t="str">
        <f>DMTK!B257</f>
        <v>8212</v>
      </c>
      <c r="B258" s="65" t="str">
        <f>VLOOKUP(A258,DMTK!$B$5:$Q$263,3,0)</f>
        <v>Chi phí thuế TNDN hoãn lại</v>
      </c>
      <c r="C258" s="69">
        <f>VLOOKUP(A258,DMTK!$B$5:$Q$263,10,0)</f>
        <v>0</v>
      </c>
      <c r="D258" s="69">
        <f>VLOOKUP(A258,DMTK!B257:$Q$263,11,0)</f>
        <v>0</v>
      </c>
      <c r="E258" s="69">
        <f>SUMIFS(CT!$H$5:$H$143,CT!$D$5:$D$143,CĐPS_CT!A258)</f>
        <v>0</v>
      </c>
      <c r="F258" s="69">
        <f>SUMIFS(CT!$H$5:$H$143,CT!$E$5:$E$143,CĐPS_CT!A258)</f>
        <v>0</v>
      </c>
      <c r="G258" s="69">
        <f t="shared" si="6"/>
        <v>0</v>
      </c>
      <c r="H258" s="69">
        <f t="shared" si="7"/>
        <v>0</v>
      </c>
    </row>
    <row r="259" spans="1:8" x14ac:dyDescent="0.25">
      <c r="A259" s="93" t="str">
        <f>DMTK!B258</f>
        <v>9111.0101</v>
      </c>
      <c r="B259" s="65" t="str">
        <f>VLOOKUP(A259,DMTK!$B$5:$Q$263,3,0)</f>
        <v>Xác định kết quả kinh doanh (GTV)</v>
      </c>
      <c r="C259" s="69">
        <f>VLOOKUP(A259,DMTK!$B$5:$Q$263,10,0)</f>
        <v>0</v>
      </c>
      <c r="D259" s="69">
        <f>VLOOKUP(A259,DMTK!B258:$Q$263,11,0)</f>
        <v>0</v>
      </c>
      <c r="E259" s="69">
        <f>SUMIFS(CT!$H$5:$H$143,CT!$D$5:$D$143,CĐPS_CT!A259)</f>
        <v>31772143</v>
      </c>
      <c r="F259" s="69">
        <f>SUMIFS(CT!$H$5:$H$143,CT!$E$5:$E$143,CĐPS_CT!A259)</f>
        <v>31772143</v>
      </c>
      <c r="G259" s="69">
        <f t="shared" si="6"/>
        <v>0</v>
      </c>
      <c r="H259" s="69">
        <f t="shared" si="7"/>
        <v>0</v>
      </c>
    </row>
    <row r="260" spans="1:8" x14ac:dyDescent="0.25">
      <c r="A260" s="93" t="str">
        <f>DMTK!B259</f>
        <v>9111.0102</v>
      </c>
      <c r="B260" s="65" t="str">
        <f>VLOOKUP(A260,DMTK!$B$5:$Q$263,3,0)</f>
        <v>Xác định kết quả kinh doanh (GKT)</v>
      </c>
      <c r="C260" s="69">
        <f>VLOOKUP(A260,DMTK!$B$5:$Q$263,10,0)</f>
        <v>0</v>
      </c>
      <c r="D260" s="69">
        <f>VLOOKUP(A260,DMTK!B259:$Q$263,11,0)</f>
        <v>0</v>
      </c>
      <c r="E260" s="69">
        <f>SUMIFS(CT!$H$5:$H$143,CT!$D$5:$D$143,CĐPS_CT!A260)</f>
        <v>28000000</v>
      </c>
      <c r="F260" s="69">
        <f>SUMIFS(CT!$H$5:$H$143,CT!$E$5:$E$143,CĐPS_CT!A260)</f>
        <v>28000000</v>
      </c>
      <c r="G260" s="69">
        <f t="shared" si="6"/>
        <v>0</v>
      </c>
      <c r="H260" s="69">
        <f t="shared" si="7"/>
        <v>0</v>
      </c>
    </row>
    <row r="261" spans="1:8" x14ac:dyDescent="0.25">
      <c r="A261" s="93" t="str">
        <f>DMTK!B260</f>
        <v>9111.0201</v>
      </c>
      <c r="B261" s="65" t="str">
        <f>VLOOKUP(A261,DMTK!$B$5:$Q$263,3,0)</f>
        <v>Xác định kết quả kinh doanh (BT)</v>
      </c>
      <c r="C261" s="69">
        <f>VLOOKUP(A261,DMTK!$B$5:$Q$263,10,0)</f>
        <v>0</v>
      </c>
      <c r="D261" s="69">
        <f>VLOOKUP(A261,DMTK!B260:$Q$263,11,0)</f>
        <v>0</v>
      </c>
      <c r="E261" s="69">
        <f>SUMIFS(CT!$H$5:$H$143,CT!$D$5:$D$143,CĐPS_CT!A261)</f>
        <v>0</v>
      </c>
      <c r="F261" s="69">
        <f>SUMIFS(CT!$H$5:$H$143,CT!$E$5:$E$143,CĐPS_CT!A261)</f>
        <v>0</v>
      </c>
      <c r="G261" s="69">
        <f t="shared" si="6"/>
        <v>0</v>
      </c>
      <c r="H261" s="69">
        <f t="shared" si="7"/>
        <v>0</v>
      </c>
    </row>
    <row r="262" spans="1:8" x14ac:dyDescent="0.25">
      <c r="A262" s="93" t="str">
        <f>DMTK!B261</f>
        <v>9111.0202</v>
      </c>
      <c r="B262" s="65" t="str">
        <f>VLOOKUP(A262,DMTK!$B$5:$Q$263,3,0)</f>
        <v>Xác định kết quả kinh doanh (BO)</v>
      </c>
      <c r="C262" s="69">
        <f>VLOOKUP(A262,DMTK!$B$5:$Q$263,10,0)</f>
        <v>0</v>
      </c>
      <c r="D262" s="69">
        <f>VLOOKUP(A262,DMTK!B261:$Q$263,11,0)</f>
        <v>0</v>
      </c>
      <c r="E262" s="69">
        <f>SUMIFS(CT!$H$5:$H$143,CT!$D$5:$D$143,CĐPS_CT!A262)</f>
        <v>31615709</v>
      </c>
      <c r="F262" s="69">
        <f>SUMIFS(CT!$H$5:$H$143,CT!$E$5:$E$143,CĐPS_CT!A262)</f>
        <v>31615709</v>
      </c>
      <c r="G262" s="69">
        <f t="shared" si="6"/>
        <v>0</v>
      </c>
      <c r="H262" s="69">
        <f t="shared" si="7"/>
        <v>0</v>
      </c>
    </row>
    <row r="263" spans="1:8" x14ac:dyDescent="0.25">
      <c r="A263" s="93" t="str">
        <f>DMTK!B262</f>
        <v>9111.0203</v>
      </c>
      <c r="B263" s="65" t="str">
        <f>VLOOKUP(A263,DMTK!$B$5:$Q$263,3,0)</f>
        <v>Xác định kết quả kinh doanh (BCN)</v>
      </c>
      <c r="C263" s="69">
        <f>VLOOKUP(A263,DMTK!$B$5:$Q$263,10,0)</f>
        <v>0</v>
      </c>
      <c r="D263" s="69">
        <f>VLOOKUP(A263,DMTK!B262:$Q$263,11,0)</f>
        <v>0</v>
      </c>
      <c r="E263" s="69">
        <f>SUMIFS(CT!$H$5:$H$143,CT!$D$5:$D$143,CĐPS_CT!A263)</f>
        <v>0</v>
      </c>
      <c r="F263" s="69">
        <f>SUMIFS(CT!$H$5:$H$143,CT!$E$5:$E$143,CĐPS_CT!A263)</f>
        <v>0</v>
      </c>
      <c r="G263" s="69">
        <f t="shared" ref="G263:G264" si="8">MAX(C263+E263-D263-F263,0)</f>
        <v>0</v>
      </c>
      <c r="H263" s="69">
        <f t="shared" ref="H263:H264" si="9">MAX(D263+F263-C263-E263,0)</f>
        <v>0</v>
      </c>
    </row>
    <row r="264" spans="1:8" x14ac:dyDescent="0.25">
      <c r="A264" s="93" t="str">
        <f>DMTK!B263</f>
        <v>9111.0303</v>
      </c>
      <c r="B264" s="65" t="str">
        <f>VLOOKUP(A264,DMTK!$B$5:$Q$263,3,0)</f>
        <v>Xác định kết quả kinh doanh</v>
      </c>
      <c r="C264" s="69">
        <f>VLOOKUP(A264,DMTK!$B$5:$Q$263,10,0)</f>
        <v>0</v>
      </c>
      <c r="D264" s="69">
        <f>VLOOKUP(A264,DMTK!B263:$Q$263,11,0)</f>
        <v>0</v>
      </c>
      <c r="E264" s="69">
        <f>SUMIFS(CT!$H$5:$H$143,CT!$D$5:$D$143,CĐPS_CT!A264)</f>
        <v>0</v>
      </c>
      <c r="F264" s="69">
        <f>SUMIFS(CT!$H$5:$H$143,CT!$E$5:$E$143,CĐPS_CT!A264)</f>
        <v>0</v>
      </c>
      <c r="G264" s="69">
        <f t="shared" si="8"/>
        <v>0</v>
      </c>
      <c r="H264" s="69">
        <f t="shared" si="9"/>
        <v>0</v>
      </c>
    </row>
    <row r="265" spans="1:8" s="72" customFormat="1" x14ac:dyDescent="0.25">
      <c r="B265" s="72" t="s">
        <v>916</v>
      </c>
      <c r="C265" s="81">
        <f>SUM(C6:C264)</f>
        <v>3459449000</v>
      </c>
      <c r="D265" s="81">
        <f t="shared" ref="D265:H265" si="10">SUM(D6:D264)</f>
        <v>3459449000</v>
      </c>
      <c r="E265" s="81">
        <f t="shared" si="10"/>
        <v>1787856169</v>
      </c>
      <c r="F265" s="81">
        <f t="shared" si="10"/>
        <v>1787856169</v>
      </c>
      <c r="G265" s="81">
        <f t="shared" si="10"/>
        <v>3507326499</v>
      </c>
      <c r="H265" s="81">
        <f t="shared" si="10"/>
        <v>3507326499</v>
      </c>
    </row>
  </sheetData>
  <mergeCells count="6">
    <mergeCell ref="G3:H3"/>
    <mergeCell ref="A1:H1"/>
    <mergeCell ref="A3:A4"/>
    <mergeCell ref="B3:B4"/>
    <mergeCell ref="C3:D3"/>
    <mergeCell ref="E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1DD1-A225-4AD1-96E0-0524374FA8B0}">
  <sheetPr>
    <tabColor rgb="FFFFFFCC"/>
  </sheetPr>
  <dimension ref="A1:H264"/>
  <sheetViews>
    <sheetView workbookViewId="0">
      <selection activeCell="A5" sqref="A5:XFD5"/>
    </sheetView>
  </sheetViews>
  <sheetFormatPr defaultRowHeight="13.2" x14ac:dyDescent="0.25"/>
  <cols>
    <col min="1" max="1" width="21.6640625" customWidth="1"/>
    <col min="2" max="2" width="57.44140625" customWidth="1"/>
    <col min="3" max="3" width="14.6640625" customWidth="1"/>
    <col min="4" max="4" width="17.109375" customWidth="1"/>
    <col min="5" max="6" width="18.33203125" customWidth="1"/>
    <col min="7" max="7" width="19" customWidth="1"/>
    <col min="8" max="8" width="14.6640625" customWidth="1"/>
  </cols>
  <sheetData>
    <row r="1" spans="1:8" ht="16.8" x14ac:dyDescent="0.3">
      <c r="A1" s="176" t="s">
        <v>917</v>
      </c>
      <c r="B1" s="176"/>
      <c r="C1" s="176"/>
      <c r="D1" s="176"/>
      <c r="E1" s="176"/>
      <c r="F1" s="176"/>
      <c r="G1" s="176"/>
      <c r="H1" s="176"/>
    </row>
    <row r="2" spans="1:8" ht="16.8" x14ac:dyDescent="0.3">
      <c r="A2" s="87"/>
      <c r="B2" s="87"/>
      <c r="C2" s="87"/>
      <c r="D2" s="87"/>
      <c r="E2" s="87"/>
      <c r="F2" s="87"/>
      <c r="G2" s="87"/>
      <c r="H2" s="87"/>
    </row>
    <row r="3" spans="1:8" ht="16.8" x14ac:dyDescent="0.25">
      <c r="A3" s="170" t="s">
        <v>834</v>
      </c>
      <c r="B3" s="170" t="s">
        <v>861</v>
      </c>
      <c r="C3" s="170" t="s">
        <v>918</v>
      </c>
      <c r="D3" s="170"/>
      <c r="E3" s="170" t="s">
        <v>854</v>
      </c>
      <c r="F3" s="170"/>
      <c r="G3" s="170" t="s">
        <v>919</v>
      </c>
      <c r="H3" s="170"/>
    </row>
    <row r="4" spans="1:8" ht="16.8" x14ac:dyDescent="0.25">
      <c r="A4" s="170"/>
      <c r="B4" s="170"/>
      <c r="C4" s="100" t="s">
        <v>856</v>
      </c>
      <c r="D4" s="100" t="s">
        <v>857</v>
      </c>
      <c r="E4" s="100" t="s">
        <v>856</v>
      </c>
      <c r="F4" s="100" t="s">
        <v>857</v>
      </c>
      <c r="G4" s="100" t="s">
        <v>856</v>
      </c>
      <c r="H4" s="100" t="s">
        <v>857</v>
      </c>
    </row>
    <row r="5" spans="1:8" ht="16.8" x14ac:dyDescent="0.25">
      <c r="A5" s="149">
        <v>1</v>
      </c>
      <c r="B5" s="149">
        <v>2</v>
      </c>
      <c r="C5" s="149">
        <v>3</v>
      </c>
      <c r="D5" s="149">
        <v>4</v>
      </c>
      <c r="E5" s="149">
        <v>5</v>
      </c>
      <c r="F5" s="149">
        <v>6</v>
      </c>
      <c r="G5" s="149">
        <v>7</v>
      </c>
      <c r="H5" s="149">
        <v>8</v>
      </c>
    </row>
    <row r="6" spans="1:8" x14ac:dyDescent="0.25">
      <c r="A6" s="93" t="str">
        <f>HTTK1!A5</f>
        <v>111</v>
      </c>
      <c r="B6" s="65" t="str">
        <f>VLOOKUP(A6,HTTK1!$A$5:$F$80,3,0)</f>
        <v>Tiền Mặt</v>
      </c>
      <c r="C6" s="69">
        <f>VLOOKUP(A6,HTTK1!$A$5:$F$80,5,0)</f>
        <v>400000000</v>
      </c>
      <c r="D6" s="69">
        <f>VLOOKUP(A6,HTTK1!$A$5:$F$80,6,0)</f>
        <v>0</v>
      </c>
      <c r="E6" s="69">
        <f>SUMIFS(CT!$H$5:$H$143,CT!$D$5:$D$143,CĐPS_TH!A6&amp;"*")</f>
        <v>25200000</v>
      </c>
      <c r="F6" s="69">
        <f>SUMIFS(CT!$H$5:$H$143,CT!$E$5:$E$143,CĐPS_TH!A6&amp;"*")</f>
        <v>404100000</v>
      </c>
      <c r="G6" s="69">
        <f>MAX(C6+E6-D6-F6,0)</f>
        <v>21100000</v>
      </c>
      <c r="H6" s="69">
        <f>MAX(D6+F6-C6-E6,0)</f>
        <v>0</v>
      </c>
    </row>
    <row r="7" spans="1:8" x14ac:dyDescent="0.25">
      <c r="A7" s="93" t="str">
        <f>HTTK1!A6</f>
        <v>112</v>
      </c>
      <c r="B7" s="65" t="str">
        <f>VLOOKUP(A7,HTTK1!$A$5:$F$80,3,0)</f>
        <v>Tiền gửi Ngân Hàng</v>
      </c>
      <c r="C7" s="69">
        <f>VLOOKUP(A7,HTTK1!$A$5:$F$80,5,0)</f>
        <v>358221000</v>
      </c>
      <c r="D7" s="69">
        <f>VLOOKUP(A7,HTTK1!$A$5:$F$80,6,0)</f>
        <v>0</v>
      </c>
      <c r="E7" s="69">
        <f>SUMIFS(CT!$H$5:$H$143,CT!$D$5:$D$143,CĐPS_TH!A7&amp;"*")</f>
        <v>30000000</v>
      </c>
      <c r="F7" s="69">
        <f>SUMIFS(CT!$H$5:$H$143,CT!$E$5:$E$143,CĐPS_TH!A7&amp;"*")</f>
        <v>90000000</v>
      </c>
      <c r="G7" s="69">
        <f t="shared" ref="G7:G70" si="0">MAX(C7+E7-D7-F7,0)</f>
        <v>298221000</v>
      </c>
      <c r="H7" s="69">
        <f t="shared" ref="H7:H70" si="1">MAX(D7+F7-C7-E7,0)</f>
        <v>0</v>
      </c>
    </row>
    <row r="8" spans="1:8" x14ac:dyDescent="0.25">
      <c r="A8" s="93" t="str">
        <f>HTTK1!A7</f>
        <v>113</v>
      </c>
      <c r="B8" s="65" t="str">
        <f>VLOOKUP(A8,HTTK1!$A$5:$F$80,3,0)</f>
        <v>Tiền đang chuyển</v>
      </c>
      <c r="C8" s="69">
        <f>VLOOKUP(A8,HTTK1!$A$5:$F$80,5,0)</f>
        <v>0</v>
      </c>
      <c r="D8" s="69">
        <f>VLOOKUP(A8,HTTK1!$A$5:$F$80,6,0)</f>
        <v>0</v>
      </c>
      <c r="E8" s="69">
        <f>SUMIFS(CT!$H$5:$H$143,CT!$D$5:$D$143,CĐPS_TH!A8&amp;"*")</f>
        <v>0</v>
      </c>
      <c r="F8" s="69">
        <f>SUMIFS(CT!$H$5:$H$143,CT!$E$5:$E$143,CĐPS_TH!A8&amp;"*")</f>
        <v>0</v>
      </c>
      <c r="G8" s="69">
        <f t="shared" si="0"/>
        <v>0</v>
      </c>
      <c r="H8" s="69">
        <f t="shared" si="1"/>
        <v>0</v>
      </c>
    </row>
    <row r="9" spans="1:8" x14ac:dyDescent="0.25">
      <c r="A9" s="93" t="str">
        <f>HTTK1!A8</f>
        <v>121</v>
      </c>
      <c r="B9" s="65" t="str">
        <f>VLOOKUP(A9,HTTK1!$A$5:$F$80,3,0)</f>
        <v>Chứng khoán kinh doanh</v>
      </c>
      <c r="C9" s="69">
        <f>VLOOKUP(A9,HTTK1!$A$5:$F$80,5,0)</f>
        <v>0</v>
      </c>
      <c r="D9" s="69">
        <f>VLOOKUP(A9,HTTK1!$A$5:$F$80,6,0)</f>
        <v>0</v>
      </c>
      <c r="E9" s="69">
        <f>SUMIFS(CT!$H$5:$H$143,CT!$D$5:$D$143,CĐPS_TH!A9&amp;"*")</f>
        <v>0</v>
      </c>
      <c r="F9" s="69">
        <f>SUMIFS(CT!$H$5:$H$143,CT!$E$5:$E$143,CĐPS_TH!A9&amp;"*")</f>
        <v>0</v>
      </c>
      <c r="G9" s="69">
        <f t="shared" si="0"/>
        <v>0</v>
      </c>
      <c r="H9" s="69">
        <f t="shared" si="1"/>
        <v>0</v>
      </c>
    </row>
    <row r="10" spans="1:8" x14ac:dyDescent="0.25">
      <c r="A10" s="93" t="str">
        <f>HTTK1!A9</f>
        <v>128</v>
      </c>
      <c r="B10" s="65" t="str">
        <f>VLOOKUP(A10,HTTK1!$A$5:$F$80,3,0)</f>
        <v xml:space="preserve">Đầu tư nắm giữ đến ngày đáo hạn </v>
      </c>
      <c r="C10" s="69">
        <f>VLOOKUP(A10,HTTK1!$A$5:$F$80,5,0)</f>
        <v>100000000</v>
      </c>
      <c r="D10" s="69">
        <f>VLOOKUP(A10,HTTK1!$A$5:$F$80,6,0)</f>
        <v>0</v>
      </c>
      <c r="E10" s="69">
        <f>SUMIFS(CT!$H$5:$H$143,CT!$D$5:$D$143,CĐPS_TH!A10&amp;"*")</f>
        <v>0</v>
      </c>
      <c r="F10" s="69">
        <f>SUMIFS(CT!$H$5:$H$143,CT!$E$5:$E$143,CĐPS_TH!A10&amp;"*")</f>
        <v>0</v>
      </c>
      <c r="G10" s="69">
        <f t="shared" si="0"/>
        <v>100000000</v>
      </c>
      <c r="H10" s="69">
        <f t="shared" si="1"/>
        <v>0</v>
      </c>
    </row>
    <row r="11" spans="1:8" x14ac:dyDescent="0.25">
      <c r="A11" s="93" t="str">
        <f>HTTK1!A10</f>
        <v>131</v>
      </c>
      <c r="B11" s="65" t="str">
        <f>VLOOKUP(A11,HTTK1!$A$5:$F$80,3,0)</f>
        <v>Phải thu của khách hàng</v>
      </c>
      <c r="C11" s="69">
        <f>VLOOKUP(A11,HTTK1!$A$5:$F$80,5,0)</f>
        <v>175000000</v>
      </c>
      <c r="D11" s="69">
        <f>VLOOKUP(A11,HTTK1!$A$5:$F$80,6,0)</f>
        <v>0</v>
      </c>
      <c r="E11" s="69">
        <f>SUMIFS(CT!$H$5:$H$143,CT!$D$5:$D$143,CĐPS_TH!A11&amp;"*")</f>
        <v>91157500</v>
      </c>
      <c r="F11" s="69">
        <f>SUMIFS(CT!$H$5:$H$143,CT!$E$5:$E$143,CĐPS_TH!A11&amp;"*")</f>
        <v>55000000</v>
      </c>
      <c r="G11" s="69">
        <f t="shared" si="0"/>
        <v>211157500</v>
      </c>
      <c r="H11" s="69">
        <f t="shared" si="1"/>
        <v>0</v>
      </c>
    </row>
    <row r="12" spans="1:8" x14ac:dyDescent="0.25">
      <c r="A12" s="93" t="str">
        <f>HTTK1!A11</f>
        <v>133</v>
      </c>
      <c r="B12" s="65" t="str">
        <f>VLOOKUP(A12,HTTK1!$A$5:$F$80,3,0)</f>
        <v>Thuế GTGT được khấu trừ</v>
      </c>
      <c r="C12" s="69">
        <f>VLOOKUP(A12,HTTK1!$A$5:$F$80,5,0)</f>
        <v>0</v>
      </c>
      <c r="D12" s="69">
        <f>VLOOKUP(A12,HTTK1!$A$5:$F$80,6,0)</f>
        <v>0</v>
      </c>
      <c r="E12" s="69">
        <f>SUMIFS(CT!$H$5:$H$143,CT!$D$5:$D$143,CĐPS_TH!A12&amp;"*")</f>
        <v>15655000</v>
      </c>
      <c r="F12" s="69">
        <f>SUMIFS(CT!$H$5:$H$143,CT!$E$5:$E$143,CĐPS_TH!A12&amp;"*")</f>
        <v>0</v>
      </c>
      <c r="G12" s="69">
        <f t="shared" si="0"/>
        <v>15655000</v>
      </c>
      <c r="H12" s="69">
        <f t="shared" si="1"/>
        <v>0</v>
      </c>
    </row>
    <row r="13" spans="1:8" x14ac:dyDescent="0.25">
      <c r="A13" s="93" t="str">
        <f>HTTK1!A12</f>
        <v>136</v>
      </c>
      <c r="B13" s="65" t="str">
        <f>VLOOKUP(A13,HTTK1!$A$5:$F$80,3,0)</f>
        <v>Phải thu nội bộ</v>
      </c>
      <c r="C13" s="69">
        <f>VLOOKUP(A13,HTTK1!$A$5:$F$80,5,0)</f>
        <v>0</v>
      </c>
      <c r="D13" s="69">
        <f>VLOOKUP(A13,HTTK1!$A$5:$F$80,6,0)</f>
        <v>0</v>
      </c>
      <c r="E13" s="69">
        <f>SUMIFS(CT!$H$5:$H$143,CT!$D$5:$D$143,CĐPS_TH!A13&amp;"*")</f>
        <v>0</v>
      </c>
      <c r="F13" s="69">
        <f>SUMIFS(CT!$H$5:$H$143,CT!$E$5:$E$143,CĐPS_TH!A13&amp;"*")</f>
        <v>0</v>
      </c>
      <c r="G13" s="69">
        <f t="shared" si="0"/>
        <v>0</v>
      </c>
      <c r="H13" s="69">
        <f t="shared" si="1"/>
        <v>0</v>
      </c>
    </row>
    <row r="14" spans="1:8" x14ac:dyDescent="0.25">
      <c r="A14" s="93" t="str">
        <f>HTTK1!A13</f>
        <v>138</v>
      </c>
      <c r="B14" s="65" t="str">
        <f>VLOOKUP(A14,HTTK1!$A$5:$F$80,3,0)</f>
        <v>Phải thu khác</v>
      </c>
      <c r="C14" s="69">
        <f>VLOOKUP(A14,HTTK1!$A$5:$F$80,5,0)</f>
        <v>52200000</v>
      </c>
      <c r="D14" s="69">
        <f>VLOOKUP(A14,HTTK1!$A$5:$F$80,6,0)</f>
        <v>0</v>
      </c>
      <c r="E14" s="69">
        <f>SUMIFS(CT!$H$5:$H$143,CT!$D$5:$D$143,CĐPS_TH!A14&amp;"*")</f>
        <v>0</v>
      </c>
      <c r="F14" s="69">
        <f>SUMIFS(CT!$H$5:$H$143,CT!$E$5:$E$143,CĐPS_TH!A14&amp;"*")</f>
        <v>0</v>
      </c>
      <c r="G14" s="69">
        <f t="shared" si="0"/>
        <v>52200000</v>
      </c>
      <c r="H14" s="69">
        <f t="shared" si="1"/>
        <v>0</v>
      </c>
    </row>
    <row r="15" spans="1:8" x14ac:dyDescent="0.25">
      <c r="A15" s="93" t="str">
        <f>HTTK1!A14</f>
        <v>141</v>
      </c>
      <c r="B15" s="65" t="str">
        <f>VLOOKUP(A15,HTTK1!$A$5:$F$80,3,0)</f>
        <v>Tạm ứng</v>
      </c>
      <c r="C15" s="69">
        <f>VLOOKUP(A15,HTTK1!$A$5:$F$80,5,0)</f>
        <v>3500000</v>
      </c>
      <c r="D15" s="69">
        <f>VLOOKUP(A15,HTTK1!$A$5:$F$80,6,0)</f>
        <v>0</v>
      </c>
      <c r="E15" s="69">
        <f>SUMIFS(CT!$H$5:$H$143,CT!$D$5:$D$143,CĐPS_TH!A15&amp;"*")</f>
        <v>2000000</v>
      </c>
      <c r="F15" s="69">
        <f>SUMIFS(CT!$H$5:$H$143,CT!$E$5:$E$143,CĐPS_TH!A15&amp;"*")</f>
        <v>2000000</v>
      </c>
      <c r="G15" s="69">
        <f t="shared" si="0"/>
        <v>3500000</v>
      </c>
      <c r="H15" s="69">
        <f t="shared" si="1"/>
        <v>0</v>
      </c>
    </row>
    <row r="16" spans="1:8" x14ac:dyDescent="0.25">
      <c r="A16" s="93" t="str">
        <f>HTTK1!A15</f>
        <v>151</v>
      </c>
      <c r="B16" s="65" t="str">
        <f>VLOOKUP(A16,HTTK1!$A$5:$F$80,3,0)</f>
        <v>Hàng mua đang đi đường</v>
      </c>
      <c r="C16" s="69">
        <f>VLOOKUP(A16,HTTK1!$A$5:$F$80,5,0)</f>
        <v>0</v>
      </c>
      <c r="D16" s="69">
        <f>VLOOKUP(A16,HTTK1!$A$5:$F$80,6,0)</f>
        <v>0</v>
      </c>
      <c r="E16" s="69">
        <f>SUMIFS(CT!$H$5:$H$143,CT!$D$5:$D$143,CĐPS_TH!A16&amp;"*")</f>
        <v>0</v>
      </c>
      <c r="F16" s="69">
        <f>SUMIFS(CT!$H$5:$H$143,CT!$E$5:$E$143,CĐPS_TH!A16&amp;"*")</f>
        <v>0</v>
      </c>
      <c r="G16" s="69">
        <f t="shared" si="0"/>
        <v>0</v>
      </c>
      <c r="H16" s="69">
        <f t="shared" si="1"/>
        <v>0</v>
      </c>
    </row>
    <row r="17" spans="1:8" x14ac:dyDescent="0.25">
      <c r="A17" s="93" t="str">
        <f>HTTK1!A16</f>
        <v>152</v>
      </c>
      <c r="B17" s="65" t="str">
        <f>VLOOKUP(A17,HTTK1!$A$5:$F$80,3,0)</f>
        <v>Nguyên liệu, vật liệu</v>
      </c>
      <c r="C17" s="69">
        <f>VLOOKUP(A17,HTTK1!$A$5:$F$80,5,0)</f>
        <v>147540000</v>
      </c>
      <c r="D17" s="69">
        <f>VLOOKUP(A17,HTTK1!$A$5:$F$80,6,0)</f>
        <v>0</v>
      </c>
      <c r="E17" s="69">
        <f>SUMIFS(CT!$H$5:$H$143,CT!$D$5:$D$143,CĐPS_TH!A17&amp;"*")</f>
        <v>32200000</v>
      </c>
      <c r="F17" s="69">
        <f>SUMIFS(CT!$H$5:$H$143,CT!$E$5:$E$143,CĐPS_TH!A17&amp;"*")</f>
        <v>18078200</v>
      </c>
      <c r="G17" s="69">
        <f t="shared" si="0"/>
        <v>161661800</v>
      </c>
      <c r="H17" s="69">
        <f t="shared" si="1"/>
        <v>0</v>
      </c>
    </row>
    <row r="18" spans="1:8" x14ac:dyDescent="0.25">
      <c r="A18" s="93" t="str">
        <f>HTTK1!A17</f>
        <v>153</v>
      </c>
      <c r="B18" s="65" t="str">
        <f>VLOOKUP(A18,HTTK1!$A$5:$F$80,3,0)</f>
        <v>Công cụ, dụng cụ</v>
      </c>
      <c r="C18" s="69">
        <f>VLOOKUP(A18,HTTK1!$A$5:$F$80,5,0)</f>
        <v>16500000</v>
      </c>
      <c r="D18" s="69">
        <f>VLOOKUP(A18,HTTK1!$A$5:$F$80,6,0)</f>
        <v>0</v>
      </c>
      <c r="E18" s="69">
        <f>SUMIFS(CT!$H$5:$H$143,CT!$D$5:$D$143,CĐPS_TH!A18&amp;"*")</f>
        <v>0</v>
      </c>
      <c r="F18" s="69">
        <f>SUMIFS(CT!$H$5:$H$143,CT!$E$5:$E$143,CĐPS_TH!A18&amp;"*")</f>
        <v>4000000</v>
      </c>
      <c r="G18" s="69">
        <f t="shared" si="0"/>
        <v>12500000</v>
      </c>
      <c r="H18" s="69">
        <f t="shared" si="1"/>
        <v>0</v>
      </c>
    </row>
    <row r="19" spans="1:8" x14ac:dyDescent="0.25">
      <c r="A19" s="93" t="str">
        <f>HTTK1!A18</f>
        <v>154</v>
      </c>
      <c r="B19" s="65" t="str">
        <f>VLOOKUP(A19,HTTK1!$A$5:$F$80,3,0)</f>
        <v>Chi phí sản xuất, kinh doanh dở dang</v>
      </c>
      <c r="C19" s="69">
        <f>VLOOKUP(A19,HTTK1!$A$5:$F$80,5,0)</f>
        <v>222000000</v>
      </c>
      <c r="D19" s="69">
        <f>VLOOKUP(A19,HTTK1!$A$5:$F$80,6,0)</f>
        <v>0</v>
      </c>
      <c r="E19" s="69">
        <f>SUMIFS(CT!$H$5:$H$143,CT!$D$5:$D$143,CĐPS_TH!A19&amp;"*")</f>
        <v>306944866</v>
      </c>
      <c r="F19" s="69">
        <f>SUMIFS(CT!$H$5:$H$143,CT!$E$5:$E$143,CĐPS_TH!A19&amp;"*")</f>
        <v>225360000</v>
      </c>
      <c r="G19" s="69">
        <f t="shared" si="0"/>
        <v>303584866</v>
      </c>
      <c r="H19" s="69">
        <f t="shared" si="1"/>
        <v>0</v>
      </c>
    </row>
    <row r="20" spans="1:8" x14ac:dyDescent="0.25">
      <c r="A20" s="93" t="str">
        <f>HTTK1!A19</f>
        <v>155</v>
      </c>
      <c r="B20" s="65" t="str">
        <f>VLOOKUP(A20,HTTK1!$A$5:$F$80,3,0)</f>
        <v>Thành phẩm</v>
      </c>
      <c r="C20" s="69">
        <f>VLOOKUP(A20,HTTK1!$A$5:$F$80,5,0)</f>
        <v>246500000</v>
      </c>
      <c r="D20" s="69">
        <f>VLOOKUP(A20,HTTK1!$A$5:$F$80,6,0)</f>
        <v>0</v>
      </c>
      <c r="E20" s="69">
        <f>SUMIFS(CT!$H$5:$H$143,CT!$D$5:$D$143,CĐPS_TH!A20&amp;"*")</f>
        <v>225360000</v>
      </c>
      <c r="F20" s="69">
        <f>SUMIFS(CT!$H$5:$H$143,CT!$E$5:$E$143,CĐPS_TH!A20&amp;"*")</f>
        <v>70469900</v>
      </c>
      <c r="G20" s="69">
        <f t="shared" si="0"/>
        <v>401390100</v>
      </c>
      <c r="H20" s="69">
        <f t="shared" si="1"/>
        <v>0</v>
      </c>
    </row>
    <row r="21" spans="1:8" x14ac:dyDescent="0.25">
      <c r="A21" s="93" t="str">
        <f>HTTK1!A20</f>
        <v>156</v>
      </c>
      <c r="B21" s="65" t="str">
        <f>VLOOKUP(A21,HTTK1!$A$5:$F$80,3,0)</f>
        <v>Hàng hóa</v>
      </c>
      <c r="C21" s="69">
        <f>VLOOKUP(A21,HTTK1!$A$5:$F$80,5,0)</f>
        <v>0</v>
      </c>
      <c r="D21" s="69">
        <f>VLOOKUP(A21,HTTK1!$A$5:$F$80,6,0)</f>
        <v>0</v>
      </c>
      <c r="E21" s="69">
        <f>SUMIFS(CT!$H$5:$H$143,CT!$D$5:$D$143,CĐPS_TH!A21&amp;"*")</f>
        <v>0</v>
      </c>
      <c r="F21" s="69">
        <f>SUMIFS(CT!$H$5:$H$143,CT!$E$5:$E$143,CĐPS_TH!A21&amp;"*")</f>
        <v>0</v>
      </c>
      <c r="G21" s="69">
        <f t="shared" si="0"/>
        <v>0</v>
      </c>
      <c r="H21" s="69">
        <f t="shared" si="1"/>
        <v>0</v>
      </c>
    </row>
    <row r="22" spans="1:8" x14ac:dyDescent="0.25">
      <c r="A22" s="93" t="str">
        <f>HTTK1!A21</f>
        <v>157</v>
      </c>
      <c r="B22" s="65" t="str">
        <f>VLOOKUP(A22,HTTK1!$A$5:$F$80,3,0)</f>
        <v>Hàng gửi đi bán</v>
      </c>
      <c r="C22" s="69">
        <f>VLOOKUP(A22,HTTK1!$A$5:$F$80,5,0)</f>
        <v>0</v>
      </c>
      <c r="D22" s="69">
        <f>VLOOKUP(A22,HTTK1!$A$5:$F$80,6,0)</f>
        <v>0</v>
      </c>
      <c r="E22" s="69">
        <f>SUMIFS(CT!$H$5:$H$143,CT!$D$5:$D$143,CĐPS_TH!A22&amp;"*")</f>
        <v>0</v>
      </c>
      <c r="F22" s="69">
        <f>SUMIFS(CT!$H$5:$H$143,CT!$E$5:$E$143,CĐPS_TH!A22&amp;"*")</f>
        <v>0</v>
      </c>
      <c r="G22" s="69">
        <f t="shared" si="0"/>
        <v>0</v>
      </c>
      <c r="H22" s="69">
        <f t="shared" si="1"/>
        <v>0</v>
      </c>
    </row>
    <row r="23" spans="1:8" x14ac:dyDescent="0.25">
      <c r="A23" s="93" t="str">
        <f>HTTK1!A22</f>
        <v>158</v>
      </c>
      <c r="B23" s="65" t="str">
        <f>VLOOKUP(A23,HTTK1!$A$5:$F$80,3,0)</f>
        <v>Hàng hóa kho bảo thuế</v>
      </c>
      <c r="C23" s="69">
        <f>VLOOKUP(A23,HTTK1!$A$5:$F$80,5,0)</f>
        <v>0</v>
      </c>
      <c r="D23" s="69">
        <f>VLOOKUP(A23,HTTK1!$A$5:$F$80,6,0)</f>
        <v>0</v>
      </c>
      <c r="E23" s="69">
        <f>SUMIFS(CT!$H$5:$H$143,CT!$D$5:$D$143,CĐPS_TH!A23&amp;"*")</f>
        <v>0</v>
      </c>
      <c r="F23" s="69">
        <f>SUMIFS(CT!$H$5:$H$143,CT!$E$5:$E$143,CĐPS_TH!A23&amp;"*")</f>
        <v>0</v>
      </c>
      <c r="G23" s="69">
        <f t="shared" si="0"/>
        <v>0</v>
      </c>
      <c r="H23" s="69">
        <f t="shared" si="1"/>
        <v>0</v>
      </c>
    </row>
    <row r="24" spans="1:8" x14ac:dyDescent="0.25">
      <c r="A24" s="93" t="str">
        <f>HTTK1!A23</f>
        <v>161</v>
      </c>
      <c r="B24" s="65" t="str">
        <f>VLOOKUP(A24,HTTK1!$A$5:$F$80,3,0)</f>
        <v>Chi sự nghiệp</v>
      </c>
      <c r="C24" s="69">
        <f>VLOOKUP(A24,HTTK1!$A$5:$F$80,5,0)</f>
        <v>0</v>
      </c>
      <c r="D24" s="69">
        <f>VLOOKUP(A24,HTTK1!$A$5:$F$80,6,0)</f>
        <v>0</v>
      </c>
      <c r="E24" s="69">
        <f>SUMIFS(CT!$H$5:$H$143,CT!$D$5:$D$143,CĐPS_TH!A24&amp;"*")</f>
        <v>0</v>
      </c>
      <c r="F24" s="69">
        <f>SUMIFS(CT!$H$5:$H$143,CT!$E$5:$E$143,CĐPS_TH!A24&amp;"*")</f>
        <v>0</v>
      </c>
      <c r="G24" s="69">
        <f t="shared" si="0"/>
        <v>0</v>
      </c>
      <c r="H24" s="69">
        <f t="shared" si="1"/>
        <v>0</v>
      </c>
    </row>
    <row r="25" spans="1:8" x14ac:dyDescent="0.25">
      <c r="A25" s="93" t="str">
        <f>HTTK1!A24</f>
        <v>171</v>
      </c>
      <c r="B25" s="65" t="str">
        <f>VLOOKUP(A25,HTTK1!$A$5:$F$80,3,0)</f>
        <v>Giao dịch mua bán lại trái phiếu chính phủ</v>
      </c>
      <c r="C25" s="69">
        <f>VLOOKUP(A25,HTTK1!$A$5:$F$80,5,0)</f>
        <v>0</v>
      </c>
      <c r="D25" s="69">
        <f>VLOOKUP(A25,HTTK1!$A$5:$F$80,6,0)</f>
        <v>0</v>
      </c>
      <c r="E25" s="69">
        <f>SUMIFS(CT!$H$5:$H$143,CT!$D$5:$D$143,CĐPS_TH!A25&amp;"*")</f>
        <v>0</v>
      </c>
      <c r="F25" s="69">
        <f>SUMIFS(CT!$H$5:$H$143,CT!$E$5:$E$143,CĐPS_TH!A25&amp;"*")</f>
        <v>0</v>
      </c>
      <c r="G25" s="69">
        <f t="shared" si="0"/>
        <v>0</v>
      </c>
      <c r="H25" s="69">
        <f t="shared" si="1"/>
        <v>0</v>
      </c>
    </row>
    <row r="26" spans="1:8" x14ac:dyDescent="0.25">
      <c r="A26" s="93" t="str">
        <f>HTTK1!A25</f>
        <v>211</v>
      </c>
      <c r="B26" s="65" t="str">
        <f>VLOOKUP(A26,HTTK1!$A$5:$F$80,3,0)</f>
        <v>Tài sản cố định hữu hình</v>
      </c>
      <c r="C26" s="69">
        <f>VLOOKUP(A26,HTTK1!$A$5:$F$80,5,0)</f>
        <v>933779000</v>
      </c>
      <c r="D26" s="69">
        <f>VLOOKUP(A26,HTTK1!$A$5:$F$80,6,0)</f>
        <v>0</v>
      </c>
      <c r="E26" s="69">
        <f>SUMIFS(CT!$H$5:$H$143,CT!$D$5:$D$143,CĐPS_TH!A26&amp;"*")</f>
        <v>140000000</v>
      </c>
      <c r="F26" s="69">
        <f>SUMIFS(CT!$H$5:$H$143,CT!$E$5:$E$143,CĐPS_TH!A26&amp;"*")</f>
        <v>0</v>
      </c>
      <c r="G26" s="69">
        <f t="shared" si="0"/>
        <v>1073779000</v>
      </c>
      <c r="H26" s="69">
        <f t="shared" si="1"/>
        <v>0</v>
      </c>
    </row>
    <row r="27" spans="1:8" x14ac:dyDescent="0.25">
      <c r="A27" s="93" t="str">
        <f>HTTK1!A26</f>
        <v>212</v>
      </c>
      <c r="B27" s="65" t="str">
        <f>VLOOKUP(A27,HTTK1!$A$5:$F$80,3,0)</f>
        <v>Tài sản cố định thuê tài chính</v>
      </c>
      <c r="C27" s="69">
        <f>VLOOKUP(A27,HTTK1!$A$5:$F$80,5,0)</f>
        <v>0</v>
      </c>
      <c r="D27" s="69">
        <f>VLOOKUP(A27,HTTK1!$A$5:$F$80,6,0)</f>
        <v>0</v>
      </c>
      <c r="E27" s="69">
        <f>SUMIFS(CT!$H$5:$H$143,CT!$D$5:$D$143,CĐPS_TH!A27&amp;"*")</f>
        <v>0</v>
      </c>
      <c r="F27" s="69">
        <f>SUMIFS(CT!$H$5:$H$143,CT!$E$5:$E$143,CĐPS_TH!A27&amp;"*")</f>
        <v>0</v>
      </c>
      <c r="G27" s="69">
        <f t="shared" si="0"/>
        <v>0</v>
      </c>
      <c r="H27" s="69">
        <f t="shared" si="1"/>
        <v>0</v>
      </c>
    </row>
    <row r="28" spans="1:8" x14ac:dyDescent="0.25">
      <c r="A28" s="93" t="str">
        <f>HTTK1!A27</f>
        <v>213</v>
      </c>
      <c r="B28" s="65" t="str">
        <f>VLOOKUP(A28,HTTK1!$A$5:$F$80,3,0)</f>
        <v>Tài sản cố định vô hình</v>
      </c>
      <c r="C28" s="69">
        <f>VLOOKUP(A28,HTTK1!$A$5:$F$80,5,0)</f>
        <v>0</v>
      </c>
      <c r="D28" s="69">
        <f>VLOOKUP(A28,HTTK1!$A$5:$F$80,6,0)</f>
        <v>0</v>
      </c>
      <c r="E28" s="69">
        <f>SUMIFS(CT!$H$5:$H$143,CT!$D$5:$D$143,CĐPS_TH!A28&amp;"*")</f>
        <v>0</v>
      </c>
      <c r="F28" s="69">
        <f>SUMIFS(CT!$H$5:$H$143,CT!$E$5:$E$143,CĐPS_TH!A28&amp;"*")</f>
        <v>0</v>
      </c>
      <c r="G28" s="69">
        <f t="shared" si="0"/>
        <v>0</v>
      </c>
      <c r="H28" s="69">
        <f t="shared" si="1"/>
        <v>0</v>
      </c>
    </row>
    <row r="29" spans="1:8" x14ac:dyDescent="0.25">
      <c r="A29" s="93" t="str">
        <f>HTTK1!A28</f>
        <v>214</v>
      </c>
      <c r="B29" s="65" t="str">
        <f>VLOOKUP(A29,HTTK1!$A$5:$F$80,3,0)</f>
        <v>Hao mòn tài sản cố định</v>
      </c>
      <c r="C29" s="69">
        <f>VLOOKUP(A29,HTTK1!$A$5:$F$80,5,0)</f>
        <v>0</v>
      </c>
      <c r="D29" s="69">
        <f>VLOOKUP(A29,HTTK1!$A$5:$F$80,6,0)</f>
        <v>90000000</v>
      </c>
      <c r="E29" s="69">
        <f>SUMIFS(CT!$H$5:$H$143,CT!$D$5:$D$143,CĐPS_TH!A29&amp;"*")</f>
        <v>0</v>
      </c>
      <c r="F29" s="69">
        <f>SUMIFS(CT!$H$5:$H$143,CT!$E$5:$E$143,CĐPS_TH!A29&amp;"*")</f>
        <v>2124999</v>
      </c>
      <c r="G29" s="69">
        <f t="shared" si="0"/>
        <v>0</v>
      </c>
      <c r="H29" s="69">
        <f t="shared" si="1"/>
        <v>92124999</v>
      </c>
    </row>
    <row r="30" spans="1:8" x14ac:dyDescent="0.25">
      <c r="A30" s="93" t="str">
        <f>HTTK1!A29</f>
        <v>217</v>
      </c>
      <c r="B30" s="65" t="str">
        <f>VLOOKUP(A30,HTTK1!$A$5:$F$80,3,0)</f>
        <v>Bất động sản đầu tư</v>
      </c>
      <c r="C30" s="69">
        <f>VLOOKUP(A30,HTTK1!$A$5:$F$80,5,0)</f>
        <v>0</v>
      </c>
      <c r="D30" s="69">
        <f>VLOOKUP(A30,HTTK1!$A$5:$F$80,6,0)</f>
        <v>0</v>
      </c>
      <c r="E30" s="69">
        <f>SUMIFS(CT!$H$5:$H$143,CT!$D$5:$D$143,CĐPS_TH!A30&amp;"*")</f>
        <v>0</v>
      </c>
      <c r="F30" s="69">
        <f>SUMIFS(CT!$H$5:$H$143,CT!$E$5:$E$143,CĐPS_TH!A30&amp;"*")</f>
        <v>0</v>
      </c>
      <c r="G30" s="69">
        <f t="shared" si="0"/>
        <v>0</v>
      </c>
      <c r="H30" s="69">
        <f t="shared" si="1"/>
        <v>0</v>
      </c>
    </row>
    <row r="31" spans="1:8" x14ac:dyDescent="0.25">
      <c r="A31" s="93" t="str">
        <f>HTTK1!A30</f>
        <v>221</v>
      </c>
      <c r="B31" s="65" t="str">
        <f>VLOOKUP(A31,HTTK1!$A$5:$F$80,3,0)</f>
        <v>Đầu tư vào công ty con</v>
      </c>
      <c r="C31" s="69">
        <f>VLOOKUP(A31,HTTK1!$A$5:$F$80,5,0)</f>
        <v>0</v>
      </c>
      <c r="D31" s="69">
        <f>VLOOKUP(A31,HTTK1!$A$5:$F$80,6,0)</f>
        <v>0</v>
      </c>
      <c r="E31" s="69">
        <f>SUMIFS(CT!$H$5:$H$143,CT!$D$5:$D$143,CĐPS_TH!A31&amp;"*")</f>
        <v>0</v>
      </c>
      <c r="F31" s="69">
        <f>SUMIFS(CT!$H$5:$H$143,CT!$E$5:$E$143,CĐPS_TH!A31&amp;"*")</f>
        <v>0</v>
      </c>
      <c r="G31" s="69">
        <f t="shared" si="0"/>
        <v>0</v>
      </c>
      <c r="H31" s="69">
        <f t="shared" si="1"/>
        <v>0</v>
      </c>
    </row>
    <row r="32" spans="1:8" x14ac:dyDescent="0.25">
      <c r="A32" s="93" t="str">
        <f>HTTK1!A31</f>
        <v>222</v>
      </c>
      <c r="B32" s="65" t="str">
        <f>VLOOKUP(A32,HTTK1!$A$5:$F$80,3,0)</f>
        <v>Đầu tư vào công ty liên doanh, liên kết</v>
      </c>
      <c r="C32" s="69">
        <f>VLOOKUP(A32,HTTK1!$A$5:$F$80,5,0)</f>
        <v>26000000</v>
      </c>
      <c r="D32" s="69">
        <f>VLOOKUP(A32,HTTK1!$A$5:$F$80,6,0)</f>
        <v>0</v>
      </c>
      <c r="E32" s="69">
        <f>SUMIFS(CT!$H$5:$H$143,CT!$D$5:$D$143,CĐPS_TH!A32&amp;"*")</f>
        <v>0</v>
      </c>
      <c r="F32" s="69">
        <f>SUMIFS(CT!$H$5:$H$143,CT!$E$5:$E$143,CĐPS_TH!A32&amp;"*")</f>
        <v>0</v>
      </c>
      <c r="G32" s="69">
        <f t="shared" si="0"/>
        <v>26000000</v>
      </c>
      <c r="H32" s="69">
        <f t="shared" si="1"/>
        <v>0</v>
      </c>
    </row>
    <row r="33" spans="1:8" x14ac:dyDescent="0.25">
      <c r="A33" s="93" t="str">
        <f>HTTK1!A32</f>
        <v>228</v>
      </c>
      <c r="B33" s="65" t="str">
        <f>VLOOKUP(A33,HTTK1!$A$5:$F$80,3,0)</f>
        <v>Đầu tư khác</v>
      </c>
      <c r="C33" s="69">
        <f>VLOOKUP(A33,HTTK1!$A$5:$F$80,5,0)</f>
        <v>110000000</v>
      </c>
      <c r="D33" s="69">
        <f>VLOOKUP(A33,HTTK1!$A$5:$F$80,6,0)</f>
        <v>0</v>
      </c>
      <c r="E33" s="69">
        <f>SUMIFS(CT!$H$5:$H$143,CT!$D$5:$D$143,CĐPS_TH!A33&amp;"*")</f>
        <v>0</v>
      </c>
      <c r="F33" s="69">
        <f>SUMIFS(CT!$H$5:$H$143,CT!$E$5:$E$143,CĐPS_TH!A33&amp;"*")</f>
        <v>0</v>
      </c>
      <c r="G33" s="69">
        <f t="shared" si="0"/>
        <v>110000000</v>
      </c>
      <c r="H33" s="69">
        <f t="shared" si="1"/>
        <v>0</v>
      </c>
    </row>
    <row r="34" spans="1:8" x14ac:dyDescent="0.25">
      <c r="A34" s="93" t="str">
        <f>HTTK1!A33</f>
        <v>229</v>
      </c>
      <c r="B34" s="65" t="str">
        <f>VLOOKUP(A34,HTTK1!$A$5:$F$80,3,0)</f>
        <v>Dự phòng tổn thất tài sản</v>
      </c>
      <c r="C34" s="69">
        <f>VLOOKUP(A34,HTTK1!$A$5:$F$80,5,0)</f>
        <v>0</v>
      </c>
      <c r="D34" s="69">
        <f>VLOOKUP(A34,HTTK1!$A$5:$F$80,6,0)</f>
        <v>110000000</v>
      </c>
      <c r="E34" s="69">
        <f>SUMIFS(CT!$H$5:$H$143,CT!$D$5:$D$143,CĐPS_TH!A34&amp;"*")</f>
        <v>0</v>
      </c>
      <c r="F34" s="69">
        <f>SUMIFS(CT!$H$5:$H$143,CT!$E$5:$E$143,CĐPS_TH!A34&amp;"*")</f>
        <v>0</v>
      </c>
      <c r="G34" s="69">
        <f t="shared" si="0"/>
        <v>0</v>
      </c>
      <c r="H34" s="69">
        <f t="shared" si="1"/>
        <v>110000000</v>
      </c>
    </row>
    <row r="35" spans="1:8" x14ac:dyDescent="0.25">
      <c r="A35" s="93" t="str">
        <f>HTTK1!A34</f>
        <v>241</v>
      </c>
      <c r="B35" s="65" t="str">
        <f>VLOOKUP(A35,HTTK1!$A$5:$F$80,3,0)</f>
        <v xml:space="preserve">Xây dựng cơ bản dở dang </v>
      </c>
      <c r="C35" s="69">
        <f>VLOOKUP(A35,HTTK1!$A$5:$F$80,5,0)</f>
        <v>463760000</v>
      </c>
      <c r="D35" s="69">
        <f>VLOOKUP(A35,HTTK1!$A$5:$F$80,6,0)</f>
        <v>0</v>
      </c>
      <c r="E35" s="69">
        <f>SUMIFS(CT!$H$5:$H$143,CT!$D$5:$D$143,CĐPS_TH!A35&amp;"*")</f>
        <v>0</v>
      </c>
      <c r="F35" s="69">
        <f>SUMIFS(CT!$H$5:$H$143,CT!$E$5:$E$143,CĐPS_TH!A35&amp;"*")</f>
        <v>0</v>
      </c>
      <c r="G35" s="69">
        <f t="shared" si="0"/>
        <v>463760000</v>
      </c>
      <c r="H35" s="69">
        <f t="shared" si="1"/>
        <v>0</v>
      </c>
    </row>
    <row r="36" spans="1:8" x14ac:dyDescent="0.25">
      <c r="A36" s="93" t="str">
        <f>HTTK1!A35</f>
        <v>242</v>
      </c>
      <c r="B36" s="65" t="str">
        <f>VLOOKUP(A36,HTTK1!$A$5:$F$80,3,0)</f>
        <v>Chi phí trả trước</v>
      </c>
      <c r="C36" s="69">
        <f>VLOOKUP(A36,HTTK1!$A$5:$F$80,5,0)</f>
        <v>13000000</v>
      </c>
      <c r="D36" s="69">
        <f>VLOOKUP(A36,HTTK1!$A$5:$F$80,6,0)</f>
        <v>0</v>
      </c>
      <c r="E36" s="69">
        <f>SUMIFS(CT!$H$5:$H$143,CT!$D$5:$D$143,CĐPS_TH!A36&amp;"*")</f>
        <v>3500000</v>
      </c>
      <c r="F36" s="69">
        <f>SUMIFS(CT!$H$5:$H$143,CT!$E$5:$E$143,CĐPS_TH!A36&amp;"*")</f>
        <v>750000</v>
      </c>
      <c r="G36" s="69">
        <f t="shared" si="0"/>
        <v>15750000</v>
      </c>
      <c r="H36" s="69">
        <f t="shared" si="1"/>
        <v>0</v>
      </c>
    </row>
    <row r="37" spans="1:8" x14ac:dyDescent="0.25">
      <c r="A37" s="93" t="str">
        <f>HTTK1!A36</f>
        <v>243</v>
      </c>
      <c r="B37" s="65" t="str">
        <f>VLOOKUP(A37,HTTK1!$A$5:$F$80,3,0)</f>
        <v>Tài sản thuế thu nhập hoãn lại</v>
      </c>
      <c r="C37" s="69">
        <f>VLOOKUP(A37,HTTK1!$A$5:$F$80,5,0)</f>
        <v>0</v>
      </c>
      <c r="D37" s="69">
        <f>VLOOKUP(A37,HTTK1!$A$5:$F$80,6,0)</f>
        <v>0</v>
      </c>
      <c r="E37" s="69">
        <f>SUMIFS(CT!$H$5:$H$143,CT!$D$5:$D$143,CĐPS_TH!A37&amp;"*")</f>
        <v>0</v>
      </c>
      <c r="F37" s="69">
        <f>SUMIFS(CT!$H$5:$H$143,CT!$E$5:$E$143,CĐPS_TH!A37&amp;"*")</f>
        <v>0</v>
      </c>
      <c r="G37" s="69">
        <f t="shared" si="0"/>
        <v>0</v>
      </c>
      <c r="H37" s="69">
        <f t="shared" si="1"/>
        <v>0</v>
      </c>
    </row>
    <row r="38" spans="1:8" x14ac:dyDescent="0.25">
      <c r="A38" s="93" t="str">
        <f>HTTK1!A37</f>
        <v>244</v>
      </c>
      <c r="B38" s="65" t="str">
        <f>VLOOKUP(A38,HTTK1!$A$5:$F$80,3,0)</f>
        <v>Cầm cố, thế chấp, ký quỹ, ký cược</v>
      </c>
      <c r="C38" s="69">
        <f>VLOOKUP(A38,HTTK1!$A$5:$F$80,5,0)</f>
        <v>130000000</v>
      </c>
      <c r="D38" s="69">
        <f>VLOOKUP(A38,HTTK1!$A$5:$F$80,6,0)</f>
        <v>0</v>
      </c>
      <c r="E38" s="69">
        <f>SUMIFS(CT!$H$5:$H$143,CT!$D$5:$D$143,CĐPS_TH!A38&amp;"*")</f>
        <v>0</v>
      </c>
      <c r="F38" s="69">
        <f>SUMIFS(CT!$H$5:$H$143,CT!$E$5:$E$143,CĐPS_TH!A38&amp;"*")</f>
        <v>0</v>
      </c>
      <c r="G38" s="69">
        <f t="shared" si="0"/>
        <v>130000000</v>
      </c>
      <c r="H38" s="69">
        <f t="shared" si="1"/>
        <v>0</v>
      </c>
    </row>
    <row r="39" spans="1:8" x14ac:dyDescent="0.25">
      <c r="A39" s="93" t="str">
        <f>HTTK1!A38</f>
        <v>331</v>
      </c>
      <c r="B39" s="65" t="str">
        <f>VLOOKUP(A39,HTTK1!$A$5:$F$80,3,0)</f>
        <v>Phải trả cho người bán</v>
      </c>
      <c r="C39" s="69">
        <f>VLOOKUP(A39,HTTK1!$A$5:$F$80,5,0)</f>
        <v>0</v>
      </c>
      <c r="D39" s="69">
        <f>VLOOKUP(A39,HTTK1!$A$5:$F$80,6,0)</f>
        <v>212000000</v>
      </c>
      <c r="E39" s="69">
        <f>SUMIFS(CT!$H$5:$H$143,CT!$D$5:$D$143,CĐPS_TH!A39&amp;"*")</f>
        <v>90000000</v>
      </c>
      <c r="F39" s="69">
        <f>SUMIFS(CT!$H$5:$H$143,CT!$E$5:$E$143,CĐPS_TH!A39&amp;"*")</f>
        <v>33755000</v>
      </c>
      <c r="G39" s="69">
        <f t="shared" si="0"/>
        <v>0</v>
      </c>
      <c r="H39" s="69">
        <f t="shared" si="1"/>
        <v>155755000</v>
      </c>
    </row>
    <row r="40" spans="1:8" x14ac:dyDescent="0.25">
      <c r="A40" s="93" t="str">
        <f>HTTK1!A39</f>
        <v>333</v>
      </c>
      <c r="B40" s="65" t="str">
        <f>VLOOKUP(A40,HTTK1!$A$5:$F$80,3,0)</f>
        <v>Thuế và các khoản phải nộp Nhà nước</v>
      </c>
      <c r="C40" s="69">
        <f>VLOOKUP(A40,HTTK1!$A$5:$F$80,5,0)</f>
        <v>0</v>
      </c>
      <c r="D40" s="69">
        <f>VLOOKUP(A40,HTTK1!$A$5:$F$80,6,0)</f>
        <v>34200000</v>
      </c>
      <c r="E40" s="69">
        <f>SUMIFS(CT!$H$5:$H$143,CT!$D$5:$D$143,CĐPS_TH!A40&amp;"*")</f>
        <v>0</v>
      </c>
      <c r="F40" s="69">
        <f>SUMIFS(CT!$H$5:$H$143,CT!$E$5:$E$143,CĐPS_TH!A40&amp;"*")</f>
        <v>3157500</v>
      </c>
      <c r="G40" s="69">
        <f t="shared" si="0"/>
        <v>0</v>
      </c>
      <c r="H40" s="69">
        <f t="shared" si="1"/>
        <v>37357500</v>
      </c>
    </row>
    <row r="41" spans="1:8" x14ac:dyDescent="0.25">
      <c r="A41" s="93" t="str">
        <f>HTTK1!A40</f>
        <v>334</v>
      </c>
      <c r="B41" s="65" t="str">
        <f>VLOOKUP(A41,HTTK1!$A$5:$F$80,3,0)</f>
        <v>Phải trả người lao động</v>
      </c>
      <c r="C41" s="69">
        <f>VLOOKUP(A41,HTTK1!$A$5:$F$80,5,0)</f>
        <v>0</v>
      </c>
      <c r="D41" s="69">
        <f>VLOOKUP(A41,HTTK1!$A$5:$F$80,6,0)</f>
        <v>109500000</v>
      </c>
      <c r="E41" s="69">
        <f>SUMIFS(CT!$H$5:$H$143,CT!$D$5:$D$143,CĐPS_TH!A41&amp;"*")</f>
        <v>247000000</v>
      </c>
      <c r="F41" s="69">
        <f>SUMIFS(CT!$H$5:$H$143,CT!$E$5:$E$143,CĐPS_TH!A41&amp;"*")</f>
        <v>247000000</v>
      </c>
      <c r="G41" s="69">
        <f t="shared" si="0"/>
        <v>0</v>
      </c>
      <c r="H41" s="69">
        <f t="shared" si="1"/>
        <v>109500000</v>
      </c>
    </row>
    <row r="42" spans="1:8" x14ac:dyDescent="0.25">
      <c r="A42" s="93" t="str">
        <f>HTTK1!A41</f>
        <v>335</v>
      </c>
      <c r="B42" s="65" t="str">
        <f>VLOOKUP(A42,HTTK1!$A$5:$F$80,3,0)</f>
        <v>Chi phí phải trả</v>
      </c>
      <c r="C42" s="69">
        <f>VLOOKUP(A42,HTTK1!$A$5:$F$80,5,0)</f>
        <v>0</v>
      </c>
      <c r="D42" s="69">
        <f>VLOOKUP(A42,HTTK1!$A$5:$F$80,6,0)</f>
        <v>56000000</v>
      </c>
      <c r="E42" s="69">
        <f>SUMIFS(CT!$H$5:$H$143,CT!$D$5:$D$143,CĐPS_TH!A42&amp;"*")</f>
        <v>0</v>
      </c>
      <c r="F42" s="69">
        <f>SUMIFS(CT!$H$5:$H$143,CT!$E$5:$E$143,CĐPS_TH!A42&amp;"*")</f>
        <v>0</v>
      </c>
      <c r="G42" s="69">
        <f t="shared" si="0"/>
        <v>0</v>
      </c>
      <c r="H42" s="69">
        <f t="shared" si="1"/>
        <v>56000000</v>
      </c>
    </row>
    <row r="43" spans="1:8" x14ac:dyDescent="0.25">
      <c r="A43" s="93" t="str">
        <f>HTTK1!A42</f>
        <v>336</v>
      </c>
      <c r="B43" s="65" t="str">
        <f>VLOOKUP(A43,HTTK1!$A$5:$F$80,3,0)</f>
        <v>Phải trả nội bộ</v>
      </c>
      <c r="C43" s="69">
        <f>VLOOKUP(A43,HTTK1!$A$5:$F$80,5,0)</f>
        <v>0</v>
      </c>
      <c r="D43" s="69">
        <f>VLOOKUP(A43,HTTK1!$A$5:$F$80,6,0)</f>
        <v>0</v>
      </c>
      <c r="E43" s="69">
        <f>SUMIFS(CT!$H$5:$H$143,CT!$D$5:$D$143,CĐPS_TH!A43&amp;"*")</f>
        <v>0</v>
      </c>
      <c r="F43" s="69">
        <f>SUMIFS(CT!$H$5:$H$143,CT!$E$5:$E$143,CĐPS_TH!A43&amp;"*")</f>
        <v>0</v>
      </c>
      <c r="G43" s="69">
        <f t="shared" si="0"/>
        <v>0</v>
      </c>
      <c r="H43" s="69">
        <f t="shared" si="1"/>
        <v>0</v>
      </c>
    </row>
    <row r="44" spans="1:8" x14ac:dyDescent="0.25">
      <c r="A44" s="93" t="str">
        <f>HTTK1!A43</f>
        <v>337</v>
      </c>
      <c r="B44" s="65" t="str">
        <f>VLOOKUP(A44,HTTK1!$A$5:$F$80,3,0)</f>
        <v>Thanh toán theo tiến độ kế hoạch hợp đồng xây dựng</v>
      </c>
      <c r="C44" s="69">
        <f>VLOOKUP(A44,HTTK1!$A$5:$F$80,5,0)</f>
        <v>0</v>
      </c>
      <c r="D44" s="69">
        <f>VLOOKUP(A44,HTTK1!$A$5:$F$80,6,0)</f>
        <v>0</v>
      </c>
      <c r="E44" s="69">
        <f>SUMIFS(CT!$H$5:$H$143,CT!$D$5:$D$143,CĐPS_TH!A44&amp;"*")</f>
        <v>0</v>
      </c>
      <c r="F44" s="69">
        <f>SUMIFS(CT!$H$5:$H$143,CT!$E$5:$E$143,CĐPS_TH!A44&amp;"*")</f>
        <v>0</v>
      </c>
      <c r="G44" s="69">
        <f t="shared" si="0"/>
        <v>0</v>
      </c>
      <c r="H44" s="69">
        <f t="shared" si="1"/>
        <v>0</v>
      </c>
    </row>
    <row r="45" spans="1:8" x14ac:dyDescent="0.25">
      <c r="A45" s="93" t="str">
        <f>HTTK1!A44</f>
        <v>338</v>
      </c>
      <c r="B45" s="65" t="str">
        <f>VLOOKUP(A45,HTTK1!$A$5:$F$80,3,0)</f>
        <v>Phải trả, phải nộp khác</v>
      </c>
      <c r="C45" s="69">
        <f>VLOOKUP(A45,HTTK1!$A$5:$F$80,5,0)</f>
        <v>0</v>
      </c>
      <c r="D45" s="69">
        <f>VLOOKUP(A45,HTTK1!$A$5:$F$80,6,0)</f>
        <v>58800000</v>
      </c>
      <c r="E45" s="69">
        <f>SUMIFS(CT!$H$5:$H$143,CT!$D$5:$D$143,CĐPS_TH!A45&amp;"*")</f>
        <v>0</v>
      </c>
      <c r="F45" s="69">
        <f>SUMIFS(CT!$H$5:$H$143,CT!$E$5:$E$143,CĐPS_TH!A45&amp;"*")</f>
        <v>54340000</v>
      </c>
      <c r="G45" s="69">
        <f t="shared" si="0"/>
        <v>0</v>
      </c>
      <c r="H45" s="69">
        <f t="shared" si="1"/>
        <v>113140000</v>
      </c>
    </row>
    <row r="46" spans="1:8" x14ac:dyDescent="0.25">
      <c r="A46" s="93" t="str">
        <f>HTTK1!A45</f>
        <v>341</v>
      </c>
      <c r="B46" s="65" t="str">
        <f>VLOOKUP(A46,HTTK1!$A$5:$F$80,3,0)</f>
        <v>Vay và nợ thuê tài chính</v>
      </c>
      <c r="C46" s="69">
        <f>VLOOKUP(A46,HTTK1!$A$5:$F$80,5,0)</f>
        <v>0</v>
      </c>
      <c r="D46" s="69">
        <f>VLOOKUP(A46,HTTK1!$A$5:$F$80,6,0)</f>
        <v>385000000</v>
      </c>
      <c r="E46" s="69">
        <f>SUMIFS(CT!$H$5:$H$143,CT!$D$5:$D$143,CĐPS_TH!A46&amp;"*")</f>
        <v>0</v>
      </c>
      <c r="F46" s="69">
        <f>SUMIFS(CT!$H$5:$H$143,CT!$E$5:$E$143,CĐPS_TH!A46&amp;"*")</f>
        <v>0</v>
      </c>
      <c r="G46" s="69">
        <f t="shared" si="0"/>
        <v>0</v>
      </c>
      <c r="H46" s="69">
        <f t="shared" si="1"/>
        <v>385000000</v>
      </c>
    </row>
    <row r="47" spans="1:8" x14ac:dyDescent="0.25">
      <c r="A47" s="93" t="str">
        <f>HTTK1!A46</f>
        <v>343</v>
      </c>
      <c r="B47" s="65" t="str">
        <f>VLOOKUP(A47,HTTK1!$A$5:$F$80,3,0)</f>
        <v>Trái phiếu phát hành</v>
      </c>
      <c r="C47" s="69">
        <f>VLOOKUP(A47,HTTK1!$A$5:$F$80,5,0)</f>
        <v>0</v>
      </c>
      <c r="D47" s="69">
        <f>VLOOKUP(A47,HTTK1!$A$5:$F$80,6,0)</f>
        <v>0</v>
      </c>
      <c r="E47" s="69">
        <f>SUMIFS(CT!$H$5:$H$143,CT!$D$5:$D$143,CĐPS_TH!A47&amp;"*")</f>
        <v>0</v>
      </c>
      <c r="F47" s="69">
        <f>SUMIFS(CT!$H$5:$H$143,CT!$E$5:$E$143,CĐPS_TH!A47&amp;"*")</f>
        <v>0</v>
      </c>
      <c r="G47" s="69">
        <f t="shared" si="0"/>
        <v>0</v>
      </c>
      <c r="H47" s="69">
        <f t="shared" si="1"/>
        <v>0</v>
      </c>
    </row>
    <row r="48" spans="1:8" x14ac:dyDescent="0.25">
      <c r="A48" s="93" t="str">
        <f>HTTK1!A47</f>
        <v>344</v>
      </c>
      <c r="B48" s="65" t="str">
        <f>VLOOKUP(A48,HTTK1!$A$5:$F$80,3,0)</f>
        <v xml:space="preserve">Nhận ký quỹ, ký cược </v>
      </c>
      <c r="C48" s="69">
        <f>VLOOKUP(A48,HTTK1!$A$5:$F$80,5,0)</f>
        <v>0</v>
      </c>
      <c r="D48" s="69">
        <f>VLOOKUP(A48,HTTK1!$A$5:$F$80,6,0)</f>
        <v>0</v>
      </c>
      <c r="E48" s="69">
        <f>SUMIFS(CT!$H$5:$H$143,CT!$D$5:$D$143,CĐPS_TH!A48&amp;"*")</f>
        <v>0</v>
      </c>
      <c r="F48" s="69">
        <f>SUMIFS(CT!$H$5:$H$143,CT!$E$5:$E$143,CĐPS_TH!A48&amp;"*")</f>
        <v>0</v>
      </c>
      <c r="G48" s="69">
        <f t="shared" si="0"/>
        <v>0</v>
      </c>
      <c r="H48" s="69">
        <f t="shared" si="1"/>
        <v>0</v>
      </c>
    </row>
    <row r="49" spans="1:8" x14ac:dyDescent="0.25">
      <c r="A49" s="93" t="str">
        <f>HTTK1!A48</f>
        <v>347</v>
      </c>
      <c r="B49" s="65" t="str">
        <f>VLOOKUP(A49,HTTK1!$A$5:$F$80,3,0)</f>
        <v>Thuế thu nhập hoãn lại phải trả</v>
      </c>
      <c r="C49" s="69">
        <f>VLOOKUP(A49,HTTK1!$A$5:$F$80,5,0)</f>
        <v>0</v>
      </c>
      <c r="D49" s="69">
        <f>VLOOKUP(A49,HTTK1!$A$5:$F$80,6,0)</f>
        <v>0</v>
      </c>
      <c r="E49" s="69">
        <f>SUMIFS(CT!$H$5:$H$143,CT!$D$5:$D$143,CĐPS_TH!A49&amp;"*")</f>
        <v>0</v>
      </c>
      <c r="F49" s="69">
        <f>SUMIFS(CT!$H$5:$H$143,CT!$E$5:$E$143,CĐPS_TH!A49&amp;"*")</f>
        <v>0</v>
      </c>
      <c r="G49" s="69">
        <f t="shared" si="0"/>
        <v>0</v>
      </c>
      <c r="H49" s="69">
        <f t="shared" si="1"/>
        <v>0</v>
      </c>
    </row>
    <row r="50" spans="1:8" x14ac:dyDescent="0.25">
      <c r="A50" s="93" t="str">
        <f>HTTK1!A49</f>
        <v>352</v>
      </c>
      <c r="B50" s="65" t="str">
        <f>VLOOKUP(A50,HTTK1!$A$5:$F$80,3,0)</f>
        <v>Dự phòng phải trả</v>
      </c>
      <c r="C50" s="69">
        <f>VLOOKUP(A50,HTTK1!$A$5:$F$80,5,0)</f>
        <v>0</v>
      </c>
      <c r="D50" s="69">
        <f>VLOOKUP(A50,HTTK1!$A$5:$F$80,6,0)</f>
        <v>22000000</v>
      </c>
      <c r="E50" s="69">
        <f>SUMIFS(CT!$H$5:$H$143,CT!$D$5:$D$143,CĐPS_TH!A50&amp;"*")</f>
        <v>0</v>
      </c>
      <c r="F50" s="69">
        <f>SUMIFS(CT!$H$5:$H$143,CT!$E$5:$E$143,CĐPS_TH!A50&amp;"*")</f>
        <v>0</v>
      </c>
      <c r="G50" s="69">
        <f t="shared" si="0"/>
        <v>0</v>
      </c>
      <c r="H50" s="69">
        <f t="shared" si="1"/>
        <v>22000000</v>
      </c>
    </row>
    <row r="51" spans="1:8" x14ac:dyDescent="0.25">
      <c r="A51" s="93" t="str">
        <f>HTTK1!A50</f>
        <v>353</v>
      </c>
      <c r="B51" s="65" t="str">
        <f>VLOOKUP(A51,HTTK1!$A$5:$F$80,3,0)</f>
        <v>Quỹ khen thưởng phúc lợi</v>
      </c>
      <c r="C51" s="69">
        <f>VLOOKUP(A51,HTTK1!$A$5:$F$80,5,0)</f>
        <v>0</v>
      </c>
      <c r="D51" s="69">
        <f>VLOOKUP(A51,HTTK1!$A$5:$F$80,6,0)</f>
        <v>83000000</v>
      </c>
      <c r="E51" s="69">
        <f>SUMIFS(CT!$H$5:$H$143,CT!$D$5:$D$143,CĐPS_TH!A51&amp;"*")</f>
        <v>0</v>
      </c>
      <c r="F51" s="69">
        <f>SUMIFS(CT!$H$5:$H$143,CT!$E$5:$E$143,CĐPS_TH!A51&amp;"*")</f>
        <v>0</v>
      </c>
      <c r="G51" s="69">
        <f t="shared" si="0"/>
        <v>0</v>
      </c>
      <c r="H51" s="69">
        <f t="shared" si="1"/>
        <v>83000000</v>
      </c>
    </row>
    <row r="52" spans="1:8" x14ac:dyDescent="0.25">
      <c r="A52" s="93" t="str">
        <f>HTTK1!A51</f>
        <v>356</v>
      </c>
      <c r="B52" s="65" t="str">
        <f>VLOOKUP(A52,HTTK1!$A$5:$F$80,3,0)</f>
        <v>Quỹ phát triển khoa học và công nghệ</v>
      </c>
      <c r="C52" s="69">
        <f>VLOOKUP(A52,HTTK1!$A$5:$F$80,5,0)</f>
        <v>0</v>
      </c>
      <c r="D52" s="69">
        <f>VLOOKUP(A52,HTTK1!$A$5:$F$80,6,0)</f>
        <v>0</v>
      </c>
      <c r="E52" s="69">
        <f>SUMIFS(CT!$H$5:$H$143,CT!$D$5:$D$143,CĐPS_TH!A52&amp;"*")</f>
        <v>0</v>
      </c>
      <c r="F52" s="69">
        <f>SUMIFS(CT!$H$5:$H$143,CT!$E$5:$E$143,CĐPS_TH!A52&amp;"*")</f>
        <v>0</v>
      </c>
      <c r="G52" s="69">
        <f t="shared" si="0"/>
        <v>0</v>
      </c>
      <c r="H52" s="69">
        <f t="shared" si="1"/>
        <v>0</v>
      </c>
    </row>
    <row r="53" spans="1:8" x14ac:dyDescent="0.25">
      <c r="A53" s="93" t="str">
        <f>HTTK1!A52</f>
        <v>357</v>
      </c>
      <c r="B53" s="65" t="str">
        <f>VLOOKUP(A53,HTTK1!$A$5:$F$80,3,0)</f>
        <v>Quỹ bình ổn giá</v>
      </c>
      <c r="C53" s="69">
        <f>VLOOKUP(A53,HTTK1!$A$5:$F$80,5,0)</f>
        <v>0</v>
      </c>
      <c r="D53" s="69">
        <f>VLOOKUP(A53,HTTK1!$A$5:$F$80,6,0)</f>
        <v>0</v>
      </c>
      <c r="E53" s="69">
        <f>SUMIFS(CT!$H$5:$H$143,CT!$D$5:$D$143,CĐPS_TH!A53&amp;"*")</f>
        <v>0</v>
      </c>
      <c r="F53" s="69">
        <f>SUMIFS(CT!$H$5:$H$143,CT!$E$5:$E$143,CĐPS_TH!A53&amp;"*")</f>
        <v>0</v>
      </c>
      <c r="G53" s="69">
        <f t="shared" si="0"/>
        <v>0</v>
      </c>
      <c r="H53" s="69">
        <f t="shared" si="1"/>
        <v>0</v>
      </c>
    </row>
    <row r="54" spans="1:8" x14ac:dyDescent="0.25">
      <c r="A54" s="93" t="str">
        <f>HTTK1!A53</f>
        <v>411</v>
      </c>
      <c r="B54" s="65" t="str">
        <f>VLOOKUP(A54,HTTK1!$A$5:$F$80,3,0)</f>
        <v>Vốn đầu tư của chủ sở hữu</v>
      </c>
      <c r="C54" s="69">
        <f>VLOOKUP(A54,HTTK1!$A$5:$F$80,5,0)</f>
        <v>0</v>
      </c>
      <c r="D54" s="69">
        <f>VLOOKUP(A54,HTTK1!$A$5:$F$80,6,0)</f>
        <v>1492539000</v>
      </c>
      <c r="E54" s="69">
        <f>SUMIFS(CT!$H$5:$H$143,CT!$D$5:$D$143,CĐPS_TH!A54&amp;"*")</f>
        <v>0</v>
      </c>
      <c r="F54" s="69">
        <f>SUMIFS(CT!$H$5:$H$143,CT!$E$5:$E$143,CĐPS_TH!A54&amp;"*")</f>
        <v>0</v>
      </c>
      <c r="G54" s="69">
        <f t="shared" si="0"/>
        <v>0</v>
      </c>
      <c r="H54" s="69">
        <f t="shared" si="1"/>
        <v>1492539000</v>
      </c>
    </row>
    <row r="55" spans="1:8" x14ac:dyDescent="0.25">
      <c r="A55" s="93" t="str">
        <f>HTTK1!A54</f>
        <v>412</v>
      </c>
      <c r="B55" s="65" t="str">
        <f>VLOOKUP(A55,HTTK1!$A$5:$F$80,3,0)</f>
        <v>Chênh lệch đánh giá lại tài sản</v>
      </c>
      <c r="C55" s="69">
        <f>VLOOKUP(A55,HTTK1!$A$5:$F$80,5,0)</f>
        <v>0</v>
      </c>
      <c r="D55" s="69">
        <f>VLOOKUP(A55,HTTK1!$A$5:$F$80,6,0)</f>
        <v>0</v>
      </c>
      <c r="E55" s="69">
        <f>SUMIFS(CT!$H$5:$H$143,CT!$D$5:$D$143,CĐPS_TH!A55&amp;"*")</f>
        <v>0</v>
      </c>
      <c r="F55" s="69">
        <f>SUMIFS(CT!$H$5:$H$143,CT!$E$5:$E$143,CĐPS_TH!A55&amp;"*")</f>
        <v>0</v>
      </c>
      <c r="G55" s="69">
        <f t="shared" si="0"/>
        <v>0</v>
      </c>
      <c r="H55" s="69">
        <f t="shared" si="1"/>
        <v>0</v>
      </c>
    </row>
    <row r="56" spans="1:8" x14ac:dyDescent="0.25">
      <c r="A56" s="93" t="str">
        <f>HTTK1!A55</f>
        <v>413</v>
      </c>
      <c r="B56" s="65" t="str">
        <f>VLOOKUP(A56,HTTK1!$A$5:$F$80,3,0)</f>
        <v>Chênh lệch tỷ giá hối đoái</v>
      </c>
      <c r="C56" s="69">
        <f>VLOOKUP(A56,HTTK1!$A$5:$F$80,5,0)</f>
        <v>0</v>
      </c>
      <c r="D56" s="69">
        <f>VLOOKUP(A56,HTTK1!$A$5:$F$80,6,0)</f>
        <v>0</v>
      </c>
      <c r="E56" s="69">
        <f>SUMIFS(CT!$H$5:$H$143,CT!$D$5:$D$143,CĐPS_TH!A56&amp;"*")</f>
        <v>0</v>
      </c>
      <c r="F56" s="69">
        <f>SUMIFS(CT!$H$5:$H$143,CT!$E$5:$E$143,CĐPS_TH!A56&amp;"*")</f>
        <v>0</v>
      </c>
      <c r="G56" s="69">
        <f t="shared" si="0"/>
        <v>0</v>
      </c>
      <c r="H56" s="69">
        <f t="shared" si="1"/>
        <v>0</v>
      </c>
    </row>
    <row r="57" spans="1:8" x14ac:dyDescent="0.25">
      <c r="A57" s="93" t="str">
        <f>HTTK1!A56</f>
        <v>414</v>
      </c>
      <c r="B57" s="65" t="str">
        <f>VLOOKUP(A57,HTTK1!$A$5:$F$80,3,0)</f>
        <v>Qũy đầu tư phát triển</v>
      </c>
      <c r="C57" s="69">
        <f>VLOOKUP(A57,HTTK1!$A$5:$F$80,5,0)</f>
        <v>0</v>
      </c>
      <c r="D57" s="69">
        <f>VLOOKUP(A57,HTTK1!$A$5:$F$80,6,0)</f>
        <v>120000000</v>
      </c>
      <c r="E57" s="69">
        <f>SUMIFS(CT!$H$5:$H$143,CT!$D$5:$D$143,CĐPS_TH!A57&amp;"*")</f>
        <v>0</v>
      </c>
      <c r="F57" s="69">
        <f>SUMIFS(CT!$H$5:$H$143,CT!$E$5:$E$143,CĐPS_TH!A57&amp;"*")</f>
        <v>0</v>
      </c>
      <c r="G57" s="69">
        <f t="shared" si="0"/>
        <v>0</v>
      </c>
      <c r="H57" s="69">
        <f t="shared" si="1"/>
        <v>120000000</v>
      </c>
    </row>
    <row r="58" spans="1:8" x14ac:dyDescent="0.25">
      <c r="A58" s="93" t="str">
        <f>HTTK1!A57</f>
        <v>417</v>
      </c>
      <c r="B58" s="65" t="str">
        <f>VLOOKUP(A58,HTTK1!$A$5:$F$80,3,0)</f>
        <v>Quỹ hỗ trợ sắp xếp doanh nghiệp</v>
      </c>
      <c r="C58" s="69">
        <f>VLOOKUP(A58,HTTK1!$A$5:$F$80,5,0)</f>
        <v>0</v>
      </c>
      <c r="D58" s="69">
        <f>VLOOKUP(A58,HTTK1!$A$5:$F$80,6,0)</f>
        <v>0</v>
      </c>
      <c r="E58" s="69">
        <f>SUMIFS(CT!$H$5:$H$143,CT!$D$5:$D$143,CĐPS_TH!A58&amp;"*")</f>
        <v>0</v>
      </c>
      <c r="F58" s="69">
        <f>SUMIFS(CT!$H$5:$H$143,CT!$E$5:$E$143,CĐPS_TH!A58&amp;"*")</f>
        <v>0</v>
      </c>
      <c r="G58" s="69">
        <f t="shared" si="0"/>
        <v>0</v>
      </c>
      <c r="H58" s="69">
        <f t="shared" si="1"/>
        <v>0</v>
      </c>
    </row>
    <row r="59" spans="1:8" x14ac:dyDescent="0.25">
      <c r="A59" s="93" t="str">
        <f>HTTK1!A58</f>
        <v>418</v>
      </c>
      <c r="B59" s="65" t="str">
        <f>VLOOKUP(A59,HTTK1!$A$5:$F$80,3,0)</f>
        <v>Các quỹ khác thuộc vốn chủ sở hữu</v>
      </c>
      <c r="C59" s="69">
        <f>VLOOKUP(A59,HTTK1!$A$5:$F$80,5,0)</f>
        <v>0</v>
      </c>
      <c r="D59" s="69">
        <f>VLOOKUP(A59,HTTK1!$A$5:$F$80,6,0)</f>
        <v>130000000</v>
      </c>
      <c r="E59" s="69">
        <f>SUMIFS(CT!$H$5:$H$143,CT!$D$5:$D$143,CĐPS_TH!A59&amp;"*")</f>
        <v>0</v>
      </c>
      <c r="F59" s="69">
        <f>SUMIFS(CT!$H$5:$H$143,CT!$E$5:$E$143,CĐPS_TH!A59&amp;"*")</f>
        <v>0</v>
      </c>
      <c r="G59" s="69">
        <f t="shared" si="0"/>
        <v>0</v>
      </c>
      <c r="H59" s="69">
        <f t="shared" si="1"/>
        <v>130000000</v>
      </c>
    </row>
    <row r="60" spans="1:8" x14ac:dyDescent="0.25">
      <c r="A60" s="93" t="str">
        <f>HTTK1!A59</f>
        <v>419</v>
      </c>
      <c r="B60" s="65" t="str">
        <f>VLOOKUP(A60,HTTK1!$A$5:$F$80,3,0)</f>
        <v>Cổ phiếu quỹ</v>
      </c>
      <c r="C60" s="69">
        <f>VLOOKUP(A60,HTTK1!$A$5:$F$80,5,0)</f>
        <v>9449000</v>
      </c>
      <c r="D60" s="69">
        <f>VLOOKUP(A60,HTTK1!$A$5:$F$80,6,0)</f>
        <v>0</v>
      </c>
      <c r="E60" s="69">
        <f>SUMIFS(CT!$H$5:$H$143,CT!$D$5:$D$143,CĐPS_TH!A60&amp;"*")</f>
        <v>0</v>
      </c>
      <c r="F60" s="69">
        <f>SUMIFS(CT!$H$5:$H$143,CT!$E$5:$E$143,CĐPS_TH!A60&amp;"*")</f>
        <v>0</v>
      </c>
      <c r="G60" s="69">
        <f t="shared" si="0"/>
        <v>9449000</v>
      </c>
      <c r="H60" s="69">
        <f t="shared" si="1"/>
        <v>0</v>
      </c>
    </row>
    <row r="61" spans="1:8" x14ac:dyDescent="0.25">
      <c r="A61" s="93" t="str">
        <f>HTTK1!A60</f>
        <v>421</v>
      </c>
      <c r="B61" s="65" t="str">
        <f>VLOOKUP(A61,HTTK1!$A$5:$F$80,3,0)</f>
        <v>Lợi nhuận sau thuế chưa phân phối</v>
      </c>
      <c r="C61" s="69">
        <f>VLOOKUP(A61,HTTK1!$A$5:$F$80,5,0)</f>
        <v>0</v>
      </c>
      <c r="D61" s="69">
        <f>VLOOKUP(A61,HTTK1!$A$5:$F$80,6,0)</f>
        <v>204410000</v>
      </c>
      <c r="E61" s="69">
        <f>SUMIFS(CT!$H$5:$H$143,CT!$D$5:$D$143,CĐPS_TH!A61&amp;"*")</f>
        <v>3387852</v>
      </c>
      <c r="F61" s="69">
        <f>SUMIFS(CT!$H$5:$H$143,CT!$E$5:$E$143,CĐPS_TH!A61&amp;"*")</f>
        <v>2269619</v>
      </c>
      <c r="G61" s="69">
        <f t="shared" si="0"/>
        <v>0</v>
      </c>
      <c r="H61" s="69">
        <f t="shared" si="1"/>
        <v>203291767</v>
      </c>
    </row>
    <row r="62" spans="1:8" x14ac:dyDescent="0.25">
      <c r="A62" s="93" t="str">
        <f>HTTK1!A61</f>
        <v>441</v>
      </c>
      <c r="B62" s="65" t="str">
        <f>VLOOKUP(A62,HTTK1!$A$5:$F$80,3,0)</f>
        <v>Nguồn vốn đầu tư xây dựng cơ bản</v>
      </c>
      <c r="C62" s="69">
        <f>VLOOKUP(A62,HTTK1!$A$5:$F$80,5,0)</f>
        <v>0</v>
      </c>
      <c r="D62" s="69">
        <f>VLOOKUP(A62,HTTK1!$A$5:$F$80,6,0)</f>
        <v>300000000</v>
      </c>
      <c r="E62" s="69">
        <f>SUMIFS(CT!$H$5:$H$143,CT!$D$5:$D$143,CĐPS_TH!A62&amp;"*")</f>
        <v>0</v>
      </c>
      <c r="F62" s="69">
        <f>SUMIFS(CT!$H$5:$H$143,CT!$E$5:$E$143,CĐPS_TH!A62&amp;"*")</f>
        <v>0</v>
      </c>
      <c r="G62" s="69">
        <f t="shared" si="0"/>
        <v>0</v>
      </c>
      <c r="H62" s="69">
        <f t="shared" si="1"/>
        <v>300000000</v>
      </c>
    </row>
    <row r="63" spans="1:8" x14ac:dyDescent="0.25">
      <c r="A63" s="93" t="str">
        <f>HTTK1!A62</f>
        <v>461</v>
      </c>
      <c r="B63" s="65" t="str">
        <f>VLOOKUP(A63,HTTK1!$A$5:$F$80,3,0)</f>
        <v>Nguồn kinh phí sự nghiêp</v>
      </c>
      <c r="C63" s="69">
        <f>VLOOKUP(A63,HTTK1!$A$5:$F$80,5,0)</f>
        <v>0</v>
      </c>
      <c r="D63" s="69">
        <f>VLOOKUP(A63,HTTK1!$A$5:$F$80,6,0)</f>
        <v>0</v>
      </c>
      <c r="E63" s="69">
        <f>SUMIFS(CT!$H$5:$H$143,CT!$D$5:$D$143,CĐPS_TH!A63&amp;"*")</f>
        <v>0</v>
      </c>
      <c r="F63" s="69">
        <f>SUMIFS(CT!$H$5:$H$143,CT!$E$5:$E$143,CĐPS_TH!A63&amp;"*")</f>
        <v>0</v>
      </c>
      <c r="G63" s="69">
        <f t="shared" si="0"/>
        <v>0</v>
      </c>
      <c r="H63" s="69">
        <f t="shared" si="1"/>
        <v>0</v>
      </c>
    </row>
    <row r="64" spans="1:8" x14ac:dyDescent="0.25">
      <c r="A64" s="93" t="str">
        <f>HTTK1!A63</f>
        <v>466</v>
      </c>
      <c r="B64" s="65" t="str">
        <f>VLOOKUP(A64,HTTK1!$A$5:$F$80,3,0)</f>
        <v>Nguồn kinh phí đã hình thành TSCĐ</v>
      </c>
      <c r="C64" s="69">
        <f>VLOOKUP(A64,HTTK1!$A$5:$F$80,5,0)</f>
        <v>0</v>
      </c>
      <c r="D64" s="69">
        <f>VLOOKUP(A64,HTTK1!$A$5:$F$80,6,0)</f>
        <v>0</v>
      </c>
      <c r="E64" s="69">
        <f>SUMIFS(CT!$H$5:$H$143,CT!$D$5:$D$143,CĐPS_TH!A64&amp;"*")</f>
        <v>0</v>
      </c>
      <c r="F64" s="69">
        <f>SUMIFS(CT!$H$5:$H$143,CT!$E$5:$E$143,CĐPS_TH!A64&amp;"*")</f>
        <v>0</v>
      </c>
      <c r="G64" s="69">
        <f t="shared" si="0"/>
        <v>0</v>
      </c>
      <c r="H64" s="69">
        <f t="shared" si="1"/>
        <v>0</v>
      </c>
    </row>
    <row r="65" spans="1:8" x14ac:dyDescent="0.25">
      <c r="A65" s="93" t="str">
        <f>HTTK1!A64</f>
        <v>511</v>
      </c>
      <c r="B65" s="65" t="str">
        <f>VLOOKUP(A65,HTTK1!$A$5:$F$80,3,0)</f>
        <v>Doanh thu bán hàng và cung cấp dịch vụ</v>
      </c>
      <c r="C65" s="69">
        <f>VLOOKUP(A65,HTTK1!$A$5:$F$80,5,0)</f>
        <v>0</v>
      </c>
      <c r="D65" s="69">
        <f>VLOOKUP(A65,HTTK1!$A$5:$F$80,6,0)</f>
        <v>0</v>
      </c>
      <c r="E65" s="69">
        <f>SUMIFS(CT!$H$5:$H$143,CT!$D$5:$D$143,CĐPS_TH!A65&amp;"*")</f>
        <v>88000000</v>
      </c>
      <c r="F65" s="69">
        <f>SUMIFS(CT!$H$5:$H$143,CT!$E$5:$E$143,CĐPS_TH!A65&amp;"*")</f>
        <v>88000000</v>
      </c>
      <c r="G65" s="69">
        <f t="shared" si="0"/>
        <v>0</v>
      </c>
      <c r="H65" s="69">
        <f t="shared" si="1"/>
        <v>0</v>
      </c>
    </row>
    <row r="66" spans="1:8" x14ac:dyDescent="0.25">
      <c r="A66" s="93" t="str">
        <f>HTTK1!A65</f>
        <v>515</v>
      </c>
      <c r="B66" s="65" t="str">
        <f>VLOOKUP(A66,HTTK1!$A$5:$F$80,3,0)</f>
        <v xml:space="preserve">Doanh thu hoạt động tài chính </v>
      </c>
      <c r="C66" s="69">
        <f>VLOOKUP(A66,HTTK1!$A$5:$F$80,5,0)</f>
        <v>0</v>
      </c>
      <c r="D66" s="69">
        <f>VLOOKUP(A66,HTTK1!$A$5:$F$80,6,0)</f>
        <v>0</v>
      </c>
      <c r="E66" s="69">
        <f>SUMIFS(CT!$H$5:$H$143,CT!$D$5:$D$143,CĐPS_TH!A66&amp;"*")</f>
        <v>0</v>
      </c>
      <c r="F66" s="69">
        <f>SUMIFS(CT!$H$5:$H$143,CT!$E$5:$E$143,CĐPS_TH!A66&amp;"*")</f>
        <v>0</v>
      </c>
      <c r="G66" s="69">
        <f t="shared" si="0"/>
        <v>0</v>
      </c>
      <c r="H66" s="69">
        <f t="shared" si="1"/>
        <v>0</v>
      </c>
    </row>
    <row r="67" spans="1:8" x14ac:dyDescent="0.25">
      <c r="A67" s="93" t="str">
        <f>HTTK1!A66</f>
        <v>521</v>
      </c>
      <c r="B67" s="65" t="str">
        <f>VLOOKUP(A67,HTTK1!$A$5:$F$80,3,0)</f>
        <v>Các khoản giảm trừ doanh thu</v>
      </c>
      <c r="C67" s="69">
        <f>VLOOKUP(A67,HTTK1!$A$5:$F$80,5,0)</f>
        <v>0</v>
      </c>
      <c r="D67" s="69">
        <f>VLOOKUP(A67,HTTK1!$A$5:$F$80,6,0)</f>
        <v>0</v>
      </c>
      <c r="E67" s="69">
        <f>SUMIFS(CT!$H$5:$H$143,CT!$D$5:$D$143,CĐPS_TH!A67&amp;"*")</f>
        <v>0</v>
      </c>
      <c r="F67" s="69">
        <f>SUMIFS(CT!$H$5:$H$143,CT!$E$5:$E$143,CĐPS_TH!A67&amp;"*")</f>
        <v>0</v>
      </c>
      <c r="G67" s="69">
        <f t="shared" si="0"/>
        <v>0</v>
      </c>
      <c r="H67" s="69">
        <f t="shared" si="1"/>
        <v>0</v>
      </c>
    </row>
    <row r="68" spans="1:8" x14ac:dyDescent="0.25">
      <c r="A68" s="93" t="str">
        <f>HTTK1!A67</f>
        <v>611</v>
      </c>
      <c r="B68" s="65" t="str">
        <f>VLOOKUP(A68,HTTK1!$A$5:$F$80,3,0)</f>
        <v>Mua hàng</v>
      </c>
      <c r="C68" s="69">
        <f>VLOOKUP(A68,HTTK1!$A$5:$F$80,5,0)</f>
        <v>0</v>
      </c>
      <c r="D68" s="69">
        <f>VLOOKUP(A68,HTTK1!$A$5:$F$80,6,0)</f>
        <v>0</v>
      </c>
      <c r="E68" s="69">
        <f>SUMIFS(CT!$H$5:$H$143,CT!$D$5:$D$143,CĐPS_TH!A68&amp;"*")</f>
        <v>0</v>
      </c>
      <c r="F68" s="69">
        <f>SUMIFS(CT!$H$5:$H$143,CT!$E$5:$E$143,CĐPS_TH!A68&amp;"*")</f>
        <v>0</v>
      </c>
      <c r="G68" s="69">
        <f t="shared" si="0"/>
        <v>0</v>
      </c>
      <c r="H68" s="69">
        <f t="shared" si="1"/>
        <v>0</v>
      </c>
    </row>
    <row r="69" spans="1:8" x14ac:dyDescent="0.25">
      <c r="A69" s="93" t="str">
        <f>HTTK1!A68</f>
        <v>621</v>
      </c>
      <c r="B69" s="65" t="str">
        <f>VLOOKUP(A69,HTTK1!$A$5:$F$80,3,0)</f>
        <v>Chi phí nguyên liệu, vật liệu trực tiếp</v>
      </c>
      <c r="C69" s="69">
        <f>VLOOKUP(A69,HTTK1!$A$5:$F$80,5,0)</f>
        <v>0</v>
      </c>
      <c r="D69" s="69">
        <f>VLOOKUP(A69,HTTK1!$A$5:$F$80,6,0)</f>
        <v>0</v>
      </c>
      <c r="E69" s="69">
        <f>SUMIFS(CT!$H$5:$H$143,CT!$D$5:$D$143,CĐPS_TH!A69&amp;"*")</f>
        <v>18078200</v>
      </c>
      <c r="F69" s="69">
        <f>SUMIFS(CT!$H$5:$H$143,CT!$E$5:$E$143,CĐPS_TH!A69&amp;"*")</f>
        <v>18078200</v>
      </c>
      <c r="G69" s="69">
        <f t="shared" si="0"/>
        <v>0</v>
      </c>
      <c r="H69" s="69">
        <f t="shared" si="1"/>
        <v>0</v>
      </c>
    </row>
    <row r="70" spans="1:8" x14ac:dyDescent="0.25">
      <c r="A70" s="93" t="str">
        <f>HTTK1!A69</f>
        <v>622</v>
      </c>
      <c r="B70" s="65" t="str">
        <f>VLOOKUP(A70,HTTK1!$A$5:$F$80,3,0)</f>
        <v>Chi phí nhân công trực tiếp</v>
      </c>
      <c r="C70" s="69">
        <f>VLOOKUP(A70,HTTK1!$A$5:$F$80,5,0)</f>
        <v>0</v>
      </c>
      <c r="D70" s="69">
        <f>VLOOKUP(A70,HTTK1!$A$5:$F$80,6,0)</f>
        <v>0</v>
      </c>
      <c r="E70" s="69">
        <f>SUMIFS(CT!$H$5:$H$143,CT!$D$5:$D$143,CĐPS_TH!A70&amp;"*")</f>
        <v>244000000</v>
      </c>
      <c r="F70" s="69">
        <f>SUMIFS(CT!$H$5:$H$143,CT!$E$5:$E$143,CĐPS_TH!A70&amp;"*")</f>
        <v>244000000</v>
      </c>
      <c r="G70" s="69">
        <f t="shared" si="0"/>
        <v>0</v>
      </c>
      <c r="H70" s="69">
        <f t="shared" si="1"/>
        <v>0</v>
      </c>
    </row>
    <row r="71" spans="1:8" x14ac:dyDescent="0.25">
      <c r="A71" s="93" t="str">
        <f>HTTK1!A70</f>
        <v>623</v>
      </c>
      <c r="B71" s="65" t="str">
        <f>VLOOKUP(A71,HTTK1!$A$5:$F$80,3,0)</f>
        <v>Chi phí sử dụng máy thi công</v>
      </c>
      <c r="C71" s="69">
        <f>VLOOKUP(A71,HTTK1!$A$5:$F$80,5,0)</f>
        <v>0</v>
      </c>
      <c r="D71" s="69">
        <f>VLOOKUP(A71,HTTK1!$A$5:$F$80,6,0)</f>
        <v>0</v>
      </c>
      <c r="E71" s="69">
        <f>SUMIFS(CT!$H$5:$H$143,CT!$D$5:$D$143,CĐPS_TH!A71&amp;"*")</f>
        <v>0</v>
      </c>
      <c r="F71" s="69">
        <f>SUMIFS(CT!$H$5:$H$143,CT!$E$5:$E$143,CĐPS_TH!A71&amp;"*")</f>
        <v>0</v>
      </c>
      <c r="G71" s="69">
        <f t="shared" ref="G71:G81" si="2">MAX(C71+E71-D71-F71,0)</f>
        <v>0</v>
      </c>
      <c r="H71" s="69">
        <f t="shared" ref="H71:H81" si="3">MAX(D71+F71-C71-E71,0)</f>
        <v>0</v>
      </c>
    </row>
    <row r="72" spans="1:8" x14ac:dyDescent="0.25">
      <c r="A72" s="93" t="str">
        <f>HTTK1!A71</f>
        <v>627</v>
      </c>
      <c r="B72" s="65" t="str">
        <f>VLOOKUP(A72,HTTK1!$A$5:$F$80,3,0)</f>
        <v>Chi phí sản xuất chung</v>
      </c>
      <c r="C72" s="69">
        <f>VLOOKUP(A72,HTTK1!$A$5:$F$80,5,0)</f>
        <v>0</v>
      </c>
      <c r="D72" s="69">
        <f>VLOOKUP(A72,HTTK1!$A$5:$F$80,6,0)</f>
        <v>0</v>
      </c>
      <c r="E72" s="69">
        <f>SUMIFS(CT!$H$5:$H$143,CT!$D$5:$D$143,CĐPS_TH!A72&amp;"*")</f>
        <v>44866666</v>
      </c>
      <c r="F72" s="69">
        <f>SUMIFS(CT!$H$5:$H$143,CT!$E$5:$E$143,CĐPS_TH!A72&amp;"*")</f>
        <v>44866666</v>
      </c>
      <c r="G72" s="69">
        <f t="shared" si="2"/>
        <v>0</v>
      </c>
      <c r="H72" s="69">
        <f t="shared" si="3"/>
        <v>0</v>
      </c>
    </row>
    <row r="73" spans="1:8" x14ac:dyDescent="0.25">
      <c r="A73" s="93" t="str">
        <f>HTTK1!A72</f>
        <v>631</v>
      </c>
      <c r="B73" s="65" t="str">
        <f>VLOOKUP(A73,HTTK1!$A$5:$F$80,3,0)</f>
        <v>Giá thành sản xuất</v>
      </c>
      <c r="C73" s="69">
        <f>VLOOKUP(A73,HTTK1!$A$5:$F$80,5,0)</f>
        <v>0</v>
      </c>
      <c r="D73" s="69">
        <f>VLOOKUP(A73,HTTK1!$A$5:$F$80,6,0)</f>
        <v>0</v>
      </c>
      <c r="E73" s="69">
        <f>SUMIFS(CT!$H$5:$H$143,CT!$D$5:$D$143,CĐPS_TH!A73&amp;"*")</f>
        <v>0</v>
      </c>
      <c r="F73" s="69">
        <f>SUMIFS(CT!$H$5:$H$143,CT!$E$5:$E$143,CĐPS_TH!A73&amp;"*")</f>
        <v>0</v>
      </c>
      <c r="G73" s="69">
        <f t="shared" si="2"/>
        <v>0</v>
      </c>
      <c r="H73" s="69">
        <f t="shared" si="3"/>
        <v>0</v>
      </c>
    </row>
    <row r="74" spans="1:8" x14ac:dyDescent="0.25">
      <c r="A74" s="93" t="str">
        <f>HTTK1!A73</f>
        <v>632</v>
      </c>
      <c r="B74" s="65" t="str">
        <f>VLOOKUP(A74,HTTK1!$A$5:$F$80,3,0)</f>
        <v>Giá vốn hàng bán</v>
      </c>
      <c r="C74" s="69">
        <f>VLOOKUP(A74,HTTK1!$A$5:$F$80,5,0)</f>
        <v>0</v>
      </c>
      <c r="D74" s="69">
        <f>VLOOKUP(A74,HTTK1!$A$5:$F$80,6,0)</f>
        <v>0</v>
      </c>
      <c r="E74" s="69">
        <f>SUMIFS(CT!$H$5:$H$143,CT!$D$5:$D$143,CĐPS_TH!A74&amp;"*")</f>
        <v>70469900</v>
      </c>
      <c r="F74" s="69">
        <f>SUMIFS(CT!$H$5:$H$143,CT!$E$5:$E$143,CĐPS_TH!A74&amp;"*")</f>
        <v>70469900</v>
      </c>
      <c r="G74" s="69">
        <f t="shared" si="2"/>
        <v>0</v>
      </c>
      <c r="H74" s="69">
        <f t="shared" si="3"/>
        <v>0</v>
      </c>
    </row>
    <row r="75" spans="1:8" x14ac:dyDescent="0.25">
      <c r="A75" s="93" t="str">
        <f>HTTK1!A74</f>
        <v>635</v>
      </c>
      <c r="B75" s="65" t="str">
        <f>VLOOKUP(A75,HTTK1!$A$5:$F$80,3,0)</f>
        <v>Chi phí tài chính</v>
      </c>
      <c r="C75" s="69">
        <f>VLOOKUP(A75,HTTK1!$A$5:$F$80,5,0)</f>
        <v>0</v>
      </c>
      <c r="D75" s="69">
        <f>VLOOKUP(A75,HTTK1!$A$5:$F$80,6,0)</f>
        <v>0</v>
      </c>
      <c r="E75" s="69">
        <f>SUMIFS(CT!$H$5:$H$143,CT!$D$5:$D$143,CĐPS_TH!A75&amp;"*")</f>
        <v>0</v>
      </c>
      <c r="F75" s="69">
        <f>SUMIFS(CT!$H$5:$H$143,CT!$E$5:$E$143,CĐPS_TH!A75&amp;"*")</f>
        <v>0</v>
      </c>
      <c r="G75" s="69">
        <f t="shared" si="2"/>
        <v>0</v>
      </c>
      <c r="H75" s="69">
        <f t="shared" si="3"/>
        <v>0</v>
      </c>
    </row>
    <row r="76" spans="1:8" x14ac:dyDescent="0.25">
      <c r="A76" s="93" t="str">
        <f>HTTK1!A75</f>
        <v>641</v>
      </c>
      <c r="B76" s="65" t="str">
        <f>VLOOKUP(A76,HTTK1!$A$5:$F$80,3,0)</f>
        <v>Chi phí bán hàng</v>
      </c>
      <c r="C76" s="69">
        <f>VLOOKUP(A76,HTTK1!$A$5:$F$80,5,0)</f>
        <v>0</v>
      </c>
      <c r="D76" s="69">
        <f>VLOOKUP(A76,HTTK1!$A$5:$F$80,6,0)</f>
        <v>0</v>
      </c>
      <c r="E76" s="69">
        <f>SUMIFS(CT!$H$5:$H$143,CT!$D$5:$D$143,CĐPS_TH!A76&amp;"*")</f>
        <v>6350000</v>
      </c>
      <c r="F76" s="69">
        <f>SUMIFS(CT!$H$5:$H$143,CT!$E$5:$E$143,CĐPS_TH!A76&amp;"*")</f>
        <v>6350000</v>
      </c>
      <c r="G76" s="69">
        <f t="shared" si="2"/>
        <v>0</v>
      </c>
      <c r="H76" s="69">
        <f t="shared" si="3"/>
        <v>0</v>
      </c>
    </row>
    <row r="77" spans="1:8" x14ac:dyDescent="0.25">
      <c r="A77" s="93" t="str">
        <f>HTTK1!A76</f>
        <v>642</v>
      </c>
      <c r="B77" s="65" t="str">
        <f>VLOOKUP(A77,HTTK1!$A$5:$F$80,3,0)</f>
        <v>Chi phí quản lý doanh nghiệp</v>
      </c>
      <c r="C77" s="69">
        <f>VLOOKUP(A77,HTTK1!$A$5:$F$80,5,0)</f>
        <v>0</v>
      </c>
      <c r="D77" s="69">
        <f>VLOOKUP(A77,HTTK1!$A$5:$F$80,6,0)</f>
        <v>0</v>
      </c>
      <c r="E77" s="69">
        <f>SUMIFS(CT!$H$5:$H$143,CT!$D$5:$D$143,CĐPS_TH!A77&amp;"*")</f>
        <v>12298333</v>
      </c>
      <c r="F77" s="69">
        <f>SUMIFS(CT!$H$5:$H$143,CT!$E$5:$E$143,CĐPS_TH!A77&amp;"*")</f>
        <v>12298333</v>
      </c>
      <c r="G77" s="69">
        <f t="shared" si="2"/>
        <v>0</v>
      </c>
      <c r="H77" s="69">
        <f t="shared" si="3"/>
        <v>0</v>
      </c>
    </row>
    <row r="78" spans="1:8" x14ac:dyDescent="0.25">
      <c r="A78" s="93" t="str">
        <f>HTTK1!A77</f>
        <v>711</v>
      </c>
      <c r="B78" s="65" t="str">
        <f>VLOOKUP(A78,HTTK1!$A$5:$F$80,3,0)</f>
        <v>Thu nhập khác</v>
      </c>
      <c r="C78" s="69">
        <f>VLOOKUP(A78,HTTK1!$A$5:$F$80,5,0)</f>
        <v>0</v>
      </c>
      <c r="D78" s="69">
        <f>VLOOKUP(A78,HTTK1!$A$5:$F$80,6,0)</f>
        <v>0</v>
      </c>
      <c r="E78" s="69">
        <f>SUMIFS(CT!$H$5:$H$143,CT!$D$5:$D$143,CĐPS_TH!A78&amp;"*")</f>
        <v>0</v>
      </c>
      <c r="F78" s="69">
        <f>SUMIFS(CT!$H$5:$H$143,CT!$E$5:$E$143,CĐPS_TH!A78&amp;"*")</f>
        <v>0</v>
      </c>
      <c r="G78" s="69">
        <f t="shared" si="2"/>
        <v>0</v>
      </c>
      <c r="H78" s="69">
        <f t="shared" si="3"/>
        <v>0</v>
      </c>
    </row>
    <row r="79" spans="1:8" x14ac:dyDescent="0.25">
      <c r="A79" s="93" t="str">
        <f>HTTK1!A78</f>
        <v>811</v>
      </c>
      <c r="B79" s="65" t="str">
        <f>VLOOKUP(A79,HTTK1!$A$5:$F$80,3,0)</f>
        <v>Chi phí khác</v>
      </c>
      <c r="C79" s="69">
        <f>VLOOKUP(A79,HTTK1!$A$5:$F$80,5,0)</f>
        <v>0</v>
      </c>
      <c r="D79" s="69">
        <f>VLOOKUP(A79,HTTK1!$A$5:$F$80,6,0)</f>
        <v>0</v>
      </c>
      <c r="E79" s="69">
        <f>SUMIFS(CT!$H$5:$H$143,CT!$D$5:$D$143,CĐPS_TH!A79&amp;"*")</f>
        <v>0</v>
      </c>
      <c r="F79" s="69">
        <f>SUMIFS(CT!$H$5:$H$143,CT!$E$5:$E$143,CĐPS_TH!A79&amp;"*")</f>
        <v>0</v>
      </c>
      <c r="G79" s="69">
        <f t="shared" si="2"/>
        <v>0</v>
      </c>
      <c r="H79" s="69">
        <f t="shared" si="3"/>
        <v>0</v>
      </c>
    </row>
    <row r="80" spans="1:8" x14ac:dyDescent="0.25">
      <c r="A80" s="93" t="str">
        <f>HTTK1!A79</f>
        <v>821</v>
      </c>
      <c r="B80" s="65" t="str">
        <f>VLOOKUP(A80,HTTK1!$A$5:$F$80,3,0)</f>
        <v>Chi phí thuế thu nhập doanh nghiệp</v>
      </c>
      <c r="C80" s="69">
        <f>VLOOKUP(A80,HTTK1!$A$5:$F$80,5,0)</f>
        <v>0</v>
      </c>
      <c r="D80" s="69">
        <f>VLOOKUP(A80,HTTK1!$A$5:$F$80,6,0)</f>
        <v>0</v>
      </c>
      <c r="E80" s="69">
        <f>SUMIFS(CT!$H$5:$H$143,CT!$D$5:$D$143,CĐPS_TH!A80&amp;"*")</f>
        <v>0</v>
      </c>
      <c r="F80" s="69">
        <f>SUMIFS(CT!$H$5:$H$143,CT!$E$5:$E$143,CĐPS_TH!A80&amp;"*")</f>
        <v>0</v>
      </c>
      <c r="G80" s="69">
        <f t="shared" si="2"/>
        <v>0</v>
      </c>
      <c r="H80" s="69">
        <f t="shared" si="3"/>
        <v>0</v>
      </c>
    </row>
    <row r="81" spans="1:8" x14ac:dyDescent="0.25">
      <c r="A81" s="93" t="str">
        <f>HTTK1!A80</f>
        <v>911</v>
      </c>
      <c r="B81" s="65" t="str">
        <f>VLOOKUP(A81,HTTK1!$A$5:$F$80,3,0)</f>
        <v>Xác định kết quả kinh doanh</v>
      </c>
      <c r="C81" s="69">
        <f>VLOOKUP(A81,HTTK1!$A$5:$F$80,5,0)</f>
        <v>0</v>
      </c>
      <c r="D81" s="69">
        <f>VLOOKUP(A81,HTTK1!$A$5:$F$80,6,0)</f>
        <v>0</v>
      </c>
      <c r="E81" s="69">
        <f>SUMIFS(CT!$H$5:$H$143,CT!$D$5:$D$143,CĐPS_TH!A81&amp;"*")</f>
        <v>91387852</v>
      </c>
      <c r="F81" s="69">
        <f>SUMIFS(CT!$H$5:$H$143,CT!$E$5:$E$143,CĐPS_TH!A81&amp;"*")</f>
        <v>91387852</v>
      </c>
      <c r="G81" s="69">
        <f t="shared" si="2"/>
        <v>0</v>
      </c>
      <c r="H81" s="69">
        <f t="shared" si="3"/>
        <v>0</v>
      </c>
    </row>
    <row r="82" spans="1:8" s="72" customFormat="1" x14ac:dyDescent="0.25">
      <c r="A82" s="127"/>
      <c r="B82" s="72" t="s">
        <v>916</v>
      </c>
      <c r="C82" s="81">
        <f>SUM(C6:C81)</f>
        <v>3407449000</v>
      </c>
      <c r="D82" s="81">
        <f t="shared" ref="D82:H82" si="4">SUM(D6:D81)</f>
        <v>3407449000</v>
      </c>
      <c r="E82" s="81">
        <f t="shared" si="4"/>
        <v>1787856169</v>
      </c>
      <c r="F82" s="81">
        <f t="shared" si="4"/>
        <v>1787856169</v>
      </c>
      <c r="G82" s="81">
        <f t="shared" si="4"/>
        <v>3409708266</v>
      </c>
      <c r="H82" s="81">
        <f t="shared" si="4"/>
        <v>3409708266</v>
      </c>
    </row>
    <row r="83" spans="1:8" x14ac:dyDescent="0.25">
      <c r="A83" s="92"/>
      <c r="C83" s="67"/>
      <c r="D83" s="67"/>
      <c r="E83" s="67"/>
      <c r="F83" s="67"/>
      <c r="G83" s="67"/>
      <c r="H83" s="67"/>
    </row>
    <row r="84" spans="1:8" x14ac:dyDescent="0.25">
      <c r="A84" s="92"/>
      <c r="C84" s="67"/>
      <c r="D84" s="67"/>
      <c r="E84" s="67"/>
      <c r="F84" s="67"/>
      <c r="G84" s="67"/>
      <c r="H84" s="67"/>
    </row>
    <row r="85" spans="1:8" x14ac:dyDescent="0.25">
      <c r="A85" s="92"/>
      <c r="C85" s="67"/>
      <c r="D85" s="67"/>
      <c r="E85" s="67"/>
      <c r="F85" s="67"/>
      <c r="G85" s="67"/>
      <c r="H85" s="67"/>
    </row>
    <row r="86" spans="1:8" x14ac:dyDescent="0.25">
      <c r="A86" s="92"/>
      <c r="C86" s="67"/>
      <c r="D86" s="67"/>
      <c r="E86" s="67"/>
      <c r="F86" s="67"/>
      <c r="G86" s="67"/>
      <c r="H86" s="67"/>
    </row>
    <row r="87" spans="1:8" x14ac:dyDescent="0.25">
      <c r="A87" s="92"/>
      <c r="C87" s="67"/>
      <c r="D87" s="67"/>
      <c r="E87" s="67"/>
      <c r="F87" s="67"/>
      <c r="G87" s="67"/>
      <c r="H87" s="67"/>
    </row>
    <row r="88" spans="1:8" x14ac:dyDescent="0.25">
      <c r="A88" s="92"/>
      <c r="C88" s="67"/>
      <c r="D88" s="67"/>
      <c r="E88" s="67"/>
      <c r="F88" s="67"/>
      <c r="G88" s="67"/>
      <c r="H88" s="67"/>
    </row>
    <row r="89" spans="1:8" x14ac:dyDescent="0.25">
      <c r="A89" s="92"/>
      <c r="C89" s="67"/>
      <c r="D89" s="67"/>
      <c r="E89" s="67"/>
      <c r="F89" s="67"/>
      <c r="G89" s="67"/>
      <c r="H89" s="67"/>
    </row>
    <row r="90" spans="1:8" x14ac:dyDescent="0.25">
      <c r="A90" s="92"/>
      <c r="C90" s="67"/>
      <c r="D90" s="67"/>
      <c r="E90" s="67"/>
      <c r="F90" s="67"/>
      <c r="G90" s="67"/>
      <c r="H90" s="67"/>
    </row>
    <row r="91" spans="1:8" x14ac:dyDescent="0.25">
      <c r="A91" s="92"/>
      <c r="C91" s="67"/>
      <c r="D91" s="67"/>
      <c r="E91" s="67"/>
      <c r="F91" s="67"/>
      <c r="G91" s="67"/>
      <c r="H91" s="67"/>
    </row>
    <row r="92" spans="1:8" x14ac:dyDescent="0.25">
      <c r="A92" s="92"/>
      <c r="C92" s="67"/>
      <c r="D92" s="67"/>
      <c r="E92" s="67"/>
      <c r="F92" s="67"/>
      <c r="G92" s="67"/>
      <c r="H92" s="67"/>
    </row>
    <row r="93" spans="1:8" x14ac:dyDescent="0.25">
      <c r="A93" s="92"/>
      <c r="C93" s="67"/>
      <c r="D93" s="67"/>
      <c r="E93" s="67"/>
      <c r="F93" s="67"/>
      <c r="G93" s="67"/>
      <c r="H93" s="67"/>
    </row>
    <row r="94" spans="1:8" x14ac:dyDescent="0.25">
      <c r="A94" s="92"/>
      <c r="C94" s="67"/>
      <c r="D94" s="67"/>
      <c r="E94" s="67"/>
      <c r="F94" s="67"/>
      <c r="G94" s="67"/>
      <c r="H94" s="67"/>
    </row>
    <row r="95" spans="1:8" x14ac:dyDescent="0.25">
      <c r="A95" s="92"/>
      <c r="C95" s="67"/>
      <c r="D95" s="67"/>
      <c r="E95" s="67"/>
      <c r="F95" s="67"/>
      <c r="G95" s="67"/>
      <c r="H95" s="67"/>
    </row>
    <row r="96" spans="1:8" x14ac:dyDescent="0.25">
      <c r="A96" s="92"/>
      <c r="C96" s="67"/>
      <c r="D96" s="67"/>
      <c r="E96" s="67"/>
      <c r="F96" s="67"/>
      <c r="G96" s="67"/>
      <c r="H96" s="67"/>
    </row>
    <row r="97" spans="1:8" x14ac:dyDescent="0.25">
      <c r="A97" s="92"/>
      <c r="C97" s="67"/>
      <c r="D97" s="67"/>
      <c r="E97" s="67"/>
      <c r="F97" s="67"/>
      <c r="G97" s="67"/>
      <c r="H97" s="67"/>
    </row>
    <row r="98" spans="1:8" x14ac:dyDescent="0.25">
      <c r="A98" s="92"/>
      <c r="C98" s="67"/>
      <c r="D98" s="67"/>
      <c r="E98" s="67"/>
      <c r="F98" s="67"/>
      <c r="G98" s="67"/>
      <c r="H98" s="67"/>
    </row>
    <row r="99" spans="1:8" x14ac:dyDescent="0.25">
      <c r="A99" s="92"/>
      <c r="C99" s="67"/>
      <c r="D99" s="67"/>
      <c r="E99" s="67"/>
      <c r="F99" s="67"/>
      <c r="G99" s="67"/>
      <c r="H99" s="67"/>
    </row>
    <row r="100" spans="1:8" x14ac:dyDescent="0.25">
      <c r="A100" s="92"/>
      <c r="C100" s="67"/>
      <c r="D100" s="67"/>
      <c r="E100" s="67"/>
      <c r="F100" s="67"/>
      <c r="G100" s="67"/>
      <c r="H100" s="67"/>
    </row>
    <row r="101" spans="1:8" x14ac:dyDescent="0.25">
      <c r="A101" s="92"/>
      <c r="C101" s="67"/>
      <c r="D101" s="67"/>
      <c r="E101" s="67"/>
      <c r="F101" s="67"/>
      <c r="G101" s="67"/>
      <c r="H101" s="67"/>
    </row>
    <row r="102" spans="1:8" x14ac:dyDescent="0.25">
      <c r="A102" s="92"/>
      <c r="C102" s="67"/>
      <c r="D102" s="67"/>
      <c r="E102" s="67"/>
      <c r="F102" s="67"/>
      <c r="G102" s="67"/>
      <c r="H102" s="67"/>
    </row>
    <row r="103" spans="1:8" x14ac:dyDescent="0.25">
      <c r="A103" s="92"/>
      <c r="C103" s="67"/>
      <c r="D103" s="67"/>
      <c r="E103" s="67"/>
      <c r="F103" s="67"/>
      <c r="G103" s="67"/>
      <c r="H103" s="67"/>
    </row>
    <row r="104" spans="1:8" x14ac:dyDescent="0.25">
      <c r="A104" s="92"/>
      <c r="C104" s="67"/>
      <c r="D104" s="67"/>
      <c r="E104" s="67"/>
      <c r="F104" s="67"/>
      <c r="G104" s="67"/>
      <c r="H104" s="67"/>
    </row>
    <row r="105" spans="1:8" x14ac:dyDescent="0.25">
      <c r="A105" s="92"/>
      <c r="C105" s="67"/>
      <c r="D105" s="67"/>
      <c r="E105" s="67"/>
      <c r="F105" s="67"/>
      <c r="G105" s="67"/>
      <c r="H105" s="67"/>
    </row>
    <row r="106" spans="1:8" x14ac:dyDescent="0.25">
      <c r="A106" s="92"/>
      <c r="C106" s="67"/>
      <c r="D106" s="67"/>
      <c r="E106" s="67"/>
      <c r="F106" s="67"/>
      <c r="G106" s="67"/>
      <c r="H106" s="67"/>
    </row>
    <row r="107" spans="1:8" x14ac:dyDescent="0.25">
      <c r="A107" s="92"/>
      <c r="C107" s="67"/>
      <c r="D107" s="67"/>
      <c r="E107" s="67"/>
      <c r="F107" s="67"/>
      <c r="G107" s="67"/>
      <c r="H107" s="67"/>
    </row>
    <row r="108" spans="1:8" x14ac:dyDescent="0.25">
      <c r="A108" s="92"/>
      <c r="C108" s="67"/>
      <c r="D108" s="67"/>
      <c r="E108" s="67"/>
      <c r="F108" s="67"/>
      <c r="G108" s="67"/>
      <c r="H108" s="67"/>
    </row>
    <row r="109" spans="1:8" x14ac:dyDescent="0.25">
      <c r="A109" s="92"/>
      <c r="C109" s="67"/>
      <c r="D109" s="67"/>
      <c r="E109" s="67"/>
      <c r="F109" s="67"/>
      <c r="G109" s="67"/>
      <c r="H109" s="67"/>
    </row>
    <row r="110" spans="1:8" x14ac:dyDescent="0.25">
      <c r="A110" s="92"/>
      <c r="C110" s="67"/>
      <c r="D110" s="67"/>
      <c r="E110" s="67"/>
      <c r="F110" s="67"/>
      <c r="G110" s="67"/>
      <c r="H110" s="67"/>
    </row>
    <row r="111" spans="1:8" x14ac:dyDescent="0.25">
      <c r="A111" s="92"/>
      <c r="C111" s="67"/>
      <c r="D111" s="67"/>
      <c r="E111" s="67"/>
      <c r="F111" s="67"/>
      <c r="G111" s="67"/>
      <c r="H111" s="67"/>
    </row>
    <row r="112" spans="1:8" x14ac:dyDescent="0.25">
      <c r="A112" s="92"/>
      <c r="C112" s="67"/>
      <c r="D112" s="67"/>
      <c r="E112" s="67"/>
      <c r="F112" s="67"/>
      <c r="G112" s="67"/>
      <c r="H112" s="67"/>
    </row>
    <row r="113" spans="1:8" x14ac:dyDescent="0.25">
      <c r="A113" s="92"/>
      <c r="C113" s="67"/>
      <c r="D113" s="67"/>
      <c r="E113" s="67"/>
      <c r="F113" s="67"/>
      <c r="G113" s="67"/>
      <c r="H113" s="67"/>
    </row>
    <row r="114" spans="1:8" x14ac:dyDescent="0.25">
      <c r="A114" s="92"/>
      <c r="C114" s="67"/>
      <c r="D114" s="67"/>
      <c r="E114" s="67"/>
      <c r="F114" s="67"/>
      <c r="G114" s="67"/>
      <c r="H114" s="67"/>
    </row>
    <row r="115" spans="1:8" x14ac:dyDescent="0.25">
      <c r="A115" s="92"/>
      <c r="C115" s="67"/>
      <c r="D115" s="67"/>
      <c r="E115" s="67"/>
      <c r="F115" s="67"/>
      <c r="G115" s="67"/>
      <c r="H115" s="67"/>
    </row>
    <row r="116" spans="1:8" x14ac:dyDescent="0.25">
      <c r="A116" s="92"/>
      <c r="C116" s="67"/>
      <c r="D116" s="67"/>
      <c r="E116" s="67"/>
      <c r="F116" s="67"/>
      <c r="G116" s="67"/>
      <c r="H116" s="67"/>
    </row>
    <row r="117" spans="1:8" x14ac:dyDescent="0.25">
      <c r="A117" s="92"/>
      <c r="C117" s="67"/>
      <c r="D117" s="67"/>
      <c r="E117" s="67"/>
      <c r="F117" s="67"/>
      <c r="G117" s="67"/>
      <c r="H117" s="67"/>
    </row>
    <row r="118" spans="1:8" x14ac:dyDescent="0.25">
      <c r="A118" s="92"/>
      <c r="C118" s="67"/>
      <c r="D118" s="67"/>
      <c r="E118" s="67"/>
      <c r="F118" s="67"/>
      <c r="G118" s="67"/>
      <c r="H118" s="67"/>
    </row>
    <row r="119" spans="1:8" x14ac:dyDescent="0.25">
      <c r="A119" s="92"/>
      <c r="C119" s="67"/>
      <c r="D119" s="67"/>
      <c r="E119" s="67"/>
      <c r="F119" s="67"/>
      <c r="G119" s="67"/>
      <c r="H119" s="67"/>
    </row>
    <row r="120" spans="1:8" x14ac:dyDescent="0.25">
      <c r="A120" s="92"/>
      <c r="C120" s="67"/>
      <c r="D120" s="67"/>
      <c r="E120" s="67"/>
      <c r="F120" s="67"/>
      <c r="G120" s="67"/>
      <c r="H120" s="67"/>
    </row>
    <row r="121" spans="1:8" x14ac:dyDescent="0.25">
      <c r="A121" s="92"/>
      <c r="C121" s="67"/>
      <c r="D121" s="67"/>
      <c r="E121" s="67"/>
      <c r="F121" s="67"/>
      <c r="G121" s="67"/>
      <c r="H121" s="67"/>
    </row>
    <row r="122" spans="1:8" x14ac:dyDescent="0.25">
      <c r="A122" s="92"/>
      <c r="C122" s="67"/>
      <c r="D122" s="67"/>
      <c r="E122" s="67"/>
      <c r="F122" s="67"/>
      <c r="G122" s="67"/>
      <c r="H122" s="67"/>
    </row>
    <row r="123" spans="1:8" x14ac:dyDescent="0.25">
      <c r="A123" s="92"/>
      <c r="C123" s="67"/>
      <c r="D123" s="67"/>
      <c r="E123" s="67"/>
      <c r="F123" s="67"/>
      <c r="G123" s="67"/>
      <c r="H123" s="67"/>
    </row>
    <row r="124" spans="1:8" x14ac:dyDescent="0.25">
      <c r="A124" s="92"/>
      <c r="C124" s="67"/>
      <c r="D124" s="67"/>
      <c r="E124" s="67"/>
      <c r="F124" s="67"/>
      <c r="G124" s="67"/>
      <c r="H124" s="67"/>
    </row>
    <row r="125" spans="1:8" x14ac:dyDescent="0.25">
      <c r="A125" s="92"/>
      <c r="C125" s="67"/>
      <c r="D125" s="67"/>
      <c r="E125" s="67"/>
      <c r="F125" s="67"/>
      <c r="G125" s="67"/>
      <c r="H125" s="67"/>
    </row>
    <row r="126" spans="1:8" x14ac:dyDescent="0.25">
      <c r="A126" s="92"/>
      <c r="C126" s="67"/>
      <c r="D126" s="67"/>
      <c r="E126" s="67"/>
      <c r="F126" s="67"/>
      <c r="G126" s="67"/>
      <c r="H126" s="67"/>
    </row>
    <row r="127" spans="1:8" x14ac:dyDescent="0.25">
      <c r="A127" s="92"/>
      <c r="C127" s="67"/>
      <c r="D127" s="67"/>
      <c r="E127" s="67"/>
      <c r="F127" s="67"/>
      <c r="G127" s="67"/>
      <c r="H127" s="67"/>
    </row>
    <row r="128" spans="1:8" x14ac:dyDescent="0.25">
      <c r="A128" s="92"/>
      <c r="C128" s="67"/>
      <c r="D128" s="67"/>
      <c r="E128" s="67"/>
      <c r="F128" s="67"/>
      <c r="G128" s="67"/>
      <c r="H128" s="67"/>
    </row>
    <row r="129" spans="1:8" x14ac:dyDescent="0.25">
      <c r="A129" s="92"/>
      <c r="C129" s="67"/>
      <c r="D129" s="67"/>
      <c r="E129" s="67"/>
      <c r="F129" s="67"/>
      <c r="G129" s="67"/>
      <c r="H129" s="67"/>
    </row>
    <row r="130" spans="1:8" x14ac:dyDescent="0.25">
      <c r="A130" s="92"/>
      <c r="C130" s="67"/>
      <c r="D130" s="67"/>
      <c r="E130" s="67"/>
      <c r="F130" s="67"/>
      <c r="G130" s="67"/>
      <c r="H130" s="67"/>
    </row>
    <row r="131" spans="1:8" x14ac:dyDescent="0.25">
      <c r="A131" s="92"/>
      <c r="C131" s="67"/>
      <c r="D131" s="67"/>
      <c r="E131" s="67"/>
      <c r="F131" s="67"/>
      <c r="G131" s="67"/>
      <c r="H131" s="67"/>
    </row>
    <row r="132" spans="1:8" x14ac:dyDescent="0.25">
      <c r="A132" s="92"/>
      <c r="C132" s="67"/>
      <c r="D132" s="67"/>
      <c r="E132" s="67"/>
      <c r="F132" s="67"/>
      <c r="G132" s="67"/>
      <c r="H132" s="67"/>
    </row>
    <row r="133" spans="1:8" x14ac:dyDescent="0.25">
      <c r="A133" s="92"/>
      <c r="C133" s="67"/>
      <c r="D133" s="67"/>
      <c r="E133" s="67"/>
      <c r="F133" s="67"/>
      <c r="G133" s="67"/>
      <c r="H133" s="67"/>
    </row>
    <row r="134" spans="1:8" x14ac:dyDescent="0.25">
      <c r="A134" s="92"/>
      <c r="C134" s="67"/>
      <c r="D134" s="67"/>
      <c r="E134" s="67"/>
      <c r="F134" s="67"/>
      <c r="G134" s="67"/>
      <c r="H134" s="67"/>
    </row>
    <row r="135" spans="1:8" x14ac:dyDescent="0.25">
      <c r="A135" s="92"/>
      <c r="C135" s="67"/>
      <c r="D135" s="67"/>
      <c r="E135" s="67"/>
      <c r="F135" s="67"/>
      <c r="G135" s="67"/>
      <c r="H135" s="67"/>
    </row>
    <row r="136" spans="1:8" x14ac:dyDescent="0.25">
      <c r="A136" s="92"/>
      <c r="C136" s="67"/>
      <c r="D136" s="67"/>
      <c r="E136" s="67"/>
      <c r="F136" s="67"/>
      <c r="G136" s="67"/>
      <c r="H136" s="67"/>
    </row>
    <row r="137" spans="1:8" x14ac:dyDescent="0.25">
      <c r="A137" s="92"/>
      <c r="C137" s="67"/>
      <c r="D137" s="67"/>
      <c r="E137" s="67"/>
      <c r="F137" s="67"/>
      <c r="G137" s="67"/>
      <c r="H137" s="67"/>
    </row>
    <row r="138" spans="1:8" x14ac:dyDescent="0.25">
      <c r="A138" s="92"/>
      <c r="C138" s="67"/>
      <c r="D138" s="67"/>
      <c r="E138" s="67"/>
      <c r="F138" s="67"/>
      <c r="G138" s="67"/>
      <c r="H138" s="67"/>
    </row>
    <row r="139" spans="1:8" x14ac:dyDescent="0.25">
      <c r="A139" s="92"/>
      <c r="C139" s="67"/>
      <c r="D139" s="67"/>
      <c r="E139" s="67"/>
      <c r="F139" s="67"/>
      <c r="G139" s="67"/>
      <c r="H139" s="67"/>
    </row>
    <row r="140" spans="1:8" x14ac:dyDescent="0.25">
      <c r="A140" s="92"/>
      <c r="C140" s="67"/>
      <c r="D140" s="67"/>
      <c r="E140" s="67"/>
      <c r="F140" s="67"/>
      <c r="G140" s="67"/>
      <c r="H140" s="67"/>
    </row>
    <row r="141" spans="1:8" x14ac:dyDescent="0.25">
      <c r="A141" s="92"/>
      <c r="C141" s="67"/>
      <c r="D141" s="67"/>
      <c r="E141" s="67"/>
      <c r="F141" s="67"/>
      <c r="G141" s="67"/>
      <c r="H141" s="67"/>
    </row>
    <row r="142" spans="1:8" x14ac:dyDescent="0.25">
      <c r="A142" s="92"/>
      <c r="C142" s="67"/>
      <c r="D142" s="67"/>
      <c r="E142" s="67"/>
      <c r="F142" s="67"/>
      <c r="G142" s="67"/>
      <c r="H142" s="67"/>
    </row>
    <row r="143" spans="1:8" x14ac:dyDescent="0.25">
      <c r="A143" s="92"/>
      <c r="C143" s="67"/>
      <c r="D143" s="67"/>
      <c r="E143" s="67"/>
      <c r="F143" s="67"/>
      <c r="G143" s="67"/>
      <c r="H143" s="67"/>
    </row>
    <row r="144" spans="1:8" x14ac:dyDescent="0.25">
      <c r="A144" s="92"/>
      <c r="C144" s="67"/>
      <c r="D144" s="67"/>
      <c r="E144" s="67"/>
      <c r="F144" s="67"/>
      <c r="G144" s="67"/>
      <c r="H144" s="67"/>
    </row>
    <row r="145" spans="1:8" x14ac:dyDescent="0.25">
      <c r="A145" s="92"/>
      <c r="C145" s="67"/>
      <c r="D145" s="67"/>
      <c r="E145" s="67"/>
      <c r="F145" s="67"/>
      <c r="G145" s="67"/>
      <c r="H145" s="67"/>
    </row>
    <row r="146" spans="1:8" x14ac:dyDescent="0.25">
      <c r="A146" s="92"/>
      <c r="C146" s="67"/>
      <c r="D146" s="67"/>
      <c r="E146" s="67"/>
      <c r="F146" s="67"/>
      <c r="G146" s="67"/>
      <c r="H146" s="67"/>
    </row>
    <row r="147" spans="1:8" x14ac:dyDescent="0.25">
      <c r="A147" s="92"/>
      <c r="C147" s="67"/>
      <c r="D147" s="67"/>
      <c r="E147" s="67"/>
      <c r="F147" s="67"/>
      <c r="G147" s="67"/>
      <c r="H147" s="67"/>
    </row>
    <row r="148" spans="1:8" x14ac:dyDescent="0.25">
      <c r="A148" s="92"/>
      <c r="C148" s="67"/>
      <c r="D148" s="67"/>
      <c r="E148" s="67"/>
      <c r="F148" s="67"/>
      <c r="G148" s="67"/>
      <c r="H148" s="67"/>
    </row>
    <row r="149" spans="1:8" x14ac:dyDescent="0.25">
      <c r="A149" s="92"/>
      <c r="C149" s="67"/>
      <c r="D149" s="67"/>
      <c r="E149" s="67"/>
      <c r="F149" s="67"/>
      <c r="G149" s="67"/>
      <c r="H149" s="67"/>
    </row>
    <row r="150" spans="1:8" x14ac:dyDescent="0.25">
      <c r="A150" s="92"/>
      <c r="C150" s="67"/>
      <c r="D150" s="67"/>
      <c r="E150" s="67"/>
      <c r="F150" s="67"/>
      <c r="G150" s="67"/>
      <c r="H150" s="67"/>
    </row>
    <row r="151" spans="1:8" x14ac:dyDescent="0.25">
      <c r="A151" s="92"/>
      <c r="C151" s="67"/>
      <c r="D151" s="67"/>
      <c r="E151" s="67"/>
      <c r="F151" s="67"/>
      <c r="G151" s="67"/>
      <c r="H151" s="67"/>
    </row>
    <row r="152" spans="1:8" x14ac:dyDescent="0.25">
      <c r="A152" s="92"/>
      <c r="C152" s="67"/>
      <c r="D152" s="67"/>
      <c r="E152" s="67"/>
      <c r="F152" s="67"/>
      <c r="G152" s="67"/>
      <c r="H152" s="67"/>
    </row>
    <row r="153" spans="1:8" x14ac:dyDescent="0.25">
      <c r="A153" s="92"/>
      <c r="C153" s="67"/>
      <c r="D153" s="67"/>
      <c r="E153" s="67"/>
      <c r="F153" s="67"/>
      <c r="G153" s="67"/>
      <c r="H153" s="67"/>
    </row>
    <row r="154" spans="1:8" x14ac:dyDescent="0.25">
      <c r="A154" s="92"/>
      <c r="C154" s="67"/>
      <c r="D154" s="67"/>
      <c r="E154" s="67"/>
      <c r="F154" s="67"/>
      <c r="G154" s="67"/>
      <c r="H154" s="67"/>
    </row>
    <row r="155" spans="1:8" x14ac:dyDescent="0.25">
      <c r="A155" s="92"/>
      <c r="C155" s="67"/>
      <c r="D155" s="67"/>
      <c r="E155" s="67"/>
      <c r="F155" s="67"/>
      <c r="G155" s="67"/>
      <c r="H155" s="67"/>
    </row>
    <row r="156" spans="1:8" x14ac:dyDescent="0.25">
      <c r="A156" s="92"/>
      <c r="C156" s="67"/>
      <c r="D156" s="67"/>
      <c r="E156" s="67"/>
      <c r="F156" s="67"/>
      <c r="G156" s="67"/>
      <c r="H156" s="67"/>
    </row>
    <row r="157" spans="1:8" x14ac:dyDescent="0.25">
      <c r="A157" s="92"/>
      <c r="C157" s="67"/>
      <c r="D157" s="67"/>
      <c r="E157" s="67"/>
      <c r="F157" s="67"/>
      <c r="G157" s="67"/>
      <c r="H157" s="67"/>
    </row>
    <row r="158" spans="1:8" x14ac:dyDescent="0.25">
      <c r="A158" s="92"/>
      <c r="C158" s="67"/>
      <c r="D158" s="67"/>
      <c r="E158" s="67"/>
      <c r="F158" s="67"/>
      <c r="G158" s="67"/>
      <c r="H158" s="67"/>
    </row>
    <row r="159" spans="1:8" x14ac:dyDescent="0.25">
      <c r="A159" s="92"/>
      <c r="C159" s="67"/>
      <c r="D159" s="67"/>
      <c r="E159" s="67"/>
      <c r="F159" s="67"/>
      <c r="G159" s="67"/>
      <c r="H159" s="67"/>
    </row>
    <row r="160" spans="1:8" x14ac:dyDescent="0.25">
      <c r="A160" s="92"/>
      <c r="C160" s="67"/>
      <c r="D160" s="67"/>
      <c r="E160" s="67"/>
      <c r="F160" s="67"/>
      <c r="G160" s="67"/>
      <c r="H160" s="67"/>
    </row>
    <row r="161" spans="1:8" x14ac:dyDescent="0.25">
      <c r="A161" s="92"/>
      <c r="C161" s="67"/>
      <c r="D161" s="67"/>
      <c r="E161" s="67"/>
      <c r="F161" s="67"/>
      <c r="G161" s="67"/>
      <c r="H161" s="67"/>
    </row>
    <row r="162" spans="1:8" x14ac:dyDescent="0.25">
      <c r="A162" s="92"/>
      <c r="C162" s="67"/>
      <c r="D162" s="67"/>
      <c r="E162" s="67"/>
      <c r="F162" s="67"/>
      <c r="G162" s="67"/>
      <c r="H162" s="67"/>
    </row>
    <row r="163" spans="1:8" x14ac:dyDescent="0.25">
      <c r="A163" s="92"/>
      <c r="C163" s="67"/>
      <c r="D163" s="67"/>
      <c r="E163" s="67"/>
      <c r="F163" s="67"/>
      <c r="G163" s="67"/>
      <c r="H163" s="67"/>
    </row>
    <row r="164" spans="1:8" x14ac:dyDescent="0.25">
      <c r="A164" s="92"/>
      <c r="C164" s="67"/>
      <c r="D164" s="67"/>
      <c r="E164" s="67"/>
      <c r="F164" s="67"/>
      <c r="G164" s="67"/>
      <c r="H164" s="67"/>
    </row>
    <row r="165" spans="1:8" x14ac:dyDescent="0.25">
      <c r="A165" s="92"/>
      <c r="C165" s="67"/>
      <c r="D165" s="67"/>
      <c r="E165" s="67"/>
      <c r="F165" s="67"/>
      <c r="G165" s="67"/>
      <c r="H165" s="67"/>
    </row>
    <row r="166" spans="1:8" x14ac:dyDescent="0.25">
      <c r="A166" s="92"/>
      <c r="C166" s="67"/>
      <c r="D166" s="67"/>
      <c r="E166" s="67"/>
      <c r="F166" s="67"/>
      <c r="G166" s="67"/>
      <c r="H166" s="67"/>
    </row>
    <row r="167" spans="1:8" x14ac:dyDescent="0.25">
      <c r="A167" s="92"/>
      <c r="C167" s="67"/>
      <c r="D167" s="67"/>
      <c r="E167" s="67"/>
      <c r="F167" s="67"/>
      <c r="G167" s="67"/>
      <c r="H167" s="67"/>
    </row>
    <row r="168" spans="1:8" x14ac:dyDescent="0.25">
      <c r="A168" s="92"/>
      <c r="C168" s="67"/>
      <c r="D168" s="67"/>
      <c r="E168" s="67"/>
      <c r="F168" s="67"/>
      <c r="G168" s="67"/>
      <c r="H168" s="67"/>
    </row>
    <row r="169" spans="1:8" x14ac:dyDescent="0.25">
      <c r="A169" s="92"/>
      <c r="C169" s="67"/>
      <c r="D169" s="67"/>
      <c r="E169" s="67"/>
      <c r="F169" s="67"/>
      <c r="G169" s="67"/>
      <c r="H169" s="67"/>
    </row>
    <row r="170" spans="1:8" x14ac:dyDescent="0.25">
      <c r="A170" s="92"/>
      <c r="C170" s="67"/>
      <c r="D170" s="67"/>
      <c r="E170" s="67"/>
      <c r="F170" s="67"/>
      <c r="G170" s="67"/>
      <c r="H170" s="67"/>
    </row>
    <row r="171" spans="1:8" x14ac:dyDescent="0.25">
      <c r="A171" s="92"/>
      <c r="C171" s="67"/>
      <c r="D171" s="67"/>
      <c r="E171" s="67"/>
      <c r="F171" s="67"/>
      <c r="G171" s="67"/>
      <c r="H171" s="67"/>
    </row>
    <row r="172" spans="1:8" x14ac:dyDescent="0.25">
      <c r="A172" s="92"/>
      <c r="C172" s="67"/>
      <c r="D172" s="67"/>
      <c r="E172" s="67"/>
      <c r="F172" s="67"/>
      <c r="G172" s="67"/>
      <c r="H172" s="67"/>
    </row>
    <row r="173" spans="1:8" x14ac:dyDescent="0.25">
      <c r="A173" s="92"/>
      <c r="C173" s="67"/>
      <c r="D173" s="67"/>
      <c r="E173" s="67"/>
      <c r="F173" s="67"/>
      <c r="G173" s="67"/>
      <c r="H173" s="67"/>
    </row>
    <row r="174" spans="1:8" x14ac:dyDescent="0.25">
      <c r="A174" s="92"/>
      <c r="C174" s="67"/>
      <c r="D174" s="67"/>
      <c r="E174" s="67"/>
      <c r="F174" s="67"/>
      <c r="G174" s="67"/>
      <c r="H174" s="67"/>
    </row>
    <row r="175" spans="1:8" x14ac:dyDescent="0.25">
      <c r="A175" s="92"/>
      <c r="C175" s="67"/>
      <c r="D175" s="67"/>
      <c r="E175" s="67"/>
      <c r="F175" s="67"/>
      <c r="G175" s="67"/>
      <c r="H175" s="67"/>
    </row>
    <row r="176" spans="1:8" x14ac:dyDescent="0.25">
      <c r="A176" s="92"/>
      <c r="C176" s="67"/>
      <c r="D176" s="67"/>
      <c r="E176" s="67"/>
      <c r="F176" s="67"/>
      <c r="G176" s="67"/>
      <c r="H176" s="67"/>
    </row>
    <row r="177" spans="1:8" x14ac:dyDescent="0.25">
      <c r="A177" s="92"/>
      <c r="C177" s="67"/>
      <c r="D177" s="67"/>
      <c r="E177" s="67"/>
      <c r="F177" s="67"/>
      <c r="G177" s="67"/>
      <c r="H177" s="67"/>
    </row>
    <row r="178" spans="1:8" x14ac:dyDescent="0.25">
      <c r="A178" s="92"/>
      <c r="C178" s="67"/>
      <c r="D178" s="67"/>
      <c r="E178" s="67"/>
      <c r="F178" s="67"/>
      <c r="G178" s="67"/>
      <c r="H178" s="67"/>
    </row>
    <row r="179" spans="1:8" x14ac:dyDescent="0.25">
      <c r="A179" s="92"/>
      <c r="C179" s="67"/>
      <c r="D179" s="67"/>
      <c r="E179" s="67"/>
      <c r="F179" s="67"/>
      <c r="G179" s="67"/>
      <c r="H179" s="67"/>
    </row>
    <row r="180" spans="1:8" x14ac:dyDescent="0.25">
      <c r="A180" s="92"/>
      <c r="C180" s="67"/>
      <c r="D180" s="67"/>
      <c r="E180" s="67"/>
      <c r="F180" s="67"/>
      <c r="G180" s="67"/>
      <c r="H180" s="67"/>
    </row>
    <row r="181" spans="1:8" x14ac:dyDescent="0.25">
      <c r="A181" s="92"/>
      <c r="C181" s="67"/>
      <c r="D181" s="67"/>
      <c r="E181" s="67"/>
      <c r="F181" s="67"/>
      <c r="G181" s="67"/>
      <c r="H181" s="67"/>
    </row>
    <row r="182" spans="1:8" x14ac:dyDescent="0.25">
      <c r="A182" s="92"/>
      <c r="C182" s="67"/>
      <c r="D182" s="67"/>
      <c r="E182" s="67"/>
      <c r="F182" s="67"/>
      <c r="G182" s="67"/>
      <c r="H182" s="67"/>
    </row>
    <row r="183" spans="1:8" x14ac:dyDescent="0.25">
      <c r="A183" s="92"/>
      <c r="C183" s="67"/>
      <c r="D183" s="67"/>
      <c r="E183" s="67"/>
      <c r="F183" s="67"/>
      <c r="G183" s="67"/>
      <c r="H183" s="67"/>
    </row>
    <row r="184" spans="1:8" x14ac:dyDescent="0.25">
      <c r="A184" s="92"/>
      <c r="C184" s="67"/>
      <c r="D184" s="67"/>
      <c r="E184" s="67"/>
      <c r="F184" s="67"/>
      <c r="G184" s="67"/>
      <c r="H184" s="67"/>
    </row>
    <row r="185" spans="1:8" x14ac:dyDescent="0.25">
      <c r="A185" s="92"/>
      <c r="C185" s="67"/>
      <c r="D185" s="67"/>
      <c r="E185" s="67"/>
      <c r="F185" s="67"/>
      <c r="G185" s="67"/>
      <c r="H185" s="67"/>
    </row>
    <row r="186" spans="1:8" x14ac:dyDescent="0.25">
      <c r="A186" s="92"/>
      <c r="C186" s="67"/>
      <c r="D186" s="67"/>
      <c r="E186" s="67"/>
      <c r="F186" s="67"/>
      <c r="G186" s="67"/>
      <c r="H186" s="67"/>
    </row>
    <row r="187" spans="1:8" x14ac:dyDescent="0.25">
      <c r="A187" s="92"/>
      <c r="C187" s="67"/>
      <c r="D187" s="67"/>
      <c r="E187" s="67"/>
      <c r="F187" s="67"/>
      <c r="G187" s="67"/>
      <c r="H187" s="67"/>
    </row>
    <row r="188" spans="1:8" x14ac:dyDescent="0.25">
      <c r="A188" s="92"/>
      <c r="C188" s="67"/>
      <c r="D188" s="67"/>
      <c r="E188" s="67"/>
      <c r="F188" s="67"/>
      <c r="G188" s="67"/>
      <c r="H188" s="67"/>
    </row>
    <row r="189" spans="1:8" x14ac:dyDescent="0.25">
      <c r="A189" s="92"/>
      <c r="C189" s="67"/>
      <c r="D189" s="67"/>
      <c r="E189" s="67"/>
      <c r="F189" s="67"/>
      <c r="G189" s="67"/>
      <c r="H189" s="67"/>
    </row>
    <row r="190" spans="1:8" x14ac:dyDescent="0.25">
      <c r="A190" s="92"/>
      <c r="C190" s="67"/>
      <c r="D190" s="67"/>
      <c r="E190" s="67"/>
      <c r="F190" s="67"/>
      <c r="G190" s="67"/>
      <c r="H190" s="67"/>
    </row>
    <row r="191" spans="1:8" x14ac:dyDescent="0.25">
      <c r="A191" s="92"/>
      <c r="C191" s="67"/>
      <c r="D191" s="67"/>
      <c r="E191" s="67"/>
      <c r="F191" s="67"/>
      <c r="G191" s="67"/>
      <c r="H191" s="67"/>
    </row>
    <row r="192" spans="1:8" x14ac:dyDescent="0.25">
      <c r="A192" s="92"/>
      <c r="C192" s="67"/>
      <c r="D192" s="67"/>
      <c r="E192" s="67"/>
      <c r="F192" s="67"/>
      <c r="G192" s="67"/>
      <c r="H192" s="67"/>
    </row>
    <row r="193" spans="1:8" x14ac:dyDescent="0.25">
      <c r="A193" s="92"/>
      <c r="C193" s="67"/>
      <c r="D193" s="67"/>
      <c r="E193" s="67"/>
      <c r="F193" s="67"/>
      <c r="G193" s="67"/>
      <c r="H193" s="67"/>
    </row>
    <row r="194" spans="1:8" x14ac:dyDescent="0.25">
      <c r="A194" s="92"/>
      <c r="C194" s="67"/>
      <c r="D194" s="67"/>
      <c r="E194" s="67"/>
      <c r="F194" s="67"/>
      <c r="G194" s="67"/>
      <c r="H194" s="67"/>
    </row>
    <row r="195" spans="1:8" x14ac:dyDescent="0.25">
      <c r="A195" s="92"/>
      <c r="C195" s="67"/>
      <c r="D195" s="67"/>
      <c r="E195" s="67"/>
      <c r="F195" s="67"/>
      <c r="G195" s="67"/>
      <c r="H195" s="67"/>
    </row>
    <row r="196" spans="1:8" x14ac:dyDescent="0.25">
      <c r="A196" s="92"/>
      <c r="C196" s="67"/>
      <c r="D196" s="67"/>
      <c r="E196" s="67"/>
      <c r="F196" s="67"/>
      <c r="G196" s="67"/>
      <c r="H196" s="67"/>
    </row>
    <row r="197" spans="1:8" x14ac:dyDescent="0.25">
      <c r="A197" s="92"/>
      <c r="C197" s="67"/>
      <c r="D197" s="67"/>
      <c r="E197" s="67"/>
      <c r="F197" s="67"/>
      <c r="G197" s="67"/>
      <c r="H197" s="67"/>
    </row>
    <row r="198" spans="1:8" x14ac:dyDescent="0.25">
      <c r="A198" s="92"/>
      <c r="C198" s="67"/>
      <c r="D198" s="67"/>
      <c r="E198" s="67"/>
      <c r="F198" s="67"/>
      <c r="G198" s="67"/>
      <c r="H198" s="67"/>
    </row>
    <row r="199" spans="1:8" x14ac:dyDescent="0.25">
      <c r="A199" s="92"/>
      <c r="C199" s="67"/>
      <c r="D199" s="67"/>
      <c r="E199" s="67"/>
      <c r="F199" s="67"/>
      <c r="G199" s="67"/>
      <c r="H199" s="67"/>
    </row>
    <row r="200" spans="1:8" x14ac:dyDescent="0.25">
      <c r="A200" s="92"/>
      <c r="C200" s="67"/>
      <c r="D200" s="67"/>
      <c r="E200" s="67"/>
      <c r="F200" s="67"/>
      <c r="G200" s="67"/>
      <c r="H200" s="67"/>
    </row>
    <row r="201" spans="1:8" x14ac:dyDescent="0.25">
      <c r="A201" s="92"/>
      <c r="C201" s="67"/>
      <c r="D201" s="67"/>
      <c r="E201" s="67"/>
      <c r="F201" s="67"/>
      <c r="G201" s="67"/>
      <c r="H201" s="67"/>
    </row>
    <row r="202" spans="1:8" x14ac:dyDescent="0.25">
      <c r="A202" s="92"/>
      <c r="C202" s="67"/>
      <c r="D202" s="67"/>
      <c r="E202" s="67"/>
      <c r="F202" s="67"/>
      <c r="G202" s="67"/>
      <c r="H202" s="67"/>
    </row>
    <row r="203" spans="1:8" x14ac:dyDescent="0.25">
      <c r="A203" s="92"/>
      <c r="C203" s="67"/>
      <c r="D203" s="67"/>
      <c r="E203" s="67"/>
      <c r="F203" s="67"/>
      <c r="G203" s="67"/>
      <c r="H203" s="67"/>
    </row>
    <row r="204" spans="1:8" x14ac:dyDescent="0.25">
      <c r="A204" s="92"/>
      <c r="C204" s="67"/>
      <c r="D204" s="67"/>
      <c r="E204" s="67"/>
      <c r="F204" s="67"/>
      <c r="G204" s="67"/>
      <c r="H204" s="67"/>
    </row>
    <row r="205" spans="1:8" x14ac:dyDescent="0.25">
      <c r="A205" s="92"/>
      <c r="C205" s="67"/>
      <c r="D205" s="67"/>
      <c r="E205" s="67"/>
      <c r="F205" s="67"/>
      <c r="G205" s="67"/>
      <c r="H205" s="67"/>
    </row>
    <row r="206" spans="1:8" x14ac:dyDescent="0.25">
      <c r="A206" s="92"/>
      <c r="C206" s="67"/>
      <c r="D206" s="67"/>
      <c r="E206" s="67"/>
      <c r="F206" s="67"/>
      <c r="G206" s="67"/>
      <c r="H206" s="67"/>
    </row>
    <row r="207" spans="1:8" x14ac:dyDescent="0.25">
      <c r="A207" s="92"/>
      <c r="C207" s="67"/>
      <c r="D207" s="67"/>
      <c r="E207" s="67"/>
      <c r="F207" s="67"/>
      <c r="G207" s="67"/>
      <c r="H207" s="67"/>
    </row>
    <row r="208" spans="1:8" x14ac:dyDescent="0.25">
      <c r="A208" s="92"/>
      <c r="C208" s="67"/>
      <c r="D208" s="67"/>
      <c r="E208" s="67"/>
      <c r="F208" s="67"/>
      <c r="G208" s="67"/>
      <c r="H208" s="67"/>
    </row>
    <row r="209" spans="1:8" x14ac:dyDescent="0.25">
      <c r="A209" s="92"/>
      <c r="C209" s="67"/>
      <c r="D209" s="67"/>
      <c r="E209" s="67"/>
      <c r="F209" s="67"/>
      <c r="G209" s="67"/>
      <c r="H209" s="67"/>
    </row>
    <row r="210" spans="1:8" x14ac:dyDescent="0.25">
      <c r="A210" s="92"/>
      <c r="C210" s="67"/>
      <c r="D210" s="67"/>
      <c r="E210" s="67"/>
      <c r="F210" s="67"/>
      <c r="G210" s="67"/>
      <c r="H210" s="67"/>
    </row>
    <row r="211" spans="1:8" x14ac:dyDescent="0.25">
      <c r="A211" s="92"/>
      <c r="C211" s="67"/>
      <c r="D211" s="67"/>
      <c r="E211" s="67"/>
      <c r="F211" s="67"/>
      <c r="G211" s="67"/>
      <c r="H211" s="67"/>
    </row>
    <row r="212" spans="1:8" x14ac:dyDescent="0.25">
      <c r="A212" s="92"/>
      <c r="C212" s="67"/>
      <c r="D212" s="67"/>
      <c r="E212" s="67"/>
      <c r="F212" s="67"/>
      <c r="G212" s="67"/>
      <c r="H212" s="67"/>
    </row>
    <row r="213" spans="1:8" x14ac:dyDescent="0.25">
      <c r="A213" s="92"/>
      <c r="C213" s="67"/>
      <c r="D213" s="67"/>
      <c r="E213" s="67"/>
      <c r="F213" s="67"/>
      <c r="G213" s="67"/>
      <c r="H213" s="67"/>
    </row>
    <row r="214" spans="1:8" x14ac:dyDescent="0.25">
      <c r="A214" s="92"/>
      <c r="C214" s="67"/>
      <c r="D214" s="67"/>
      <c r="E214" s="67"/>
      <c r="F214" s="67"/>
      <c r="G214" s="67"/>
      <c r="H214" s="67"/>
    </row>
    <row r="215" spans="1:8" x14ac:dyDescent="0.25">
      <c r="A215" s="92"/>
      <c r="C215" s="67"/>
      <c r="D215" s="67"/>
      <c r="E215" s="67"/>
      <c r="F215" s="67"/>
      <c r="G215" s="67"/>
      <c r="H215" s="67"/>
    </row>
    <row r="216" spans="1:8" x14ac:dyDescent="0.25">
      <c r="A216" s="92"/>
      <c r="C216" s="67"/>
      <c r="D216" s="67"/>
      <c r="E216" s="67"/>
      <c r="F216" s="67"/>
      <c r="G216" s="67"/>
      <c r="H216" s="67"/>
    </row>
    <row r="217" spans="1:8" x14ac:dyDescent="0.25">
      <c r="A217" s="92"/>
      <c r="C217" s="67"/>
      <c r="D217" s="67"/>
      <c r="E217" s="67"/>
      <c r="F217" s="67"/>
      <c r="G217" s="67"/>
      <c r="H217" s="67"/>
    </row>
    <row r="218" spans="1:8" x14ac:dyDescent="0.25">
      <c r="A218" s="92"/>
      <c r="C218" s="67"/>
      <c r="D218" s="67"/>
      <c r="E218" s="67"/>
      <c r="F218" s="67"/>
      <c r="G218" s="67"/>
      <c r="H218" s="67"/>
    </row>
    <row r="219" spans="1:8" x14ac:dyDescent="0.25">
      <c r="A219" s="92"/>
      <c r="C219" s="67"/>
      <c r="D219" s="67"/>
      <c r="E219" s="67"/>
      <c r="F219" s="67"/>
      <c r="G219" s="67"/>
      <c r="H219" s="67"/>
    </row>
    <row r="220" spans="1:8" x14ac:dyDescent="0.25">
      <c r="A220" s="92"/>
      <c r="C220" s="67"/>
      <c r="D220" s="67"/>
      <c r="E220" s="67"/>
      <c r="F220" s="67"/>
      <c r="G220" s="67"/>
      <c r="H220" s="67"/>
    </row>
    <row r="221" spans="1:8" x14ac:dyDescent="0.25">
      <c r="A221" s="92"/>
      <c r="C221" s="67"/>
      <c r="D221" s="67"/>
      <c r="E221" s="67"/>
      <c r="F221" s="67"/>
      <c r="G221" s="67"/>
      <c r="H221" s="67"/>
    </row>
    <row r="222" spans="1:8" x14ac:dyDescent="0.25">
      <c r="A222" s="92"/>
      <c r="C222" s="67"/>
      <c r="D222" s="67"/>
      <c r="E222" s="67"/>
      <c r="F222" s="67"/>
      <c r="G222" s="67"/>
      <c r="H222" s="67"/>
    </row>
    <row r="223" spans="1:8" x14ac:dyDescent="0.25">
      <c r="A223" s="92"/>
      <c r="C223" s="67"/>
      <c r="D223" s="67"/>
      <c r="E223" s="67"/>
      <c r="F223" s="67"/>
      <c r="G223" s="67"/>
      <c r="H223" s="67"/>
    </row>
    <row r="224" spans="1:8" x14ac:dyDescent="0.25">
      <c r="A224" s="92"/>
      <c r="C224" s="67"/>
      <c r="D224" s="67"/>
      <c r="E224" s="67"/>
      <c r="F224" s="67"/>
      <c r="G224" s="67"/>
      <c r="H224" s="67"/>
    </row>
    <row r="225" spans="1:8" x14ac:dyDescent="0.25">
      <c r="A225" s="92"/>
      <c r="C225" s="67"/>
      <c r="D225" s="67"/>
      <c r="E225" s="67"/>
      <c r="F225" s="67"/>
      <c r="G225" s="67"/>
      <c r="H225" s="67"/>
    </row>
    <row r="226" spans="1:8" x14ac:dyDescent="0.25">
      <c r="A226" s="92"/>
      <c r="C226" s="67"/>
      <c r="D226" s="67"/>
      <c r="E226" s="67"/>
      <c r="F226" s="67"/>
      <c r="G226" s="67"/>
      <c r="H226" s="67"/>
    </row>
    <row r="227" spans="1:8" x14ac:dyDescent="0.25">
      <c r="A227" s="92"/>
      <c r="C227" s="67"/>
      <c r="D227" s="67"/>
      <c r="E227" s="67"/>
      <c r="F227" s="67"/>
      <c r="G227" s="67"/>
      <c r="H227" s="67"/>
    </row>
    <row r="228" spans="1:8" x14ac:dyDescent="0.25">
      <c r="A228" s="92"/>
      <c r="C228" s="67"/>
      <c r="D228" s="67"/>
      <c r="E228" s="67"/>
      <c r="F228" s="67"/>
      <c r="G228" s="67"/>
      <c r="H228" s="67"/>
    </row>
    <row r="229" spans="1:8" x14ac:dyDescent="0.25">
      <c r="A229" s="92"/>
      <c r="C229" s="67"/>
      <c r="D229" s="67"/>
      <c r="E229" s="67"/>
      <c r="F229" s="67"/>
      <c r="G229" s="67"/>
      <c r="H229" s="67"/>
    </row>
    <row r="230" spans="1:8" x14ac:dyDescent="0.25">
      <c r="A230" s="92"/>
      <c r="C230" s="67"/>
      <c r="D230" s="67"/>
      <c r="E230" s="67"/>
      <c r="F230" s="67"/>
      <c r="G230" s="67"/>
      <c r="H230" s="67"/>
    </row>
    <row r="231" spans="1:8" x14ac:dyDescent="0.25">
      <c r="A231" s="92"/>
      <c r="C231" s="67"/>
      <c r="D231" s="67"/>
      <c r="E231" s="67"/>
      <c r="F231" s="67"/>
      <c r="G231" s="67"/>
      <c r="H231" s="67"/>
    </row>
    <row r="232" spans="1:8" x14ac:dyDescent="0.25">
      <c r="A232" s="92"/>
      <c r="C232" s="67"/>
      <c r="D232" s="67"/>
      <c r="E232" s="67"/>
      <c r="F232" s="67"/>
      <c r="G232" s="67"/>
      <c r="H232" s="67"/>
    </row>
    <row r="233" spans="1:8" x14ac:dyDescent="0.25">
      <c r="A233" s="92"/>
      <c r="C233" s="67"/>
      <c r="D233" s="67"/>
      <c r="E233" s="67"/>
      <c r="F233" s="67"/>
      <c r="G233" s="67"/>
      <c r="H233" s="67"/>
    </row>
    <row r="234" spans="1:8" x14ac:dyDescent="0.25">
      <c r="A234" s="92"/>
      <c r="C234" s="67"/>
      <c r="D234" s="67"/>
      <c r="E234" s="67"/>
      <c r="F234" s="67"/>
      <c r="G234" s="67"/>
      <c r="H234" s="67"/>
    </row>
    <row r="235" spans="1:8" x14ac:dyDescent="0.25">
      <c r="A235" s="92"/>
      <c r="C235" s="67"/>
      <c r="D235" s="67"/>
      <c r="E235" s="67"/>
      <c r="F235" s="67"/>
      <c r="G235" s="67"/>
      <c r="H235" s="67"/>
    </row>
    <row r="236" spans="1:8" x14ac:dyDescent="0.25">
      <c r="A236" s="92"/>
      <c r="C236" s="67"/>
      <c r="D236" s="67"/>
      <c r="E236" s="67"/>
      <c r="F236" s="67"/>
      <c r="G236" s="67"/>
      <c r="H236" s="67"/>
    </row>
    <row r="237" spans="1:8" x14ac:dyDescent="0.25">
      <c r="A237" s="92"/>
      <c r="C237" s="67"/>
      <c r="D237" s="67"/>
      <c r="E237" s="67"/>
      <c r="F237" s="67"/>
      <c r="G237" s="67"/>
      <c r="H237" s="67"/>
    </row>
    <row r="238" spans="1:8" x14ac:dyDescent="0.25">
      <c r="A238" s="92"/>
      <c r="C238" s="67"/>
      <c r="D238" s="67"/>
      <c r="E238" s="67"/>
      <c r="F238" s="67"/>
      <c r="G238" s="67"/>
      <c r="H238" s="67"/>
    </row>
    <row r="239" spans="1:8" x14ac:dyDescent="0.25">
      <c r="A239" s="92"/>
      <c r="C239" s="67"/>
      <c r="D239" s="67"/>
      <c r="E239" s="67"/>
      <c r="F239" s="67"/>
      <c r="G239" s="67"/>
      <c r="H239" s="67"/>
    </row>
    <row r="240" spans="1:8" x14ac:dyDescent="0.25">
      <c r="A240" s="92"/>
      <c r="C240" s="67"/>
      <c r="D240" s="67"/>
      <c r="E240" s="67"/>
      <c r="F240" s="67"/>
      <c r="G240" s="67"/>
      <c r="H240" s="67"/>
    </row>
    <row r="241" spans="1:8" x14ac:dyDescent="0.25">
      <c r="A241" s="92"/>
      <c r="C241" s="67"/>
      <c r="D241" s="67"/>
      <c r="E241" s="67"/>
      <c r="F241" s="67"/>
      <c r="G241" s="67"/>
      <c r="H241" s="67"/>
    </row>
    <row r="242" spans="1:8" x14ac:dyDescent="0.25">
      <c r="A242" s="92"/>
      <c r="C242" s="67"/>
      <c r="D242" s="67"/>
      <c r="E242" s="67"/>
      <c r="F242" s="67"/>
      <c r="G242" s="67"/>
      <c r="H242" s="67"/>
    </row>
    <row r="243" spans="1:8" x14ac:dyDescent="0.25">
      <c r="A243" s="92"/>
      <c r="C243" s="67"/>
      <c r="D243" s="67"/>
      <c r="E243" s="67"/>
      <c r="F243" s="67"/>
      <c r="G243" s="67"/>
      <c r="H243" s="67"/>
    </row>
    <row r="244" spans="1:8" x14ac:dyDescent="0.25">
      <c r="A244" s="92"/>
      <c r="C244" s="67"/>
      <c r="D244" s="67"/>
      <c r="E244" s="67"/>
      <c r="F244" s="67"/>
      <c r="G244" s="67"/>
      <c r="H244" s="67"/>
    </row>
    <row r="245" spans="1:8" x14ac:dyDescent="0.25">
      <c r="A245" s="92"/>
      <c r="C245" s="67"/>
      <c r="D245" s="67"/>
      <c r="E245" s="67"/>
      <c r="F245" s="67"/>
      <c r="G245" s="67"/>
      <c r="H245" s="67"/>
    </row>
    <row r="246" spans="1:8" x14ac:dyDescent="0.25">
      <c r="A246" s="92"/>
      <c r="C246" s="67"/>
      <c r="D246" s="67"/>
      <c r="E246" s="67"/>
      <c r="F246" s="67"/>
      <c r="G246" s="67"/>
      <c r="H246" s="67"/>
    </row>
    <row r="247" spans="1:8" x14ac:dyDescent="0.25">
      <c r="A247" s="92"/>
      <c r="C247" s="67"/>
      <c r="D247" s="67"/>
      <c r="E247" s="67"/>
      <c r="F247" s="67"/>
      <c r="G247" s="67"/>
      <c r="H247" s="67"/>
    </row>
    <row r="248" spans="1:8" x14ac:dyDescent="0.25">
      <c r="A248" s="92"/>
      <c r="C248" s="67"/>
      <c r="D248" s="67"/>
      <c r="E248" s="67"/>
      <c r="F248" s="67"/>
      <c r="G248" s="67"/>
      <c r="H248" s="67"/>
    </row>
    <row r="249" spans="1:8" x14ac:dyDescent="0.25">
      <c r="A249" s="92"/>
      <c r="C249" s="67"/>
      <c r="D249" s="67"/>
      <c r="E249" s="67"/>
      <c r="F249" s="67"/>
      <c r="G249" s="67"/>
      <c r="H249" s="67"/>
    </row>
    <row r="250" spans="1:8" x14ac:dyDescent="0.25">
      <c r="A250" s="92"/>
      <c r="C250" s="67"/>
      <c r="D250" s="67"/>
      <c r="E250" s="67"/>
      <c r="F250" s="67"/>
      <c r="G250" s="67"/>
      <c r="H250" s="67"/>
    </row>
    <row r="251" spans="1:8" x14ac:dyDescent="0.25">
      <c r="A251" s="92"/>
      <c r="C251" s="67"/>
      <c r="D251" s="67"/>
      <c r="E251" s="67"/>
      <c r="F251" s="67"/>
      <c r="G251" s="67"/>
      <c r="H251" s="67"/>
    </row>
    <row r="252" spans="1:8" x14ac:dyDescent="0.25">
      <c r="A252" s="92"/>
      <c r="C252" s="67"/>
      <c r="D252" s="67"/>
      <c r="E252" s="67"/>
      <c r="F252" s="67"/>
      <c r="G252" s="67"/>
      <c r="H252" s="67"/>
    </row>
    <row r="253" spans="1:8" x14ac:dyDescent="0.25">
      <c r="A253" s="92"/>
      <c r="C253" s="67"/>
      <c r="D253" s="67"/>
      <c r="E253" s="67"/>
      <c r="F253" s="67"/>
      <c r="G253" s="67"/>
      <c r="H253" s="67"/>
    </row>
    <row r="254" spans="1:8" x14ac:dyDescent="0.25">
      <c r="A254" s="92"/>
      <c r="C254" s="67"/>
      <c r="D254" s="67"/>
      <c r="E254" s="67"/>
      <c r="F254" s="67"/>
      <c r="G254" s="67"/>
      <c r="H254" s="67"/>
    </row>
    <row r="255" spans="1:8" x14ac:dyDescent="0.25">
      <c r="A255" s="92"/>
      <c r="C255" s="67"/>
      <c r="D255" s="67"/>
      <c r="E255" s="67"/>
      <c r="F255" s="67"/>
      <c r="G255" s="67"/>
      <c r="H255" s="67"/>
    </row>
    <row r="256" spans="1:8" x14ac:dyDescent="0.25">
      <c r="A256" s="92"/>
      <c r="C256" s="67"/>
      <c r="D256" s="67"/>
      <c r="E256" s="67"/>
      <c r="F256" s="67"/>
      <c r="G256" s="67"/>
      <c r="H256" s="67"/>
    </row>
    <row r="257" spans="1:8" x14ac:dyDescent="0.25">
      <c r="A257" s="92"/>
      <c r="C257" s="67"/>
      <c r="D257" s="67"/>
      <c r="E257" s="67"/>
      <c r="F257" s="67"/>
      <c r="G257" s="67"/>
      <c r="H257" s="67"/>
    </row>
    <row r="258" spans="1:8" x14ac:dyDescent="0.25">
      <c r="A258" s="92"/>
      <c r="C258" s="67"/>
      <c r="D258" s="67"/>
      <c r="E258" s="67"/>
      <c r="F258" s="67"/>
      <c r="G258" s="67"/>
      <c r="H258" s="67"/>
    </row>
    <row r="259" spans="1:8" x14ac:dyDescent="0.25">
      <c r="A259" s="92"/>
      <c r="C259" s="67"/>
      <c r="D259" s="67"/>
      <c r="E259" s="67"/>
      <c r="F259" s="67"/>
      <c r="G259" s="67"/>
      <c r="H259" s="67"/>
    </row>
    <row r="260" spans="1:8" x14ac:dyDescent="0.25">
      <c r="A260" s="92"/>
      <c r="C260" s="67"/>
      <c r="D260" s="67"/>
      <c r="E260" s="67"/>
      <c r="F260" s="67"/>
      <c r="G260" s="67"/>
      <c r="H260" s="67"/>
    </row>
    <row r="261" spans="1:8" x14ac:dyDescent="0.25">
      <c r="A261" s="92"/>
      <c r="C261" s="67"/>
      <c r="D261" s="67"/>
      <c r="E261" s="67"/>
      <c r="F261" s="67"/>
      <c r="G261" s="67"/>
      <c r="H261" s="67"/>
    </row>
    <row r="262" spans="1:8" x14ac:dyDescent="0.25">
      <c r="A262" s="92"/>
      <c r="C262" s="67"/>
      <c r="D262" s="67"/>
      <c r="E262" s="67"/>
      <c r="F262" s="67"/>
      <c r="G262" s="67"/>
      <c r="H262" s="67"/>
    </row>
    <row r="263" spans="1:8" x14ac:dyDescent="0.25">
      <c r="A263" s="92"/>
      <c r="C263" s="67"/>
      <c r="D263" s="67"/>
      <c r="E263" s="67"/>
      <c r="F263" s="67"/>
      <c r="G263" s="67"/>
      <c r="H263" s="67"/>
    </row>
    <row r="264" spans="1:8" x14ac:dyDescent="0.25">
      <c r="A264" s="92"/>
      <c r="C264" s="67"/>
      <c r="D264" s="67"/>
      <c r="E264" s="67"/>
      <c r="F264" s="67"/>
      <c r="G264" s="67"/>
      <c r="H264" s="67"/>
    </row>
  </sheetData>
  <mergeCells count="6">
    <mergeCell ref="A1:H1"/>
    <mergeCell ref="A3:A4"/>
    <mergeCell ref="B3:B4"/>
    <mergeCell ref="C3:D3"/>
    <mergeCell ref="E3:F3"/>
    <mergeCell ref="G3:H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4E70-0A98-4177-B4CE-8E06E452A76B}">
  <sheetPr>
    <tabColor theme="4" tint="0.79998168889431442"/>
  </sheetPr>
  <dimension ref="A1:H312"/>
  <sheetViews>
    <sheetView tabSelected="1" workbookViewId="0">
      <selection activeCell="C6" sqref="C6"/>
    </sheetView>
  </sheetViews>
  <sheetFormatPr defaultRowHeight="13.2" x14ac:dyDescent="0.25"/>
  <cols>
    <col min="1" max="1" width="20.33203125" customWidth="1"/>
    <col min="2" max="2" width="65.6640625" customWidth="1"/>
    <col min="3" max="3" width="14.44140625" customWidth="1"/>
    <col min="4" max="4" width="14.77734375" customWidth="1"/>
    <col min="5" max="5" width="14.6640625" customWidth="1"/>
    <col min="6" max="6" width="17" customWidth="1"/>
    <col min="7" max="7" width="21.77734375" customWidth="1"/>
    <col min="8" max="8" width="14.33203125" customWidth="1"/>
  </cols>
  <sheetData>
    <row r="1" spans="1:8" ht="16.8" x14ac:dyDescent="0.25">
      <c r="A1" s="179" t="s">
        <v>920</v>
      </c>
      <c r="B1" s="179"/>
      <c r="C1" s="179"/>
      <c r="D1" s="179"/>
      <c r="E1" s="179"/>
      <c r="F1" s="179"/>
      <c r="G1" s="179"/>
      <c r="H1" s="179"/>
    </row>
    <row r="2" spans="1:8" x14ac:dyDescent="0.25">
      <c r="A2" s="72"/>
      <c r="B2" s="72"/>
      <c r="C2" s="72"/>
      <c r="D2" s="72"/>
      <c r="E2" s="72"/>
      <c r="F2" s="72"/>
      <c r="G2" s="72"/>
      <c r="H2" s="72"/>
    </row>
    <row r="3" spans="1:8" ht="16.8" x14ac:dyDescent="0.25">
      <c r="A3" s="170" t="s">
        <v>834</v>
      </c>
      <c r="B3" s="170" t="s">
        <v>861</v>
      </c>
      <c r="C3" s="170" t="s">
        <v>918</v>
      </c>
      <c r="D3" s="170"/>
      <c r="E3" s="170" t="s">
        <v>854</v>
      </c>
      <c r="F3" s="170"/>
      <c r="G3" s="170" t="s">
        <v>919</v>
      </c>
      <c r="H3" s="170"/>
    </row>
    <row r="4" spans="1:8" ht="16.8" x14ac:dyDescent="0.25">
      <c r="A4" s="170"/>
      <c r="B4" s="170"/>
      <c r="C4" s="100" t="s">
        <v>856</v>
      </c>
      <c r="D4" s="100" t="s">
        <v>857</v>
      </c>
      <c r="E4" s="100" t="s">
        <v>856</v>
      </c>
      <c r="F4" s="100" t="s">
        <v>857</v>
      </c>
      <c r="G4" s="100" t="s">
        <v>856</v>
      </c>
      <c r="H4" s="100" t="s">
        <v>857</v>
      </c>
    </row>
    <row r="5" spans="1:8" ht="16.8" x14ac:dyDescent="0.25">
      <c r="A5" s="149">
        <v>1</v>
      </c>
      <c r="B5" s="149">
        <v>2</v>
      </c>
      <c r="C5" s="149">
        <v>3</v>
      </c>
      <c r="D5" s="149">
        <v>4</v>
      </c>
      <c r="E5" s="149">
        <v>5</v>
      </c>
      <c r="F5" s="149">
        <v>6</v>
      </c>
      <c r="G5" s="149">
        <v>7</v>
      </c>
      <c r="H5" s="149">
        <v>8</v>
      </c>
    </row>
    <row r="6" spans="1:8" x14ac:dyDescent="0.25">
      <c r="A6" s="128" t="str">
        <f>[3]Sheet3!A5</f>
        <v>111</v>
      </c>
      <c r="B6" s="71" t="str">
        <f>IF(LEN(A6)=3,VLOOKUP('CĐPS_TH&amp;CT'!A6,HTTK1!$A$5:$F$80,3,0),VLOOKUP('CĐPS_TH&amp;CT'!A6,DMTK!$B$5:$Q$263,3,0))</f>
        <v>Tiền Mặt</v>
      </c>
      <c r="C6" s="69">
        <f>IF(LEN(A6)=3,VLOOKUP(A6,HTTK1!$A$5:$F$80,5,0),VLOOKUP('CĐPS_TH&amp;CT'!A6,DMTK!$B$5:$Q$263,10,0))</f>
        <v>400000000</v>
      </c>
      <c r="D6" s="69">
        <f>IF(LEN(A6)=3,VLOOKUP(A6,HTTK1!$A$5:$F$80,6,0),VLOOKUP('CĐPS_TH&amp;CT'!A6,DMTK!$B$5:$Q$263,11,0))</f>
        <v>0</v>
      </c>
      <c r="E6" s="69">
        <f>SUMIFS(CT!$H$5:$H$143,CT!$D$5:$D$143,'CĐPS_TH&amp;CT'!A6&amp;"*")</f>
        <v>25200000</v>
      </c>
      <c r="F6" s="69">
        <f>SUMIFS(CT!$H$5:$H$143,CT!$E$5:$E$143,'CĐPS_TH&amp;CT'!A6&amp;"*")</f>
        <v>404100000</v>
      </c>
      <c r="G6" s="69">
        <f>MAX(C6+E6-D6-F6,0)</f>
        <v>21100000</v>
      </c>
      <c r="H6" s="69">
        <f>MAX(D6+F6-C6-E6,0)</f>
        <v>0</v>
      </c>
    </row>
    <row r="7" spans="1:8" x14ac:dyDescent="0.25">
      <c r="A7" s="93" t="str">
        <f>[3]Sheet3!A6</f>
        <v>1111</v>
      </c>
      <c r="B7" s="65" t="str">
        <f>IF(LEN(A7)=3,VLOOKUP('CĐPS_TH&amp;CT'!A7,HTTK1!$A$5:$F$80,3,0),VLOOKUP('CĐPS_TH&amp;CT'!A7,DMTK!$B$5:$Q$263,3,0))</f>
        <v>Tiền Việt Nam</v>
      </c>
      <c r="C7" s="69">
        <f>IF(LEN(A7)=3,VLOOKUP(A7,HTTK1!$A$5:$F$80,5,0),VLOOKUP('CĐPS_TH&amp;CT'!A7,DMTK!$B$5:$Q$263,10,0))</f>
        <v>400000000</v>
      </c>
      <c r="D7" s="69">
        <f>IF(LEN(A7)=3,VLOOKUP(A7,HTTK1!$A$5:$F$80,6,0),VLOOKUP('CĐPS_TH&amp;CT'!A7,DMTK!$B$5:$Q$263,11,0))</f>
        <v>0</v>
      </c>
      <c r="E7" s="69">
        <f>SUMIFS(CT!$H$5:$H$143,CT!$D$5:$D$143,'CĐPS_TH&amp;CT'!A7&amp;"*")</f>
        <v>25200000</v>
      </c>
      <c r="F7" s="69">
        <f>SUMIFS(CT!$H$5:$H$143,CT!$E$5:$E$143,'CĐPS_TH&amp;CT'!A7&amp;"*")</f>
        <v>404100000</v>
      </c>
      <c r="G7" s="69">
        <f t="shared" ref="G7:G70" si="0">MAX(C7+E7-D7-F7,0)</f>
        <v>21100000</v>
      </c>
      <c r="H7" s="69">
        <f t="shared" ref="H7:H70" si="1">MAX(D7+F7-C7-E7,0)</f>
        <v>0</v>
      </c>
    </row>
    <row r="8" spans="1:8" x14ac:dyDescent="0.25">
      <c r="A8" s="93" t="str">
        <f>[3]Sheet3!A7</f>
        <v>1112</v>
      </c>
      <c r="B8" s="65" t="str">
        <f>IF(LEN(A8)=3,VLOOKUP('CĐPS_TH&amp;CT'!A8,HTTK1!$A$5:$F$80,3,0),VLOOKUP('CĐPS_TH&amp;CT'!A8,DMTK!$B$5:$Q$263,3,0))</f>
        <v>Ngoại tệ</v>
      </c>
      <c r="C8" s="69">
        <f>IF(LEN(A8)=3,VLOOKUP(A8,HTTK1!$A$5:$F$80,5,0),VLOOKUP('CĐPS_TH&amp;CT'!A8,DMTK!$B$5:$Q$263,10,0))</f>
        <v>0</v>
      </c>
      <c r="D8" s="69">
        <f>IF(LEN(A8)=3,VLOOKUP(A8,HTTK1!$A$5:$F$80,6,0),VLOOKUP('CĐPS_TH&amp;CT'!A8,DMTK!$B$5:$Q$263,11,0))</f>
        <v>0</v>
      </c>
      <c r="E8" s="69">
        <f>SUMIFS(CT!$H$5:$H$143,CT!$D$5:$D$143,'CĐPS_TH&amp;CT'!A8&amp;"*")</f>
        <v>0</v>
      </c>
      <c r="F8" s="69">
        <f>SUMIFS(CT!$H$5:$H$143,CT!$E$5:$E$143,'CĐPS_TH&amp;CT'!A8&amp;"*")</f>
        <v>0</v>
      </c>
      <c r="G8" s="69">
        <f t="shared" si="0"/>
        <v>0</v>
      </c>
      <c r="H8" s="69">
        <f t="shared" si="1"/>
        <v>0</v>
      </c>
    </row>
    <row r="9" spans="1:8" x14ac:dyDescent="0.25">
      <c r="A9" s="93" t="str">
        <f>[3]Sheet3!A8</f>
        <v>1113</v>
      </c>
      <c r="B9" s="65" t="str">
        <f>IF(LEN(A9)=3,VLOOKUP('CĐPS_TH&amp;CT'!A9,HTTK1!$A$5:$F$80,3,0),VLOOKUP('CĐPS_TH&amp;CT'!A9,DMTK!$B$5:$Q$263,3,0))</f>
        <v>Vàng tiền tệ</v>
      </c>
      <c r="C9" s="69">
        <f>IF(LEN(A9)=3,VLOOKUP(A9,HTTK1!$A$5:$F$80,5,0),VLOOKUP('CĐPS_TH&amp;CT'!A9,DMTK!$B$5:$Q$263,10,0))</f>
        <v>0</v>
      </c>
      <c r="D9" s="69">
        <f>IF(LEN(A9)=3,VLOOKUP(A9,HTTK1!$A$5:$F$80,6,0),VLOOKUP('CĐPS_TH&amp;CT'!A9,DMTK!$B$5:$Q$263,11,0))</f>
        <v>0</v>
      </c>
      <c r="E9" s="69">
        <f>SUMIFS(CT!$H$5:$H$143,CT!$D$5:$D$143,'CĐPS_TH&amp;CT'!A9&amp;"*")</f>
        <v>0</v>
      </c>
      <c r="F9" s="69">
        <f>SUMIFS(CT!$H$5:$H$143,CT!$E$5:$E$143,'CĐPS_TH&amp;CT'!A9&amp;"*")</f>
        <v>0</v>
      </c>
      <c r="G9" s="69">
        <f t="shared" si="0"/>
        <v>0</v>
      </c>
      <c r="H9" s="69">
        <f t="shared" si="1"/>
        <v>0</v>
      </c>
    </row>
    <row r="10" spans="1:8" s="72" customFormat="1" x14ac:dyDescent="0.25">
      <c r="A10" s="128" t="str">
        <f>[3]Sheet3!A9</f>
        <v>112</v>
      </c>
      <c r="B10" s="71" t="str">
        <f>IF(LEN(A10)=3,VLOOKUP('CĐPS_TH&amp;CT'!A10,HTTK1!$A$5:$F$80,3,0),VLOOKUP('CĐPS_TH&amp;CT'!A10,DMTK!$B$5:$Q$263,3,0))</f>
        <v>Tiền gửi Ngân Hàng</v>
      </c>
      <c r="C10" s="69">
        <f>IF(LEN(A10)=3,VLOOKUP(A10,HTTK1!$A$5:$F$80,5,0),VLOOKUP('CĐPS_TH&amp;CT'!A10,DMTK!$B$5:$Q$263,10,0))</f>
        <v>358221000</v>
      </c>
      <c r="D10" s="69">
        <f>IF(LEN(A10)=3,VLOOKUP(A10,HTTK1!$A$5:$F$80,6,0),VLOOKUP('CĐPS_TH&amp;CT'!A10,DMTK!$B$5:$Q$263,11,0))</f>
        <v>0</v>
      </c>
      <c r="E10" s="69">
        <f>SUMIFS(CT!$H$5:$H$143,CT!$D$5:$D$143,'CĐPS_TH&amp;CT'!A10&amp;"*")</f>
        <v>30000000</v>
      </c>
      <c r="F10" s="69">
        <f>SUMIFS(CT!$H$5:$H$143,CT!$E$5:$E$143,'CĐPS_TH&amp;CT'!A10&amp;"*")</f>
        <v>90000000</v>
      </c>
      <c r="G10" s="69">
        <f t="shared" si="0"/>
        <v>298221000</v>
      </c>
      <c r="H10" s="69">
        <f t="shared" si="1"/>
        <v>0</v>
      </c>
    </row>
    <row r="11" spans="1:8" x14ac:dyDescent="0.25">
      <c r="A11" s="93" t="str">
        <f>[3]Sheet3!A10</f>
        <v>1121.01</v>
      </c>
      <c r="B11" s="65" t="str">
        <f>IF(LEN(A11)=3,VLOOKUP('CĐPS_TH&amp;CT'!A11,HTTK1!$A$5:$F$80,3,0),VLOOKUP('CĐPS_TH&amp;CT'!A11,DMTK!$B$5:$Q$263,3,0))</f>
        <v>Tiền Việt Nam NH Ngoại Thương</v>
      </c>
      <c r="C11" s="69">
        <f>IF(LEN(A11)=3,VLOOKUP(A11,HTTK1!$A$5:$F$80,5,0),VLOOKUP('CĐPS_TH&amp;CT'!A11,DMTK!$B$5:$Q$263,10,0))</f>
        <v>258221000</v>
      </c>
      <c r="D11" s="69">
        <f>IF(LEN(A11)=3,VLOOKUP(A11,HTTK1!$A$5:$F$80,6,0),VLOOKUP('CĐPS_TH&amp;CT'!A11,DMTK!$B$5:$Q$263,11,0))</f>
        <v>0</v>
      </c>
      <c r="E11" s="69">
        <f>SUMIFS(CT!$H$5:$H$143,CT!$D$5:$D$143,'CĐPS_TH&amp;CT'!A11&amp;"*")</f>
        <v>0</v>
      </c>
      <c r="F11" s="69">
        <f>SUMIFS(CT!$H$5:$H$143,CT!$E$5:$E$143,'CĐPS_TH&amp;CT'!A11&amp;"*")</f>
        <v>90000000</v>
      </c>
      <c r="G11" s="69">
        <f t="shared" si="0"/>
        <v>168221000</v>
      </c>
      <c r="H11" s="69">
        <f t="shared" si="1"/>
        <v>0</v>
      </c>
    </row>
    <row r="12" spans="1:8" x14ac:dyDescent="0.25">
      <c r="A12" s="93" t="str">
        <f>[3]Sheet3!A11</f>
        <v>1121.02</v>
      </c>
      <c r="B12" s="65" t="str">
        <f>IF(LEN(A12)=3,VLOOKUP('CĐPS_TH&amp;CT'!A12,HTTK1!$A$5:$F$80,3,0),VLOOKUP('CĐPS_TH&amp;CT'!A12,DMTK!$B$5:$Q$263,3,0))</f>
        <v>Tiền Việt Nam NH Đông Á</v>
      </c>
      <c r="C12" s="69">
        <f>IF(LEN(A12)=3,VLOOKUP(A12,HTTK1!$A$5:$F$80,5,0),VLOOKUP('CĐPS_TH&amp;CT'!A12,DMTK!$B$5:$Q$263,10,0))</f>
        <v>60000000</v>
      </c>
      <c r="D12" s="69">
        <f>IF(LEN(A12)=3,VLOOKUP(A12,HTTK1!$A$5:$F$80,6,0),VLOOKUP('CĐPS_TH&amp;CT'!A12,DMTK!$B$5:$Q$263,11,0))</f>
        <v>0</v>
      </c>
      <c r="E12" s="69">
        <f>SUMIFS(CT!$H$5:$H$143,CT!$D$5:$D$143,'CĐPS_TH&amp;CT'!A12&amp;"*")</f>
        <v>30000000</v>
      </c>
      <c r="F12" s="69">
        <f>SUMIFS(CT!$H$5:$H$143,CT!$E$5:$E$143,'CĐPS_TH&amp;CT'!A12&amp;"*")</f>
        <v>0</v>
      </c>
      <c r="G12" s="69">
        <f t="shared" si="0"/>
        <v>90000000</v>
      </c>
      <c r="H12" s="69">
        <f t="shared" si="1"/>
        <v>0</v>
      </c>
    </row>
    <row r="13" spans="1:8" x14ac:dyDescent="0.25">
      <c r="A13" s="93" t="str">
        <f>[3]Sheet3!A12</f>
        <v>1121.03</v>
      </c>
      <c r="B13" s="65" t="str">
        <f>IF(LEN(A13)=3,VLOOKUP('CĐPS_TH&amp;CT'!A13,HTTK1!$A$5:$F$80,3,0),VLOOKUP('CĐPS_TH&amp;CT'!A13,DMTK!$B$5:$Q$263,3,0))</f>
        <v>Tiền Việt Nam NH Á Châu</v>
      </c>
      <c r="C13" s="69">
        <f>IF(LEN(A13)=3,VLOOKUP(A13,HTTK1!$A$5:$F$80,5,0),VLOOKUP('CĐPS_TH&amp;CT'!A13,DMTK!$B$5:$Q$263,10,0))</f>
        <v>40000000</v>
      </c>
      <c r="D13" s="69">
        <f>IF(LEN(A13)=3,VLOOKUP(A13,HTTK1!$A$5:$F$80,6,0),VLOOKUP('CĐPS_TH&amp;CT'!A13,DMTK!$B$5:$Q$263,11,0))</f>
        <v>0</v>
      </c>
      <c r="E13" s="69">
        <f>SUMIFS(CT!$H$5:$H$143,CT!$D$5:$D$143,'CĐPS_TH&amp;CT'!A13&amp;"*")</f>
        <v>0</v>
      </c>
      <c r="F13" s="69">
        <f>SUMIFS(CT!$H$5:$H$143,CT!$E$5:$E$143,'CĐPS_TH&amp;CT'!A13&amp;"*")</f>
        <v>0</v>
      </c>
      <c r="G13" s="69">
        <f t="shared" si="0"/>
        <v>40000000</v>
      </c>
      <c r="H13" s="69">
        <f t="shared" si="1"/>
        <v>0</v>
      </c>
    </row>
    <row r="14" spans="1:8" x14ac:dyDescent="0.25">
      <c r="A14" s="93" t="str">
        <f>[3]Sheet3!A13</f>
        <v>1122</v>
      </c>
      <c r="B14" s="65" t="str">
        <f>IF(LEN(A14)=3,VLOOKUP('CĐPS_TH&amp;CT'!A14,HTTK1!$A$5:$F$80,3,0),VLOOKUP('CĐPS_TH&amp;CT'!A14,DMTK!$B$5:$Q$263,3,0))</f>
        <v>Ngoại tệ</v>
      </c>
      <c r="C14" s="69">
        <f>IF(LEN(A14)=3,VLOOKUP(A14,HTTK1!$A$5:$F$80,5,0),VLOOKUP('CĐPS_TH&amp;CT'!A14,DMTK!$B$5:$Q$263,10,0))</f>
        <v>0</v>
      </c>
      <c r="D14" s="69">
        <f>IF(LEN(A14)=3,VLOOKUP(A14,HTTK1!$A$5:$F$80,6,0),VLOOKUP('CĐPS_TH&amp;CT'!A14,DMTK!$B$5:$Q$263,11,0))</f>
        <v>0</v>
      </c>
      <c r="E14" s="69">
        <f>SUMIFS(CT!$H$5:$H$143,CT!$D$5:$D$143,'CĐPS_TH&amp;CT'!A14&amp;"*")</f>
        <v>0</v>
      </c>
      <c r="F14" s="69">
        <f>SUMIFS(CT!$H$5:$H$143,CT!$E$5:$E$143,'CĐPS_TH&amp;CT'!A14&amp;"*")</f>
        <v>0</v>
      </c>
      <c r="G14" s="69">
        <f t="shared" si="0"/>
        <v>0</v>
      </c>
      <c r="H14" s="69">
        <f t="shared" si="1"/>
        <v>0</v>
      </c>
    </row>
    <row r="15" spans="1:8" x14ac:dyDescent="0.25">
      <c r="A15" s="93" t="str">
        <f>[3]Sheet3!A14</f>
        <v>1123</v>
      </c>
      <c r="B15" s="65" t="str">
        <f>IF(LEN(A15)=3,VLOOKUP('CĐPS_TH&amp;CT'!A15,HTTK1!$A$5:$F$80,3,0),VLOOKUP('CĐPS_TH&amp;CT'!A15,DMTK!$B$5:$Q$263,3,0))</f>
        <v>Vàng tiền tệ</v>
      </c>
      <c r="C15" s="69">
        <f>IF(LEN(A15)=3,VLOOKUP(A15,HTTK1!$A$5:$F$80,5,0),VLOOKUP('CĐPS_TH&amp;CT'!A15,DMTK!$B$5:$Q$263,10,0))</f>
        <v>0</v>
      </c>
      <c r="D15" s="69">
        <f>IF(LEN(A15)=3,VLOOKUP(A15,HTTK1!$A$5:$F$80,6,0),VLOOKUP('CĐPS_TH&amp;CT'!A15,DMTK!$B$5:$Q$263,11,0))</f>
        <v>0</v>
      </c>
      <c r="E15" s="69">
        <f>SUMIFS(CT!$H$5:$H$143,CT!$D$5:$D$143,'CĐPS_TH&amp;CT'!A15&amp;"*")</f>
        <v>0</v>
      </c>
      <c r="F15" s="69">
        <f>SUMIFS(CT!$H$5:$H$143,CT!$E$5:$E$143,'CĐPS_TH&amp;CT'!A15&amp;"*")</f>
        <v>0</v>
      </c>
      <c r="G15" s="69">
        <f t="shared" si="0"/>
        <v>0</v>
      </c>
      <c r="H15" s="69">
        <f t="shared" si="1"/>
        <v>0</v>
      </c>
    </row>
    <row r="16" spans="1:8" s="72" customFormat="1" x14ac:dyDescent="0.25">
      <c r="A16" s="128" t="str">
        <f>[3]Sheet3!A15</f>
        <v>113</v>
      </c>
      <c r="B16" s="71" t="str">
        <f>IF(LEN(A16)=3,VLOOKUP('CĐPS_TH&amp;CT'!A16,HTTK1!$A$5:$F$80,3,0),VLOOKUP('CĐPS_TH&amp;CT'!A16,DMTK!$B$5:$Q$263,3,0))</f>
        <v>Tiền đang chuyển</v>
      </c>
      <c r="C16" s="69">
        <f>IF(LEN(A16)=3,VLOOKUP(A16,HTTK1!$A$5:$F$80,5,0),VLOOKUP('CĐPS_TH&amp;CT'!A16,DMTK!$B$5:$Q$263,10,0))</f>
        <v>0</v>
      </c>
      <c r="D16" s="69">
        <f>IF(LEN(A16)=3,VLOOKUP(A16,HTTK1!$A$5:$F$80,6,0),VLOOKUP('CĐPS_TH&amp;CT'!A16,DMTK!$B$5:$Q$263,11,0))</f>
        <v>0</v>
      </c>
      <c r="E16" s="69">
        <f>SUMIFS(CT!$H$5:$H$143,CT!$D$5:$D$143,'CĐPS_TH&amp;CT'!A16&amp;"*")</f>
        <v>0</v>
      </c>
      <c r="F16" s="69">
        <f>SUMIFS(CT!$H$5:$H$143,CT!$E$5:$E$143,'CĐPS_TH&amp;CT'!A16&amp;"*")</f>
        <v>0</v>
      </c>
      <c r="G16" s="69">
        <f t="shared" si="0"/>
        <v>0</v>
      </c>
      <c r="H16" s="69">
        <f t="shared" si="1"/>
        <v>0</v>
      </c>
    </row>
    <row r="17" spans="1:8" x14ac:dyDescent="0.25">
      <c r="A17" s="93" t="str">
        <f>[3]Sheet3!A16</f>
        <v>1131</v>
      </c>
      <c r="B17" s="65" t="str">
        <f>IF(LEN(A17)=3,VLOOKUP('CĐPS_TH&amp;CT'!A17,HTTK1!$A$5:$F$80,3,0),VLOOKUP('CĐPS_TH&amp;CT'!A17,DMTK!$B$5:$Q$263,3,0))</f>
        <v>Tiền Việt Nam</v>
      </c>
      <c r="C17" s="69">
        <f>IF(LEN(A17)=3,VLOOKUP(A17,HTTK1!$A$5:$F$80,5,0),VLOOKUP('CĐPS_TH&amp;CT'!A17,DMTK!$B$5:$Q$263,10,0))</f>
        <v>0</v>
      </c>
      <c r="D17" s="69">
        <f>IF(LEN(A17)=3,VLOOKUP(A17,HTTK1!$A$5:$F$80,6,0),VLOOKUP('CĐPS_TH&amp;CT'!A17,DMTK!$B$5:$Q$263,11,0))</f>
        <v>0</v>
      </c>
      <c r="E17" s="69">
        <f>SUMIFS(CT!$H$5:$H$143,CT!$D$5:$D$143,'CĐPS_TH&amp;CT'!A17&amp;"*")</f>
        <v>0</v>
      </c>
      <c r="F17" s="69">
        <f>SUMIFS(CT!$H$5:$H$143,CT!$E$5:$E$143,'CĐPS_TH&amp;CT'!A17&amp;"*")</f>
        <v>0</v>
      </c>
      <c r="G17" s="69">
        <f t="shared" si="0"/>
        <v>0</v>
      </c>
      <c r="H17" s="69">
        <f t="shared" si="1"/>
        <v>0</v>
      </c>
    </row>
    <row r="18" spans="1:8" x14ac:dyDescent="0.25">
      <c r="A18" s="93" t="str">
        <f>[3]Sheet3!A17</f>
        <v>1132</v>
      </c>
      <c r="B18" s="65" t="str">
        <f>IF(LEN(A18)=3,VLOOKUP('CĐPS_TH&amp;CT'!A18,HTTK1!$A$5:$F$80,3,0),VLOOKUP('CĐPS_TH&amp;CT'!A18,DMTK!$B$5:$Q$263,3,0))</f>
        <v>Ngoại tệ</v>
      </c>
      <c r="C18" s="69">
        <f>IF(LEN(A18)=3,VLOOKUP(A18,HTTK1!$A$5:$F$80,5,0),VLOOKUP('CĐPS_TH&amp;CT'!A18,DMTK!$B$5:$Q$263,10,0))</f>
        <v>0</v>
      </c>
      <c r="D18" s="69">
        <f>IF(LEN(A18)=3,VLOOKUP(A18,HTTK1!$A$5:$F$80,6,0),VLOOKUP('CĐPS_TH&amp;CT'!A18,DMTK!$B$5:$Q$263,11,0))</f>
        <v>0</v>
      </c>
      <c r="E18" s="69">
        <f>SUMIFS(CT!$H$5:$H$143,CT!$D$5:$D$143,'CĐPS_TH&amp;CT'!A18&amp;"*")</f>
        <v>0</v>
      </c>
      <c r="F18" s="69">
        <f>SUMIFS(CT!$H$5:$H$143,CT!$E$5:$E$143,'CĐPS_TH&amp;CT'!A18&amp;"*")</f>
        <v>0</v>
      </c>
      <c r="G18" s="69">
        <f t="shared" si="0"/>
        <v>0</v>
      </c>
      <c r="H18" s="69">
        <f t="shared" si="1"/>
        <v>0</v>
      </c>
    </row>
    <row r="19" spans="1:8" s="72" customFormat="1" x14ac:dyDescent="0.25">
      <c r="A19" s="128" t="str">
        <f>[3]Sheet3!A18</f>
        <v>121</v>
      </c>
      <c r="B19" s="71" t="str">
        <f>IF(LEN(A19)=3,VLOOKUP('CĐPS_TH&amp;CT'!A19,HTTK1!$A$5:$F$80,3,0),VLOOKUP('CĐPS_TH&amp;CT'!A19,DMTK!$B$5:$Q$263,3,0))</f>
        <v>Chứng khoán kinh doanh</v>
      </c>
      <c r="C19" s="69">
        <f>IF(LEN(A19)=3,VLOOKUP(A19,HTTK1!$A$5:$F$80,5,0),VLOOKUP('CĐPS_TH&amp;CT'!A19,DMTK!$B$5:$Q$263,10,0))</f>
        <v>0</v>
      </c>
      <c r="D19" s="69">
        <f>IF(LEN(A19)=3,VLOOKUP(A19,HTTK1!$A$5:$F$80,6,0),VLOOKUP('CĐPS_TH&amp;CT'!A19,DMTK!$B$5:$Q$263,11,0))</f>
        <v>0</v>
      </c>
      <c r="E19" s="69">
        <f>SUMIFS(CT!$H$5:$H$143,CT!$D$5:$D$143,'CĐPS_TH&amp;CT'!A19&amp;"*")</f>
        <v>0</v>
      </c>
      <c r="F19" s="69">
        <f>SUMIFS(CT!$H$5:$H$143,CT!$E$5:$E$143,'CĐPS_TH&amp;CT'!A19&amp;"*")</f>
        <v>0</v>
      </c>
      <c r="G19" s="69">
        <f t="shared" si="0"/>
        <v>0</v>
      </c>
      <c r="H19" s="69">
        <f t="shared" si="1"/>
        <v>0</v>
      </c>
    </row>
    <row r="20" spans="1:8" x14ac:dyDescent="0.25">
      <c r="A20" s="93" t="str">
        <f>[3]Sheet3!A19</f>
        <v>1211</v>
      </c>
      <c r="B20" s="65" t="str">
        <f>IF(LEN(A20)=3,VLOOKUP('CĐPS_TH&amp;CT'!A20,HTTK1!$A$5:$F$80,3,0),VLOOKUP('CĐPS_TH&amp;CT'!A20,DMTK!$B$5:$Q$263,3,0))</f>
        <v xml:space="preserve">Cổ phiếu </v>
      </c>
      <c r="C20" s="69">
        <f>IF(LEN(A20)=3,VLOOKUP(A20,HTTK1!$A$5:$F$80,5,0),VLOOKUP('CĐPS_TH&amp;CT'!A20,DMTK!$B$5:$Q$263,10,0))</f>
        <v>0</v>
      </c>
      <c r="D20" s="69">
        <f>IF(LEN(A20)=3,VLOOKUP(A20,HTTK1!$A$5:$F$80,6,0),VLOOKUP('CĐPS_TH&amp;CT'!A20,DMTK!$B$5:$Q$263,11,0))</f>
        <v>0</v>
      </c>
      <c r="E20" s="69">
        <f>SUMIFS(CT!$H$5:$H$143,CT!$D$5:$D$143,'CĐPS_TH&amp;CT'!A20&amp;"*")</f>
        <v>0</v>
      </c>
      <c r="F20" s="69">
        <f>SUMIFS(CT!$H$5:$H$143,CT!$E$5:$E$143,'CĐPS_TH&amp;CT'!A20&amp;"*")</f>
        <v>0</v>
      </c>
      <c r="G20" s="69">
        <f t="shared" si="0"/>
        <v>0</v>
      </c>
      <c r="H20" s="69">
        <f t="shared" si="1"/>
        <v>0</v>
      </c>
    </row>
    <row r="21" spans="1:8" x14ac:dyDescent="0.25">
      <c r="A21" s="93" t="str">
        <f>[3]Sheet3!A20</f>
        <v>1212</v>
      </c>
      <c r="B21" s="65" t="str">
        <f>IF(LEN(A21)=3,VLOOKUP('CĐPS_TH&amp;CT'!A21,HTTK1!$A$5:$F$80,3,0),VLOOKUP('CĐPS_TH&amp;CT'!A21,DMTK!$B$5:$Q$263,3,0))</f>
        <v>Trái phiếu</v>
      </c>
      <c r="C21" s="69">
        <f>IF(LEN(A21)=3,VLOOKUP(A21,HTTK1!$A$5:$F$80,5,0),VLOOKUP('CĐPS_TH&amp;CT'!A21,DMTK!$B$5:$Q$263,10,0))</f>
        <v>0</v>
      </c>
      <c r="D21" s="69">
        <f>IF(LEN(A21)=3,VLOOKUP(A21,HTTK1!$A$5:$F$80,6,0),VLOOKUP('CĐPS_TH&amp;CT'!A21,DMTK!$B$5:$Q$263,11,0))</f>
        <v>0</v>
      </c>
      <c r="E21" s="69">
        <f>SUMIFS(CT!$H$5:$H$143,CT!$D$5:$D$143,'CĐPS_TH&amp;CT'!A21&amp;"*")</f>
        <v>0</v>
      </c>
      <c r="F21" s="69">
        <f>SUMIFS(CT!$H$5:$H$143,CT!$E$5:$E$143,'CĐPS_TH&amp;CT'!A21&amp;"*")</f>
        <v>0</v>
      </c>
      <c r="G21" s="69">
        <f t="shared" si="0"/>
        <v>0</v>
      </c>
      <c r="H21" s="69">
        <f t="shared" si="1"/>
        <v>0</v>
      </c>
    </row>
    <row r="22" spans="1:8" s="72" customFormat="1" x14ac:dyDescent="0.25">
      <c r="A22" s="128" t="str">
        <f>[3]Sheet3!A21</f>
        <v>128</v>
      </c>
      <c r="B22" s="71" t="str">
        <f>IF(LEN(A22)=3,VLOOKUP('CĐPS_TH&amp;CT'!A22,HTTK1!$A$5:$F$80,3,0),VLOOKUP('CĐPS_TH&amp;CT'!A22,DMTK!$B$5:$Q$263,3,0))</f>
        <v xml:space="preserve">Đầu tư nắm giữ đến ngày đáo hạn </v>
      </c>
      <c r="C22" s="69">
        <f>IF(LEN(A22)=3,VLOOKUP(A22,HTTK1!$A$5:$F$80,5,0),VLOOKUP('CĐPS_TH&amp;CT'!A22,DMTK!$B$5:$Q$263,10,0))</f>
        <v>100000000</v>
      </c>
      <c r="D22" s="69">
        <f>IF(LEN(A22)=3,VLOOKUP(A22,HTTK1!$A$5:$F$80,6,0),VLOOKUP('CĐPS_TH&amp;CT'!A22,DMTK!$B$5:$Q$263,11,0))</f>
        <v>0</v>
      </c>
      <c r="E22" s="69">
        <f>SUMIFS(CT!$H$5:$H$143,CT!$D$5:$D$143,'CĐPS_TH&amp;CT'!A22&amp;"*")</f>
        <v>0</v>
      </c>
      <c r="F22" s="69">
        <f>SUMIFS(CT!$H$5:$H$143,CT!$E$5:$E$143,'CĐPS_TH&amp;CT'!A22&amp;"*")</f>
        <v>0</v>
      </c>
      <c r="G22" s="69">
        <f t="shared" si="0"/>
        <v>100000000</v>
      </c>
      <c r="H22" s="69">
        <f t="shared" si="1"/>
        <v>0</v>
      </c>
    </row>
    <row r="23" spans="1:8" x14ac:dyDescent="0.25">
      <c r="A23" s="93" t="str">
        <f>[3]Sheet3!A22</f>
        <v>12811</v>
      </c>
      <c r="B23" s="65" t="str">
        <f>IF(LEN(A23)=3,VLOOKUP('CĐPS_TH&amp;CT'!A23,HTTK1!$A$5:$F$80,3,0),VLOOKUP('CĐPS_TH&amp;CT'!A23,DMTK!$B$5:$Q$263,3,0))</f>
        <v>Tiền gửi có kỳ hạn (không quá 3 tháng)</v>
      </c>
      <c r="C23" s="69">
        <f>IF(LEN(A23)=3,VLOOKUP(A23,HTTK1!$A$5:$F$80,5,0),VLOOKUP('CĐPS_TH&amp;CT'!A23,DMTK!$B$5:$Q$263,10,0))</f>
        <v>100000000</v>
      </c>
      <c r="D23" s="69">
        <f>IF(LEN(A23)=3,VLOOKUP(A23,HTTK1!$A$5:$F$80,6,0),VLOOKUP('CĐPS_TH&amp;CT'!A23,DMTK!$B$5:$Q$263,11,0))</f>
        <v>0</v>
      </c>
      <c r="E23" s="69">
        <f>SUMIFS(CT!$H$5:$H$143,CT!$D$5:$D$143,'CĐPS_TH&amp;CT'!A23&amp;"*")</f>
        <v>0</v>
      </c>
      <c r="F23" s="69">
        <f>SUMIFS(CT!$H$5:$H$143,CT!$E$5:$E$143,'CĐPS_TH&amp;CT'!A23&amp;"*")</f>
        <v>0</v>
      </c>
      <c r="G23" s="69">
        <f t="shared" si="0"/>
        <v>100000000</v>
      </c>
      <c r="H23" s="69">
        <f t="shared" si="1"/>
        <v>0</v>
      </c>
    </row>
    <row r="24" spans="1:8" x14ac:dyDescent="0.25">
      <c r="A24" s="93" t="str">
        <f>[3]Sheet3!A23</f>
        <v>12812</v>
      </c>
      <c r="B24" s="65" t="str">
        <f>IF(LEN(A24)=3,VLOOKUP('CĐPS_TH&amp;CT'!A24,HTTK1!$A$5:$F$80,3,0),VLOOKUP('CĐPS_TH&amp;CT'!A24,DMTK!$B$5:$Q$263,3,0))</f>
        <v>Tiền gửi có kỳ hạn (không quá 12 tháng)</v>
      </c>
      <c r="C24" s="69">
        <f>IF(LEN(A24)=3,VLOOKUP(A24,HTTK1!$A$5:$F$80,5,0),VLOOKUP('CĐPS_TH&amp;CT'!A24,DMTK!$B$5:$Q$263,10,0))</f>
        <v>0</v>
      </c>
      <c r="D24" s="69">
        <f>IF(LEN(A24)=3,VLOOKUP(A24,HTTK1!$A$5:$F$80,6,0),VLOOKUP('CĐPS_TH&amp;CT'!A24,DMTK!$B$5:$Q$263,11,0))</f>
        <v>0</v>
      </c>
      <c r="E24" s="69">
        <f>SUMIFS(CT!$H$5:$H$143,CT!$D$5:$D$143,'CĐPS_TH&amp;CT'!A24&amp;"*")</f>
        <v>0</v>
      </c>
      <c r="F24" s="69">
        <f>SUMIFS(CT!$H$5:$H$143,CT!$E$5:$E$143,'CĐPS_TH&amp;CT'!A24&amp;"*")</f>
        <v>0</v>
      </c>
      <c r="G24" s="69">
        <f t="shared" si="0"/>
        <v>0</v>
      </c>
      <c r="H24" s="69">
        <f t="shared" si="1"/>
        <v>0</v>
      </c>
    </row>
    <row r="25" spans="1:8" x14ac:dyDescent="0.25">
      <c r="A25" s="93" t="str">
        <f>[3]Sheet3!A24</f>
        <v>12831</v>
      </c>
      <c r="B25" s="65" t="str">
        <f>IF(LEN(A25)=3,VLOOKUP('CĐPS_TH&amp;CT'!A25,HTTK1!$A$5:$F$80,3,0),VLOOKUP('CĐPS_TH&amp;CT'!A25,DMTK!$B$5:$Q$263,3,0))</f>
        <v>Cho vay (không quá 12 tháng)</v>
      </c>
      <c r="C25" s="69">
        <f>IF(LEN(A25)=3,VLOOKUP(A25,HTTK1!$A$5:$F$80,5,0),VLOOKUP('CĐPS_TH&amp;CT'!A25,DMTK!$B$5:$Q$263,10,0))</f>
        <v>0</v>
      </c>
      <c r="D25" s="69">
        <f>IF(LEN(A25)=3,VLOOKUP(A25,HTTK1!$A$5:$F$80,6,0),VLOOKUP('CĐPS_TH&amp;CT'!A25,DMTK!$B$5:$Q$263,11,0))</f>
        <v>0</v>
      </c>
      <c r="E25" s="69">
        <f>SUMIFS(CT!$H$5:$H$143,CT!$D$5:$D$143,'CĐPS_TH&amp;CT'!A25&amp;"*")</f>
        <v>0</v>
      </c>
      <c r="F25" s="69">
        <f>SUMIFS(CT!$H$5:$H$143,CT!$E$5:$E$143,'CĐPS_TH&amp;CT'!A25&amp;"*")</f>
        <v>0</v>
      </c>
      <c r="G25" s="69">
        <f t="shared" si="0"/>
        <v>0</v>
      </c>
      <c r="H25" s="69">
        <f t="shared" si="1"/>
        <v>0</v>
      </c>
    </row>
    <row r="26" spans="1:8" x14ac:dyDescent="0.25">
      <c r="A26" s="93" t="str">
        <f>[3]Sheet3!A25</f>
        <v>12832</v>
      </c>
      <c r="B26" s="65" t="str">
        <f>IF(LEN(A26)=3,VLOOKUP('CĐPS_TH&amp;CT'!A26,HTTK1!$A$5:$F$80,3,0),VLOOKUP('CĐPS_TH&amp;CT'!A26,DMTK!$B$5:$Q$263,3,0))</f>
        <v>Cho vay (trên 12 tháng)</v>
      </c>
      <c r="C26" s="69">
        <f>IF(LEN(A26)=3,VLOOKUP(A26,HTTK1!$A$5:$F$80,5,0),VLOOKUP('CĐPS_TH&amp;CT'!A26,DMTK!$B$5:$Q$263,10,0))</f>
        <v>0</v>
      </c>
      <c r="D26" s="69">
        <f>IF(LEN(A26)=3,VLOOKUP(A26,HTTK1!$A$5:$F$80,6,0),VLOOKUP('CĐPS_TH&amp;CT'!A26,DMTK!$B$5:$Q$263,11,0))</f>
        <v>0</v>
      </c>
      <c r="E26" s="69">
        <f>SUMIFS(CT!$H$5:$H$143,CT!$D$5:$D$143,'CĐPS_TH&amp;CT'!A26&amp;"*")</f>
        <v>0</v>
      </c>
      <c r="F26" s="69">
        <f>SUMIFS(CT!$H$5:$H$143,CT!$E$5:$E$143,'CĐPS_TH&amp;CT'!A26&amp;"*")</f>
        <v>0</v>
      </c>
      <c r="G26" s="69">
        <f t="shared" si="0"/>
        <v>0</v>
      </c>
      <c r="H26" s="69">
        <f t="shared" si="1"/>
        <v>0</v>
      </c>
    </row>
    <row r="27" spans="1:8" x14ac:dyDescent="0.25">
      <c r="A27" s="93" t="str">
        <f>[3]Sheet3!A26</f>
        <v>12881</v>
      </c>
      <c r="B27" s="65" t="str">
        <f>IF(LEN(A27)=3,VLOOKUP('CĐPS_TH&amp;CT'!A27,HTTK1!$A$5:$F$80,3,0),VLOOKUP('CĐPS_TH&amp;CT'!A27,DMTK!$B$5:$Q$263,3,0))</f>
        <v>Các khoản đầu tư khác nắm giữ đến ngày đáo hạn</v>
      </c>
      <c r="C27" s="69">
        <f>IF(LEN(A27)=3,VLOOKUP(A27,HTTK1!$A$5:$F$80,5,0),VLOOKUP('CĐPS_TH&amp;CT'!A27,DMTK!$B$5:$Q$263,10,0))</f>
        <v>0</v>
      </c>
      <c r="D27" s="69">
        <f>IF(LEN(A27)=3,VLOOKUP(A27,HTTK1!$A$5:$F$80,6,0),VLOOKUP('CĐPS_TH&amp;CT'!A27,DMTK!$B$5:$Q$263,11,0))</f>
        <v>0</v>
      </c>
      <c r="E27" s="69">
        <f>SUMIFS(CT!$H$5:$H$143,CT!$D$5:$D$143,'CĐPS_TH&amp;CT'!A27&amp;"*")</f>
        <v>0</v>
      </c>
      <c r="F27" s="69">
        <f>SUMIFS(CT!$H$5:$H$143,CT!$E$5:$E$143,'CĐPS_TH&amp;CT'!A27&amp;"*")</f>
        <v>0</v>
      </c>
      <c r="G27" s="69">
        <f t="shared" si="0"/>
        <v>0</v>
      </c>
      <c r="H27" s="69">
        <f t="shared" si="1"/>
        <v>0</v>
      </c>
    </row>
    <row r="28" spans="1:8" x14ac:dyDescent="0.25">
      <c r="A28" s="93" t="str">
        <f>[3]Sheet3!A27</f>
        <v>12882</v>
      </c>
      <c r="B28" s="65" t="str">
        <f>IF(LEN(A28)=3,VLOOKUP('CĐPS_TH&amp;CT'!A28,HTTK1!$A$5:$F$80,3,0),VLOOKUP('CĐPS_TH&amp;CT'!A28,DMTK!$B$5:$Q$263,3,0))</f>
        <v>Các khoản đầu tư khác nắm giữ đến ngày đáo hạn (không quá 12 tháng)</v>
      </c>
      <c r="C28" s="69">
        <f>IF(LEN(A28)=3,VLOOKUP(A28,HTTK1!$A$5:$F$80,5,0),VLOOKUP('CĐPS_TH&amp;CT'!A28,DMTK!$B$5:$Q$263,10,0))</f>
        <v>0</v>
      </c>
      <c r="D28" s="69">
        <f>IF(LEN(A28)=3,VLOOKUP(A28,HTTK1!$A$5:$F$80,6,0),VLOOKUP('CĐPS_TH&amp;CT'!A28,DMTK!$B$5:$Q$263,11,0))</f>
        <v>0</v>
      </c>
      <c r="E28" s="69">
        <f>SUMIFS(CT!$H$5:$H$143,CT!$D$5:$D$143,'CĐPS_TH&amp;CT'!A28&amp;"*")</f>
        <v>0</v>
      </c>
      <c r="F28" s="69">
        <f>SUMIFS(CT!$H$5:$H$143,CT!$E$5:$E$143,'CĐPS_TH&amp;CT'!A28&amp;"*")</f>
        <v>0</v>
      </c>
      <c r="G28" s="69">
        <f t="shared" si="0"/>
        <v>0</v>
      </c>
      <c r="H28" s="69">
        <f t="shared" si="1"/>
        <v>0</v>
      </c>
    </row>
    <row r="29" spans="1:8" s="72" customFormat="1" x14ac:dyDescent="0.25">
      <c r="A29" s="128" t="str">
        <f>[3]Sheet3!A28</f>
        <v>131</v>
      </c>
      <c r="B29" s="71" t="str">
        <f>IF(LEN(A29)=3,VLOOKUP('CĐPS_TH&amp;CT'!A29,HTTK1!$A$5:$F$80,3,0),VLOOKUP('CĐPS_TH&amp;CT'!A29,DMTK!$B$5:$Q$263,3,0))</f>
        <v>Phải thu của khách hàng</v>
      </c>
      <c r="C29" s="69">
        <f>IF(LEN(A29)=3,VLOOKUP(A29,HTTK1!$A$5:$F$80,5,0),VLOOKUP('CĐPS_TH&amp;CT'!A29,DMTK!$B$5:$Q$263,10,0))</f>
        <v>175000000</v>
      </c>
      <c r="D29" s="69">
        <f>IF(LEN(A29)=3,VLOOKUP(A29,HTTK1!$A$5:$F$80,6,0),VLOOKUP('CĐPS_TH&amp;CT'!A29,DMTK!$B$5:$Q$263,11,0))</f>
        <v>0</v>
      </c>
      <c r="E29" s="69">
        <f>SUMIFS(CT!$H$5:$H$143,CT!$D$5:$D$143,'CĐPS_TH&amp;CT'!A29&amp;"*")</f>
        <v>91157500</v>
      </c>
      <c r="F29" s="69">
        <f>SUMIFS(CT!$H$5:$H$143,CT!$E$5:$E$143,'CĐPS_TH&amp;CT'!A29&amp;"*")</f>
        <v>55000000</v>
      </c>
      <c r="G29" s="69">
        <f t="shared" si="0"/>
        <v>211157500</v>
      </c>
      <c r="H29" s="69">
        <f t="shared" si="1"/>
        <v>0</v>
      </c>
    </row>
    <row r="30" spans="1:8" x14ac:dyDescent="0.25">
      <c r="A30" s="93" t="str">
        <f>[3]Sheet3!A29</f>
        <v>1311.01</v>
      </c>
      <c r="B30" s="65" t="str">
        <f>IF(LEN(A30)=3,VLOOKUP('CĐPS_TH&amp;CT'!A30,HTTK1!$A$5:$F$80,3,0),VLOOKUP('CĐPS_TH&amp;CT'!A30,DMTK!$B$5:$Q$263,3,0))</f>
        <v>Công ty Quang Minh (ngắn hạn)</v>
      </c>
      <c r="C30" s="69">
        <f>IF(LEN(A30)=3,VLOOKUP(A30,HTTK1!$A$5:$F$80,5,0),VLOOKUP('CĐPS_TH&amp;CT'!A30,DMTK!$B$5:$Q$263,10,0))</f>
        <v>100000000</v>
      </c>
      <c r="D30" s="69">
        <f>IF(LEN(A30)=3,VLOOKUP(A30,HTTK1!$A$5:$F$80,6,0),VLOOKUP('CĐPS_TH&amp;CT'!A30,DMTK!$B$5:$Q$263,11,0))</f>
        <v>0</v>
      </c>
      <c r="E30" s="69">
        <f>SUMIFS(CT!$H$5:$H$143,CT!$D$5:$D$143,'CĐPS_TH&amp;CT'!A30&amp;"*")</f>
        <v>0</v>
      </c>
      <c r="F30" s="69">
        <f>SUMIFS(CT!$H$5:$H$143,CT!$E$5:$E$143,'CĐPS_TH&amp;CT'!A30&amp;"*")</f>
        <v>20000000</v>
      </c>
      <c r="G30" s="69">
        <f t="shared" si="0"/>
        <v>80000000</v>
      </c>
      <c r="H30" s="69">
        <f t="shared" si="1"/>
        <v>0</v>
      </c>
    </row>
    <row r="31" spans="1:8" x14ac:dyDescent="0.25">
      <c r="A31" s="93" t="str">
        <f>[3]Sheet3!A30</f>
        <v>1311.02</v>
      </c>
      <c r="B31" s="65" t="str">
        <f>IF(LEN(A31)=3,VLOOKUP('CĐPS_TH&amp;CT'!A31,HTTK1!$A$5:$F$80,3,0),VLOOKUP('CĐPS_TH&amp;CT'!A31,DMTK!$B$5:$Q$263,3,0))</f>
        <v>Cty TNHH TMDV Mai Anh (ngắn hạn)</v>
      </c>
      <c r="C31" s="69">
        <f>IF(LEN(A31)=3,VLOOKUP(A31,HTTK1!$A$5:$F$80,5,0),VLOOKUP('CĐPS_TH&amp;CT'!A31,DMTK!$B$5:$Q$263,10,0))</f>
        <v>70000000</v>
      </c>
      <c r="D31" s="69">
        <f>IF(LEN(A31)=3,VLOOKUP(A31,HTTK1!$A$5:$F$80,6,0),VLOOKUP('CĐPS_TH&amp;CT'!A31,DMTK!$B$5:$Q$263,11,0))</f>
        <v>0</v>
      </c>
      <c r="E31" s="69">
        <f>SUMIFS(CT!$H$5:$H$143,CT!$D$5:$D$143,'CĐPS_TH&amp;CT'!A31&amp;"*")</f>
        <v>0</v>
      </c>
      <c r="F31" s="69">
        <f>SUMIFS(CT!$H$5:$H$143,CT!$E$5:$E$143,'CĐPS_TH&amp;CT'!A31&amp;"*")</f>
        <v>30000000</v>
      </c>
      <c r="G31" s="69">
        <f t="shared" si="0"/>
        <v>40000000</v>
      </c>
      <c r="H31" s="69">
        <f t="shared" si="1"/>
        <v>0</v>
      </c>
    </row>
    <row r="32" spans="1:8" x14ac:dyDescent="0.25">
      <c r="A32" s="93" t="str">
        <f>[3]Sheet3!A31</f>
        <v>1311.03</v>
      </c>
      <c r="B32" s="65" t="str">
        <f>IF(LEN(A32)=3,VLOOKUP('CĐPS_TH&amp;CT'!A32,HTTK1!$A$5:$F$80,3,0),VLOOKUP('CĐPS_TH&amp;CT'!A32,DMTK!$B$5:$Q$263,3,0))</f>
        <v>Cty TNHH Phương Nam (ngắn hạn)</v>
      </c>
      <c r="C32" s="69">
        <f>IF(LEN(A32)=3,VLOOKUP(A32,HTTK1!$A$5:$F$80,5,0),VLOOKUP('CĐPS_TH&amp;CT'!A32,DMTK!$B$5:$Q$263,10,0))</f>
        <v>57000000</v>
      </c>
      <c r="D32" s="69">
        <f>IF(LEN(A32)=3,VLOOKUP(A32,HTTK1!$A$5:$F$80,6,0),VLOOKUP('CĐPS_TH&amp;CT'!A32,DMTK!$B$5:$Q$263,11,0))</f>
        <v>0</v>
      </c>
      <c r="E32" s="69">
        <f>SUMIFS(CT!$H$5:$H$143,CT!$D$5:$D$143,'CĐPS_TH&amp;CT'!A32&amp;"*")</f>
        <v>0</v>
      </c>
      <c r="F32" s="69">
        <f>SUMIFS(CT!$H$5:$H$143,CT!$E$5:$E$143,'CĐPS_TH&amp;CT'!A32&amp;"*")</f>
        <v>5000000</v>
      </c>
      <c r="G32" s="69">
        <f t="shared" si="0"/>
        <v>52000000</v>
      </c>
      <c r="H32" s="69">
        <f t="shared" si="1"/>
        <v>0</v>
      </c>
    </row>
    <row r="33" spans="1:8" x14ac:dyDescent="0.25">
      <c r="A33" s="93" t="str">
        <f>[3]Sheet3!A32</f>
        <v>1311.04</v>
      </c>
      <c r="B33" s="65" t="str">
        <f>IF(LEN(A33)=3,VLOOKUP('CĐPS_TH&amp;CT'!A33,HTTK1!$A$5:$F$80,3,0),VLOOKUP('CĐPS_TH&amp;CT'!A33,DMTK!$B$5:$Q$263,3,0))</f>
        <v>Cty TNHH Kim Tín (ngắn hạn)</v>
      </c>
      <c r="C33" s="69">
        <f>IF(LEN(A33)=3,VLOOKUP(A33,HTTK1!$A$5:$F$80,5,0),VLOOKUP('CĐPS_TH&amp;CT'!A33,DMTK!$B$5:$Q$263,10,0))</f>
        <v>0</v>
      </c>
      <c r="D33" s="69">
        <f>IF(LEN(A33)=3,VLOOKUP(A33,HTTK1!$A$5:$F$80,6,0),VLOOKUP('CĐPS_TH&amp;CT'!A33,DMTK!$B$5:$Q$263,11,0))</f>
        <v>52000000</v>
      </c>
      <c r="E33" s="69">
        <f>SUMIFS(CT!$H$5:$H$143,CT!$D$5:$D$143,'CĐPS_TH&amp;CT'!A33&amp;"*")</f>
        <v>0</v>
      </c>
      <c r="F33" s="69">
        <f>SUMIFS(CT!$H$5:$H$143,CT!$E$5:$E$143,'CĐPS_TH&amp;CT'!A33&amp;"*")</f>
        <v>0</v>
      </c>
      <c r="G33" s="69">
        <f t="shared" si="0"/>
        <v>0</v>
      </c>
      <c r="H33" s="69">
        <f t="shared" si="1"/>
        <v>52000000</v>
      </c>
    </row>
    <row r="34" spans="1:8" x14ac:dyDescent="0.25">
      <c r="A34" s="93" t="str">
        <f>[3]Sheet3!A33</f>
        <v>1311.05</v>
      </c>
      <c r="B34" s="65" t="str">
        <f>IF(LEN(A34)=3,VLOOKUP('CĐPS_TH&amp;CT'!A34,HTTK1!$A$5:$F$80,3,0),VLOOKUP('CĐPS_TH&amp;CT'!A34,DMTK!$B$5:$Q$263,3,0))</f>
        <v>Cty TNHH Nam Việt (ngắn hạn)</v>
      </c>
      <c r="C34" s="69">
        <f>IF(LEN(A34)=3,VLOOKUP(A34,HTTK1!$A$5:$F$80,5,0),VLOOKUP('CĐPS_TH&amp;CT'!A34,DMTK!$B$5:$Q$263,10,0))</f>
        <v>0</v>
      </c>
      <c r="D34" s="69">
        <f>IF(LEN(A34)=3,VLOOKUP(A34,HTTK1!$A$5:$F$80,6,0),VLOOKUP('CĐPS_TH&amp;CT'!A34,DMTK!$B$5:$Q$263,11,0))</f>
        <v>0</v>
      </c>
      <c r="E34" s="69">
        <f>SUMIFS(CT!$H$5:$H$143,CT!$D$5:$D$143,'CĐPS_TH&amp;CT'!A34&amp;"*")</f>
        <v>30150000</v>
      </c>
      <c r="F34" s="69">
        <f>SUMIFS(CT!$H$5:$H$143,CT!$E$5:$E$143,'CĐPS_TH&amp;CT'!A34&amp;"*")</f>
        <v>0</v>
      </c>
      <c r="G34" s="69">
        <f t="shared" si="0"/>
        <v>30150000</v>
      </c>
      <c r="H34" s="69">
        <f t="shared" si="1"/>
        <v>0</v>
      </c>
    </row>
    <row r="35" spans="1:8" x14ac:dyDescent="0.25">
      <c r="A35" s="93" t="str">
        <f>[3]Sheet3!A34</f>
        <v>1311.06</v>
      </c>
      <c r="B35" s="65" t="str">
        <f>IF(LEN(A35)=3,VLOOKUP('CĐPS_TH&amp;CT'!A35,HTTK1!$A$5:$F$80,3,0),VLOOKUP('CĐPS_TH&amp;CT'!A35,DMTK!$B$5:$Q$263,3,0))</f>
        <v>Cty XNK Vật Tư (ngắn hạn)</v>
      </c>
      <c r="C35" s="69">
        <f>IF(LEN(A35)=3,VLOOKUP(A35,HTTK1!$A$5:$F$80,5,0),VLOOKUP('CĐPS_TH&amp;CT'!A35,DMTK!$B$5:$Q$263,10,0))</f>
        <v>0</v>
      </c>
      <c r="D35" s="69">
        <f>IF(LEN(A35)=3,VLOOKUP(A35,HTTK1!$A$5:$F$80,6,0),VLOOKUP('CĐPS_TH&amp;CT'!A35,DMTK!$B$5:$Q$263,11,0))</f>
        <v>0</v>
      </c>
      <c r="E35" s="69">
        <f>SUMIFS(CT!$H$5:$H$143,CT!$D$5:$D$143,'CĐPS_TH&amp;CT'!A35&amp;"*")</f>
        <v>61007500</v>
      </c>
      <c r="F35" s="69">
        <f>SUMIFS(CT!$H$5:$H$143,CT!$E$5:$E$143,'CĐPS_TH&amp;CT'!A35&amp;"*")</f>
        <v>0</v>
      </c>
      <c r="G35" s="69">
        <f t="shared" si="0"/>
        <v>61007500</v>
      </c>
      <c r="H35" s="69">
        <f t="shared" si="1"/>
        <v>0</v>
      </c>
    </row>
    <row r="36" spans="1:8" s="72" customFormat="1" x14ac:dyDescent="0.25">
      <c r="A36" s="128" t="str">
        <f>[3]Sheet3!A35</f>
        <v>133</v>
      </c>
      <c r="B36" s="71" t="str">
        <f>IF(LEN(A36)=3,VLOOKUP('CĐPS_TH&amp;CT'!A36,HTTK1!$A$5:$F$80,3,0),VLOOKUP('CĐPS_TH&amp;CT'!A36,DMTK!$B$5:$Q$263,3,0))</f>
        <v>Thuế GTGT được khấu trừ</v>
      </c>
      <c r="C36" s="69">
        <f>IF(LEN(A36)=3,VLOOKUP(A36,HTTK1!$A$5:$F$80,5,0),VLOOKUP('CĐPS_TH&amp;CT'!A36,DMTK!$B$5:$Q$263,10,0))</f>
        <v>0</v>
      </c>
      <c r="D36" s="69">
        <f>IF(LEN(A36)=3,VLOOKUP(A36,HTTK1!$A$5:$F$80,6,0),VLOOKUP('CĐPS_TH&amp;CT'!A36,DMTK!$B$5:$Q$263,11,0))</f>
        <v>0</v>
      </c>
      <c r="E36" s="69">
        <f>SUMIFS(CT!$H$5:$H$143,CT!$D$5:$D$143,'CĐPS_TH&amp;CT'!A36&amp;"*")</f>
        <v>15655000</v>
      </c>
      <c r="F36" s="69">
        <f>SUMIFS(CT!$H$5:$H$143,CT!$E$5:$E$143,'CĐPS_TH&amp;CT'!A36&amp;"*")</f>
        <v>0</v>
      </c>
      <c r="G36" s="69">
        <f t="shared" si="0"/>
        <v>15655000</v>
      </c>
      <c r="H36" s="69">
        <f t="shared" si="1"/>
        <v>0</v>
      </c>
    </row>
    <row r="37" spans="1:8" x14ac:dyDescent="0.25">
      <c r="A37" s="93" t="str">
        <f>[3]Sheet3!A36</f>
        <v>1331</v>
      </c>
      <c r="B37" s="65" t="str">
        <f>IF(LEN(A37)=3,VLOOKUP('CĐPS_TH&amp;CT'!A37,HTTK1!$A$5:$F$80,3,0),VLOOKUP('CĐPS_TH&amp;CT'!A37,DMTK!$B$5:$Q$263,3,0))</f>
        <v>Thuế GTGT được khấu trừ của hàng hóa, dịch vụ</v>
      </c>
      <c r="C37" s="69">
        <f>IF(LEN(A37)=3,VLOOKUP(A37,HTTK1!$A$5:$F$80,5,0),VLOOKUP('CĐPS_TH&amp;CT'!A37,DMTK!$B$5:$Q$263,10,0))</f>
        <v>0</v>
      </c>
      <c r="D37" s="69">
        <f>IF(LEN(A37)=3,VLOOKUP(A37,HTTK1!$A$5:$F$80,6,0),VLOOKUP('CĐPS_TH&amp;CT'!A37,DMTK!$B$5:$Q$263,11,0))</f>
        <v>0</v>
      </c>
      <c r="E37" s="69">
        <f>SUMIFS(CT!$H$5:$H$143,CT!$D$5:$D$143,'CĐPS_TH&amp;CT'!A37&amp;"*")</f>
        <v>1655000</v>
      </c>
      <c r="F37" s="69">
        <f>SUMIFS(CT!$H$5:$H$143,CT!$E$5:$E$143,'CĐPS_TH&amp;CT'!A37&amp;"*")</f>
        <v>0</v>
      </c>
      <c r="G37" s="69">
        <f t="shared" si="0"/>
        <v>1655000</v>
      </c>
      <c r="H37" s="69">
        <f t="shared" si="1"/>
        <v>0</v>
      </c>
    </row>
    <row r="38" spans="1:8" x14ac:dyDescent="0.25">
      <c r="A38" s="93" t="str">
        <f>[3]Sheet3!A37</f>
        <v>1332</v>
      </c>
      <c r="B38" s="65" t="str">
        <f>IF(LEN(A38)=3,VLOOKUP('CĐPS_TH&amp;CT'!A38,HTTK1!$A$5:$F$80,3,0),VLOOKUP('CĐPS_TH&amp;CT'!A38,DMTK!$B$5:$Q$263,3,0))</f>
        <v>Thuế GTGT được khấu trừ của TSCĐ</v>
      </c>
      <c r="C38" s="69">
        <f>IF(LEN(A38)=3,VLOOKUP(A38,HTTK1!$A$5:$F$80,5,0),VLOOKUP('CĐPS_TH&amp;CT'!A38,DMTK!$B$5:$Q$263,10,0))</f>
        <v>0</v>
      </c>
      <c r="D38" s="69">
        <f>IF(LEN(A38)=3,VLOOKUP(A38,HTTK1!$A$5:$F$80,6,0),VLOOKUP('CĐPS_TH&amp;CT'!A38,DMTK!$B$5:$Q$263,11,0))</f>
        <v>0</v>
      </c>
      <c r="E38" s="69">
        <f>SUMIFS(CT!$H$5:$H$143,CT!$D$5:$D$143,'CĐPS_TH&amp;CT'!A38&amp;"*")</f>
        <v>14000000</v>
      </c>
      <c r="F38" s="69">
        <f>SUMIFS(CT!$H$5:$H$143,CT!$E$5:$E$143,'CĐPS_TH&amp;CT'!A38&amp;"*")</f>
        <v>0</v>
      </c>
      <c r="G38" s="69">
        <f t="shared" si="0"/>
        <v>14000000</v>
      </c>
      <c r="H38" s="69">
        <f t="shared" si="1"/>
        <v>0</v>
      </c>
    </row>
    <row r="39" spans="1:8" s="72" customFormat="1" x14ac:dyDescent="0.25">
      <c r="A39" s="128" t="str">
        <f>[3]Sheet3!A38</f>
        <v>136</v>
      </c>
      <c r="B39" s="71" t="str">
        <f>IF(LEN(A39)=3,VLOOKUP('CĐPS_TH&amp;CT'!A39,HTTK1!$A$5:$F$80,3,0),VLOOKUP('CĐPS_TH&amp;CT'!A39,DMTK!$B$5:$Q$263,3,0))</f>
        <v>Phải thu nội bộ</v>
      </c>
      <c r="C39" s="69">
        <f>IF(LEN(A39)=3,VLOOKUP(A39,HTTK1!$A$5:$F$80,5,0),VLOOKUP('CĐPS_TH&amp;CT'!A39,DMTK!$B$5:$Q$263,10,0))</f>
        <v>0</v>
      </c>
      <c r="D39" s="69">
        <f>IF(LEN(A39)=3,VLOOKUP(A39,HTTK1!$A$5:$F$80,6,0),VLOOKUP('CĐPS_TH&amp;CT'!A39,DMTK!$B$5:$Q$263,11,0))</f>
        <v>0</v>
      </c>
      <c r="E39" s="69">
        <f>SUMIFS(CT!$H$5:$H$143,CT!$D$5:$D$143,'CĐPS_TH&amp;CT'!A39&amp;"*")</f>
        <v>0</v>
      </c>
      <c r="F39" s="69">
        <f>SUMIFS(CT!$H$5:$H$143,CT!$E$5:$E$143,'CĐPS_TH&amp;CT'!A39&amp;"*")</f>
        <v>0</v>
      </c>
      <c r="G39" s="69">
        <f t="shared" si="0"/>
        <v>0</v>
      </c>
      <c r="H39" s="69">
        <f t="shared" si="1"/>
        <v>0</v>
      </c>
    </row>
    <row r="40" spans="1:8" x14ac:dyDescent="0.25">
      <c r="A40" s="93" t="str">
        <f>[3]Sheet3!A39</f>
        <v>1361</v>
      </c>
      <c r="B40" s="65" t="str">
        <f>IF(LEN(A40)=3,VLOOKUP('CĐPS_TH&amp;CT'!A40,HTTK1!$A$5:$F$80,3,0),VLOOKUP('CĐPS_TH&amp;CT'!A40,DMTK!$B$5:$Q$263,3,0))</f>
        <v>Vốn kinh doanh ở các đơn vị trực thuộc</v>
      </c>
      <c r="C40" s="69">
        <f>IF(LEN(A40)=3,VLOOKUP(A40,HTTK1!$A$5:$F$80,5,0),VLOOKUP('CĐPS_TH&amp;CT'!A40,DMTK!$B$5:$Q$263,10,0))</f>
        <v>0</v>
      </c>
      <c r="D40" s="69">
        <f>IF(LEN(A40)=3,VLOOKUP(A40,HTTK1!$A$5:$F$80,6,0),VLOOKUP('CĐPS_TH&amp;CT'!A40,DMTK!$B$5:$Q$263,11,0))</f>
        <v>0</v>
      </c>
      <c r="E40" s="69">
        <f>SUMIFS(CT!$H$5:$H$143,CT!$D$5:$D$143,'CĐPS_TH&amp;CT'!A40&amp;"*")</f>
        <v>0</v>
      </c>
      <c r="F40" s="69">
        <f>SUMIFS(CT!$H$5:$H$143,CT!$E$5:$E$143,'CĐPS_TH&amp;CT'!A40&amp;"*")</f>
        <v>0</v>
      </c>
      <c r="G40" s="69">
        <f t="shared" si="0"/>
        <v>0</v>
      </c>
      <c r="H40" s="69">
        <f t="shared" si="1"/>
        <v>0</v>
      </c>
    </row>
    <row r="41" spans="1:8" x14ac:dyDescent="0.25">
      <c r="A41" s="93" t="str">
        <f>[3]Sheet3!A40</f>
        <v>13621</v>
      </c>
      <c r="B41" s="65" t="str">
        <f>IF(LEN(A41)=3,VLOOKUP('CĐPS_TH&amp;CT'!A41,HTTK1!$A$5:$F$80,3,0),VLOOKUP('CĐPS_TH&amp;CT'!A41,DMTK!$B$5:$Q$263,3,0))</f>
        <v>Phải thu nội bộ về chênh lệch tỷ giá (không quá 12 tháng)</v>
      </c>
      <c r="C41" s="69">
        <f>IF(LEN(A41)=3,VLOOKUP(A41,HTTK1!$A$5:$F$80,5,0),VLOOKUP('CĐPS_TH&amp;CT'!A41,DMTK!$B$5:$Q$263,10,0))</f>
        <v>0</v>
      </c>
      <c r="D41" s="69">
        <f>IF(LEN(A41)=3,VLOOKUP(A41,HTTK1!$A$5:$F$80,6,0),VLOOKUP('CĐPS_TH&amp;CT'!A41,DMTK!$B$5:$Q$263,11,0))</f>
        <v>0</v>
      </c>
      <c r="E41" s="69">
        <f>SUMIFS(CT!$H$5:$H$143,CT!$D$5:$D$143,'CĐPS_TH&amp;CT'!A41&amp;"*")</f>
        <v>0</v>
      </c>
      <c r="F41" s="69">
        <f>SUMIFS(CT!$H$5:$H$143,CT!$E$5:$E$143,'CĐPS_TH&amp;CT'!A41&amp;"*")</f>
        <v>0</v>
      </c>
      <c r="G41" s="69">
        <f t="shared" si="0"/>
        <v>0</v>
      </c>
      <c r="H41" s="69">
        <f t="shared" si="1"/>
        <v>0</v>
      </c>
    </row>
    <row r="42" spans="1:8" x14ac:dyDescent="0.25">
      <c r="A42" s="93" t="str">
        <f>[3]Sheet3!A41</f>
        <v>13622</v>
      </c>
      <c r="B42" s="65" t="str">
        <f>IF(LEN(A42)=3,VLOOKUP('CĐPS_TH&amp;CT'!A42,HTTK1!$A$5:$F$80,3,0),VLOOKUP('CĐPS_TH&amp;CT'!A42,DMTK!$B$5:$Q$263,3,0))</f>
        <v>Phải thu nội bộ về chênh lệch tỷ giá (trên 12 tháng)</v>
      </c>
      <c r="C42" s="69">
        <f>IF(LEN(A42)=3,VLOOKUP(A42,HTTK1!$A$5:$F$80,5,0),VLOOKUP('CĐPS_TH&amp;CT'!A42,DMTK!$B$5:$Q$263,10,0))</f>
        <v>0</v>
      </c>
      <c r="D42" s="69">
        <f>IF(LEN(A42)=3,VLOOKUP(A42,HTTK1!$A$5:$F$80,6,0),VLOOKUP('CĐPS_TH&amp;CT'!A42,DMTK!$B$5:$Q$263,11,0))</f>
        <v>0</v>
      </c>
      <c r="E42" s="69">
        <f>SUMIFS(CT!$H$5:$H$143,CT!$D$5:$D$143,'CĐPS_TH&amp;CT'!A42&amp;"*")</f>
        <v>0</v>
      </c>
      <c r="F42" s="69">
        <f>SUMIFS(CT!$H$5:$H$143,CT!$E$5:$E$143,'CĐPS_TH&amp;CT'!A42&amp;"*")</f>
        <v>0</v>
      </c>
      <c r="G42" s="69">
        <f t="shared" si="0"/>
        <v>0</v>
      </c>
      <c r="H42" s="69">
        <f t="shared" si="1"/>
        <v>0</v>
      </c>
    </row>
    <row r="43" spans="1:8" x14ac:dyDescent="0.25">
      <c r="A43" s="93" t="str">
        <f>[3]Sheet3!A42</f>
        <v>13631</v>
      </c>
      <c r="B43" s="65" t="str">
        <f>IF(LEN(A43)=3,VLOOKUP('CĐPS_TH&amp;CT'!A43,HTTK1!$A$5:$F$80,3,0),VLOOKUP('CĐPS_TH&amp;CT'!A43,DMTK!$B$5:$Q$263,3,0))</f>
        <v>Phải thu nội bộ về chi phí đi vay đủ điều kiện được vốn hóa (không quá 12 tháng)</v>
      </c>
      <c r="C43" s="69">
        <f>IF(LEN(A43)=3,VLOOKUP(A43,HTTK1!$A$5:$F$80,5,0),VLOOKUP('CĐPS_TH&amp;CT'!A43,DMTK!$B$5:$Q$263,10,0))</f>
        <v>0</v>
      </c>
      <c r="D43" s="69">
        <f>IF(LEN(A43)=3,VLOOKUP(A43,HTTK1!$A$5:$F$80,6,0),VLOOKUP('CĐPS_TH&amp;CT'!A43,DMTK!$B$5:$Q$263,11,0))</f>
        <v>0</v>
      </c>
      <c r="E43" s="69">
        <f>SUMIFS(CT!$H$5:$H$143,CT!$D$5:$D$143,'CĐPS_TH&amp;CT'!A43&amp;"*")</f>
        <v>0</v>
      </c>
      <c r="F43" s="69">
        <f>SUMIFS(CT!$H$5:$H$143,CT!$E$5:$E$143,'CĐPS_TH&amp;CT'!A43&amp;"*")</f>
        <v>0</v>
      </c>
      <c r="G43" s="69">
        <f t="shared" si="0"/>
        <v>0</v>
      </c>
      <c r="H43" s="69">
        <f t="shared" si="1"/>
        <v>0</v>
      </c>
    </row>
    <row r="44" spans="1:8" x14ac:dyDescent="0.25">
      <c r="A44" s="93" t="str">
        <f>[3]Sheet3!A43</f>
        <v>13632</v>
      </c>
      <c r="B44" s="65" t="str">
        <f>IF(LEN(A44)=3,VLOOKUP('CĐPS_TH&amp;CT'!A44,HTTK1!$A$5:$F$80,3,0),VLOOKUP('CĐPS_TH&amp;CT'!A44,DMTK!$B$5:$Q$263,3,0))</f>
        <v>Phải thu nội bộ về chi phí đi vay đủ điều kiện được vốn hóa (trên 12 tháng)</v>
      </c>
      <c r="C44" s="69">
        <f>IF(LEN(A44)=3,VLOOKUP(A44,HTTK1!$A$5:$F$80,5,0),VLOOKUP('CĐPS_TH&amp;CT'!A44,DMTK!$B$5:$Q$263,10,0))</f>
        <v>0</v>
      </c>
      <c r="D44" s="69">
        <f>IF(LEN(A44)=3,VLOOKUP(A44,HTTK1!$A$5:$F$80,6,0),VLOOKUP('CĐPS_TH&amp;CT'!A44,DMTK!$B$5:$Q$263,11,0))</f>
        <v>0</v>
      </c>
      <c r="E44" s="69">
        <f>SUMIFS(CT!$H$5:$H$143,CT!$D$5:$D$143,'CĐPS_TH&amp;CT'!A44&amp;"*")</f>
        <v>0</v>
      </c>
      <c r="F44" s="69">
        <f>SUMIFS(CT!$H$5:$H$143,CT!$E$5:$E$143,'CĐPS_TH&amp;CT'!A44&amp;"*")</f>
        <v>0</v>
      </c>
      <c r="G44" s="69">
        <f t="shared" si="0"/>
        <v>0</v>
      </c>
      <c r="H44" s="69">
        <f t="shared" si="1"/>
        <v>0</v>
      </c>
    </row>
    <row r="45" spans="1:8" x14ac:dyDescent="0.25">
      <c r="A45" s="93" t="str">
        <f>[3]Sheet3!A44</f>
        <v>13681</v>
      </c>
      <c r="B45" s="65" t="str">
        <f>IF(LEN(A45)=3,VLOOKUP('CĐPS_TH&amp;CT'!A45,HTTK1!$A$5:$F$80,3,0),VLOOKUP('CĐPS_TH&amp;CT'!A45,DMTK!$B$5:$Q$263,3,0))</f>
        <v>Phải thu nội bộ khác (không quá 12 tháng)</v>
      </c>
      <c r="C45" s="69">
        <f>IF(LEN(A45)=3,VLOOKUP(A45,HTTK1!$A$5:$F$80,5,0),VLOOKUP('CĐPS_TH&amp;CT'!A45,DMTK!$B$5:$Q$263,10,0))</f>
        <v>0</v>
      </c>
      <c r="D45" s="69">
        <f>IF(LEN(A45)=3,VLOOKUP(A45,HTTK1!$A$5:$F$80,6,0),VLOOKUP('CĐPS_TH&amp;CT'!A45,DMTK!$B$5:$Q$263,11,0))</f>
        <v>0</v>
      </c>
      <c r="E45" s="69">
        <f>SUMIFS(CT!$H$5:$H$143,CT!$D$5:$D$143,'CĐPS_TH&amp;CT'!A45&amp;"*")</f>
        <v>0</v>
      </c>
      <c r="F45" s="69">
        <f>SUMIFS(CT!$H$5:$H$143,CT!$E$5:$E$143,'CĐPS_TH&amp;CT'!A45&amp;"*")</f>
        <v>0</v>
      </c>
      <c r="G45" s="69">
        <f t="shared" si="0"/>
        <v>0</v>
      </c>
      <c r="H45" s="69">
        <f t="shared" si="1"/>
        <v>0</v>
      </c>
    </row>
    <row r="46" spans="1:8" x14ac:dyDescent="0.25">
      <c r="A46" s="93" t="str">
        <f>[3]Sheet3!A45</f>
        <v>13682</v>
      </c>
      <c r="B46" s="65" t="str">
        <f>IF(LEN(A46)=3,VLOOKUP('CĐPS_TH&amp;CT'!A46,HTTK1!$A$5:$F$80,3,0),VLOOKUP('CĐPS_TH&amp;CT'!A46,DMTK!$B$5:$Q$263,3,0))</f>
        <v>Phải thu nội bộ khác (trên 12 tháng)</v>
      </c>
      <c r="C46" s="69">
        <f>IF(LEN(A46)=3,VLOOKUP(A46,HTTK1!$A$5:$F$80,5,0),VLOOKUP('CĐPS_TH&amp;CT'!A46,DMTK!$B$5:$Q$263,10,0))</f>
        <v>0</v>
      </c>
      <c r="D46" s="69">
        <f>IF(LEN(A46)=3,VLOOKUP(A46,HTTK1!$A$5:$F$80,6,0),VLOOKUP('CĐPS_TH&amp;CT'!A46,DMTK!$B$5:$Q$263,11,0))</f>
        <v>0</v>
      </c>
      <c r="E46" s="69">
        <f>SUMIFS(CT!$H$5:$H$143,CT!$D$5:$D$143,'CĐPS_TH&amp;CT'!A46&amp;"*")</f>
        <v>0</v>
      </c>
      <c r="F46" s="69">
        <f>SUMIFS(CT!$H$5:$H$143,CT!$E$5:$E$143,'CĐPS_TH&amp;CT'!A46&amp;"*")</f>
        <v>0</v>
      </c>
      <c r="G46" s="69">
        <f t="shared" si="0"/>
        <v>0</v>
      </c>
      <c r="H46" s="69">
        <f t="shared" si="1"/>
        <v>0</v>
      </c>
    </row>
    <row r="47" spans="1:8" s="72" customFormat="1" x14ac:dyDescent="0.25">
      <c r="A47" s="128" t="str">
        <f>[3]Sheet3!A46</f>
        <v>138</v>
      </c>
      <c r="B47" s="71" t="str">
        <f>IF(LEN(A47)=3,VLOOKUP('CĐPS_TH&amp;CT'!A47,HTTK1!$A$5:$F$80,3,0),VLOOKUP('CĐPS_TH&amp;CT'!A47,DMTK!$B$5:$Q$263,3,0))</f>
        <v>Phải thu khác</v>
      </c>
      <c r="C47" s="69">
        <f>IF(LEN(A47)=3,VLOOKUP(A47,HTTK1!$A$5:$F$80,5,0),VLOOKUP('CĐPS_TH&amp;CT'!A47,DMTK!$B$5:$Q$263,10,0))</f>
        <v>52200000</v>
      </c>
      <c r="D47" s="69">
        <f>IF(LEN(A47)=3,VLOOKUP(A47,HTTK1!$A$5:$F$80,6,0),VLOOKUP('CĐPS_TH&amp;CT'!A47,DMTK!$B$5:$Q$263,11,0))</f>
        <v>0</v>
      </c>
      <c r="E47" s="69">
        <f>SUMIFS(CT!$H$5:$H$143,CT!$D$5:$D$143,'CĐPS_TH&amp;CT'!A47&amp;"*")</f>
        <v>0</v>
      </c>
      <c r="F47" s="69">
        <f>SUMIFS(CT!$H$5:$H$143,CT!$E$5:$E$143,'CĐPS_TH&amp;CT'!A47&amp;"*")</f>
        <v>0</v>
      </c>
      <c r="G47" s="69">
        <f t="shared" si="0"/>
        <v>52200000</v>
      </c>
      <c r="H47" s="69">
        <f t="shared" si="1"/>
        <v>0</v>
      </c>
    </row>
    <row r="48" spans="1:8" x14ac:dyDescent="0.25">
      <c r="A48" s="93" t="str">
        <f>[3]Sheet3!A47</f>
        <v>1381</v>
      </c>
      <c r="B48" s="65" t="str">
        <f>IF(LEN(A48)=3,VLOOKUP('CĐPS_TH&amp;CT'!A48,HTTK1!$A$5:$F$80,3,0),VLOOKUP('CĐPS_TH&amp;CT'!A48,DMTK!$B$5:$Q$263,3,0))</f>
        <v>Tài sản thiếu chờ xử lý</v>
      </c>
      <c r="C48" s="69">
        <f>IF(LEN(A48)=3,VLOOKUP(A48,HTTK1!$A$5:$F$80,5,0),VLOOKUP('CĐPS_TH&amp;CT'!A48,DMTK!$B$5:$Q$263,10,0))</f>
        <v>0</v>
      </c>
      <c r="D48" s="69">
        <f>IF(LEN(A48)=3,VLOOKUP(A48,HTTK1!$A$5:$F$80,6,0),VLOOKUP('CĐPS_TH&amp;CT'!A48,DMTK!$B$5:$Q$263,11,0))</f>
        <v>0</v>
      </c>
      <c r="E48" s="69">
        <f>SUMIFS(CT!$H$5:$H$143,CT!$D$5:$D$143,'CĐPS_TH&amp;CT'!A48&amp;"*")</f>
        <v>0</v>
      </c>
      <c r="F48" s="69">
        <f>SUMIFS(CT!$H$5:$H$143,CT!$E$5:$E$143,'CĐPS_TH&amp;CT'!A48&amp;"*")</f>
        <v>0</v>
      </c>
      <c r="G48" s="69">
        <f t="shared" si="0"/>
        <v>0</v>
      </c>
      <c r="H48" s="69">
        <f t="shared" si="1"/>
        <v>0</v>
      </c>
    </row>
    <row r="49" spans="1:8" x14ac:dyDescent="0.25">
      <c r="A49" s="93" t="str">
        <f>[3]Sheet3!A48</f>
        <v>13851</v>
      </c>
      <c r="B49" s="65" t="str">
        <f>IF(LEN(A49)=3,VLOOKUP('CĐPS_TH&amp;CT'!A49,HTTK1!$A$5:$F$80,3,0),VLOOKUP('CĐPS_TH&amp;CT'!A49,DMTK!$B$5:$Q$263,3,0))</f>
        <v>Phải thu về cổ phần hóa (không quá 12 tháng)</v>
      </c>
      <c r="C49" s="69">
        <f>IF(LEN(A49)=3,VLOOKUP(A49,HTTK1!$A$5:$F$80,5,0),VLOOKUP('CĐPS_TH&amp;CT'!A49,DMTK!$B$5:$Q$263,10,0))</f>
        <v>0</v>
      </c>
      <c r="D49" s="69">
        <f>IF(LEN(A49)=3,VLOOKUP(A49,HTTK1!$A$5:$F$80,6,0),VLOOKUP('CĐPS_TH&amp;CT'!A49,DMTK!$B$5:$Q$263,11,0))</f>
        <v>0</v>
      </c>
      <c r="E49" s="69">
        <f>SUMIFS(CT!$H$5:$H$143,CT!$D$5:$D$143,'CĐPS_TH&amp;CT'!A49&amp;"*")</f>
        <v>0</v>
      </c>
      <c r="F49" s="69">
        <f>SUMIFS(CT!$H$5:$H$143,CT!$E$5:$E$143,'CĐPS_TH&amp;CT'!A49&amp;"*")</f>
        <v>0</v>
      </c>
      <c r="G49" s="69">
        <f t="shared" si="0"/>
        <v>0</v>
      </c>
      <c r="H49" s="69">
        <f t="shared" si="1"/>
        <v>0</v>
      </c>
    </row>
    <row r="50" spans="1:8" x14ac:dyDescent="0.25">
      <c r="A50" s="93" t="str">
        <f>[3]Sheet3!A49</f>
        <v>13852</v>
      </c>
      <c r="B50" s="65" t="str">
        <f>IF(LEN(A50)=3,VLOOKUP('CĐPS_TH&amp;CT'!A50,HTTK1!$A$5:$F$80,3,0),VLOOKUP('CĐPS_TH&amp;CT'!A50,DMTK!$B$5:$Q$263,3,0))</f>
        <v>Phải thu về cổ phần hóa</v>
      </c>
      <c r="C50" s="69">
        <f>IF(LEN(A50)=3,VLOOKUP(A50,HTTK1!$A$5:$F$80,5,0),VLOOKUP('CĐPS_TH&amp;CT'!A50,DMTK!$B$5:$Q$263,10,0))</f>
        <v>0</v>
      </c>
      <c r="D50" s="69">
        <f>IF(LEN(A50)=3,VLOOKUP(A50,HTTK1!$A$5:$F$80,6,0),VLOOKUP('CĐPS_TH&amp;CT'!A50,DMTK!$B$5:$Q$263,11,0))</f>
        <v>0</v>
      </c>
      <c r="E50" s="69">
        <f>SUMIFS(CT!$H$5:$H$143,CT!$D$5:$D$143,'CĐPS_TH&amp;CT'!A50&amp;"*")</f>
        <v>0</v>
      </c>
      <c r="F50" s="69">
        <f>SUMIFS(CT!$H$5:$H$143,CT!$E$5:$E$143,'CĐPS_TH&amp;CT'!A50&amp;"*")</f>
        <v>0</v>
      </c>
      <c r="G50" s="69">
        <f t="shared" si="0"/>
        <v>0</v>
      </c>
      <c r="H50" s="69">
        <f t="shared" si="1"/>
        <v>0</v>
      </c>
    </row>
    <row r="51" spans="1:8" x14ac:dyDescent="0.25">
      <c r="A51" s="93" t="str">
        <f>[3]Sheet3!A50</f>
        <v>13881</v>
      </c>
      <c r="B51" s="65" t="str">
        <f>IF(LEN(A51)=3,VLOOKUP('CĐPS_TH&amp;CT'!A51,HTTK1!$A$5:$F$80,3,0),VLOOKUP('CĐPS_TH&amp;CT'!A51,DMTK!$B$5:$Q$263,3,0))</f>
        <v>Phải thu khác (không quá 12 tháng)</v>
      </c>
      <c r="C51" s="69">
        <f>IF(LEN(A51)=3,VLOOKUP(A51,HTTK1!$A$5:$F$80,5,0),VLOOKUP('CĐPS_TH&amp;CT'!A51,DMTK!$B$5:$Q$263,10,0))</f>
        <v>52200000</v>
      </c>
      <c r="D51" s="69">
        <f>IF(LEN(A51)=3,VLOOKUP(A51,HTTK1!$A$5:$F$80,6,0),VLOOKUP('CĐPS_TH&amp;CT'!A51,DMTK!$B$5:$Q$263,11,0))</f>
        <v>0</v>
      </c>
      <c r="E51" s="69">
        <f>SUMIFS(CT!$H$5:$H$143,CT!$D$5:$D$143,'CĐPS_TH&amp;CT'!A51&amp;"*")</f>
        <v>0</v>
      </c>
      <c r="F51" s="69">
        <f>SUMIFS(CT!$H$5:$H$143,CT!$E$5:$E$143,'CĐPS_TH&amp;CT'!A51&amp;"*")</f>
        <v>0</v>
      </c>
      <c r="G51" s="69">
        <f t="shared" si="0"/>
        <v>52200000</v>
      </c>
      <c r="H51" s="69">
        <f t="shared" si="1"/>
        <v>0</v>
      </c>
    </row>
    <row r="52" spans="1:8" x14ac:dyDescent="0.25">
      <c r="A52" s="93" t="str">
        <f>[3]Sheet3!A51</f>
        <v>13882</v>
      </c>
      <c r="B52" s="65" t="str">
        <f>IF(LEN(A52)=3,VLOOKUP('CĐPS_TH&amp;CT'!A52,HTTK1!$A$5:$F$80,3,0),VLOOKUP('CĐPS_TH&amp;CT'!A52,DMTK!$B$5:$Q$263,3,0))</f>
        <v>Phải thu khác (trên 12 tháng)</v>
      </c>
      <c r="C52" s="69">
        <f>IF(LEN(A52)=3,VLOOKUP(A52,HTTK1!$A$5:$F$80,5,0),VLOOKUP('CĐPS_TH&amp;CT'!A52,DMTK!$B$5:$Q$263,10,0))</f>
        <v>0</v>
      </c>
      <c r="D52" s="69">
        <f>IF(LEN(A52)=3,VLOOKUP(A52,HTTK1!$A$5:$F$80,6,0),VLOOKUP('CĐPS_TH&amp;CT'!A52,DMTK!$B$5:$Q$263,11,0))</f>
        <v>0</v>
      </c>
      <c r="E52" s="69">
        <f>SUMIFS(CT!$H$5:$H$143,CT!$D$5:$D$143,'CĐPS_TH&amp;CT'!A52&amp;"*")</f>
        <v>0</v>
      </c>
      <c r="F52" s="69">
        <f>SUMIFS(CT!$H$5:$H$143,CT!$E$5:$E$143,'CĐPS_TH&amp;CT'!A52&amp;"*")</f>
        <v>0</v>
      </c>
      <c r="G52" s="69">
        <f t="shared" si="0"/>
        <v>0</v>
      </c>
      <c r="H52" s="69">
        <f t="shared" si="1"/>
        <v>0</v>
      </c>
    </row>
    <row r="53" spans="1:8" s="72" customFormat="1" x14ac:dyDescent="0.25">
      <c r="A53" s="128" t="str">
        <f>[3]Sheet3!A52</f>
        <v>141</v>
      </c>
      <c r="B53" s="71" t="str">
        <f>IF(LEN(A53)=3,VLOOKUP('CĐPS_TH&amp;CT'!A53,HTTK1!$A$5:$F$80,3,0),VLOOKUP('CĐPS_TH&amp;CT'!A53,DMTK!$B$5:$Q$263,3,0))</f>
        <v>Tạm ứng</v>
      </c>
      <c r="C53" s="69">
        <f>IF(LEN(A53)=3,VLOOKUP(A53,HTTK1!$A$5:$F$80,5,0),VLOOKUP('CĐPS_TH&amp;CT'!A53,DMTK!$B$5:$Q$263,10,0))</f>
        <v>3500000</v>
      </c>
      <c r="D53" s="69">
        <f>IF(LEN(A53)=3,VLOOKUP(A53,HTTK1!$A$5:$F$80,6,0),VLOOKUP('CĐPS_TH&amp;CT'!A53,DMTK!$B$5:$Q$263,11,0))</f>
        <v>0</v>
      </c>
      <c r="E53" s="69">
        <f>SUMIFS(CT!$H$5:$H$143,CT!$D$5:$D$143,'CĐPS_TH&amp;CT'!A53&amp;"*")</f>
        <v>2000000</v>
      </c>
      <c r="F53" s="69">
        <f>SUMIFS(CT!$H$5:$H$143,CT!$E$5:$E$143,'CĐPS_TH&amp;CT'!A53&amp;"*")</f>
        <v>2000000</v>
      </c>
      <c r="G53" s="69">
        <f t="shared" si="0"/>
        <v>3500000</v>
      </c>
      <c r="H53" s="69">
        <f t="shared" si="1"/>
        <v>0</v>
      </c>
    </row>
    <row r="54" spans="1:8" x14ac:dyDescent="0.25">
      <c r="A54" s="93" t="str">
        <f>[3]Sheet3!A53</f>
        <v>141.0101</v>
      </c>
      <c r="B54" s="65" t="str">
        <f>IF(LEN(A54)=3,VLOOKUP('CĐPS_TH&amp;CT'!A54,HTTK1!$A$5:$F$80,3,0),VLOOKUP('CĐPS_TH&amp;CT'!A54,DMTK!$B$5:$Q$263,3,0))</f>
        <v>Vương Thiện Minh</v>
      </c>
      <c r="C54" s="69">
        <f>IF(LEN(A54)=3,VLOOKUP(A54,HTTK1!$A$5:$F$80,5,0),VLOOKUP('CĐPS_TH&amp;CT'!A54,DMTK!$B$5:$Q$263,10,0))</f>
        <v>200000</v>
      </c>
      <c r="D54" s="69">
        <f>IF(LEN(A54)=3,VLOOKUP(A54,HTTK1!$A$5:$F$80,6,0),VLOOKUP('CĐPS_TH&amp;CT'!A54,DMTK!$B$5:$Q$263,11,0))</f>
        <v>0</v>
      </c>
      <c r="E54" s="69">
        <f>SUMIFS(CT!$H$5:$H$143,CT!$D$5:$D$143,'CĐPS_TH&amp;CT'!A54&amp;"*")</f>
        <v>0</v>
      </c>
      <c r="F54" s="69">
        <f>SUMIFS(CT!$H$5:$H$143,CT!$E$5:$E$143,'CĐPS_TH&amp;CT'!A54&amp;"*")</f>
        <v>0</v>
      </c>
      <c r="G54" s="69">
        <f t="shared" si="0"/>
        <v>200000</v>
      </c>
      <c r="H54" s="69">
        <f t="shared" si="1"/>
        <v>0</v>
      </c>
    </row>
    <row r="55" spans="1:8" x14ac:dyDescent="0.25">
      <c r="A55" s="93" t="str">
        <f>[3]Sheet3!A54</f>
        <v>141.0102</v>
      </c>
      <c r="B55" s="65" t="str">
        <f>IF(LEN(A55)=3,VLOOKUP('CĐPS_TH&amp;CT'!A55,HTTK1!$A$5:$F$80,3,0),VLOOKUP('CĐPS_TH&amp;CT'!A55,DMTK!$B$5:$Q$263,3,0))</f>
        <v>Hồ Sĩ Nhật</v>
      </c>
      <c r="C55" s="69">
        <f>IF(LEN(A55)=3,VLOOKUP(A55,HTTK1!$A$5:$F$80,5,0),VLOOKUP('CĐPS_TH&amp;CT'!A55,DMTK!$B$5:$Q$263,10,0))</f>
        <v>1000000</v>
      </c>
      <c r="D55" s="69">
        <f>IF(LEN(A55)=3,VLOOKUP(A55,HTTK1!$A$5:$F$80,6,0),VLOOKUP('CĐPS_TH&amp;CT'!A55,DMTK!$B$5:$Q$263,11,0))</f>
        <v>0</v>
      </c>
      <c r="E55" s="69">
        <f>SUMIFS(CT!$H$5:$H$143,CT!$D$5:$D$143,'CĐPS_TH&amp;CT'!A55&amp;"*")</f>
        <v>2000000</v>
      </c>
      <c r="F55" s="69">
        <f>SUMIFS(CT!$H$5:$H$143,CT!$E$5:$E$143,'CĐPS_TH&amp;CT'!A55&amp;"*")</f>
        <v>2000000</v>
      </c>
      <c r="G55" s="69">
        <f t="shared" si="0"/>
        <v>1000000</v>
      </c>
      <c r="H55" s="69">
        <f t="shared" si="1"/>
        <v>0</v>
      </c>
    </row>
    <row r="56" spans="1:8" x14ac:dyDescent="0.25">
      <c r="A56" s="93" t="str">
        <f>[3]Sheet3!A55</f>
        <v>141.0103</v>
      </c>
      <c r="B56" s="65" t="str">
        <f>IF(LEN(A56)=3,VLOOKUP('CĐPS_TH&amp;CT'!A56,HTTK1!$A$5:$F$80,3,0),VLOOKUP('CĐPS_TH&amp;CT'!A56,DMTK!$B$5:$Q$263,3,0))</f>
        <v>Phạm Minh Duy</v>
      </c>
      <c r="C56" s="69">
        <f>IF(LEN(A56)=3,VLOOKUP(A56,HTTK1!$A$5:$F$80,5,0),VLOOKUP('CĐPS_TH&amp;CT'!A56,DMTK!$B$5:$Q$263,10,0))</f>
        <v>300000</v>
      </c>
      <c r="D56" s="69">
        <f>IF(LEN(A56)=3,VLOOKUP(A56,HTTK1!$A$5:$F$80,6,0),VLOOKUP('CĐPS_TH&amp;CT'!A56,DMTK!$B$5:$Q$263,11,0))</f>
        <v>0</v>
      </c>
      <c r="E56" s="69">
        <f>SUMIFS(CT!$H$5:$H$143,CT!$D$5:$D$143,'CĐPS_TH&amp;CT'!A56&amp;"*")</f>
        <v>0</v>
      </c>
      <c r="F56" s="69">
        <f>SUMIFS(CT!$H$5:$H$143,CT!$E$5:$E$143,'CĐPS_TH&amp;CT'!A56&amp;"*")</f>
        <v>0</v>
      </c>
      <c r="G56" s="69">
        <f t="shared" si="0"/>
        <v>300000</v>
      </c>
      <c r="H56" s="69">
        <f t="shared" si="1"/>
        <v>0</v>
      </c>
    </row>
    <row r="57" spans="1:8" x14ac:dyDescent="0.25">
      <c r="A57" s="93" t="str">
        <f>[3]Sheet3!A56</f>
        <v>141.0201</v>
      </c>
      <c r="B57" s="65" t="str">
        <f>IF(LEN(A57)=3,VLOOKUP('CĐPS_TH&amp;CT'!A57,HTTK1!$A$5:$F$80,3,0),VLOOKUP('CĐPS_TH&amp;CT'!A57,DMTK!$B$5:$Q$263,3,0))</f>
        <v>Đoàn Trâm Anh</v>
      </c>
      <c r="C57" s="69">
        <f>IF(LEN(A57)=3,VLOOKUP(A57,HTTK1!$A$5:$F$80,5,0),VLOOKUP('CĐPS_TH&amp;CT'!A57,DMTK!$B$5:$Q$263,10,0))</f>
        <v>1500000</v>
      </c>
      <c r="D57" s="69">
        <f>IF(LEN(A57)=3,VLOOKUP(A57,HTTK1!$A$5:$F$80,6,0),VLOOKUP('CĐPS_TH&amp;CT'!A57,DMTK!$B$5:$Q$263,11,0))</f>
        <v>0</v>
      </c>
      <c r="E57" s="69">
        <f>SUMIFS(CT!$H$5:$H$143,CT!$D$5:$D$143,'CĐPS_TH&amp;CT'!A57&amp;"*")</f>
        <v>0</v>
      </c>
      <c r="F57" s="69">
        <f>SUMIFS(CT!$H$5:$H$143,CT!$E$5:$E$143,'CĐPS_TH&amp;CT'!A57&amp;"*")</f>
        <v>0</v>
      </c>
      <c r="G57" s="69">
        <f t="shared" si="0"/>
        <v>1500000</v>
      </c>
      <c r="H57" s="69">
        <f t="shared" si="1"/>
        <v>0</v>
      </c>
    </row>
    <row r="58" spans="1:8" x14ac:dyDescent="0.25">
      <c r="A58" s="93" t="str">
        <f>[3]Sheet3!A57</f>
        <v>141.0202</v>
      </c>
      <c r="B58" s="65" t="str">
        <f>IF(LEN(A58)=3,VLOOKUP('CĐPS_TH&amp;CT'!A58,HTTK1!$A$5:$F$80,3,0),VLOOKUP('CĐPS_TH&amp;CT'!A58,DMTK!$B$5:$Q$263,3,0))</f>
        <v>Nguyễn Hoài Nam</v>
      </c>
      <c r="C58" s="69">
        <f>IF(LEN(A58)=3,VLOOKUP(A58,HTTK1!$A$5:$F$80,5,0),VLOOKUP('CĐPS_TH&amp;CT'!A58,DMTK!$B$5:$Q$263,10,0))</f>
        <v>500000</v>
      </c>
      <c r="D58" s="69">
        <f>IF(LEN(A58)=3,VLOOKUP(A58,HTTK1!$A$5:$F$80,6,0),VLOOKUP('CĐPS_TH&amp;CT'!A58,DMTK!$B$5:$Q$263,11,0))</f>
        <v>0</v>
      </c>
      <c r="E58" s="69">
        <f>SUMIFS(CT!$H$5:$H$143,CT!$D$5:$D$143,'CĐPS_TH&amp;CT'!A58&amp;"*")</f>
        <v>0</v>
      </c>
      <c r="F58" s="69">
        <f>SUMIFS(CT!$H$5:$H$143,CT!$E$5:$E$143,'CĐPS_TH&amp;CT'!A58&amp;"*")</f>
        <v>0</v>
      </c>
      <c r="G58" s="69">
        <f t="shared" si="0"/>
        <v>500000</v>
      </c>
      <c r="H58" s="69">
        <f t="shared" si="1"/>
        <v>0</v>
      </c>
    </row>
    <row r="59" spans="1:8" s="72" customFormat="1" x14ac:dyDescent="0.25">
      <c r="A59" s="128" t="str">
        <f>[3]Sheet3!A58</f>
        <v>151</v>
      </c>
      <c r="B59" s="71" t="str">
        <f>IF(LEN(A59)=3,VLOOKUP('CĐPS_TH&amp;CT'!A59,HTTK1!$A$5:$F$80,3,0),VLOOKUP('CĐPS_TH&amp;CT'!A59,DMTK!$B$5:$Q$263,3,0))</f>
        <v>Hàng mua đang đi đường</v>
      </c>
      <c r="C59" s="69">
        <f>IF(LEN(A59)=3,VLOOKUP(A59,HTTK1!$A$5:$F$80,5,0),VLOOKUP('CĐPS_TH&amp;CT'!A59,DMTK!$B$5:$Q$263,10,0))</f>
        <v>0</v>
      </c>
      <c r="D59" s="69">
        <f>IF(LEN(A59)=3,VLOOKUP(A59,HTTK1!$A$5:$F$80,6,0),VLOOKUP('CĐPS_TH&amp;CT'!A59,DMTK!$B$5:$Q$263,11,0))</f>
        <v>0</v>
      </c>
      <c r="E59" s="69">
        <f>SUMIFS(CT!$H$5:$H$143,CT!$D$5:$D$143,'CĐPS_TH&amp;CT'!A59&amp;"*")</f>
        <v>0</v>
      </c>
      <c r="F59" s="69">
        <f>SUMIFS(CT!$H$5:$H$143,CT!$E$5:$E$143,'CĐPS_TH&amp;CT'!A59&amp;"*")</f>
        <v>0</v>
      </c>
      <c r="G59" s="69">
        <f t="shared" si="0"/>
        <v>0</v>
      </c>
      <c r="H59" s="69">
        <f t="shared" si="1"/>
        <v>0</v>
      </c>
    </row>
    <row r="60" spans="1:8" s="72" customFormat="1" x14ac:dyDescent="0.25">
      <c r="A60" s="128" t="str">
        <f>[3]Sheet3!A59</f>
        <v>152</v>
      </c>
      <c r="B60" s="71" t="str">
        <f>IF(LEN(A60)=3,VLOOKUP('CĐPS_TH&amp;CT'!A60,HTTK1!$A$5:$F$80,3,0),VLOOKUP('CĐPS_TH&amp;CT'!A60,DMTK!$B$5:$Q$263,3,0))</f>
        <v>Nguyên liệu, vật liệu</v>
      </c>
      <c r="C60" s="69">
        <f>IF(LEN(A60)=3,VLOOKUP(A60,HTTK1!$A$5:$F$80,5,0),VLOOKUP('CĐPS_TH&amp;CT'!A60,DMTK!$B$5:$Q$263,10,0))</f>
        <v>147540000</v>
      </c>
      <c r="D60" s="69">
        <f>IF(LEN(A60)=3,VLOOKUP(A60,HTTK1!$A$5:$F$80,6,0),VLOOKUP('CĐPS_TH&amp;CT'!A60,DMTK!$B$5:$Q$263,11,0))</f>
        <v>0</v>
      </c>
      <c r="E60" s="69">
        <f>SUMIFS(CT!$H$5:$H$143,CT!$D$5:$D$143,'CĐPS_TH&amp;CT'!A60&amp;"*")</f>
        <v>32200000</v>
      </c>
      <c r="F60" s="69">
        <f>SUMIFS(CT!$H$5:$H$143,CT!$E$5:$E$143,'CĐPS_TH&amp;CT'!A60&amp;"*")</f>
        <v>18078200</v>
      </c>
      <c r="G60" s="69">
        <f t="shared" si="0"/>
        <v>161661800</v>
      </c>
      <c r="H60" s="69">
        <f t="shared" si="1"/>
        <v>0</v>
      </c>
    </row>
    <row r="61" spans="1:8" x14ac:dyDescent="0.25">
      <c r="A61" s="93" t="str">
        <f>[3]Sheet3!A60</f>
        <v>1521.0101</v>
      </c>
      <c r="B61" s="65" t="str">
        <f>IF(LEN(A61)=3,VLOOKUP('CĐPS_TH&amp;CT'!A61,HTTK1!$A$5:$F$80,3,0),VLOOKUP('CĐPS_TH&amp;CT'!A61,DMTK!$B$5:$Q$263,3,0))</f>
        <v>Gỗ cao su</v>
      </c>
      <c r="C61" s="69">
        <f>IF(LEN(A61)=3,VLOOKUP(A61,HTTK1!$A$5:$F$80,5,0),VLOOKUP('CĐPS_TH&amp;CT'!A61,DMTK!$B$5:$Q$263,10,0))</f>
        <v>33000000</v>
      </c>
      <c r="D61" s="69">
        <f>IF(LEN(A61)=3,VLOOKUP(A61,HTTK1!$A$5:$F$80,6,0),VLOOKUP('CĐPS_TH&amp;CT'!A61,DMTK!$B$5:$Q$263,11,0))</f>
        <v>0</v>
      </c>
      <c r="E61" s="69">
        <f>SUMIFS(CT!$H$5:$H$143,CT!$D$5:$D$143,'CĐPS_TH&amp;CT'!A61&amp;"*")</f>
        <v>0</v>
      </c>
      <c r="F61" s="69">
        <f>SUMIFS(CT!$H$5:$H$143,CT!$E$5:$E$143,'CĐPS_TH&amp;CT'!A61&amp;"*")</f>
        <v>13200000</v>
      </c>
      <c r="G61" s="69">
        <f t="shared" si="0"/>
        <v>19800000</v>
      </c>
      <c r="H61" s="69">
        <f t="shared" si="1"/>
        <v>0</v>
      </c>
    </row>
    <row r="62" spans="1:8" x14ac:dyDescent="0.25">
      <c r="A62" s="93" t="str">
        <f>[3]Sheet3!A61</f>
        <v>1521.0102</v>
      </c>
      <c r="B62" s="65" t="str">
        <f>IF(LEN(A62)=3,VLOOKUP('CĐPS_TH&amp;CT'!A62,HTTK1!$A$5:$F$80,3,0),VLOOKUP('CĐPS_TH&amp;CT'!A62,DMTK!$B$5:$Q$263,3,0))</f>
        <v>Gỗ tràm bông vàng</v>
      </c>
      <c r="C62" s="69">
        <f>IF(LEN(A62)=3,VLOOKUP(A62,HTTK1!$A$5:$F$80,5,0),VLOOKUP('CĐPS_TH&amp;CT'!A62,DMTK!$B$5:$Q$263,10,0))</f>
        <v>22000000</v>
      </c>
      <c r="D62" s="69">
        <f>IF(LEN(A62)=3,VLOOKUP(A62,HTTK1!$A$5:$F$80,6,0),VLOOKUP('CĐPS_TH&amp;CT'!A62,DMTK!$B$5:$Q$263,11,0))</f>
        <v>0</v>
      </c>
      <c r="E62" s="69">
        <f>SUMIFS(CT!$H$5:$H$143,CT!$D$5:$D$143,'CĐPS_TH&amp;CT'!A62&amp;"*")</f>
        <v>22500000</v>
      </c>
      <c r="F62" s="69">
        <f>SUMIFS(CT!$H$5:$H$143,CT!$E$5:$E$143,'CĐPS_TH&amp;CT'!A62&amp;"*")</f>
        <v>0</v>
      </c>
      <c r="G62" s="69">
        <f t="shared" si="0"/>
        <v>44500000</v>
      </c>
      <c r="H62" s="69">
        <f t="shared" si="1"/>
        <v>0</v>
      </c>
    </row>
    <row r="63" spans="1:8" x14ac:dyDescent="0.25">
      <c r="A63" s="93" t="str">
        <f>[3]Sheet3!A62</f>
        <v>1521.0103</v>
      </c>
      <c r="B63" s="65" t="str">
        <f>IF(LEN(A63)=3,VLOOKUP('CĐPS_TH&amp;CT'!A63,HTTK1!$A$5:$F$80,3,0),VLOOKUP('CĐPS_TH&amp;CT'!A63,DMTK!$B$5:$Q$263,3,0))</f>
        <v>Gỗ thông</v>
      </c>
      <c r="C63" s="69">
        <f>IF(LEN(A63)=3,VLOOKUP(A63,HTTK1!$A$5:$F$80,5,0),VLOOKUP('CĐPS_TH&amp;CT'!A63,DMTK!$B$5:$Q$263,10,0))</f>
        <v>14400000</v>
      </c>
      <c r="D63" s="69">
        <f>IF(LEN(A63)=3,VLOOKUP(A63,HTTK1!$A$5:$F$80,6,0),VLOOKUP('CĐPS_TH&amp;CT'!A63,DMTK!$B$5:$Q$263,11,0))</f>
        <v>0</v>
      </c>
      <c r="E63" s="69">
        <f>SUMIFS(CT!$H$5:$H$143,CT!$D$5:$D$143,'CĐPS_TH&amp;CT'!A63&amp;"*")</f>
        <v>0</v>
      </c>
      <c r="F63" s="69">
        <f>SUMIFS(CT!$H$5:$H$143,CT!$E$5:$E$143,'CĐPS_TH&amp;CT'!A63&amp;"*")</f>
        <v>0</v>
      </c>
      <c r="G63" s="69">
        <f t="shared" si="0"/>
        <v>14400000</v>
      </c>
      <c r="H63" s="69">
        <f t="shared" si="1"/>
        <v>0</v>
      </c>
    </row>
    <row r="64" spans="1:8" x14ac:dyDescent="0.25">
      <c r="A64" s="93" t="str">
        <f>[3]Sheet3!A63</f>
        <v>1521.0201</v>
      </c>
      <c r="B64" s="65" t="str">
        <f>IF(LEN(A64)=3,VLOOKUP('CĐPS_TH&amp;CT'!A64,HTTK1!$A$5:$F$80,3,0),VLOOKUP('CĐPS_TH&amp;CT'!A64,DMTK!$B$5:$Q$263,3,0))</f>
        <v>Ván MDF 9x6x8</v>
      </c>
      <c r="C64" s="69">
        <f>IF(LEN(A64)=3,VLOOKUP(A64,HTTK1!$A$5:$F$80,5,0),VLOOKUP('CĐPS_TH&amp;CT'!A64,DMTK!$B$5:$Q$263,10,0))</f>
        <v>24000000</v>
      </c>
      <c r="D64" s="69">
        <f>IF(LEN(A64)=3,VLOOKUP(A64,HTTK1!$A$5:$F$80,6,0),VLOOKUP('CĐPS_TH&amp;CT'!A64,DMTK!$B$5:$Q$263,11,0))</f>
        <v>0</v>
      </c>
      <c r="E64" s="69">
        <f>SUMIFS(CT!$H$5:$H$143,CT!$D$5:$D$143,'CĐPS_TH&amp;CT'!A64&amp;"*")</f>
        <v>0</v>
      </c>
      <c r="F64" s="69">
        <f>SUMIFS(CT!$H$5:$H$143,CT!$E$5:$E$143,'CĐPS_TH&amp;CT'!A64&amp;"*")</f>
        <v>3600000</v>
      </c>
      <c r="G64" s="69">
        <f t="shared" si="0"/>
        <v>20400000</v>
      </c>
      <c r="H64" s="69">
        <f t="shared" si="1"/>
        <v>0</v>
      </c>
    </row>
    <row r="65" spans="1:8" x14ac:dyDescent="0.25">
      <c r="A65" s="93" t="str">
        <f>[3]Sheet3!A64</f>
        <v>1521.0202</v>
      </c>
      <c r="B65" s="65" t="str">
        <f>IF(LEN(A65)=3,VLOOKUP('CĐPS_TH&amp;CT'!A65,HTTK1!$A$5:$F$80,3,0),VLOOKUP('CĐPS_TH&amp;CT'!A65,DMTK!$B$5:$Q$263,3,0))</f>
        <v>Ván MDF 9x4x8</v>
      </c>
      <c r="C65" s="69">
        <f>IF(LEN(A65)=3,VLOOKUP(A65,HTTK1!$A$5:$F$80,5,0),VLOOKUP('CĐPS_TH&amp;CT'!A65,DMTK!$B$5:$Q$263,10,0))</f>
        <v>31200000</v>
      </c>
      <c r="D65" s="69">
        <f>IF(LEN(A65)=3,VLOOKUP(A65,HTTK1!$A$5:$F$80,6,0),VLOOKUP('CĐPS_TH&amp;CT'!A65,DMTK!$B$5:$Q$263,11,0))</f>
        <v>0</v>
      </c>
      <c r="E65" s="69">
        <f>SUMIFS(CT!$H$5:$H$143,CT!$D$5:$D$143,'CĐPS_TH&amp;CT'!A65&amp;"*")</f>
        <v>0</v>
      </c>
      <c r="F65" s="69">
        <f>SUMIFS(CT!$H$5:$H$143,CT!$E$5:$E$143,'CĐPS_TH&amp;CT'!A65&amp;"*")</f>
        <v>0</v>
      </c>
      <c r="G65" s="69">
        <f t="shared" si="0"/>
        <v>31200000</v>
      </c>
      <c r="H65" s="69">
        <f t="shared" si="1"/>
        <v>0</v>
      </c>
    </row>
    <row r="66" spans="1:8" x14ac:dyDescent="0.25">
      <c r="A66" s="93" t="str">
        <f>[3]Sheet3!A65</f>
        <v>1521.0203</v>
      </c>
      <c r="B66" s="65" t="str">
        <f>IF(LEN(A66)=3,VLOOKUP('CĐPS_TH&amp;CT'!A66,HTTK1!$A$5:$F$80,3,0),VLOOKUP('CĐPS_TH&amp;CT'!A66,DMTK!$B$5:$Q$263,3,0))</f>
        <v>Ván MDF 4,5x6x8</v>
      </c>
      <c r="C66" s="69">
        <f>IF(LEN(A66)=3,VLOOKUP(A66,HTTK1!$A$5:$F$80,5,0),VLOOKUP('CĐPS_TH&amp;CT'!A66,DMTK!$B$5:$Q$263,10,0))</f>
        <v>10000000</v>
      </c>
      <c r="D66" s="69">
        <f>IF(LEN(A66)=3,VLOOKUP(A66,HTTK1!$A$5:$F$80,6,0),VLOOKUP('CĐPS_TH&amp;CT'!A66,DMTK!$B$5:$Q$263,11,0))</f>
        <v>0</v>
      </c>
      <c r="E66" s="69">
        <f>SUMIFS(CT!$H$5:$H$143,CT!$D$5:$D$143,'CĐPS_TH&amp;CT'!A66&amp;"*")</f>
        <v>0</v>
      </c>
      <c r="F66" s="69">
        <f>SUMIFS(CT!$H$5:$H$143,CT!$E$5:$E$143,'CĐPS_TH&amp;CT'!A66&amp;"*")</f>
        <v>0</v>
      </c>
      <c r="G66" s="69">
        <f t="shared" si="0"/>
        <v>10000000</v>
      </c>
      <c r="H66" s="69">
        <f t="shared" si="1"/>
        <v>0</v>
      </c>
    </row>
    <row r="67" spans="1:8" x14ac:dyDescent="0.25">
      <c r="A67" s="93" t="str">
        <f>[3]Sheet3!A66</f>
        <v>1521.0301</v>
      </c>
      <c r="B67" s="65" t="str">
        <f>IF(LEN(A67)=3,VLOOKUP('CĐPS_TH&amp;CT'!A67,HTTK1!$A$5:$F$80,3,0),VLOOKUP('CĐPS_TH&amp;CT'!A67,DMTK!$B$5:$Q$263,3,0))</f>
        <v>Keo AB</v>
      </c>
      <c r="C67" s="69">
        <f>IF(LEN(A67)=3,VLOOKUP(A67,HTTK1!$A$5:$F$80,5,0),VLOOKUP('CĐPS_TH&amp;CT'!A67,DMTK!$B$5:$Q$263,10,0))</f>
        <v>1200000</v>
      </c>
      <c r="D67" s="69">
        <f>IF(LEN(A67)=3,VLOOKUP(A67,HTTK1!$A$5:$F$80,6,0),VLOOKUP('CĐPS_TH&amp;CT'!A67,DMTK!$B$5:$Q$263,11,0))</f>
        <v>0</v>
      </c>
      <c r="E67" s="69">
        <f>SUMIFS(CT!$H$5:$H$143,CT!$D$5:$D$143,'CĐPS_TH&amp;CT'!A67&amp;"*")</f>
        <v>5000000</v>
      </c>
      <c r="F67" s="69">
        <f>SUMIFS(CT!$H$5:$H$143,CT!$E$5:$E$143,'CĐPS_TH&amp;CT'!A67&amp;"*")</f>
        <v>0</v>
      </c>
      <c r="G67" s="69">
        <f t="shared" si="0"/>
        <v>6200000</v>
      </c>
      <c r="H67" s="69">
        <f t="shared" si="1"/>
        <v>0</v>
      </c>
    </row>
    <row r="68" spans="1:8" x14ac:dyDescent="0.25">
      <c r="A68" s="93" t="str">
        <f>[3]Sheet3!A67</f>
        <v>1521.0302</v>
      </c>
      <c r="B68" s="65" t="str">
        <f>IF(LEN(A68)=3,VLOOKUP('CĐPS_TH&amp;CT'!A68,HTTK1!$A$5:$F$80,3,0),VLOOKUP('CĐPS_TH&amp;CT'!A68,DMTK!$B$5:$Q$263,3,0))</f>
        <v>Keo ghép</v>
      </c>
      <c r="C68" s="69">
        <f>IF(LEN(A68)=3,VLOOKUP(A68,HTTK1!$A$5:$F$80,5,0),VLOOKUP('CĐPS_TH&amp;CT'!A68,DMTK!$B$5:$Q$263,10,0))</f>
        <v>7200000</v>
      </c>
      <c r="D68" s="69">
        <f>IF(LEN(A68)=3,VLOOKUP(A68,HTTK1!$A$5:$F$80,6,0),VLOOKUP('CĐPS_TH&amp;CT'!A68,DMTK!$B$5:$Q$263,11,0))</f>
        <v>0</v>
      </c>
      <c r="E68" s="69">
        <f>SUMIFS(CT!$H$5:$H$143,CT!$D$5:$D$143,'CĐPS_TH&amp;CT'!A68&amp;"*")</f>
        <v>0</v>
      </c>
      <c r="F68" s="69">
        <f>SUMIFS(CT!$H$5:$H$143,CT!$E$5:$E$143,'CĐPS_TH&amp;CT'!A68&amp;"*")</f>
        <v>480000</v>
      </c>
      <c r="G68" s="69">
        <f t="shared" si="0"/>
        <v>6720000</v>
      </c>
      <c r="H68" s="69">
        <f t="shared" si="1"/>
        <v>0</v>
      </c>
    </row>
    <row r="69" spans="1:8" x14ac:dyDescent="0.25">
      <c r="A69" s="93" t="str">
        <f>[3]Sheet3!A68</f>
        <v>1521.0303</v>
      </c>
      <c r="B69" s="65" t="str">
        <f>IF(LEN(A69)=3,VLOOKUP('CĐPS_TH&amp;CT'!A69,HTTK1!$A$5:$F$80,3,0),VLOOKUP('CĐPS_TH&amp;CT'!A69,DMTK!$B$5:$Q$263,3,0))</f>
        <v>Keo 502</v>
      </c>
      <c r="C69" s="69">
        <f>IF(LEN(A69)=3,VLOOKUP(A69,HTTK1!$A$5:$F$80,5,0),VLOOKUP('CĐPS_TH&amp;CT'!A69,DMTK!$B$5:$Q$263,10,0))</f>
        <v>1150000</v>
      </c>
      <c r="D69" s="69">
        <f>IF(LEN(A69)=3,VLOOKUP(A69,HTTK1!$A$5:$F$80,6,0),VLOOKUP('CĐPS_TH&amp;CT'!A69,DMTK!$B$5:$Q$263,11,0))</f>
        <v>0</v>
      </c>
      <c r="E69" s="69">
        <f>SUMIFS(CT!$H$5:$H$143,CT!$D$5:$D$143,'CĐPS_TH&amp;CT'!A69&amp;"*")</f>
        <v>0</v>
      </c>
      <c r="F69" s="69">
        <f>SUMIFS(CT!$H$5:$H$143,CT!$E$5:$E$143,'CĐPS_TH&amp;CT'!A69&amp;"*")</f>
        <v>46000</v>
      </c>
      <c r="G69" s="69">
        <f t="shared" si="0"/>
        <v>1104000</v>
      </c>
      <c r="H69" s="69">
        <f t="shared" si="1"/>
        <v>0</v>
      </c>
    </row>
    <row r="70" spans="1:8" x14ac:dyDescent="0.25">
      <c r="A70" s="93" t="str">
        <f>[3]Sheet3!A69</f>
        <v>1521.0401</v>
      </c>
      <c r="B70" s="65" t="str">
        <f>IF(LEN(A70)=3,VLOOKUP('CĐPS_TH&amp;CT'!A70,HTTK1!$A$5:$F$80,3,0),VLOOKUP('CĐPS_TH&amp;CT'!A70,DMTK!$B$5:$Q$263,3,0))</f>
        <v>AC chuối</v>
      </c>
      <c r="C70" s="69">
        <f>IF(LEN(A70)=3,VLOOKUP(A70,HTTK1!$A$5:$F$80,5,0),VLOOKUP('CĐPS_TH&amp;CT'!A70,DMTK!$B$5:$Q$263,10,0))</f>
        <v>1500000</v>
      </c>
      <c r="D70" s="69">
        <f>IF(LEN(A70)=3,VLOOKUP(A70,HTTK1!$A$5:$F$80,6,0),VLOOKUP('CĐPS_TH&amp;CT'!A70,DMTK!$B$5:$Q$263,11,0))</f>
        <v>0</v>
      </c>
      <c r="E70" s="69">
        <f>SUMIFS(CT!$H$5:$H$143,CT!$D$5:$D$143,'CĐPS_TH&amp;CT'!A70&amp;"*")</f>
        <v>3200000</v>
      </c>
      <c r="F70" s="69">
        <f>SUMIFS(CT!$H$5:$H$143,CT!$E$5:$E$143,'CĐPS_TH&amp;CT'!A70&amp;"*")</f>
        <v>469980</v>
      </c>
      <c r="G70" s="69">
        <f t="shared" si="0"/>
        <v>4230020</v>
      </c>
      <c r="H70" s="69">
        <f t="shared" si="1"/>
        <v>0</v>
      </c>
    </row>
    <row r="71" spans="1:8" x14ac:dyDescent="0.25">
      <c r="A71" s="93" t="str">
        <f>[3]Sheet3!A70</f>
        <v>1521.0402</v>
      </c>
      <c r="B71" s="65" t="str">
        <f>IF(LEN(A71)=3,VLOOKUP('CĐPS_TH&amp;CT'!A71,HTTK1!$A$5:$F$80,3,0),VLOOKUP('CĐPS_TH&amp;CT'!A71,DMTK!$B$5:$Q$263,3,0))</f>
        <v>NC chuối</v>
      </c>
      <c r="C71" s="69">
        <f>IF(LEN(A71)=3,VLOOKUP(A71,HTTK1!$A$5:$F$80,5,0),VLOOKUP('CĐPS_TH&amp;CT'!A71,DMTK!$B$5:$Q$263,10,0))</f>
        <v>850000</v>
      </c>
      <c r="D71" s="69">
        <f>IF(LEN(A71)=3,VLOOKUP(A71,HTTK1!$A$5:$F$80,6,0),VLOOKUP('CĐPS_TH&amp;CT'!A71,DMTK!$B$5:$Q$263,11,0))</f>
        <v>0</v>
      </c>
      <c r="E71" s="69">
        <f>SUMIFS(CT!$H$5:$H$143,CT!$D$5:$D$143,'CĐPS_TH&amp;CT'!A71&amp;"*")</f>
        <v>0</v>
      </c>
      <c r="F71" s="69">
        <f>SUMIFS(CT!$H$5:$H$143,CT!$E$5:$E$143,'CĐPS_TH&amp;CT'!A71&amp;"*")</f>
        <v>0</v>
      </c>
      <c r="G71" s="69">
        <f t="shared" ref="G71:G134" si="2">MAX(C71+E71-D71-F71,0)</f>
        <v>850000</v>
      </c>
      <c r="H71" s="69">
        <f t="shared" ref="H71:H134" si="3">MAX(D71+F71-C71-E71,0)</f>
        <v>0</v>
      </c>
    </row>
    <row r="72" spans="1:8" x14ac:dyDescent="0.25">
      <c r="A72" s="93" t="str">
        <f>[3]Sheet3!A71</f>
        <v>1521.0403</v>
      </c>
      <c r="B72" s="65" t="str">
        <f>IF(LEN(A72)=3,VLOOKUP('CĐPS_TH&amp;CT'!A72,HTTK1!$A$5:$F$80,3,0),VLOOKUP('CĐPS_TH&amp;CT'!A72,DMTK!$B$5:$Q$263,3,0))</f>
        <v>Dầu thông</v>
      </c>
      <c r="C72" s="69">
        <f>IF(LEN(A72)=3,VLOOKUP(A72,HTTK1!$A$5:$F$80,5,0),VLOOKUP('CĐPS_TH&amp;CT'!A72,DMTK!$B$5:$Q$263,10,0))</f>
        <v>1040000</v>
      </c>
      <c r="D72" s="69">
        <f>IF(LEN(A72)=3,VLOOKUP(A72,HTTK1!$A$5:$F$80,6,0),VLOOKUP('CĐPS_TH&amp;CT'!A72,DMTK!$B$5:$Q$263,11,0))</f>
        <v>0</v>
      </c>
      <c r="E72" s="69">
        <f>SUMIFS(CT!$H$5:$H$143,CT!$D$5:$D$143,'CĐPS_TH&amp;CT'!A72&amp;"*")</f>
        <v>1500000</v>
      </c>
      <c r="F72" s="69">
        <f>SUMIFS(CT!$H$5:$H$143,CT!$E$5:$E$143,'CĐPS_TH&amp;CT'!A72&amp;"*")</f>
        <v>282220</v>
      </c>
      <c r="G72" s="69">
        <f t="shared" si="2"/>
        <v>2257780</v>
      </c>
      <c r="H72" s="69">
        <f t="shared" si="3"/>
        <v>0</v>
      </c>
    </row>
    <row r="73" spans="1:8" x14ac:dyDescent="0.25">
      <c r="A73" s="93" t="str">
        <f>[3]Sheet3!A72</f>
        <v>1522</v>
      </c>
      <c r="B73" s="65" t="str">
        <f>IF(LEN(A73)=3,VLOOKUP('CĐPS_TH&amp;CT'!A73,HTTK1!$A$5:$F$80,3,0),VLOOKUP('CĐPS_TH&amp;CT'!A73,DMTK!$B$5:$Q$263,3,0))</f>
        <v>Nguyên vật liệu phụ</v>
      </c>
      <c r="C73" s="69">
        <f>IF(LEN(A73)=3,VLOOKUP(A73,HTTK1!$A$5:$F$80,5,0),VLOOKUP('CĐPS_TH&amp;CT'!A73,DMTK!$B$5:$Q$263,10,0))</f>
        <v>0</v>
      </c>
      <c r="D73" s="69">
        <f>IF(LEN(A73)=3,VLOOKUP(A73,HTTK1!$A$5:$F$80,6,0),VLOOKUP('CĐPS_TH&amp;CT'!A73,DMTK!$B$5:$Q$263,11,0))</f>
        <v>0</v>
      </c>
      <c r="E73" s="69">
        <f>SUMIFS(CT!$H$5:$H$143,CT!$D$5:$D$143,'CĐPS_TH&amp;CT'!A73&amp;"*")</f>
        <v>0</v>
      </c>
      <c r="F73" s="69">
        <f>SUMIFS(CT!$H$5:$H$143,CT!$E$5:$E$143,'CĐPS_TH&amp;CT'!A73&amp;"*")</f>
        <v>0</v>
      </c>
      <c r="G73" s="69">
        <f t="shared" si="2"/>
        <v>0</v>
      </c>
      <c r="H73" s="69">
        <f t="shared" si="3"/>
        <v>0</v>
      </c>
    </row>
    <row r="74" spans="1:8" s="72" customFormat="1" x14ac:dyDescent="0.25">
      <c r="A74" s="128" t="str">
        <f>[3]Sheet3!A73</f>
        <v>153</v>
      </c>
      <c r="B74" s="71" t="str">
        <f>IF(LEN(A74)=3,VLOOKUP('CĐPS_TH&amp;CT'!A74,HTTK1!$A$5:$F$80,3,0),VLOOKUP('CĐPS_TH&amp;CT'!A74,DMTK!$B$5:$Q$263,3,0))</f>
        <v>Công cụ, dụng cụ</v>
      </c>
      <c r="C74" s="69">
        <f>IF(LEN(A74)=3,VLOOKUP(A74,HTTK1!$A$5:$F$80,5,0),VLOOKUP('CĐPS_TH&amp;CT'!A74,DMTK!$B$5:$Q$263,10,0))</f>
        <v>16500000</v>
      </c>
      <c r="D74" s="69">
        <f>IF(LEN(A74)=3,VLOOKUP(A74,HTTK1!$A$5:$F$80,6,0),VLOOKUP('CĐPS_TH&amp;CT'!A74,DMTK!$B$5:$Q$263,11,0))</f>
        <v>0</v>
      </c>
      <c r="E74" s="69">
        <f>SUMIFS(CT!$H$5:$H$143,CT!$D$5:$D$143,'CĐPS_TH&amp;CT'!A74&amp;"*")</f>
        <v>0</v>
      </c>
      <c r="F74" s="69">
        <f>SUMIFS(CT!$H$5:$H$143,CT!$E$5:$E$143,'CĐPS_TH&amp;CT'!A74&amp;"*")</f>
        <v>4000000</v>
      </c>
      <c r="G74" s="69">
        <f t="shared" si="2"/>
        <v>12500000</v>
      </c>
      <c r="H74" s="69">
        <f t="shared" si="3"/>
        <v>0</v>
      </c>
    </row>
    <row r="75" spans="1:8" x14ac:dyDescent="0.25">
      <c r="A75" s="93" t="str">
        <f>[3]Sheet3!A74</f>
        <v>1531.01</v>
      </c>
      <c r="B75" s="65" t="str">
        <f>IF(LEN(A75)=3,VLOOKUP('CĐPS_TH&amp;CT'!A75,HTTK1!$A$5:$F$80,3,0),VLOOKUP('CĐPS_TH&amp;CT'!A75,DMTK!$B$5:$Q$263,3,0))</f>
        <v>Máy tính Casio</v>
      </c>
      <c r="C75" s="69">
        <f>IF(LEN(A75)=3,VLOOKUP(A75,HTTK1!$A$5:$F$80,5,0),VLOOKUP('CĐPS_TH&amp;CT'!A75,DMTK!$B$5:$Q$263,10,0))</f>
        <v>7500000</v>
      </c>
      <c r="D75" s="69">
        <f>IF(LEN(A75)=3,VLOOKUP(A75,HTTK1!$A$5:$F$80,6,0),VLOOKUP('CĐPS_TH&amp;CT'!A75,DMTK!$B$5:$Q$263,11,0))</f>
        <v>0</v>
      </c>
      <c r="E75" s="69">
        <f>SUMIFS(CT!$H$5:$H$143,CT!$D$5:$D$143,'CĐPS_TH&amp;CT'!A75&amp;"*")</f>
        <v>0</v>
      </c>
      <c r="F75" s="69">
        <f>SUMIFS(CT!$H$5:$H$143,CT!$E$5:$E$143,'CĐPS_TH&amp;CT'!A75&amp;"*")</f>
        <v>2500000</v>
      </c>
      <c r="G75" s="69">
        <f t="shared" si="2"/>
        <v>5000000</v>
      </c>
      <c r="H75" s="69">
        <f t="shared" si="3"/>
        <v>0</v>
      </c>
    </row>
    <row r="76" spans="1:8" x14ac:dyDescent="0.25">
      <c r="A76" s="93" t="str">
        <f>[3]Sheet3!A75</f>
        <v>1531.02</v>
      </c>
      <c r="B76" s="65" t="str">
        <f>IF(LEN(A76)=3,VLOOKUP('CĐPS_TH&amp;CT'!A76,HTTK1!$A$5:$F$80,3,0),VLOOKUP('CĐPS_TH&amp;CT'!A76,DMTK!$B$5:$Q$263,3,0))</f>
        <v>Kệ tủ</v>
      </c>
      <c r="C76" s="69">
        <f>IF(LEN(A76)=3,VLOOKUP(A76,HTTK1!$A$5:$F$80,5,0),VLOOKUP('CĐPS_TH&amp;CT'!A76,DMTK!$B$5:$Q$263,10,0))</f>
        <v>5000000</v>
      </c>
      <c r="D76" s="69">
        <f>IF(LEN(A76)=3,VLOOKUP(A76,HTTK1!$A$5:$F$80,6,0),VLOOKUP('CĐPS_TH&amp;CT'!A76,DMTK!$B$5:$Q$263,11,0))</f>
        <v>0</v>
      </c>
      <c r="E76" s="69">
        <f>SUMIFS(CT!$H$5:$H$143,CT!$D$5:$D$143,'CĐPS_TH&amp;CT'!A76&amp;"*")</f>
        <v>0</v>
      </c>
      <c r="F76" s="69">
        <f>SUMIFS(CT!$H$5:$H$143,CT!$E$5:$E$143,'CĐPS_TH&amp;CT'!A76&amp;"*")</f>
        <v>1000000</v>
      </c>
      <c r="G76" s="69">
        <f t="shared" si="2"/>
        <v>4000000</v>
      </c>
      <c r="H76" s="69">
        <f t="shared" si="3"/>
        <v>0</v>
      </c>
    </row>
    <row r="77" spans="1:8" x14ac:dyDescent="0.25">
      <c r="A77" s="93" t="str">
        <f>[3]Sheet3!A76</f>
        <v>1531.03</v>
      </c>
      <c r="B77" s="65" t="str">
        <f>IF(LEN(A77)=3,VLOOKUP('CĐPS_TH&amp;CT'!A77,HTTK1!$A$5:$F$80,3,0),VLOOKUP('CĐPS_TH&amp;CT'!A77,DMTK!$B$5:$Q$263,3,0))</f>
        <v>Lưỡi cưa</v>
      </c>
      <c r="C77" s="69">
        <f>IF(LEN(A77)=3,VLOOKUP(A77,HTTK1!$A$5:$F$80,5,0),VLOOKUP('CĐPS_TH&amp;CT'!A77,DMTK!$B$5:$Q$263,10,0))</f>
        <v>1000000</v>
      </c>
      <c r="D77" s="69">
        <f>IF(LEN(A77)=3,VLOOKUP(A77,HTTK1!$A$5:$F$80,6,0),VLOOKUP('CĐPS_TH&amp;CT'!A77,DMTK!$B$5:$Q$263,11,0))</f>
        <v>0</v>
      </c>
      <c r="E77" s="69">
        <f>SUMIFS(CT!$H$5:$H$143,CT!$D$5:$D$143,'CĐPS_TH&amp;CT'!A77&amp;"*")</f>
        <v>0</v>
      </c>
      <c r="F77" s="69">
        <f>SUMIFS(CT!$H$5:$H$143,CT!$E$5:$E$143,'CĐPS_TH&amp;CT'!A77&amp;"*")</f>
        <v>100000</v>
      </c>
      <c r="G77" s="69">
        <f t="shared" si="2"/>
        <v>900000</v>
      </c>
      <c r="H77" s="69">
        <f t="shared" si="3"/>
        <v>0</v>
      </c>
    </row>
    <row r="78" spans="1:8" x14ac:dyDescent="0.25">
      <c r="A78" s="93" t="str">
        <f>[3]Sheet3!A77</f>
        <v>1531.04</v>
      </c>
      <c r="B78" s="65" t="str">
        <f>IF(LEN(A78)=3,VLOOKUP('CĐPS_TH&amp;CT'!A78,HTTK1!$A$5:$F$80,3,0),VLOOKUP('CĐPS_TH&amp;CT'!A78,DMTK!$B$5:$Q$263,3,0))</f>
        <v>Mũi khoan</v>
      </c>
      <c r="C78" s="69">
        <f>IF(LEN(A78)=3,VLOOKUP(A78,HTTK1!$A$5:$F$80,5,0),VLOOKUP('CĐPS_TH&amp;CT'!A78,DMTK!$B$5:$Q$263,10,0))</f>
        <v>2000000</v>
      </c>
      <c r="D78" s="69">
        <f>IF(LEN(A78)=3,VLOOKUP(A78,HTTK1!$A$5:$F$80,6,0),VLOOKUP('CĐPS_TH&amp;CT'!A78,DMTK!$B$5:$Q$263,11,0))</f>
        <v>0</v>
      </c>
      <c r="E78" s="69">
        <f>SUMIFS(CT!$H$5:$H$143,CT!$D$5:$D$143,'CĐPS_TH&amp;CT'!A78&amp;"*")</f>
        <v>0</v>
      </c>
      <c r="F78" s="69">
        <f>SUMIFS(CT!$H$5:$H$143,CT!$E$5:$E$143,'CĐPS_TH&amp;CT'!A78&amp;"*")</f>
        <v>100000</v>
      </c>
      <c r="G78" s="69">
        <f t="shared" si="2"/>
        <v>1900000</v>
      </c>
      <c r="H78" s="69">
        <f t="shared" si="3"/>
        <v>0</v>
      </c>
    </row>
    <row r="79" spans="1:8" x14ac:dyDescent="0.25">
      <c r="A79" s="93" t="str">
        <f>[3]Sheet3!A78</f>
        <v>1531.05</v>
      </c>
      <c r="B79" s="65" t="str">
        <f>IF(LEN(A79)=3,VLOOKUP('CĐPS_TH&amp;CT'!A79,HTTK1!$A$5:$F$80,3,0),VLOOKUP('CĐPS_TH&amp;CT'!A79,DMTK!$B$5:$Q$263,3,0))</f>
        <v>Dao thép</v>
      </c>
      <c r="C79" s="69">
        <f>IF(LEN(A79)=3,VLOOKUP(A79,HTTK1!$A$5:$F$80,5,0),VLOOKUP('CĐPS_TH&amp;CT'!A79,DMTK!$B$5:$Q$263,10,0))</f>
        <v>1000000</v>
      </c>
      <c r="D79" s="69">
        <f>IF(LEN(A79)=3,VLOOKUP(A79,HTTK1!$A$5:$F$80,6,0),VLOOKUP('CĐPS_TH&amp;CT'!A79,DMTK!$B$5:$Q$263,11,0))</f>
        <v>0</v>
      </c>
      <c r="E79" s="69">
        <f>SUMIFS(CT!$H$5:$H$143,CT!$D$5:$D$143,'CĐPS_TH&amp;CT'!A79&amp;"*")</f>
        <v>0</v>
      </c>
      <c r="F79" s="69">
        <f>SUMIFS(CT!$H$5:$H$143,CT!$E$5:$E$143,'CĐPS_TH&amp;CT'!A79&amp;"*")</f>
        <v>300000</v>
      </c>
      <c r="G79" s="69">
        <f t="shared" si="2"/>
        <v>700000</v>
      </c>
      <c r="H79" s="69">
        <f t="shared" si="3"/>
        <v>0</v>
      </c>
    </row>
    <row r="80" spans="1:8" s="72" customFormat="1" x14ac:dyDescent="0.25">
      <c r="A80" s="128" t="str">
        <f>[3]Sheet3!A79</f>
        <v>154</v>
      </c>
      <c r="B80" s="71" t="str">
        <f>IF(LEN(A80)=3,VLOOKUP('CĐPS_TH&amp;CT'!A80,HTTK1!$A$5:$F$80,3,0),VLOOKUP('CĐPS_TH&amp;CT'!A80,DMTK!$B$5:$Q$263,3,0))</f>
        <v>Chi phí sản xuất, kinh doanh dở dang</v>
      </c>
      <c r="C80" s="69">
        <f>IF(LEN(A80)=3,VLOOKUP(A80,HTTK1!$A$5:$F$80,5,0),VLOOKUP('CĐPS_TH&amp;CT'!A80,DMTK!$B$5:$Q$263,10,0))</f>
        <v>222000000</v>
      </c>
      <c r="D80" s="69">
        <f>IF(LEN(A80)=3,VLOOKUP(A80,HTTK1!$A$5:$F$80,6,0),VLOOKUP('CĐPS_TH&amp;CT'!A80,DMTK!$B$5:$Q$263,11,0))</f>
        <v>0</v>
      </c>
      <c r="E80" s="69">
        <f>SUMIFS(CT!$H$5:$H$143,CT!$D$5:$D$143,'CĐPS_TH&amp;CT'!A80&amp;"*")</f>
        <v>306944866</v>
      </c>
      <c r="F80" s="69">
        <f>SUMIFS(CT!$H$5:$H$143,CT!$E$5:$E$143,'CĐPS_TH&amp;CT'!A80&amp;"*")</f>
        <v>225360000</v>
      </c>
      <c r="G80" s="69">
        <f t="shared" si="2"/>
        <v>303584866</v>
      </c>
      <c r="H80" s="69">
        <f t="shared" si="3"/>
        <v>0</v>
      </c>
    </row>
    <row r="81" spans="1:8" x14ac:dyDescent="0.25">
      <c r="A81" s="93" t="str">
        <f>[3]Sheet3!A80</f>
        <v>154.01</v>
      </c>
      <c r="B81" s="65" t="str">
        <f>IF(LEN(A81)=3,VLOOKUP('CĐPS_TH&amp;CT'!A81,HTTK1!$A$5:$F$80,3,0),VLOOKUP('CĐPS_TH&amp;CT'!A81,DMTK!$B$5:$Q$263,3,0))</f>
        <v>Ghế tay vịn</v>
      </c>
      <c r="C81" s="69">
        <f>IF(LEN(A81)=3,VLOOKUP(A81,HTTK1!$A$5:$F$80,5,0),VLOOKUP('CĐPS_TH&amp;CT'!A81,DMTK!$B$5:$Q$263,10,0))</f>
        <v>70000000</v>
      </c>
      <c r="D81" s="69">
        <f>IF(LEN(A81)=3,VLOOKUP(A81,HTTK1!$A$5:$F$80,6,0),VLOOKUP('CĐPS_TH&amp;CT'!A81,DMTK!$B$5:$Q$263,11,0))</f>
        <v>0</v>
      </c>
      <c r="E81" s="69">
        <f>SUMIFS(CT!$H$5:$H$143,CT!$D$5:$D$143,'CĐPS_TH&amp;CT'!A81&amp;"*")</f>
        <v>99050185</v>
      </c>
      <c r="F81" s="69">
        <f>SUMIFS(CT!$H$5:$H$143,CT!$E$5:$E$143,'CĐPS_TH&amp;CT'!A81&amp;"*")</f>
        <v>102060000</v>
      </c>
      <c r="G81" s="69">
        <f t="shared" si="2"/>
        <v>66990185</v>
      </c>
      <c r="H81" s="69">
        <f t="shared" si="3"/>
        <v>0</v>
      </c>
    </row>
    <row r="82" spans="1:8" x14ac:dyDescent="0.25">
      <c r="A82" s="93" t="str">
        <f>[3]Sheet3!A81</f>
        <v>154.02</v>
      </c>
      <c r="B82" s="65" t="str">
        <f>IF(LEN(A82)=3,VLOOKUP('CĐPS_TH&amp;CT'!A82,HTTK1!$A$5:$F$80,3,0),VLOOKUP('CĐPS_TH&amp;CT'!A82,DMTK!$B$5:$Q$263,3,0))</f>
        <v>Ghế không tay</v>
      </c>
      <c r="C82" s="69">
        <f>IF(LEN(A82)=3,VLOOKUP(A82,HTTK1!$A$5:$F$80,5,0),VLOOKUP('CĐPS_TH&amp;CT'!A82,DMTK!$B$5:$Q$263,10,0))</f>
        <v>80000000</v>
      </c>
      <c r="D82" s="69">
        <f>IF(LEN(A82)=3,VLOOKUP(A82,HTTK1!$A$5:$F$80,6,0),VLOOKUP('CĐPS_TH&amp;CT'!A82,DMTK!$B$5:$Q$263,11,0))</f>
        <v>0</v>
      </c>
      <c r="E82" s="69">
        <f>SUMIFS(CT!$H$5:$H$143,CT!$D$5:$D$143,'CĐPS_TH&amp;CT'!A82&amp;"*")</f>
        <v>48800000</v>
      </c>
      <c r="F82" s="69">
        <f>SUMIFS(CT!$H$5:$H$143,CT!$E$5:$E$143,'CĐPS_TH&amp;CT'!A82&amp;"*")</f>
        <v>61800000</v>
      </c>
      <c r="G82" s="69">
        <f t="shared" si="2"/>
        <v>67000000</v>
      </c>
      <c r="H82" s="69">
        <f t="shared" si="3"/>
        <v>0</v>
      </c>
    </row>
    <row r="83" spans="1:8" x14ac:dyDescent="0.25">
      <c r="A83" s="93" t="str">
        <f>[3]Sheet3!A82</f>
        <v>154.03</v>
      </c>
      <c r="B83" s="65" t="str">
        <f>IF(LEN(A83)=3,VLOOKUP('CĐPS_TH&amp;CT'!A83,HTTK1!$A$5:$F$80,3,0),VLOOKUP('CĐPS_TH&amp;CT'!A83,DMTK!$B$5:$Q$263,3,0))</f>
        <v>Bàn tròn</v>
      </c>
      <c r="C83" s="69">
        <f>IF(LEN(A83)=3,VLOOKUP(A83,HTTK1!$A$5:$F$80,5,0),VLOOKUP('CĐPS_TH&amp;CT'!A83,DMTK!$B$5:$Q$263,10,0))</f>
        <v>7000000</v>
      </c>
      <c r="D83" s="69">
        <f>IF(LEN(A83)=3,VLOOKUP(A83,HTTK1!$A$5:$F$80,6,0),VLOOKUP('CĐPS_TH&amp;CT'!A83,DMTK!$B$5:$Q$263,11,0))</f>
        <v>0</v>
      </c>
      <c r="E83" s="69">
        <f>SUMIFS(CT!$H$5:$H$143,CT!$D$5:$D$143,'CĐPS_TH&amp;CT'!A83&amp;"*")</f>
        <v>61494681</v>
      </c>
      <c r="F83" s="69">
        <f>SUMIFS(CT!$H$5:$H$143,CT!$E$5:$E$143,'CĐPS_TH&amp;CT'!A83&amp;"*")</f>
        <v>61500000</v>
      </c>
      <c r="G83" s="69">
        <f t="shared" si="2"/>
        <v>6994681</v>
      </c>
      <c r="H83" s="69">
        <f t="shared" si="3"/>
        <v>0</v>
      </c>
    </row>
    <row r="84" spans="1:8" x14ac:dyDescent="0.25">
      <c r="A84" s="93" t="str">
        <f>[3]Sheet3!A83</f>
        <v>154.04</v>
      </c>
      <c r="B84" s="65" t="str">
        <f>IF(LEN(A84)=3,VLOOKUP('CĐPS_TH&amp;CT'!A84,HTTK1!$A$5:$F$80,3,0),VLOOKUP('CĐPS_TH&amp;CT'!A84,DMTK!$B$5:$Q$263,3,0))</f>
        <v>Bàn oval</v>
      </c>
      <c r="C84" s="69">
        <f>IF(LEN(A84)=3,VLOOKUP(A84,HTTK1!$A$5:$F$80,5,0),VLOOKUP('CĐPS_TH&amp;CT'!A84,DMTK!$B$5:$Q$263,10,0))</f>
        <v>43000000</v>
      </c>
      <c r="D84" s="69">
        <f>IF(LEN(A84)=3,VLOOKUP(A84,HTTK1!$A$5:$F$80,6,0),VLOOKUP('CĐPS_TH&amp;CT'!A84,DMTK!$B$5:$Q$263,11,0))</f>
        <v>0</v>
      </c>
      <c r="E84" s="69">
        <f>SUMIFS(CT!$H$5:$H$143,CT!$D$5:$D$143,'CĐPS_TH&amp;CT'!A84&amp;"*")</f>
        <v>48800000</v>
      </c>
      <c r="F84" s="69">
        <f>SUMIFS(CT!$H$5:$H$143,CT!$E$5:$E$143,'CĐPS_TH&amp;CT'!A84&amp;"*")</f>
        <v>0</v>
      </c>
      <c r="G84" s="69">
        <f t="shared" si="2"/>
        <v>91800000</v>
      </c>
      <c r="H84" s="69">
        <f t="shared" si="3"/>
        <v>0</v>
      </c>
    </row>
    <row r="85" spans="1:8" x14ac:dyDescent="0.25">
      <c r="A85" s="93" t="str">
        <f>[3]Sheet3!A84</f>
        <v>154.05</v>
      </c>
      <c r="B85" s="65" t="str">
        <f>IF(LEN(A85)=3,VLOOKUP('CĐPS_TH&amp;CT'!A85,HTTK1!$A$5:$F$80,3,0),VLOOKUP('CĐPS_TH&amp;CT'!A85,DMTK!$B$5:$Q$263,3,0))</f>
        <v>Bàn chữ nhật</v>
      </c>
      <c r="C85" s="69">
        <f>IF(LEN(A85)=3,VLOOKUP(A85,HTTK1!$A$5:$F$80,5,0),VLOOKUP('CĐPS_TH&amp;CT'!A85,DMTK!$B$5:$Q$263,10,0))</f>
        <v>22000000</v>
      </c>
      <c r="D85" s="69">
        <f>IF(LEN(A85)=3,VLOOKUP(A85,HTTK1!$A$5:$F$80,6,0),VLOOKUP('CĐPS_TH&amp;CT'!A85,DMTK!$B$5:$Q$263,11,0))</f>
        <v>0</v>
      </c>
      <c r="E85" s="69">
        <f>SUMIFS(CT!$H$5:$H$143,CT!$D$5:$D$143,'CĐPS_TH&amp;CT'!A85&amp;"*")</f>
        <v>48800000</v>
      </c>
      <c r="F85" s="69">
        <f>SUMIFS(CT!$H$5:$H$143,CT!$E$5:$E$143,'CĐPS_TH&amp;CT'!A85&amp;"*")</f>
        <v>0</v>
      </c>
      <c r="G85" s="69">
        <f t="shared" si="2"/>
        <v>70800000</v>
      </c>
      <c r="H85" s="69">
        <f t="shared" si="3"/>
        <v>0</v>
      </c>
    </row>
    <row r="86" spans="1:8" x14ac:dyDescent="0.25">
      <c r="A86" s="93" t="str">
        <f>[3]Sheet3!A85</f>
        <v>155</v>
      </c>
      <c r="B86" s="65" t="str">
        <f>IF(LEN(A86)=3,VLOOKUP('CĐPS_TH&amp;CT'!A86,HTTK1!$A$5:$F$80,3,0),VLOOKUP('CĐPS_TH&amp;CT'!A86,DMTK!$B$5:$Q$263,3,0))</f>
        <v>Thành phẩm</v>
      </c>
      <c r="C86" s="69">
        <f>IF(LEN(A86)=3,VLOOKUP(A86,HTTK1!$A$5:$F$80,5,0),VLOOKUP('CĐPS_TH&amp;CT'!A86,DMTK!$B$5:$Q$263,10,0))</f>
        <v>246500000</v>
      </c>
      <c r="D86" s="69">
        <f>IF(LEN(A86)=3,VLOOKUP(A86,HTTK1!$A$5:$F$80,6,0),VLOOKUP('CĐPS_TH&amp;CT'!A86,DMTK!$B$5:$Q$263,11,0))</f>
        <v>0</v>
      </c>
      <c r="E86" s="69">
        <f>SUMIFS(CT!$H$5:$H$143,CT!$D$5:$D$143,'CĐPS_TH&amp;CT'!A86&amp;"*")</f>
        <v>225360000</v>
      </c>
      <c r="F86" s="69">
        <f>SUMIFS(CT!$H$5:$H$143,CT!$E$5:$E$143,'CĐPS_TH&amp;CT'!A86&amp;"*")</f>
        <v>70469900</v>
      </c>
      <c r="G86" s="69">
        <f t="shared" si="2"/>
        <v>401390100</v>
      </c>
      <c r="H86" s="69">
        <f t="shared" si="3"/>
        <v>0</v>
      </c>
    </row>
    <row r="87" spans="1:8" x14ac:dyDescent="0.25">
      <c r="A87" s="93" t="str">
        <f>[3]Sheet3!A86</f>
        <v>1551.0101</v>
      </c>
      <c r="B87" s="65" t="str">
        <f>IF(LEN(A87)=3,VLOOKUP('CĐPS_TH&amp;CT'!A87,HTTK1!$A$5:$F$80,3,0),VLOOKUP('CĐPS_TH&amp;CT'!A87,DMTK!$B$5:$Q$263,3,0))</f>
        <v>Ghế tay vịn</v>
      </c>
      <c r="C87" s="69">
        <f>IF(LEN(A87)=3,VLOOKUP(A87,HTTK1!$A$5:$F$80,5,0),VLOOKUP('CĐPS_TH&amp;CT'!A87,DMTK!$B$5:$Q$263,10,0))</f>
        <v>62500000</v>
      </c>
      <c r="D87" s="69">
        <f>IF(LEN(A87)=3,VLOOKUP(A87,HTTK1!$A$5:$F$80,6,0),VLOOKUP('CĐPS_TH&amp;CT'!A87,DMTK!$B$5:$Q$263,11,0))</f>
        <v>0</v>
      </c>
      <c r="E87" s="69">
        <f>SUMIFS(CT!$H$5:$H$143,CT!$D$5:$D$143,'CĐPS_TH&amp;CT'!A87&amp;"*")</f>
        <v>102060000</v>
      </c>
      <c r="F87" s="69">
        <f>SUMIFS(CT!$H$5:$H$143,CT!$E$5:$E$143,'CĐPS_TH&amp;CT'!A87&amp;"*")</f>
        <v>25123700</v>
      </c>
      <c r="G87" s="69">
        <f t="shared" si="2"/>
        <v>139436300</v>
      </c>
      <c r="H87" s="69">
        <f t="shared" si="3"/>
        <v>0</v>
      </c>
    </row>
    <row r="88" spans="1:8" x14ac:dyDescent="0.25">
      <c r="A88" s="93" t="str">
        <f>[3]Sheet3!A87</f>
        <v>1551.0102</v>
      </c>
      <c r="B88" s="65" t="str">
        <f>IF(LEN(A88)=3,VLOOKUP('CĐPS_TH&amp;CT'!A88,HTTK1!$A$5:$F$80,3,0),VLOOKUP('CĐPS_TH&amp;CT'!A88,DMTK!$B$5:$Q$263,3,0))</f>
        <v>Ghế không tay</v>
      </c>
      <c r="C88" s="69">
        <f>IF(LEN(A88)=3,VLOOKUP(A88,HTTK1!$A$5:$F$80,5,0),VLOOKUP('CĐPS_TH&amp;CT'!A88,DMTK!$B$5:$Q$263,10,0))</f>
        <v>44000000</v>
      </c>
      <c r="D88" s="69">
        <f>IF(LEN(A88)=3,VLOOKUP(A88,HTTK1!$A$5:$F$80,6,0),VLOOKUP('CĐPS_TH&amp;CT'!A88,DMTK!$B$5:$Q$263,11,0))</f>
        <v>0</v>
      </c>
      <c r="E88" s="69">
        <f>SUMIFS(CT!$H$5:$H$143,CT!$D$5:$D$143,'CĐPS_TH&amp;CT'!A88&amp;"*")</f>
        <v>61800000</v>
      </c>
      <c r="F88" s="69">
        <f>SUMIFS(CT!$H$5:$H$143,CT!$E$5:$E$143,'CĐPS_TH&amp;CT'!A88&amp;"*")</f>
        <v>20346200</v>
      </c>
      <c r="G88" s="69">
        <f t="shared" si="2"/>
        <v>85453800</v>
      </c>
      <c r="H88" s="69">
        <f t="shared" si="3"/>
        <v>0</v>
      </c>
    </row>
    <row r="89" spans="1:8" x14ac:dyDescent="0.25">
      <c r="A89" s="93" t="str">
        <f>[3]Sheet3!A88</f>
        <v>1551.0201</v>
      </c>
      <c r="B89" s="65" t="str">
        <f>IF(LEN(A89)=3,VLOOKUP('CĐPS_TH&amp;CT'!A89,HTTK1!$A$5:$F$80,3,0),VLOOKUP('CĐPS_TH&amp;CT'!A89,DMTK!$B$5:$Q$263,3,0))</f>
        <v>Bàn tròn</v>
      </c>
      <c r="C89" s="69">
        <f>IF(LEN(A89)=3,VLOOKUP(A89,HTTK1!$A$5:$F$80,5,0),VLOOKUP('CĐPS_TH&amp;CT'!A89,DMTK!$B$5:$Q$263,10,0))</f>
        <v>45000000</v>
      </c>
      <c r="D89" s="69">
        <f>IF(LEN(A89)=3,VLOOKUP(A89,HTTK1!$A$5:$F$80,6,0),VLOOKUP('CĐPS_TH&amp;CT'!A89,DMTK!$B$5:$Q$263,11,0))</f>
        <v>0</v>
      </c>
      <c r="E89" s="69">
        <f>SUMIFS(CT!$H$5:$H$143,CT!$D$5:$D$143,'CĐPS_TH&amp;CT'!A89&amp;"*")</f>
        <v>61500000</v>
      </c>
      <c r="F89" s="69">
        <f>SUMIFS(CT!$H$5:$H$143,CT!$E$5:$E$143,'CĐPS_TH&amp;CT'!A89&amp;"*")</f>
        <v>0</v>
      </c>
      <c r="G89" s="69">
        <f t="shared" si="2"/>
        <v>106500000</v>
      </c>
      <c r="H89" s="69">
        <f t="shared" si="3"/>
        <v>0</v>
      </c>
    </row>
    <row r="90" spans="1:8" x14ac:dyDescent="0.25">
      <c r="A90" s="93" t="str">
        <f>[3]Sheet3!A89</f>
        <v>1551.0202</v>
      </c>
      <c r="B90" s="65" t="str">
        <f>IF(LEN(A90)=3,VLOOKUP('CĐPS_TH&amp;CT'!A90,HTTK1!$A$5:$F$80,3,0),VLOOKUP('CĐPS_TH&amp;CT'!A90,DMTK!$B$5:$Q$263,3,0))</f>
        <v>Bàn oval</v>
      </c>
      <c r="C90" s="69">
        <f>IF(LEN(A90)=3,VLOOKUP(A90,HTTK1!$A$5:$F$80,5,0),VLOOKUP('CĐPS_TH&amp;CT'!A90,DMTK!$B$5:$Q$263,10,0))</f>
        <v>25000000</v>
      </c>
      <c r="D90" s="69">
        <f>IF(LEN(A90)=3,VLOOKUP(A90,HTTK1!$A$5:$F$80,6,0),VLOOKUP('CĐPS_TH&amp;CT'!A90,DMTK!$B$5:$Q$263,11,0))</f>
        <v>0</v>
      </c>
      <c r="E90" s="69">
        <f>SUMIFS(CT!$H$5:$H$143,CT!$D$5:$D$143,'CĐPS_TH&amp;CT'!A90&amp;"*")</f>
        <v>0</v>
      </c>
      <c r="F90" s="69">
        <f>SUMIFS(CT!$H$5:$H$143,CT!$E$5:$E$143,'CĐPS_TH&amp;CT'!A90&amp;"*")</f>
        <v>25000000</v>
      </c>
      <c r="G90" s="69">
        <f t="shared" si="2"/>
        <v>0</v>
      </c>
      <c r="H90" s="69">
        <f t="shared" si="3"/>
        <v>0</v>
      </c>
    </row>
    <row r="91" spans="1:8" x14ac:dyDescent="0.25">
      <c r="A91" s="93" t="str">
        <f>[3]Sheet3!A90</f>
        <v>1551.0203</v>
      </c>
      <c r="B91" s="65" t="str">
        <f>IF(LEN(A91)=3,VLOOKUP('CĐPS_TH&amp;CT'!A91,HTTK1!$A$5:$F$80,3,0),VLOOKUP('CĐPS_TH&amp;CT'!A91,DMTK!$B$5:$Q$263,3,0))</f>
        <v>Bàn chữ nhật</v>
      </c>
      <c r="C91" s="69">
        <f>IF(LEN(A91)=3,VLOOKUP(A91,HTTK1!$A$5:$F$80,5,0),VLOOKUP('CĐPS_TH&amp;CT'!A91,DMTK!$B$5:$Q$263,10,0))</f>
        <v>70000000</v>
      </c>
      <c r="D91" s="69">
        <f>IF(LEN(A91)=3,VLOOKUP(A91,HTTK1!$A$5:$F$80,6,0),VLOOKUP('CĐPS_TH&amp;CT'!A91,DMTK!$B$5:$Q$263,11,0))</f>
        <v>0</v>
      </c>
      <c r="E91" s="69">
        <f>SUMIFS(CT!$H$5:$H$143,CT!$D$5:$D$143,'CĐPS_TH&amp;CT'!A91&amp;"*")</f>
        <v>0</v>
      </c>
      <c r="F91" s="69">
        <f>SUMIFS(CT!$H$5:$H$143,CT!$E$5:$E$143,'CĐPS_TH&amp;CT'!A91&amp;"*")</f>
        <v>0</v>
      </c>
      <c r="G91" s="69">
        <f t="shared" si="2"/>
        <v>70000000</v>
      </c>
      <c r="H91" s="69">
        <f t="shared" si="3"/>
        <v>0</v>
      </c>
    </row>
    <row r="92" spans="1:8" s="72" customFormat="1" x14ac:dyDescent="0.25">
      <c r="A92" s="128" t="str">
        <f>[3]Sheet3!A91</f>
        <v>156</v>
      </c>
      <c r="B92" s="71" t="str">
        <f>IF(LEN(A92)=3,VLOOKUP('CĐPS_TH&amp;CT'!A92,HTTK1!$A$5:$F$80,3,0),VLOOKUP('CĐPS_TH&amp;CT'!A92,DMTK!$B$5:$Q$263,3,0))</f>
        <v>Hàng hóa</v>
      </c>
      <c r="C92" s="69">
        <f>IF(LEN(A92)=3,VLOOKUP(A92,HTTK1!$A$5:$F$80,5,0),VLOOKUP('CĐPS_TH&amp;CT'!A92,DMTK!$B$5:$Q$263,10,0))</f>
        <v>0</v>
      </c>
      <c r="D92" s="69">
        <f>IF(LEN(A92)=3,VLOOKUP(A92,HTTK1!$A$5:$F$80,6,0),VLOOKUP('CĐPS_TH&amp;CT'!A92,DMTK!$B$5:$Q$263,11,0))</f>
        <v>0</v>
      </c>
      <c r="E92" s="69">
        <f>SUMIFS(CT!$H$5:$H$143,CT!$D$5:$D$143,'CĐPS_TH&amp;CT'!A92&amp;"*")</f>
        <v>0</v>
      </c>
      <c r="F92" s="69">
        <f>SUMIFS(CT!$H$5:$H$143,CT!$E$5:$E$143,'CĐPS_TH&amp;CT'!A92&amp;"*")</f>
        <v>0</v>
      </c>
      <c r="G92" s="69">
        <f t="shared" si="2"/>
        <v>0</v>
      </c>
      <c r="H92" s="69">
        <f t="shared" si="3"/>
        <v>0</v>
      </c>
    </row>
    <row r="93" spans="1:8" x14ac:dyDescent="0.25">
      <c r="A93" s="93" t="str">
        <f>[3]Sheet3!A92</f>
        <v>1561</v>
      </c>
      <c r="B93" s="65" t="str">
        <f>IF(LEN(A93)=3,VLOOKUP('CĐPS_TH&amp;CT'!A93,HTTK1!$A$5:$F$80,3,0),VLOOKUP('CĐPS_TH&amp;CT'!A93,DMTK!$B$5:$Q$263,3,0))</f>
        <v>Giá mua hàng hóa</v>
      </c>
      <c r="C93" s="69">
        <f>IF(LEN(A93)=3,VLOOKUP(A93,HTTK1!$A$5:$F$80,5,0),VLOOKUP('CĐPS_TH&amp;CT'!A93,DMTK!$B$5:$Q$263,10,0))</f>
        <v>0</v>
      </c>
      <c r="D93" s="69">
        <f>IF(LEN(A93)=3,VLOOKUP(A93,HTTK1!$A$5:$F$80,6,0),VLOOKUP('CĐPS_TH&amp;CT'!A93,DMTK!$B$5:$Q$263,11,0))</f>
        <v>0</v>
      </c>
      <c r="E93" s="69">
        <f>SUMIFS(CT!$H$5:$H$143,CT!$D$5:$D$143,'CĐPS_TH&amp;CT'!A93&amp;"*")</f>
        <v>0</v>
      </c>
      <c r="F93" s="69">
        <f>SUMIFS(CT!$H$5:$H$143,CT!$E$5:$E$143,'CĐPS_TH&amp;CT'!A93&amp;"*")</f>
        <v>0</v>
      </c>
      <c r="G93" s="69">
        <f t="shared" si="2"/>
        <v>0</v>
      </c>
      <c r="H93" s="69">
        <f t="shared" si="3"/>
        <v>0</v>
      </c>
    </row>
    <row r="94" spans="1:8" x14ac:dyDescent="0.25">
      <c r="A94" s="93" t="str">
        <f>[3]Sheet3!A93</f>
        <v>1562</v>
      </c>
      <c r="B94" s="65" t="str">
        <f>IF(LEN(A94)=3,VLOOKUP('CĐPS_TH&amp;CT'!A94,HTTK1!$A$5:$F$80,3,0),VLOOKUP('CĐPS_TH&amp;CT'!A94,DMTK!$B$5:$Q$263,3,0))</f>
        <v>Chi phí thu mua hàng hóa</v>
      </c>
      <c r="C94" s="69">
        <f>IF(LEN(A94)=3,VLOOKUP(A94,HTTK1!$A$5:$F$80,5,0),VLOOKUP('CĐPS_TH&amp;CT'!A94,DMTK!$B$5:$Q$263,10,0))</f>
        <v>0</v>
      </c>
      <c r="D94" s="69">
        <f>IF(LEN(A94)=3,VLOOKUP(A94,HTTK1!$A$5:$F$80,6,0),VLOOKUP('CĐPS_TH&amp;CT'!A94,DMTK!$B$5:$Q$263,11,0))</f>
        <v>0</v>
      </c>
      <c r="E94" s="69">
        <f>SUMIFS(CT!$H$5:$H$143,CT!$D$5:$D$143,'CĐPS_TH&amp;CT'!A94&amp;"*")</f>
        <v>0</v>
      </c>
      <c r="F94" s="69">
        <f>SUMIFS(CT!$H$5:$H$143,CT!$E$5:$E$143,'CĐPS_TH&amp;CT'!A94&amp;"*")</f>
        <v>0</v>
      </c>
      <c r="G94" s="69">
        <f t="shared" si="2"/>
        <v>0</v>
      </c>
      <c r="H94" s="69">
        <f t="shared" si="3"/>
        <v>0</v>
      </c>
    </row>
    <row r="95" spans="1:8" x14ac:dyDescent="0.25">
      <c r="A95" s="93" t="str">
        <f>[3]Sheet3!A94</f>
        <v>1567</v>
      </c>
      <c r="B95" s="65" t="str">
        <f>IF(LEN(A95)=3,VLOOKUP('CĐPS_TH&amp;CT'!A95,HTTK1!$A$5:$F$80,3,0),VLOOKUP('CĐPS_TH&amp;CT'!A95,DMTK!$B$5:$Q$263,3,0))</f>
        <v>Hàng hóa bất động sản</v>
      </c>
      <c r="C95" s="69">
        <f>IF(LEN(A95)=3,VLOOKUP(A95,HTTK1!$A$5:$F$80,5,0),VLOOKUP('CĐPS_TH&amp;CT'!A95,DMTK!$B$5:$Q$263,10,0))</f>
        <v>0</v>
      </c>
      <c r="D95" s="69">
        <f>IF(LEN(A95)=3,VLOOKUP(A95,HTTK1!$A$5:$F$80,6,0),VLOOKUP('CĐPS_TH&amp;CT'!A95,DMTK!$B$5:$Q$263,11,0))</f>
        <v>0</v>
      </c>
      <c r="E95" s="69">
        <f>SUMIFS(CT!$H$5:$H$143,CT!$D$5:$D$143,'CĐPS_TH&amp;CT'!A95&amp;"*")</f>
        <v>0</v>
      </c>
      <c r="F95" s="69">
        <f>SUMIFS(CT!$H$5:$H$143,CT!$E$5:$E$143,'CĐPS_TH&amp;CT'!A95&amp;"*")</f>
        <v>0</v>
      </c>
      <c r="G95" s="69">
        <f t="shared" si="2"/>
        <v>0</v>
      </c>
      <c r="H95" s="69">
        <f t="shared" si="3"/>
        <v>0</v>
      </c>
    </row>
    <row r="96" spans="1:8" s="72" customFormat="1" x14ac:dyDescent="0.25">
      <c r="A96" s="128" t="str">
        <f>[3]Sheet3!A95</f>
        <v>157</v>
      </c>
      <c r="B96" s="71" t="str">
        <f>IF(LEN(A96)=3,VLOOKUP('CĐPS_TH&amp;CT'!A96,HTTK1!$A$5:$F$80,3,0),VLOOKUP('CĐPS_TH&amp;CT'!A96,DMTK!$B$5:$Q$263,3,0))</f>
        <v>Hàng gửi đi bán</v>
      </c>
      <c r="C96" s="69">
        <f>IF(LEN(A96)=3,VLOOKUP(A96,HTTK1!$A$5:$F$80,5,0),VLOOKUP('CĐPS_TH&amp;CT'!A96,DMTK!$B$5:$Q$263,10,0))</f>
        <v>0</v>
      </c>
      <c r="D96" s="69">
        <f>IF(LEN(A96)=3,VLOOKUP(A96,HTTK1!$A$5:$F$80,6,0),VLOOKUP('CĐPS_TH&amp;CT'!A96,DMTK!$B$5:$Q$263,11,0))</f>
        <v>0</v>
      </c>
      <c r="E96" s="69">
        <f>SUMIFS(CT!$H$5:$H$143,CT!$D$5:$D$143,'CĐPS_TH&amp;CT'!A96&amp;"*")</f>
        <v>0</v>
      </c>
      <c r="F96" s="69">
        <f>SUMIFS(CT!$H$5:$H$143,CT!$E$5:$E$143,'CĐPS_TH&amp;CT'!A96&amp;"*")</f>
        <v>0</v>
      </c>
      <c r="G96" s="69">
        <f t="shared" si="2"/>
        <v>0</v>
      </c>
      <c r="H96" s="69">
        <f t="shared" si="3"/>
        <v>0</v>
      </c>
    </row>
    <row r="97" spans="1:8" s="72" customFormat="1" x14ac:dyDescent="0.25">
      <c r="A97" s="128" t="str">
        <f>[3]Sheet3!A96</f>
        <v>158</v>
      </c>
      <c r="B97" s="71" t="str">
        <f>IF(LEN(A97)=3,VLOOKUP('CĐPS_TH&amp;CT'!A97,HTTK1!$A$5:$F$80,3,0),VLOOKUP('CĐPS_TH&amp;CT'!A97,DMTK!$B$5:$Q$263,3,0))</f>
        <v>Hàng hóa kho bảo thuế</v>
      </c>
      <c r="C97" s="69">
        <f>IF(LEN(A97)=3,VLOOKUP(A97,HTTK1!$A$5:$F$80,5,0),VLOOKUP('CĐPS_TH&amp;CT'!A97,DMTK!$B$5:$Q$263,10,0))</f>
        <v>0</v>
      </c>
      <c r="D97" s="69">
        <f>IF(LEN(A97)=3,VLOOKUP(A97,HTTK1!$A$5:$F$80,6,0),VLOOKUP('CĐPS_TH&amp;CT'!A97,DMTK!$B$5:$Q$263,11,0))</f>
        <v>0</v>
      </c>
      <c r="E97" s="69">
        <f>SUMIFS(CT!$H$5:$H$143,CT!$D$5:$D$143,'CĐPS_TH&amp;CT'!A97&amp;"*")</f>
        <v>0</v>
      </c>
      <c r="F97" s="69">
        <f>SUMIFS(CT!$H$5:$H$143,CT!$E$5:$E$143,'CĐPS_TH&amp;CT'!A97&amp;"*")</f>
        <v>0</v>
      </c>
      <c r="G97" s="69">
        <f t="shared" si="2"/>
        <v>0</v>
      </c>
      <c r="H97" s="69">
        <f t="shared" si="3"/>
        <v>0</v>
      </c>
    </row>
    <row r="98" spans="1:8" s="72" customFormat="1" x14ac:dyDescent="0.25">
      <c r="A98" s="128" t="str">
        <f>[3]Sheet3!A97</f>
        <v>161</v>
      </c>
      <c r="B98" s="71" t="str">
        <f>IF(LEN(A98)=3,VLOOKUP('CĐPS_TH&amp;CT'!A98,HTTK1!$A$5:$F$80,3,0),VLOOKUP('CĐPS_TH&amp;CT'!A98,DMTK!$B$5:$Q$263,3,0))</f>
        <v>Chi sự nghiệp</v>
      </c>
      <c r="C98" s="69">
        <f>IF(LEN(A98)=3,VLOOKUP(A98,HTTK1!$A$5:$F$80,5,0),VLOOKUP('CĐPS_TH&amp;CT'!A98,DMTK!$B$5:$Q$263,10,0))</f>
        <v>0</v>
      </c>
      <c r="D98" s="69">
        <f>IF(LEN(A98)=3,VLOOKUP(A98,HTTK1!$A$5:$F$80,6,0),VLOOKUP('CĐPS_TH&amp;CT'!A98,DMTK!$B$5:$Q$263,11,0))</f>
        <v>0</v>
      </c>
      <c r="E98" s="69">
        <f>SUMIFS(CT!$H$5:$H$143,CT!$D$5:$D$143,'CĐPS_TH&amp;CT'!A98&amp;"*")</f>
        <v>0</v>
      </c>
      <c r="F98" s="69">
        <f>SUMIFS(CT!$H$5:$H$143,CT!$E$5:$E$143,'CĐPS_TH&amp;CT'!A98&amp;"*")</f>
        <v>0</v>
      </c>
      <c r="G98" s="69">
        <f t="shared" si="2"/>
        <v>0</v>
      </c>
      <c r="H98" s="69">
        <f t="shared" si="3"/>
        <v>0</v>
      </c>
    </row>
    <row r="99" spans="1:8" x14ac:dyDescent="0.25">
      <c r="A99" s="93" t="str">
        <f>[3]Sheet3!A98</f>
        <v>1611</v>
      </c>
      <c r="B99" s="65" t="str">
        <f>IF(LEN(A99)=3,VLOOKUP('CĐPS_TH&amp;CT'!A99,HTTK1!$A$5:$F$80,3,0),VLOOKUP('CĐPS_TH&amp;CT'!A99,DMTK!$B$5:$Q$263,3,0))</f>
        <v>Chi sự nghiệp năm trước</v>
      </c>
      <c r="C99" s="69">
        <f>IF(LEN(A99)=3,VLOOKUP(A99,HTTK1!$A$5:$F$80,5,0),VLOOKUP('CĐPS_TH&amp;CT'!A99,DMTK!$B$5:$Q$263,10,0))</f>
        <v>0</v>
      </c>
      <c r="D99" s="69">
        <f>IF(LEN(A99)=3,VLOOKUP(A99,HTTK1!$A$5:$F$80,6,0),VLOOKUP('CĐPS_TH&amp;CT'!A99,DMTK!$B$5:$Q$263,11,0))</f>
        <v>0</v>
      </c>
      <c r="E99" s="69">
        <f>SUMIFS(CT!$H$5:$H$143,CT!$D$5:$D$143,'CĐPS_TH&amp;CT'!A99&amp;"*")</f>
        <v>0</v>
      </c>
      <c r="F99" s="69">
        <f>SUMIFS(CT!$H$5:$H$143,CT!$E$5:$E$143,'CĐPS_TH&amp;CT'!A99&amp;"*")</f>
        <v>0</v>
      </c>
      <c r="G99" s="69">
        <f t="shared" si="2"/>
        <v>0</v>
      </c>
      <c r="H99" s="69">
        <f t="shared" si="3"/>
        <v>0</v>
      </c>
    </row>
    <row r="100" spans="1:8" x14ac:dyDescent="0.25">
      <c r="A100" s="93" t="str">
        <f>[3]Sheet3!A99</f>
        <v>1612</v>
      </c>
      <c r="B100" s="65" t="str">
        <f>IF(LEN(A100)=3,VLOOKUP('CĐPS_TH&amp;CT'!A100,HTTK1!$A$5:$F$80,3,0),VLOOKUP('CĐPS_TH&amp;CT'!A100,DMTK!$B$5:$Q$263,3,0))</f>
        <v>Chi sự nghiệp năm nay</v>
      </c>
      <c r="C100" s="69">
        <f>IF(LEN(A100)=3,VLOOKUP(A100,HTTK1!$A$5:$F$80,5,0),VLOOKUP('CĐPS_TH&amp;CT'!A100,DMTK!$B$5:$Q$263,10,0))</f>
        <v>0</v>
      </c>
      <c r="D100" s="69">
        <f>IF(LEN(A100)=3,VLOOKUP(A100,HTTK1!$A$5:$F$80,6,0),VLOOKUP('CĐPS_TH&amp;CT'!A100,DMTK!$B$5:$Q$263,11,0))</f>
        <v>0</v>
      </c>
      <c r="E100" s="69">
        <f>SUMIFS(CT!$H$5:$H$143,CT!$D$5:$D$143,'CĐPS_TH&amp;CT'!A100&amp;"*")</f>
        <v>0</v>
      </c>
      <c r="F100" s="69">
        <f>SUMIFS(CT!$H$5:$H$143,CT!$E$5:$E$143,'CĐPS_TH&amp;CT'!A100&amp;"*")</f>
        <v>0</v>
      </c>
      <c r="G100" s="69">
        <f t="shared" si="2"/>
        <v>0</v>
      </c>
      <c r="H100" s="69">
        <f t="shared" si="3"/>
        <v>0</v>
      </c>
    </row>
    <row r="101" spans="1:8" s="72" customFormat="1" x14ac:dyDescent="0.25">
      <c r="A101" s="128" t="str">
        <f>[3]Sheet3!A100</f>
        <v>171</v>
      </c>
      <c r="B101" s="71" t="str">
        <f>IF(LEN(A101)=3,VLOOKUP('CĐPS_TH&amp;CT'!A101,HTTK1!$A$5:$F$80,3,0),VLOOKUP('CĐPS_TH&amp;CT'!A101,DMTK!$B$5:$Q$263,3,0))</f>
        <v>Giao dịch mua bán lại trái phiếu chính phủ</v>
      </c>
      <c r="C101" s="69">
        <f>IF(LEN(A101)=3,VLOOKUP(A101,HTTK1!$A$5:$F$80,5,0),VLOOKUP('CĐPS_TH&amp;CT'!A101,DMTK!$B$5:$Q$263,10,0))</f>
        <v>0</v>
      </c>
      <c r="D101" s="69">
        <f>IF(LEN(A101)=3,VLOOKUP(A101,HTTK1!$A$5:$F$80,6,0),VLOOKUP('CĐPS_TH&amp;CT'!A101,DMTK!$B$5:$Q$263,11,0))</f>
        <v>0</v>
      </c>
      <c r="E101" s="69">
        <f>SUMIFS(CT!$H$5:$H$143,CT!$D$5:$D$143,'CĐPS_TH&amp;CT'!A101&amp;"*")</f>
        <v>0</v>
      </c>
      <c r="F101" s="69">
        <f>SUMIFS(CT!$H$5:$H$143,CT!$E$5:$E$143,'CĐPS_TH&amp;CT'!A101&amp;"*")</f>
        <v>0</v>
      </c>
      <c r="G101" s="69">
        <f t="shared" si="2"/>
        <v>0</v>
      </c>
      <c r="H101" s="69">
        <f t="shared" si="3"/>
        <v>0</v>
      </c>
    </row>
    <row r="102" spans="1:8" s="72" customFormat="1" x14ac:dyDescent="0.25">
      <c r="A102" s="128" t="str">
        <f>[3]Sheet3!A101</f>
        <v>211</v>
      </c>
      <c r="B102" s="71" t="str">
        <f>IF(LEN(A102)=3,VLOOKUP('CĐPS_TH&amp;CT'!A102,HTTK1!$A$5:$F$80,3,0),VLOOKUP('CĐPS_TH&amp;CT'!A102,DMTK!$B$5:$Q$263,3,0))</f>
        <v>Tài sản cố định hữu hình</v>
      </c>
      <c r="C102" s="69">
        <f>IF(LEN(A102)=3,VLOOKUP(A102,HTTK1!$A$5:$F$80,5,0),VLOOKUP('CĐPS_TH&amp;CT'!A102,DMTK!$B$5:$Q$263,10,0))</f>
        <v>933779000</v>
      </c>
      <c r="D102" s="69">
        <f>IF(LEN(A102)=3,VLOOKUP(A102,HTTK1!$A$5:$F$80,6,0),VLOOKUP('CĐPS_TH&amp;CT'!A102,DMTK!$B$5:$Q$263,11,0))</f>
        <v>0</v>
      </c>
      <c r="E102" s="69">
        <f>SUMIFS(CT!$H$5:$H$143,CT!$D$5:$D$143,'CĐPS_TH&amp;CT'!A102&amp;"*")</f>
        <v>140000000</v>
      </c>
      <c r="F102" s="69">
        <f>SUMIFS(CT!$H$5:$H$143,CT!$E$5:$E$143,'CĐPS_TH&amp;CT'!A102&amp;"*")</f>
        <v>0</v>
      </c>
      <c r="G102" s="69">
        <f t="shared" si="2"/>
        <v>1073779000</v>
      </c>
      <c r="H102" s="69">
        <f t="shared" si="3"/>
        <v>0</v>
      </c>
    </row>
    <row r="103" spans="1:8" x14ac:dyDescent="0.25">
      <c r="A103" s="93" t="str">
        <f>[3]Sheet3!A102</f>
        <v>2111</v>
      </c>
      <c r="B103" s="65" t="str">
        <f>IF(LEN(A103)=3,VLOOKUP('CĐPS_TH&amp;CT'!A103,HTTK1!$A$5:$F$80,3,0),VLOOKUP('CĐPS_TH&amp;CT'!A103,DMTK!$B$5:$Q$263,3,0))</f>
        <v>Nhà cửa, vật kiến trúc</v>
      </c>
      <c r="C103" s="69">
        <f>IF(LEN(A103)=3,VLOOKUP(A103,HTTK1!$A$5:$F$80,5,0),VLOOKUP('CĐPS_TH&amp;CT'!A103,DMTK!$B$5:$Q$263,10,0))</f>
        <v>200000000</v>
      </c>
      <c r="D103" s="69">
        <f>IF(LEN(A103)=3,VLOOKUP(A103,HTTK1!$A$5:$F$80,6,0),VLOOKUP('CĐPS_TH&amp;CT'!A103,DMTK!$B$5:$Q$263,11,0))</f>
        <v>0</v>
      </c>
      <c r="E103" s="69">
        <f>SUMIFS(CT!$H$5:$H$143,CT!$D$5:$D$143,'CĐPS_TH&amp;CT'!A103&amp;"*")</f>
        <v>0</v>
      </c>
      <c r="F103" s="69">
        <f>SUMIFS(CT!$H$5:$H$143,CT!$E$5:$E$143,'CĐPS_TH&amp;CT'!A103&amp;"*")</f>
        <v>0</v>
      </c>
      <c r="G103" s="69">
        <f t="shared" si="2"/>
        <v>200000000</v>
      </c>
      <c r="H103" s="69">
        <f t="shared" si="3"/>
        <v>0</v>
      </c>
    </row>
    <row r="104" spans="1:8" x14ac:dyDescent="0.25">
      <c r="A104" s="93" t="str">
        <f>[3]Sheet3!A103</f>
        <v>2112.02</v>
      </c>
      <c r="B104" s="65" t="str">
        <f>IF(LEN(A104)=3,VLOOKUP('CĐPS_TH&amp;CT'!A104,HTTK1!$A$5:$F$80,3,0),VLOOKUP('CĐPS_TH&amp;CT'!A104,DMTK!$B$5:$Q$263,3,0))</f>
        <v>Máy cắt phôi HITACHI</v>
      </c>
      <c r="C104" s="69">
        <f>IF(LEN(A104)=3,VLOOKUP(A104,HTTK1!$A$5:$F$80,5,0),VLOOKUP('CĐPS_TH&amp;CT'!A104,DMTK!$B$5:$Q$263,10,0))</f>
        <v>188000000</v>
      </c>
      <c r="D104" s="69">
        <f>IF(LEN(A104)=3,VLOOKUP(A104,HTTK1!$A$5:$F$80,6,0),VLOOKUP('CĐPS_TH&amp;CT'!A104,DMTK!$B$5:$Q$263,11,0))</f>
        <v>0</v>
      </c>
      <c r="E104" s="69">
        <f>SUMIFS(CT!$H$5:$H$143,CT!$D$5:$D$143,'CĐPS_TH&amp;CT'!A104&amp;"*")</f>
        <v>0</v>
      </c>
      <c r="F104" s="69">
        <f>SUMIFS(CT!$H$5:$H$143,CT!$E$5:$E$143,'CĐPS_TH&amp;CT'!A104&amp;"*")</f>
        <v>0</v>
      </c>
      <c r="G104" s="69">
        <f t="shared" si="2"/>
        <v>188000000</v>
      </c>
      <c r="H104" s="69">
        <f t="shared" si="3"/>
        <v>0</v>
      </c>
    </row>
    <row r="105" spans="1:8" x14ac:dyDescent="0.25">
      <c r="A105" s="93" t="str">
        <f>[3]Sheet3!A104</f>
        <v>2112.03</v>
      </c>
      <c r="B105" s="65" t="str">
        <f>IF(LEN(A105)=3,VLOOKUP('CĐPS_TH&amp;CT'!A105,HTTK1!$A$5:$F$80,3,0),VLOOKUP('CĐPS_TH&amp;CT'!A105,DMTK!$B$5:$Q$263,3,0))</f>
        <v>Máy phun xi HITACHI</v>
      </c>
      <c r="C105" s="69">
        <f>IF(LEN(A105)=3,VLOOKUP(A105,HTTK1!$A$5:$F$80,5,0),VLOOKUP('CĐPS_TH&amp;CT'!A105,DMTK!$B$5:$Q$263,10,0))</f>
        <v>150000000</v>
      </c>
      <c r="D105" s="69">
        <f>IF(LEN(A105)=3,VLOOKUP(A105,HTTK1!$A$5:$F$80,6,0),VLOOKUP('CĐPS_TH&amp;CT'!A105,DMTK!$B$5:$Q$263,11,0))</f>
        <v>0</v>
      </c>
      <c r="E105" s="69">
        <f>SUMIFS(CT!$H$5:$H$143,CT!$D$5:$D$143,'CĐPS_TH&amp;CT'!A105&amp;"*")</f>
        <v>0</v>
      </c>
      <c r="F105" s="69">
        <f>SUMIFS(CT!$H$5:$H$143,CT!$E$5:$E$143,'CĐPS_TH&amp;CT'!A105&amp;"*")</f>
        <v>0</v>
      </c>
      <c r="G105" s="69">
        <f t="shared" si="2"/>
        <v>150000000</v>
      </c>
      <c r="H105" s="69">
        <f t="shared" si="3"/>
        <v>0</v>
      </c>
    </row>
    <row r="106" spans="1:8" x14ac:dyDescent="0.25">
      <c r="A106" s="93" t="str">
        <f>[3]Sheet3!A105</f>
        <v>2112.04</v>
      </c>
      <c r="B106" s="65" t="str">
        <f>IF(LEN(A106)=3,VLOOKUP('CĐPS_TH&amp;CT'!A106,HTTK1!$A$5:$F$80,3,0),VLOOKUP('CĐPS_TH&amp;CT'!A106,DMTK!$B$5:$Q$263,3,0))</f>
        <v>Máy xẻ gỗ</v>
      </c>
      <c r="C106" s="69">
        <f>IF(LEN(A106)=3,VLOOKUP(A106,HTTK1!$A$5:$F$80,5,0),VLOOKUP('CĐPS_TH&amp;CT'!A106,DMTK!$B$5:$Q$263,10,0))</f>
        <v>0</v>
      </c>
      <c r="D106" s="69">
        <f>IF(LEN(A106)=3,VLOOKUP(A106,HTTK1!$A$5:$F$80,6,0),VLOOKUP('CĐPS_TH&amp;CT'!A106,DMTK!$B$5:$Q$263,11,0))</f>
        <v>0</v>
      </c>
      <c r="E106" s="69">
        <f>SUMIFS(CT!$H$5:$H$143,CT!$D$5:$D$143,'CĐPS_TH&amp;CT'!A106&amp;"*")</f>
        <v>140000000</v>
      </c>
      <c r="F106" s="69">
        <f>SUMIFS(CT!$H$5:$H$143,CT!$E$5:$E$143,'CĐPS_TH&amp;CT'!A106&amp;"*")</f>
        <v>0</v>
      </c>
      <c r="G106" s="69">
        <f t="shared" si="2"/>
        <v>140000000</v>
      </c>
      <c r="H106" s="69">
        <f t="shared" si="3"/>
        <v>0</v>
      </c>
    </row>
    <row r="107" spans="1:8" x14ac:dyDescent="0.25">
      <c r="A107" s="93" t="str">
        <f>[3]Sheet3!A106</f>
        <v>2113</v>
      </c>
      <c r="B107" s="65" t="str">
        <f>IF(LEN(A107)=3,VLOOKUP('CĐPS_TH&amp;CT'!A107,HTTK1!$A$5:$F$80,3,0),VLOOKUP('CĐPS_TH&amp;CT'!A107,DMTK!$B$5:$Q$263,3,0))</f>
        <v>Phương tiện vận tải, truyền dẫn</v>
      </c>
      <c r="C107" s="69">
        <f>IF(LEN(A107)=3,VLOOKUP(A107,HTTK1!$A$5:$F$80,5,0),VLOOKUP('CĐPS_TH&amp;CT'!A107,DMTK!$B$5:$Q$263,10,0))</f>
        <v>220000000</v>
      </c>
      <c r="D107" s="69">
        <f>IF(LEN(A107)=3,VLOOKUP(A107,HTTK1!$A$5:$F$80,6,0),VLOOKUP('CĐPS_TH&amp;CT'!A107,DMTK!$B$5:$Q$263,11,0))</f>
        <v>0</v>
      </c>
      <c r="E107" s="69">
        <f>SUMIFS(CT!$H$5:$H$143,CT!$D$5:$D$143,'CĐPS_TH&amp;CT'!A107&amp;"*")</f>
        <v>0</v>
      </c>
      <c r="F107" s="69">
        <f>SUMIFS(CT!$H$5:$H$143,CT!$E$5:$E$143,'CĐPS_TH&amp;CT'!A107&amp;"*")</f>
        <v>0</v>
      </c>
      <c r="G107" s="69">
        <f t="shared" si="2"/>
        <v>220000000</v>
      </c>
      <c r="H107" s="69">
        <f t="shared" si="3"/>
        <v>0</v>
      </c>
    </row>
    <row r="108" spans="1:8" x14ac:dyDescent="0.25">
      <c r="A108" s="93" t="str">
        <f>[3]Sheet3!A107</f>
        <v>2114.01</v>
      </c>
      <c r="B108" s="65" t="str">
        <f>IF(LEN(A108)=3,VLOOKUP('CĐPS_TH&amp;CT'!A108,HTTK1!$A$5:$F$80,3,0),VLOOKUP('CĐPS_TH&amp;CT'!A108,DMTK!$B$5:$Q$263,3,0))</f>
        <v>Máy vi tính</v>
      </c>
      <c r="C108" s="69">
        <f>IF(LEN(A108)=3,VLOOKUP(A108,HTTK1!$A$5:$F$80,5,0),VLOOKUP('CĐPS_TH&amp;CT'!A108,DMTK!$B$5:$Q$263,10,0))</f>
        <v>50779000</v>
      </c>
      <c r="D108" s="69">
        <f>IF(LEN(A108)=3,VLOOKUP(A108,HTTK1!$A$5:$F$80,6,0),VLOOKUP('CĐPS_TH&amp;CT'!A108,DMTK!$B$5:$Q$263,11,0))</f>
        <v>0</v>
      </c>
      <c r="E108" s="69">
        <f>SUMIFS(CT!$H$5:$H$143,CT!$D$5:$D$143,'CĐPS_TH&amp;CT'!A108&amp;"*")</f>
        <v>0</v>
      </c>
      <c r="F108" s="69">
        <f>SUMIFS(CT!$H$5:$H$143,CT!$E$5:$E$143,'CĐPS_TH&amp;CT'!A108&amp;"*")</f>
        <v>0</v>
      </c>
      <c r="G108" s="69">
        <f t="shared" si="2"/>
        <v>50779000</v>
      </c>
      <c r="H108" s="69">
        <f t="shared" si="3"/>
        <v>0</v>
      </c>
    </row>
    <row r="109" spans="1:8" x14ac:dyDescent="0.25">
      <c r="A109" s="93" t="str">
        <f>[3]Sheet3!A108</f>
        <v>2114.02</v>
      </c>
      <c r="B109" s="65" t="str">
        <f>IF(LEN(A109)=3,VLOOKUP('CĐPS_TH&amp;CT'!A109,HTTK1!$A$5:$F$80,3,0),VLOOKUP('CĐPS_TH&amp;CT'!A109,DMTK!$B$5:$Q$263,3,0))</f>
        <v>Máy photocopy</v>
      </c>
      <c r="C109" s="69">
        <f>IF(LEN(A109)=3,VLOOKUP(A109,HTTK1!$A$5:$F$80,5,0),VLOOKUP('CĐPS_TH&amp;CT'!A109,DMTK!$B$5:$Q$263,10,0))</f>
        <v>125000000</v>
      </c>
      <c r="D109" s="69">
        <f>IF(LEN(A109)=3,VLOOKUP(A109,HTTK1!$A$5:$F$80,6,0),VLOOKUP('CĐPS_TH&amp;CT'!A109,DMTK!$B$5:$Q$263,11,0))</f>
        <v>0</v>
      </c>
      <c r="E109" s="69">
        <f>SUMIFS(CT!$H$5:$H$143,CT!$D$5:$D$143,'CĐPS_TH&amp;CT'!A109&amp;"*")</f>
        <v>0</v>
      </c>
      <c r="F109" s="69">
        <f>SUMIFS(CT!$H$5:$H$143,CT!$E$5:$E$143,'CĐPS_TH&amp;CT'!A109&amp;"*")</f>
        <v>0</v>
      </c>
      <c r="G109" s="69">
        <f t="shared" si="2"/>
        <v>125000000</v>
      </c>
      <c r="H109" s="69">
        <f t="shared" si="3"/>
        <v>0</v>
      </c>
    </row>
    <row r="110" spans="1:8" x14ac:dyDescent="0.25">
      <c r="A110" s="93" t="str">
        <f>[3]Sheet3!A109</f>
        <v>2118</v>
      </c>
      <c r="B110" s="65" t="str">
        <f>IF(LEN(A110)=3,VLOOKUP('CĐPS_TH&amp;CT'!A110,HTTK1!$A$5:$F$80,3,0),VLOOKUP('CĐPS_TH&amp;CT'!A110,DMTK!$B$5:$Q$263,3,0))</f>
        <v>TSCĐ khác</v>
      </c>
      <c r="C110" s="69">
        <f>IF(LEN(A110)=3,VLOOKUP(A110,HTTK1!$A$5:$F$80,5,0),VLOOKUP('CĐPS_TH&amp;CT'!A110,DMTK!$B$5:$Q$263,10,0))</f>
        <v>0</v>
      </c>
      <c r="D110" s="69">
        <f>IF(LEN(A110)=3,VLOOKUP(A110,HTTK1!$A$5:$F$80,6,0),VLOOKUP('CĐPS_TH&amp;CT'!A110,DMTK!$B$5:$Q$263,11,0))</f>
        <v>0</v>
      </c>
      <c r="E110" s="69">
        <f>SUMIFS(CT!$H$5:$H$143,CT!$D$5:$D$143,'CĐPS_TH&amp;CT'!A110&amp;"*")</f>
        <v>0</v>
      </c>
      <c r="F110" s="69">
        <f>SUMIFS(CT!$H$5:$H$143,CT!$E$5:$E$143,'CĐPS_TH&amp;CT'!A110&amp;"*")</f>
        <v>0</v>
      </c>
      <c r="G110" s="69">
        <f t="shared" si="2"/>
        <v>0</v>
      </c>
      <c r="H110" s="69">
        <f t="shared" si="3"/>
        <v>0</v>
      </c>
    </row>
    <row r="111" spans="1:8" s="72" customFormat="1" x14ac:dyDescent="0.25">
      <c r="A111" s="128" t="str">
        <f>[3]Sheet3!A110</f>
        <v>214</v>
      </c>
      <c r="B111" s="71" t="str">
        <f>IF(LEN(A111)=3,VLOOKUP('CĐPS_TH&amp;CT'!A111,HTTK1!$A$5:$F$80,3,0),VLOOKUP('CĐPS_TH&amp;CT'!A111,DMTK!$B$5:$Q$263,3,0))</f>
        <v>Hao mòn tài sản cố định</v>
      </c>
      <c r="C111" s="69">
        <f>IF(LEN(A111)=3,VLOOKUP(A111,HTTK1!$A$5:$F$80,5,0),VLOOKUP('CĐPS_TH&amp;CT'!A111,DMTK!$B$5:$Q$263,10,0))</f>
        <v>0</v>
      </c>
      <c r="D111" s="69">
        <f>IF(LEN(A111)=3,VLOOKUP(A111,HTTK1!$A$5:$F$80,6,0),VLOOKUP('CĐPS_TH&amp;CT'!A111,DMTK!$B$5:$Q$263,11,0))</f>
        <v>90000000</v>
      </c>
      <c r="E111" s="69">
        <f>SUMIFS(CT!$H$5:$H$143,CT!$D$5:$D$143,'CĐPS_TH&amp;CT'!A111&amp;"*")</f>
        <v>0</v>
      </c>
      <c r="F111" s="69">
        <f>SUMIFS(CT!$H$5:$H$143,CT!$E$5:$E$143,'CĐPS_TH&amp;CT'!A111&amp;"*")</f>
        <v>2124999</v>
      </c>
      <c r="G111" s="69">
        <f t="shared" si="2"/>
        <v>0</v>
      </c>
      <c r="H111" s="69">
        <f t="shared" si="3"/>
        <v>92124999</v>
      </c>
    </row>
    <row r="112" spans="1:8" x14ac:dyDescent="0.25">
      <c r="A112" s="93" t="str">
        <f>[3]Sheet3!A111</f>
        <v>2141</v>
      </c>
      <c r="B112" s="65" t="str">
        <f>IF(LEN(A112)=3,VLOOKUP('CĐPS_TH&amp;CT'!A112,HTTK1!$A$5:$F$80,3,0),VLOOKUP('CĐPS_TH&amp;CT'!A112,DMTK!$B$5:$Q$263,3,0))</f>
        <v>Hao mòn TSCĐ hữu hình</v>
      </c>
      <c r="C112" s="69">
        <f>IF(LEN(A112)=3,VLOOKUP(A112,HTTK1!$A$5:$F$80,5,0),VLOOKUP('CĐPS_TH&amp;CT'!A112,DMTK!$B$5:$Q$263,10,0))</f>
        <v>0</v>
      </c>
      <c r="D112" s="69">
        <f>IF(LEN(A112)=3,VLOOKUP(A112,HTTK1!$A$5:$F$80,6,0),VLOOKUP('CĐPS_TH&amp;CT'!A112,DMTK!$B$5:$Q$263,11,0))</f>
        <v>90000000</v>
      </c>
      <c r="E112" s="69">
        <f>SUMIFS(CT!$H$5:$H$143,CT!$D$5:$D$143,'CĐPS_TH&amp;CT'!A112&amp;"*")</f>
        <v>0</v>
      </c>
      <c r="F112" s="69">
        <f>SUMIFS(CT!$H$5:$H$143,CT!$E$5:$E$143,'CĐPS_TH&amp;CT'!A112&amp;"*")</f>
        <v>2124999</v>
      </c>
      <c r="G112" s="69">
        <f t="shared" si="2"/>
        <v>0</v>
      </c>
      <c r="H112" s="69">
        <f t="shared" si="3"/>
        <v>92124999</v>
      </c>
    </row>
    <row r="113" spans="1:8" x14ac:dyDescent="0.25">
      <c r="A113" s="93" t="str">
        <f>[3]Sheet3!A112</f>
        <v>2147</v>
      </c>
      <c r="B113" s="65" t="str">
        <f>IF(LEN(A113)=3,VLOOKUP('CĐPS_TH&amp;CT'!A113,HTTK1!$A$5:$F$80,3,0),VLOOKUP('CĐPS_TH&amp;CT'!A113,DMTK!$B$5:$Q$263,3,0))</f>
        <v>Hao mòn bất động sản đầu tư</v>
      </c>
      <c r="C113" s="69">
        <f>IF(LEN(A113)=3,VLOOKUP(A113,HTTK1!$A$5:$F$80,5,0),VLOOKUP('CĐPS_TH&amp;CT'!A113,DMTK!$B$5:$Q$263,10,0))</f>
        <v>0</v>
      </c>
      <c r="D113" s="69">
        <f>IF(LEN(A113)=3,VLOOKUP(A113,HTTK1!$A$5:$F$80,6,0),VLOOKUP('CĐPS_TH&amp;CT'!A113,DMTK!$B$5:$Q$263,11,0))</f>
        <v>0</v>
      </c>
      <c r="E113" s="69">
        <f>SUMIFS(CT!$H$5:$H$143,CT!$D$5:$D$143,'CĐPS_TH&amp;CT'!A113&amp;"*")</f>
        <v>0</v>
      </c>
      <c r="F113" s="69">
        <f>SUMIFS(CT!$H$5:$H$143,CT!$E$5:$E$143,'CĐPS_TH&amp;CT'!A113&amp;"*")</f>
        <v>0</v>
      </c>
      <c r="G113" s="69">
        <f t="shared" si="2"/>
        <v>0</v>
      </c>
      <c r="H113" s="69">
        <f t="shared" si="3"/>
        <v>0</v>
      </c>
    </row>
    <row r="114" spans="1:8" x14ac:dyDescent="0.25">
      <c r="A114" s="93" t="str">
        <f>[3]Sheet3!A113</f>
        <v>217</v>
      </c>
      <c r="B114" s="65" t="str">
        <f>IF(LEN(A114)=3,VLOOKUP('CĐPS_TH&amp;CT'!A114,HTTK1!$A$5:$F$80,3,0),VLOOKUP('CĐPS_TH&amp;CT'!A114,DMTK!$B$5:$Q$263,3,0))</f>
        <v>Bất động sản đầu tư</v>
      </c>
      <c r="C114" s="69">
        <f>IF(LEN(A114)=3,VLOOKUP(A114,HTTK1!$A$5:$F$80,5,0),VLOOKUP('CĐPS_TH&amp;CT'!A114,DMTK!$B$5:$Q$263,10,0))</f>
        <v>0</v>
      </c>
      <c r="D114" s="69">
        <f>IF(LEN(A114)=3,VLOOKUP(A114,HTTK1!$A$5:$F$80,6,0),VLOOKUP('CĐPS_TH&amp;CT'!A114,DMTK!$B$5:$Q$263,11,0))</f>
        <v>0</v>
      </c>
      <c r="E114" s="69">
        <f>SUMIFS(CT!$H$5:$H$143,CT!$D$5:$D$143,'CĐPS_TH&amp;CT'!A114&amp;"*")</f>
        <v>0</v>
      </c>
      <c r="F114" s="69">
        <f>SUMIFS(CT!$H$5:$H$143,CT!$E$5:$E$143,'CĐPS_TH&amp;CT'!A114&amp;"*")</f>
        <v>0</v>
      </c>
      <c r="G114" s="69">
        <f t="shared" si="2"/>
        <v>0</v>
      </c>
      <c r="H114" s="69">
        <f t="shared" si="3"/>
        <v>0</v>
      </c>
    </row>
    <row r="115" spans="1:8" s="72" customFormat="1" x14ac:dyDescent="0.25">
      <c r="A115" s="128" t="str">
        <f>[3]Sheet3!A114</f>
        <v>221</v>
      </c>
      <c r="B115" s="71" t="str">
        <f>IF(LEN(A115)=3,VLOOKUP('CĐPS_TH&amp;CT'!A115,HTTK1!$A$5:$F$80,3,0),VLOOKUP('CĐPS_TH&amp;CT'!A115,DMTK!$B$5:$Q$263,3,0))</f>
        <v>Đầu tư vào công ty con</v>
      </c>
      <c r="C115" s="69">
        <f>IF(LEN(A115)=3,VLOOKUP(A115,HTTK1!$A$5:$F$80,5,0),VLOOKUP('CĐPS_TH&amp;CT'!A115,DMTK!$B$5:$Q$263,10,0))</f>
        <v>0</v>
      </c>
      <c r="D115" s="69">
        <f>IF(LEN(A115)=3,VLOOKUP(A115,HTTK1!$A$5:$F$80,6,0),VLOOKUP('CĐPS_TH&amp;CT'!A115,DMTK!$B$5:$Q$263,11,0))</f>
        <v>0</v>
      </c>
      <c r="E115" s="69">
        <f>SUMIFS(CT!$H$5:$H$143,CT!$D$5:$D$143,'CĐPS_TH&amp;CT'!A115&amp;"*")</f>
        <v>0</v>
      </c>
      <c r="F115" s="69">
        <f>SUMIFS(CT!$H$5:$H$143,CT!$E$5:$E$143,'CĐPS_TH&amp;CT'!A115&amp;"*")</f>
        <v>0</v>
      </c>
      <c r="G115" s="69">
        <f t="shared" si="2"/>
        <v>0</v>
      </c>
      <c r="H115" s="69">
        <f t="shared" si="3"/>
        <v>0</v>
      </c>
    </row>
    <row r="116" spans="1:8" s="72" customFormat="1" x14ac:dyDescent="0.25">
      <c r="A116" s="128" t="str">
        <f>[3]Sheet3!A115</f>
        <v>222</v>
      </c>
      <c r="B116" s="71" t="str">
        <f>IF(LEN(A116)=3,VLOOKUP('CĐPS_TH&amp;CT'!A116,HTTK1!$A$5:$F$80,3,0),VLOOKUP('CĐPS_TH&amp;CT'!A116,DMTK!$B$5:$Q$263,3,0))</f>
        <v>Đầu tư vào công ty liên doanh, liên kết</v>
      </c>
      <c r="C116" s="69">
        <f>IF(LEN(A116)=3,VLOOKUP(A116,HTTK1!$A$5:$F$80,5,0),VLOOKUP('CĐPS_TH&amp;CT'!A116,DMTK!$B$5:$Q$263,10,0))</f>
        <v>26000000</v>
      </c>
      <c r="D116" s="69">
        <f>IF(LEN(A116)=3,VLOOKUP(A116,HTTK1!$A$5:$F$80,6,0),VLOOKUP('CĐPS_TH&amp;CT'!A116,DMTK!$B$5:$Q$263,11,0))</f>
        <v>0</v>
      </c>
      <c r="E116" s="69">
        <f>SUMIFS(CT!$H$5:$H$143,CT!$D$5:$D$143,'CĐPS_TH&amp;CT'!A116&amp;"*")</f>
        <v>0</v>
      </c>
      <c r="F116" s="69">
        <f>SUMIFS(CT!$H$5:$H$143,CT!$E$5:$E$143,'CĐPS_TH&amp;CT'!A116&amp;"*")</f>
        <v>0</v>
      </c>
      <c r="G116" s="69">
        <f t="shared" si="2"/>
        <v>26000000</v>
      </c>
      <c r="H116" s="69">
        <f t="shared" si="3"/>
        <v>0</v>
      </c>
    </row>
    <row r="117" spans="1:8" s="72" customFormat="1" x14ac:dyDescent="0.25">
      <c r="A117" s="128" t="str">
        <f>[3]Sheet3!A116</f>
        <v>228</v>
      </c>
      <c r="B117" s="71" t="str">
        <f>IF(LEN(A117)=3,VLOOKUP('CĐPS_TH&amp;CT'!A117,HTTK1!$A$5:$F$80,3,0),VLOOKUP('CĐPS_TH&amp;CT'!A117,DMTK!$B$5:$Q$263,3,0))</f>
        <v>Đầu tư khác</v>
      </c>
      <c r="C117" s="69">
        <f>IF(LEN(A117)=3,VLOOKUP(A117,HTTK1!$A$5:$F$80,5,0),VLOOKUP('CĐPS_TH&amp;CT'!A117,DMTK!$B$5:$Q$263,10,0))</f>
        <v>110000000</v>
      </c>
      <c r="D117" s="69">
        <f>IF(LEN(A117)=3,VLOOKUP(A117,HTTK1!$A$5:$F$80,6,0),VLOOKUP('CĐPS_TH&amp;CT'!A117,DMTK!$B$5:$Q$263,11,0))</f>
        <v>0</v>
      </c>
      <c r="E117" s="69">
        <f>SUMIFS(CT!$H$5:$H$143,CT!$D$5:$D$143,'CĐPS_TH&amp;CT'!A117&amp;"*")</f>
        <v>0</v>
      </c>
      <c r="F117" s="69">
        <f>SUMIFS(CT!$H$5:$H$143,CT!$E$5:$E$143,'CĐPS_TH&amp;CT'!A117&amp;"*")</f>
        <v>0</v>
      </c>
      <c r="G117" s="69">
        <f t="shared" si="2"/>
        <v>110000000</v>
      </c>
      <c r="H117" s="69">
        <f t="shared" si="3"/>
        <v>0</v>
      </c>
    </row>
    <row r="118" spans="1:8" x14ac:dyDescent="0.25">
      <c r="A118" s="93" t="str">
        <f>[3]Sheet3!A117</f>
        <v>2281</v>
      </c>
      <c r="B118" s="65" t="str">
        <f>IF(LEN(A118)=3,VLOOKUP('CĐPS_TH&amp;CT'!A118,HTTK1!$A$5:$F$80,3,0),VLOOKUP('CĐPS_TH&amp;CT'!A118,DMTK!$B$5:$Q$263,3,0))</f>
        <v>Đầu tư góp vốn vào đơn vị khác</v>
      </c>
      <c r="C118" s="69">
        <f>IF(LEN(A118)=3,VLOOKUP(A118,HTTK1!$A$5:$F$80,5,0),VLOOKUP('CĐPS_TH&amp;CT'!A118,DMTK!$B$5:$Q$263,10,0))</f>
        <v>80000000</v>
      </c>
      <c r="D118" s="69">
        <f>IF(LEN(A118)=3,VLOOKUP(A118,HTTK1!$A$5:$F$80,6,0),VLOOKUP('CĐPS_TH&amp;CT'!A118,DMTK!$B$5:$Q$263,11,0))</f>
        <v>0</v>
      </c>
      <c r="E118" s="69">
        <f>SUMIFS(CT!$H$5:$H$143,CT!$D$5:$D$143,'CĐPS_TH&amp;CT'!A118&amp;"*")</f>
        <v>0</v>
      </c>
      <c r="F118" s="69">
        <f>SUMIFS(CT!$H$5:$H$143,CT!$E$5:$E$143,'CĐPS_TH&amp;CT'!A118&amp;"*")</f>
        <v>0</v>
      </c>
      <c r="G118" s="69">
        <f t="shared" si="2"/>
        <v>80000000</v>
      </c>
      <c r="H118" s="69">
        <f t="shared" si="3"/>
        <v>0</v>
      </c>
    </row>
    <row r="119" spans="1:8" x14ac:dyDescent="0.25">
      <c r="A119" s="93" t="str">
        <f>[3]Sheet3!A118</f>
        <v>22881</v>
      </c>
      <c r="B119" s="65" t="str">
        <f>IF(LEN(A119)=3,VLOOKUP('CĐPS_TH&amp;CT'!A119,HTTK1!$A$5:$F$80,3,0),VLOOKUP('CĐPS_TH&amp;CT'!A119,DMTK!$B$5:$Q$263,3,0))</f>
        <v>Đầu tư khác</v>
      </c>
      <c r="C119" s="69">
        <f>IF(LEN(A119)=3,VLOOKUP(A119,HTTK1!$A$5:$F$80,5,0),VLOOKUP('CĐPS_TH&amp;CT'!A119,DMTK!$B$5:$Q$263,10,0))</f>
        <v>30000000</v>
      </c>
      <c r="D119" s="69">
        <f>IF(LEN(A119)=3,VLOOKUP(A119,HTTK1!$A$5:$F$80,6,0),VLOOKUP('CĐPS_TH&amp;CT'!A119,DMTK!$B$5:$Q$263,11,0))</f>
        <v>0</v>
      </c>
      <c r="E119" s="69">
        <f>SUMIFS(CT!$H$5:$H$143,CT!$D$5:$D$143,'CĐPS_TH&amp;CT'!A119&amp;"*")</f>
        <v>0</v>
      </c>
      <c r="F119" s="69">
        <f>SUMIFS(CT!$H$5:$H$143,CT!$E$5:$E$143,'CĐPS_TH&amp;CT'!A119&amp;"*")</f>
        <v>0</v>
      </c>
      <c r="G119" s="69">
        <f t="shared" si="2"/>
        <v>30000000</v>
      </c>
      <c r="H119" s="69">
        <f t="shared" si="3"/>
        <v>0</v>
      </c>
    </row>
    <row r="120" spans="1:8" s="72" customFormat="1" x14ac:dyDescent="0.25">
      <c r="A120" s="128" t="str">
        <f>[3]Sheet3!A119</f>
        <v>229</v>
      </c>
      <c r="B120" s="71" t="str">
        <f>IF(LEN(A120)=3,VLOOKUP('CĐPS_TH&amp;CT'!A120,HTTK1!$A$5:$F$80,3,0),VLOOKUP('CĐPS_TH&amp;CT'!A120,DMTK!$B$5:$Q$263,3,0))</f>
        <v>Dự phòng tổn thất tài sản</v>
      </c>
      <c r="C120" s="69">
        <f>IF(LEN(A120)=3,VLOOKUP(A120,HTTK1!$A$5:$F$80,5,0),VLOOKUP('CĐPS_TH&amp;CT'!A120,DMTK!$B$5:$Q$263,10,0))</f>
        <v>0</v>
      </c>
      <c r="D120" s="69">
        <f>IF(LEN(A120)=3,VLOOKUP(A120,HTTK1!$A$5:$F$80,6,0),VLOOKUP('CĐPS_TH&amp;CT'!A120,DMTK!$B$5:$Q$263,11,0))</f>
        <v>110000000</v>
      </c>
      <c r="E120" s="69">
        <f>SUMIFS(CT!$H$5:$H$143,CT!$D$5:$D$143,'CĐPS_TH&amp;CT'!A120&amp;"*")</f>
        <v>0</v>
      </c>
      <c r="F120" s="69">
        <f>SUMIFS(CT!$H$5:$H$143,CT!$E$5:$E$143,'CĐPS_TH&amp;CT'!A120&amp;"*")</f>
        <v>0</v>
      </c>
      <c r="G120" s="69">
        <f t="shared" si="2"/>
        <v>0</v>
      </c>
      <c r="H120" s="69">
        <f t="shared" si="3"/>
        <v>110000000</v>
      </c>
    </row>
    <row r="121" spans="1:8" x14ac:dyDescent="0.25">
      <c r="A121" s="93" t="str">
        <f>[3]Sheet3!A120</f>
        <v>2291</v>
      </c>
      <c r="B121" s="65" t="str">
        <f>IF(LEN(A121)=3,VLOOKUP('CĐPS_TH&amp;CT'!A121,HTTK1!$A$5:$F$80,3,0),VLOOKUP('CĐPS_TH&amp;CT'!A121,DMTK!$B$5:$Q$263,3,0))</f>
        <v>Dự phòng giảm giá chứng khoán kinh doanh</v>
      </c>
      <c r="C121" s="69">
        <f>IF(LEN(A121)=3,VLOOKUP(A121,HTTK1!$A$5:$F$80,5,0),VLOOKUP('CĐPS_TH&amp;CT'!A121,DMTK!$B$5:$Q$263,10,0))</f>
        <v>0</v>
      </c>
      <c r="D121" s="69">
        <f>IF(LEN(A121)=3,VLOOKUP(A121,HTTK1!$A$5:$F$80,6,0),VLOOKUP('CĐPS_TH&amp;CT'!A121,DMTK!$B$5:$Q$263,11,0))</f>
        <v>0</v>
      </c>
      <c r="E121" s="69">
        <f>SUMIFS(CT!$H$5:$H$143,CT!$D$5:$D$143,'CĐPS_TH&amp;CT'!A121&amp;"*")</f>
        <v>0</v>
      </c>
      <c r="F121" s="69">
        <f>SUMIFS(CT!$H$5:$H$143,CT!$E$5:$E$143,'CĐPS_TH&amp;CT'!A121&amp;"*")</f>
        <v>0</v>
      </c>
      <c r="G121" s="69">
        <f t="shared" si="2"/>
        <v>0</v>
      </c>
      <c r="H121" s="69">
        <f t="shared" si="3"/>
        <v>0</v>
      </c>
    </row>
    <row r="122" spans="1:8" x14ac:dyDescent="0.25">
      <c r="A122" s="93" t="str">
        <f>[3]Sheet3!A121</f>
        <v>2292</v>
      </c>
      <c r="B122" s="65" t="str">
        <f>IF(LEN(A122)=3,VLOOKUP('CĐPS_TH&amp;CT'!A122,HTTK1!$A$5:$F$80,3,0),VLOOKUP('CĐPS_TH&amp;CT'!A122,DMTK!$B$5:$Q$263,3,0))</f>
        <v>Dự phòng tổn thất đầu tư vào đơn vị khác</v>
      </c>
      <c r="C122" s="69">
        <f>IF(LEN(A122)=3,VLOOKUP(A122,HTTK1!$A$5:$F$80,5,0),VLOOKUP('CĐPS_TH&amp;CT'!A122,DMTK!$B$5:$Q$263,10,0))</f>
        <v>0</v>
      </c>
      <c r="D122" s="69">
        <f>IF(LEN(A122)=3,VLOOKUP(A122,HTTK1!$A$5:$F$80,6,0),VLOOKUP('CĐPS_TH&amp;CT'!A122,DMTK!$B$5:$Q$263,11,0))</f>
        <v>0</v>
      </c>
      <c r="E122" s="69">
        <f>SUMIFS(CT!$H$5:$H$143,CT!$D$5:$D$143,'CĐPS_TH&amp;CT'!A122&amp;"*")</f>
        <v>0</v>
      </c>
      <c r="F122" s="69">
        <f>SUMIFS(CT!$H$5:$H$143,CT!$E$5:$E$143,'CĐPS_TH&amp;CT'!A122&amp;"*")</f>
        <v>0</v>
      </c>
      <c r="G122" s="69">
        <f t="shared" si="2"/>
        <v>0</v>
      </c>
      <c r="H122" s="69">
        <f t="shared" si="3"/>
        <v>0</v>
      </c>
    </row>
    <row r="123" spans="1:8" x14ac:dyDescent="0.25">
      <c r="A123" s="93" t="str">
        <f>[3]Sheet3!A122</f>
        <v>22931</v>
      </c>
      <c r="B123" s="65" t="str">
        <f>IF(LEN(A123)=3,VLOOKUP('CĐPS_TH&amp;CT'!A123,HTTK1!$A$5:$F$80,3,0),VLOOKUP('CĐPS_TH&amp;CT'!A123,DMTK!$B$5:$Q$263,3,0))</f>
        <v>Dự phòng phải thu khó đòi</v>
      </c>
      <c r="C123" s="69">
        <f>IF(LEN(A123)=3,VLOOKUP(A123,HTTK1!$A$5:$F$80,5,0),VLOOKUP('CĐPS_TH&amp;CT'!A123,DMTK!$B$5:$Q$263,10,0))</f>
        <v>0</v>
      </c>
      <c r="D123" s="69">
        <f>IF(LEN(A123)=3,VLOOKUP(A123,HTTK1!$A$5:$F$80,6,0),VLOOKUP('CĐPS_TH&amp;CT'!A123,DMTK!$B$5:$Q$263,11,0))</f>
        <v>30000000</v>
      </c>
      <c r="E123" s="69">
        <f>SUMIFS(CT!$H$5:$H$143,CT!$D$5:$D$143,'CĐPS_TH&amp;CT'!A123&amp;"*")</f>
        <v>0</v>
      </c>
      <c r="F123" s="69">
        <f>SUMIFS(CT!$H$5:$H$143,CT!$E$5:$E$143,'CĐPS_TH&amp;CT'!A123&amp;"*")</f>
        <v>0</v>
      </c>
      <c r="G123" s="69">
        <f t="shared" si="2"/>
        <v>0</v>
      </c>
      <c r="H123" s="69">
        <f t="shared" si="3"/>
        <v>30000000</v>
      </c>
    </row>
    <row r="124" spans="1:8" x14ac:dyDescent="0.25">
      <c r="A124" s="93" t="str">
        <f>[3]Sheet3!A123</f>
        <v>22932</v>
      </c>
      <c r="B124" s="65" t="str">
        <f>IF(LEN(A124)=3,VLOOKUP('CĐPS_TH&amp;CT'!A124,HTTK1!$A$5:$F$80,3,0),VLOOKUP('CĐPS_TH&amp;CT'!A124,DMTK!$B$5:$Q$263,3,0))</f>
        <v>Dự phòng phải thu khó đòi (dài hạn)</v>
      </c>
      <c r="C124" s="69">
        <f>IF(LEN(A124)=3,VLOOKUP(A124,HTTK1!$A$5:$F$80,5,0),VLOOKUP('CĐPS_TH&amp;CT'!A124,DMTK!$B$5:$Q$263,10,0))</f>
        <v>0</v>
      </c>
      <c r="D124" s="69">
        <f>IF(LEN(A124)=3,VLOOKUP(A124,HTTK1!$A$5:$F$80,6,0),VLOOKUP('CĐPS_TH&amp;CT'!A124,DMTK!$B$5:$Q$263,11,0))</f>
        <v>0</v>
      </c>
      <c r="E124" s="69">
        <f>SUMIFS(CT!$H$5:$H$143,CT!$D$5:$D$143,'CĐPS_TH&amp;CT'!A124&amp;"*")</f>
        <v>0</v>
      </c>
      <c r="F124" s="69">
        <f>SUMIFS(CT!$H$5:$H$143,CT!$E$5:$E$143,'CĐPS_TH&amp;CT'!A124&amp;"*")</f>
        <v>0</v>
      </c>
      <c r="G124" s="69">
        <f t="shared" si="2"/>
        <v>0</v>
      </c>
      <c r="H124" s="69">
        <f t="shared" si="3"/>
        <v>0</v>
      </c>
    </row>
    <row r="125" spans="1:8" x14ac:dyDescent="0.25">
      <c r="A125" s="93" t="str">
        <f>[3]Sheet3!A124</f>
        <v>2294</v>
      </c>
      <c r="B125" s="65" t="str">
        <f>IF(LEN(A125)=3,VLOOKUP('CĐPS_TH&amp;CT'!A125,HTTK1!$A$5:$F$80,3,0),VLOOKUP('CĐPS_TH&amp;CT'!A125,DMTK!$B$5:$Q$263,3,0))</f>
        <v>Dự phòng giảm giá hàng tồn kho</v>
      </c>
      <c r="C125" s="69">
        <f>IF(LEN(A125)=3,VLOOKUP(A125,HTTK1!$A$5:$F$80,5,0),VLOOKUP('CĐPS_TH&amp;CT'!A125,DMTK!$B$5:$Q$263,10,0))</f>
        <v>0</v>
      </c>
      <c r="D125" s="69">
        <f>IF(LEN(A125)=3,VLOOKUP(A125,HTTK1!$A$5:$F$80,6,0),VLOOKUP('CĐPS_TH&amp;CT'!A125,DMTK!$B$5:$Q$263,11,0))</f>
        <v>80000000</v>
      </c>
      <c r="E125" s="69">
        <f>SUMIFS(CT!$H$5:$H$143,CT!$D$5:$D$143,'CĐPS_TH&amp;CT'!A125&amp;"*")</f>
        <v>0</v>
      </c>
      <c r="F125" s="69">
        <f>SUMIFS(CT!$H$5:$H$143,CT!$E$5:$E$143,'CĐPS_TH&amp;CT'!A125&amp;"*")</f>
        <v>0</v>
      </c>
      <c r="G125" s="69">
        <f t="shared" si="2"/>
        <v>0</v>
      </c>
      <c r="H125" s="69">
        <f t="shared" si="3"/>
        <v>80000000</v>
      </c>
    </row>
    <row r="126" spans="1:8" s="72" customFormat="1" x14ac:dyDescent="0.25">
      <c r="A126" s="128" t="str">
        <f>[3]Sheet3!A125</f>
        <v>241</v>
      </c>
      <c r="B126" s="71" t="str">
        <f>IF(LEN(A126)=3,VLOOKUP('CĐPS_TH&amp;CT'!A126,HTTK1!$A$5:$F$80,3,0),VLOOKUP('CĐPS_TH&amp;CT'!A126,DMTK!$B$5:$Q$263,3,0))</f>
        <v xml:space="preserve">Xây dựng cơ bản dở dang </v>
      </c>
      <c r="C126" s="69">
        <f>IF(LEN(A126)=3,VLOOKUP(A126,HTTK1!$A$5:$F$80,5,0),VLOOKUP('CĐPS_TH&amp;CT'!A126,DMTK!$B$5:$Q$263,10,0))</f>
        <v>463760000</v>
      </c>
      <c r="D126" s="69">
        <f>IF(LEN(A126)=3,VLOOKUP(A126,HTTK1!$A$5:$F$80,6,0),VLOOKUP('CĐPS_TH&amp;CT'!A126,DMTK!$B$5:$Q$263,11,0))</f>
        <v>0</v>
      </c>
      <c r="E126" s="69">
        <f>SUMIFS(CT!$H$5:$H$143,CT!$D$5:$D$143,'CĐPS_TH&amp;CT'!A126&amp;"*")</f>
        <v>0</v>
      </c>
      <c r="F126" s="69">
        <f>SUMIFS(CT!$H$5:$H$143,CT!$E$5:$E$143,'CĐPS_TH&amp;CT'!A126&amp;"*")</f>
        <v>0</v>
      </c>
      <c r="G126" s="69">
        <f t="shared" si="2"/>
        <v>463760000</v>
      </c>
      <c r="H126" s="69">
        <f t="shared" si="3"/>
        <v>0</v>
      </c>
    </row>
    <row r="127" spans="1:8" x14ac:dyDescent="0.25">
      <c r="A127" s="93" t="str">
        <f>[3]Sheet3!A126</f>
        <v>2411</v>
      </c>
      <c r="B127" s="65" t="str">
        <f>IF(LEN(A127)=3,VLOOKUP('CĐPS_TH&amp;CT'!A127,HTTK1!$A$5:$F$80,3,0),VLOOKUP('CĐPS_TH&amp;CT'!A127,DMTK!$B$5:$Q$263,3,0))</f>
        <v>Mua sắm TSCĐ</v>
      </c>
      <c r="C127" s="69">
        <f>IF(LEN(A127)=3,VLOOKUP(A127,HTTK1!$A$5:$F$80,5,0),VLOOKUP('CĐPS_TH&amp;CT'!A127,DMTK!$B$5:$Q$263,10,0))</f>
        <v>250000000</v>
      </c>
      <c r="D127" s="69">
        <f>IF(LEN(A127)=3,VLOOKUP(A127,HTTK1!$A$5:$F$80,6,0),VLOOKUP('CĐPS_TH&amp;CT'!A127,DMTK!$B$5:$Q$263,11,0))</f>
        <v>0</v>
      </c>
      <c r="E127" s="69">
        <f>SUMIFS(CT!$H$5:$H$143,CT!$D$5:$D$143,'CĐPS_TH&amp;CT'!A127&amp;"*")</f>
        <v>0</v>
      </c>
      <c r="F127" s="69">
        <f>SUMIFS(CT!$H$5:$H$143,CT!$E$5:$E$143,'CĐPS_TH&amp;CT'!A127&amp;"*")</f>
        <v>0</v>
      </c>
      <c r="G127" s="69">
        <f t="shared" si="2"/>
        <v>250000000</v>
      </c>
      <c r="H127" s="69">
        <f t="shared" si="3"/>
        <v>0</v>
      </c>
    </row>
    <row r="128" spans="1:8" x14ac:dyDescent="0.25">
      <c r="A128" s="93" t="str">
        <f>[3]Sheet3!A127</f>
        <v>2412</v>
      </c>
      <c r="B128" s="65" t="str">
        <f>IF(LEN(A128)=3,VLOOKUP('CĐPS_TH&amp;CT'!A128,HTTK1!$A$5:$F$80,3,0),VLOOKUP('CĐPS_TH&amp;CT'!A128,DMTK!$B$5:$Q$263,3,0))</f>
        <v>Xây dựng cơ bản</v>
      </c>
      <c r="C128" s="69">
        <f>IF(LEN(A128)=3,VLOOKUP(A128,HTTK1!$A$5:$F$80,5,0),VLOOKUP('CĐPS_TH&amp;CT'!A128,DMTK!$B$5:$Q$263,10,0))</f>
        <v>213760000</v>
      </c>
      <c r="D128" s="69">
        <f>IF(LEN(A128)=3,VLOOKUP(A128,HTTK1!$A$5:$F$80,6,0),VLOOKUP('CĐPS_TH&amp;CT'!A128,DMTK!$B$5:$Q$263,11,0))</f>
        <v>0</v>
      </c>
      <c r="E128" s="69">
        <f>SUMIFS(CT!$H$5:$H$143,CT!$D$5:$D$143,'CĐPS_TH&amp;CT'!A128&amp;"*")</f>
        <v>0</v>
      </c>
      <c r="F128" s="69">
        <f>SUMIFS(CT!$H$5:$H$143,CT!$E$5:$E$143,'CĐPS_TH&amp;CT'!A128&amp;"*")</f>
        <v>0</v>
      </c>
      <c r="G128" s="69">
        <f t="shared" si="2"/>
        <v>213760000</v>
      </c>
      <c r="H128" s="69">
        <f t="shared" si="3"/>
        <v>0</v>
      </c>
    </row>
    <row r="129" spans="1:8" x14ac:dyDescent="0.25">
      <c r="A129" s="93" t="str">
        <f>[3]Sheet3!A128</f>
        <v>2413</v>
      </c>
      <c r="B129" s="65" t="str">
        <f>IF(LEN(A129)=3,VLOOKUP('CĐPS_TH&amp;CT'!A129,HTTK1!$A$5:$F$80,3,0),VLOOKUP('CĐPS_TH&amp;CT'!A129,DMTK!$B$5:$Q$263,3,0))</f>
        <v>Sửa chữa lớn TSCĐ</v>
      </c>
      <c r="C129" s="69">
        <f>IF(LEN(A129)=3,VLOOKUP(A129,HTTK1!$A$5:$F$80,5,0),VLOOKUP('CĐPS_TH&amp;CT'!A129,DMTK!$B$5:$Q$263,10,0))</f>
        <v>0</v>
      </c>
      <c r="D129" s="69">
        <f>IF(LEN(A129)=3,VLOOKUP(A129,HTTK1!$A$5:$F$80,6,0),VLOOKUP('CĐPS_TH&amp;CT'!A129,DMTK!$B$5:$Q$263,11,0))</f>
        <v>0</v>
      </c>
      <c r="E129" s="69">
        <f>SUMIFS(CT!$H$5:$H$143,CT!$D$5:$D$143,'CĐPS_TH&amp;CT'!A129&amp;"*")</f>
        <v>0</v>
      </c>
      <c r="F129" s="69">
        <f>SUMIFS(CT!$H$5:$H$143,CT!$E$5:$E$143,'CĐPS_TH&amp;CT'!A129&amp;"*")</f>
        <v>0</v>
      </c>
      <c r="G129" s="69">
        <f t="shared" si="2"/>
        <v>0</v>
      </c>
      <c r="H129" s="69">
        <f t="shared" si="3"/>
        <v>0</v>
      </c>
    </row>
    <row r="130" spans="1:8" s="72" customFormat="1" x14ac:dyDescent="0.25">
      <c r="A130" s="128" t="str">
        <f>[3]Sheet3!A129</f>
        <v>242</v>
      </c>
      <c r="B130" s="71" t="str">
        <f>IF(LEN(A130)=3,VLOOKUP('CĐPS_TH&amp;CT'!A130,HTTK1!$A$5:$F$80,3,0),VLOOKUP('CĐPS_TH&amp;CT'!A130,DMTK!$B$5:$Q$263,3,0))</f>
        <v>Chi phí trả trước</v>
      </c>
      <c r="C130" s="69">
        <f>IF(LEN(A130)=3,VLOOKUP(A130,HTTK1!$A$5:$F$80,5,0),VLOOKUP('CĐPS_TH&amp;CT'!A130,DMTK!$B$5:$Q$263,10,0))</f>
        <v>13000000</v>
      </c>
      <c r="D130" s="69">
        <f>IF(LEN(A130)=3,VLOOKUP(A130,HTTK1!$A$5:$F$80,6,0),VLOOKUP('CĐPS_TH&amp;CT'!A130,DMTK!$B$5:$Q$263,11,0))</f>
        <v>0</v>
      </c>
      <c r="E130" s="69">
        <f>SUMIFS(CT!$H$5:$H$143,CT!$D$5:$D$143,'CĐPS_TH&amp;CT'!A130&amp;"*")</f>
        <v>3500000</v>
      </c>
      <c r="F130" s="69">
        <f>SUMIFS(CT!$H$5:$H$143,CT!$E$5:$E$143,'CĐPS_TH&amp;CT'!A130&amp;"*")</f>
        <v>750000</v>
      </c>
      <c r="G130" s="69">
        <f t="shared" si="2"/>
        <v>15750000</v>
      </c>
      <c r="H130" s="69">
        <f t="shared" si="3"/>
        <v>0</v>
      </c>
    </row>
    <row r="131" spans="1:8" x14ac:dyDescent="0.25">
      <c r="A131" s="93" t="str">
        <f>[3]Sheet3!A130</f>
        <v>2421.01</v>
      </c>
      <c r="B131" s="65" t="str">
        <f>IF(LEN(A131)=3,VLOOKUP('CĐPS_TH&amp;CT'!A131,HTTK1!$A$5:$F$80,3,0),VLOOKUP('CĐPS_TH&amp;CT'!A131,DMTK!$B$5:$Q$263,3,0))</f>
        <v>Máy tính Casio (không quá 12 tháng)</v>
      </c>
      <c r="C131" s="69">
        <f>IF(LEN(A131)=3,VLOOKUP(A131,HTTK1!$A$5:$F$80,5,0),VLOOKUP('CĐPS_TH&amp;CT'!A131,DMTK!$B$5:$Q$263,10,0))</f>
        <v>5000000</v>
      </c>
      <c r="D131" s="69">
        <f>IF(LEN(A131)=3,VLOOKUP(A131,HTTK1!$A$5:$F$80,6,0),VLOOKUP('CĐPS_TH&amp;CT'!A131,DMTK!$B$5:$Q$263,11,0))</f>
        <v>0</v>
      </c>
      <c r="E131" s="69">
        <f>SUMIFS(CT!$H$5:$H$143,CT!$D$5:$D$143,'CĐPS_TH&amp;CT'!A131&amp;"*")</f>
        <v>2500000</v>
      </c>
      <c r="F131" s="69">
        <f>SUMIFS(CT!$H$5:$H$143,CT!$E$5:$E$143,'CĐPS_TH&amp;CT'!A131&amp;"*")</f>
        <v>500000</v>
      </c>
      <c r="G131" s="69">
        <f t="shared" si="2"/>
        <v>7000000</v>
      </c>
      <c r="H131" s="69">
        <f t="shared" si="3"/>
        <v>0</v>
      </c>
    </row>
    <row r="132" spans="1:8" x14ac:dyDescent="0.25">
      <c r="A132" s="93" t="str">
        <f>[3]Sheet3!A131</f>
        <v>2421.02</v>
      </c>
      <c r="B132" s="65" t="str">
        <f>IF(LEN(A132)=3,VLOOKUP('CĐPS_TH&amp;CT'!A132,HTTK1!$A$5:$F$80,3,0),VLOOKUP('CĐPS_TH&amp;CT'!A132,DMTK!$B$5:$Q$263,3,0))</f>
        <v>Kệ tủ (không quá 12 tháng)</v>
      </c>
      <c r="C132" s="69">
        <f>IF(LEN(A132)=3,VLOOKUP(A132,HTTK1!$A$5:$F$80,5,0),VLOOKUP('CĐPS_TH&amp;CT'!A132,DMTK!$B$5:$Q$263,10,0))</f>
        <v>8000000</v>
      </c>
      <c r="D132" s="69">
        <f>IF(LEN(A132)=3,VLOOKUP(A132,HTTK1!$A$5:$F$80,6,0),VLOOKUP('CĐPS_TH&amp;CT'!A132,DMTK!$B$5:$Q$263,11,0))</f>
        <v>0</v>
      </c>
      <c r="E132" s="69">
        <f>SUMIFS(CT!$H$5:$H$143,CT!$D$5:$D$143,'CĐPS_TH&amp;CT'!A132&amp;"*")</f>
        <v>1000000</v>
      </c>
      <c r="F132" s="69">
        <f>SUMIFS(CT!$H$5:$H$143,CT!$E$5:$E$143,'CĐPS_TH&amp;CT'!A132&amp;"*")</f>
        <v>250000</v>
      </c>
      <c r="G132" s="69">
        <f t="shared" si="2"/>
        <v>8750000</v>
      </c>
      <c r="H132" s="69">
        <f t="shared" si="3"/>
        <v>0</v>
      </c>
    </row>
    <row r="133" spans="1:8" x14ac:dyDescent="0.25">
      <c r="A133" s="93" t="str">
        <f>[3]Sheet3!A132</f>
        <v>2422.01</v>
      </c>
      <c r="B133" s="65" t="str">
        <f>IF(LEN(A133)=3,VLOOKUP('CĐPS_TH&amp;CT'!A133,HTTK1!$A$5:$F$80,3,0),VLOOKUP('CĐPS_TH&amp;CT'!A133,DMTK!$B$5:$Q$263,3,0))</f>
        <v>Máy tính Casio (trên 12 tháng)</v>
      </c>
      <c r="C133" s="69">
        <f>IF(LEN(A133)=3,VLOOKUP(A133,HTTK1!$A$5:$F$80,5,0),VLOOKUP('CĐPS_TH&amp;CT'!A133,DMTK!$B$5:$Q$263,10,0))</f>
        <v>0</v>
      </c>
      <c r="D133" s="69">
        <f>IF(LEN(A133)=3,VLOOKUP(A133,HTTK1!$A$5:$F$80,6,0),VLOOKUP('CĐPS_TH&amp;CT'!A133,DMTK!$B$5:$Q$263,11,0))</f>
        <v>0</v>
      </c>
      <c r="E133" s="69">
        <f>SUMIFS(CT!$H$5:$H$143,CT!$D$5:$D$143,'CĐPS_TH&amp;CT'!A133&amp;"*")</f>
        <v>0</v>
      </c>
      <c r="F133" s="69">
        <f>SUMIFS(CT!$H$5:$H$143,CT!$E$5:$E$143,'CĐPS_TH&amp;CT'!A133&amp;"*")</f>
        <v>0</v>
      </c>
      <c r="G133" s="69">
        <f t="shared" si="2"/>
        <v>0</v>
      </c>
      <c r="H133" s="69">
        <f t="shared" si="3"/>
        <v>0</v>
      </c>
    </row>
    <row r="134" spans="1:8" x14ac:dyDescent="0.25">
      <c r="A134" s="93" t="str">
        <f>[3]Sheet3!A133</f>
        <v>2422.02</v>
      </c>
      <c r="B134" s="65" t="str">
        <f>IF(LEN(A134)=3,VLOOKUP('CĐPS_TH&amp;CT'!A134,HTTK1!$A$5:$F$80,3,0),VLOOKUP('CĐPS_TH&amp;CT'!A134,DMTK!$B$5:$Q$263,3,0))</f>
        <v>Kệ tủ (trên 12 tháng)</v>
      </c>
      <c r="C134" s="69">
        <f>IF(LEN(A134)=3,VLOOKUP(A134,HTTK1!$A$5:$F$80,5,0),VLOOKUP('CĐPS_TH&amp;CT'!A134,DMTK!$B$5:$Q$263,10,0))</f>
        <v>0</v>
      </c>
      <c r="D134" s="69">
        <f>IF(LEN(A134)=3,VLOOKUP(A134,HTTK1!$A$5:$F$80,6,0),VLOOKUP('CĐPS_TH&amp;CT'!A134,DMTK!$B$5:$Q$263,11,0))</f>
        <v>0</v>
      </c>
      <c r="E134" s="69">
        <f>SUMIFS(CT!$H$5:$H$143,CT!$D$5:$D$143,'CĐPS_TH&amp;CT'!A134&amp;"*")</f>
        <v>0</v>
      </c>
      <c r="F134" s="69">
        <f>SUMIFS(CT!$H$5:$H$143,CT!$E$5:$E$143,'CĐPS_TH&amp;CT'!A134&amp;"*")</f>
        <v>0</v>
      </c>
      <c r="G134" s="69">
        <f t="shared" si="2"/>
        <v>0</v>
      </c>
      <c r="H134" s="69">
        <f t="shared" si="3"/>
        <v>0</v>
      </c>
    </row>
    <row r="135" spans="1:8" x14ac:dyDescent="0.25">
      <c r="A135" s="93" t="str">
        <f>[3]Sheet3!A134</f>
        <v>2422.03</v>
      </c>
      <c r="B135" s="65" t="str">
        <f>IF(LEN(A135)=3,VLOOKUP('CĐPS_TH&amp;CT'!A135,HTTK1!$A$5:$F$80,3,0),VLOOKUP('CĐPS_TH&amp;CT'!A135,DMTK!$B$5:$Q$263,3,0))</f>
        <v>Chi phí sửa chữa lớn TSCĐ</v>
      </c>
      <c r="C135" s="69">
        <f>IF(LEN(A135)=3,VLOOKUP(A135,HTTK1!$A$5:$F$80,5,0),VLOOKUP('CĐPS_TH&amp;CT'!A135,DMTK!$B$5:$Q$263,10,0))</f>
        <v>0</v>
      </c>
      <c r="D135" s="69">
        <f>IF(LEN(A135)=3,VLOOKUP(A135,HTTK1!$A$5:$F$80,6,0),VLOOKUP('CĐPS_TH&amp;CT'!A135,DMTK!$B$5:$Q$263,11,0))</f>
        <v>0</v>
      </c>
      <c r="E135" s="69">
        <f>SUMIFS(CT!$H$5:$H$143,CT!$D$5:$D$143,'CĐPS_TH&amp;CT'!A135&amp;"*")</f>
        <v>0</v>
      </c>
      <c r="F135" s="69">
        <f>SUMIFS(CT!$H$5:$H$143,CT!$E$5:$E$143,'CĐPS_TH&amp;CT'!A135&amp;"*")</f>
        <v>0</v>
      </c>
      <c r="G135" s="69">
        <f t="shared" ref="G135:G198" si="4">MAX(C135+E135-D135-F135,0)</f>
        <v>0</v>
      </c>
      <c r="H135" s="69">
        <f t="shared" ref="H135:H198" si="5">MAX(D135+F135-C135-E135,0)</f>
        <v>0</v>
      </c>
    </row>
    <row r="136" spans="1:8" s="72" customFormat="1" x14ac:dyDescent="0.25">
      <c r="A136" s="128" t="str">
        <f>[3]Sheet3!A135</f>
        <v>243</v>
      </c>
      <c r="B136" s="71" t="str">
        <f>IF(LEN(A136)=3,VLOOKUP('CĐPS_TH&amp;CT'!A136,HTTK1!$A$5:$F$80,3,0),VLOOKUP('CĐPS_TH&amp;CT'!A136,DMTK!$B$5:$Q$263,3,0))</f>
        <v>Tài sản thuế thu nhập hoãn lại</v>
      </c>
      <c r="C136" s="69">
        <f>IF(LEN(A136)=3,VLOOKUP(A136,HTTK1!$A$5:$F$80,5,0),VLOOKUP('CĐPS_TH&amp;CT'!A136,DMTK!$B$5:$Q$263,10,0))</f>
        <v>0</v>
      </c>
      <c r="D136" s="69">
        <f>IF(LEN(A136)=3,VLOOKUP(A136,HTTK1!$A$5:$F$80,6,0),VLOOKUP('CĐPS_TH&amp;CT'!A136,DMTK!$B$5:$Q$263,11,0))</f>
        <v>0</v>
      </c>
      <c r="E136" s="69">
        <f>SUMIFS(CT!$H$5:$H$143,CT!$D$5:$D$143,'CĐPS_TH&amp;CT'!A136&amp;"*")</f>
        <v>0</v>
      </c>
      <c r="F136" s="69">
        <f>SUMIFS(CT!$H$5:$H$143,CT!$E$5:$E$143,'CĐPS_TH&amp;CT'!A136&amp;"*")</f>
        <v>0</v>
      </c>
      <c r="G136" s="69">
        <f t="shared" si="4"/>
        <v>0</v>
      </c>
      <c r="H136" s="69">
        <f t="shared" si="5"/>
        <v>0</v>
      </c>
    </row>
    <row r="137" spans="1:8" s="72" customFormat="1" x14ac:dyDescent="0.25">
      <c r="A137" s="128" t="str">
        <f>[3]Sheet3!A136</f>
        <v>244</v>
      </c>
      <c r="B137" s="71" t="str">
        <f>IF(LEN(A137)=3,VLOOKUP('CĐPS_TH&amp;CT'!A137,HTTK1!$A$5:$F$80,3,0),VLOOKUP('CĐPS_TH&amp;CT'!A137,DMTK!$B$5:$Q$263,3,0))</f>
        <v>Cầm cố, thế chấp, ký quỹ, ký cược</v>
      </c>
      <c r="C137" s="69">
        <f>IF(LEN(A137)=3,VLOOKUP(A137,HTTK1!$A$5:$F$80,5,0),VLOOKUP('CĐPS_TH&amp;CT'!A137,DMTK!$B$5:$Q$263,10,0))</f>
        <v>130000000</v>
      </c>
      <c r="D137" s="69">
        <f>IF(LEN(A137)=3,VLOOKUP(A137,HTTK1!$A$5:$F$80,6,0),VLOOKUP('CĐPS_TH&amp;CT'!A137,DMTK!$B$5:$Q$263,11,0))</f>
        <v>0</v>
      </c>
      <c r="E137" s="69">
        <f>SUMIFS(CT!$H$5:$H$143,CT!$D$5:$D$143,'CĐPS_TH&amp;CT'!A137&amp;"*")</f>
        <v>0</v>
      </c>
      <c r="F137" s="69">
        <f>SUMIFS(CT!$H$5:$H$143,CT!$E$5:$E$143,'CĐPS_TH&amp;CT'!A137&amp;"*")</f>
        <v>0</v>
      </c>
      <c r="G137" s="69">
        <f t="shared" si="4"/>
        <v>130000000</v>
      </c>
      <c r="H137" s="69">
        <f t="shared" si="5"/>
        <v>0</v>
      </c>
    </row>
    <row r="138" spans="1:8" x14ac:dyDescent="0.25">
      <c r="A138" s="93" t="str">
        <f>[3]Sheet3!A137</f>
        <v>2441</v>
      </c>
      <c r="B138" s="65" t="str">
        <f>IF(LEN(A138)=3,VLOOKUP('CĐPS_TH&amp;CT'!A138,HTTK1!$A$5:$F$80,3,0),VLOOKUP('CĐPS_TH&amp;CT'!A138,DMTK!$B$5:$Q$263,3,0))</f>
        <v>Cầm cố, thế chấp, ký quỹ, ký cược (không quá 12 tháng)</v>
      </c>
      <c r="C138" s="69">
        <f>IF(LEN(A138)=3,VLOOKUP(A138,HTTK1!$A$5:$F$80,5,0),VLOOKUP('CĐPS_TH&amp;CT'!A138,DMTK!$B$5:$Q$263,10,0))</f>
        <v>130000000</v>
      </c>
      <c r="D138" s="69">
        <f>IF(LEN(A138)=3,VLOOKUP(A138,HTTK1!$A$5:$F$80,6,0),VLOOKUP('CĐPS_TH&amp;CT'!A138,DMTK!$B$5:$Q$263,11,0))</f>
        <v>0</v>
      </c>
      <c r="E138" s="69">
        <f>SUMIFS(CT!$H$5:$H$143,CT!$D$5:$D$143,'CĐPS_TH&amp;CT'!A138&amp;"*")</f>
        <v>0</v>
      </c>
      <c r="F138" s="69">
        <f>SUMIFS(CT!$H$5:$H$143,CT!$E$5:$E$143,'CĐPS_TH&amp;CT'!A138&amp;"*")</f>
        <v>0</v>
      </c>
      <c r="G138" s="69">
        <f t="shared" si="4"/>
        <v>130000000</v>
      </c>
      <c r="H138" s="69">
        <f t="shared" si="5"/>
        <v>0</v>
      </c>
    </row>
    <row r="139" spans="1:8" x14ac:dyDescent="0.25">
      <c r="A139" s="93" t="str">
        <f>[3]Sheet3!A138</f>
        <v>2442</v>
      </c>
      <c r="B139" s="65" t="str">
        <f>IF(LEN(A139)=3,VLOOKUP('CĐPS_TH&amp;CT'!A139,HTTK1!$A$5:$F$80,3,0),VLOOKUP('CĐPS_TH&amp;CT'!A139,DMTK!$B$5:$Q$263,3,0))</f>
        <v>Cầm cố, thế chấp, ký quỹ, ký cược (trên 12 tháng)</v>
      </c>
      <c r="C139" s="69">
        <f>IF(LEN(A139)=3,VLOOKUP(A139,HTTK1!$A$5:$F$80,5,0),VLOOKUP('CĐPS_TH&amp;CT'!A139,DMTK!$B$5:$Q$263,10,0))</f>
        <v>0</v>
      </c>
      <c r="D139" s="69">
        <f>IF(LEN(A139)=3,VLOOKUP(A139,HTTK1!$A$5:$F$80,6,0),VLOOKUP('CĐPS_TH&amp;CT'!A139,DMTK!$B$5:$Q$263,11,0))</f>
        <v>0</v>
      </c>
      <c r="E139" s="69">
        <f>SUMIFS(CT!$H$5:$H$143,CT!$D$5:$D$143,'CĐPS_TH&amp;CT'!A139&amp;"*")</f>
        <v>0</v>
      </c>
      <c r="F139" s="69">
        <f>SUMIFS(CT!$H$5:$H$143,CT!$E$5:$E$143,'CĐPS_TH&amp;CT'!A139&amp;"*")</f>
        <v>0</v>
      </c>
      <c r="G139" s="69">
        <f t="shared" si="4"/>
        <v>0</v>
      </c>
      <c r="H139" s="69">
        <f t="shared" si="5"/>
        <v>0</v>
      </c>
    </row>
    <row r="140" spans="1:8" s="72" customFormat="1" x14ac:dyDescent="0.25">
      <c r="A140" s="128" t="str">
        <f>[3]Sheet3!A139</f>
        <v>331</v>
      </c>
      <c r="B140" s="71" t="str">
        <f>IF(LEN(A140)=3,VLOOKUP('CĐPS_TH&amp;CT'!A140,HTTK1!$A$5:$F$80,3,0),VLOOKUP('CĐPS_TH&amp;CT'!A140,DMTK!$B$5:$Q$263,3,0))</f>
        <v>Phải trả cho người bán</v>
      </c>
      <c r="C140" s="69">
        <f>IF(LEN(A140)=3,VLOOKUP(A140,HTTK1!$A$5:$F$80,5,0),VLOOKUP('CĐPS_TH&amp;CT'!A140,DMTK!$B$5:$Q$263,10,0))</f>
        <v>0</v>
      </c>
      <c r="D140" s="69">
        <f>IF(LEN(A140)=3,VLOOKUP(A140,HTTK1!$A$5:$F$80,6,0),VLOOKUP('CĐPS_TH&amp;CT'!A140,DMTK!$B$5:$Q$263,11,0))</f>
        <v>212000000</v>
      </c>
      <c r="E140" s="69">
        <f>SUMIFS(CT!$H$5:$H$143,CT!$D$5:$D$143,'CĐPS_TH&amp;CT'!A140&amp;"*")</f>
        <v>90000000</v>
      </c>
      <c r="F140" s="69">
        <f>SUMIFS(CT!$H$5:$H$143,CT!$E$5:$E$143,'CĐPS_TH&amp;CT'!A140&amp;"*")</f>
        <v>33755000</v>
      </c>
      <c r="G140" s="69">
        <f t="shared" si="4"/>
        <v>0</v>
      </c>
      <c r="H140" s="69">
        <f t="shared" si="5"/>
        <v>155755000</v>
      </c>
    </row>
    <row r="141" spans="1:8" x14ac:dyDescent="0.25">
      <c r="A141" s="93" t="str">
        <f>[3]Sheet3!A140</f>
        <v>3311.01</v>
      </c>
      <c r="B141" s="65" t="str">
        <f>IF(LEN(A141)=3,VLOOKUP('CĐPS_TH&amp;CT'!A141,HTTK1!$A$5:$F$80,3,0),VLOOKUP('CĐPS_TH&amp;CT'!A141,DMTK!$B$5:$Q$263,3,0))</f>
        <v>Cty CP Mai Lan</v>
      </c>
      <c r="C141" s="69">
        <f>IF(LEN(A141)=3,VLOOKUP(A141,HTTK1!$A$5:$F$80,5,0),VLOOKUP('CĐPS_TH&amp;CT'!A141,DMTK!$B$5:$Q$263,10,0))</f>
        <v>0</v>
      </c>
      <c r="D141" s="69">
        <f>IF(LEN(A141)=3,VLOOKUP(A141,HTTK1!$A$5:$F$80,6,0),VLOOKUP('CĐPS_TH&amp;CT'!A141,DMTK!$B$5:$Q$263,11,0))</f>
        <v>139000000</v>
      </c>
      <c r="E141" s="69">
        <f>SUMIFS(CT!$H$5:$H$143,CT!$D$5:$D$143,'CĐPS_TH&amp;CT'!A141&amp;"*")</f>
        <v>40000000</v>
      </c>
      <c r="F141" s="69">
        <f>SUMIFS(CT!$H$5:$H$143,CT!$E$5:$E$143,'CĐPS_TH&amp;CT'!A141&amp;"*")</f>
        <v>4755000</v>
      </c>
      <c r="G141" s="69">
        <f t="shared" si="4"/>
        <v>0</v>
      </c>
      <c r="H141" s="69">
        <f t="shared" si="5"/>
        <v>103755000</v>
      </c>
    </row>
    <row r="142" spans="1:8" x14ac:dyDescent="0.25">
      <c r="A142" s="93" t="str">
        <f>[3]Sheet3!A141</f>
        <v>3311.02</v>
      </c>
      <c r="B142" s="65" t="str">
        <f>IF(LEN(A142)=3,VLOOKUP('CĐPS_TH&amp;CT'!A142,HTTK1!$A$5:$F$80,3,0),VLOOKUP('CĐPS_TH&amp;CT'!A142,DMTK!$B$5:$Q$263,3,0))</f>
        <v>Cty TNHH Cường Phát</v>
      </c>
      <c r="C142" s="69">
        <f>IF(LEN(A142)=3,VLOOKUP(A142,HTTK1!$A$5:$F$80,5,0),VLOOKUP('CĐPS_TH&amp;CT'!A142,DMTK!$B$5:$Q$263,10,0))</f>
        <v>0</v>
      </c>
      <c r="D142" s="69">
        <f>IF(LEN(A142)=3,VLOOKUP(A142,HTTK1!$A$5:$F$80,6,0),VLOOKUP('CĐPS_TH&amp;CT'!A142,DMTK!$B$5:$Q$263,11,0))</f>
        <v>73000000</v>
      </c>
      <c r="E142" s="69">
        <f>SUMIFS(CT!$H$5:$H$143,CT!$D$5:$D$143,'CĐPS_TH&amp;CT'!A142&amp;"*")</f>
        <v>0</v>
      </c>
      <c r="F142" s="69">
        <f>SUMIFS(CT!$H$5:$H$143,CT!$E$5:$E$143,'CĐPS_TH&amp;CT'!A142&amp;"*")</f>
        <v>23500000</v>
      </c>
      <c r="G142" s="69">
        <f t="shared" si="4"/>
        <v>0</v>
      </c>
      <c r="H142" s="69">
        <f t="shared" si="5"/>
        <v>96500000</v>
      </c>
    </row>
    <row r="143" spans="1:8" x14ac:dyDescent="0.25">
      <c r="A143" s="93" t="str">
        <f>[3]Sheet3!A142</f>
        <v>3311.03</v>
      </c>
      <c r="B143" s="65" t="str">
        <f>IF(LEN(A143)=3,VLOOKUP('CĐPS_TH&amp;CT'!A143,HTTK1!$A$5:$F$80,3,0),VLOOKUP('CĐPS_TH&amp;CT'!A143,DMTK!$B$5:$Q$263,3,0))</f>
        <v>Cty TNHH Minh Gia Phát</v>
      </c>
      <c r="C143" s="69">
        <f>IF(LEN(A143)=3,VLOOKUP(A143,HTTK1!$A$5:$F$80,5,0),VLOOKUP('CĐPS_TH&amp;CT'!A143,DMTK!$B$5:$Q$263,10,0))</f>
        <v>0</v>
      </c>
      <c r="D143" s="69">
        <f>IF(LEN(A143)=3,VLOOKUP(A143,HTTK1!$A$5:$F$80,6,0),VLOOKUP('CĐPS_TH&amp;CT'!A143,DMTK!$B$5:$Q$263,11,0))</f>
        <v>0</v>
      </c>
      <c r="E143" s="69">
        <f>SUMIFS(CT!$H$5:$H$143,CT!$D$5:$D$143,'CĐPS_TH&amp;CT'!A143&amp;"*")</f>
        <v>50000000</v>
      </c>
      <c r="F143" s="69">
        <f>SUMIFS(CT!$H$5:$H$143,CT!$E$5:$E$143,'CĐPS_TH&amp;CT'!A143&amp;"*")</f>
        <v>5500000</v>
      </c>
      <c r="G143" s="69">
        <f t="shared" si="4"/>
        <v>44500000</v>
      </c>
      <c r="H143" s="69">
        <f t="shared" si="5"/>
        <v>0</v>
      </c>
    </row>
    <row r="144" spans="1:8" s="72" customFormat="1" x14ac:dyDescent="0.25">
      <c r="A144" s="128" t="str">
        <f>[3]Sheet3!A143</f>
        <v>333</v>
      </c>
      <c r="B144" s="71" t="str">
        <f>IF(LEN(A144)=3,VLOOKUP('CĐPS_TH&amp;CT'!A144,HTTK1!$A$5:$F$80,3,0),VLOOKUP('CĐPS_TH&amp;CT'!A144,DMTK!$B$5:$Q$263,3,0))</f>
        <v>Thuế và các khoản phải nộp Nhà nước</v>
      </c>
      <c r="C144" s="69">
        <f>IF(LEN(A144)=3,VLOOKUP(A144,HTTK1!$A$5:$F$80,5,0),VLOOKUP('CĐPS_TH&amp;CT'!A144,DMTK!$B$5:$Q$263,10,0))</f>
        <v>0</v>
      </c>
      <c r="D144" s="69">
        <f>IF(LEN(A144)=3,VLOOKUP(A144,HTTK1!$A$5:$F$80,6,0),VLOOKUP('CĐPS_TH&amp;CT'!A144,DMTK!$B$5:$Q$263,11,0))</f>
        <v>34200000</v>
      </c>
      <c r="E144" s="69">
        <f>SUMIFS(CT!$H$5:$H$143,CT!$D$5:$D$143,'CĐPS_TH&amp;CT'!A144&amp;"*")</f>
        <v>0</v>
      </c>
      <c r="F144" s="69">
        <f>SUMIFS(CT!$H$5:$H$143,CT!$E$5:$E$143,'CĐPS_TH&amp;CT'!A144&amp;"*")</f>
        <v>3157500</v>
      </c>
      <c r="G144" s="69">
        <f t="shared" si="4"/>
        <v>0</v>
      </c>
      <c r="H144" s="69">
        <f t="shared" si="5"/>
        <v>37357500</v>
      </c>
    </row>
    <row r="145" spans="1:8" x14ac:dyDescent="0.25">
      <c r="A145" s="93" t="str">
        <f>[3]Sheet3!A144</f>
        <v>33311</v>
      </c>
      <c r="B145" s="65" t="str">
        <f>IF(LEN(A145)=3,VLOOKUP('CĐPS_TH&amp;CT'!A145,HTTK1!$A$5:$F$80,3,0),VLOOKUP('CĐPS_TH&amp;CT'!A145,DMTK!$B$5:$Q$263,3,0))</f>
        <v>Thuế GTGT đầu ra</v>
      </c>
      <c r="C145" s="69">
        <f>IF(LEN(A145)=3,VLOOKUP(A145,HTTK1!$A$5:$F$80,5,0),VLOOKUP('CĐPS_TH&amp;CT'!A145,DMTK!$B$5:$Q$263,10,0))</f>
        <v>0</v>
      </c>
      <c r="D145" s="69">
        <f>IF(LEN(A145)=3,VLOOKUP(A145,HTTK1!$A$5:$F$80,6,0),VLOOKUP('CĐPS_TH&amp;CT'!A145,DMTK!$B$5:$Q$263,11,0))</f>
        <v>14200000</v>
      </c>
      <c r="E145" s="69">
        <f>SUMIFS(CT!$H$5:$H$143,CT!$D$5:$D$143,'CĐPS_TH&amp;CT'!A145&amp;"*")</f>
        <v>0</v>
      </c>
      <c r="F145" s="69">
        <f>SUMIFS(CT!$H$5:$H$143,CT!$E$5:$E$143,'CĐPS_TH&amp;CT'!A145&amp;"*")</f>
        <v>3157500</v>
      </c>
      <c r="G145" s="69">
        <f t="shared" si="4"/>
        <v>0</v>
      </c>
      <c r="H145" s="69">
        <f t="shared" si="5"/>
        <v>17357500</v>
      </c>
    </row>
    <row r="146" spans="1:8" x14ac:dyDescent="0.25">
      <c r="A146" s="93" t="str">
        <f>[3]Sheet3!A145</f>
        <v>33312</v>
      </c>
      <c r="B146" s="65" t="str">
        <f>IF(LEN(A146)=3,VLOOKUP('CĐPS_TH&amp;CT'!A146,HTTK1!$A$5:$F$80,3,0),VLOOKUP('CĐPS_TH&amp;CT'!A146,DMTK!$B$5:$Q$263,3,0))</f>
        <v>Thuế GTGT hàng nhập khẩu</v>
      </c>
      <c r="C146" s="69">
        <f>IF(LEN(A146)=3,VLOOKUP(A146,HTTK1!$A$5:$F$80,5,0),VLOOKUP('CĐPS_TH&amp;CT'!A146,DMTK!$B$5:$Q$263,10,0))</f>
        <v>0</v>
      </c>
      <c r="D146" s="69">
        <f>IF(LEN(A146)=3,VLOOKUP(A146,HTTK1!$A$5:$F$80,6,0),VLOOKUP('CĐPS_TH&amp;CT'!A146,DMTK!$B$5:$Q$263,11,0))</f>
        <v>8000000</v>
      </c>
      <c r="E146" s="69">
        <f>SUMIFS(CT!$H$5:$H$143,CT!$D$5:$D$143,'CĐPS_TH&amp;CT'!A146&amp;"*")</f>
        <v>0</v>
      </c>
      <c r="F146" s="69">
        <f>SUMIFS(CT!$H$5:$H$143,CT!$E$5:$E$143,'CĐPS_TH&amp;CT'!A146&amp;"*")</f>
        <v>0</v>
      </c>
      <c r="G146" s="69">
        <f t="shared" si="4"/>
        <v>0</v>
      </c>
      <c r="H146" s="69">
        <f t="shared" si="5"/>
        <v>8000000</v>
      </c>
    </row>
    <row r="147" spans="1:8" x14ac:dyDescent="0.25">
      <c r="A147" s="93" t="str">
        <f>[3]Sheet3!A146</f>
        <v>3332</v>
      </c>
      <c r="B147" s="65" t="str">
        <f>IF(LEN(A147)=3,VLOOKUP('CĐPS_TH&amp;CT'!A147,HTTK1!$A$5:$F$80,3,0),VLOOKUP('CĐPS_TH&amp;CT'!A147,DMTK!$B$5:$Q$263,3,0))</f>
        <v>Thuế tiêu thụ đặc biệt</v>
      </c>
      <c r="C147" s="69">
        <f>IF(LEN(A147)=3,VLOOKUP(A147,HTTK1!$A$5:$F$80,5,0),VLOOKUP('CĐPS_TH&amp;CT'!A147,DMTK!$B$5:$Q$263,10,0))</f>
        <v>0</v>
      </c>
      <c r="D147" s="69">
        <f>IF(LEN(A147)=3,VLOOKUP(A147,HTTK1!$A$5:$F$80,6,0),VLOOKUP('CĐPS_TH&amp;CT'!A147,DMTK!$B$5:$Q$263,11,0))</f>
        <v>0</v>
      </c>
      <c r="E147" s="69">
        <f>SUMIFS(CT!$H$5:$H$143,CT!$D$5:$D$143,'CĐPS_TH&amp;CT'!A147&amp;"*")</f>
        <v>0</v>
      </c>
      <c r="F147" s="69">
        <f>SUMIFS(CT!$H$5:$H$143,CT!$E$5:$E$143,'CĐPS_TH&amp;CT'!A147&amp;"*")</f>
        <v>0</v>
      </c>
      <c r="G147" s="69">
        <f t="shared" si="4"/>
        <v>0</v>
      </c>
      <c r="H147" s="69">
        <f t="shared" si="5"/>
        <v>0</v>
      </c>
    </row>
    <row r="148" spans="1:8" x14ac:dyDescent="0.25">
      <c r="A148" s="93" t="str">
        <f>[3]Sheet3!A147</f>
        <v>3333</v>
      </c>
      <c r="B148" s="65" t="str">
        <f>IF(LEN(A148)=3,VLOOKUP('CĐPS_TH&amp;CT'!A148,HTTK1!$A$5:$F$80,3,0),VLOOKUP('CĐPS_TH&amp;CT'!A148,DMTK!$B$5:$Q$263,3,0))</f>
        <v>Thuế xuất, nhập khẩu</v>
      </c>
      <c r="C148" s="69">
        <f>IF(LEN(A148)=3,VLOOKUP(A148,HTTK1!$A$5:$F$80,5,0),VLOOKUP('CĐPS_TH&amp;CT'!A148,DMTK!$B$5:$Q$263,10,0))</f>
        <v>0</v>
      </c>
      <c r="D148" s="69">
        <f>IF(LEN(A148)=3,VLOOKUP(A148,HTTK1!$A$5:$F$80,6,0),VLOOKUP('CĐPS_TH&amp;CT'!A148,DMTK!$B$5:$Q$263,11,0))</f>
        <v>0</v>
      </c>
      <c r="E148" s="69">
        <f>SUMIFS(CT!$H$5:$H$143,CT!$D$5:$D$143,'CĐPS_TH&amp;CT'!A148&amp;"*")</f>
        <v>0</v>
      </c>
      <c r="F148" s="69">
        <f>SUMIFS(CT!$H$5:$H$143,CT!$E$5:$E$143,'CĐPS_TH&amp;CT'!A148&amp;"*")</f>
        <v>0</v>
      </c>
      <c r="G148" s="69">
        <f t="shared" si="4"/>
        <v>0</v>
      </c>
      <c r="H148" s="69">
        <f t="shared" si="5"/>
        <v>0</v>
      </c>
    </row>
    <row r="149" spans="1:8" x14ac:dyDescent="0.25">
      <c r="A149" s="93" t="str">
        <f>[3]Sheet3!A148</f>
        <v>3334</v>
      </c>
      <c r="B149" s="65" t="str">
        <f>IF(LEN(A149)=3,VLOOKUP('CĐPS_TH&amp;CT'!A149,HTTK1!$A$5:$F$80,3,0),VLOOKUP('CĐPS_TH&amp;CT'!A149,DMTK!$B$5:$Q$263,3,0))</f>
        <v>Thuế thu nhập doanh nghiệp</v>
      </c>
      <c r="C149" s="69">
        <f>IF(LEN(A149)=3,VLOOKUP(A149,HTTK1!$A$5:$F$80,5,0),VLOOKUP('CĐPS_TH&amp;CT'!A149,DMTK!$B$5:$Q$263,10,0))</f>
        <v>0</v>
      </c>
      <c r="D149" s="69">
        <f>IF(LEN(A149)=3,VLOOKUP(A149,HTTK1!$A$5:$F$80,6,0),VLOOKUP('CĐPS_TH&amp;CT'!A149,DMTK!$B$5:$Q$263,11,0))</f>
        <v>12000000</v>
      </c>
      <c r="E149" s="69">
        <f>SUMIFS(CT!$H$5:$H$143,CT!$D$5:$D$143,'CĐPS_TH&amp;CT'!A149&amp;"*")</f>
        <v>0</v>
      </c>
      <c r="F149" s="69">
        <f>SUMIFS(CT!$H$5:$H$143,CT!$E$5:$E$143,'CĐPS_TH&amp;CT'!A149&amp;"*")</f>
        <v>0</v>
      </c>
      <c r="G149" s="69">
        <f t="shared" si="4"/>
        <v>0</v>
      </c>
      <c r="H149" s="69">
        <f t="shared" si="5"/>
        <v>12000000</v>
      </c>
    </row>
    <row r="150" spans="1:8" x14ac:dyDescent="0.25">
      <c r="A150" s="93" t="str">
        <f>[3]Sheet3!A149</f>
        <v>3335</v>
      </c>
      <c r="B150" s="65" t="str">
        <f>IF(LEN(A150)=3,VLOOKUP('CĐPS_TH&amp;CT'!A150,HTTK1!$A$5:$F$80,3,0),VLOOKUP('CĐPS_TH&amp;CT'!A150,DMTK!$B$5:$Q$263,3,0))</f>
        <v>Thuế thu nhập cá nhân</v>
      </c>
      <c r="C150" s="69">
        <f>IF(LEN(A150)=3,VLOOKUP(A150,HTTK1!$A$5:$F$80,5,0),VLOOKUP('CĐPS_TH&amp;CT'!A150,DMTK!$B$5:$Q$263,10,0))</f>
        <v>0</v>
      </c>
      <c r="D150" s="69">
        <f>IF(LEN(A150)=3,VLOOKUP(A150,HTTK1!$A$5:$F$80,6,0),VLOOKUP('CĐPS_TH&amp;CT'!A150,DMTK!$B$5:$Q$263,11,0))</f>
        <v>0</v>
      </c>
      <c r="E150" s="69">
        <f>SUMIFS(CT!$H$5:$H$143,CT!$D$5:$D$143,'CĐPS_TH&amp;CT'!A150&amp;"*")</f>
        <v>0</v>
      </c>
      <c r="F150" s="69">
        <f>SUMIFS(CT!$H$5:$H$143,CT!$E$5:$E$143,'CĐPS_TH&amp;CT'!A150&amp;"*")</f>
        <v>0</v>
      </c>
      <c r="G150" s="69">
        <f t="shared" si="4"/>
        <v>0</v>
      </c>
      <c r="H150" s="69">
        <f t="shared" si="5"/>
        <v>0</v>
      </c>
    </row>
    <row r="151" spans="1:8" x14ac:dyDescent="0.25">
      <c r="A151" s="93" t="str">
        <f>[3]Sheet3!A150</f>
        <v>3336</v>
      </c>
      <c r="B151" s="65" t="str">
        <f>IF(LEN(A151)=3,VLOOKUP('CĐPS_TH&amp;CT'!A151,HTTK1!$A$5:$F$80,3,0),VLOOKUP('CĐPS_TH&amp;CT'!A151,DMTK!$B$5:$Q$263,3,0))</f>
        <v>Thuế tài nguyên</v>
      </c>
      <c r="C151" s="69">
        <f>IF(LEN(A151)=3,VLOOKUP(A151,HTTK1!$A$5:$F$80,5,0),VLOOKUP('CĐPS_TH&amp;CT'!A151,DMTK!$B$5:$Q$263,10,0))</f>
        <v>0</v>
      </c>
      <c r="D151" s="69">
        <f>IF(LEN(A151)=3,VLOOKUP(A151,HTTK1!$A$5:$F$80,6,0),VLOOKUP('CĐPS_TH&amp;CT'!A151,DMTK!$B$5:$Q$263,11,0))</f>
        <v>0</v>
      </c>
      <c r="E151" s="69">
        <f>SUMIFS(CT!$H$5:$H$143,CT!$D$5:$D$143,'CĐPS_TH&amp;CT'!A151&amp;"*")</f>
        <v>0</v>
      </c>
      <c r="F151" s="69">
        <f>SUMIFS(CT!$H$5:$H$143,CT!$E$5:$E$143,'CĐPS_TH&amp;CT'!A151&amp;"*")</f>
        <v>0</v>
      </c>
      <c r="G151" s="69">
        <f t="shared" si="4"/>
        <v>0</v>
      </c>
      <c r="H151" s="69">
        <f t="shared" si="5"/>
        <v>0</v>
      </c>
    </row>
    <row r="152" spans="1:8" x14ac:dyDescent="0.25">
      <c r="A152" s="93" t="str">
        <f>[3]Sheet3!A151</f>
        <v>3337</v>
      </c>
      <c r="B152" s="65" t="str">
        <f>IF(LEN(A152)=3,VLOOKUP('CĐPS_TH&amp;CT'!A152,HTTK1!$A$5:$F$80,3,0),VLOOKUP('CĐPS_TH&amp;CT'!A152,DMTK!$B$5:$Q$263,3,0))</f>
        <v>Thuế nhà đất, tiền thuê đất</v>
      </c>
      <c r="C152" s="69">
        <f>IF(LEN(A152)=3,VLOOKUP(A152,HTTK1!$A$5:$F$80,5,0),VLOOKUP('CĐPS_TH&amp;CT'!A152,DMTK!$B$5:$Q$263,10,0))</f>
        <v>0</v>
      </c>
      <c r="D152" s="69">
        <f>IF(LEN(A152)=3,VLOOKUP(A152,HTTK1!$A$5:$F$80,6,0),VLOOKUP('CĐPS_TH&amp;CT'!A152,DMTK!$B$5:$Q$263,11,0))</f>
        <v>0</v>
      </c>
      <c r="E152" s="69">
        <f>SUMIFS(CT!$H$5:$H$143,CT!$D$5:$D$143,'CĐPS_TH&amp;CT'!A152&amp;"*")</f>
        <v>0</v>
      </c>
      <c r="F152" s="69">
        <f>SUMIFS(CT!$H$5:$H$143,CT!$E$5:$E$143,'CĐPS_TH&amp;CT'!A152&amp;"*")</f>
        <v>0</v>
      </c>
      <c r="G152" s="69">
        <f t="shared" si="4"/>
        <v>0</v>
      </c>
      <c r="H152" s="69">
        <f t="shared" si="5"/>
        <v>0</v>
      </c>
    </row>
    <row r="153" spans="1:8" x14ac:dyDescent="0.25">
      <c r="A153" s="93" t="str">
        <f>[3]Sheet3!A152</f>
        <v>3338</v>
      </c>
      <c r="B153" s="65" t="str">
        <f>IF(LEN(A153)=3,VLOOKUP('CĐPS_TH&amp;CT'!A153,HTTK1!$A$5:$F$80,3,0),VLOOKUP('CĐPS_TH&amp;CT'!A153,DMTK!$B$5:$Q$263,3,0))</f>
        <v>Thuế bảo vệ môi trường và các loại thuế khác</v>
      </c>
      <c r="C153" s="69">
        <f>IF(LEN(A153)=3,VLOOKUP(A153,HTTK1!$A$5:$F$80,5,0),VLOOKUP('CĐPS_TH&amp;CT'!A153,DMTK!$B$5:$Q$263,10,0))</f>
        <v>0</v>
      </c>
      <c r="D153" s="69">
        <f>IF(LEN(A153)=3,VLOOKUP(A153,HTTK1!$A$5:$F$80,6,0),VLOOKUP('CĐPS_TH&amp;CT'!A153,DMTK!$B$5:$Q$263,11,0))</f>
        <v>0</v>
      </c>
      <c r="E153" s="69">
        <f>SUMIFS(CT!$H$5:$H$143,CT!$D$5:$D$143,'CĐPS_TH&amp;CT'!A153&amp;"*")</f>
        <v>0</v>
      </c>
      <c r="F153" s="69">
        <f>SUMIFS(CT!$H$5:$H$143,CT!$E$5:$E$143,'CĐPS_TH&amp;CT'!A153&amp;"*")</f>
        <v>0</v>
      </c>
      <c r="G153" s="69">
        <f t="shared" si="4"/>
        <v>0</v>
      </c>
      <c r="H153" s="69">
        <f t="shared" si="5"/>
        <v>0</v>
      </c>
    </row>
    <row r="154" spans="1:8" x14ac:dyDescent="0.25">
      <c r="A154" s="93" t="str">
        <f>[3]Sheet3!A153</f>
        <v>3339</v>
      </c>
      <c r="B154" s="65" t="str">
        <f>IF(LEN(A154)=3,VLOOKUP('CĐPS_TH&amp;CT'!A154,HTTK1!$A$5:$F$80,3,0),VLOOKUP('CĐPS_TH&amp;CT'!A154,DMTK!$B$5:$Q$263,3,0))</f>
        <v>Phí, lệ phí và các khoản phải nộp khác</v>
      </c>
      <c r="C154" s="69">
        <f>IF(LEN(A154)=3,VLOOKUP(A154,HTTK1!$A$5:$F$80,5,0),VLOOKUP('CĐPS_TH&amp;CT'!A154,DMTK!$B$5:$Q$263,10,0))</f>
        <v>0</v>
      </c>
      <c r="D154" s="69">
        <f>IF(LEN(A154)=3,VLOOKUP(A154,HTTK1!$A$5:$F$80,6,0),VLOOKUP('CĐPS_TH&amp;CT'!A154,DMTK!$B$5:$Q$263,11,0))</f>
        <v>0</v>
      </c>
      <c r="E154" s="69">
        <f>SUMIFS(CT!$H$5:$H$143,CT!$D$5:$D$143,'CĐPS_TH&amp;CT'!A154&amp;"*")</f>
        <v>0</v>
      </c>
      <c r="F154" s="69">
        <f>SUMIFS(CT!$H$5:$H$143,CT!$E$5:$E$143,'CĐPS_TH&amp;CT'!A154&amp;"*")</f>
        <v>0</v>
      </c>
      <c r="G154" s="69">
        <f t="shared" si="4"/>
        <v>0</v>
      </c>
      <c r="H154" s="69">
        <f t="shared" si="5"/>
        <v>0</v>
      </c>
    </row>
    <row r="155" spans="1:8" s="72" customFormat="1" x14ac:dyDescent="0.25">
      <c r="A155" s="128" t="str">
        <f>[3]Sheet3!A154</f>
        <v>334</v>
      </c>
      <c r="B155" s="71" t="str">
        <f>IF(LEN(A155)=3,VLOOKUP('CĐPS_TH&amp;CT'!A155,HTTK1!$A$5:$F$80,3,0),VLOOKUP('CĐPS_TH&amp;CT'!A155,DMTK!$B$5:$Q$263,3,0))</f>
        <v>Phải trả người lao động</v>
      </c>
      <c r="C155" s="69">
        <f>IF(LEN(A155)=3,VLOOKUP(A155,HTTK1!$A$5:$F$80,5,0),VLOOKUP('CĐPS_TH&amp;CT'!A155,DMTK!$B$5:$Q$263,10,0))</f>
        <v>0</v>
      </c>
      <c r="D155" s="69">
        <f>IF(LEN(A155)=3,VLOOKUP(A155,HTTK1!$A$5:$F$80,6,0),VLOOKUP('CĐPS_TH&amp;CT'!A155,DMTK!$B$5:$Q$263,11,0))</f>
        <v>109500000</v>
      </c>
      <c r="E155" s="69">
        <f>SUMIFS(CT!$H$5:$H$143,CT!$D$5:$D$143,'CĐPS_TH&amp;CT'!A155&amp;"*")</f>
        <v>247000000</v>
      </c>
      <c r="F155" s="69">
        <f>SUMIFS(CT!$H$5:$H$143,CT!$E$5:$E$143,'CĐPS_TH&amp;CT'!A155&amp;"*")</f>
        <v>247000000</v>
      </c>
      <c r="G155" s="69">
        <f t="shared" si="4"/>
        <v>0</v>
      </c>
      <c r="H155" s="69">
        <f t="shared" si="5"/>
        <v>109500000</v>
      </c>
    </row>
    <row r="156" spans="1:8" x14ac:dyDescent="0.25">
      <c r="A156" s="93" t="str">
        <f>[3]Sheet3!A155</f>
        <v>3341.01</v>
      </c>
      <c r="B156" s="65" t="str">
        <f>IF(LEN(A156)=3,VLOOKUP('CĐPS_TH&amp;CT'!A156,HTTK1!$A$5:$F$80,3,0),VLOOKUP('CĐPS_TH&amp;CT'!A156,DMTK!$B$5:$Q$263,3,0))</f>
        <v>Lương CNSX Ghế tay vịn</v>
      </c>
      <c r="C156" s="69">
        <f>IF(LEN(A156)=3,VLOOKUP(A156,HTTK1!$A$5:$F$80,5,0),VLOOKUP('CĐPS_TH&amp;CT'!A156,DMTK!$B$5:$Q$263,10,0))</f>
        <v>0</v>
      </c>
      <c r="D156" s="69">
        <f>IF(LEN(A156)=3,VLOOKUP(A156,HTTK1!$A$5:$F$80,6,0),VLOOKUP('CĐPS_TH&amp;CT'!A156,DMTK!$B$5:$Q$263,11,0))</f>
        <v>12000000</v>
      </c>
      <c r="E156" s="69">
        <f>SUMIFS(CT!$H$5:$H$143,CT!$D$5:$D$143,'CĐPS_TH&amp;CT'!A156&amp;"*")</f>
        <v>40000000</v>
      </c>
      <c r="F156" s="69">
        <f>SUMIFS(CT!$H$5:$H$143,CT!$E$5:$E$143,'CĐPS_TH&amp;CT'!A156&amp;"*")</f>
        <v>40000000</v>
      </c>
      <c r="G156" s="69">
        <f t="shared" si="4"/>
        <v>0</v>
      </c>
      <c r="H156" s="69">
        <f t="shared" si="5"/>
        <v>12000000</v>
      </c>
    </row>
    <row r="157" spans="1:8" x14ac:dyDescent="0.25">
      <c r="A157" s="93" t="str">
        <f>[3]Sheet3!A156</f>
        <v>3341.02</v>
      </c>
      <c r="B157" s="65" t="str">
        <f>IF(LEN(A157)=3,VLOOKUP('CĐPS_TH&amp;CT'!A157,HTTK1!$A$5:$F$80,3,0),VLOOKUP('CĐPS_TH&amp;CT'!A157,DMTK!$B$5:$Q$263,3,0))</f>
        <v>Lương CNSX Ghế không tay</v>
      </c>
      <c r="C157" s="69">
        <f>IF(LEN(A157)=3,VLOOKUP(A157,HTTK1!$A$5:$F$80,5,0),VLOOKUP('CĐPS_TH&amp;CT'!A157,DMTK!$B$5:$Q$263,10,0))</f>
        <v>0</v>
      </c>
      <c r="D157" s="69">
        <f>IF(LEN(A157)=3,VLOOKUP(A157,HTTK1!$A$5:$F$80,6,0),VLOOKUP('CĐPS_TH&amp;CT'!A157,DMTK!$B$5:$Q$263,11,0))</f>
        <v>8000000</v>
      </c>
      <c r="E157" s="69">
        <f>SUMIFS(CT!$H$5:$H$143,CT!$D$5:$D$143,'CĐPS_TH&amp;CT'!A157&amp;"*")</f>
        <v>40000000</v>
      </c>
      <c r="F157" s="69">
        <f>SUMIFS(CT!$H$5:$H$143,CT!$E$5:$E$143,'CĐPS_TH&amp;CT'!A157&amp;"*")</f>
        <v>40000000</v>
      </c>
      <c r="G157" s="69">
        <f t="shared" si="4"/>
        <v>0</v>
      </c>
      <c r="H157" s="69">
        <f t="shared" si="5"/>
        <v>8000000</v>
      </c>
    </row>
    <row r="158" spans="1:8" x14ac:dyDescent="0.25">
      <c r="A158" s="93" t="str">
        <f>[3]Sheet3!A157</f>
        <v>3341.03</v>
      </c>
      <c r="B158" s="65" t="str">
        <f>IF(LEN(A158)=3,VLOOKUP('CĐPS_TH&amp;CT'!A158,HTTK1!$A$5:$F$80,3,0),VLOOKUP('CĐPS_TH&amp;CT'!A158,DMTK!$B$5:$Q$263,3,0))</f>
        <v>Lương CNSX Bàn tròn</v>
      </c>
      <c r="C158" s="69">
        <f>IF(LEN(A158)=3,VLOOKUP(A158,HTTK1!$A$5:$F$80,5,0),VLOOKUP('CĐPS_TH&amp;CT'!A158,DMTK!$B$5:$Q$263,10,0))</f>
        <v>0</v>
      </c>
      <c r="D158" s="69">
        <f>IF(LEN(A158)=3,VLOOKUP(A158,HTTK1!$A$5:$F$80,6,0),VLOOKUP('CĐPS_TH&amp;CT'!A158,DMTK!$B$5:$Q$263,11,0))</f>
        <v>10000000</v>
      </c>
      <c r="E158" s="69">
        <f>SUMIFS(CT!$H$5:$H$143,CT!$D$5:$D$143,'CĐPS_TH&amp;CT'!A158&amp;"*")</f>
        <v>40000000</v>
      </c>
      <c r="F158" s="69">
        <f>SUMIFS(CT!$H$5:$H$143,CT!$E$5:$E$143,'CĐPS_TH&amp;CT'!A158&amp;"*")</f>
        <v>40000000</v>
      </c>
      <c r="G158" s="69">
        <f t="shared" si="4"/>
        <v>0</v>
      </c>
      <c r="H158" s="69">
        <f t="shared" si="5"/>
        <v>10000000</v>
      </c>
    </row>
    <row r="159" spans="1:8" x14ac:dyDescent="0.25">
      <c r="A159" s="93" t="str">
        <f>[3]Sheet3!A158</f>
        <v>3341.04</v>
      </c>
      <c r="B159" s="65" t="str">
        <f>IF(LEN(A159)=3,VLOOKUP('CĐPS_TH&amp;CT'!A159,HTTK1!$A$5:$F$80,3,0),VLOOKUP('CĐPS_TH&amp;CT'!A159,DMTK!$B$5:$Q$263,3,0))</f>
        <v>Lương CNSX Bàn oval</v>
      </c>
      <c r="C159" s="69">
        <f>IF(LEN(A159)=3,VLOOKUP(A159,HTTK1!$A$5:$F$80,5,0),VLOOKUP('CĐPS_TH&amp;CT'!A159,DMTK!$B$5:$Q$263,10,0))</f>
        <v>0</v>
      </c>
      <c r="D159" s="69">
        <f>IF(LEN(A159)=3,VLOOKUP(A159,HTTK1!$A$5:$F$80,6,0),VLOOKUP('CĐPS_TH&amp;CT'!A159,DMTK!$B$5:$Q$263,11,0))</f>
        <v>12000000</v>
      </c>
      <c r="E159" s="69">
        <f>SUMIFS(CT!$H$5:$H$143,CT!$D$5:$D$143,'CĐPS_TH&amp;CT'!A159&amp;"*")</f>
        <v>40000000</v>
      </c>
      <c r="F159" s="69">
        <f>SUMIFS(CT!$H$5:$H$143,CT!$E$5:$E$143,'CĐPS_TH&amp;CT'!A159&amp;"*")</f>
        <v>40000000</v>
      </c>
      <c r="G159" s="69">
        <f t="shared" si="4"/>
        <v>0</v>
      </c>
      <c r="H159" s="69">
        <f t="shared" si="5"/>
        <v>12000000</v>
      </c>
    </row>
    <row r="160" spans="1:8" x14ac:dyDescent="0.25">
      <c r="A160" s="93" t="str">
        <f>[3]Sheet3!A159</f>
        <v>3341.05</v>
      </c>
      <c r="B160" s="65" t="str">
        <f>IF(LEN(A160)=3,VLOOKUP('CĐPS_TH&amp;CT'!A160,HTTK1!$A$5:$F$80,3,0),VLOOKUP('CĐPS_TH&amp;CT'!A160,DMTK!$B$5:$Q$263,3,0))</f>
        <v>Lương CNSX Bàn chữ nhật</v>
      </c>
      <c r="C160" s="69">
        <f>IF(LEN(A160)=3,VLOOKUP(A160,HTTK1!$A$5:$F$80,5,0),VLOOKUP('CĐPS_TH&amp;CT'!A160,DMTK!$B$5:$Q$263,10,0))</f>
        <v>0</v>
      </c>
      <c r="D160" s="69">
        <f>IF(LEN(A160)=3,VLOOKUP(A160,HTTK1!$A$5:$F$80,6,0),VLOOKUP('CĐPS_TH&amp;CT'!A160,DMTK!$B$5:$Q$263,11,0))</f>
        <v>10000000</v>
      </c>
      <c r="E160" s="69">
        <f>SUMIFS(CT!$H$5:$H$143,CT!$D$5:$D$143,'CĐPS_TH&amp;CT'!A160&amp;"*")</f>
        <v>40000000</v>
      </c>
      <c r="F160" s="69">
        <f>SUMIFS(CT!$H$5:$H$143,CT!$E$5:$E$143,'CĐPS_TH&amp;CT'!A160&amp;"*")</f>
        <v>40000000</v>
      </c>
      <c r="G160" s="69">
        <f t="shared" si="4"/>
        <v>0</v>
      </c>
      <c r="H160" s="69">
        <f t="shared" si="5"/>
        <v>10000000</v>
      </c>
    </row>
    <row r="161" spans="1:8" x14ac:dyDescent="0.25">
      <c r="A161" s="93" t="str">
        <f>[3]Sheet3!A160</f>
        <v>3348.01</v>
      </c>
      <c r="B161" s="65" t="str">
        <f>IF(LEN(A161)=3,VLOOKUP('CĐPS_TH&amp;CT'!A161,HTTK1!$A$5:$F$80,3,0),VLOOKUP('CĐPS_TH&amp;CT'!A161,DMTK!$B$5:$Q$263,3,0))</f>
        <v>Lương NV QLPX</v>
      </c>
      <c r="C161" s="69">
        <f>IF(LEN(A161)=3,VLOOKUP(A161,HTTK1!$A$5:$F$80,5,0),VLOOKUP('CĐPS_TH&amp;CT'!A161,DMTK!$B$5:$Q$263,10,0))</f>
        <v>0</v>
      </c>
      <c r="D161" s="69">
        <f>IF(LEN(A161)=3,VLOOKUP(A161,HTTK1!$A$5:$F$80,6,0),VLOOKUP('CĐPS_TH&amp;CT'!A161,DMTK!$B$5:$Q$263,11,0))</f>
        <v>53000000</v>
      </c>
      <c r="E161" s="69">
        <f>SUMIFS(CT!$H$5:$H$143,CT!$D$5:$D$143,'CĐPS_TH&amp;CT'!A161&amp;"*")</f>
        <v>35000000</v>
      </c>
      <c r="F161" s="69">
        <f>SUMIFS(CT!$H$5:$H$143,CT!$E$5:$E$143,'CĐPS_TH&amp;CT'!A161&amp;"*")</f>
        <v>35000000</v>
      </c>
      <c r="G161" s="69">
        <f t="shared" si="4"/>
        <v>0</v>
      </c>
      <c r="H161" s="69">
        <f t="shared" si="5"/>
        <v>53000000</v>
      </c>
    </row>
    <row r="162" spans="1:8" x14ac:dyDescent="0.25">
      <c r="A162" s="93" t="str">
        <f>[3]Sheet3!A161</f>
        <v>3348.02</v>
      </c>
      <c r="B162" s="65" t="str">
        <f>IF(LEN(A162)=3,VLOOKUP('CĐPS_TH&amp;CT'!A162,HTTK1!$A$5:$F$80,3,0),VLOOKUP('CĐPS_TH&amp;CT'!A162,DMTK!$B$5:$Q$263,3,0))</f>
        <v>Lương NV bán hàng</v>
      </c>
      <c r="C162" s="69">
        <f>IF(LEN(A162)=3,VLOOKUP(A162,HTTK1!$A$5:$F$80,5,0),VLOOKUP('CĐPS_TH&amp;CT'!A162,DMTK!$B$5:$Q$263,10,0))</f>
        <v>0</v>
      </c>
      <c r="D162" s="69">
        <f>IF(LEN(A162)=3,VLOOKUP(A162,HTTK1!$A$5:$F$80,6,0),VLOOKUP('CĐPS_TH&amp;CT'!A162,DMTK!$B$5:$Q$263,11,0))</f>
        <v>3000000</v>
      </c>
      <c r="E162" s="69">
        <f>SUMIFS(CT!$H$5:$H$143,CT!$D$5:$D$143,'CĐPS_TH&amp;CT'!A162&amp;"*")</f>
        <v>5000000</v>
      </c>
      <c r="F162" s="69">
        <f>SUMIFS(CT!$H$5:$H$143,CT!$E$5:$E$143,'CĐPS_TH&amp;CT'!A162&amp;"*")</f>
        <v>5000000</v>
      </c>
      <c r="G162" s="69">
        <f t="shared" si="4"/>
        <v>0</v>
      </c>
      <c r="H162" s="69">
        <f t="shared" si="5"/>
        <v>3000000</v>
      </c>
    </row>
    <row r="163" spans="1:8" x14ac:dyDescent="0.25">
      <c r="A163" s="93" t="str">
        <f>[3]Sheet3!A162</f>
        <v>3348.03</v>
      </c>
      <c r="B163" s="65" t="str">
        <f>IF(LEN(A163)=3,VLOOKUP('CĐPS_TH&amp;CT'!A163,HTTK1!$A$5:$F$80,3,0),VLOOKUP('CĐPS_TH&amp;CT'!A163,DMTK!$B$5:$Q$263,3,0))</f>
        <v>Lương CB QLDN</v>
      </c>
      <c r="C163" s="69">
        <f>IF(LEN(A163)=3,VLOOKUP(A163,HTTK1!$A$5:$F$80,5,0),VLOOKUP('CĐPS_TH&amp;CT'!A163,DMTK!$B$5:$Q$263,10,0))</f>
        <v>0</v>
      </c>
      <c r="D163" s="69">
        <f>IF(LEN(A163)=3,VLOOKUP(A163,HTTK1!$A$5:$F$80,6,0),VLOOKUP('CĐPS_TH&amp;CT'!A163,DMTK!$B$5:$Q$263,11,0))</f>
        <v>1500000</v>
      </c>
      <c r="E163" s="69">
        <f>SUMIFS(CT!$H$5:$H$143,CT!$D$5:$D$143,'CĐPS_TH&amp;CT'!A163&amp;"*")</f>
        <v>7000000</v>
      </c>
      <c r="F163" s="69">
        <f>SUMIFS(CT!$H$5:$H$143,CT!$E$5:$E$143,'CĐPS_TH&amp;CT'!A163&amp;"*")</f>
        <v>7000000</v>
      </c>
      <c r="G163" s="69">
        <f t="shared" si="4"/>
        <v>0</v>
      </c>
      <c r="H163" s="69">
        <f t="shared" si="5"/>
        <v>1500000</v>
      </c>
    </row>
    <row r="164" spans="1:8" s="72" customFormat="1" x14ac:dyDescent="0.25">
      <c r="A164" s="128" t="str">
        <f>[3]Sheet3!A163</f>
        <v>335</v>
      </c>
      <c r="B164" s="71" t="str">
        <f>IF(LEN(A164)=3,VLOOKUP('CĐPS_TH&amp;CT'!A164,HTTK1!$A$5:$F$80,3,0),VLOOKUP('CĐPS_TH&amp;CT'!A164,DMTK!$B$5:$Q$263,3,0))</f>
        <v>Chi phí phải trả</v>
      </c>
      <c r="C164" s="69">
        <f>IF(LEN(A164)=3,VLOOKUP(A164,HTTK1!$A$5:$F$80,5,0),VLOOKUP('CĐPS_TH&amp;CT'!A164,DMTK!$B$5:$Q$263,10,0))</f>
        <v>0</v>
      </c>
      <c r="D164" s="69">
        <f>IF(LEN(A164)=3,VLOOKUP(A164,HTTK1!$A$5:$F$80,6,0),VLOOKUP('CĐPS_TH&amp;CT'!A164,DMTK!$B$5:$Q$263,11,0))</f>
        <v>56000000</v>
      </c>
      <c r="E164" s="69">
        <f>SUMIFS(CT!$H$5:$H$143,CT!$D$5:$D$143,'CĐPS_TH&amp;CT'!A164&amp;"*")</f>
        <v>0</v>
      </c>
      <c r="F164" s="69">
        <f>SUMIFS(CT!$H$5:$H$143,CT!$E$5:$E$143,'CĐPS_TH&amp;CT'!A164&amp;"*")</f>
        <v>0</v>
      </c>
      <c r="G164" s="69">
        <f t="shared" si="4"/>
        <v>0</v>
      </c>
      <c r="H164" s="69">
        <f t="shared" si="5"/>
        <v>56000000</v>
      </c>
    </row>
    <row r="165" spans="1:8" x14ac:dyDescent="0.25">
      <c r="A165" s="93" t="str">
        <f>[3]Sheet3!A164</f>
        <v>3351</v>
      </c>
      <c r="B165" s="65" t="str">
        <f>IF(LEN(A165)=3,VLOOKUP('CĐPS_TH&amp;CT'!A165,HTTK1!$A$5:$F$80,3,0),VLOOKUP('CĐPS_TH&amp;CT'!A165,DMTK!$B$5:$Q$263,3,0))</f>
        <v>Chi phí phải trả (ngắn hạn)</v>
      </c>
      <c r="C165" s="69">
        <f>IF(LEN(A165)=3,VLOOKUP(A165,HTTK1!$A$5:$F$80,5,0),VLOOKUP('CĐPS_TH&amp;CT'!A165,DMTK!$B$5:$Q$263,10,0))</f>
        <v>0</v>
      </c>
      <c r="D165" s="69">
        <f>IF(LEN(A165)=3,VLOOKUP(A165,HTTK1!$A$5:$F$80,6,0),VLOOKUP('CĐPS_TH&amp;CT'!A165,DMTK!$B$5:$Q$263,11,0))</f>
        <v>56000000</v>
      </c>
      <c r="E165" s="69">
        <f>SUMIFS(CT!$H$5:$H$143,CT!$D$5:$D$143,'CĐPS_TH&amp;CT'!A165&amp;"*")</f>
        <v>0</v>
      </c>
      <c r="F165" s="69">
        <f>SUMIFS(CT!$H$5:$H$143,CT!$E$5:$E$143,'CĐPS_TH&amp;CT'!A165&amp;"*")</f>
        <v>0</v>
      </c>
      <c r="G165" s="69">
        <f t="shared" si="4"/>
        <v>0</v>
      </c>
      <c r="H165" s="69">
        <f t="shared" si="5"/>
        <v>56000000</v>
      </c>
    </row>
    <row r="166" spans="1:8" x14ac:dyDescent="0.25">
      <c r="A166" s="93" t="str">
        <f>[3]Sheet3!A165</f>
        <v>3352</v>
      </c>
      <c r="B166" s="65" t="str">
        <f>IF(LEN(A166)=3,VLOOKUP('CĐPS_TH&amp;CT'!A166,HTTK1!$A$5:$F$80,3,0),VLOOKUP('CĐPS_TH&amp;CT'!A166,DMTK!$B$5:$Q$263,3,0))</f>
        <v>Chi phí phải trả (dài hạn)</v>
      </c>
      <c r="C166" s="69">
        <f>IF(LEN(A166)=3,VLOOKUP(A166,HTTK1!$A$5:$F$80,5,0),VLOOKUP('CĐPS_TH&amp;CT'!A166,DMTK!$B$5:$Q$263,10,0))</f>
        <v>0</v>
      </c>
      <c r="D166" s="69">
        <f>IF(LEN(A166)=3,VLOOKUP(A166,HTTK1!$A$5:$F$80,6,0),VLOOKUP('CĐPS_TH&amp;CT'!A166,DMTK!$B$5:$Q$263,11,0))</f>
        <v>0</v>
      </c>
      <c r="E166" s="69">
        <f>SUMIFS(CT!$H$5:$H$143,CT!$D$5:$D$143,'CĐPS_TH&amp;CT'!A166&amp;"*")</f>
        <v>0</v>
      </c>
      <c r="F166" s="69">
        <f>SUMIFS(CT!$H$5:$H$143,CT!$E$5:$E$143,'CĐPS_TH&amp;CT'!A166&amp;"*")</f>
        <v>0</v>
      </c>
      <c r="G166" s="69">
        <f t="shared" si="4"/>
        <v>0</v>
      </c>
      <c r="H166" s="69">
        <f t="shared" si="5"/>
        <v>0</v>
      </c>
    </row>
    <row r="167" spans="1:8" s="72" customFormat="1" x14ac:dyDescent="0.25">
      <c r="A167" s="128" t="str">
        <f>[3]Sheet3!A166</f>
        <v>336</v>
      </c>
      <c r="B167" s="71" t="str">
        <f>IF(LEN(A167)=3,VLOOKUP('CĐPS_TH&amp;CT'!A167,HTTK1!$A$5:$F$80,3,0),VLOOKUP('CĐPS_TH&amp;CT'!A167,DMTK!$B$5:$Q$263,3,0))</f>
        <v>Phải trả nội bộ</v>
      </c>
      <c r="C167" s="69">
        <f>IF(LEN(A167)=3,VLOOKUP(A167,HTTK1!$A$5:$F$80,5,0),VLOOKUP('CĐPS_TH&amp;CT'!A167,DMTK!$B$5:$Q$263,10,0))</f>
        <v>0</v>
      </c>
      <c r="D167" s="69">
        <f>IF(LEN(A167)=3,VLOOKUP(A167,HTTK1!$A$5:$F$80,6,0),VLOOKUP('CĐPS_TH&amp;CT'!A167,DMTK!$B$5:$Q$263,11,0))</f>
        <v>0</v>
      </c>
      <c r="E167" s="69">
        <f>SUMIFS(CT!$H$5:$H$143,CT!$D$5:$D$143,'CĐPS_TH&amp;CT'!A167&amp;"*")</f>
        <v>0</v>
      </c>
      <c r="F167" s="69">
        <f>SUMIFS(CT!$H$5:$H$143,CT!$E$5:$E$143,'CĐPS_TH&amp;CT'!A167&amp;"*")</f>
        <v>0</v>
      </c>
      <c r="G167" s="69">
        <f t="shared" si="4"/>
        <v>0</v>
      </c>
      <c r="H167" s="69">
        <f t="shared" si="5"/>
        <v>0</v>
      </c>
    </row>
    <row r="168" spans="1:8" x14ac:dyDescent="0.25">
      <c r="A168" s="93" t="str">
        <f>[3]Sheet3!A167</f>
        <v>3361</v>
      </c>
      <c r="B168" s="65" t="str">
        <f>IF(LEN(A168)=3,VLOOKUP('CĐPS_TH&amp;CT'!A168,HTTK1!$A$5:$F$80,3,0),VLOOKUP('CĐPS_TH&amp;CT'!A168,DMTK!$B$5:$Q$263,3,0))</f>
        <v>Phải trả nội bộ về vốn kinh doanh</v>
      </c>
      <c r="C168" s="69">
        <f>IF(LEN(A168)=3,VLOOKUP(A168,HTTK1!$A$5:$F$80,5,0),VLOOKUP('CĐPS_TH&amp;CT'!A168,DMTK!$B$5:$Q$263,10,0))</f>
        <v>0</v>
      </c>
      <c r="D168" s="69">
        <f>IF(LEN(A168)=3,VLOOKUP(A168,HTTK1!$A$5:$F$80,6,0),VLOOKUP('CĐPS_TH&amp;CT'!A168,DMTK!$B$5:$Q$263,11,0))</f>
        <v>0</v>
      </c>
      <c r="E168" s="69">
        <f>SUMIFS(CT!$H$5:$H$143,CT!$D$5:$D$143,'CĐPS_TH&amp;CT'!A168&amp;"*")</f>
        <v>0</v>
      </c>
      <c r="F168" s="69">
        <f>SUMIFS(CT!$H$5:$H$143,CT!$E$5:$E$143,'CĐPS_TH&amp;CT'!A168&amp;"*")</f>
        <v>0</v>
      </c>
      <c r="G168" s="69">
        <f t="shared" si="4"/>
        <v>0</v>
      </c>
      <c r="H168" s="69">
        <f t="shared" si="5"/>
        <v>0</v>
      </c>
    </row>
    <row r="169" spans="1:8" x14ac:dyDescent="0.25">
      <c r="A169" s="93" t="str">
        <f>[3]Sheet3!A168</f>
        <v>33621</v>
      </c>
      <c r="B169" s="65" t="str">
        <f>IF(LEN(A169)=3,VLOOKUP('CĐPS_TH&amp;CT'!A169,HTTK1!$A$5:$F$80,3,0),VLOOKUP('CĐPS_TH&amp;CT'!A169,DMTK!$B$5:$Q$263,3,0))</f>
        <v>Phải trả nội bộ về chênh lệch tỷ giá</v>
      </c>
      <c r="C169" s="69">
        <f>IF(LEN(A169)=3,VLOOKUP(A169,HTTK1!$A$5:$F$80,5,0),VLOOKUP('CĐPS_TH&amp;CT'!A169,DMTK!$B$5:$Q$263,10,0))</f>
        <v>0</v>
      </c>
      <c r="D169" s="69">
        <f>IF(LEN(A169)=3,VLOOKUP(A169,HTTK1!$A$5:$F$80,6,0),VLOOKUP('CĐPS_TH&amp;CT'!A169,DMTK!$B$5:$Q$263,11,0))</f>
        <v>0</v>
      </c>
      <c r="E169" s="69">
        <f>SUMIFS(CT!$H$5:$H$143,CT!$D$5:$D$143,'CĐPS_TH&amp;CT'!A169&amp;"*")</f>
        <v>0</v>
      </c>
      <c r="F169" s="69">
        <f>SUMIFS(CT!$H$5:$H$143,CT!$E$5:$E$143,'CĐPS_TH&amp;CT'!A169&amp;"*")</f>
        <v>0</v>
      </c>
      <c r="G169" s="69">
        <f t="shared" si="4"/>
        <v>0</v>
      </c>
      <c r="H169" s="69">
        <f t="shared" si="5"/>
        <v>0</v>
      </c>
    </row>
    <row r="170" spans="1:8" x14ac:dyDescent="0.25">
      <c r="A170" s="93" t="str">
        <f>[3]Sheet3!A169</f>
        <v>33622</v>
      </c>
      <c r="B170" s="65" t="str">
        <f>IF(LEN(A170)=3,VLOOKUP('CĐPS_TH&amp;CT'!A170,HTTK1!$A$5:$F$80,3,0),VLOOKUP('CĐPS_TH&amp;CT'!A170,DMTK!$B$5:$Q$263,3,0))</f>
        <v>Phải trả nội bộ về chênh lệch tỷ giá (dài hạn)</v>
      </c>
      <c r="C170" s="69">
        <f>IF(LEN(A170)=3,VLOOKUP(A170,HTTK1!$A$5:$F$80,5,0),VLOOKUP('CĐPS_TH&amp;CT'!A170,DMTK!$B$5:$Q$263,10,0))</f>
        <v>0</v>
      </c>
      <c r="D170" s="69">
        <f>IF(LEN(A170)=3,VLOOKUP(A170,HTTK1!$A$5:$F$80,6,0),VLOOKUP('CĐPS_TH&amp;CT'!A170,DMTK!$B$5:$Q$263,11,0))</f>
        <v>0</v>
      </c>
      <c r="E170" s="69">
        <f>SUMIFS(CT!$H$5:$H$143,CT!$D$5:$D$143,'CĐPS_TH&amp;CT'!A170&amp;"*")</f>
        <v>0</v>
      </c>
      <c r="F170" s="69">
        <f>SUMIFS(CT!$H$5:$H$143,CT!$E$5:$E$143,'CĐPS_TH&amp;CT'!A170&amp;"*")</f>
        <v>0</v>
      </c>
      <c r="G170" s="69">
        <f t="shared" si="4"/>
        <v>0</v>
      </c>
      <c r="H170" s="69">
        <f t="shared" si="5"/>
        <v>0</v>
      </c>
    </row>
    <row r="171" spans="1:8" x14ac:dyDescent="0.25">
      <c r="A171" s="93" t="str">
        <f>[3]Sheet3!A170</f>
        <v>33631</v>
      </c>
      <c r="B171" s="65" t="str">
        <f>IF(LEN(A171)=3,VLOOKUP('CĐPS_TH&amp;CT'!A171,HTTK1!$A$5:$F$80,3,0),VLOOKUP('CĐPS_TH&amp;CT'!A171,DMTK!$B$5:$Q$263,3,0))</f>
        <v>Phải trả nội bộ về chi phí đi vay đủ điều kiện được vốn hóa</v>
      </c>
      <c r="C171" s="69">
        <f>IF(LEN(A171)=3,VLOOKUP(A171,HTTK1!$A$5:$F$80,5,0),VLOOKUP('CĐPS_TH&amp;CT'!A171,DMTK!$B$5:$Q$263,10,0))</f>
        <v>0</v>
      </c>
      <c r="D171" s="69">
        <f>IF(LEN(A171)=3,VLOOKUP(A171,HTTK1!$A$5:$F$80,6,0),VLOOKUP('CĐPS_TH&amp;CT'!A171,DMTK!$B$5:$Q$263,11,0))</f>
        <v>0</v>
      </c>
      <c r="E171" s="69">
        <f>SUMIFS(CT!$H$5:$H$143,CT!$D$5:$D$143,'CĐPS_TH&amp;CT'!A171&amp;"*")</f>
        <v>0</v>
      </c>
      <c r="F171" s="69">
        <f>SUMIFS(CT!$H$5:$H$143,CT!$E$5:$E$143,'CĐPS_TH&amp;CT'!A171&amp;"*")</f>
        <v>0</v>
      </c>
      <c r="G171" s="69">
        <f t="shared" si="4"/>
        <v>0</v>
      </c>
      <c r="H171" s="69">
        <f t="shared" si="5"/>
        <v>0</v>
      </c>
    </row>
    <row r="172" spans="1:8" x14ac:dyDescent="0.25">
      <c r="A172" s="93" t="str">
        <f>[3]Sheet3!A171</f>
        <v>33632</v>
      </c>
      <c r="B172" s="65" t="str">
        <f>IF(LEN(A172)=3,VLOOKUP('CĐPS_TH&amp;CT'!A172,HTTK1!$A$5:$F$80,3,0),VLOOKUP('CĐPS_TH&amp;CT'!A172,DMTK!$B$5:$Q$263,3,0))</f>
        <v>Phải trả nội bộ về chi phí đi vay đủ điều kiện được vốn hóa (dài hạn)</v>
      </c>
      <c r="C172" s="69">
        <f>IF(LEN(A172)=3,VLOOKUP(A172,HTTK1!$A$5:$F$80,5,0),VLOOKUP('CĐPS_TH&amp;CT'!A172,DMTK!$B$5:$Q$263,10,0))</f>
        <v>0</v>
      </c>
      <c r="D172" s="69">
        <f>IF(LEN(A172)=3,VLOOKUP(A172,HTTK1!$A$5:$F$80,6,0),VLOOKUP('CĐPS_TH&amp;CT'!A172,DMTK!$B$5:$Q$263,11,0))</f>
        <v>0</v>
      </c>
      <c r="E172" s="69">
        <f>SUMIFS(CT!$H$5:$H$143,CT!$D$5:$D$143,'CĐPS_TH&amp;CT'!A172&amp;"*")</f>
        <v>0</v>
      </c>
      <c r="F172" s="69">
        <f>SUMIFS(CT!$H$5:$H$143,CT!$E$5:$E$143,'CĐPS_TH&amp;CT'!A172&amp;"*")</f>
        <v>0</v>
      </c>
      <c r="G172" s="69">
        <f t="shared" si="4"/>
        <v>0</v>
      </c>
      <c r="H172" s="69">
        <f t="shared" si="5"/>
        <v>0</v>
      </c>
    </row>
    <row r="173" spans="1:8" x14ac:dyDescent="0.25">
      <c r="A173" s="93" t="str">
        <f>[3]Sheet3!A172</f>
        <v>33681</v>
      </c>
      <c r="B173" s="65" t="str">
        <f>IF(LEN(A173)=3,VLOOKUP('CĐPS_TH&amp;CT'!A173,HTTK1!$A$5:$F$80,3,0),VLOOKUP('CĐPS_TH&amp;CT'!A173,DMTK!$B$5:$Q$263,3,0))</f>
        <v>Phải trả nội bộ khác</v>
      </c>
      <c r="C173" s="69">
        <f>IF(LEN(A173)=3,VLOOKUP(A173,HTTK1!$A$5:$F$80,5,0),VLOOKUP('CĐPS_TH&amp;CT'!A173,DMTK!$B$5:$Q$263,10,0))</f>
        <v>0</v>
      </c>
      <c r="D173" s="69">
        <f>IF(LEN(A173)=3,VLOOKUP(A173,HTTK1!$A$5:$F$80,6,0),VLOOKUP('CĐPS_TH&amp;CT'!A173,DMTK!$B$5:$Q$263,11,0))</f>
        <v>0</v>
      </c>
      <c r="E173" s="69">
        <f>SUMIFS(CT!$H$5:$H$143,CT!$D$5:$D$143,'CĐPS_TH&amp;CT'!A173&amp;"*")</f>
        <v>0</v>
      </c>
      <c r="F173" s="69">
        <f>SUMIFS(CT!$H$5:$H$143,CT!$E$5:$E$143,'CĐPS_TH&amp;CT'!A173&amp;"*")</f>
        <v>0</v>
      </c>
      <c r="G173" s="69">
        <f t="shared" si="4"/>
        <v>0</v>
      </c>
      <c r="H173" s="69">
        <f t="shared" si="5"/>
        <v>0</v>
      </c>
    </row>
    <row r="174" spans="1:8" x14ac:dyDescent="0.25">
      <c r="A174" s="93" t="str">
        <f>[3]Sheet3!A173</f>
        <v>33682</v>
      </c>
      <c r="B174" s="65" t="str">
        <f>IF(LEN(A174)=3,VLOOKUP('CĐPS_TH&amp;CT'!A174,HTTK1!$A$5:$F$80,3,0),VLOOKUP('CĐPS_TH&amp;CT'!A174,DMTK!$B$5:$Q$263,3,0))</f>
        <v>Phải trả nội bộ khác (dài hạn)</v>
      </c>
      <c r="C174" s="69">
        <f>IF(LEN(A174)=3,VLOOKUP(A174,HTTK1!$A$5:$F$80,5,0),VLOOKUP('CĐPS_TH&amp;CT'!A174,DMTK!$B$5:$Q$263,10,0))</f>
        <v>0</v>
      </c>
      <c r="D174" s="69">
        <f>IF(LEN(A174)=3,VLOOKUP(A174,HTTK1!$A$5:$F$80,6,0),VLOOKUP('CĐPS_TH&amp;CT'!A174,DMTK!$B$5:$Q$263,11,0))</f>
        <v>0</v>
      </c>
      <c r="E174" s="69">
        <f>SUMIFS(CT!$H$5:$H$143,CT!$D$5:$D$143,'CĐPS_TH&amp;CT'!A174&amp;"*")</f>
        <v>0</v>
      </c>
      <c r="F174" s="69">
        <f>SUMIFS(CT!$H$5:$H$143,CT!$E$5:$E$143,'CĐPS_TH&amp;CT'!A174&amp;"*")</f>
        <v>0</v>
      </c>
      <c r="G174" s="69">
        <f t="shared" si="4"/>
        <v>0</v>
      </c>
      <c r="H174" s="69">
        <f t="shared" si="5"/>
        <v>0</v>
      </c>
    </row>
    <row r="175" spans="1:8" s="72" customFormat="1" x14ac:dyDescent="0.25">
      <c r="A175" s="128" t="str">
        <f>[3]Sheet3!A174</f>
        <v>337</v>
      </c>
      <c r="B175" s="71" t="str">
        <f>IF(LEN(A175)=3,VLOOKUP('CĐPS_TH&amp;CT'!A175,HTTK1!$A$5:$F$80,3,0),VLOOKUP('CĐPS_TH&amp;CT'!A175,DMTK!$B$5:$Q$263,3,0))</f>
        <v>Thanh toán theo tiến độ kế hoạch hợp đồng xây dựng</v>
      </c>
      <c r="C175" s="69">
        <f>IF(LEN(A175)=3,VLOOKUP(A175,HTTK1!$A$5:$F$80,5,0),VLOOKUP('CĐPS_TH&amp;CT'!A175,DMTK!$B$5:$Q$263,10,0))</f>
        <v>0</v>
      </c>
      <c r="D175" s="69">
        <f>IF(LEN(A175)=3,VLOOKUP(A175,HTTK1!$A$5:$F$80,6,0),VLOOKUP('CĐPS_TH&amp;CT'!A175,DMTK!$B$5:$Q$263,11,0))</f>
        <v>0</v>
      </c>
      <c r="E175" s="69">
        <f>SUMIFS(CT!$H$5:$H$143,CT!$D$5:$D$143,'CĐPS_TH&amp;CT'!A175&amp;"*")</f>
        <v>0</v>
      </c>
      <c r="F175" s="69">
        <f>SUMIFS(CT!$H$5:$H$143,CT!$E$5:$E$143,'CĐPS_TH&amp;CT'!A175&amp;"*")</f>
        <v>0</v>
      </c>
      <c r="G175" s="69">
        <f t="shared" si="4"/>
        <v>0</v>
      </c>
      <c r="H175" s="69">
        <f t="shared" si="5"/>
        <v>0</v>
      </c>
    </row>
    <row r="176" spans="1:8" s="72" customFormat="1" x14ac:dyDescent="0.25">
      <c r="A176" s="128" t="str">
        <f>[3]Sheet3!A175</f>
        <v>338</v>
      </c>
      <c r="B176" s="71" t="str">
        <f>IF(LEN(A176)=3,VLOOKUP('CĐPS_TH&amp;CT'!A176,HTTK1!$A$5:$F$80,3,0),VLOOKUP('CĐPS_TH&amp;CT'!A176,DMTK!$B$5:$Q$263,3,0))</f>
        <v>Phải trả, phải nộp khác</v>
      </c>
      <c r="C176" s="69">
        <f>IF(LEN(A176)=3,VLOOKUP(A176,HTTK1!$A$5:$F$80,5,0),VLOOKUP('CĐPS_TH&amp;CT'!A176,DMTK!$B$5:$Q$263,10,0))</f>
        <v>0</v>
      </c>
      <c r="D176" s="69">
        <f>IF(LEN(A176)=3,VLOOKUP(A176,HTTK1!$A$5:$F$80,6,0),VLOOKUP('CĐPS_TH&amp;CT'!A176,DMTK!$B$5:$Q$263,11,0))</f>
        <v>58800000</v>
      </c>
      <c r="E176" s="69">
        <f>SUMIFS(CT!$H$5:$H$143,CT!$D$5:$D$143,'CĐPS_TH&amp;CT'!A176&amp;"*")</f>
        <v>0</v>
      </c>
      <c r="F176" s="69">
        <f>SUMIFS(CT!$H$5:$H$143,CT!$E$5:$E$143,'CĐPS_TH&amp;CT'!A176&amp;"*")</f>
        <v>54340000</v>
      </c>
      <c r="G176" s="69">
        <f t="shared" si="4"/>
        <v>0</v>
      </c>
      <c r="H176" s="69">
        <f t="shared" si="5"/>
        <v>113140000</v>
      </c>
    </row>
    <row r="177" spans="1:8" x14ac:dyDescent="0.25">
      <c r="A177" s="93" t="str">
        <f>[3]Sheet3!A176</f>
        <v>3381</v>
      </c>
      <c r="B177" s="65" t="str">
        <f>IF(LEN(A177)=3,VLOOKUP('CĐPS_TH&amp;CT'!A177,HTTK1!$A$5:$F$80,3,0),VLOOKUP('CĐPS_TH&amp;CT'!A177,DMTK!$B$5:$Q$263,3,0))</f>
        <v>Tài sản thừa chờ giải quyết</v>
      </c>
      <c r="C177" s="69">
        <f>IF(LEN(A177)=3,VLOOKUP(A177,HTTK1!$A$5:$F$80,5,0),VLOOKUP('CĐPS_TH&amp;CT'!A177,DMTK!$B$5:$Q$263,10,0))</f>
        <v>0</v>
      </c>
      <c r="D177" s="69">
        <f>IF(LEN(A177)=3,VLOOKUP(A177,HTTK1!$A$5:$F$80,6,0),VLOOKUP('CĐPS_TH&amp;CT'!A177,DMTK!$B$5:$Q$263,11,0))</f>
        <v>0</v>
      </c>
      <c r="E177" s="69">
        <f>SUMIFS(CT!$H$5:$H$143,CT!$D$5:$D$143,'CĐPS_TH&amp;CT'!A177&amp;"*")</f>
        <v>0</v>
      </c>
      <c r="F177" s="69">
        <f>SUMIFS(CT!$H$5:$H$143,CT!$E$5:$E$143,'CĐPS_TH&amp;CT'!A177&amp;"*")</f>
        <v>0</v>
      </c>
      <c r="G177" s="69">
        <f t="shared" si="4"/>
        <v>0</v>
      </c>
      <c r="H177" s="69">
        <f t="shared" si="5"/>
        <v>0</v>
      </c>
    </row>
    <row r="178" spans="1:8" x14ac:dyDescent="0.25">
      <c r="A178" s="93" t="str">
        <f>[3]Sheet3!A177</f>
        <v>3382</v>
      </c>
      <c r="B178" s="65" t="str">
        <f>IF(LEN(A178)=3,VLOOKUP('CĐPS_TH&amp;CT'!A178,HTTK1!$A$5:$F$80,3,0),VLOOKUP('CĐPS_TH&amp;CT'!A178,DMTK!$B$5:$Q$263,3,0))</f>
        <v>Kinh phí công đoàn</v>
      </c>
      <c r="C178" s="69">
        <f>IF(LEN(A178)=3,VLOOKUP(A178,HTTK1!$A$5:$F$80,5,0),VLOOKUP('CĐPS_TH&amp;CT'!A178,DMTK!$B$5:$Q$263,10,0))</f>
        <v>0</v>
      </c>
      <c r="D178" s="69">
        <f>IF(LEN(A178)=3,VLOOKUP(A178,HTTK1!$A$5:$F$80,6,0),VLOOKUP('CĐPS_TH&amp;CT'!A178,DMTK!$B$5:$Q$263,11,0))</f>
        <v>0</v>
      </c>
      <c r="E178" s="69">
        <f>SUMIFS(CT!$H$5:$H$143,CT!$D$5:$D$143,'CĐPS_TH&amp;CT'!A178&amp;"*")</f>
        <v>0</v>
      </c>
      <c r="F178" s="69">
        <f>SUMIFS(CT!$H$5:$H$143,CT!$E$5:$E$143,'CĐPS_TH&amp;CT'!A178&amp;"*")</f>
        <v>4940000</v>
      </c>
      <c r="G178" s="69">
        <f t="shared" si="4"/>
        <v>0</v>
      </c>
      <c r="H178" s="69">
        <f t="shared" si="5"/>
        <v>4940000</v>
      </c>
    </row>
    <row r="179" spans="1:8" x14ac:dyDescent="0.25">
      <c r="A179" s="93" t="str">
        <f>[3]Sheet3!A178</f>
        <v>3383</v>
      </c>
      <c r="B179" s="65" t="str">
        <f>IF(LEN(A179)=3,VLOOKUP('CĐPS_TH&amp;CT'!A179,HTTK1!$A$5:$F$80,3,0),VLOOKUP('CĐPS_TH&amp;CT'!A179,DMTK!$B$5:$Q$263,3,0))</f>
        <v>Bảo hiểm xã hội</v>
      </c>
      <c r="C179" s="69">
        <f>IF(LEN(A179)=3,VLOOKUP(A179,HTTK1!$A$5:$F$80,5,0),VLOOKUP('CĐPS_TH&amp;CT'!A179,DMTK!$B$5:$Q$263,10,0))</f>
        <v>0</v>
      </c>
      <c r="D179" s="69">
        <f>IF(LEN(A179)=3,VLOOKUP(A179,HTTK1!$A$5:$F$80,6,0),VLOOKUP('CĐPS_TH&amp;CT'!A179,DMTK!$B$5:$Q$263,11,0))</f>
        <v>20000000</v>
      </c>
      <c r="E179" s="69">
        <f>SUMIFS(CT!$H$5:$H$143,CT!$D$5:$D$143,'CĐPS_TH&amp;CT'!A179&amp;"*")</f>
        <v>0</v>
      </c>
      <c r="F179" s="69">
        <f>SUMIFS(CT!$H$5:$H$143,CT!$E$5:$E$143,'CĐPS_TH&amp;CT'!A179&amp;"*")</f>
        <v>39520000</v>
      </c>
      <c r="G179" s="69">
        <f t="shared" si="4"/>
        <v>0</v>
      </c>
      <c r="H179" s="69">
        <f t="shared" si="5"/>
        <v>59520000</v>
      </c>
    </row>
    <row r="180" spans="1:8" x14ac:dyDescent="0.25">
      <c r="A180" s="93" t="str">
        <f>[3]Sheet3!A179</f>
        <v>3384</v>
      </c>
      <c r="B180" s="65" t="str">
        <f>IF(LEN(A180)=3,VLOOKUP('CĐPS_TH&amp;CT'!A180,HTTK1!$A$5:$F$80,3,0),VLOOKUP('CĐPS_TH&amp;CT'!A180,DMTK!$B$5:$Q$263,3,0))</f>
        <v>Bảo hiểm y tế</v>
      </c>
      <c r="C180" s="69">
        <f>IF(LEN(A180)=3,VLOOKUP(A180,HTTK1!$A$5:$F$80,5,0),VLOOKUP('CĐPS_TH&amp;CT'!A180,DMTK!$B$5:$Q$263,10,0))</f>
        <v>0</v>
      </c>
      <c r="D180" s="69">
        <f>IF(LEN(A180)=3,VLOOKUP(A180,HTTK1!$A$5:$F$80,6,0),VLOOKUP('CĐPS_TH&amp;CT'!A180,DMTK!$B$5:$Q$263,11,0))</f>
        <v>0</v>
      </c>
      <c r="E180" s="69">
        <f>SUMIFS(CT!$H$5:$H$143,CT!$D$5:$D$143,'CĐPS_TH&amp;CT'!A180&amp;"*")</f>
        <v>0</v>
      </c>
      <c r="F180" s="69">
        <f>SUMIFS(CT!$H$5:$H$143,CT!$E$5:$E$143,'CĐPS_TH&amp;CT'!A180&amp;"*")</f>
        <v>7410000</v>
      </c>
      <c r="G180" s="69">
        <f t="shared" si="4"/>
        <v>0</v>
      </c>
      <c r="H180" s="69">
        <f t="shared" si="5"/>
        <v>7410000</v>
      </c>
    </row>
    <row r="181" spans="1:8" x14ac:dyDescent="0.25">
      <c r="A181" s="93" t="str">
        <f>[3]Sheet3!A180</f>
        <v>3385</v>
      </c>
      <c r="B181" s="65" t="str">
        <f>IF(LEN(A181)=3,VLOOKUP('CĐPS_TH&amp;CT'!A181,HTTK1!$A$5:$F$80,3,0),VLOOKUP('CĐPS_TH&amp;CT'!A181,DMTK!$B$5:$Q$263,3,0))</f>
        <v>Phải trả về cổ phần hóa</v>
      </c>
      <c r="C181" s="69">
        <f>IF(LEN(A181)=3,VLOOKUP(A181,HTTK1!$A$5:$F$80,5,0),VLOOKUP('CĐPS_TH&amp;CT'!A181,DMTK!$B$5:$Q$263,10,0))</f>
        <v>0</v>
      </c>
      <c r="D181" s="69">
        <f>IF(LEN(A181)=3,VLOOKUP(A181,HTTK1!$A$5:$F$80,6,0),VLOOKUP('CĐPS_TH&amp;CT'!A181,DMTK!$B$5:$Q$263,11,0))</f>
        <v>0</v>
      </c>
      <c r="E181" s="69">
        <f>SUMIFS(CT!$H$5:$H$143,CT!$D$5:$D$143,'CĐPS_TH&amp;CT'!A181&amp;"*")</f>
        <v>0</v>
      </c>
      <c r="F181" s="69">
        <f>SUMIFS(CT!$H$5:$H$143,CT!$E$5:$E$143,'CĐPS_TH&amp;CT'!A181&amp;"*")</f>
        <v>0</v>
      </c>
      <c r="G181" s="69">
        <f t="shared" si="4"/>
        <v>0</v>
      </c>
      <c r="H181" s="69">
        <f t="shared" si="5"/>
        <v>0</v>
      </c>
    </row>
    <row r="182" spans="1:8" x14ac:dyDescent="0.25">
      <c r="A182" s="93" t="str">
        <f>[3]Sheet3!A181</f>
        <v>3386</v>
      </c>
      <c r="B182" s="65" t="str">
        <f>IF(LEN(A182)=3,VLOOKUP('CĐPS_TH&amp;CT'!A182,HTTK1!$A$5:$F$80,3,0),VLOOKUP('CĐPS_TH&amp;CT'!A182,DMTK!$B$5:$Q$263,3,0))</f>
        <v>Bảo hiểm thất nghiệp</v>
      </c>
      <c r="C182" s="69">
        <f>IF(LEN(A182)=3,VLOOKUP(A182,HTTK1!$A$5:$F$80,5,0),VLOOKUP('CĐPS_TH&amp;CT'!A182,DMTK!$B$5:$Q$263,10,0))</f>
        <v>0</v>
      </c>
      <c r="D182" s="69">
        <f>IF(LEN(A182)=3,VLOOKUP(A182,HTTK1!$A$5:$F$80,6,0),VLOOKUP('CĐPS_TH&amp;CT'!A182,DMTK!$B$5:$Q$263,11,0))</f>
        <v>0</v>
      </c>
      <c r="E182" s="69">
        <f>SUMIFS(CT!$H$5:$H$143,CT!$D$5:$D$143,'CĐPS_TH&amp;CT'!A182&amp;"*")</f>
        <v>0</v>
      </c>
      <c r="F182" s="69">
        <f>SUMIFS(CT!$H$5:$H$143,CT!$E$5:$E$143,'CĐPS_TH&amp;CT'!A182&amp;"*")</f>
        <v>0</v>
      </c>
      <c r="G182" s="69">
        <f t="shared" si="4"/>
        <v>0</v>
      </c>
      <c r="H182" s="69">
        <f t="shared" si="5"/>
        <v>0</v>
      </c>
    </row>
    <row r="183" spans="1:8" x14ac:dyDescent="0.25">
      <c r="A183" s="93" t="str">
        <f>[3]Sheet3!A182</f>
        <v>33871</v>
      </c>
      <c r="B183" s="65" t="str">
        <f>IF(LEN(A183)=3,VLOOKUP('CĐPS_TH&amp;CT'!A183,HTTK1!$A$5:$F$80,3,0),VLOOKUP('CĐPS_TH&amp;CT'!A183,DMTK!$B$5:$Q$263,3,0))</f>
        <v>Doanh thu chưa thực hiện</v>
      </c>
      <c r="C183" s="69">
        <f>IF(LEN(A183)=3,VLOOKUP(A183,HTTK1!$A$5:$F$80,5,0),VLOOKUP('CĐPS_TH&amp;CT'!A183,DMTK!$B$5:$Q$263,10,0))</f>
        <v>0</v>
      </c>
      <c r="D183" s="69">
        <f>IF(LEN(A183)=3,VLOOKUP(A183,HTTK1!$A$5:$F$80,6,0),VLOOKUP('CĐPS_TH&amp;CT'!A183,DMTK!$B$5:$Q$263,11,0))</f>
        <v>0</v>
      </c>
      <c r="E183" s="69">
        <f>SUMIFS(CT!$H$5:$H$143,CT!$D$5:$D$143,'CĐPS_TH&amp;CT'!A183&amp;"*")</f>
        <v>0</v>
      </c>
      <c r="F183" s="69">
        <f>SUMIFS(CT!$H$5:$H$143,CT!$E$5:$E$143,'CĐPS_TH&amp;CT'!A183&amp;"*")</f>
        <v>0</v>
      </c>
      <c r="G183" s="69">
        <f t="shared" si="4"/>
        <v>0</v>
      </c>
      <c r="H183" s="69">
        <f t="shared" si="5"/>
        <v>0</v>
      </c>
    </row>
    <row r="184" spans="1:8" x14ac:dyDescent="0.25">
      <c r="A184" s="93" t="str">
        <f>[3]Sheet3!A183</f>
        <v>33872</v>
      </c>
      <c r="B184" s="65" t="str">
        <f>IF(LEN(A184)=3,VLOOKUP('CĐPS_TH&amp;CT'!A184,HTTK1!$A$5:$F$80,3,0),VLOOKUP('CĐPS_TH&amp;CT'!A184,DMTK!$B$5:$Q$263,3,0))</f>
        <v>Doanh thu chưa thực hiện (sau 12 tháng)</v>
      </c>
      <c r="C184" s="69">
        <f>IF(LEN(A184)=3,VLOOKUP(A184,HTTK1!$A$5:$F$80,5,0),VLOOKUP('CĐPS_TH&amp;CT'!A184,DMTK!$B$5:$Q$263,10,0))</f>
        <v>0</v>
      </c>
      <c r="D184" s="69">
        <f>IF(LEN(A184)=3,VLOOKUP(A184,HTTK1!$A$5:$F$80,6,0),VLOOKUP('CĐPS_TH&amp;CT'!A184,DMTK!$B$5:$Q$263,11,0))</f>
        <v>0</v>
      </c>
      <c r="E184" s="69">
        <f>SUMIFS(CT!$H$5:$H$143,CT!$D$5:$D$143,'CĐPS_TH&amp;CT'!A184&amp;"*")</f>
        <v>0</v>
      </c>
      <c r="F184" s="69">
        <f>SUMIFS(CT!$H$5:$H$143,CT!$E$5:$E$143,'CĐPS_TH&amp;CT'!A184&amp;"*")</f>
        <v>0</v>
      </c>
      <c r="G184" s="69">
        <f t="shared" si="4"/>
        <v>0</v>
      </c>
      <c r="H184" s="69">
        <f t="shared" si="5"/>
        <v>0</v>
      </c>
    </row>
    <row r="185" spans="1:8" x14ac:dyDescent="0.25">
      <c r="A185" s="93" t="str">
        <f>[3]Sheet3!A184</f>
        <v>3388</v>
      </c>
      <c r="B185" s="65" t="str">
        <f>IF(LEN(A185)=3,VLOOKUP('CĐPS_TH&amp;CT'!A185,HTTK1!$A$5:$F$80,3,0),VLOOKUP('CĐPS_TH&amp;CT'!A185,DMTK!$B$5:$Q$263,3,0))</f>
        <v>Phải trả, phải nộp khác</v>
      </c>
      <c r="C185" s="69">
        <f>IF(LEN(A185)=3,VLOOKUP(A185,HTTK1!$A$5:$F$80,5,0),VLOOKUP('CĐPS_TH&amp;CT'!A185,DMTK!$B$5:$Q$263,10,0))</f>
        <v>0</v>
      </c>
      <c r="D185" s="69">
        <f>IF(LEN(A185)=3,VLOOKUP(A185,HTTK1!$A$5:$F$80,6,0),VLOOKUP('CĐPS_TH&amp;CT'!A185,DMTK!$B$5:$Q$263,11,0))</f>
        <v>38800000</v>
      </c>
      <c r="E185" s="69">
        <f>SUMIFS(CT!$H$5:$H$143,CT!$D$5:$D$143,'CĐPS_TH&amp;CT'!A185&amp;"*")</f>
        <v>0</v>
      </c>
      <c r="F185" s="69">
        <f>SUMIFS(CT!$H$5:$H$143,CT!$E$5:$E$143,'CĐPS_TH&amp;CT'!A185&amp;"*")</f>
        <v>2470000</v>
      </c>
      <c r="G185" s="69">
        <f t="shared" si="4"/>
        <v>0</v>
      </c>
      <c r="H185" s="69">
        <f t="shared" si="5"/>
        <v>41270000</v>
      </c>
    </row>
    <row r="186" spans="1:8" s="72" customFormat="1" x14ac:dyDescent="0.25">
      <c r="A186" s="128" t="str">
        <f>[3]Sheet3!A185</f>
        <v>341</v>
      </c>
      <c r="B186" s="71" t="str">
        <f>IF(LEN(A186)=3,VLOOKUP('CĐPS_TH&amp;CT'!A186,HTTK1!$A$5:$F$80,3,0),VLOOKUP('CĐPS_TH&amp;CT'!A186,DMTK!$B$5:$Q$263,3,0))</f>
        <v>Vay và nợ thuê tài chính</v>
      </c>
      <c r="C186" s="69">
        <f>IF(LEN(A186)=3,VLOOKUP(A186,HTTK1!$A$5:$F$80,5,0),VLOOKUP('CĐPS_TH&amp;CT'!A186,DMTK!$B$5:$Q$263,10,0))</f>
        <v>0</v>
      </c>
      <c r="D186" s="69">
        <f>IF(LEN(A186)=3,VLOOKUP(A186,HTTK1!$A$5:$F$80,6,0),VLOOKUP('CĐPS_TH&amp;CT'!A186,DMTK!$B$5:$Q$263,11,0))</f>
        <v>385000000</v>
      </c>
      <c r="E186" s="69">
        <f>SUMIFS(CT!$H$5:$H$143,CT!$D$5:$D$143,'CĐPS_TH&amp;CT'!A186&amp;"*")</f>
        <v>0</v>
      </c>
      <c r="F186" s="69">
        <f>SUMIFS(CT!$H$5:$H$143,CT!$E$5:$E$143,'CĐPS_TH&amp;CT'!A186&amp;"*")</f>
        <v>0</v>
      </c>
      <c r="G186" s="69">
        <f t="shared" si="4"/>
        <v>0</v>
      </c>
      <c r="H186" s="69">
        <f t="shared" si="5"/>
        <v>385000000</v>
      </c>
    </row>
    <row r="187" spans="1:8" x14ac:dyDescent="0.25">
      <c r="A187" s="93" t="str">
        <f>[3]Sheet3!A186</f>
        <v>3411</v>
      </c>
      <c r="B187" s="65" t="str">
        <f>IF(LEN(A187)=3,VLOOKUP('CĐPS_TH&amp;CT'!A187,HTTK1!$A$5:$F$80,3,0),VLOOKUP('CĐPS_TH&amp;CT'!A187,DMTK!$B$5:$Q$263,3,0))</f>
        <v>Các khoản đi vay</v>
      </c>
      <c r="C187" s="69">
        <f>IF(LEN(A187)=3,VLOOKUP(A187,HTTK1!$A$5:$F$80,5,0),VLOOKUP('CĐPS_TH&amp;CT'!A187,DMTK!$B$5:$Q$263,10,0))</f>
        <v>0</v>
      </c>
      <c r="D187" s="69">
        <f>IF(LEN(A187)=3,VLOOKUP(A187,HTTK1!$A$5:$F$80,6,0),VLOOKUP('CĐPS_TH&amp;CT'!A187,DMTK!$B$5:$Q$263,11,0))</f>
        <v>385000000</v>
      </c>
      <c r="E187" s="69">
        <f>SUMIFS(CT!$H$5:$H$143,CT!$D$5:$D$143,'CĐPS_TH&amp;CT'!A187&amp;"*")</f>
        <v>0</v>
      </c>
      <c r="F187" s="69">
        <f>SUMIFS(CT!$H$5:$H$143,CT!$E$5:$E$143,'CĐPS_TH&amp;CT'!A187&amp;"*")</f>
        <v>0</v>
      </c>
      <c r="G187" s="69">
        <f t="shared" si="4"/>
        <v>0</v>
      </c>
      <c r="H187" s="69">
        <f t="shared" si="5"/>
        <v>385000000</v>
      </c>
    </row>
    <row r="188" spans="1:8" x14ac:dyDescent="0.25">
      <c r="A188" s="93" t="str">
        <f>[3]Sheet3!A187</f>
        <v>3412</v>
      </c>
      <c r="B188" s="65" t="str">
        <f>IF(LEN(A188)=3,VLOOKUP('CĐPS_TH&amp;CT'!A188,HTTK1!$A$5:$F$80,3,0),VLOOKUP('CĐPS_TH&amp;CT'!A188,DMTK!$B$5:$Q$263,3,0))</f>
        <v>Nợ thuê tài chính</v>
      </c>
      <c r="C188" s="69">
        <f>IF(LEN(A188)=3,VLOOKUP(A188,HTTK1!$A$5:$F$80,5,0),VLOOKUP('CĐPS_TH&amp;CT'!A188,DMTK!$B$5:$Q$263,10,0))</f>
        <v>0</v>
      </c>
      <c r="D188" s="69">
        <f>IF(LEN(A188)=3,VLOOKUP(A188,HTTK1!$A$5:$F$80,6,0),VLOOKUP('CĐPS_TH&amp;CT'!A188,DMTK!$B$5:$Q$263,11,0))</f>
        <v>0</v>
      </c>
      <c r="E188" s="69">
        <f>SUMIFS(CT!$H$5:$H$143,CT!$D$5:$D$143,'CĐPS_TH&amp;CT'!A188&amp;"*")</f>
        <v>0</v>
      </c>
      <c r="F188" s="69">
        <f>SUMIFS(CT!$H$5:$H$143,CT!$E$5:$E$143,'CĐPS_TH&amp;CT'!A188&amp;"*")</f>
        <v>0</v>
      </c>
      <c r="G188" s="69">
        <f t="shared" si="4"/>
        <v>0</v>
      </c>
      <c r="H188" s="69">
        <f t="shared" si="5"/>
        <v>0</v>
      </c>
    </row>
    <row r="189" spans="1:8" s="72" customFormat="1" x14ac:dyDescent="0.25">
      <c r="A189" s="128" t="str">
        <f>[3]Sheet3!A188</f>
        <v>343</v>
      </c>
      <c r="B189" s="71" t="str">
        <f>IF(LEN(A189)=3,VLOOKUP('CĐPS_TH&amp;CT'!A189,HTTK1!$A$5:$F$80,3,0),VLOOKUP('CĐPS_TH&amp;CT'!A189,DMTK!$B$5:$Q$263,3,0))</f>
        <v>Trái phiếu phát hành</v>
      </c>
      <c r="C189" s="69">
        <f>IF(LEN(A189)=3,VLOOKUP(A189,HTTK1!$A$5:$F$80,5,0),VLOOKUP('CĐPS_TH&amp;CT'!A189,DMTK!$B$5:$Q$263,10,0))</f>
        <v>0</v>
      </c>
      <c r="D189" s="69">
        <f>IF(LEN(A189)=3,VLOOKUP(A189,HTTK1!$A$5:$F$80,6,0),VLOOKUP('CĐPS_TH&amp;CT'!A189,DMTK!$B$5:$Q$263,11,0))</f>
        <v>0</v>
      </c>
      <c r="E189" s="69">
        <f>SUMIFS(CT!$H$5:$H$143,CT!$D$5:$D$143,'CĐPS_TH&amp;CT'!A189&amp;"*")</f>
        <v>0</v>
      </c>
      <c r="F189" s="69">
        <f>SUMIFS(CT!$H$5:$H$143,CT!$E$5:$E$143,'CĐPS_TH&amp;CT'!A189&amp;"*")</f>
        <v>0</v>
      </c>
      <c r="G189" s="69">
        <f t="shared" si="4"/>
        <v>0</v>
      </c>
      <c r="H189" s="69">
        <f t="shared" si="5"/>
        <v>0</v>
      </c>
    </row>
    <row r="190" spans="1:8" x14ac:dyDescent="0.25">
      <c r="A190" s="93" t="str">
        <f>[3]Sheet3!A189</f>
        <v>34311</v>
      </c>
      <c r="B190" s="65" t="str">
        <f>IF(LEN(A190)=3,VLOOKUP('CĐPS_TH&amp;CT'!A190,HTTK1!$A$5:$F$80,3,0),VLOOKUP('CĐPS_TH&amp;CT'!A190,DMTK!$B$5:$Q$263,3,0))</f>
        <v>Mệnh giá trái phiếu</v>
      </c>
      <c r="C190" s="69">
        <f>IF(LEN(A190)=3,VLOOKUP(A190,HTTK1!$A$5:$F$80,5,0),VLOOKUP('CĐPS_TH&amp;CT'!A190,DMTK!$B$5:$Q$263,10,0))</f>
        <v>0</v>
      </c>
      <c r="D190" s="69">
        <f>IF(LEN(A190)=3,VLOOKUP(A190,HTTK1!$A$5:$F$80,6,0),VLOOKUP('CĐPS_TH&amp;CT'!A190,DMTK!$B$5:$Q$263,11,0))</f>
        <v>0</v>
      </c>
      <c r="E190" s="69">
        <f>SUMIFS(CT!$H$5:$H$143,CT!$D$5:$D$143,'CĐPS_TH&amp;CT'!A190&amp;"*")</f>
        <v>0</v>
      </c>
      <c r="F190" s="69">
        <f>SUMIFS(CT!$H$5:$H$143,CT!$E$5:$E$143,'CĐPS_TH&amp;CT'!A190&amp;"*")</f>
        <v>0</v>
      </c>
      <c r="G190" s="69">
        <f t="shared" si="4"/>
        <v>0</v>
      </c>
      <c r="H190" s="69">
        <f t="shared" si="5"/>
        <v>0</v>
      </c>
    </row>
    <row r="191" spans="1:8" x14ac:dyDescent="0.25">
      <c r="A191" s="93" t="str">
        <f>[3]Sheet3!A190</f>
        <v>34312</v>
      </c>
      <c r="B191" s="65" t="str">
        <f>IF(LEN(A191)=3,VLOOKUP('CĐPS_TH&amp;CT'!A191,HTTK1!$A$5:$F$80,3,0),VLOOKUP('CĐPS_TH&amp;CT'!A191,DMTK!$B$5:$Q$263,3,0))</f>
        <v>Chiết khấu trái phiếu</v>
      </c>
      <c r="C191" s="69">
        <f>IF(LEN(A191)=3,VLOOKUP(A191,HTTK1!$A$5:$F$80,5,0),VLOOKUP('CĐPS_TH&amp;CT'!A191,DMTK!$B$5:$Q$263,10,0))</f>
        <v>0</v>
      </c>
      <c r="D191" s="69">
        <f>IF(LEN(A191)=3,VLOOKUP(A191,HTTK1!$A$5:$F$80,6,0),VLOOKUP('CĐPS_TH&amp;CT'!A191,DMTK!$B$5:$Q$263,11,0))</f>
        <v>0</v>
      </c>
      <c r="E191" s="69">
        <f>SUMIFS(CT!$H$5:$H$143,CT!$D$5:$D$143,'CĐPS_TH&amp;CT'!A191&amp;"*")</f>
        <v>0</v>
      </c>
      <c r="F191" s="69">
        <f>SUMIFS(CT!$H$5:$H$143,CT!$E$5:$E$143,'CĐPS_TH&amp;CT'!A191&amp;"*")</f>
        <v>0</v>
      </c>
      <c r="G191" s="69">
        <f t="shared" si="4"/>
        <v>0</v>
      </c>
      <c r="H191" s="69">
        <f t="shared" si="5"/>
        <v>0</v>
      </c>
    </row>
    <row r="192" spans="1:8" x14ac:dyDescent="0.25">
      <c r="A192" s="93" t="str">
        <f>[3]Sheet3!A191</f>
        <v>34313</v>
      </c>
      <c r="B192" s="65" t="str">
        <f>IF(LEN(A192)=3,VLOOKUP('CĐPS_TH&amp;CT'!A192,HTTK1!$A$5:$F$80,3,0),VLOOKUP('CĐPS_TH&amp;CT'!A192,DMTK!$B$5:$Q$263,3,0))</f>
        <v>Phụ trội trái phiếu</v>
      </c>
      <c r="C192" s="69">
        <f>IF(LEN(A192)=3,VLOOKUP(A192,HTTK1!$A$5:$F$80,5,0),VLOOKUP('CĐPS_TH&amp;CT'!A192,DMTK!$B$5:$Q$263,10,0))</f>
        <v>0</v>
      </c>
      <c r="D192" s="69">
        <f>IF(LEN(A192)=3,VLOOKUP(A192,HTTK1!$A$5:$F$80,6,0),VLOOKUP('CĐPS_TH&amp;CT'!A192,DMTK!$B$5:$Q$263,11,0))</f>
        <v>0</v>
      </c>
      <c r="E192" s="69">
        <f>SUMIFS(CT!$H$5:$H$143,CT!$D$5:$D$143,'CĐPS_TH&amp;CT'!A192&amp;"*")</f>
        <v>0</v>
      </c>
      <c r="F192" s="69">
        <f>SUMIFS(CT!$H$5:$H$143,CT!$E$5:$E$143,'CĐPS_TH&amp;CT'!A192&amp;"*")</f>
        <v>0</v>
      </c>
      <c r="G192" s="69">
        <f t="shared" si="4"/>
        <v>0</v>
      </c>
      <c r="H192" s="69">
        <f t="shared" si="5"/>
        <v>0</v>
      </c>
    </row>
    <row r="193" spans="1:8" x14ac:dyDescent="0.25">
      <c r="A193" s="93" t="str">
        <f>[3]Sheet3!A192</f>
        <v>3432</v>
      </c>
      <c r="B193" s="65" t="str">
        <f>IF(LEN(A193)=3,VLOOKUP('CĐPS_TH&amp;CT'!A193,HTTK1!$A$5:$F$80,3,0),VLOOKUP('CĐPS_TH&amp;CT'!A193,DMTK!$B$5:$Q$263,3,0))</f>
        <v>Trái phiếu chuyển đổi</v>
      </c>
      <c r="C193" s="69">
        <f>IF(LEN(A193)=3,VLOOKUP(A193,HTTK1!$A$5:$F$80,5,0),VLOOKUP('CĐPS_TH&amp;CT'!A193,DMTK!$B$5:$Q$263,10,0))</f>
        <v>0</v>
      </c>
      <c r="D193" s="69">
        <f>IF(LEN(A193)=3,VLOOKUP(A193,HTTK1!$A$5:$F$80,6,0),VLOOKUP('CĐPS_TH&amp;CT'!A193,DMTK!$B$5:$Q$263,11,0))</f>
        <v>0</v>
      </c>
      <c r="E193" s="69">
        <f>SUMIFS(CT!$H$5:$H$143,CT!$D$5:$D$143,'CĐPS_TH&amp;CT'!A193&amp;"*")</f>
        <v>0</v>
      </c>
      <c r="F193" s="69">
        <f>SUMIFS(CT!$H$5:$H$143,CT!$E$5:$E$143,'CĐPS_TH&amp;CT'!A193&amp;"*")</f>
        <v>0</v>
      </c>
      <c r="G193" s="69">
        <f t="shared" si="4"/>
        <v>0</v>
      </c>
      <c r="H193" s="69">
        <f t="shared" si="5"/>
        <v>0</v>
      </c>
    </row>
    <row r="194" spans="1:8" s="72" customFormat="1" x14ac:dyDescent="0.25">
      <c r="A194" s="128" t="str">
        <f>[3]Sheet3!A193</f>
        <v>344</v>
      </c>
      <c r="B194" s="71" t="str">
        <f>IF(LEN(A194)=3,VLOOKUP('CĐPS_TH&amp;CT'!A194,HTTK1!$A$5:$F$80,3,0),VLOOKUP('CĐPS_TH&amp;CT'!A194,DMTK!$B$5:$Q$263,3,0))</f>
        <v xml:space="preserve">Nhận ký quỹ, ký cược </v>
      </c>
      <c r="C194" s="69">
        <f>IF(LEN(A194)=3,VLOOKUP(A194,HTTK1!$A$5:$F$80,5,0),VLOOKUP('CĐPS_TH&amp;CT'!A194,DMTK!$B$5:$Q$263,10,0))</f>
        <v>0</v>
      </c>
      <c r="D194" s="69">
        <f>IF(LEN(A194)=3,VLOOKUP(A194,HTTK1!$A$5:$F$80,6,0),VLOOKUP('CĐPS_TH&amp;CT'!A194,DMTK!$B$5:$Q$263,11,0))</f>
        <v>0</v>
      </c>
      <c r="E194" s="69">
        <f>SUMIFS(CT!$H$5:$H$143,CT!$D$5:$D$143,'CĐPS_TH&amp;CT'!A194&amp;"*")</f>
        <v>0</v>
      </c>
      <c r="F194" s="69">
        <f>SUMIFS(CT!$H$5:$H$143,CT!$E$5:$E$143,'CĐPS_TH&amp;CT'!A194&amp;"*")</f>
        <v>0</v>
      </c>
      <c r="G194" s="69">
        <f t="shared" si="4"/>
        <v>0</v>
      </c>
      <c r="H194" s="69">
        <f t="shared" si="5"/>
        <v>0</v>
      </c>
    </row>
    <row r="195" spans="1:8" s="72" customFormat="1" x14ac:dyDescent="0.25">
      <c r="A195" s="128" t="str">
        <f>[3]Sheet3!A194</f>
        <v>347</v>
      </c>
      <c r="B195" s="71" t="str">
        <f>IF(LEN(A195)=3,VLOOKUP('CĐPS_TH&amp;CT'!A195,HTTK1!$A$5:$F$80,3,0),VLOOKUP('CĐPS_TH&amp;CT'!A195,DMTK!$B$5:$Q$263,3,0))</f>
        <v>Thuế thu nhập hoãn lại phải trả</v>
      </c>
      <c r="C195" s="69">
        <f>IF(LEN(A195)=3,VLOOKUP(A195,HTTK1!$A$5:$F$80,5,0),VLOOKUP('CĐPS_TH&amp;CT'!A195,DMTK!$B$5:$Q$263,10,0))</f>
        <v>0</v>
      </c>
      <c r="D195" s="69">
        <f>IF(LEN(A195)=3,VLOOKUP(A195,HTTK1!$A$5:$F$80,6,0),VLOOKUP('CĐPS_TH&amp;CT'!A195,DMTK!$B$5:$Q$263,11,0))</f>
        <v>0</v>
      </c>
      <c r="E195" s="69">
        <f>SUMIFS(CT!$H$5:$H$143,CT!$D$5:$D$143,'CĐPS_TH&amp;CT'!A195&amp;"*")</f>
        <v>0</v>
      </c>
      <c r="F195" s="69">
        <f>SUMIFS(CT!$H$5:$H$143,CT!$E$5:$E$143,'CĐPS_TH&amp;CT'!A195&amp;"*")</f>
        <v>0</v>
      </c>
      <c r="G195" s="69">
        <f t="shared" si="4"/>
        <v>0</v>
      </c>
      <c r="H195" s="69">
        <f t="shared" si="5"/>
        <v>0</v>
      </c>
    </row>
    <row r="196" spans="1:8" s="72" customFormat="1" x14ac:dyDescent="0.25">
      <c r="A196" s="128" t="str">
        <f>[3]Sheet3!A195</f>
        <v>352</v>
      </c>
      <c r="B196" s="71" t="str">
        <f>IF(LEN(A196)=3,VLOOKUP('CĐPS_TH&amp;CT'!A196,HTTK1!$A$5:$F$80,3,0),VLOOKUP('CĐPS_TH&amp;CT'!A196,DMTK!$B$5:$Q$263,3,0))</f>
        <v>Dự phòng phải trả</v>
      </c>
      <c r="C196" s="69">
        <f>IF(LEN(A196)=3,VLOOKUP(A196,HTTK1!$A$5:$F$80,5,0),VLOOKUP('CĐPS_TH&amp;CT'!A196,DMTK!$B$5:$Q$263,10,0))</f>
        <v>0</v>
      </c>
      <c r="D196" s="69">
        <f>IF(LEN(A196)=3,VLOOKUP(A196,HTTK1!$A$5:$F$80,6,0),VLOOKUP('CĐPS_TH&amp;CT'!A196,DMTK!$B$5:$Q$263,11,0))</f>
        <v>22000000</v>
      </c>
      <c r="E196" s="69">
        <f>SUMIFS(CT!$H$5:$H$143,CT!$D$5:$D$143,'CĐPS_TH&amp;CT'!A196&amp;"*")</f>
        <v>0</v>
      </c>
      <c r="F196" s="69">
        <f>SUMIFS(CT!$H$5:$H$143,CT!$E$5:$E$143,'CĐPS_TH&amp;CT'!A196&amp;"*")</f>
        <v>0</v>
      </c>
      <c r="G196" s="69">
        <f t="shared" si="4"/>
        <v>0</v>
      </c>
      <c r="H196" s="69">
        <f t="shared" si="5"/>
        <v>22000000</v>
      </c>
    </row>
    <row r="197" spans="1:8" x14ac:dyDescent="0.25">
      <c r="A197" s="93" t="str">
        <f>[3]Sheet3!A196</f>
        <v>3521</v>
      </c>
      <c r="B197" s="65" t="str">
        <f>IF(LEN(A197)=3,VLOOKUP('CĐPS_TH&amp;CT'!A197,HTTK1!$A$5:$F$80,3,0),VLOOKUP('CĐPS_TH&amp;CT'!A197,DMTK!$B$5:$Q$263,3,0))</f>
        <v>Dự phòng bảo hành sản phẩm hàng hóa</v>
      </c>
      <c r="C197" s="69">
        <f>IF(LEN(A197)=3,VLOOKUP(A197,HTTK1!$A$5:$F$80,5,0),VLOOKUP('CĐPS_TH&amp;CT'!A197,DMTK!$B$5:$Q$263,10,0))</f>
        <v>0</v>
      </c>
      <c r="D197" s="69">
        <f>IF(LEN(A197)=3,VLOOKUP(A197,HTTK1!$A$5:$F$80,6,0),VLOOKUP('CĐPS_TH&amp;CT'!A197,DMTK!$B$5:$Q$263,11,0))</f>
        <v>22000000</v>
      </c>
      <c r="E197" s="69">
        <f>SUMIFS(CT!$H$5:$H$143,CT!$D$5:$D$143,'CĐPS_TH&amp;CT'!A197&amp;"*")</f>
        <v>0</v>
      </c>
      <c r="F197" s="69">
        <f>SUMIFS(CT!$H$5:$H$143,CT!$E$5:$E$143,'CĐPS_TH&amp;CT'!A197&amp;"*")</f>
        <v>0</v>
      </c>
      <c r="G197" s="69">
        <f t="shared" si="4"/>
        <v>0</v>
      </c>
      <c r="H197" s="69">
        <f t="shared" si="5"/>
        <v>22000000</v>
      </c>
    </row>
    <row r="198" spans="1:8" x14ac:dyDescent="0.25">
      <c r="A198" s="93" t="str">
        <f>[3]Sheet3!A197</f>
        <v>3522</v>
      </c>
      <c r="B198" s="65" t="str">
        <f>IF(LEN(A198)=3,VLOOKUP('CĐPS_TH&amp;CT'!A198,HTTK1!$A$5:$F$80,3,0),VLOOKUP('CĐPS_TH&amp;CT'!A198,DMTK!$B$5:$Q$263,3,0))</f>
        <v>Dự phòng bảo hành công trình xây dựng</v>
      </c>
      <c r="C198" s="69">
        <f>IF(LEN(A198)=3,VLOOKUP(A198,HTTK1!$A$5:$F$80,5,0),VLOOKUP('CĐPS_TH&amp;CT'!A198,DMTK!$B$5:$Q$263,10,0))</f>
        <v>0</v>
      </c>
      <c r="D198" s="69">
        <f>IF(LEN(A198)=3,VLOOKUP(A198,HTTK1!$A$5:$F$80,6,0),VLOOKUP('CĐPS_TH&amp;CT'!A198,DMTK!$B$5:$Q$263,11,0))</f>
        <v>0</v>
      </c>
      <c r="E198" s="69">
        <f>SUMIFS(CT!$H$5:$H$143,CT!$D$5:$D$143,'CĐPS_TH&amp;CT'!A198&amp;"*")</f>
        <v>0</v>
      </c>
      <c r="F198" s="69">
        <f>SUMIFS(CT!$H$5:$H$143,CT!$E$5:$E$143,'CĐPS_TH&amp;CT'!A198&amp;"*")</f>
        <v>0</v>
      </c>
      <c r="G198" s="69">
        <f t="shared" si="4"/>
        <v>0</v>
      </c>
      <c r="H198" s="69">
        <f t="shared" si="5"/>
        <v>0</v>
      </c>
    </row>
    <row r="199" spans="1:8" x14ac:dyDescent="0.25">
      <c r="A199" s="93" t="str">
        <f>[3]Sheet3!A198</f>
        <v>3523</v>
      </c>
      <c r="B199" s="65" t="str">
        <f>IF(LEN(A199)=3,VLOOKUP('CĐPS_TH&amp;CT'!A199,HTTK1!$A$5:$F$80,3,0),VLOOKUP('CĐPS_TH&amp;CT'!A199,DMTK!$B$5:$Q$263,3,0))</f>
        <v>Dự phòng tái cơ cấu doanh nghiệp</v>
      </c>
      <c r="C199" s="69">
        <f>IF(LEN(A199)=3,VLOOKUP(A199,HTTK1!$A$5:$F$80,5,0),VLOOKUP('CĐPS_TH&amp;CT'!A199,DMTK!$B$5:$Q$263,10,0))</f>
        <v>0</v>
      </c>
      <c r="D199" s="69">
        <f>IF(LEN(A199)=3,VLOOKUP(A199,HTTK1!$A$5:$F$80,6,0),VLOOKUP('CĐPS_TH&amp;CT'!A199,DMTK!$B$5:$Q$263,11,0))</f>
        <v>0</v>
      </c>
      <c r="E199" s="69">
        <f>SUMIFS(CT!$H$5:$H$143,CT!$D$5:$D$143,'CĐPS_TH&amp;CT'!A199&amp;"*")</f>
        <v>0</v>
      </c>
      <c r="F199" s="69">
        <f>SUMIFS(CT!$H$5:$H$143,CT!$E$5:$E$143,'CĐPS_TH&amp;CT'!A199&amp;"*")</f>
        <v>0</v>
      </c>
      <c r="G199" s="69">
        <f t="shared" ref="G199:G262" si="6">MAX(C199+E199-D199-F199,0)</f>
        <v>0</v>
      </c>
      <c r="H199" s="69">
        <f t="shared" ref="H199:H262" si="7">MAX(D199+F199-C199-E199,0)</f>
        <v>0</v>
      </c>
    </row>
    <row r="200" spans="1:8" x14ac:dyDescent="0.25">
      <c r="A200" s="93" t="str">
        <f>[3]Sheet3!A199</f>
        <v>3524</v>
      </c>
      <c r="B200" s="65" t="str">
        <f>IF(LEN(A200)=3,VLOOKUP('CĐPS_TH&amp;CT'!A200,HTTK1!$A$5:$F$80,3,0),VLOOKUP('CĐPS_TH&amp;CT'!A200,DMTK!$B$5:$Q$263,3,0))</f>
        <v>Dự phòng phải trả khác</v>
      </c>
      <c r="C200" s="69">
        <f>IF(LEN(A200)=3,VLOOKUP(A200,HTTK1!$A$5:$F$80,5,0),VLOOKUP('CĐPS_TH&amp;CT'!A200,DMTK!$B$5:$Q$263,10,0))</f>
        <v>0</v>
      </c>
      <c r="D200" s="69">
        <f>IF(LEN(A200)=3,VLOOKUP(A200,HTTK1!$A$5:$F$80,6,0),VLOOKUP('CĐPS_TH&amp;CT'!A200,DMTK!$B$5:$Q$263,11,0))</f>
        <v>0</v>
      </c>
      <c r="E200" s="69">
        <f>SUMIFS(CT!$H$5:$H$143,CT!$D$5:$D$143,'CĐPS_TH&amp;CT'!A200&amp;"*")</f>
        <v>0</v>
      </c>
      <c r="F200" s="69">
        <f>SUMIFS(CT!$H$5:$H$143,CT!$E$5:$E$143,'CĐPS_TH&amp;CT'!A200&amp;"*")</f>
        <v>0</v>
      </c>
      <c r="G200" s="69">
        <f t="shared" si="6"/>
        <v>0</v>
      </c>
      <c r="H200" s="69">
        <f t="shared" si="7"/>
        <v>0</v>
      </c>
    </row>
    <row r="201" spans="1:8" s="72" customFormat="1" x14ac:dyDescent="0.25">
      <c r="A201" s="128" t="str">
        <f>[3]Sheet3!A200</f>
        <v>353</v>
      </c>
      <c r="B201" s="71" t="str">
        <f>IF(LEN(A201)=3,VLOOKUP('CĐPS_TH&amp;CT'!A201,HTTK1!$A$5:$F$80,3,0),VLOOKUP('CĐPS_TH&amp;CT'!A201,DMTK!$B$5:$Q$263,3,0))</f>
        <v>Quỹ khen thưởng phúc lợi</v>
      </c>
      <c r="C201" s="69">
        <f>IF(LEN(A201)=3,VLOOKUP(A201,HTTK1!$A$5:$F$80,5,0),VLOOKUP('CĐPS_TH&amp;CT'!A201,DMTK!$B$5:$Q$263,10,0))</f>
        <v>0</v>
      </c>
      <c r="D201" s="69">
        <f>IF(LEN(A201)=3,VLOOKUP(A201,HTTK1!$A$5:$F$80,6,0),VLOOKUP('CĐPS_TH&amp;CT'!A201,DMTK!$B$5:$Q$263,11,0))</f>
        <v>83000000</v>
      </c>
      <c r="E201" s="69">
        <f>SUMIFS(CT!$H$5:$H$143,CT!$D$5:$D$143,'CĐPS_TH&amp;CT'!A201&amp;"*")</f>
        <v>0</v>
      </c>
      <c r="F201" s="69">
        <f>SUMIFS(CT!$H$5:$H$143,CT!$E$5:$E$143,'CĐPS_TH&amp;CT'!A201&amp;"*")</f>
        <v>0</v>
      </c>
      <c r="G201" s="69">
        <f t="shared" si="6"/>
        <v>0</v>
      </c>
      <c r="H201" s="69">
        <f t="shared" si="7"/>
        <v>83000000</v>
      </c>
    </row>
    <row r="202" spans="1:8" x14ac:dyDescent="0.25">
      <c r="A202" s="93" t="str">
        <f>[3]Sheet3!A201</f>
        <v>3531</v>
      </c>
      <c r="B202" s="65" t="str">
        <f>IF(LEN(A202)=3,VLOOKUP('CĐPS_TH&amp;CT'!A202,HTTK1!$A$5:$F$80,3,0),VLOOKUP('CĐPS_TH&amp;CT'!A202,DMTK!$B$5:$Q$263,3,0))</f>
        <v>Quỹ khen thưởng</v>
      </c>
      <c r="C202" s="69">
        <f>IF(LEN(A202)=3,VLOOKUP(A202,HTTK1!$A$5:$F$80,5,0),VLOOKUP('CĐPS_TH&amp;CT'!A202,DMTK!$B$5:$Q$263,10,0))</f>
        <v>0</v>
      </c>
      <c r="D202" s="69">
        <f>IF(LEN(A202)=3,VLOOKUP(A202,HTTK1!$A$5:$F$80,6,0),VLOOKUP('CĐPS_TH&amp;CT'!A202,DMTK!$B$5:$Q$263,11,0))</f>
        <v>37000000</v>
      </c>
      <c r="E202" s="69">
        <f>SUMIFS(CT!$H$5:$H$143,CT!$D$5:$D$143,'CĐPS_TH&amp;CT'!A202&amp;"*")</f>
        <v>0</v>
      </c>
      <c r="F202" s="69">
        <f>SUMIFS(CT!$H$5:$H$143,CT!$E$5:$E$143,'CĐPS_TH&amp;CT'!A202&amp;"*")</f>
        <v>0</v>
      </c>
      <c r="G202" s="69">
        <f t="shared" si="6"/>
        <v>0</v>
      </c>
      <c r="H202" s="69">
        <f t="shared" si="7"/>
        <v>37000000</v>
      </c>
    </row>
    <row r="203" spans="1:8" x14ac:dyDescent="0.25">
      <c r="A203" s="93" t="str">
        <f>[3]Sheet3!A202</f>
        <v>3532</v>
      </c>
      <c r="B203" s="65" t="str">
        <f>IF(LEN(A203)=3,VLOOKUP('CĐPS_TH&amp;CT'!A203,HTTK1!$A$5:$F$80,3,0),VLOOKUP('CĐPS_TH&amp;CT'!A203,DMTK!$B$5:$Q$263,3,0))</f>
        <v>Quỹ phúc lợi</v>
      </c>
      <c r="C203" s="69">
        <f>IF(LEN(A203)=3,VLOOKUP(A203,HTTK1!$A$5:$F$80,5,0),VLOOKUP('CĐPS_TH&amp;CT'!A203,DMTK!$B$5:$Q$263,10,0))</f>
        <v>0</v>
      </c>
      <c r="D203" s="69">
        <f>IF(LEN(A203)=3,VLOOKUP(A203,HTTK1!$A$5:$F$80,6,0),VLOOKUP('CĐPS_TH&amp;CT'!A203,DMTK!$B$5:$Q$263,11,0))</f>
        <v>26000000</v>
      </c>
      <c r="E203" s="69">
        <f>SUMIFS(CT!$H$5:$H$143,CT!$D$5:$D$143,'CĐPS_TH&amp;CT'!A203&amp;"*")</f>
        <v>0</v>
      </c>
      <c r="F203" s="69">
        <f>SUMIFS(CT!$H$5:$H$143,CT!$E$5:$E$143,'CĐPS_TH&amp;CT'!A203&amp;"*")</f>
        <v>0</v>
      </c>
      <c r="G203" s="69">
        <f t="shared" si="6"/>
        <v>0</v>
      </c>
      <c r="H203" s="69">
        <f t="shared" si="7"/>
        <v>26000000</v>
      </c>
    </row>
    <row r="204" spans="1:8" x14ac:dyDescent="0.25">
      <c r="A204" s="93" t="str">
        <f>[3]Sheet3!A203</f>
        <v>3533</v>
      </c>
      <c r="B204" s="65" t="str">
        <f>IF(LEN(A204)=3,VLOOKUP('CĐPS_TH&amp;CT'!A204,HTTK1!$A$5:$F$80,3,0),VLOOKUP('CĐPS_TH&amp;CT'!A204,DMTK!$B$5:$Q$263,3,0))</f>
        <v>Quỹ phúc lợi đã hình thành TSCĐ</v>
      </c>
      <c r="C204" s="69">
        <f>IF(LEN(A204)=3,VLOOKUP(A204,HTTK1!$A$5:$F$80,5,0),VLOOKUP('CĐPS_TH&amp;CT'!A204,DMTK!$B$5:$Q$263,10,0))</f>
        <v>0</v>
      </c>
      <c r="D204" s="69">
        <f>IF(LEN(A204)=3,VLOOKUP(A204,HTTK1!$A$5:$F$80,6,0),VLOOKUP('CĐPS_TH&amp;CT'!A204,DMTK!$B$5:$Q$263,11,0))</f>
        <v>20000000</v>
      </c>
      <c r="E204" s="69">
        <f>SUMIFS(CT!$H$5:$H$143,CT!$D$5:$D$143,'CĐPS_TH&amp;CT'!A204&amp;"*")</f>
        <v>0</v>
      </c>
      <c r="F204" s="69">
        <f>SUMIFS(CT!$H$5:$H$143,CT!$E$5:$E$143,'CĐPS_TH&amp;CT'!A204&amp;"*")</f>
        <v>0</v>
      </c>
      <c r="G204" s="69">
        <f t="shared" si="6"/>
        <v>0</v>
      </c>
      <c r="H204" s="69">
        <f t="shared" si="7"/>
        <v>20000000</v>
      </c>
    </row>
    <row r="205" spans="1:8" x14ac:dyDescent="0.25">
      <c r="A205" s="93" t="str">
        <f>[3]Sheet3!A204</f>
        <v>3534</v>
      </c>
      <c r="B205" s="65" t="str">
        <f>IF(LEN(A205)=3,VLOOKUP('CĐPS_TH&amp;CT'!A205,HTTK1!$A$5:$F$80,3,0),VLOOKUP('CĐPS_TH&amp;CT'!A205,DMTK!$B$5:$Q$263,3,0))</f>
        <v>Quỹ thưởng ban điều hành công ty</v>
      </c>
      <c r="C205" s="69">
        <f>IF(LEN(A205)=3,VLOOKUP(A205,HTTK1!$A$5:$F$80,5,0),VLOOKUP('CĐPS_TH&amp;CT'!A205,DMTK!$B$5:$Q$263,10,0))</f>
        <v>0</v>
      </c>
      <c r="D205" s="69">
        <f>IF(LEN(A205)=3,VLOOKUP(A205,HTTK1!$A$5:$F$80,6,0),VLOOKUP('CĐPS_TH&amp;CT'!A205,DMTK!$B$5:$Q$263,11,0))</f>
        <v>0</v>
      </c>
      <c r="E205" s="69">
        <f>SUMIFS(CT!$H$5:$H$143,CT!$D$5:$D$143,'CĐPS_TH&amp;CT'!A205&amp;"*")</f>
        <v>0</v>
      </c>
      <c r="F205" s="69">
        <f>SUMIFS(CT!$H$5:$H$143,CT!$E$5:$E$143,'CĐPS_TH&amp;CT'!A205&amp;"*")</f>
        <v>0</v>
      </c>
      <c r="G205" s="69">
        <f t="shared" si="6"/>
        <v>0</v>
      </c>
      <c r="H205" s="69">
        <f t="shared" si="7"/>
        <v>0</v>
      </c>
    </row>
    <row r="206" spans="1:8" s="72" customFormat="1" x14ac:dyDescent="0.25">
      <c r="A206" s="128" t="str">
        <f>[3]Sheet3!A205</f>
        <v>356</v>
      </c>
      <c r="B206" s="71" t="str">
        <f>IF(LEN(A206)=3,VLOOKUP('CĐPS_TH&amp;CT'!A206,HTTK1!$A$5:$F$80,3,0),VLOOKUP('CĐPS_TH&amp;CT'!A206,DMTK!$B$5:$Q$263,3,0))</f>
        <v>Quỹ phát triển khoa học và công nghệ</v>
      </c>
      <c r="C206" s="69">
        <f>IF(LEN(A206)=3,VLOOKUP(A206,HTTK1!$A$5:$F$80,5,0),VLOOKUP('CĐPS_TH&amp;CT'!A206,DMTK!$B$5:$Q$263,10,0))</f>
        <v>0</v>
      </c>
      <c r="D206" s="69">
        <f>IF(LEN(A206)=3,VLOOKUP(A206,HTTK1!$A$5:$F$80,6,0),VLOOKUP('CĐPS_TH&amp;CT'!A206,DMTK!$B$5:$Q$263,11,0))</f>
        <v>0</v>
      </c>
      <c r="E206" s="69">
        <f>SUMIFS(CT!$H$5:$H$143,CT!$D$5:$D$143,'CĐPS_TH&amp;CT'!A206&amp;"*")</f>
        <v>0</v>
      </c>
      <c r="F206" s="69">
        <f>SUMIFS(CT!$H$5:$H$143,CT!$E$5:$E$143,'CĐPS_TH&amp;CT'!A206&amp;"*")</f>
        <v>0</v>
      </c>
      <c r="G206" s="69">
        <f t="shared" si="6"/>
        <v>0</v>
      </c>
      <c r="H206" s="69">
        <f t="shared" si="7"/>
        <v>0</v>
      </c>
    </row>
    <row r="207" spans="1:8" x14ac:dyDescent="0.25">
      <c r="A207" s="93" t="str">
        <f>[3]Sheet3!A206</f>
        <v>3561</v>
      </c>
      <c r="B207" s="65" t="str">
        <f>IF(LEN(A207)=3,VLOOKUP('CĐPS_TH&amp;CT'!A207,HTTK1!$A$5:$F$80,3,0),VLOOKUP('CĐPS_TH&amp;CT'!A207,DMTK!$B$5:$Q$263,3,0))</f>
        <v>Quỹ phát triển khoa học và công nghệ</v>
      </c>
      <c r="C207" s="69">
        <f>IF(LEN(A207)=3,VLOOKUP(A207,HTTK1!$A$5:$F$80,5,0),VLOOKUP('CĐPS_TH&amp;CT'!A207,DMTK!$B$5:$Q$263,10,0))</f>
        <v>0</v>
      </c>
      <c r="D207" s="69">
        <f>IF(LEN(A207)=3,VLOOKUP(A207,HTTK1!$A$5:$F$80,6,0),VLOOKUP('CĐPS_TH&amp;CT'!A207,DMTK!$B$5:$Q$263,11,0))</f>
        <v>0</v>
      </c>
      <c r="E207" s="69">
        <f>SUMIFS(CT!$H$5:$H$143,CT!$D$5:$D$143,'CĐPS_TH&amp;CT'!A207&amp;"*")</f>
        <v>0</v>
      </c>
      <c r="F207" s="69">
        <f>SUMIFS(CT!$H$5:$H$143,CT!$E$5:$E$143,'CĐPS_TH&amp;CT'!A207&amp;"*")</f>
        <v>0</v>
      </c>
      <c r="G207" s="69">
        <f t="shared" si="6"/>
        <v>0</v>
      </c>
      <c r="H207" s="69">
        <f t="shared" si="7"/>
        <v>0</v>
      </c>
    </row>
    <row r="208" spans="1:8" x14ac:dyDescent="0.25">
      <c r="A208" s="93" t="str">
        <f>[3]Sheet3!A207</f>
        <v>3562</v>
      </c>
      <c r="B208" s="65" t="str">
        <f>IF(LEN(A208)=3,VLOOKUP('CĐPS_TH&amp;CT'!A208,HTTK1!$A$5:$F$80,3,0),VLOOKUP('CĐPS_TH&amp;CT'!A208,DMTK!$B$5:$Q$263,3,0))</f>
        <v>Quỹ phát triển khoa học và công nghệ đã hình thành TSCĐ</v>
      </c>
      <c r="C208" s="69">
        <f>IF(LEN(A208)=3,VLOOKUP(A208,HTTK1!$A$5:$F$80,5,0),VLOOKUP('CĐPS_TH&amp;CT'!A208,DMTK!$B$5:$Q$263,10,0))</f>
        <v>0</v>
      </c>
      <c r="D208" s="69">
        <f>IF(LEN(A208)=3,VLOOKUP(A208,HTTK1!$A$5:$F$80,6,0),VLOOKUP('CĐPS_TH&amp;CT'!A208,DMTK!$B$5:$Q$263,11,0))</f>
        <v>0</v>
      </c>
      <c r="E208" s="69">
        <f>SUMIFS(CT!$H$5:$H$143,CT!$D$5:$D$143,'CĐPS_TH&amp;CT'!A208&amp;"*")</f>
        <v>0</v>
      </c>
      <c r="F208" s="69">
        <f>SUMIFS(CT!$H$5:$H$143,CT!$E$5:$E$143,'CĐPS_TH&amp;CT'!A208&amp;"*")</f>
        <v>0</v>
      </c>
      <c r="G208" s="69">
        <f t="shared" si="6"/>
        <v>0</v>
      </c>
      <c r="H208" s="69">
        <f t="shared" si="7"/>
        <v>0</v>
      </c>
    </row>
    <row r="209" spans="1:8" s="72" customFormat="1" x14ac:dyDescent="0.25">
      <c r="A209" s="128" t="str">
        <f>[3]Sheet3!A208</f>
        <v>357</v>
      </c>
      <c r="B209" s="71" t="str">
        <f>IF(LEN(A209)=3,VLOOKUP('CĐPS_TH&amp;CT'!A209,HTTK1!$A$5:$F$80,3,0),VLOOKUP('CĐPS_TH&amp;CT'!A209,DMTK!$B$5:$Q$263,3,0))</f>
        <v>Quỹ bình ổn giá</v>
      </c>
      <c r="C209" s="69">
        <f>IF(LEN(A209)=3,VLOOKUP(A209,HTTK1!$A$5:$F$80,5,0),VLOOKUP('CĐPS_TH&amp;CT'!A209,DMTK!$B$5:$Q$263,10,0))</f>
        <v>0</v>
      </c>
      <c r="D209" s="69">
        <f>IF(LEN(A209)=3,VLOOKUP(A209,HTTK1!$A$5:$F$80,6,0),VLOOKUP('CĐPS_TH&amp;CT'!A209,DMTK!$B$5:$Q$263,11,0))</f>
        <v>0</v>
      </c>
      <c r="E209" s="69">
        <f>SUMIFS(CT!$H$5:$H$143,CT!$D$5:$D$143,'CĐPS_TH&amp;CT'!A209&amp;"*")</f>
        <v>0</v>
      </c>
      <c r="F209" s="69">
        <f>SUMIFS(CT!$H$5:$H$143,CT!$E$5:$E$143,'CĐPS_TH&amp;CT'!A209&amp;"*")</f>
        <v>0</v>
      </c>
      <c r="G209" s="69">
        <f t="shared" si="6"/>
        <v>0</v>
      </c>
      <c r="H209" s="69">
        <f t="shared" si="7"/>
        <v>0</v>
      </c>
    </row>
    <row r="210" spans="1:8" s="72" customFormat="1" x14ac:dyDescent="0.25">
      <c r="A210" s="128" t="str">
        <f>[3]Sheet3!A209</f>
        <v>411</v>
      </c>
      <c r="B210" s="71" t="str">
        <f>IF(LEN(A210)=3,VLOOKUP('CĐPS_TH&amp;CT'!A210,HTTK1!$A$5:$F$80,3,0),VLOOKUP('CĐPS_TH&amp;CT'!A210,DMTK!$B$5:$Q$263,3,0))</f>
        <v>Vốn đầu tư của chủ sở hữu</v>
      </c>
      <c r="C210" s="69">
        <f>IF(LEN(A210)=3,VLOOKUP(A210,HTTK1!$A$5:$F$80,5,0),VLOOKUP('CĐPS_TH&amp;CT'!A210,DMTK!$B$5:$Q$263,10,0))</f>
        <v>0</v>
      </c>
      <c r="D210" s="69">
        <f>IF(LEN(A210)=3,VLOOKUP(A210,HTTK1!$A$5:$F$80,6,0),VLOOKUP('CĐPS_TH&amp;CT'!A210,DMTK!$B$5:$Q$263,11,0))</f>
        <v>1492539000</v>
      </c>
      <c r="E210" s="69">
        <f>SUMIFS(CT!$H$5:$H$143,CT!$D$5:$D$143,'CĐPS_TH&amp;CT'!A210&amp;"*")</f>
        <v>0</v>
      </c>
      <c r="F210" s="69">
        <f>SUMIFS(CT!$H$5:$H$143,CT!$E$5:$E$143,'CĐPS_TH&amp;CT'!A210&amp;"*")</f>
        <v>0</v>
      </c>
      <c r="G210" s="69">
        <f t="shared" si="6"/>
        <v>0</v>
      </c>
      <c r="H210" s="69">
        <f t="shared" si="7"/>
        <v>1492539000</v>
      </c>
    </row>
    <row r="211" spans="1:8" x14ac:dyDescent="0.25">
      <c r="A211" s="93" t="str">
        <f>[3]Sheet3!A210</f>
        <v>41111</v>
      </c>
      <c r="B211" s="65" t="str">
        <f>IF(LEN(A211)=3,VLOOKUP('CĐPS_TH&amp;CT'!A211,HTTK1!$A$5:$F$80,3,0),VLOOKUP('CĐPS_TH&amp;CT'!A211,DMTK!$B$5:$Q$263,3,0))</f>
        <v>Cổ phiếu phổ thông có quyền biểu quyết</v>
      </c>
      <c r="C211" s="69">
        <f>IF(LEN(A211)=3,VLOOKUP(A211,HTTK1!$A$5:$F$80,5,0),VLOOKUP('CĐPS_TH&amp;CT'!A211,DMTK!$B$5:$Q$263,10,0))</f>
        <v>0</v>
      </c>
      <c r="D211" s="69">
        <f>IF(LEN(A211)=3,VLOOKUP(A211,HTTK1!$A$5:$F$80,6,0),VLOOKUP('CĐPS_TH&amp;CT'!A211,DMTK!$B$5:$Q$263,11,0))</f>
        <v>1430000000</v>
      </c>
      <c r="E211" s="69">
        <f>SUMIFS(CT!$H$5:$H$143,CT!$D$5:$D$143,'CĐPS_TH&amp;CT'!A211&amp;"*")</f>
        <v>0</v>
      </c>
      <c r="F211" s="69">
        <f>SUMIFS(CT!$H$5:$H$143,CT!$E$5:$E$143,'CĐPS_TH&amp;CT'!A211&amp;"*")</f>
        <v>0</v>
      </c>
      <c r="G211" s="69">
        <f t="shared" si="6"/>
        <v>0</v>
      </c>
      <c r="H211" s="69">
        <f t="shared" si="7"/>
        <v>1430000000</v>
      </c>
    </row>
    <row r="212" spans="1:8" x14ac:dyDescent="0.25">
      <c r="A212" s="93" t="str">
        <f>[3]Sheet3!A211</f>
        <v>41112</v>
      </c>
      <c r="B212" s="65" t="str">
        <f>IF(LEN(A212)=3,VLOOKUP('CĐPS_TH&amp;CT'!A212,HTTK1!$A$5:$F$80,3,0),VLOOKUP('CĐPS_TH&amp;CT'!A212,DMTK!$B$5:$Q$263,3,0))</f>
        <v>Cổ phiếu ưu đãi</v>
      </c>
      <c r="C212" s="69">
        <f>IF(LEN(A212)=3,VLOOKUP(A212,HTTK1!$A$5:$F$80,5,0),VLOOKUP('CĐPS_TH&amp;CT'!A212,DMTK!$B$5:$Q$263,10,0))</f>
        <v>0</v>
      </c>
      <c r="D212" s="69">
        <f>IF(LEN(A212)=3,VLOOKUP(A212,HTTK1!$A$5:$F$80,6,0),VLOOKUP('CĐPS_TH&amp;CT'!A212,DMTK!$B$5:$Q$263,11,0))</f>
        <v>43641000</v>
      </c>
      <c r="E212" s="69">
        <f>SUMIFS(CT!$H$5:$H$143,CT!$D$5:$D$143,'CĐPS_TH&amp;CT'!A212&amp;"*")</f>
        <v>0</v>
      </c>
      <c r="F212" s="69">
        <f>SUMIFS(CT!$H$5:$H$143,CT!$E$5:$E$143,'CĐPS_TH&amp;CT'!A212&amp;"*")</f>
        <v>0</v>
      </c>
      <c r="G212" s="69">
        <f t="shared" si="6"/>
        <v>0</v>
      </c>
      <c r="H212" s="69">
        <f t="shared" si="7"/>
        <v>43641000</v>
      </c>
    </row>
    <row r="213" spans="1:8" x14ac:dyDescent="0.25">
      <c r="A213" s="93" t="str">
        <f>[3]Sheet3!A212</f>
        <v>4112</v>
      </c>
      <c r="B213" s="65" t="str">
        <f>IF(LEN(A213)=3,VLOOKUP('CĐPS_TH&amp;CT'!A213,HTTK1!$A$5:$F$80,3,0),VLOOKUP('CĐPS_TH&amp;CT'!A213,DMTK!$B$5:$Q$263,3,0))</f>
        <v>Thặng dư vốn cổ phần</v>
      </c>
      <c r="C213" s="69">
        <f>IF(LEN(A213)=3,VLOOKUP(A213,HTTK1!$A$5:$F$80,5,0),VLOOKUP('CĐPS_TH&amp;CT'!A213,DMTK!$B$5:$Q$263,10,0))</f>
        <v>0</v>
      </c>
      <c r="D213" s="69">
        <f>IF(LEN(A213)=3,VLOOKUP(A213,HTTK1!$A$5:$F$80,6,0),VLOOKUP('CĐPS_TH&amp;CT'!A213,DMTK!$B$5:$Q$263,11,0))</f>
        <v>0</v>
      </c>
      <c r="E213" s="69">
        <f>SUMIFS(CT!$H$5:$H$143,CT!$D$5:$D$143,'CĐPS_TH&amp;CT'!A213&amp;"*")</f>
        <v>0</v>
      </c>
      <c r="F213" s="69">
        <f>SUMIFS(CT!$H$5:$H$143,CT!$E$5:$E$143,'CĐPS_TH&amp;CT'!A213&amp;"*")</f>
        <v>0</v>
      </c>
      <c r="G213" s="69">
        <f t="shared" si="6"/>
        <v>0</v>
      </c>
      <c r="H213" s="69">
        <f t="shared" si="7"/>
        <v>0</v>
      </c>
    </row>
    <row r="214" spans="1:8" x14ac:dyDescent="0.25">
      <c r="A214" s="93" t="str">
        <f>[3]Sheet3!A213</f>
        <v>4113</v>
      </c>
      <c r="B214" s="65" t="str">
        <f>IF(LEN(A214)=3,VLOOKUP('CĐPS_TH&amp;CT'!A214,HTTK1!$A$5:$F$80,3,0),VLOOKUP('CĐPS_TH&amp;CT'!A214,DMTK!$B$5:$Q$263,3,0))</f>
        <v>Quyền chọn chuyển đổi trái phiếu</v>
      </c>
      <c r="C214" s="69">
        <f>IF(LEN(A214)=3,VLOOKUP(A214,HTTK1!$A$5:$F$80,5,0),VLOOKUP('CĐPS_TH&amp;CT'!A214,DMTK!$B$5:$Q$263,10,0))</f>
        <v>0</v>
      </c>
      <c r="D214" s="69">
        <f>IF(LEN(A214)=3,VLOOKUP(A214,HTTK1!$A$5:$F$80,6,0),VLOOKUP('CĐPS_TH&amp;CT'!A214,DMTK!$B$5:$Q$263,11,0))</f>
        <v>0</v>
      </c>
      <c r="E214" s="69">
        <f>SUMIFS(CT!$H$5:$H$143,CT!$D$5:$D$143,'CĐPS_TH&amp;CT'!A214&amp;"*")</f>
        <v>0</v>
      </c>
      <c r="F214" s="69">
        <f>SUMIFS(CT!$H$5:$H$143,CT!$E$5:$E$143,'CĐPS_TH&amp;CT'!A214&amp;"*")</f>
        <v>0</v>
      </c>
      <c r="G214" s="69">
        <f t="shared" si="6"/>
        <v>0</v>
      </c>
      <c r="H214" s="69">
        <f t="shared" si="7"/>
        <v>0</v>
      </c>
    </row>
    <row r="215" spans="1:8" x14ac:dyDescent="0.25">
      <c r="A215" s="93" t="str">
        <f>[3]Sheet3!A214</f>
        <v>4118</v>
      </c>
      <c r="B215" s="65" t="str">
        <f>IF(LEN(A215)=3,VLOOKUP('CĐPS_TH&amp;CT'!A215,HTTK1!$A$5:$F$80,3,0),VLOOKUP('CĐPS_TH&amp;CT'!A215,DMTK!$B$5:$Q$263,3,0))</f>
        <v>Vốn khác</v>
      </c>
      <c r="C215" s="69">
        <f>IF(LEN(A215)=3,VLOOKUP(A215,HTTK1!$A$5:$F$80,5,0),VLOOKUP('CĐPS_TH&amp;CT'!A215,DMTK!$B$5:$Q$263,10,0))</f>
        <v>0</v>
      </c>
      <c r="D215" s="69">
        <f>IF(LEN(A215)=3,VLOOKUP(A215,HTTK1!$A$5:$F$80,6,0),VLOOKUP('CĐPS_TH&amp;CT'!A215,DMTK!$B$5:$Q$263,11,0))</f>
        <v>18898000</v>
      </c>
      <c r="E215" s="69">
        <f>SUMIFS(CT!$H$5:$H$143,CT!$D$5:$D$143,'CĐPS_TH&amp;CT'!A215&amp;"*")</f>
        <v>0</v>
      </c>
      <c r="F215" s="69">
        <f>SUMIFS(CT!$H$5:$H$143,CT!$E$5:$E$143,'CĐPS_TH&amp;CT'!A215&amp;"*")</f>
        <v>0</v>
      </c>
      <c r="G215" s="69">
        <f t="shared" si="6"/>
        <v>0</v>
      </c>
      <c r="H215" s="69">
        <f t="shared" si="7"/>
        <v>18898000</v>
      </c>
    </row>
    <row r="216" spans="1:8" s="72" customFormat="1" x14ac:dyDescent="0.25">
      <c r="A216" s="128" t="str">
        <f>[3]Sheet3!A215</f>
        <v>412</v>
      </c>
      <c r="B216" s="71" t="str">
        <f>IF(LEN(A216)=3,VLOOKUP('CĐPS_TH&amp;CT'!A216,HTTK1!$A$5:$F$80,3,0),VLOOKUP('CĐPS_TH&amp;CT'!A216,DMTK!$B$5:$Q$263,3,0))</f>
        <v>Chênh lệch đánh giá lại tài sản</v>
      </c>
      <c r="C216" s="69">
        <f>IF(LEN(A216)=3,VLOOKUP(A216,HTTK1!$A$5:$F$80,5,0),VLOOKUP('CĐPS_TH&amp;CT'!A216,DMTK!$B$5:$Q$263,10,0))</f>
        <v>0</v>
      </c>
      <c r="D216" s="69">
        <f>IF(LEN(A216)=3,VLOOKUP(A216,HTTK1!$A$5:$F$80,6,0),VLOOKUP('CĐPS_TH&amp;CT'!A216,DMTK!$B$5:$Q$263,11,0))</f>
        <v>0</v>
      </c>
      <c r="E216" s="69">
        <f>SUMIFS(CT!$H$5:$H$143,CT!$D$5:$D$143,'CĐPS_TH&amp;CT'!A216&amp;"*")</f>
        <v>0</v>
      </c>
      <c r="F216" s="69">
        <f>SUMIFS(CT!$H$5:$H$143,CT!$E$5:$E$143,'CĐPS_TH&amp;CT'!A216&amp;"*")</f>
        <v>0</v>
      </c>
      <c r="G216" s="69">
        <f t="shared" si="6"/>
        <v>0</v>
      </c>
      <c r="H216" s="69">
        <f t="shared" si="7"/>
        <v>0</v>
      </c>
    </row>
    <row r="217" spans="1:8" s="72" customFormat="1" x14ac:dyDescent="0.25">
      <c r="A217" s="128" t="str">
        <f>[3]Sheet3!A216</f>
        <v>413</v>
      </c>
      <c r="B217" s="71" t="str">
        <f>IF(LEN(A217)=3,VLOOKUP('CĐPS_TH&amp;CT'!A217,HTTK1!$A$5:$F$80,3,0),VLOOKUP('CĐPS_TH&amp;CT'!A217,DMTK!$B$5:$Q$263,3,0))</f>
        <v>Chênh lệch tỷ giá hối đoái</v>
      </c>
      <c r="C217" s="69">
        <f>IF(LEN(A217)=3,VLOOKUP(A217,HTTK1!$A$5:$F$80,5,0),VLOOKUP('CĐPS_TH&amp;CT'!A217,DMTK!$B$5:$Q$263,10,0))</f>
        <v>0</v>
      </c>
      <c r="D217" s="69">
        <f>IF(LEN(A217)=3,VLOOKUP(A217,HTTK1!$A$5:$F$80,6,0),VLOOKUP('CĐPS_TH&amp;CT'!A217,DMTK!$B$5:$Q$263,11,0))</f>
        <v>0</v>
      </c>
      <c r="E217" s="69">
        <f>SUMIFS(CT!$H$5:$H$143,CT!$D$5:$D$143,'CĐPS_TH&amp;CT'!A217&amp;"*")</f>
        <v>0</v>
      </c>
      <c r="F217" s="69">
        <f>SUMIFS(CT!$H$5:$H$143,CT!$E$5:$E$143,'CĐPS_TH&amp;CT'!A217&amp;"*")</f>
        <v>0</v>
      </c>
      <c r="G217" s="69">
        <f t="shared" si="6"/>
        <v>0</v>
      </c>
      <c r="H217" s="69">
        <f t="shared" si="7"/>
        <v>0</v>
      </c>
    </row>
    <row r="218" spans="1:8" x14ac:dyDescent="0.25">
      <c r="A218" s="93" t="str">
        <f>[3]Sheet3!A217</f>
        <v>4131</v>
      </c>
      <c r="B218" s="65" t="str">
        <f>IF(LEN(A218)=3,VLOOKUP('CĐPS_TH&amp;CT'!A218,HTTK1!$A$5:$F$80,3,0),VLOOKUP('CĐPS_TH&amp;CT'!A218,DMTK!$B$5:$Q$263,3,0))</f>
        <v>Chênh lệch tỷ giá do đánh giá lại các khoản mục tiền tệ có gốc ngoại tệ</v>
      </c>
      <c r="C218" s="69">
        <f>IF(LEN(A218)=3,VLOOKUP(A218,HTTK1!$A$5:$F$80,5,0),VLOOKUP('CĐPS_TH&amp;CT'!A218,DMTK!$B$5:$Q$263,10,0))</f>
        <v>0</v>
      </c>
      <c r="D218" s="69">
        <f>IF(LEN(A218)=3,VLOOKUP(A218,HTTK1!$A$5:$F$80,6,0),VLOOKUP('CĐPS_TH&amp;CT'!A218,DMTK!$B$5:$Q$263,11,0))</f>
        <v>0</v>
      </c>
      <c r="E218" s="69">
        <f>SUMIFS(CT!$H$5:$H$143,CT!$D$5:$D$143,'CĐPS_TH&amp;CT'!A218&amp;"*")</f>
        <v>0</v>
      </c>
      <c r="F218" s="69">
        <f>SUMIFS(CT!$H$5:$H$143,CT!$E$5:$E$143,'CĐPS_TH&amp;CT'!A218&amp;"*")</f>
        <v>0</v>
      </c>
      <c r="G218" s="69">
        <f t="shared" si="6"/>
        <v>0</v>
      </c>
      <c r="H218" s="69">
        <f t="shared" si="7"/>
        <v>0</v>
      </c>
    </row>
    <row r="219" spans="1:8" x14ac:dyDescent="0.25">
      <c r="A219" s="93" t="str">
        <f>[3]Sheet3!A218</f>
        <v>4132</v>
      </c>
      <c r="B219" s="65" t="str">
        <f>IF(LEN(A219)=3,VLOOKUP('CĐPS_TH&amp;CT'!A219,HTTK1!$A$5:$F$80,3,0),VLOOKUP('CĐPS_TH&amp;CT'!A219,DMTK!$B$5:$Q$263,3,0))</f>
        <v>Chênh lệch tỷ giá hối đoái trong giai đoạn trước hoạt động</v>
      </c>
      <c r="C219" s="69">
        <f>IF(LEN(A219)=3,VLOOKUP(A219,HTTK1!$A$5:$F$80,5,0),VLOOKUP('CĐPS_TH&amp;CT'!A219,DMTK!$B$5:$Q$263,10,0))</f>
        <v>0</v>
      </c>
      <c r="D219" s="69">
        <f>IF(LEN(A219)=3,VLOOKUP(A219,HTTK1!$A$5:$F$80,6,0),VLOOKUP('CĐPS_TH&amp;CT'!A219,DMTK!$B$5:$Q$263,11,0))</f>
        <v>0</v>
      </c>
      <c r="E219" s="69">
        <f>SUMIFS(CT!$H$5:$H$143,CT!$D$5:$D$143,'CĐPS_TH&amp;CT'!A219&amp;"*")</f>
        <v>0</v>
      </c>
      <c r="F219" s="69">
        <f>SUMIFS(CT!$H$5:$H$143,CT!$E$5:$E$143,'CĐPS_TH&amp;CT'!A219&amp;"*")</f>
        <v>0</v>
      </c>
      <c r="G219" s="69">
        <f t="shared" si="6"/>
        <v>0</v>
      </c>
      <c r="H219" s="69">
        <f t="shared" si="7"/>
        <v>0</v>
      </c>
    </row>
    <row r="220" spans="1:8" s="72" customFormat="1" x14ac:dyDescent="0.25">
      <c r="A220" s="128" t="str">
        <f>[3]Sheet3!A219</f>
        <v>414</v>
      </c>
      <c r="B220" s="71" t="str">
        <f>IF(LEN(A220)=3,VLOOKUP('CĐPS_TH&amp;CT'!A220,HTTK1!$A$5:$F$80,3,0),VLOOKUP('CĐPS_TH&amp;CT'!A220,DMTK!$B$5:$Q$263,3,0))</f>
        <v>Qũy đầu tư phát triển</v>
      </c>
      <c r="C220" s="69">
        <f>IF(LEN(A220)=3,VLOOKUP(A220,HTTK1!$A$5:$F$80,5,0),VLOOKUP('CĐPS_TH&amp;CT'!A220,DMTK!$B$5:$Q$263,10,0))</f>
        <v>0</v>
      </c>
      <c r="D220" s="69">
        <f>IF(LEN(A220)=3,VLOOKUP(A220,HTTK1!$A$5:$F$80,6,0),VLOOKUP('CĐPS_TH&amp;CT'!A220,DMTK!$B$5:$Q$263,11,0))</f>
        <v>120000000</v>
      </c>
      <c r="E220" s="69">
        <f>SUMIFS(CT!$H$5:$H$143,CT!$D$5:$D$143,'CĐPS_TH&amp;CT'!A220&amp;"*")</f>
        <v>0</v>
      </c>
      <c r="F220" s="69">
        <f>SUMIFS(CT!$H$5:$H$143,CT!$E$5:$E$143,'CĐPS_TH&amp;CT'!A220&amp;"*")</f>
        <v>0</v>
      </c>
      <c r="G220" s="69">
        <f t="shared" si="6"/>
        <v>0</v>
      </c>
      <c r="H220" s="69">
        <f t="shared" si="7"/>
        <v>120000000</v>
      </c>
    </row>
    <row r="221" spans="1:8" s="72" customFormat="1" x14ac:dyDescent="0.25">
      <c r="A221" s="128" t="str">
        <f>[3]Sheet3!A220</f>
        <v>417</v>
      </c>
      <c r="B221" s="71" t="str">
        <f>IF(LEN(A221)=3,VLOOKUP('CĐPS_TH&amp;CT'!A221,HTTK1!$A$5:$F$80,3,0),VLOOKUP('CĐPS_TH&amp;CT'!A221,DMTK!$B$5:$Q$263,3,0))</f>
        <v>Quỹ hỗ trợ sắp xếp doanh nghiệp</v>
      </c>
      <c r="C221" s="69">
        <f>IF(LEN(A221)=3,VLOOKUP(A221,HTTK1!$A$5:$F$80,5,0),VLOOKUP('CĐPS_TH&amp;CT'!A221,DMTK!$B$5:$Q$263,10,0))</f>
        <v>0</v>
      </c>
      <c r="D221" s="69">
        <f>IF(LEN(A221)=3,VLOOKUP(A221,HTTK1!$A$5:$F$80,6,0),VLOOKUP('CĐPS_TH&amp;CT'!A221,DMTK!$B$5:$Q$263,11,0))</f>
        <v>0</v>
      </c>
      <c r="E221" s="69">
        <f>SUMIFS(CT!$H$5:$H$143,CT!$D$5:$D$143,'CĐPS_TH&amp;CT'!A221&amp;"*")</f>
        <v>0</v>
      </c>
      <c r="F221" s="69">
        <f>SUMIFS(CT!$H$5:$H$143,CT!$E$5:$E$143,'CĐPS_TH&amp;CT'!A221&amp;"*")</f>
        <v>0</v>
      </c>
      <c r="G221" s="69">
        <f t="shared" si="6"/>
        <v>0</v>
      </c>
      <c r="H221" s="69">
        <f t="shared" si="7"/>
        <v>0</v>
      </c>
    </row>
    <row r="222" spans="1:8" s="72" customFormat="1" x14ac:dyDescent="0.25">
      <c r="A222" s="128" t="str">
        <f>[3]Sheet3!A221</f>
        <v>418</v>
      </c>
      <c r="B222" s="71" t="str">
        <f>IF(LEN(A222)=3,VLOOKUP('CĐPS_TH&amp;CT'!A222,HTTK1!$A$5:$F$80,3,0),VLOOKUP('CĐPS_TH&amp;CT'!A222,DMTK!$B$5:$Q$263,3,0))</f>
        <v>Các quỹ khác thuộc vốn chủ sở hữu</v>
      </c>
      <c r="C222" s="69">
        <f>IF(LEN(A222)=3,VLOOKUP(A222,HTTK1!$A$5:$F$80,5,0),VLOOKUP('CĐPS_TH&amp;CT'!A222,DMTK!$B$5:$Q$263,10,0))</f>
        <v>0</v>
      </c>
      <c r="D222" s="69">
        <f>IF(LEN(A222)=3,VLOOKUP(A222,HTTK1!$A$5:$F$80,6,0),VLOOKUP('CĐPS_TH&amp;CT'!A222,DMTK!$B$5:$Q$263,11,0))</f>
        <v>130000000</v>
      </c>
      <c r="E222" s="69">
        <f>SUMIFS(CT!$H$5:$H$143,CT!$D$5:$D$143,'CĐPS_TH&amp;CT'!A222&amp;"*")</f>
        <v>0</v>
      </c>
      <c r="F222" s="69">
        <f>SUMIFS(CT!$H$5:$H$143,CT!$E$5:$E$143,'CĐPS_TH&amp;CT'!A222&amp;"*")</f>
        <v>0</v>
      </c>
      <c r="G222" s="69">
        <f t="shared" si="6"/>
        <v>0</v>
      </c>
      <c r="H222" s="69">
        <f t="shared" si="7"/>
        <v>130000000</v>
      </c>
    </row>
    <row r="223" spans="1:8" s="72" customFormat="1" x14ac:dyDescent="0.25">
      <c r="A223" s="128" t="str">
        <f>[3]Sheet3!A222</f>
        <v>419</v>
      </c>
      <c r="B223" s="71" t="str">
        <f>IF(LEN(A223)=3,VLOOKUP('CĐPS_TH&amp;CT'!A223,HTTK1!$A$5:$F$80,3,0),VLOOKUP('CĐPS_TH&amp;CT'!A223,DMTK!$B$5:$Q$263,3,0))</f>
        <v>Cổ phiếu quỹ</v>
      </c>
      <c r="C223" s="69">
        <f>IF(LEN(A223)=3,VLOOKUP(A223,HTTK1!$A$5:$F$80,5,0),VLOOKUP('CĐPS_TH&amp;CT'!A223,DMTK!$B$5:$Q$263,10,0))</f>
        <v>9449000</v>
      </c>
      <c r="D223" s="69">
        <f>IF(LEN(A223)=3,VLOOKUP(A223,HTTK1!$A$5:$F$80,6,0),VLOOKUP('CĐPS_TH&amp;CT'!A223,DMTK!$B$5:$Q$263,11,0))</f>
        <v>0</v>
      </c>
      <c r="E223" s="69">
        <f>SUMIFS(CT!$H$5:$H$143,CT!$D$5:$D$143,'CĐPS_TH&amp;CT'!A223&amp;"*")</f>
        <v>0</v>
      </c>
      <c r="F223" s="69">
        <f>SUMIFS(CT!$H$5:$H$143,CT!$E$5:$E$143,'CĐPS_TH&amp;CT'!A223&amp;"*")</f>
        <v>0</v>
      </c>
      <c r="G223" s="69">
        <f t="shared" si="6"/>
        <v>9449000</v>
      </c>
      <c r="H223" s="69">
        <f t="shared" si="7"/>
        <v>0</v>
      </c>
    </row>
    <row r="224" spans="1:8" s="72" customFormat="1" x14ac:dyDescent="0.25">
      <c r="A224" s="128" t="str">
        <f>[3]Sheet3!A223</f>
        <v>421</v>
      </c>
      <c r="B224" s="71" t="str">
        <f>IF(LEN(A224)=3,VLOOKUP('CĐPS_TH&amp;CT'!A224,HTTK1!$A$5:$F$80,3,0),VLOOKUP('CĐPS_TH&amp;CT'!A224,DMTK!$B$5:$Q$263,3,0))</f>
        <v>Lợi nhuận sau thuế chưa phân phối</v>
      </c>
      <c r="C224" s="69">
        <f>IF(LEN(A224)=3,VLOOKUP(A224,HTTK1!$A$5:$F$80,5,0),VLOOKUP('CĐPS_TH&amp;CT'!A224,DMTK!$B$5:$Q$263,10,0))</f>
        <v>0</v>
      </c>
      <c r="D224" s="69">
        <f>IF(LEN(A224)=3,VLOOKUP(A224,HTTK1!$A$5:$F$80,6,0),VLOOKUP('CĐPS_TH&amp;CT'!A224,DMTK!$B$5:$Q$263,11,0))</f>
        <v>204410000</v>
      </c>
      <c r="E224" s="69">
        <f>SUMIFS(CT!$H$5:$H$143,CT!$D$5:$D$143,'CĐPS_TH&amp;CT'!A224&amp;"*")</f>
        <v>3387852</v>
      </c>
      <c r="F224" s="69">
        <f>SUMIFS(CT!$H$5:$H$143,CT!$E$5:$E$143,'CĐPS_TH&amp;CT'!A224&amp;"*")</f>
        <v>2269619</v>
      </c>
      <c r="G224" s="69">
        <f t="shared" si="6"/>
        <v>0</v>
      </c>
      <c r="H224" s="69">
        <f t="shared" si="7"/>
        <v>203291767</v>
      </c>
    </row>
    <row r="225" spans="1:8" x14ac:dyDescent="0.25">
      <c r="A225" s="93" t="str">
        <f>[3]Sheet3!A224</f>
        <v>4211</v>
      </c>
      <c r="B225" s="65" t="str">
        <f>IF(LEN(A225)=3,VLOOKUP('CĐPS_TH&amp;CT'!A225,HTTK1!$A$5:$F$80,3,0),VLOOKUP('CĐPS_TH&amp;CT'!A225,DMTK!$B$5:$Q$263,3,0))</f>
        <v>Lợi nhuận sau thuế chưa phân phối năm trước</v>
      </c>
      <c r="C225" s="69">
        <f>IF(LEN(A225)=3,VLOOKUP(A225,HTTK1!$A$5:$F$80,5,0),VLOOKUP('CĐPS_TH&amp;CT'!A225,DMTK!$B$5:$Q$263,10,0))</f>
        <v>0</v>
      </c>
      <c r="D225" s="69">
        <f>IF(LEN(A225)=3,VLOOKUP(A225,HTTK1!$A$5:$F$80,6,0),VLOOKUP('CĐPS_TH&amp;CT'!A225,DMTK!$B$5:$Q$263,11,0))</f>
        <v>204410000</v>
      </c>
      <c r="E225" s="69">
        <f>SUMIFS(CT!$H$5:$H$143,CT!$D$5:$D$143,'CĐPS_TH&amp;CT'!A225&amp;"*")</f>
        <v>0</v>
      </c>
      <c r="F225" s="69">
        <f>SUMIFS(CT!$H$5:$H$143,CT!$E$5:$E$143,'CĐPS_TH&amp;CT'!A225&amp;"*")</f>
        <v>0</v>
      </c>
      <c r="G225" s="69">
        <f t="shared" si="6"/>
        <v>0</v>
      </c>
      <c r="H225" s="69">
        <f t="shared" si="7"/>
        <v>204410000</v>
      </c>
    </row>
    <row r="226" spans="1:8" x14ac:dyDescent="0.25">
      <c r="A226" s="93" t="str">
        <f>[3]Sheet3!A225</f>
        <v>4212</v>
      </c>
      <c r="B226" s="65" t="str">
        <f>IF(LEN(A226)=3,VLOOKUP('CĐPS_TH&amp;CT'!A226,HTTK1!$A$5:$F$80,3,0),VLOOKUP('CĐPS_TH&amp;CT'!A226,DMTK!$B$5:$Q$263,3,0))</f>
        <v>Lợi nhuận sau thuế chưa phân phối năm nay</v>
      </c>
      <c r="C226" s="69">
        <f>IF(LEN(A226)=3,VLOOKUP(A226,HTTK1!$A$5:$F$80,5,0),VLOOKUP('CĐPS_TH&amp;CT'!A226,DMTK!$B$5:$Q$263,10,0))</f>
        <v>0</v>
      </c>
      <c r="D226" s="69">
        <f>IF(LEN(A226)=3,VLOOKUP(A226,HTTK1!$A$5:$F$80,6,0),VLOOKUP('CĐPS_TH&amp;CT'!A226,DMTK!$B$5:$Q$263,11,0))</f>
        <v>0</v>
      </c>
      <c r="E226" s="69">
        <f>SUMIFS(CT!$H$5:$H$143,CT!$D$5:$D$143,'CĐPS_TH&amp;CT'!A226&amp;"*")</f>
        <v>3387852</v>
      </c>
      <c r="F226" s="69">
        <f>SUMIFS(CT!$H$5:$H$143,CT!$E$5:$E$143,'CĐPS_TH&amp;CT'!A226&amp;"*")</f>
        <v>2269619</v>
      </c>
      <c r="G226" s="69">
        <f t="shared" si="6"/>
        <v>1118233</v>
      </c>
      <c r="H226" s="69">
        <f t="shared" si="7"/>
        <v>0</v>
      </c>
    </row>
    <row r="227" spans="1:8" s="72" customFormat="1" x14ac:dyDescent="0.25">
      <c r="A227" s="128" t="str">
        <f>[3]Sheet3!A226</f>
        <v>441</v>
      </c>
      <c r="B227" s="71" t="str">
        <f>IF(LEN(A227)=3,VLOOKUP('CĐPS_TH&amp;CT'!A227,HTTK1!$A$5:$F$80,3,0),VLOOKUP('CĐPS_TH&amp;CT'!A227,DMTK!$B$5:$Q$263,3,0))</f>
        <v>Nguồn vốn đầu tư xây dựng cơ bản</v>
      </c>
      <c r="C227" s="69">
        <f>IF(LEN(A227)=3,VLOOKUP(A227,HTTK1!$A$5:$F$80,5,0),VLOOKUP('CĐPS_TH&amp;CT'!A227,DMTK!$B$5:$Q$263,10,0))</f>
        <v>0</v>
      </c>
      <c r="D227" s="69">
        <f>IF(LEN(A227)=3,VLOOKUP(A227,HTTK1!$A$5:$F$80,6,0),VLOOKUP('CĐPS_TH&amp;CT'!A227,DMTK!$B$5:$Q$263,11,0))</f>
        <v>300000000</v>
      </c>
      <c r="E227" s="69">
        <f>SUMIFS(CT!$H$5:$H$143,CT!$D$5:$D$143,'CĐPS_TH&amp;CT'!A227&amp;"*")</f>
        <v>0</v>
      </c>
      <c r="F227" s="69">
        <f>SUMIFS(CT!$H$5:$H$143,CT!$E$5:$E$143,'CĐPS_TH&amp;CT'!A227&amp;"*")</f>
        <v>0</v>
      </c>
      <c r="G227" s="69">
        <f t="shared" si="6"/>
        <v>0</v>
      </c>
      <c r="H227" s="69">
        <f t="shared" si="7"/>
        <v>300000000</v>
      </c>
    </row>
    <row r="228" spans="1:8" s="72" customFormat="1" x14ac:dyDescent="0.25">
      <c r="A228" s="128" t="str">
        <f>[3]Sheet3!A227</f>
        <v>461</v>
      </c>
      <c r="B228" s="71" t="str">
        <f>IF(LEN(A228)=3,VLOOKUP('CĐPS_TH&amp;CT'!A228,HTTK1!$A$5:$F$80,3,0),VLOOKUP('CĐPS_TH&amp;CT'!A228,DMTK!$B$5:$Q$263,3,0))</f>
        <v>Nguồn kinh phí sự nghiêp</v>
      </c>
      <c r="C228" s="69">
        <f>IF(LEN(A228)=3,VLOOKUP(A228,HTTK1!$A$5:$F$80,5,0),VLOOKUP('CĐPS_TH&amp;CT'!A228,DMTK!$B$5:$Q$263,10,0))</f>
        <v>0</v>
      </c>
      <c r="D228" s="69">
        <f>IF(LEN(A228)=3,VLOOKUP(A228,HTTK1!$A$5:$F$80,6,0),VLOOKUP('CĐPS_TH&amp;CT'!A228,DMTK!$B$5:$Q$263,11,0))</f>
        <v>0</v>
      </c>
      <c r="E228" s="69">
        <f>SUMIFS(CT!$H$5:$H$143,CT!$D$5:$D$143,'CĐPS_TH&amp;CT'!A228&amp;"*")</f>
        <v>0</v>
      </c>
      <c r="F228" s="69">
        <f>SUMIFS(CT!$H$5:$H$143,CT!$E$5:$E$143,'CĐPS_TH&amp;CT'!A228&amp;"*")</f>
        <v>0</v>
      </c>
      <c r="G228" s="69">
        <f t="shared" si="6"/>
        <v>0</v>
      </c>
      <c r="H228" s="69">
        <f t="shared" si="7"/>
        <v>0</v>
      </c>
    </row>
    <row r="229" spans="1:8" s="72" customFormat="1" x14ac:dyDescent="0.25">
      <c r="A229" s="128" t="str">
        <f>[3]Sheet3!A228</f>
        <v>466</v>
      </c>
      <c r="B229" s="71" t="str">
        <f>IF(LEN(A229)=3,VLOOKUP('CĐPS_TH&amp;CT'!A229,HTTK1!$A$5:$F$80,3,0),VLOOKUP('CĐPS_TH&amp;CT'!A229,DMTK!$B$5:$Q$263,3,0))</f>
        <v>Nguồn kinh phí đã hình thành TSCĐ</v>
      </c>
      <c r="C229" s="69">
        <f>IF(LEN(A229)=3,VLOOKUP(A229,HTTK1!$A$5:$F$80,5,0),VLOOKUP('CĐPS_TH&amp;CT'!A229,DMTK!$B$5:$Q$263,10,0))</f>
        <v>0</v>
      </c>
      <c r="D229" s="69">
        <f>IF(LEN(A229)=3,VLOOKUP(A229,HTTK1!$A$5:$F$80,6,0),VLOOKUP('CĐPS_TH&amp;CT'!A229,DMTK!$B$5:$Q$263,11,0))</f>
        <v>0</v>
      </c>
      <c r="E229" s="69">
        <f>SUMIFS(CT!$H$5:$H$143,CT!$D$5:$D$143,'CĐPS_TH&amp;CT'!A229&amp;"*")</f>
        <v>0</v>
      </c>
      <c r="F229" s="69">
        <f>SUMIFS(CT!$H$5:$H$143,CT!$E$5:$E$143,'CĐPS_TH&amp;CT'!A229&amp;"*")</f>
        <v>0</v>
      </c>
      <c r="G229" s="69">
        <f t="shared" si="6"/>
        <v>0</v>
      </c>
      <c r="H229" s="69">
        <f t="shared" si="7"/>
        <v>0</v>
      </c>
    </row>
    <row r="230" spans="1:8" s="72" customFormat="1" x14ac:dyDescent="0.25">
      <c r="A230" s="128" t="str">
        <f>[3]Sheet3!A229</f>
        <v>511</v>
      </c>
      <c r="B230" s="71" t="str">
        <f>IF(LEN(A230)=3,VLOOKUP('CĐPS_TH&amp;CT'!A230,HTTK1!$A$5:$F$80,3,0),VLOOKUP('CĐPS_TH&amp;CT'!A230,DMTK!$B$5:$Q$263,3,0))</f>
        <v>Doanh thu bán hàng và cung cấp dịch vụ</v>
      </c>
      <c r="C230" s="69">
        <f>IF(LEN(A230)=3,VLOOKUP(A230,HTTK1!$A$5:$F$80,5,0),VLOOKUP('CĐPS_TH&amp;CT'!A230,DMTK!$B$5:$Q$263,10,0))</f>
        <v>0</v>
      </c>
      <c r="D230" s="69">
        <f>IF(LEN(A230)=3,VLOOKUP(A230,HTTK1!$A$5:$F$80,6,0),VLOOKUP('CĐPS_TH&amp;CT'!A230,DMTK!$B$5:$Q$263,11,0))</f>
        <v>0</v>
      </c>
      <c r="E230" s="69">
        <f>SUMIFS(CT!$H$5:$H$143,CT!$D$5:$D$143,'CĐPS_TH&amp;CT'!A230&amp;"*")</f>
        <v>88000000</v>
      </c>
      <c r="F230" s="69">
        <f>SUMIFS(CT!$H$5:$H$143,CT!$E$5:$E$143,'CĐPS_TH&amp;CT'!A230&amp;"*")</f>
        <v>88000000</v>
      </c>
      <c r="G230" s="69">
        <f t="shared" si="6"/>
        <v>0</v>
      </c>
      <c r="H230" s="69">
        <f t="shared" si="7"/>
        <v>0</v>
      </c>
    </row>
    <row r="231" spans="1:8" x14ac:dyDescent="0.25">
      <c r="A231" s="93" t="str">
        <f>[3]Sheet3!A230</f>
        <v>5111</v>
      </c>
      <c r="B231" s="65" t="str">
        <f>IF(LEN(A231)=3,VLOOKUP('CĐPS_TH&amp;CT'!A231,HTTK1!$A$5:$F$80,3,0),VLOOKUP('CĐPS_TH&amp;CT'!A231,DMTK!$B$5:$Q$263,3,0))</f>
        <v>Doanh thu bán hàng hóa</v>
      </c>
      <c r="C231" s="69">
        <f>IF(LEN(A231)=3,VLOOKUP(A231,HTTK1!$A$5:$F$80,5,0),VLOOKUP('CĐPS_TH&amp;CT'!A231,DMTK!$B$5:$Q$263,10,0))</f>
        <v>0</v>
      </c>
      <c r="D231" s="69">
        <f>IF(LEN(A231)=3,VLOOKUP(A231,HTTK1!$A$5:$F$80,6,0),VLOOKUP('CĐPS_TH&amp;CT'!A231,DMTK!$B$5:$Q$263,11,0))</f>
        <v>0</v>
      </c>
      <c r="E231" s="69">
        <f>SUMIFS(CT!$H$5:$H$143,CT!$D$5:$D$143,'CĐPS_TH&amp;CT'!A231&amp;"*")</f>
        <v>0</v>
      </c>
      <c r="F231" s="69">
        <f>SUMIFS(CT!$H$5:$H$143,CT!$E$5:$E$143,'CĐPS_TH&amp;CT'!A231&amp;"*")</f>
        <v>0</v>
      </c>
      <c r="G231" s="69">
        <f t="shared" si="6"/>
        <v>0</v>
      </c>
      <c r="H231" s="69">
        <f t="shared" si="7"/>
        <v>0</v>
      </c>
    </row>
    <row r="232" spans="1:8" x14ac:dyDescent="0.25">
      <c r="A232" s="93" t="str">
        <f>[3]Sheet3!A231</f>
        <v>5112.0101</v>
      </c>
      <c r="B232" s="65" t="str">
        <f>IF(LEN(A232)=3,VLOOKUP('CĐPS_TH&amp;CT'!A232,HTTK1!$A$5:$F$80,3,0),VLOOKUP('CĐPS_TH&amp;CT'!A232,DMTK!$B$5:$Q$263,3,0))</f>
        <v>Doanh thu bán Ghế tay vịn</v>
      </c>
      <c r="C232" s="69">
        <f>IF(LEN(A232)=3,VLOOKUP(A232,HTTK1!$A$5:$F$80,5,0),VLOOKUP('CĐPS_TH&amp;CT'!A232,DMTK!$B$5:$Q$263,10,0))</f>
        <v>0</v>
      </c>
      <c r="D232" s="69">
        <f>IF(LEN(A232)=3,VLOOKUP(A232,HTTK1!$A$5:$F$80,6,0),VLOOKUP('CĐPS_TH&amp;CT'!A232,DMTK!$B$5:$Q$263,11,0))</f>
        <v>0</v>
      </c>
      <c r="E232" s="69">
        <f>SUMIFS(CT!$H$5:$H$143,CT!$D$5:$D$143,'CĐPS_TH&amp;CT'!A232&amp;"*")</f>
        <v>30000000</v>
      </c>
      <c r="F232" s="69">
        <f>SUMIFS(CT!$H$5:$H$143,CT!$E$5:$E$143,'CĐPS_TH&amp;CT'!A232&amp;"*")</f>
        <v>30000000</v>
      </c>
      <c r="G232" s="69">
        <f t="shared" si="6"/>
        <v>0</v>
      </c>
      <c r="H232" s="69">
        <f t="shared" si="7"/>
        <v>0</v>
      </c>
    </row>
    <row r="233" spans="1:8" x14ac:dyDescent="0.25">
      <c r="A233" s="93" t="str">
        <f>[3]Sheet3!A232</f>
        <v>5112.0102</v>
      </c>
      <c r="B233" s="65" t="str">
        <f>IF(LEN(A233)=3,VLOOKUP('CĐPS_TH&amp;CT'!A233,HTTK1!$A$5:$F$80,3,0),VLOOKUP('CĐPS_TH&amp;CT'!A233,DMTK!$B$5:$Q$263,3,0))</f>
        <v>Doanh thu bán Ghế không tay</v>
      </c>
      <c r="C233" s="69">
        <f>IF(LEN(A233)=3,VLOOKUP(A233,HTTK1!$A$5:$F$80,5,0),VLOOKUP('CĐPS_TH&amp;CT'!A233,DMTK!$B$5:$Q$263,10,0))</f>
        <v>0</v>
      </c>
      <c r="D233" s="69">
        <f>IF(LEN(A233)=3,VLOOKUP(A233,HTTK1!$A$5:$F$80,6,0),VLOOKUP('CĐPS_TH&amp;CT'!A233,DMTK!$B$5:$Q$263,11,0))</f>
        <v>0</v>
      </c>
      <c r="E233" s="69">
        <f>SUMIFS(CT!$H$5:$H$143,CT!$D$5:$D$143,'CĐPS_TH&amp;CT'!A233&amp;"*")</f>
        <v>28000000</v>
      </c>
      <c r="F233" s="69">
        <f>SUMIFS(CT!$H$5:$H$143,CT!$E$5:$E$143,'CĐPS_TH&amp;CT'!A233&amp;"*")</f>
        <v>28000000</v>
      </c>
      <c r="G233" s="69">
        <f t="shared" si="6"/>
        <v>0</v>
      </c>
      <c r="H233" s="69">
        <f t="shared" si="7"/>
        <v>0</v>
      </c>
    </row>
    <row r="234" spans="1:8" x14ac:dyDescent="0.25">
      <c r="A234" s="93" t="str">
        <f>[3]Sheet3!A233</f>
        <v>5112.0201</v>
      </c>
      <c r="B234" s="65" t="str">
        <f>IF(LEN(A234)=3,VLOOKUP('CĐPS_TH&amp;CT'!A234,HTTK1!$A$5:$F$80,3,0),VLOOKUP('CĐPS_TH&amp;CT'!A234,DMTK!$B$5:$Q$263,3,0))</f>
        <v>Doanh thu bán  Bàn tròn</v>
      </c>
      <c r="C234" s="69">
        <f>IF(LEN(A234)=3,VLOOKUP(A234,HTTK1!$A$5:$F$80,5,0),VLOOKUP('CĐPS_TH&amp;CT'!A234,DMTK!$B$5:$Q$263,10,0))</f>
        <v>0</v>
      </c>
      <c r="D234" s="69">
        <f>IF(LEN(A234)=3,VLOOKUP(A234,HTTK1!$A$5:$F$80,6,0),VLOOKUP('CĐPS_TH&amp;CT'!A234,DMTK!$B$5:$Q$263,11,0))</f>
        <v>0</v>
      </c>
      <c r="E234" s="69">
        <f>SUMIFS(CT!$H$5:$H$143,CT!$D$5:$D$143,'CĐPS_TH&amp;CT'!A234&amp;"*")</f>
        <v>0</v>
      </c>
      <c r="F234" s="69">
        <f>SUMIFS(CT!$H$5:$H$143,CT!$E$5:$E$143,'CĐPS_TH&amp;CT'!A234&amp;"*")</f>
        <v>0</v>
      </c>
      <c r="G234" s="69">
        <f t="shared" si="6"/>
        <v>0</v>
      </c>
      <c r="H234" s="69">
        <f t="shared" si="7"/>
        <v>0</v>
      </c>
    </row>
    <row r="235" spans="1:8" x14ac:dyDescent="0.25">
      <c r="A235" s="93" t="str">
        <f>[3]Sheet3!A234</f>
        <v>5112.0202</v>
      </c>
      <c r="B235" s="65" t="str">
        <f>IF(LEN(A235)=3,VLOOKUP('CĐPS_TH&amp;CT'!A235,HTTK1!$A$5:$F$80,3,0),VLOOKUP('CĐPS_TH&amp;CT'!A235,DMTK!$B$5:$Q$263,3,0))</f>
        <v>Doanh thu bán Bàn oval</v>
      </c>
      <c r="C235" s="69">
        <f>IF(LEN(A235)=3,VLOOKUP(A235,HTTK1!$A$5:$F$80,5,0),VLOOKUP('CĐPS_TH&amp;CT'!A235,DMTK!$B$5:$Q$263,10,0))</f>
        <v>0</v>
      </c>
      <c r="D235" s="69">
        <f>IF(LEN(A235)=3,VLOOKUP(A235,HTTK1!$A$5:$F$80,6,0),VLOOKUP('CĐPS_TH&amp;CT'!A235,DMTK!$B$5:$Q$263,11,0))</f>
        <v>0</v>
      </c>
      <c r="E235" s="69">
        <f>SUMIFS(CT!$H$5:$H$143,CT!$D$5:$D$143,'CĐPS_TH&amp;CT'!A235&amp;"*")</f>
        <v>30000000</v>
      </c>
      <c r="F235" s="69">
        <f>SUMIFS(CT!$H$5:$H$143,CT!$E$5:$E$143,'CĐPS_TH&amp;CT'!A235&amp;"*")</f>
        <v>30000000</v>
      </c>
      <c r="G235" s="69">
        <f t="shared" si="6"/>
        <v>0</v>
      </c>
      <c r="H235" s="69">
        <f t="shared" si="7"/>
        <v>0</v>
      </c>
    </row>
    <row r="236" spans="1:8" x14ac:dyDescent="0.25">
      <c r="A236" s="93" t="str">
        <f>[3]Sheet3!A235</f>
        <v>5112.0203</v>
      </c>
      <c r="B236" s="65" t="str">
        <f>IF(LEN(A236)=3,VLOOKUP('CĐPS_TH&amp;CT'!A236,HTTK1!$A$5:$F$80,3,0),VLOOKUP('CĐPS_TH&amp;CT'!A236,DMTK!$B$5:$Q$263,3,0))</f>
        <v>Doanh thu bán Bàn chữ nhật</v>
      </c>
      <c r="C236" s="69">
        <f>IF(LEN(A236)=3,VLOOKUP(A236,HTTK1!$A$5:$F$80,5,0),VLOOKUP('CĐPS_TH&amp;CT'!A236,DMTK!$B$5:$Q$263,10,0))</f>
        <v>0</v>
      </c>
      <c r="D236" s="69">
        <f>IF(LEN(A236)=3,VLOOKUP(A236,HTTK1!$A$5:$F$80,6,0),VLOOKUP('CĐPS_TH&amp;CT'!A236,DMTK!$B$5:$Q$263,11,0))</f>
        <v>0</v>
      </c>
      <c r="E236" s="69">
        <f>SUMIFS(CT!$H$5:$H$143,CT!$D$5:$D$143,'CĐPS_TH&amp;CT'!A236&amp;"*")</f>
        <v>0</v>
      </c>
      <c r="F236" s="69">
        <f>SUMIFS(CT!$H$5:$H$143,CT!$E$5:$E$143,'CĐPS_TH&amp;CT'!A236&amp;"*")</f>
        <v>0</v>
      </c>
      <c r="G236" s="69">
        <f t="shared" si="6"/>
        <v>0</v>
      </c>
      <c r="H236" s="69">
        <f t="shared" si="7"/>
        <v>0</v>
      </c>
    </row>
    <row r="237" spans="1:8" x14ac:dyDescent="0.25">
      <c r="A237" s="93" t="str">
        <f>[3]Sheet3!A236</f>
        <v>5113</v>
      </c>
      <c r="B237" s="65" t="str">
        <f>IF(LEN(A237)=3,VLOOKUP('CĐPS_TH&amp;CT'!A237,HTTK1!$A$5:$F$80,3,0),VLOOKUP('CĐPS_TH&amp;CT'!A237,DMTK!$B$5:$Q$263,3,0))</f>
        <v>Doanh thu cung cấp dịch vụ</v>
      </c>
      <c r="C237" s="69">
        <f>IF(LEN(A237)=3,VLOOKUP(A237,HTTK1!$A$5:$F$80,5,0),VLOOKUP('CĐPS_TH&amp;CT'!A237,DMTK!$B$5:$Q$263,10,0))</f>
        <v>0</v>
      </c>
      <c r="D237" s="69">
        <f>IF(LEN(A237)=3,VLOOKUP(A237,HTTK1!$A$5:$F$80,6,0),VLOOKUP('CĐPS_TH&amp;CT'!A237,DMTK!$B$5:$Q$263,11,0))</f>
        <v>0</v>
      </c>
      <c r="E237" s="69">
        <f>SUMIFS(CT!$H$5:$H$143,CT!$D$5:$D$143,'CĐPS_TH&amp;CT'!A237&amp;"*")</f>
        <v>0</v>
      </c>
      <c r="F237" s="69">
        <f>SUMIFS(CT!$H$5:$H$143,CT!$E$5:$E$143,'CĐPS_TH&amp;CT'!A237&amp;"*")</f>
        <v>0</v>
      </c>
      <c r="G237" s="69">
        <f t="shared" si="6"/>
        <v>0</v>
      </c>
      <c r="H237" s="69">
        <f t="shared" si="7"/>
        <v>0</v>
      </c>
    </row>
    <row r="238" spans="1:8" x14ac:dyDescent="0.25">
      <c r="A238" s="93" t="str">
        <f>[3]Sheet3!A237</f>
        <v>5114</v>
      </c>
      <c r="B238" s="65" t="str">
        <f>IF(LEN(A238)=3,VLOOKUP('CĐPS_TH&amp;CT'!A238,HTTK1!$A$5:$F$80,3,0),VLOOKUP('CĐPS_TH&amp;CT'!A238,DMTK!$B$5:$Q$263,3,0))</f>
        <v>Doanh thu trợ cấp, trợ giá</v>
      </c>
      <c r="C238" s="69">
        <f>IF(LEN(A238)=3,VLOOKUP(A238,HTTK1!$A$5:$F$80,5,0),VLOOKUP('CĐPS_TH&amp;CT'!A238,DMTK!$B$5:$Q$263,10,0))</f>
        <v>0</v>
      </c>
      <c r="D238" s="69">
        <f>IF(LEN(A238)=3,VLOOKUP(A238,HTTK1!$A$5:$F$80,6,0),VLOOKUP('CĐPS_TH&amp;CT'!A238,DMTK!$B$5:$Q$263,11,0))</f>
        <v>0</v>
      </c>
      <c r="E238" s="69">
        <f>SUMIFS(CT!$H$5:$H$143,CT!$D$5:$D$143,'CĐPS_TH&amp;CT'!A238&amp;"*")</f>
        <v>0</v>
      </c>
      <c r="F238" s="69">
        <f>SUMIFS(CT!$H$5:$H$143,CT!$E$5:$E$143,'CĐPS_TH&amp;CT'!A238&amp;"*")</f>
        <v>0</v>
      </c>
      <c r="G238" s="69">
        <f t="shared" si="6"/>
        <v>0</v>
      </c>
      <c r="H238" s="69">
        <f t="shared" si="7"/>
        <v>0</v>
      </c>
    </row>
    <row r="239" spans="1:8" x14ac:dyDescent="0.25">
      <c r="A239" s="93" t="str">
        <f>[3]Sheet3!A238</f>
        <v>5117</v>
      </c>
      <c r="B239" s="65" t="str">
        <f>IF(LEN(A239)=3,VLOOKUP('CĐPS_TH&amp;CT'!A239,HTTK1!$A$5:$F$80,3,0),VLOOKUP('CĐPS_TH&amp;CT'!A239,DMTK!$B$5:$Q$263,3,0))</f>
        <v>Doanh thu kinh doanh bất động sản đầu tư</v>
      </c>
      <c r="C239" s="69">
        <f>IF(LEN(A239)=3,VLOOKUP(A239,HTTK1!$A$5:$F$80,5,0),VLOOKUP('CĐPS_TH&amp;CT'!A239,DMTK!$B$5:$Q$263,10,0))</f>
        <v>0</v>
      </c>
      <c r="D239" s="69">
        <f>IF(LEN(A239)=3,VLOOKUP(A239,HTTK1!$A$5:$F$80,6,0),VLOOKUP('CĐPS_TH&amp;CT'!A239,DMTK!$B$5:$Q$263,11,0))</f>
        <v>0</v>
      </c>
      <c r="E239" s="69">
        <f>SUMIFS(CT!$H$5:$H$143,CT!$D$5:$D$143,'CĐPS_TH&amp;CT'!A239&amp;"*")</f>
        <v>0</v>
      </c>
      <c r="F239" s="69">
        <f>SUMIFS(CT!$H$5:$H$143,CT!$E$5:$E$143,'CĐPS_TH&amp;CT'!A239&amp;"*")</f>
        <v>0</v>
      </c>
      <c r="G239" s="69">
        <f t="shared" si="6"/>
        <v>0</v>
      </c>
      <c r="H239" s="69">
        <f t="shared" si="7"/>
        <v>0</v>
      </c>
    </row>
    <row r="240" spans="1:8" s="72" customFormat="1" x14ac:dyDescent="0.25">
      <c r="A240" s="128" t="str">
        <f>[3]Sheet3!A239</f>
        <v>515</v>
      </c>
      <c r="B240" s="71" t="str">
        <f>IF(LEN(A240)=3,VLOOKUP('CĐPS_TH&amp;CT'!A240,HTTK1!$A$5:$F$80,3,0),VLOOKUP('CĐPS_TH&amp;CT'!A240,DMTK!$B$5:$Q$263,3,0))</f>
        <v xml:space="preserve">Doanh thu hoạt động tài chính </v>
      </c>
      <c r="C240" s="69">
        <f>IF(LEN(A240)=3,VLOOKUP(A240,HTTK1!$A$5:$F$80,5,0),VLOOKUP('CĐPS_TH&amp;CT'!A240,DMTK!$B$5:$Q$263,10,0))</f>
        <v>0</v>
      </c>
      <c r="D240" s="69">
        <f>IF(LEN(A240)=3,VLOOKUP(A240,HTTK1!$A$5:$F$80,6,0),VLOOKUP('CĐPS_TH&amp;CT'!A240,DMTK!$B$5:$Q$263,11,0))</f>
        <v>0</v>
      </c>
      <c r="E240" s="69">
        <f>SUMIFS(CT!$H$5:$H$143,CT!$D$5:$D$143,'CĐPS_TH&amp;CT'!A240&amp;"*")</f>
        <v>0</v>
      </c>
      <c r="F240" s="69">
        <f>SUMIFS(CT!$H$5:$H$143,CT!$E$5:$E$143,'CĐPS_TH&amp;CT'!A240&amp;"*")</f>
        <v>0</v>
      </c>
      <c r="G240" s="69">
        <f t="shared" si="6"/>
        <v>0</v>
      </c>
      <c r="H240" s="69">
        <f t="shared" si="7"/>
        <v>0</v>
      </c>
    </row>
    <row r="241" spans="1:8" s="72" customFormat="1" x14ac:dyDescent="0.25">
      <c r="A241" s="128" t="str">
        <f>[3]Sheet3!A240</f>
        <v>521</v>
      </c>
      <c r="B241" s="71" t="str">
        <f>IF(LEN(A241)=3,VLOOKUP('CĐPS_TH&amp;CT'!A241,HTTK1!$A$5:$F$80,3,0),VLOOKUP('CĐPS_TH&amp;CT'!A241,DMTK!$B$5:$Q$263,3,0))</f>
        <v>Các khoản giảm trừ doanh thu</v>
      </c>
      <c r="C241" s="69">
        <f>IF(LEN(A241)=3,VLOOKUP(A241,HTTK1!$A$5:$F$80,5,0),VLOOKUP('CĐPS_TH&amp;CT'!A241,DMTK!$B$5:$Q$263,10,0))</f>
        <v>0</v>
      </c>
      <c r="D241" s="69">
        <f>IF(LEN(A241)=3,VLOOKUP(A241,HTTK1!$A$5:$F$80,6,0),VLOOKUP('CĐPS_TH&amp;CT'!A241,DMTK!$B$5:$Q$263,11,0))</f>
        <v>0</v>
      </c>
      <c r="E241" s="69">
        <f>SUMIFS(CT!$H$5:$H$143,CT!$D$5:$D$143,'CĐPS_TH&amp;CT'!A241&amp;"*")</f>
        <v>0</v>
      </c>
      <c r="F241" s="69">
        <f>SUMIFS(CT!$H$5:$H$143,CT!$E$5:$E$143,'CĐPS_TH&amp;CT'!A241&amp;"*")</f>
        <v>0</v>
      </c>
      <c r="G241" s="69">
        <f t="shared" si="6"/>
        <v>0</v>
      </c>
      <c r="H241" s="69">
        <f t="shared" si="7"/>
        <v>0</v>
      </c>
    </row>
    <row r="242" spans="1:8" x14ac:dyDescent="0.25">
      <c r="A242" s="93" t="str">
        <f>[3]Sheet3!A241</f>
        <v>5211</v>
      </c>
      <c r="B242" s="65" t="str">
        <f>IF(LEN(A242)=3,VLOOKUP('CĐPS_TH&amp;CT'!A242,HTTK1!$A$5:$F$80,3,0),VLOOKUP('CĐPS_TH&amp;CT'!A242,DMTK!$B$5:$Q$263,3,0))</f>
        <v>Chiết khấu thương mại</v>
      </c>
      <c r="C242" s="69">
        <f>IF(LEN(A242)=3,VLOOKUP(A242,HTTK1!$A$5:$F$80,5,0),VLOOKUP('CĐPS_TH&amp;CT'!A242,DMTK!$B$5:$Q$263,10,0))</f>
        <v>0</v>
      </c>
      <c r="D242" s="69">
        <f>IF(LEN(A242)=3,VLOOKUP(A242,HTTK1!$A$5:$F$80,6,0),VLOOKUP('CĐPS_TH&amp;CT'!A242,DMTK!$B$5:$Q$263,11,0))</f>
        <v>0</v>
      </c>
      <c r="E242" s="69">
        <f>SUMIFS(CT!$H$5:$H$143,CT!$D$5:$D$143,'CĐPS_TH&amp;CT'!A242&amp;"*")</f>
        <v>0</v>
      </c>
      <c r="F242" s="69">
        <f>SUMIFS(CT!$H$5:$H$143,CT!$E$5:$E$143,'CĐPS_TH&amp;CT'!A242&amp;"*")</f>
        <v>0</v>
      </c>
      <c r="G242" s="69">
        <f t="shared" si="6"/>
        <v>0</v>
      </c>
      <c r="H242" s="69">
        <f t="shared" si="7"/>
        <v>0</v>
      </c>
    </row>
    <row r="243" spans="1:8" x14ac:dyDescent="0.25">
      <c r="A243" s="93" t="str">
        <f>[3]Sheet3!A242</f>
        <v>5212</v>
      </c>
      <c r="B243" s="65" t="str">
        <f>IF(LEN(A243)=3,VLOOKUP('CĐPS_TH&amp;CT'!A243,HTTK1!$A$5:$F$80,3,0),VLOOKUP('CĐPS_TH&amp;CT'!A243,DMTK!$B$5:$Q$263,3,0))</f>
        <v>Giảm giá hàng bán</v>
      </c>
      <c r="C243" s="69">
        <f>IF(LEN(A243)=3,VLOOKUP(A243,HTTK1!$A$5:$F$80,5,0),VLOOKUP('CĐPS_TH&amp;CT'!A243,DMTK!$B$5:$Q$263,10,0))</f>
        <v>0</v>
      </c>
      <c r="D243" s="69">
        <f>IF(LEN(A243)=3,VLOOKUP(A243,HTTK1!$A$5:$F$80,6,0),VLOOKUP('CĐPS_TH&amp;CT'!A243,DMTK!$B$5:$Q$263,11,0))</f>
        <v>0</v>
      </c>
      <c r="E243" s="69">
        <f>SUMIFS(CT!$H$5:$H$143,CT!$D$5:$D$143,'CĐPS_TH&amp;CT'!A243&amp;"*")</f>
        <v>0</v>
      </c>
      <c r="F243" s="69">
        <f>SUMIFS(CT!$H$5:$H$143,CT!$E$5:$E$143,'CĐPS_TH&amp;CT'!A243&amp;"*")</f>
        <v>0</v>
      </c>
      <c r="G243" s="69">
        <f t="shared" si="6"/>
        <v>0</v>
      </c>
      <c r="H243" s="69">
        <f t="shared" si="7"/>
        <v>0</v>
      </c>
    </row>
    <row r="244" spans="1:8" x14ac:dyDescent="0.25">
      <c r="A244" s="93" t="str">
        <f>[3]Sheet3!A243</f>
        <v>5213</v>
      </c>
      <c r="B244" s="65" t="str">
        <f>IF(LEN(A244)=3,VLOOKUP('CĐPS_TH&amp;CT'!A244,HTTK1!$A$5:$F$80,3,0),VLOOKUP('CĐPS_TH&amp;CT'!A244,DMTK!$B$5:$Q$263,3,0))</f>
        <v>Hàng bán bị trả lại</v>
      </c>
      <c r="C244" s="69">
        <f>IF(LEN(A244)=3,VLOOKUP(A244,HTTK1!$A$5:$F$80,5,0),VLOOKUP('CĐPS_TH&amp;CT'!A244,DMTK!$B$5:$Q$263,10,0))</f>
        <v>0</v>
      </c>
      <c r="D244" s="69">
        <f>IF(LEN(A244)=3,VLOOKUP(A244,HTTK1!$A$5:$F$80,6,0),VLOOKUP('CĐPS_TH&amp;CT'!A244,DMTK!$B$5:$Q$263,11,0))</f>
        <v>0</v>
      </c>
      <c r="E244" s="69">
        <f>SUMIFS(CT!$H$5:$H$143,CT!$D$5:$D$143,'CĐPS_TH&amp;CT'!A244&amp;"*")</f>
        <v>0</v>
      </c>
      <c r="F244" s="69">
        <f>SUMIFS(CT!$H$5:$H$143,CT!$E$5:$E$143,'CĐPS_TH&amp;CT'!A244&amp;"*")</f>
        <v>0</v>
      </c>
      <c r="G244" s="69">
        <f t="shared" si="6"/>
        <v>0</v>
      </c>
      <c r="H244" s="69">
        <f t="shared" si="7"/>
        <v>0</v>
      </c>
    </row>
    <row r="245" spans="1:8" s="72" customFormat="1" x14ac:dyDescent="0.25">
      <c r="A245" s="128" t="str">
        <f>[3]Sheet3!A244</f>
        <v>611</v>
      </c>
      <c r="B245" s="71" t="str">
        <f>IF(LEN(A245)=3,VLOOKUP('CĐPS_TH&amp;CT'!A245,HTTK1!$A$5:$F$80,3,0),VLOOKUP('CĐPS_TH&amp;CT'!A245,DMTK!$B$5:$Q$263,3,0))</f>
        <v>Mua hàng</v>
      </c>
      <c r="C245" s="69">
        <f>IF(LEN(A245)=3,VLOOKUP(A245,HTTK1!$A$5:$F$80,5,0),VLOOKUP('CĐPS_TH&amp;CT'!A245,DMTK!$B$5:$Q$263,10,0))</f>
        <v>0</v>
      </c>
      <c r="D245" s="69">
        <f>IF(LEN(A245)=3,VLOOKUP(A245,HTTK1!$A$5:$F$80,6,0),VLOOKUP('CĐPS_TH&amp;CT'!A245,DMTK!$B$5:$Q$263,11,0))</f>
        <v>0</v>
      </c>
      <c r="E245" s="69">
        <f>SUMIFS(CT!$H$5:$H$143,CT!$D$5:$D$143,'CĐPS_TH&amp;CT'!A245&amp;"*")</f>
        <v>0</v>
      </c>
      <c r="F245" s="69">
        <f>SUMIFS(CT!$H$5:$H$143,CT!$E$5:$E$143,'CĐPS_TH&amp;CT'!A245&amp;"*")</f>
        <v>0</v>
      </c>
      <c r="G245" s="69">
        <f t="shared" si="6"/>
        <v>0</v>
      </c>
      <c r="H245" s="69">
        <f t="shared" si="7"/>
        <v>0</v>
      </c>
    </row>
    <row r="246" spans="1:8" x14ac:dyDescent="0.25">
      <c r="A246" s="93" t="str">
        <f>[3]Sheet3!A245</f>
        <v>6111</v>
      </c>
      <c r="B246" s="65" t="str">
        <f>IF(LEN(A246)=3,VLOOKUP('CĐPS_TH&amp;CT'!A246,HTTK1!$A$5:$F$80,3,0),VLOOKUP('CĐPS_TH&amp;CT'!A246,DMTK!$B$5:$Q$263,3,0))</f>
        <v>Mua nguyên liệu, vật liệu</v>
      </c>
      <c r="C246" s="69">
        <f>IF(LEN(A246)=3,VLOOKUP(A246,HTTK1!$A$5:$F$80,5,0),VLOOKUP('CĐPS_TH&amp;CT'!A246,DMTK!$B$5:$Q$263,10,0))</f>
        <v>0</v>
      </c>
      <c r="D246" s="69">
        <f>IF(LEN(A246)=3,VLOOKUP(A246,HTTK1!$A$5:$F$80,6,0),VLOOKUP('CĐPS_TH&amp;CT'!A246,DMTK!$B$5:$Q$263,11,0))</f>
        <v>0</v>
      </c>
      <c r="E246" s="69">
        <f>SUMIFS(CT!$H$5:$H$143,CT!$D$5:$D$143,'CĐPS_TH&amp;CT'!A246&amp;"*")</f>
        <v>0</v>
      </c>
      <c r="F246" s="69">
        <f>SUMIFS(CT!$H$5:$H$143,CT!$E$5:$E$143,'CĐPS_TH&amp;CT'!A246&amp;"*")</f>
        <v>0</v>
      </c>
      <c r="G246" s="69">
        <f t="shared" si="6"/>
        <v>0</v>
      </c>
      <c r="H246" s="69">
        <f t="shared" si="7"/>
        <v>0</v>
      </c>
    </row>
    <row r="247" spans="1:8" x14ac:dyDescent="0.25">
      <c r="A247" s="93" t="str">
        <f>[3]Sheet3!A246</f>
        <v>6112</v>
      </c>
      <c r="B247" s="65" t="str">
        <f>IF(LEN(A247)=3,VLOOKUP('CĐPS_TH&amp;CT'!A247,HTTK1!$A$5:$F$80,3,0),VLOOKUP('CĐPS_TH&amp;CT'!A247,DMTK!$B$5:$Q$263,3,0))</f>
        <v>Mua hàng hóa</v>
      </c>
      <c r="C247" s="69">
        <f>IF(LEN(A247)=3,VLOOKUP(A247,HTTK1!$A$5:$F$80,5,0),VLOOKUP('CĐPS_TH&amp;CT'!A247,DMTK!$B$5:$Q$263,10,0))</f>
        <v>0</v>
      </c>
      <c r="D247" s="69">
        <f>IF(LEN(A247)=3,VLOOKUP(A247,HTTK1!$A$5:$F$80,6,0),VLOOKUP('CĐPS_TH&amp;CT'!A247,DMTK!$B$5:$Q$263,11,0))</f>
        <v>0</v>
      </c>
      <c r="E247" s="69">
        <f>SUMIFS(CT!$H$5:$H$143,CT!$D$5:$D$143,'CĐPS_TH&amp;CT'!A247&amp;"*")</f>
        <v>0</v>
      </c>
      <c r="F247" s="69">
        <f>SUMIFS(CT!$H$5:$H$143,CT!$E$5:$E$143,'CĐPS_TH&amp;CT'!A247&amp;"*")</f>
        <v>0</v>
      </c>
      <c r="G247" s="69">
        <f t="shared" si="6"/>
        <v>0</v>
      </c>
      <c r="H247" s="69">
        <f t="shared" si="7"/>
        <v>0</v>
      </c>
    </row>
    <row r="248" spans="1:8" s="72" customFormat="1" x14ac:dyDescent="0.25">
      <c r="A248" s="128" t="str">
        <f>[3]Sheet3!A247</f>
        <v>621</v>
      </c>
      <c r="B248" s="71" t="str">
        <f>IF(LEN(A248)=3,VLOOKUP('CĐPS_TH&amp;CT'!A248,HTTK1!$A$5:$F$80,3,0),VLOOKUP('CĐPS_TH&amp;CT'!A248,DMTK!$B$5:$Q$263,3,0))</f>
        <v>Chi phí nguyên liệu, vật liệu trực tiếp</v>
      </c>
      <c r="C248" s="69">
        <f>IF(LEN(A248)=3,VLOOKUP(A248,HTTK1!$A$5:$F$80,5,0),VLOOKUP('CĐPS_TH&amp;CT'!A248,DMTK!$B$5:$Q$263,10,0))</f>
        <v>0</v>
      </c>
      <c r="D248" s="69">
        <f>IF(LEN(A248)=3,VLOOKUP(A248,HTTK1!$A$5:$F$80,6,0),VLOOKUP('CĐPS_TH&amp;CT'!A248,DMTK!$B$5:$Q$263,11,0))</f>
        <v>0</v>
      </c>
      <c r="E248" s="69">
        <f>SUMIFS(CT!$H$5:$H$143,CT!$D$5:$D$143,'CĐPS_TH&amp;CT'!A248&amp;"*")</f>
        <v>18078200</v>
      </c>
      <c r="F248" s="69">
        <f>SUMIFS(CT!$H$5:$H$143,CT!$E$5:$E$143,'CĐPS_TH&amp;CT'!A248&amp;"*")</f>
        <v>18078200</v>
      </c>
      <c r="G248" s="69">
        <f t="shared" si="6"/>
        <v>0</v>
      </c>
      <c r="H248" s="69">
        <f t="shared" si="7"/>
        <v>0</v>
      </c>
    </row>
    <row r="249" spans="1:8" x14ac:dyDescent="0.25">
      <c r="A249" s="93" t="str">
        <f>[3]Sheet3!A248</f>
        <v>6211.01</v>
      </c>
      <c r="B249" s="65" t="str">
        <f>IF(LEN(A249)=3,VLOOKUP('CĐPS_TH&amp;CT'!A249,HTTK1!$A$5:$F$80,3,0),VLOOKUP('CĐPS_TH&amp;CT'!A249,DMTK!$B$5:$Q$263,3,0))</f>
        <v>CFNVL Ghế tay vịn</v>
      </c>
      <c r="C249" s="69">
        <f>IF(LEN(A249)=3,VLOOKUP(A249,HTTK1!$A$5:$F$80,5,0),VLOOKUP('CĐPS_TH&amp;CT'!A249,DMTK!$B$5:$Q$263,10,0))</f>
        <v>0</v>
      </c>
      <c r="D249" s="69">
        <f>IF(LEN(A249)=3,VLOOKUP(A249,HTTK1!$A$5:$F$80,6,0),VLOOKUP('CĐPS_TH&amp;CT'!A249,DMTK!$B$5:$Q$263,11,0))</f>
        <v>0</v>
      </c>
      <c r="E249" s="69">
        <f>SUMIFS(CT!$H$5:$H$143,CT!$D$5:$D$143,'CĐPS_TH&amp;CT'!A249&amp;"*")</f>
        <v>14432200</v>
      </c>
      <c r="F249" s="69">
        <f>SUMIFS(CT!$H$5:$H$143,CT!$E$5:$E$143,'CĐPS_TH&amp;CT'!A249&amp;"*")</f>
        <v>14432200</v>
      </c>
      <c r="G249" s="69">
        <f t="shared" si="6"/>
        <v>0</v>
      </c>
      <c r="H249" s="69">
        <f t="shared" si="7"/>
        <v>0</v>
      </c>
    </row>
    <row r="250" spans="1:8" x14ac:dyDescent="0.25">
      <c r="A250" s="93" t="str">
        <f>[3]Sheet3!A249</f>
        <v>6211.02</v>
      </c>
      <c r="B250" s="65" t="str">
        <f>IF(LEN(A250)=3,VLOOKUP('CĐPS_TH&amp;CT'!A250,HTTK1!$A$5:$F$80,3,0),VLOOKUP('CĐPS_TH&amp;CT'!A250,DMTK!$B$5:$Q$263,3,0))</f>
        <v>CFNVL Ghế không tay</v>
      </c>
      <c r="C250" s="69">
        <f>IF(LEN(A250)=3,VLOOKUP(A250,HTTK1!$A$5:$F$80,5,0),VLOOKUP('CĐPS_TH&amp;CT'!A250,DMTK!$B$5:$Q$263,10,0))</f>
        <v>0</v>
      </c>
      <c r="D250" s="69">
        <f>IF(LEN(A250)=3,VLOOKUP(A250,HTTK1!$A$5:$F$80,6,0),VLOOKUP('CĐPS_TH&amp;CT'!A250,DMTK!$B$5:$Q$263,11,0))</f>
        <v>0</v>
      </c>
      <c r="E250" s="69">
        <f>SUMIFS(CT!$H$5:$H$143,CT!$D$5:$D$143,'CĐPS_TH&amp;CT'!A250&amp;"*")</f>
        <v>0</v>
      </c>
      <c r="F250" s="69">
        <f>SUMIFS(CT!$H$5:$H$143,CT!$E$5:$E$143,'CĐPS_TH&amp;CT'!A250&amp;"*")</f>
        <v>0</v>
      </c>
      <c r="G250" s="69">
        <f t="shared" si="6"/>
        <v>0</v>
      </c>
      <c r="H250" s="69">
        <f t="shared" si="7"/>
        <v>0</v>
      </c>
    </row>
    <row r="251" spans="1:8" x14ac:dyDescent="0.25">
      <c r="A251" s="93" t="str">
        <f>[3]Sheet3!A250</f>
        <v>6211.03</v>
      </c>
      <c r="B251" s="65" t="str">
        <f>IF(LEN(A251)=3,VLOOKUP('CĐPS_TH&amp;CT'!A251,HTTK1!$A$5:$F$80,3,0),VLOOKUP('CĐPS_TH&amp;CT'!A251,DMTK!$B$5:$Q$263,3,0))</f>
        <v>CFNVL Bàn tròn</v>
      </c>
      <c r="C251" s="69">
        <f>IF(LEN(A251)=3,VLOOKUP(A251,HTTK1!$A$5:$F$80,5,0),VLOOKUP('CĐPS_TH&amp;CT'!A251,DMTK!$B$5:$Q$263,10,0))</f>
        <v>0</v>
      </c>
      <c r="D251" s="69">
        <f>IF(LEN(A251)=3,VLOOKUP(A251,HTTK1!$A$5:$F$80,6,0),VLOOKUP('CĐPS_TH&amp;CT'!A251,DMTK!$B$5:$Q$263,11,0))</f>
        <v>0</v>
      </c>
      <c r="E251" s="69">
        <f>SUMIFS(CT!$H$5:$H$143,CT!$D$5:$D$143,'CĐPS_TH&amp;CT'!A251&amp;"*")</f>
        <v>3646000</v>
      </c>
      <c r="F251" s="69">
        <f>SUMIFS(CT!$H$5:$H$143,CT!$E$5:$E$143,'CĐPS_TH&amp;CT'!A251&amp;"*")</f>
        <v>3646000</v>
      </c>
      <c r="G251" s="69">
        <f t="shared" si="6"/>
        <v>0</v>
      </c>
      <c r="H251" s="69">
        <f t="shared" si="7"/>
        <v>0</v>
      </c>
    </row>
    <row r="252" spans="1:8" x14ac:dyDescent="0.25">
      <c r="A252" s="93" t="str">
        <f>[3]Sheet3!A251</f>
        <v>6211.04</v>
      </c>
      <c r="B252" s="65" t="str">
        <f>IF(LEN(A252)=3,VLOOKUP('CĐPS_TH&amp;CT'!A252,HTTK1!$A$5:$F$80,3,0),VLOOKUP('CĐPS_TH&amp;CT'!A252,DMTK!$B$5:$Q$263,3,0))</f>
        <v>CFNVL Bàn oval</v>
      </c>
      <c r="C252" s="69">
        <f>IF(LEN(A252)=3,VLOOKUP(A252,HTTK1!$A$5:$F$80,5,0),VLOOKUP('CĐPS_TH&amp;CT'!A252,DMTK!$B$5:$Q$263,10,0))</f>
        <v>0</v>
      </c>
      <c r="D252" s="69">
        <f>IF(LEN(A252)=3,VLOOKUP(A252,HTTK1!$A$5:$F$80,6,0),VLOOKUP('CĐPS_TH&amp;CT'!A252,DMTK!$B$5:$Q$263,11,0))</f>
        <v>0</v>
      </c>
      <c r="E252" s="69">
        <f>SUMIFS(CT!$H$5:$H$143,CT!$D$5:$D$143,'CĐPS_TH&amp;CT'!A252&amp;"*")</f>
        <v>0</v>
      </c>
      <c r="F252" s="69">
        <f>SUMIFS(CT!$H$5:$H$143,CT!$E$5:$E$143,'CĐPS_TH&amp;CT'!A252&amp;"*")</f>
        <v>0</v>
      </c>
      <c r="G252" s="69">
        <f t="shared" si="6"/>
        <v>0</v>
      </c>
      <c r="H252" s="69">
        <f t="shared" si="7"/>
        <v>0</v>
      </c>
    </row>
    <row r="253" spans="1:8" x14ac:dyDescent="0.25">
      <c r="A253" s="93" t="str">
        <f>[3]Sheet3!A252</f>
        <v>6211.05</v>
      </c>
      <c r="B253" s="65" t="str">
        <f>IF(LEN(A253)=3,VLOOKUP('CĐPS_TH&amp;CT'!A253,HTTK1!$A$5:$F$80,3,0),VLOOKUP('CĐPS_TH&amp;CT'!A253,DMTK!$B$5:$Q$263,3,0))</f>
        <v>CFNVL Bàn chữ nhật</v>
      </c>
      <c r="C253" s="69">
        <f>IF(LEN(A253)=3,VLOOKUP(A253,HTTK1!$A$5:$F$80,5,0),VLOOKUP('CĐPS_TH&amp;CT'!A253,DMTK!$B$5:$Q$263,10,0))</f>
        <v>0</v>
      </c>
      <c r="D253" s="69">
        <f>IF(LEN(A253)=3,VLOOKUP(A253,HTTK1!$A$5:$F$80,6,0),VLOOKUP('CĐPS_TH&amp;CT'!A253,DMTK!$B$5:$Q$263,11,0))</f>
        <v>0</v>
      </c>
      <c r="E253" s="69">
        <f>SUMIFS(CT!$H$5:$H$143,CT!$D$5:$D$143,'CĐPS_TH&amp;CT'!A253&amp;"*")</f>
        <v>0</v>
      </c>
      <c r="F253" s="69">
        <f>SUMIFS(CT!$H$5:$H$143,CT!$E$5:$E$143,'CĐPS_TH&amp;CT'!A253&amp;"*")</f>
        <v>0</v>
      </c>
      <c r="G253" s="69">
        <f t="shared" si="6"/>
        <v>0</v>
      </c>
      <c r="H253" s="69">
        <f t="shared" si="7"/>
        <v>0</v>
      </c>
    </row>
    <row r="254" spans="1:8" s="72" customFormat="1" x14ac:dyDescent="0.25">
      <c r="A254" s="128" t="str">
        <f>[3]Sheet3!A253</f>
        <v>622</v>
      </c>
      <c r="B254" s="71" t="str">
        <f>IF(LEN(A254)=3,VLOOKUP('CĐPS_TH&amp;CT'!A254,HTTK1!$A$5:$F$80,3,0),VLOOKUP('CĐPS_TH&amp;CT'!A254,DMTK!$B$5:$Q$263,3,0))</f>
        <v>Chi phí nhân công trực tiếp</v>
      </c>
      <c r="C254" s="69">
        <f>IF(LEN(A254)=3,VLOOKUP(A254,HTTK1!$A$5:$F$80,5,0),VLOOKUP('CĐPS_TH&amp;CT'!A254,DMTK!$B$5:$Q$263,10,0))</f>
        <v>0</v>
      </c>
      <c r="D254" s="69">
        <f>IF(LEN(A254)=3,VLOOKUP(A254,HTTK1!$A$5:$F$80,6,0),VLOOKUP('CĐPS_TH&amp;CT'!A254,DMTK!$B$5:$Q$263,11,0))</f>
        <v>0</v>
      </c>
      <c r="E254" s="69">
        <f>SUMIFS(CT!$H$5:$H$143,CT!$D$5:$D$143,'CĐPS_TH&amp;CT'!A254&amp;"*")</f>
        <v>244000000</v>
      </c>
      <c r="F254" s="69">
        <f>SUMIFS(CT!$H$5:$H$143,CT!$E$5:$E$143,'CĐPS_TH&amp;CT'!A254&amp;"*")</f>
        <v>244000000</v>
      </c>
      <c r="G254" s="69">
        <f t="shared" si="6"/>
        <v>0</v>
      </c>
      <c r="H254" s="69">
        <f t="shared" si="7"/>
        <v>0</v>
      </c>
    </row>
    <row r="255" spans="1:8" x14ac:dyDescent="0.25">
      <c r="A255" s="93" t="str">
        <f>[3]Sheet3!A254</f>
        <v>622.01</v>
      </c>
      <c r="B255" s="65" t="str">
        <f>IF(LEN(A255)=3,VLOOKUP('CĐPS_TH&amp;CT'!A255,HTTK1!$A$5:$F$80,3,0),VLOOKUP('CĐPS_TH&amp;CT'!A255,DMTK!$B$5:$Q$263,3,0))</f>
        <v>CFNC Ghế tay vịn</v>
      </c>
      <c r="C255" s="69">
        <f>IF(LEN(A255)=3,VLOOKUP(A255,HTTK1!$A$5:$F$80,5,0),VLOOKUP('CĐPS_TH&amp;CT'!A255,DMTK!$B$5:$Q$263,10,0))</f>
        <v>0</v>
      </c>
      <c r="D255" s="69">
        <f>IF(LEN(A255)=3,VLOOKUP(A255,HTTK1!$A$5:$F$80,6,0),VLOOKUP('CĐPS_TH&amp;CT'!A255,DMTK!$B$5:$Q$263,11,0))</f>
        <v>0</v>
      </c>
      <c r="E255" s="69">
        <f>SUMIFS(CT!$H$5:$H$143,CT!$D$5:$D$143,'CĐPS_TH&amp;CT'!A255&amp;"*")</f>
        <v>48800000</v>
      </c>
      <c r="F255" s="69">
        <f>SUMIFS(CT!$H$5:$H$143,CT!$E$5:$E$143,'CĐPS_TH&amp;CT'!A255&amp;"*")</f>
        <v>48800000</v>
      </c>
      <c r="G255" s="69">
        <f t="shared" si="6"/>
        <v>0</v>
      </c>
      <c r="H255" s="69">
        <f t="shared" si="7"/>
        <v>0</v>
      </c>
    </row>
    <row r="256" spans="1:8" x14ac:dyDescent="0.25">
      <c r="A256" s="93" t="str">
        <f>[3]Sheet3!A255</f>
        <v>622.02</v>
      </c>
      <c r="B256" s="65" t="str">
        <f>IF(LEN(A256)=3,VLOOKUP('CĐPS_TH&amp;CT'!A256,HTTK1!$A$5:$F$80,3,0),VLOOKUP('CĐPS_TH&amp;CT'!A256,DMTK!$B$5:$Q$263,3,0))</f>
        <v>CFNC Ghế không tay</v>
      </c>
      <c r="C256" s="69">
        <f>IF(LEN(A256)=3,VLOOKUP(A256,HTTK1!$A$5:$F$80,5,0),VLOOKUP('CĐPS_TH&amp;CT'!A256,DMTK!$B$5:$Q$263,10,0))</f>
        <v>0</v>
      </c>
      <c r="D256" s="69">
        <f>IF(LEN(A256)=3,VLOOKUP(A256,HTTK1!$A$5:$F$80,6,0),VLOOKUP('CĐPS_TH&amp;CT'!A256,DMTK!$B$5:$Q$263,11,0))</f>
        <v>0</v>
      </c>
      <c r="E256" s="69">
        <f>SUMIFS(CT!$H$5:$H$143,CT!$D$5:$D$143,'CĐPS_TH&amp;CT'!A256&amp;"*")</f>
        <v>48800000</v>
      </c>
      <c r="F256" s="69">
        <f>SUMIFS(CT!$H$5:$H$143,CT!$E$5:$E$143,'CĐPS_TH&amp;CT'!A256&amp;"*")</f>
        <v>48800000</v>
      </c>
      <c r="G256" s="69">
        <f t="shared" si="6"/>
        <v>0</v>
      </c>
      <c r="H256" s="69">
        <f t="shared" si="7"/>
        <v>0</v>
      </c>
    </row>
    <row r="257" spans="1:8" x14ac:dyDescent="0.25">
      <c r="A257" s="93" t="str">
        <f>[3]Sheet3!A256</f>
        <v>622.03</v>
      </c>
      <c r="B257" s="65" t="str">
        <f>IF(LEN(A257)=3,VLOOKUP('CĐPS_TH&amp;CT'!A257,HTTK1!$A$5:$F$80,3,0),VLOOKUP('CĐPS_TH&amp;CT'!A257,DMTK!$B$5:$Q$263,3,0))</f>
        <v>CFNC Bàn tròn</v>
      </c>
      <c r="C257" s="69">
        <f>IF(LEN(A257)=3,VLOOKUP(A257,HTTK1!$A$5:$F$80,5,0),VLOOKUP('CĐPS_TH&amp;CT'!A257,DMTK!$B$5:$Q$263,10,0))</f>
        <v>0</v>
      </c>
      <c r="D257" s="69">
        <f>IF(LEN(A257)=3,VLOOKUP(A257,HTTK1!$A$5:$F$80,6,0),VLOOKUP('CĐPS_TH&amp;CT'!A257,DMTK!$B$5:$Q$263,11,0))</f>
        <v>0</v>
      </c>
      <c r="E257" s="69">
        <f>SUMIFS(CT!$H$5:$H$143,CT!$D$5:$D$143,'CĐPS_TH&amp;CT'!A257&amp;"*")</f>
        <v>48800000</v>
      </c>
      <c r="F257" s="69">
        <f>SUMIFS(CT!$H$5:$H$143,CT!$E$5:$E$143,'CĐPS_TH&amp;CT'!A257&amp;"*")</f>
        <v>48800000</v>
      </c>
      <c r="G257" s="69">
        <f t="shared" si="6"/>
        <v>0</v>
      </c>
      <c r="H257" s="69">
        <f t="shared" si="7"/>
        <v>0</v>
      </c>
    </row>
    <row r="258" spans="1:8" x14ac:dyDescent="0.25">
      <c r="A258" s="93" t="str">
        <f>[3]Sheet3!A257</f>
        <v>622.04</v>
      </c>
      <c r="B258" s="65" t="str">
        <f>IF(LEN(A258)=3,VLOOKUP('CĐPS_TH&amp;CT'!A258,HTTK1!$A$5:$F$80,3,0),VLOOKUP('CĐPS_TH&amp;CT'!A258,DMTK!$B$5:$Q$263,3,0))</f>
        <v>CFNCBàn oval</v>
      </c>
      <c r="C258" s="69">
        <f>IF(LEN(A258)=3,VLOOKUP(A258,HTTK1!$A$5:$F$80,5,0),VLOOKUP('CĐPS_TH&amp;CT'!A258,DMTK!$B$5:$Q$263,10,0))</f>
        <v>0</v>
      </c>
      <c r="D258" s="69">
        <f>IF(LEN(A258)=3,VLOOKUP(A258,HTTK1!$A$5:$F$80,6,0),VLOOKUP('CĐPS_TH&amp;CT'!A258,DMTK!$B$5:$Q$263,11,0))</f>
        <v>0</v>
      </c>
      <c r="E258" s="69">
        <f>SUMIFS(CT!$H$5:$H$143,CT!$D$5:$D$143,'CĐPS_TH&amp;CT'!A258&amp;"*")</f>
        <v>48800000</v>
      </c>
      <c r="F258" s="69">
        <f>SUMIFS(CT!$H$5:$H$143,CT!$E$5:$E$143,'CĐPS_TH&amp;CT'!A258&amp;"*")</f>
        <v>48800000</v>
      </c>
      <c r="G258" s="69">
        <f t="shared" si="6"/>
        <v>0</v>
      </c>
      <c r="H258" s="69">
        <f t="shared" si="7"/>
        <v>0</v>
      </c>
    </row>
    <row r="259" spans="1:8" x14ac:dyDescent="0.25">
      <c r="A259" s="93" t="str">
        <f>[3]Sheet3!A258</f>
        <v>622.05</v>
      </c>
      <c r="B259" s="65" t="str">
        <f>IF(LEN(A259)=3,VLOOKUP('CĐPS_TH&amp;CT'!A259,HTTK1!$A$5:$F$80,3,0),VLOOKUP('CĐPS_TH&amp;CT'!A259,DMTK!$B$5:$Q$263,3,0))</f>
        <v>CFNC Bàn chữ nhật</v>
      </c>
      <c r="C259" s="69">
        <f>IF(LEN(A259)=3,VLOOKUP(A259,HTTK1!$A$5:$F$80,5,0),VLOOKUP('CĐPS_TH&amp;CT'!A259,DMTK!$B$5:$Q$263,10,0))</f>
        <v>0</v>
      </c>
      <c r="D259" s="69">
        <f>IF(LEN(A259)=3,VLOOKUP(A259,HTTK1!$A$5:$F$80,6,0),VLOOKUP('CĐPS_TH&amp;CT'!A259,DMTK!$B$5:$Q$263,11,0))</f>
        <v>0</v>
      </c>
      <c r="E259" s="69">
        <f>SUMIFS(CT!$H$5:$H$143,CT!$D$5:$D$143,'CĐPS_TH&amp;CT'!A259&amp;"*")</f>
        <v>48800000</v>
      </c>
      <c r="F259" s="69">
        <f>SUMIFS(CT!$H$5:$H$143,CT!$E$5:$E$143,'CĐPS_TH&amp;CT'!A259&amp;"*")</f>
        <v>48800000</v>
      </c>
      <c r="G259" s="69">
        <f t="shared" si="6"/>
        <v>0</v>
      </c>
      <c r="H259" s="69">
        <f t="shared" si="7"/>
        <v>0</v>
      </c>
    </row>
    <row r="260" spans="1:8" s="72" customFormat="1" x14ac:dyDescent="0.25">
      <c r="A260" s="128" t="str">
        <f>[3]Sheet3!A259</f>
        <v>623</v>
      </c>
      <c r="B260" s="71" t="str">
        <f>IF(LEN(A260)=3,VLOOKUP('CĐPS_TH&amp;CT'!A260,HTTK1!$A$5:$F$80,3,0),VLOOKUP('CĐPS_TH&amp;CT'!A260,DMTK!$B$5:$Q$263,3,0))</f>
        <v>Chi phí sử dụng máy thi công</v>
      </c>
      <c r="C260" s="69">
        <f>IF(LEN(A260)=3,VLOOKUP(A260,HTTK1!$A$5:$F$80,5,0),VLOOKUP('CĐPS_TH&amp;CT'!A260,DMTK!$B$5:$Q$263,10,0))</f>
        <v>0</v>
      </c>
      <c r="D260" s="69">
        <f>IF(LEN(A260)=3,VLOOKUP(A260,HTTK1!$A$5:$F$80,6,0),VLOOKUP('CĐPS_TH&amp;CT'!A260,DMTK!$B$5:$Q$263,11,0))</f>
        <v>0</v>
      </c>
      <c r="E260" s="69">
        <f>SUMIFS(CT!$H$5:$H$143,CT!$D$5:$D$143,'CĐPS_TH&amp;CT'!A260&amp;"*")</f>
        <v>0</v>
      </c>
      <c r="F260" s="69">
        <f>SUMIFS(CT!$H$5:$H$143,CT!$E$5:$E$143,'CĐPS_TH&amp;CT'!A260&amp;"*")</f>
        <v>0</v>
      </c>
      <c r="G260" s="69">
        <f t="shared" si="6"/>
        <v>0</v>
      </c>
      <c r="H260" s="69">
        <f t="shared" si="7"/>
        <v>0</v>
      </c>
    </row>
    <row r="261" spans="1:8" x14ac:dyDescent="0.25">
      <c r="A261" s="93" t="str">
        <f>[3]Sheet3!A260</f>
        <v>6231</v>
      </c>
      <c r="B261" s="65" t="str">
        <f>IF(LEN(A261)=3,VLOOKUP('CĐPS_TH&amp;CT'!A261,HTTK1!$A$5:$F$80,3,0),VLOOKUP('CĐPS_TH&amp;CT'!A261,DMTK!$B$5:$Q$263,3,0))</f>
        <v>Chi phí nhân công</v>
      </c>
      <c r="C261" s="69">
        <f>IF(LEN(A261)=3,VLOOKUP(A261,HTTK1!$A$5:$F$80,5,0),VLOOKUP('CĐPS_TH&amp;CT'!A261,DMTK!$B$5:$Q$263,10,0))</f>
        <v>0</v>
      </c>
      <c r="D261" s="69">
        <f>IF(LEN(A261)=3,VLOOKUP(A261,HTTK1!$A$5:$F$80,6,0),VLOOKUP('CĐPS_TH&amp;CT'!A261,DMTK!$B$5:$Q$263,11,0))</f>
        <v>0</v>
      </c>
      <c r="E261" s="69">
        <f>SUMIFS(CT!$H$5:$H$143,CT!$D$5:$D$143,'CĐPS_TH&amp;CT'!A261&amp;"*")</f>
        <v>0</v>
      </c>
      <c r="F261" s="69">
        <f>SUMIFS(CT!$H$5:$H$143,CT!$E$5:$E$143,'CĐPS_TH&amp;CT'!A261&amp;"*")</f>
        <v>0</v>
      </c>
      <c r="G261" s="69">
        <f t="shared" si="6"/>
        <v>0</v>
      </c>
      <c r="H261" s="69">
        <f t="shared" si="7"/>
        <v>0</v>
      </c>
    </row>
    <row r="262" spans="1:8" x14ac:dyDescent="0.25">
      <c r="A262" s="93" t="str">
        <f>[3]Sheet3!A261</f>
        <v>6232</v>
      </c>
      <c r="B262" s="65" t="str">
        <f>IF(LEN(A262)=3,VLOOKUP('CĐPS_TH&amp;CT'!A262,HTTK1!$A$5:$F$80,3,0),VLOOKUP('CĐPS_TH&amp;CT'!A262,DMTK!$B$5:$Q$263,3,0))</f>
        <v>Chi phí nguyên, vật liệu</v>
      </c>
      <c r="C262" s="69">
        <f>IF(LEN(A262)=3,VLOOKUP(A262,HTTK1!$A$5:$F$80,5,0),VLOOKUP('CĐPS_TH&amp;CT'!A262,DMTK!$B$5:$Q$263,10,0))</f>
        <v>0</v>
      </c>
      <c r="D262" s="69">
        <f>IF(LEN(A262)=3,VLOOKUP(A262,HTTK1!$A$5:$F$80,6,0),VLOOKUP('CĐPS_TH&amp;CT'!A262,DMTK!$B$5:$Q$263,11,0))</f>
        <v>0</v>
      </c>
      <c r="E262" s="69">
        <f>SUMIFS(CT!$H$5:$H$143,CT!$D$5:$D$143,'CĐPS_TH&amp;CT'!A262&amp;"*")</f>
        <v>0</v>
      </c>
      <c r="F262" s="69">
        <f>SUMIFS(CT!$H$5:$H$143,CT!$E$5:$E$143,'CĐPS_TH&amp;CT'!A262&amp;"*")</f>
        <v>0</v>
      </c>
      <c r="G262" s="69">
        <f t="shared" si="6"/>
        <v>0</v>
      </c>
      <c r="H262" s="69">
        <f t="shared" si="7"/>
        <v>0</v>
      </c>
    </row>
    <row r="263" spans="1:8" x14ac:dyDescent="0.25">
      <c r="A263" s="93" t="str">
        <f>[3]Sheet3!A262</f>
        <v>6233</v>
      </c>
      <c r="B263" s="65" t="str">
        <f>IF(LEN(A263)=3,VLOOKUP('CĐPS_TH&amp;CT'!A263,HTTK1!$A$5:$F$80,3,0),VLOOKUP('CĐPS_TH&amp;CT'!A263,DMTK!$B$5:$Q$263,3,0))</f>
        <v>Chi phí dụng cụ sản xuất</v>
      </c>
      <c r="C263" s="69">
        <f>IF(LEN(A263)=3,VLOOKUP(A263,HTTK1!$A$5:$F$80,5,0),VLOOKUP('CĐPS_TH&amp;CT'!A263,DMTK!$B$5:$Q$263,10,0))</f>
        <v>0</v>
      </c>
      <c r="D263" s="69">
        <f>IF(LEN(A263)=3,VLOOKUP(A263,HTTK1!$A$5:$F$80,6,0),VLOOKUP('CĐPS_TH&amp;CT'!A263,DMTK!$B$5:$Q$263,11,0))</f>
        <v>0</v>
      </c>
      <c r="E263" s="69">
        <f>SUMIFS(CT!$H$5:$H$143,CT!$D$5:$D$143,'CĐPS_TH&amp;CT'!A263&amp;"*")</f>
        <v>0</v>
      </c>
      <c r="F263" s="69">
        <f>SUMIFS(CT!$H$5:$H$143,CT!$E$5:$E$143,'CĐPS_TH&amp;CT'!A263&amp;"*")</f>
        <v>0</v>
      </c>
      <c r="G263" s="69">
        <f t="shared" ref="G263:G311" si="8">MAX(C263+E263-D263-F263,0)</f>
        <v>0</v>
      </c>
      <c r="H263" s="69">
        <f t="shared" ref="H263:H311" si="9">MAX(D263+F263-C263-E263,0)</f>
        <v>0</v>
      </c>
    </row>
    <row r="264" spans="1:8" x14ac:dyDescent="0.25">
      <c r="A264" s="93" t="str">
        <f>[3]Sheet3!A263</f>
        <v>6234</v>
      </c>
      <c r="B264" s="65" t="str">
        <f>IF(LEN(A264)=3,VLOOKUP('CĐPS_TH&amp;CT'!A264,HTTK1!$A$5:$F$80,3,0),VLOOKUP('CĐPS_TH&amp;CT'!A264,DMTK!$B$5:$Q$263,3,0))</f>
        <v>Chi phí khấu hao máy thi công</v>
      </c>
      <c r="C264" s="69">
        <f>IF(LEN(A264)=3,VLOOKUP(A264,HTTK1!$A$5:$F$80,5,0),VLOOKUP('CĐPS_TH&amp;CT'!A264,DMTK!$B$5:$Q$263,10,0))</f>
        <v>0</v>
      </c>
      <c r="D264" s="69">
        <f>IF(LEN(A264)=3,VLOOKUP(A264,HTTK1!$A$5:$F$80,6,0),VLOOKUP('CĐPS_TH&amp;CT'!A264,DMTK!$B$5:$Q$263,11,0))</f>
        <v>0</v>
      </c>
      <c r="E264" s="69">
        <f>SUMIFS(CT!$H$5:$H$143,CT!$D$5:$D$143,'CĐPS_TH&amp;CT'!A264&amp;"*")</f>
        <v>0</v>
      </c>
      <c r="F264" s="69">
        <f>SUMIFS(CT!$H$5:$H$143,CT!$E$5:$E$143,'CĐPS_TH&amp;CT'!A264&amp;"*")</f>
        <v>0</v>
      </c>
      <c r="G264" s="69">
        <f t="shared" si="8"/>
        <v>0</v>
      </c>
      <c r="H264" s="69">
        <f t="shared" si="9"/>
        <v>0</v>
      </c>
    </row>
    <row r="265" spans="1:8" x14ac:dyDescent="0.25">
      <c r="A265" s="65" t="str">
        <f>[3]Sheet3!A264</f>
        <v>6237</v>
      </c>
      <c r="B265" s="65" t="str">
        <f>IF(LEN(A265)=3,VLOOKUP('CĐPS_TH&amp;CT'!A265,HTTK1!$A$5:$F$80,3,0),VLOOKUP('CĐPS_TH&amp;CT'!A265,DMTK!$B$5:$Q$263,3,0))</f>
        <v>Chi phí dịch vụ mua ngoài</v>
      </c>
      <c r="C265" s="69">
        <f>IF(LEN(A265)=3,VLOOKUP(A265,HTTK1!$A$5:$F$80,5,0),VLOOKUP('CĐPS_TH&amp;CT'!A265,DMTK!$B$5:$Q$263,10,0))</f>
        <v>0</v>
      </c>
      <c r="D265" s="69">
        <f>IF(LEN(A265)=3,VLOOKUP(A265,HTTK1!$A$5:$F$80,6,0),VLOOKUP('CĐPS_TH&amp;CT'!A265,DMTK!$B$5:$Q$263,11,0))</f>
        <v>0</v>
      </c>
      <c r="E265" s="69">
        <f>SUMIFS(CT!$H$5:$H$143,CT!$D$5:$D$143,'CĐPS_TH&amp;CT'!A265&amp;"*")</f>
        <v>0</v>
      </c>
      <c r="F265" s="69">
        <f>SUMIFS(CT!$H$5:$H$143,CT!$E$5:$E$143,'CĐPS_TH&amp;CT'!A265&amp;"*")</f>
        <v>0</v>
      </c>
      <c r="G265" s="69">
        <f t="shared" si="8"/>
        <v>0</v>
      </c>
      <c r="H265" s="69">
        <f t="shared" si="9"/>
        <v>0</v>
      </c>
    </row>
    <row r="266" spans="1:8" x14ac:dyDescent="0.25">
      <c r="A266" s="65" t="str">
        <f>[3]Sheet3!A265</f>
        <v>6238</v>
      </c>
      <c r="B266" s="65" t="str">
        <f>IF(LEN(A266)=3,VLOOKUP('CĐPS_TH&amp;CT'!A266,HTTK1!$A$5:$F$80,3,0),VLOOKUP('CĐPS_TH&amp;CT'!A266,DMTK!$B$5:$Q$263,3,0))</f>
        <v>Chi phí bằng tiền khác</v>
      </c>
      <c r="C266" s="69">
        <f>IF(LEN(A266)=3,VLOOKUP(A266,HTTK1!$A$5:$F$80,5,0),VLOOKUP('CĐPS_TH&amp;CT'!A266,DMTK!$B$5:$Q$263,10,0))</f>
        <v>0</v>
      </c>
      <c r="D266" s="69">
        <f>IF(LEN(A266)=3,VLOOKUP(A266,HTTK1!$A$5:$F$80,6,0),VLOOKUP('CĐPS_TH&amp;CT'!A266,DMTK!$B$5:$Q$263,11,0))</f>
        <v>0</v>
      </c>
      <c r="E266" s="69">
        <f>SUMIFS(CT!$H$5:$H$143,CT!$D$5:$D$143,'CĐPS_TH&amp;CT'!A266&amp;"*")</f>
        <v>0</v>
      </c>
      <c r="F266" s="69">
        <f>SUMIFS(CT!$H$5:$H$143,CT!$E$5:$E$143,'CĐPS_TH&amp;CT'!A266&amp;"*")</f>
        <v>0</v>
      </c>
      <c r="G266" s="69">
        <f t="shared" si="8"/>
        <v>0</v>
      </c>
      <c r="H266" s="69">
        <f t="shared" si="9"/>
        <v>0</v>
      </c>
    </row>
    <row r="267" spans="1:8" s="72" customFormat="1" x14ac:dyDescent="0.25">
      <c r="A267" s="71" t="str">
        <f>[3]Sheet3!A266</f>
        <v>627</v>
      </c>
      <c r="B267" s="71" t="str">
        <f>IF(LEN(A267)=3,VLOOKUP('CĐPS_TH&amp;CT'!A267,HTTK1!$A$5:$F$80,3,0),VLOOKUP('CĐPS_TH&amp;CT'!A267,DMTK!$B$5:$Q$263,3,0))</f>
        <v>Chi phí sản xuất chung</v>
      </c>
      <c r="C267" s="69">
        <f>IF(LEN(A267)=3,VLOOKUP(A267,HTTK1!$A$5:$F$80,5,0),VLOOKUP('CĐPS_TH&amp;CT'!A267,DMTK!$B$5:$Q$263,10,0))</f>
        <v>0</v>
      </c>
      <c r="D267" s="69">
        <f>IF(LEN(A267)=3,VLOOKUP(A267,HTTK1!$A$5:$F$80,6,0),VLOOKUP('CĐPS_TH&amp;CT'!A267,DMTK!$B$5:$Q$263,11,0))</f>
        <v>0</v>
      </c>
      <c r="E267" s="69">
        <f>SUMIFS(CT!$H$5:$H$143,CT!$D$5:$D$143,'CĐPS_TH&amp;CT'!A267&amp;"*")</f>
        <v>44866666</v>
      </c>
      <c r="F267" s="69">
        <f>SUMIFS(CT!$H$5:$H$143,CT!$E$5:$E$143,'CĐPS_TH&amp;CT'!A267&amp;"*")</f>
        <v>44866666</v>
      </c>
      <c r="G267" s="69">
        <f t="shared" si="8"/>
        <v>0</v>
      </c>
      <c r="H267" s="69">
        <f t="shared" si="9"/>
        <v>0</v>
      </c>
    </row>
    <row r="268" spans="1:8" x14ac:dyDescent="0.25">
      <c r="A268" s="65" t="str">
        <f>[3]Sheet3!A267</f>
        <v>6271</v>
      </c>
      <c r="B268" s="65" t="str">
        <f>IF(LEN(A268)=3,VLOOKUP('CĐPS_TH&amp;CT'!A268,HTTK1!$A$5:$F$80,3,0),VLOOKUP('CĐPS_TH&amp;CT'!A268,DMTK!$B$5:$Q$263,3,0))</f>
        <v>Chi phí nhân viên phân xưởng</v>
      </c>
      <c r="C268" s="69">
        <f>IF(LEN(A268)=3,VLOOKUP(A268,HTTK1!$A$5:$F$80,5,0),VLOOKUP('CĐPS_TH&amp;CT'!A268,DMTK!$B$5:$Q$263,10,0))</f>
        <v>0</v>
      </c>
      <c r="D268" s="69">
        <f>IF(LEN(A268)=3,VLOOKUP(A268,HTTK1!$A$5:$F$80,6,0),VLOOKUP('CĐPS_TH&amp;CT'!A268,DMTK!$B$5:$Q$263,11,0))</f>
        <v>0</v>
      </c>
      <c r="E268" s="69">
        <f>SUMIFS(CT!$H$5:$H$143,CT!$D$5:$D$143,'CĐPS_TH&amp;CT'!A268&amp;"*")</f>
        <v>42700000</v>
      </c>
      <c r="F268" s="69">
        <f>SUMIFS(CT!$H$5:$H$143,CT!$E$5:$E$143,'CĐPS_TH&amp;CT'!A268&amp;"*")</f>
        <v>42700000</v>
      </c>
      <c r="G268" s="69">
        <f t="shared" si="8"/>
        <v>0</v>
      </c>
      <c r="H268" s="69">
        <f t="shared" si="9"/>
        <v>0</v>
      </c>
    </row>
    <row r="269" spans="1:8" x14ac:dyDescent="0.25">
      <c r="A269" s="65" t="str">
        <f>[3]Sheet3!A268</f>
        <v>6272</v>
      </c>
      <c r="B269" s="65" t="str">
        <f>IF(LEN(A269)=3,VLOOKUP('CĐPS_TH&amp;CT'!A269,HTTK1!$A$5:$F$80,3,0),VLOOKUP('CĐPS_TH&amp;CT'!A269,DMTK!$B$5:$Q$263,3,0))</f>
        <v>Chi phí nguyên, vật liệu</v>
      </c>
      <c r="C269" s="69">
        <f>IF(LEN(A269)=3,VLOOKUP(A269,HTTK1!$A$5:$F$80,5,0),VLOOKUP('CĐPS_TH&amp;CT'!A269,DMTK!$B$5:$Q$263,10,0))</f>
        <v>0</v>
      </c>
      <c r="D269" s="69">
        <f>IF(LEN(A269)=3,VLOOKUP(A269,HTTK1!$A$5:$F$80,6,0),VLOOKUP('CĐPS_TH&amp;CT'!A269,DMTK!$B$5:$Q$263,11,0))</f>
        <v>0</v>
      </c>
      <c r="E269" s="69">
        <f>SUMIFS(CT!$H$5:$H$143,CT!$D$5:$D$143,'CĐPS_TH&amp;CT'!A269&amp;"*")</f>
        <v>0</v>
      </c>
      <c r="F269" s="69">
        <f>SUMIFS(CT!$H$5:$H$143,CT!$E$5:$E$143,'CĐPS_TH&amp;CT'!A269&amp;"*")</f>
        <v>0</v>
      </c>
      <c r="G269" s="69">
        <f t="shared" si="8"/>
        <v>0</v>
      </c>
      <c r="H269" s="69">
        <f t="shared" si="9"/>
        <v>0</v>
      </c>
    </row>
    <row r="270" spans="1:8" x14ac:dyDescent="0.25">
      <c r="A270" s="65" t="str">
        <f>[3]Sheet3!A269</f>
        <v>6273</v>
      </c>
      <c r="B270" s="65" t="str">
        <f>IF(LEN(A270)=3,VLOOKUP('CĐPS_TH&amp;CT'!A270,HTTK1!$A$5:$F$80,3,0),VLOOKUP('CĐPS_TH&amp;CT'!A270,DMTK!$B$5:$Q$263,3,0))</f>
        <v>Chi phí dụng cụ sản xuất</v>
      </c>
      <c r="C270" s="69">
        <f>IF(LEN(A270)=3,VLOOKUP(A270,HTTK1!$A$5:$F$80,5,0),VLOOKUP('CĐPS_TH&amp;CT'!A270,DMTK!$B$5:$Q$263,10,0))</f>
        <v>0</v>
      </c>
      <c r="D270" s="69">
        <f>IF(LEN(A270)=3,VLOOKUP(A270,HTTK1!$A$5:$F$80,6,0),VLOOKUP('CĐPS_TH&amp;CT'!A270,DMTK!$B$5:$Q$263,11,0))</f>
        <v>0</v>
      </c>
      <c r="E270" s="69">
        <f>SUMIFS(CT!$H$5:$H$143,CT!$D$5:$D$143,'CĐPS_TH&amp;CT'!A270&amp;"*")</f>
        <v>500000</v>
      </c>
      <c r="F270" s="69">
        <f>SUMIFS(CT!$H$5:$H$143,CT!$E$5:$E$143,'CĐPS_TH&amp;CT'!A270&amp;"*")</f>
        <v>500000</v>
      </c>
      <c r="G270" s="69">
        <f t="shared" si="8"/>
        <v>0</v>
      </c>
      <c r="H270" s="69">
        <f t="shared" si="9"/>
        <v>0</v>
      </c>
    </row>
    <row r="271" spans="1:8" x14ac:dyDescent="0.25">
      <c r="A271" s="65" t="str">
        <f>[3]Sheet3!A270</f>
        <v>6274</v>
      </c>
      <c r="B271" s="65" t="str">
        <f>IF(LEN(A271)=3,VLOOKUP('CĐPS_TH&amp;CT'!A271,HTTK1!$A$5:$F$80,3,0),VLOOKUP('CĐPS_TH&amp;CT'!A271,DMTK!$B$5:$Q$263,3,0))</f>
        <v>Chi phí khấu hao TSCĐ</v>
      </c>
      <c r="C271" s="69">
        <f>IF(LEN(A271)=3,VLOOKUP(A271,HTTK1!$A$5:$F$80,5,0),VLOOKUP('CĐPS_TH&amp;CT'!A271,DMTK!$B$5:$Q$263,10,0))</f>
        <v>0</v>
      </c>
      <c r="D271" s="69">
        <f>IF(LEN(A271)=3,VLOOKUP(A271,HTTK1!$A$5:$F$80,6,0),VLOOKUP('CĐPS_TH&amp;CT'!A271,DMTK!$B$5:$Q$263,11,0))</f>
        <v>0</v>
      </c>
      <c r="E271" s="69">
        <f>SUMIFS(CT!$H$5:$H$143,CT!$D$5:$D$143,'CĐPS_TH&amp;CT'!A271&amp;"*")</f>
        <v>1666666</v>
      </c>
      <c r="F271" s="69">
        <f>SUMIFS(CT!$H$5:$H$143,CT!$E$5:$E$143,'CĐPS_TH&amp;CT'!A271&amp;"*")</f>
        <v>1666666</v>
      </c>
      <c r="G271" s="69">
        <f t="shared" si="8"/>
        <v>0</v>
      </c>
      <c r="H271" s="69">
        <f t="shared" si="9"/>
        <v>0</v>
      </c>
    </row>
    <row r="272" spans="1:8" x14ac:dyDescent="0.25">
      <c r="A272" s="65" t="str">
        <f>[3]Sheet3!A271</f>
        <v>6277</v>
      </c>
      <c r="B272" s="65" t="str">
        <f>IF(LEN(A272)=3,VLOOKUP('CĐPS_TH&amp;CT'!A272,HTTK1!$A$5:$F$80,3,0),VLOOKUP('CĐPS_TH&amp;CT'!A272,DMTK!$B$5:$Q$263,3,0))</f>
        <v>Chi phí dịch vụ mua ngoài</v>
      </c>
      <c r="C272" s="69">
        <f>IF(LEN(A272)=3,VLOOKUP(A272,HTTK1!$A$5:$F$80,5,0),VLOOKUP('CĐPS_TH&amp;CT'!A272,DMTK!$B$5:$Q$263,10,0))</f>
        <v>0</v>
      </c>
      <c r="D272" s="69">
        <f>IF(LEN(A272)=3,VLOOKUP(A272,HTTK1!$A$5:$F$80,6,0),VLOOKUP('CĐPS_TH&amp;CT'!A272,DMTK!$B$5:$Q$263,11,0))</f>
        <v>0</v>
      </c>
      <c r="E272" s="69">
        <f>SUMIFS(CT!$H$5:$H$143,CT!$D$5:$D$143,'CĐPS_TH&amp;CT'!A272&amp;"*")</f>
        <v>0</v>
      </c>
      <c r="F272" s="69">
        <f>SUMIFS(CT!$H$5:$H$143,CT!$E$5:$E$143,'CĐPS_TH&amp;CT'!A272&amp;"*")</f>
        <v>0</v>
      </c>
      <c r="G272" s="69">
        <f t="shared" si="8"/>
        <v>0</v>
      </c>
      <c r="H272" s="69">
        <f t="shared" si="9"/>
        <v>0</v>
      </c>
    </row>
    <row r="273" spans="1:8" x14ac:dyDescent="0.25">
      <c r="A273" s="65" t="str">
        <f>[3]Sheet3!A272</f>
        <v>6278</v>
      </c>
      <c r="B273" s="65" t="str">
        <f>IF(LEN(A273)=3,VLOOKUP('CĐPS_TH&amp;CT'!A273,HTTK1!$A$5:$F$80,3,0),VLOOKUP('CĐPS_TH&amp;CT'!A273,DMTK!$B$5:$Q$263,3,0))</f>
        <v>Chi phí bằng tiền khác</v>
      </c>
      <c r="C273" s="69">
        <f>IF(LEN(A273)=3,VLOOKUP(A273,HTTK1!$A$5:$F$80,5,0),VLOOKUP('CĐPS_TH&amp;CT'!A273,DMTK!$B$5:$Q$263,10,0))</f>
        <v>0</v>
      </c>
      <c r="D273" s="69">
        <f>IF(LEN(A273)=3,VLOOKUP(A273,HTTK1!$A$5:$F$80,6,0),VLOOKUP('CĐPS_TH&amp;CT'!A273,DMTK!$B$5:$Q$263,11,0))</f>
        <v>0</v>
      </c>
      <c r="E273" s="69">
        <f>SUMIFS(CT!$H$5:$H$143,CT!$D$5:$D$143,'CĐPS_TH&amp;CT'!A273&amp;"*")</f>
        <v>0</v>
      </c>
      <c r="F273" s="69">
        <f>SUMIFS(CT!$H$5:$H$143,CT!$E$5:$E$143,'CĐPS_TH&amp;CT'!A273&amp;"*")</f>
        <v>0</v>
      </c>
      <c r="G273" s="69">
        <f t="shared" si="8"/>
        <v>0</v>
      </c>
      <c r="H273" s="69">
        <f t="shared" si="9"/>
        <v>0</v>
      </c>
    </row>
    <row r="274" spans="1:8" s="72" customFormat="1" x14ac:dyDescent="0.25">
      <c r="A274" s="71" t="str">
        <f>[3]Sheet3!A273</f>
        <v>631</v>
      </c>
      <c r="B274" s="71" t="str">
        <f>IF(LEN(A274)=3,VLOOKUP('CĐPS_TH&amp;CT'!A274,HTTK1!$A$5:$F$80,3,0),VLOOKUP('CĐPS_TH&amp;CT'!A274,DMTK!$B$5:$Q$263,3,0))</f>
        <v>Giá thành sản xuất</v>
      </c>
      <c r="C274" s="69">
        <f>IF(LEN(A274)=3,VLOOKUP(A274,HTTK1!$A$5:$F$80,5,0),VLOOKUP('CĐPS_TH&amp;CT'!A274,DMTK!$B$5:$Q$263,10,0))</f>
        <v>0</v>
      </c>
      <c r="D274" s="69">
        <f>IF(LEN(A274)=3,VLOOKUP(A274,HTTK1!$A$5:$F$80,6,0),VLOOKUP('CĐPS_TH&amp;CT'!A274,DMTK!$B$5:$Q$263,11,0))</f>
        <v>0</v>
      </c>
      <c r="E274" s="69">
        <f>SUMIFS(CT!$H$5:$H$143,CT!$D$5:$D$143,'CĐPS_TH&amp;CT'!A274&amp;"*")</f>
        <v>0</v>
      </c>
      <c r="F274" s="69">
        <f>SUMIFS(CT!$H$5:$H$143,CT!$E$5:$E$143,'CĐPS_TH&amp;CT'!A274&amp;"*")</f>
        <v>0</v>
      </c>
      <c r="G274" s="69">
        <f t="shared" si="8"/>
        <v>0</v>
      </c>
      <c r="H274" s="69">
        <f t="shared" si="9"/>
        <v>0</v>
      </c>
    </row>
    <row r="275" spans="1:8" s="72" customFormat="1" x14ac:dyDescent="0.25">
      <c r="A275" s="71" t="str">
        <f>[3]Sheet3!A274</f>
        <v>632</v>
      </c>
      <c r="B275" s="71" t="str">
        <f>IF(LEN(A275)=3,VLOOKUP('CĐPS_TH&amp;CT'!A275,HTTK1!$A$5:$F$80,3,0),VLOOKUP('CĐPS_TH&amp;CT'!A275,DMTK!$B$5:$Q$263,3,0))</f>
        <v>Giá vốn hàng bán</v>
      </c>
      <c r="C275" s="69">
        <f>IF(LEN(A275)=3,VLOOKUP(A275,HTTK1!$A$5:$F$80,5,0),VLOOKUP('CĐPS_TH&amp;CT'!A275,DMTK!$B$5:$Q$263,10,0))</f>
        <v>0</v>
      </c>
      <c r="D275" s="69">
        <f>IF(LEN(A275)=3,VLOOKUP(A275,HTTK1!$A$5:$F$80,6,0),VLOOKUP('CĐPS_TH&amp;CT'!A275,DMTK!$B$5:$Q$263,11,0))</f>
        <v>0</v>
      </c>
      <c r="E275" s="69">
        <f>SUMIFS(CT!$H$5:$H$143,CT!$D$5:$D$143,'CĐPS_TH&amp;CT'!A275&amp;"*")</f>
        <v>70469900</v>
      </c>
      <c r="F275" s="69">
        <f>SUMIFS(CT!$H$5:$H$143,CT!$E$5:$E$143,'CĐPS_TH&amp;CT'!A275&amp;"*")</f>
        <v>70469900</v>
      </c>
      <c r="G275" s="69">
        <f t="shared" si="8"/>
        <v>0</v>
      </c>
      <c r="H275" s="69">
        <f t="shared" si="9"/>
        <v>0</v>
      </c>
    </row>
    <row r="276" spans="1:8" x14ac:dyDescent="0.25">
      <c r="A276" s="65" t="str">
        <f>[3]Sheet3!A275</f>
        <v>632.0101</v>
      </c>
      <c r="B276" s="65" t="str">
        <f>IF(LEN(A276)=3,VLOOKUP('CĐPS_TH&amp;CT'!A276,HTTK1!$A$5:$F$80,3,0),VLOOKUP('CĐPS_TH&amp;CT'!A276,DMTK!$B$5:$Q$263,3,0))</f>
        <v>GVHB Ghế tay vịn</v>
      </c>
      <c r="C276" s="69">
        <f>IF(LEN(A276)=3,VLOOKUP(A276,HTTK1!$A$5:$F$80,5,0),VLOOKUP('CĐPS_TH&amp;CT'!A276,DMTK!$B$5:$Q$263,10,0))</f>
        <v>0</v>
      </c>
      <c r="D276" s="69">
        <f>IF(LEN(A276)=3,VLOOKUP(A276,HTTK1!$A$5:$F$80,6,0),VLOOKUP('CĐPS_TH&amp;CT'!A276,DMTK!$B$5:$Q$263,11,0))</f>
        <v>0</v>
      </c>
      <c r="E276" s="69">
        <f>SUMIFS(CT!$H$5:$H$143,CT!$D$5:$D$143,'CĐPS_TH&amp;CT'!A276&amp;"*")</f>
        <v>25123700</v>
      </c>
      <c r="F276" s="69">
        <f>SUMIFS(CT!$H$5:$H$143,CT!$E$5:$E$143,'CĐPS_TH&amp;CT'!A276&amp;"*")</f>
        <v>25123700</v>
      </c>
      <c r="G276" s="69">
        <f t="shared" si="8"/>
        <v>0</v>
      </c>
      <c r="H276" s="69">
        <f t="shared" si="9"/>
        <v>0</v>
      </c>
    </row>
    <row r="277" spans="1:8" x14ac:dyDescent="0.25">
      <c r="A277" s="65" t="str">
        <f>[3]Sheet3!A276</f>
        <v>632.0102</v>
      </c>
      <c r="B277" s="65" t="str">
        <f>IF(LEN(A277)=3,VLOOKUP('CĐPS_TH&amp;CT'!A277,HTTK1!$A$5:$F$80,3,0),VLOOKUP('CĐPS_TH&amp;CT'!A277,DMTK!$B$5:$Q$263,3,0))</f>
        <v>GVHB Ghế không tay</v>
      </c>
      <c r="C277" s="69">
        <f>IF(LEN(A277)=3,VLOOKUP(A277,HTTK1!$A$5:$F$80,5,0),VLOOKUP('CĐPS_TH&amp;CT'!A277,DMTK!$B$5:$Q$263,10,0))</f>
        <v>0</v>
      </c>
      <c r="D277" s="69">
        <f>IF(LEN(A277)=3,VLOOKUP(A277,HTTK1!$A$5:$F$80,6,0),VLOOKUP('CĐPS_TH&amp;CT'!A277,DMTK!$B$5:$Q$263,11,0))</f>
        <v>0</v>
      </c>
      <c r="E277" s="69">
        <f>SUMIFS(CT!$H$5:$H$143,CT!$D$5:$D$143,'CĐPS_TH&amp;CT'!A277&amp;"*")</f>
        <v>20346200</v>
      </c>
      <c r="F277" s="69">
        <f>SUMIFS(CT!$H$5:$H$143,CT!$E$5:$E$143,'CĐPS_TH&amp;CT'!A277&amp;"*")</f>
        <v>20346200</v>
      </c>
      <c r="G277" s="69">
        <f t="shared" si="8"/>
        <v>0</v>
      </c>
      <c r="H277" s="69">
        <f t="shared" si="9"/>
        <v>0</v>
      </c>
    </row>
    <row r="278" spans="1:8" x14ac:dyDescent="0.25">
      <c r="A278" s="65" t="str">
        <f>[3]Sheet3!A277</f>
        <v>632.0201</v>
      </c>
      <c r="B278" s="65" t="str">
        <f>IF(LEN(A278)=3,VLOOKUP('CĐPS_TH&amp;CT'!A278,HTTK1!$A$5:$F$80,3,0),VLOOKUP('CĐPS_TH&amp;CT'!A278,DMTK!$B$5:$Q$263,3,0))</f>
        <v>GVHB Bàn tròn</v>
      </c>
      <c r="C278" s="69">
        <f>IF(LEN(A278)=3,VLOOKUP(A278,HTTK1!$A$5:$F$80,5,0),VLOOKUP('CĐPS_TH&amp;CT'!A278,DMTK!$B$5:$Q$263,10,0))</f>
        <v>0</v>
      </c>
      <c r="D278" s="69">
        <f>IF(LEN(A278)=3,VLOOKUP(A278,HTTK1!$A$5:$F$80,6,0),VLOOKUP('CĐPS_TH&amp;CT'!A278,DMTK!$B$5:$Q$263,11,0))</f>
        <v>0</v>
      </c>
      <c r="E278" s="69">
        <f>SUMIFS(CT!$H$5:$H$143,CT!$D$5:$D$143,'CĐPS_TH&amp;CT'!A278&amp;"*")</f>
        <v>0</v>
      </c>
      <c r="F278" s="69">
        <f>SUMIFS(CT!$H$5:$H$143,CT!$E$5:$E$143,'CĐPS_TH&amp;CT'!A278&amp;"*")</f>
        <v>0</v>
      </c>
      <c r="G278" s="69">
        <f t="shared" si="8"/>
        <v>0</v>
      </c>
      <c r="H278" s="69">
        <f t="shared" si="9"/>
        <v>0</v>
      </c>
    </row>
    <row r="279" spans="1:8" x14ac:dyDescent="0.25">
      <c r="A279" s="65" t="str">
        <f>[3]Sheet3!A278</f>
        <v>632.0202</v>
      </c>
      <c r="B279" s="65" t="str">
        <f>IF(LEN(A279)=3,VLOOKUP('CĐPS_TH&amp;CT'!A279,HTTK1!$A$5:$F$80,3,0),VLOOKUP('CĐPS_TH&amp;CT'!A279,DMTK!$B$5:$Q$263,3,0))</f>
        <v>GVHB Bàn oval</v>
      </c>
      <c r="C279" s="69">
        <f>IF(LEN(A279)=3,VLOOKUP(A279,HTTK1!$A$5:$F$80,5,0),VLOOKUP('CĐPS_TH&amp;CT'!A279,DMTK!$B$5:$Q$263,10,0))</f>
        <v>0</v>
      </c>
      <c r="D279" s="69">
        <f>IF(LEN(A279)=3,VLOOKUP(A279,HTTK1!$A$5:$F$80,6,0),VLOOKUP('CĐPS_TH&amp;CT'!A279,DMTK!$B$5:$Q$263,11,0))</f>
        <v>0</v>
      </c>
      <c r="E279" s="69">
        <f>SUMIFS(CT!$H$5:$H$143,CT!$D$5:$D$143,'CĐPS_TH&amp;CT'!A279&amp;"*")</f>
        <v>25000000</v>
      </c>
      <c r="F279" s="69">
        <f>SUMIFS(CT!$H$5:$H$143,CT!$E$5:$E$143,'CĐPS_TH&amp;CT'!A279&amp;"*")</f>
        <v>25000000</v>
      </c>
      <c r="G279" s="69">
        <f t="shared" si="8"/>
        <v>0</v>
      </c>
      <c r="H279" s="69">
        <f t="shared" si="9"/>
        <v>0</v>
      </c>
    </row>
    <row r="280" spans="1:8" x14ac:dyDescent="0.25">
      <c r="A280" s="65" t="str">
        <f>[3]Sheet3!A279</f>
        <v>632.0203</v>
      </c>
      <c r="B280" s="65" t="str">
        <f>IF(LEN(A280)=3,VLOOKUP('CĐPS_TH&amp;CT'!A280,HTTK1!$A$5:$F$80,3,0),VLOOKUP('CĐPS_TH&amp;CT'!A280,DMTK!$B$5:$Q$263,3,0))</f>
        <v>GVHB Bàn chữ nhật</v>
      </c>
      <c r="C280" s="69">
        <f>IF(LEN(A280)=3,VLOOKUP(A280,HTTK1!$A$5:$F$80,5,0),VLOOKUP('CĐPS_TH&amp;CT'!A280,DMTK!$B$5:$Q$263,10,0))</f>
        <v>0</v>
      </c>
      <c r="D280" s="69">
        <f>IF(LEN(A280)=3,VLOOKUP(A280,HTTK1!$A$5:$F$80,6,0),VLOOKUP('CĐPS_TH&amp;CT'!A280,DMTK!$B$5:$Q$263,11,0))</f>
        <v>0</v>
      </c>
      <c r="E280" s="69">
        <f>SUMIFS(CT!$H$5:$H$143,CT!$D$5:$D$143,'CĐPS_TH&amp;CT'!A280&amp;"*")</f>
        <v>0</v>
      </c>
      <c r="F280" s="69">
        <f>SUMIFS(CT!$H$5:$H$143,CT!$E$5:$E$143,'CĐPS_TH&amp;CT'!A280&amp;"*")</f>
        <v>0</v>
      </c>
      <c r="G280" s="69">
        <f t="shared" si="8"/>
        <v>0</v>
      </c>
      <c r="H280" s="69">
        <f t="shared" si="9"/>
        <v>0</v>
      </c>
    </row>
    <row r="281" spans="1:8" s="72" customFormat="1" x14ac:dyDescent="0.25">
      <c r="A281" s="71" t="str">
        <f>[3]Sheet3!A280</f>
        <v>635</v>
      </c>
      <c r="B281" s="71" t="str">
        <f>IF(LEN(A281)=3,VLOOKUP('CĐPS_TH&amp;CT'!A281,HTTK1!$A$5:$F$80,3,0),VLOOKUP('CĐPS_TH&amp;CT'!A281,DMTK!$B$5:$Q$263,3,0))</f>
        <v>Chi phí tài chính</v>
      </c>
      <c r="C281" s="69">
        <f>IF(LEN(A281)=3,VLOOKUP(A281,HTTK1!$A$5:$F$80,5,0),VLOOKUP('CĐPS_TH&amp;CT'!A281,DMTK!$B$5:$Q$263,10,0))</f>
        <v>0</v>
      </c>
      <c r="D281" s="69">
        <f>IF(LEN(A281)=3,VLOOKUP(A281,HTTK1!$A$5:$F$80,6,0),VLOOKUP('CĐPS_TH&amp;CT'!A281,DMTK!$B$5:$Q$263,11,0))</f>
        <v>0</v>
      </c>
      <c r="E281" s="69">
        <f>SUMIFS(CT!$H$5:$H$143,CT!$D$5:$D$143,'CĐPS_TH&amp;CT'!A281&amp;"*")</f>
        <v>0</v>
      </c>
      <c r="F281" s="69">
        <f>SUMIFS(CT!$H$5:$H$143,CT!$E$5:$E$143,'CĐPS_TH&amp;CT'!A281&amp;"*")</f>
        <v>0</v>
      </c>
      <c r="G281" s="69">
        <f t="shared" si="8"/>
        <v>0</v>
      </c>
      <c r="H281" s="69">
        <f t="shared" si="9"/>
        <v>0</v>
      </c>
    </row>
    <row r="282" spans="1:8" x14ac:dyDescent="0.25">
      <c r="A282" s="65" t="str">
        <f>[3]Sheet3!A281</f>
        <v>6351</v>
      </c>
      <c r="B282" s="65" t="str">
        <f>IF(LEN(A282)=3,VLOOKUP('CĐPS_TH&amp;CT'!A282,HTTK1!$A$5:$F$80,3,0),VLOOKUP('CĐPS_TH&amp;CT'!A282,DMTK!$B$5:$Q$263,3,0))</f>
        <v>Chi phí lãi vay</v>
      </c>
      <c r="C282" s="69">
        <f>IF(LEN(A282)=3,VLOOKUP(A282,HTTK1!$A$5:$F$80,5,0),VLOOKUP('CĐPS_TH&amp;CT'!A282,DMTK!$B$5:$Q$263,10,0))</f>
        <v>0</v>
      </c>
      <c r="D282" s="69">
        <f>IF(LEN(A282)=3,VLOOKUP(A282,HTTK1!$A$5:$F$80,6,0),VLOOKUP('CĐPS_TH&amp;CT'!A282,DMTK!$B$5:$Q$263,11,0))</f>
        <v>0</v>
      </c>
      <c r="E282" s="69">
        <f>SUMIFS(CT!$H$5:$H$143,CT!$D$5:$D$143,'CĐPS_TH&amp;CT'!A282&amp;"*")</f>
        <v>0</v>
      </c>
      <c r="F282" s="69">
        <f>SUMIFS(CT!$H$5:$H$143,CT!$E$5:$E$143,'CĐPS_TH&amp;CT'!A282&amp;"*")</f>
        <v>0</v>
      </c>
      <c r="G282" s="69">
        <f t="shared" si="8"/>
        <v>0</v>
      </c>
      <c r="H282" s="69">
        <f t="shared" si="9"/>
        <v>0</v>
      </c>
    </row>
    <row r="283" spans="1:8" s="72" customFormat="1" x14ac:dyDescent="0.25">
      <c r="A283" s="71" t="str">
        <f>[3]Sheet3!A282</f>
        <v>641</v>
      </c>
      <c r="B283" s="71" t="str">
        <f>IF(LEN(A283)=3,VLOOKUP('CĐPS_TH&amp;CT'!A283,HTTK1!$A$5:$F$80,3,0),VLOOKUP('CĐPS_TH&amp;CT'!A283,DMTK!$B$5:$Q$263,3,0))</f>
        <v>Chi phí bán hàng</v>
      </c>
      <c r="C283" s="69">
        <f>IF(LEN(A283)=3,VLOOKUP(A283,HTTK1!$A$5:$F$80,5,0),VLOOKUP('CĐPS_TH&amp;CT'!A283,DMTK!$B$5:$Q$263,10,0))</f>
        <v>0</v>
      </c>
      <c r="D283" s="69">
        <f>IF(LEN(A283)=3,VLOOKUP(A283,HTTK1!$A$5:$F$80,6,0),VLOOKUP('CĐPS_TH&amp;CT'!A283,DMTK!$B$5:$Q$263,11,0))</f>
        <v>0</v>
      </c>
      <c r="E283" s="69">
        <f>SUMIFS(CT!$H$5:$H$143,CT!$D$5:$D$143,'CĐPS_TH&amp;CT'!A283&amp;"*")</f>
        <v>6350000</v>
      </c>
      <c r="F283" s="69">
        <f>SUMIFS(CT!$H$5:$H$143,CT!$E$5:$E$143,'CĐPS_TH&amp;CT'!A283&amp;"*")</f>
        <v>6350000</v>
      </c>
      <c r="G283" s="69">
        <f t="shared" si="8"/>
        <v>0</v>
      </c>
      <c r="H283" s="69">
        <f t="shared" si="9"/>
        <v>0</v>
      </c>
    </row>
    <row r="284" spans="1:8" x14ac:dyDescent="0.25">
      <c r="A284" s="65" t="str">
        <f>[3]Sheet3!A283</f>
        <v>6411</v>
      </c>
      <c r="B284" s="65" t="str">
        <f>IF(LEN(A284)=3,VLOOKUP('CĐPS_TH&amp;CT'!A284,HTTK1!$A$5:$F$80,3,0),VLOOKUP('CĐPS_TH&amp;CT'!A284,DMTK!$B$5:$Q$263,3,0))</f>
        <v xml:space="preserve">Chi phí nhân viên </v>
      </c>
      <c r="C284" s="69">
        <f>IF(LEN(A284)=3,VLOOKUP(A284,HTTK1!$A$5:$F$80,5,0),VLOOKUP('CĐPS_TH&amp;CT'!A284,DMTK!$B$5:$Q$263,10,0))</f>
        <v>0</v>
      </c>
      <c r="D284" s="69">
        <f>IF(LEN(A284)=3,VLOOKUP(A284,HTTK1!$A$5:$F$80,6,0),VLOOKUP('CĐPS_TH&amp;CT'!A284,DMTK!$B$5:$Q$263,11,0))</f>
        <v>0</v>
      </c>
      <c r="E284" s="69">
        <f>SUMIFS(CT!$H$5:$H$143,CT!$D$5:$D$143,'CĐPS_TH&amp;CT'!A284&amp;"*")</f>
        <v>6100000</v>
      </c>
      <c r="F284" s="69">
        <f>SUMIFS(CT!$H$5:$H$143,CT!$E$5:$E$143,'CĐPS_TH&amp;CT'!A284&amp;"*")</f>
        <v>6100000</v>
      </c>
      <c r="G284" s="69">
        <f t="shared" si="8"/>
        <v>0</v>
      </c>
      <c r="H284" s="69">
        <f t="shared" si="9"/>
        <v>0</v>
      </c>
    </row>
    <row r="285" spans="1:8" x14ac:dyDescent="0.25">
      <c r="A285" s="65" t="str">
        <f>[3]Sheet3!A284</f>
        <v>6412</v>
      </c>
      <c r="B285" s="65" t="str">
        <f>IF(LEN(A285)=3,VLOOKUP('CĐPS_TH&amp;CT'!A285,HTTK1!$A$5:$F$80,3,0),VLOOKUP('CĐPS_TH&amp;CT'!A285,DMTK!$B$5:$Q$263,3,0))</f>
        <v>Chi phí nguyên vật liệu, bao bì</v>
      </c>
      <c r="C285" s="69">
        <f>IF(LEN(A285)=3,VLOOKUP(A285,HTTK1!$A$5:$F$80,5,0),VLOOKUP('CĐPS_TH&amp;CT'!A285,DMTK!$B$5:$Q$263,10,0))</f>
        <v>0</v>
      </c>
      <c r="D285" s="69">
        <f>IF(LEN(A285)=3,VLOOKUP(A285,HTTK1!$A$5:$F$80,6,0),VLOOKUP('CĐPS_TH&amp;CT'!A285,DMTK!$B$5:$Q$263,11,0))</f>
        <v>0</v>
      </c>
      <c r="E285" s="69">
        <f>SUMIFS(CT!$H$5:$H$143,CT!$D$5:$D$143,'CĐPS_TH&amp;CT'!A285&amp;"*")</f>
        <v>0</v>
      </c>
      <c r="F285" s="69">
        <f>SUMIFS(CT!$H$5:$H$143,CT!$E$5:$E$143,'CĐPS_TH&amp;CT'!A285&amp;"*")</f>
        <v>0</v>
      </c>
      <c r="G285" s="69">
        <f t="shared" si="8"/>
        <v>0</v>
      </c>
      <c r="H285" s="69">
        <f t="shared" si="9"/>
        <v>0</v>
      </c>
    </row>
    <row r="286" spans="1:8" x14ac:dyDescent="0.25">
      <c r="A286" s="65" t="str">
        <f>[3]Sheet3!A285</f>
        <v>6413</v>
      </c>
      <c r="B286" s="65" t="str">
        <f>IF(LEN(A286)=3,VLOOKUP('CĐPS_TH&amp;CT'!A286,HTTK1!$A$5:$F$80,3,0),VLOOKUP('CĐPS_TH&amp;CT'!A286,DMTK!$B$5:$Q$263,3,0))</f>
        <v>Chi phí dụng cụ, đồ dùng</v>
      </c>
      <c r="C286" s="69">
        <f>IF(LEN(A286)=3,VLOOKUP(A286,HTTK1!$A$5:$F$80,5,0),VLOOKUP('CĐPS_TH&amp;CT'!A286,DMTK!$B$5:$Q$263,10,0))</f>
        <v>0</v>
      </c>
      <c r="D286" s="69">
        <f>IF(LEN(A286)=3,VLOOKUP(A286,HTTK1!$A$5:$F$80,6,0),VLOOKUP('CĐPS_TH&amp;CT'!A286,DMTK!$B$5:$Q$263,11,0))</f>
        <v>0</v>
      </c>
      <c r="E286" s="69">
        <f>SUMIFS(CT!$H$5:$H$143,CT!$D$5:$D$143,'CĐPS_TH&amp;CT'!A286&amp;"*")</f>
        <v>250000</v>
      </c>
      <c r="F286" s="69">
        <f>SUMIFS(CT!$H$5:$H$143,CT!$E$5:$E$143,'CĐPS_TH&amp;CT'!A286&amp;"*")</f>
        <v>250000</v>
      </c>
      <c r="G286" s="69">
        <f t="shared" si="8"/>
        <v>0</v>
      </c>
      <c r="H286" s="69">
        <f t="shared" si="9"/>
        <v>0</v>
      </c>
    </row>
    <row r="287" spans="1:8" x14ac:dyDescent="0.25">
      <c r="A287" s="65" t="str">
        <f>[3]Sheet3!A286</f>
        <v>6414</v>
      </c>
      <c r="B287" s="65" t="str">
        <f>IF(LEN(A287)=3,VLOOKUP('CĐPS_TH&amp;CT'!A287,HTTK1!$A$5:$F$80,3,0),VLOOKUP('CĐPS_TH&amp;CT'!A287,DMTK!$B$5:$Q$263,3,0))</f>
        <v>Chi phí khấu hao TSCĐ</v>
      </c>
      <c r="C287" s="69">
        <f>IF(LEN(A287)=3,VLOOKUP(A287,HTTK1!$A$5:$F$80,5,0),VLOOKUP('CĐPS_TH&amp;CT'!A287,DMTK!$B$5:$Q$263,10,0))</f>
        <v>0</v>
      </c>
      <c r="D287" s="69">
        <f>IF(LEN(A287)=3,VLOOKUP(A287,HTTK1!$A$5:$F$80,6,0),VLOOKUP('CĐPS_TH&amp;CT'!A287,DMTK!$B$5:$Q$263,11,0))</f>
        <v>0</v>
      </c>
      <c r="E287" s="69">
        <f>SUMIFS(CT!$H$5:$H$143,CT!$D$5:$D$143,'CĐPS_TH&amp;CT'!A287&amp;"*")</f>
        <v>0</v>
      </c>
      <c r="F287" s="69">
        <f>SUMIFS(CT!$H$5:$H$143,CT!$E$5:$E$143,'CĐPS_TH&amp;CT'!A287&amp;"*")</f>
        <v>0</v>
      </c>
      <c r="G287" s="69">
        <f t="shared" si="8"/>
        <v>0</v>
      </c>
      <c r="H287" s="69">
        <f t="shared" si="9"/>
        <v>0</v>
      </c>
    </row>
    <row r="288" spans="1:8" x14ac:dyDescent="0.25">
      <c r="A288" s="65" t="str">
        <f>[3]Sheet3!A287</f>
        <v>6415</v>
      </c>
      <c r="B288" s="65" t="str">
        <f>IF(LEN(A288)=3,VLOOKUP('CĐPS_TH&amp;CT'!A288,HTTK1!$A$5:$F$80,3,0),VLOOKUP('CĐPS_TH&amp;CT'!A288,DMTK!$B$5:$Q$263,3,0))</f>
        <v>Chi phí bảo hành</v>
      </c>
      <c r="C288" s="69">
        <f>IF(LEN(A288)=3,VLOOKUP(A288,HTTK1!$A$5:$F$80,5,0),VLOOKUP('CĐPS_TH&amp;CT'!A288,DMTK!$B$5:$Q$263,10,0))</f>
        <v>0</v>
      </c>
      <c r="D288" s="69">
        <f>IF(LEN(A288)=3,VLOOKUP(A288,HTTK1!$A$5:$F$80,6,0),VLOOKUP('CĐPS_TH&amp;CT'!A288,DMTK!$B$5:$Q$263,11,0))</f>
        <v>0</v>
      </c>
      <c r="E288" s="69">
        <f>SUMIFS(CT!$H$5:$H$143,CT!$D$5:$D$143,'CĐPS_TH&amp;CT'!A288&amp;"*")</f>
        <v>0</v>
      </c>
      <c r="F288" s="69">
        <f>SUMIFS(CT!$H$5:$H$143,CT!$E$5:$E$143,'CĐPS_TH&amp;CT'!A288&amp;"*")</f>
        <v>0</v>
      </c>
      <c r="G288" s="69">
        <f t="shared" si="8"/>
        <v>0</v>
      </c>
      <c r="H288" s="69">
        <f t="shared" si="9"/>
        <v>0</v>
      </c>
    </row>
    <row r="289" spans="1:8" x14ac:dyDescent="0.25">
      <c r="A289" s="65" t="str">
        <f>[3]Sheet3!A288</f>
        <v>6417</v>
      </c>
      <c r="B289" s="65" t="str">
        <f>IF(LEN(A289)=3,VLOOKUP('CĐPS_TH&amp;CT'!A289,HTTK1!$A$5:$F$80,3,0),VLOOKUP('CĐPS_TH&amp;CT'!A289,DMTK!$B$5:$Q$263,3,0))</f>
        <v>Chi phí dịch vụ mua ngoài</v>
      </c>
      <c r="C289" s="69">
        <f>IF(LEN(A289)=3,VLOOKUP(A289,HTTK1!$A$5:$F$80,5,0),VLOOKUP('CĐPS_TH&amp;CT'!A289,DMTK!$B$5:$Q$263,10,0))</f>
        <v>0</v>
      </c>
      <c r="D289" s="69">
        <f>IF(LEN(A289)=3,VLOOKUP(A289,HTTK1!$A$5:$F$80,6,0),VLOOKUP('CĐPS_TH&amp;CT'!A289,DMTK!$B$5:$Q$263,11,0))</f>
        <v>0</v>
      </c>
      <c r="E289" s="69">
        <f>SUMIFS(CT!$H$5:$H$143,CT!$D$5:$D$143,'CĐPS_TH&amp;CT'!A289&amp;"*")</f>
        <v>0</v>
      </c>
      <c r="F289" s="69">
        <f>SUMIFS(CT!$H$5:$H$143,CT!$E$5:$E$143,'CĐPS_TH&amp;CT'!A289&amp;"*")</f>
        <v>0</v>
      </c>
      <c r="G289" s="69">
        <f t="shared" si="8"/>
        <v>0</v>
      </c>
      <c r="H289" s="69">
        <f t="shared" si="9"/>
        <v>0</v>
      </c>
    </row>
    <row r="290" spans="1:8" x14ac:dyDescent="0.25">
      <c r="A290" s="65" t="str">
        <f>[3]Sheet3!A289</f>
        <v>6418</v>
      </c>
      <c r="B290" s="65" t="str">
        <f>IF(LEN(A290)=3,VLOOKUP('CĐPS_TH&amp;CT'!A290,HTTK1!$A$5:$F$80,3,0),VLOOKUP('CĐPS_TH&amp;CT'!A290,DMTK!$B$5:$Q$263,3,0))</f>
        <v>Chi phí bằng tiền khác</v>
      </c>
      <c r="C290" s="69">
        <f>IF(LEN(A290)=3,VLOOKUP(A290,HTTK1!$A$5:$F$80,5,0),VLOOKUP('CĐPS_TH&amp;CT'!A290,DMTK!$B$5:$Q$263,10,0))</f>
        <v>0</v>
      </c>
      <c r="D290" s="69">
        <f>IF(LEN(A290)=3,VLOOKUP(A290,HTTK1!$A$5:$F$80,6,0),VLOOKUP('CĐPS_TH&amp;CT'!A290,DMTK!$B$5:$Q$263,11,0))</f>
        <v>0</v>
      </c>
      <c r="E290" s="69">
        <f>SUMIFS(CT!$H$5:$H$143,CT!$D$5:$D$143,'CĐPS_TH&amp;CT'!A290&amp;"*")</f>
        <v>0</v>
      </c>
      <c r="F290" s="69">
        <f>SUMIFS(CT!$H$5:$H$143,CT!$E$5:$E$143,'CĐPS_TH&amp;CT'!A290&amp;"*")</f>
        <v>0</v>
      </c>
      <c r="G290" s="69">
        <f t="shared" si="8"/>
        <v>0</v>
      </c>
      <c r="H290" s="69">
        <f t="shared" si="9"/>
        <v>0</v>
      </c>
    </row>
    <row r="291" spans="1:8" s="72" customFormat="1" x14ac:dyDescent="0.25">
      <c r="A291" s="71" t="str">
        <f>[3]Sheet3!A290</f>
        <v>642</v>
      </c>
      <c r="B291" s="71" t="str">
        <f>IF(LEN(A291)=3,VLOOKUP('CĐPS_TH&amp;CT'!A291,HTTK1!$A$5:$F$80,3,0),VLOOKUP('CĐPS_TH&amp;CT'!A291,DMTK!$B$5:$Q$263,3,0))</f>
        <v>Chi phí quản lý doanh nghiệp</v>
      </c>
      <c r="C291" s="69">
        <f>IF(LEN(A291)=3,VLOOKUP(A291,HTTK1!$A$5:$F$80,5,0),VLOOKUP('CĐPS_TH&amp;CT'!A291,DMTK!$B$5:$Q$263,10,0))</f>
        <v>0</v>
      </c>
      <c r="D291" s="69">
        <f>IF(LEN(A291)=3,VLOOKUP(A291,HTTK1!$A$5:$F$80,6,0),VLOOKUP('CĐPS_TH&amp;CT'!A291,DMTK!$B$5:$Q$263,11,0))</f>
        <v>0</v>
      </c>
      <c r="E291" s="69">
        <f>SUMIFS(CT!$H$5:$H$143,CT!$D$5:$D$143,'CĐPS_TH&amp;CT'!A291&amp;"*")</f>
        <v>12298333</v>
      </c>
      <c r="F291" s="69">
        <f>SUMIFS(CT!$H$5:$H$143,CT!$E$5:$E$143,'CĐPS_TH&amp;CT'!A291&amp;"*")</f>
        <v>12298333</v>
      </c>
      <c r="G291" s="69">
        <f t="shared" si="8"/>
        <v>0</v>
      </c>
      <c r="H291" s="69">
        <f t="shared" si="9"/>
        <v>0</v>
      </c>
    </row>
    <row r="292" spans="1:8" x14ac:dyDescent="0.25">
      <c r="A292" s="65" t="str">
        <f>[3]Sheet3!A291</f>
        <v>6421</v>
      </c>
      <c r="B292" s="65" t="str">
        <f>IF(LEN(A292)=3,VLOOKUP('CĐPS_TH&amp;CT'!A292,HTTK1!$A$5:$F$80,3,0),VLOOKUP('CĐPS_TH&amp;CT'!A292,DMTK!$B$5:$Q$263,3,0))</f>
        <v>Chi phí nhân viên quản lý</v>
      </c>
      <c r="C292" s="69">
        <f>IF(LEN(A292)=3,VLOOKUP(A292,HTTK1!$A$5:$F$80,5,0),VLOOKUP('CĐPS_TH&amp;CT'!A292,DMTK!$B$5:$Q$263,10,0))</f>
        <v>0</v>
      </c>
      <c r="D292" s="69">
        <f>IF(LEN(A292)=3,VLOOKUP(A292,HTTK1!$A$5:$F$80,6,0),VLOOKUP('CĐPS_TH&amp;CT'!A292,DMTK!$B$5:$Q$263,11,0))</f>
        <v>0</v>
      </c>
      <c r="E292" s="69">
        <f>SUMIFS(CT!$H$5:$H$143,CT!$D$5:$D$143,'CĐPS_TH&amp;CT'!A292&amp;"*")</f>
        <v>8540000</v>
      </c>
      <c r="F292" s="69">
        <f>SUMIFS(CT!$H$5:$H$143,CT!$E$5:$E$143,'CĐPS_TH&amp;CT'!A292&amp;"*")</f>
        <v>8540000</v>
      </c>
      <c r="G292" s="69">
        <f t="shared" si="8"/>
        <v>0</v>
      </c>
      <c r="H292" s="69">
        <f t="shared" si="9"/>
        <v>0</v>
      </c>
    </row>
    <row r="293" spans="1:8" x14ac:dyDescent="0.25">
      <c r="A293" s="65" t="str">
        <f>[3]Sheet3!A292</f>
        <v>6422</v>
      </c>
      <c r="B293" s="65" t="str">
        <f>IF(LEN(A293)=3,VLOOKUP('CĐPS_TH&amp;CT'!A293,HTTK1!$A$5:$F$80,3,0),VLOOKUP('CĐPS_TH&amp;CT'!A293,DMTK!$B$5:$Q$263,3,0))</f>
        <v>Chi phí vật liệu quản lý</v>
      </c>
      <c r="C293" s="69">
        <f>IF(LEN(A293)=3,VLOOKUP(A293,HTTK1!$A$5:$F$80,5,0),VLOOKUP('CĐPS_TH&amp;CT'!A293,DMTK!$B$5:$Q$263,10,0))</f>
        <v>0</v>
      </c>
      <c r="D293" s="69">
        <f>IF(LEN(A293)=3,VLOOKUP(A293,HTTK1!$A$5:$F$80,6,0),VLOOKUP('CĐPS_TH&amp;CT'!A293,DMTK!$B$5:$Q$263,11,0))</f>
        <v>0</v>
      </c>
      <c r="E293" s="69">
        <f>SUMIFS(CT!$H$5:$H$143,CT!$D$5:$D$143,'CĐPS_TH&amp;CT'!A293&amp;"*")</f>
        <v>0</v>
      </c>
      <c r="F293" s="69">
        <f>SUMIFS(CT!$H$5:$H$143,CT!$E$5:$E$143,'CĐPS_TH&amp;CT'!A293&amp;"*")</f>
        <v>0</v>
      </c>
      <c r="G293" s="69">
        <f t="shared" si="8"/>
        <v>0</v>
      </c>
      <c r="H293" s="69">
        <f t="shared" si="9"/>
        <v>0</v>
      </c>
    </row>
    <row r="294" spans="1:8" x14ac:dyDescent="0.25">
      <c r="A294" s="65" t="str">
        <f>[3]Sheet3!A293</f>
        <v>6423</v>
      </c>
      <c r="B294" s="65" t="str">
        <f>IF(LEN(A294)=3,VLOOKUP('CĐPS_TH&amp;CT'!A294,HTTK1!$A$5:$F$80,3,0),VLOOKUP('CĐPS_TH&amp;CT'!A294,DMTK!$B$5:$Q$263,3,0))</f>
        <v>Chi phí đồ dùng văn phòng</v>
      </c>
      <c r="C294" s="69">
        <f>IF(LEN(A294)=3,VLOOKUP(A294,HTTK1!$A$5:$F$80,5,0),VLOOKUP('CĐPS_TH&amp;CT'!A294,DMTK!$B$5:$Q$263,10,0))</f>
        <v>0</v>
      </c>
      <c r="D294" s="69">
        <f>IF(LEN(A294)=3,VLOOKUP(A294,HTTK1!$A$5:$F$80,6,0),VLOOKUP('CĐPS_TH&amp;CT'!A294,DMTK!$B$5:$Q$263,11,0))</f>
        <v>0</v>
      </c>
      <c r="E294" s="69">
        <f>SUMIFS(CT!$H$5:$H$143,CT!$D$5:$D$143,'CĐPS_TH&amp;CT'!A294&amp;"*")</f>
        <v>500000</v>
      </c>
      <c r="F294" s="69">
        <f>SUMIFS(CT!$H$5:$H$143,CT!$E$5:$E$143,'CĐPS_TH&amp;CT'!A294&amp;"*")</f>
        <v>500000</v>
      </c>
      <c r="G294" s="69">
        <f t="shared" si="8"/>
        <v>0</v>
      </c>
      <c r="H294" s="69">
        <f t="shared" si="9"/>
        <v>0</v>
      </c>
    </row>
    <row r="295" spans="1:8" x14ac:dyDescent="0.25">
      <c r="A295" s="65" t="str">
        <f>[3]Sheet3!A294</f>
        <v>6424</v>
      </c>
      <c r="B295" s="65" t="str">
        <f>IF(LEN(A295)=3,VLOOKUP('CĐPS_TH&amp;CT'!A295,HTTK1!$A$5:$F$80,3,0),VLOOKUP('CĐPS_TH&amp;CT'!A295,DMTK!$B$5:$Q$263,3,0))</f>
        <v>Chi phí khấu hao TSCĐ</v>
      </c>
      <c r="C295" s="69">
        <f>IF(LEN(A295)=3,VLOOKUP(A295,HTTK1!$A$5:$F$80,5,0),VLOOKUP('CĐPS_TH&amp;CT'!A295,DMTK!$B$5:$Q$263,10,0))</f>
        <v>0</v>
      </c>
      <c r="D295" s="69">
        <f>IF(LEN(A295)=3,VLOOKUP(A295,HTTK1!$A$5:$F$80,6,0),VLOOKUP('CĐPS_TH&amp;CT'!A295,DMTK!$B$5:$Q$263,11,0))</f>
        <v>0</v>
      </c>
      <c r="E295" s="69">
        <f>SUMIFS(CT!$H$5:$H$143,CT!$D$5:$D$143,'CĐPS_TH&amp;CT'!A295&amp;"*")</f>
        <v>458333</v>
      </c>
      <c r="F295" s="69">
        <f>SUMIFS(CT!$H$5:$H$143,CT!$E$5:$E$143,'CĐPS_TH&amp;CT'!A295&amp;"*")</f>
        <v>458333</v>
      </c>
      <c r="G295" s="69">
        <f t="shared" si="8"/>
        <v>0</v>
      </c>
      <c r="H295" s="69">
        <f t="shared" si="9"/>
        <v>0</v>
      </c>
    </row>
    <row r="296" spans="1:8" x14ac:dyDescent="0.25">
      <c r="A296" s="65" t="str">
        <f>[3]Sheet3!A295</f>
        <v>6425</v>
      </c>
      <c r="B296" s="65" t="str">
        <f>IF(LEN(A296)=3,VLOOKUP('CĐPS_TH&amp;CT'!A296,HTTK1!$A$5:$F$80,3,0),VLOOKUP('CĐPS_TH&amp;CT'!A296,DMTK!$B$5:$Q$263,3,0))</f>
        <v>Thuế, phí và lệ phí</v>
      </c>
      <c r="C296" s="69">
        <f>IF(LEN(A296)=3,VLOOKUP(A296,HTTK1!$A$5:$F$80,5,0),VLOOKUP('CĐPS_TH&amp;CT'!A296,DMTK!$B$5:$Q$263,10,0))</f>
        <v>0</v>
      </c>
      <c r="D296" s="69">
        <f>IF(LEN(A296)=3,VLOOKUP(A296,HTTK1!$A$5:$F$80,6,0),VLOOKUP('CĐPS_TH&amp;CT'!A296,DMTK!$B$5:$Q$263,11,0))</f>
        <v>0</v>
      </c>
      <c r="E296" s="69">
        <f>SUMIFS(CT!$H$5:$H$143,CT!$D$5:$D$143,'CĐPS_TH&amp;CT'!A296&amp;"*")</f>
        <v>0</v>
      </c>
      <c r="F296" s="69">
        <f>SUMIFS(CT!$H$5:$H$143,CT!$E$5:$E$143,'CĐPS_TH&amp;CT'!A296&amp;"*")</f>
        <v>0</v>
      </c>
      <c r="G296" s="69">
        <f t="shared" si="8"/>
        <v>0</v>
      </c>
      <c r="H296" s="69">
        <f t="shared" si="9"/>
        <v>0</v>
      </c>
    </row>
    <row r="297" spans="1:8" x14ac:dyDescent="0.25">
      <c r="A297" s="65" t="str">
        <f>[3]Sheet3!A296</f>
        <v>6426</v>
      </c>
      <c r="B297" s="65" t="str">
        <f>IF(LEN(A297)=3,VLOOKUP('CĐPS_TH&amp;CT'!A297,HTTK1!$A$5:$F$80,3,0),VLOOKUP('CĐPS_TH&amp;CT'!A297,DMTK!$B$5:$Q$263,3,0))</f>
        <v>Chi phí dự phòng</v>
      </c>
      <c r="C297" s="69">
        <f>IF(LEN(A297)=3,VLOOKUP(A297,HTTK1!$A$5:$F$80,5,0),VLOOKUP('CĐPS_TH&amp;CT'!A297,DMTK!$B$5:$Q$263,10,0))</f>
        <v>0</v>
      </c>
      <c r="D297" s="69">
        <f>IF(LEN(A297)=3,VLOOKUP(A297,HTTK1!$A$5:$F$80,6,0),VLOOKUP('CĐPS_TH&amp;CT'!A297,DMTK!$B$5:$Q$263,11,0))</f>
        <v>0</v>
      </c>
      <c r="E297" s="69">
        <f>SUMIFS(CT!$H$5:$H$143,CT!$D$5:$D$143,'CĐPS_TH&amp;CT'!A297&amp;"*")</f>
        <v>0</v>
      </c>
      <c r="F297" s="69">
        <f>SUMIFS(CT!$H$5:$H$143,CT!$E$5:$E$143,'CĐPS_TH&amp;CT'!A297&amp;"*")</f>
        <v>0</v>
      </c>
      <c r="G297" s="69">
        <f t="shared" si="8"/>
        <v>0</v>
      </c>
      <c r="H297" s="69">
        <f t="shared" si="9"/>
        <v>0</v>
      </c>
    </row>
    <row r="298" spans="1:8" x14ac:dyDescent="0.25">
      <c r="A298" s="65" t="str">
        <f>[3]Sheet3!A297</f>
        <v>6427</v>
      </c>
      <c r="B298" s="65" t="str">
        <f>IF(LEN(A298)=3,VLOOKUP('CĐPS_TH&amp;CT'!A298,HTTK1!$A$5:$F$80,3,0),VLOOKUP('CĐPS_TH&amp;CT'!A298,DMTK!$B$5:$Q$263,3,0))</f>
        <v>Chi phí dịch vụ mua ngoài</v>
      </c>
      <c r="C298" s="69">
        <f>IF(LEN(A298)=3,VLOOKUP(A298,HTTK1!$A$5:$F$80,5,0),VLOOKUP('CĐPS_TH&amp;CT'!A298,DMTK!$B$5:$Q$263,10,0))</f>
        <v>0</v>
      </c>
      <c r="D298" s="69">
        <f>IF(LEN(A298)=3,VLOOKUP(A298,HTTK1!$A$5:$F$80,6,0),VLOOKUP('CĐPS_TH&amp;CT'!A298,DMTK!$B$5:$Q$263,11,0))</f>
        <v>0</v>
      </c>
      <c r="E298" s="69">
        <f>SUMIFS(CT!$H$5:$H$143,CT!$D$5:$D$143,'CĐPS_TH&amp;CT'!A298&amp;"*")</f>
        <v>0</v>
      </c>
      <c r="F298" s="69">
        <f>SUMIFS(CT!$H$5:$H$143,CT!$E$5:$E$143,'CĐPS_TH&amp;CT'!A298&amp;"*")</f>
        <v>0</v>
      </c>
      <c r="G298" s="69">
        <f t="shared" si="8"/>
        <v>0</v>
      </c>
      <c r="H298" s="69">
        <f t="shared" si="9"/>
        <v>0</v>
      </c>
    </row>
    <row r="299" spans="1:8" x14ac:dyDescent="0.25">
      <c r="A299" s="65" t="str">
        <f>[3]Sheet3!A298</f>
        <v>6428</v>
      </c>
      <c r="B299" s="65" t="str">
        <f>IF(LEN(A299)=3,VLOOKUP('CĐPS_TH&amp;CT'!A299,HTTK1!$A$5:$F$80,3,0),VLOOKUP('CĐPS_TH&amp;CT'!A299,DMTK!$B$5:$Q$263,3,0))</f>
        <v>Chi phí bằng tiền khác</v>
      </c>
      <c r="C299" s="69">
        <f>IF(LEN(A299)=3,VLOOKUP(A299,HTTK1!$A$5:$F$80,5,0),VLOOKUP('CĐPS_TH&amp;CT'!A299,DMTK!$B$5:$Q$263,10,0))</f>
        <v>0</v>
      </c>
      <c r="D299" s="69">
        <f>IF(LEN(A299)=3,VLOOKUP(A299,HTTK1!$A$5:$F$80,6,0),VLOOKUP('CĐPS_TH&amp;CT'!A299,DMTK!$B$5:$Q$263,11,0))</f>
        <v>0</v>
      </c>
      <c r="E299" s="69">
        <f>SUMIFS(CT!$H$5:$H$143,CT!$D$5:$D$143,'CĐPS_TH&amp;CT'!A299&amp;"*")</f>
        <v>2800000</v>
      </c>
      <c r="F299" s="69">
        <f>SUMIFS(CT!$H$5:$H$143,CT!$E$5:$E$143,'CĐPS_TH&amp;CT'!A299&amp;"*")</f>
        <v>2800000</v>
      </c>
      <c r="G299" s="69">
        <f t="shared" si="8"/>
        <v>0</v>
      </c>
      <c r="H299" s="69">
        <f t="shared" si="9"/>
        <v>0</v>
      </c>
    </row>
    <row r="300" spans="1:8" s="72" customFormat="1" x14ac:dyDescent="0.25">
      <c r="A300" s="71" t="str">
        <f>[3]Sheet3!A299</f>
        <v>711</v>
      </c>
      <c r="B300" s="71" t="str">
        <f>IF(LEN(A300)=3,VLOOKUP('CĐPS_TH&amp;CT'!A300,HTTK1!$A$5:$F$80,3,0),VLOOKUP('CĐPS_TH&amp;CT'!A300,DMTK!$B$5:$Q$263,3,0))</f>
        <v>Thu nhập khác</v>
      </c>
      <c r="C300" s="69">
        <f>IF(LEN(A300)=3,VLOOKUP(A300,HTTK1!$A$5:$F$80,5,0),VLOOKUP('CĐPS_TH&amp;CT'!A300,DMTK!$B$5:$Q$263,10,0))</f>
        <v>0</v>
      </c>
      <c r="D300" s="69">
        <f>IF(LEN(A300)=3,VLOOKUP(A300,HTTK1!$A$5:$F$80,6,0),VLOOKUP('CĐPS_TH&amp;CT'!A300,DMTK!$B$5:$Q$263,11,0))</f>
        <v>0</v>
      </c>
      <c r="E300" s="69">
        <f>SUMIFS(CT!$H$5:$H$143,CT!$D$5:$D$143,'CĐPS_TH&amp;CT'!A300&amp;"*")</f>
        <v>0</v>
      </c>
      <c r="F300" s="69">
        <f>SUMIFS(CT!$H$5:$H$143,CT!$E$5:$E$143,'CĐPS_TH&amp;CT'!A300&amp;"*")</f>
        <v>0</v>
      </c>
      <c r="G300" s="69">
        <f t="shared" si="8"/>
        <v>0</v>
      </c>
      <c r="H300" s="69">
        <f t="shared" si="9"/>
        <v>0</v>
      </c>
    </row>
    <row r="301" spans="1:8" s="72" customFormat="1" x14ac:dyDescent="0.25">
      <c r="A301" s="71" t="str">
        <f>[3]Sheet3!A300</f>
        <v>811</v>
      </c>
      <c r="B301" s="71" t="str">
        <f>IF(LEN(A301)=3,VLOOKUP('CĐPS_TH&amp;CT'!A301,HTTK1!$A$5:$F$80,3,0),VLOOKUP('CĐPS_TH&amp;CT'!A301,DMTK!$B$5:$Q$263,3,0))</f>
        <v>Chi phí khác</v>
      </c>
      <c r="C301" s="69">
        <f>IF(LEN(A301)=3,VLOOKUP(A301,HTTK1!$A$5:$F$80,5,0),VLOOKUP('CĐPS_TH&amp;CT'!A301,DMTK!$B$5:$Q$263,10,0))</f>
        <v>0</v>
      </c>
      <c r="D301" s="69">
        <f>IF(LEN(A301)=3,VLOOKUP(A301,HTTK1!$A$5:$F$80,6,0),VLOOKUP('CĐPS_TH&amp;CT'!A301,DMTK!$B$5:$Q$263,11,0))</f>
        <v>0</v>
      </c>
      <c r="E301" s="69">
        <f>SUMIFS(CT!$H$5:$H$143,CT!$D$5:$D$143,'CĐPS_TH&amp;CT'!A301&amp;"*")</f>
        <v>0</v>
      </c>
      <c r="F301" s="69">
        <f>SUMIFS(CT!$H$5:$H$143,CT!$E$5:$E$143,'CĐPS_TH&amp;CT'!A301&amp;"*")</f>
        <v>0</v>
      </c>
      <c r="G301" s="69">
        <f t="shared" si="8"/>
        <v>0</v>
      </c>
      <c r="H301" s="69">
        <f t="shared" si="9"/>
        <v>0</v>
      </c>
    </row>
    <row r="302" spans="1:8" s="72" customFormat="1" x14ac:dyDescent="0.25">
      <c r="A302" s="71" t="str">
        <f>[3]Sheet3!A301</f>
        <v>821</v>
      </c>
      <c r="B302" s="71" t="str">
        <f>IF(LEN(A302)=3,VLOOKUP('CĐPS_TH&amp;CT'!A302,HTTK1!$A$5:$F$80,3,0),VLOOKUP('CĐPS_TH&amp;CT'!A302,DMTK!$B$5:$Q$263,3,0))</f>
        <v>Chi phí thuế thu nhập doanh nghiệp</v>
      </c>
      <c r="C302" s="69">
        <f>IF(LEN(A302)=3,VLOOKUP(A302,HTTK1!$A$5:$F$80,5,0),VLOOKUP('CĐPS_TH&amp;CT'!A302,DMTK!$B$5:$Q$263,10,0))</f>
        <v>0</v>
      </c>
      <c r="D302" s="69">
        <f>IF(LEN(A302)=3,VLOOKUP(A302,HTTK1!$A$5:$F$80,6,0),VLOOKUP('CĐPS_TH&amp;CT'!A302,DMTK!$B$5:$Q$263,11,0))</f>
        <v>0</v>
      </c>
      <c r="E302" s="69">
        <f>SUMIFS(CT!$H$5:$H$143,CT!$D$5:$D$143,'CĐPS_TH&amp;CT'!A302&amp;"*")</f>
        <v>0</v>
      </c>
      <c r="F302" s="69">
        <f>SUMIFS(CT!$H$5:$H$143,CT!$E$5:$E$143,'CĐPS_TH&amp;CT'!A302&amp;"*")</f>
        <v>0</v>
      </c>
      <c r="G302" s="69">
        <f t="shared" si="8"/>
        <v>0</v>
      </c>
      <c r="H302" s="69">
        <f t="shared" si="9"/>
        <v>0</v>
      </c>
    </row>
    <row r="303" spans="1:8" x14ac:dyDescent="0.25">
      <c r="A303" s="65" t="str">
        <f>[3]Sheet3!A302</f>
        <v>8211</v>
      </c>
      <c r="B303" s="65" t="str">
        <f>IF(LEN(A303)=3,VLOOKUP('CĐPS_TH&amp;CT'!A303,HTTK1!$A$5:$F$80,3,0),VLOOKUP('CĐPS_TH&amp;CT'!A303,DMTK!$B$5:$Q$263,3,0))</f>
        <v>Chi phí thuế TNDN hiện hành</v>
      </c>
      <c r="C303" s="69">
        <f>IF(LEN(A303)=3,VLOOKUP(A303,HTTK1!$A$5:$F$80,5,0),VLOOKUP('CĐPS_TH&amp;CT'!A303,DMTK!$B$5:$Q$263,10,0))</f>
        <v>0</v>
      </c>
      <c r="D303" s="69">
        <f>IF(LEN(A303)=3,VLOOKUP(A303,HTTK1!$A$5:$F$80,6,0),VLOOKUP('CĐPS_TH&amp;CT'!A303,DMTK!$B$5:$Q$263,11,0))</f>
        <v>0</v>
      </c>
      <c r="E303" s="69">
        <f>SUMIFS(CT!$H$5:$H$143,CT!$D$5:$D$143,'CĐPS_TH&amp;CT'!A303&amp;"*")</f>
        <v>0</v>
      </c>
      <c r="F303" s="69">
        <f>SUMIFS(CT!$H$5:$H$143,CT!$E$5:$E$143,'CĐPS_TH&amp;CT'!A303&amp;"*")</f>
        <v>0</v>
      </c>
      <c r="G303" s="69">
        <f t="shared" si="8"/>
        <v>0</v>
      </c>
      <c r="H303" s="69">
        <f t="shared" si="9"/>
        <v>0</v>
      </c>
    </row>
    <row r="304" spans="1:8" x14ac:dyDescent="0.25">
      <c r="A304" s="65" t="str">
        <f>[3]Sheet3!A303</f>
        <v>8212</v>
      </c>
      <c r="B304" s="65" t="str">
        <f>IF(LEN(A304)=3,VLOOKUP('CĐPS_TH&amp;CT'!A304,HTTK1!$A$5:$F$80,3,0),VLOOKUP('CĐPS_TH&amp;CT'!A304,DMTK!$B$5:$Q$263,3,0))</f>
        <v>Chi phí thuế TNDN hoãn lại</v>
      </c>
      <c r="C304" s="69">
        <f>IF(LEN(A304)=3,VLOOKUP(A304,HTTK1!$A$5:$F$80,5,0),VLOOKUP('CĐPS_TH&amp;CT'!A304,DMTK!$B$5:$Q$263,10,0))</f>
        <v>0</v>
      </c>
      <c r="D304" s="69">
        <f>IF(LEN(A304)=3,VLOOKUP(A304,HTTK1!$A$5:$F$80,6,0),VLOOKUP('CĐPS_TH&amp;CT'!A304,DMTK!$B$5:$Q$263,11,0))</f>
        <v>0</v>
      </c>
      <c r="E304" s="69">
        <f>SUMIFS(CT!$H$5:$H$143,CT!$D$5:$D$143,'CĐPS_TH&amp;CT'!A304&amp;"*")</f>
        <v>0</v>
      </c>
      <c r="F304" s="69">
        <f>SUMIFS(CT!$H$5:$H$143,CT!$E$5:$E$143,'CĐPS_TH&amp;CT'!A304&amp;"*")</f>
        <v>0</v>
      </c>
      <c r="G304" s="69">
        <f t="shared" si="8"/>
        <v>0</v>
      </c>
      <c r="H304" s="69">
        <f t="shared" si="9"/>
        <v>0</v>
      </c>
    </row>
    <row r="305" spans="1:8" s="72" customFormat="1" x14ac:dyDescent="0.25">
      <c r="A305" s="71" t="str">
        <f>[3]Sheet3!A304</f>
        <v>911</v>
      </c>
      <c r="B305" s="71" t="str">
        <f>IF(LEN(A305)=3,VLOOKUP('CĐPS_TH&amp;CT'!A305,HTTK1!$A$5:$F$80,3,0),VLOOKUP('CĐPS_TH&amp;CT'!A305,DMTK!$B$5:$Q$263,3,0))</f>
        <v>Xác định kết quả kinh doanh</v>
      </c>
      <c r="C305" s="69">
        <f>IF(LEN(A305)=3,VLOOKUP(A305,HTTK1!$A$5:$F$80,5,0),VLOOKUP('CĐPS_TH&amp;CT'!A305,DMTK!$B$5:$Q$263,10,0))</f>
        <v>0</v>
      </c>
      <c r="D305" s="69">
        <f>IF(LEN(A305)=3,VLOOKUP(A305,HTTK1!$A$5:$F$80,6,0),VLOOKUP('CĐPS_TH&amp;CT'!A305,DMTK!$B$5:$Q$263,11,0))</f>
        <v>0</v>
      </c>
      <c r="E305" s="69">
        <f>SUMIFS(CT!$H$5:$H$143,CT!$D$5:$D$143,'CĐPS_TH&amp;CT'!A305&amp;"*")</f>
        <v>91387852</v>
      </c>
      <c r="F305" s="69">
        <f>SUMIFS(CT!$H$5:$H$143,CT!$E$5:$E$143,'CĐPS_TH&amp;CT'!A305&amp;"*")</f>
        <v>91387852</v>
      </c>
      <c r="G305" s="69">
        <f t="shared" si="8"/>
        <v>0</v>
      </c>
      <c r="H305" s="69">
        <f t="shared" si="9"/>
        <v>0</v>
      </c>
    </row>
    <row r="306" spans="1:8" x14ac:dyDescent="0.25">
      <c r="A306" s="65" t="str">
        <f>[3]Sheet3!A305</f>
        <v>9111.0101</v>
      </c>
      <c r="B306" s="65" t="str">
        <f>IF(LEN(A306)=3,VLOOKUP('CĐPS_TH&amp;CT'!A306,HTTK1!$A$5:$F$80,3,0),VLOOKUP('CĐPS_TH&amp;CT'!A306,DMTK!$B$5:$Q$263,3,0))</f>
        <v>Xác định kết quả kinh doanh (GTV)</v>
      </c>
      <c r="C306" s="69">
        <f>IF(LEN(A306)=3,VLOOKUP(A306,HTTK1!$A$5:$F$80,5,0),VLOOKUP('CĐPS_TH&amp;CT'!A306,DMTK!$B$5:$Q$263,10,0))</f>
        <v>0</v>
      </c>
      <c r="D306" s="69">
        <f>IF(LEN(A306)=3,VLOOKUP(A306,HTTK1!$A$5:$F$80,6,0),VLOOKUP('CĐPS_TH&amp;CT'!A306,DMTK!$B$5:$Q$263,11,0))</f>
        <v>0</v>
      </c>
      <c r="E306" s="69">
        <f>SUMIFS(CT!$H$5:$H$143,CT!$D$5:$D$143,'CĐPS_TH&amp;CT'!A306&amp;"*")</f>
        <v>31772143</v>
      </c>
      <c r="F306" s="69">
        <f>SUMIFS(CT!$H$5:$H$143,CT!$E$5:$E$143,'CĐPS_TH&amp;CT'!A306&amp;"*")</f>
        <v>31772143</v>
      </c>
      <c r="G306" s="69">
        <f t="shared" si="8"/>
        <v>0</v>
      </c>
      <c r="H306" s="69">
        <f t="shared" si="9"/>
        <v>0</v>
      </c>
    </row>
    <row r="307" spans="1:8" x14ac:dyDescent="0.25">
      <c r="A307" s="65" t="str">
        <f>[3]Sheet3!A306</f>
        <v>9111.0102</v>
      </c>
      <c r="B307" s="65" t="str">
        <f>IF(LEN(A307)=3,VLOOKUP('CĐPS_TH&amp;CT'!A307,HTTK1!$A$5:$F$80,3,0),VLOOKUP('CĐPS_TH&amp;CT'!A307,DMTK!$B$5:$Q$263,3,0))</f>
        <v>Xác định kết quả kinh doanh (GKT)</v>
      </c>
      <c r="C307" s="69">
        <f>IF(LEN(A307)=3,VLOOKUP(A307,HTTK1!$A$5:$F$80,5,0),VLOOKUP('CĐPS_TH&amp;CT'!A307,DMTK!$B$5:$Q$263,10,0))</f>
        <v>0</v>
      </c>
      <c r="D307" s="69">
        <f>IF(LEN(A307)=3,VLOOKUP(A307,HTTK1!$A$5:$F$80,6,0),VLOOKUP('CĐPS_TH&amp;CT'!A307,DMTK!$B$5:$Q$263,11,0))</f>
        <v>0</v>
      </c>
      <c r="E307" s="69">
        <f>SUMIFS(CT!$H$5:$H$143,CT!$D$5:$D$143,'CĐPS_TH&amp;CT'!A307&amp;"*")</f>
        <v>28000000</v>
      </c>
      <c r="F307" s="69">
        <f>SUMIFS(CT!$H$5:$H$143,CT!$E$5:$E$143,'CĐPS_TH&amp;CT'!A307&amp;"*")</f>
        <v>28000000</v>
      </c>
      <c r="G307" s="69">
        <f t="shared" si="8"/>
        <v>0</v>
      </c>
      <c r="H307" s="69">
        <f t="shared" si="9"/>
        <v>0</v>
      </c>
    </row>
    <row r="308" spans="1:8" x14ac:dyDescent="0.25">
      <c r="A308" s="65" t="str">
        <f>[3]Sheet3!A307</f>
        <v>9111.0201</v>
      </c>
      <c r="B308" s="65" t="str">
        <f>IF(LEN(A308)=3,VLOOKUP('CĐPS_TH&amp;CT'!A308,HTTK1!$A$5:$F$80,3,0),VLOOKUP('CĐPS_TH&amp;CT'!A308,DMTK!$B$5:$Q$263,3,0))</f>
        <v>Xác định kết quả kinh doanh (BT)</v>
      </c>
      <c r="C308" s="69">
        <f>IF(LEN(A308)=3,VLOOKUP(A308,HTTK1!$A$5:$F$80,5,0),VLOOKUP('CĐPS_TH&amp;CT'!A308,DMTK!$B$5:$Q$263,10,0))</f>
        <v>0</v>
      </c>
      <c r="D308" s="69">
        <f>IF(LEN(A308)=3,VLOOKUP(A308,HTTK1!$A$5:$F$80,6,0),VLOOKUP('CĐPS_TH&amp;CT'!A308,DMTK!$B$5:$Q$263,11,0))</f>
        <v>0</v>
      </c>
      <c r="E308" s="69">
        <f>SUMIFS(CT!$H$5:$H$143,CT!$D$5:$D$143,'CĐPS_TH&amp;CT'!A308&amp;"*")</f>
        <v>0</v>
      </c>
      <c r="F308" s="69">
        <f>SUMIFS(CT!$H$5:$H$143,CT!$E$5:$E$143,'CĐPS_TH&amp;CT'!A308&amp;"*")</f>
        <v>0</v>
      </c>
      <c r="G308" s="69">
        <f t="shared" si="8"/>
        <v>0</v>
      </c>
      <c r="H308" s="69">
        <f t="shared" si="9"/>
        <v>0</v>
      </c>
    </row>
    <row r="309" spans="1:8" x14ac:dyDescent="0.25">
      <c r="A309" s="65" t="str">
        <f>[3]Sheet3!A308</f>
        <v>9111.0202</v>
      </c>
      <c r="B309" s="65" t="str">
        <f>IF(LEN(A309)=3,VLOOKUP('CĐPS_TH&amp;CT'!A309,HTTK1!$A$5:$F$80,3,0),VLOOKUP('CĐPS_TH&amp;CT'!A309,DMTK!$B$5:$Q$263,3,0))</f>
        <v>Xác định kết quả kinh doanh (BO)</v>
      </c>
      <c r="C309" s="69">
        <f>IF(LEN(A309)=3,VLOOKUP(A309,HTTK1!$A$5:$F$80,5,0),VLOOKUP('CĐPS_TH&amp;CT'!A309,DMTK!$B$5:$Q$263,10,0))</f>
        <v>0</v>
      </c>
      <c r="D309" s="69">
        <f>IF(LEN(A309)=3,VLOOKUP(A309,HTTK1!$A$5:$F$80,6,0),VLOOKUP('CĐPS_TH&amp;CT'!A309,DMTK!$B$5:$Q$263,11,0))</f>
        <v>0</v>
      </c>
      <c r="E309" s="69">
        <f>SUMIFS(CT!$H$5:$H$143,CT!$D$5:$D$143,'CĐPS_TH&amp;CT'!A309&amp;"*")</f>
        <v>31615709</v>
      </c>
      <c r="F309" s="69">
        <f>SUMIFS(CT!$H$5:$H$143,CT!$E$5:$E$143,'CĐPS_TH&amp;CT'!A309&amp;"*")</f>
        <v>31615709</v>
      </c>
      <c r="G309" s="69">
        <f t="shared" si="8"/>
        <v>0</v>
      </c>
      <c r="H309" s="69">
        <f t="shared" si="9"/>
        <v>0</v>
      </c>
    </row>
    <row r="310" spans="1:8" x14ac:dyDescent="0.25">
      <c r="A310" s="65" t="str">
        <f>[3]Sheet3!A309</f>
        <v>9111.0203</v>
      </c>
      <c r="B310" s="65" t="str">
        <f>IF(LEN(A310)=3,VLOOKUP('CĐPS_TH&amp;CT'!A310,HTTK1!$A$5:$F$80,3,0),VLOOKUP('CĐPS_TH&amp;CT'!A310,DMTK!$B$5:$Q$263,3,0))</f>
        <v>Xác định kết quả kinh doanh (BCN)</v>
      </c>
      <c r="C310" s="69">
        <f>IF(LEN(A310)=3,VLOOKUP(A310,HTTK1!$A$5:$F$80,5,0),VLOOKUP('CĐPS_TH&amp;CT'!A310,DMTK!$B$5:$Q$263,10,0))</f>
        <v>0</v>
      </c>
      <c r="D310" s="69">
        <f>IF(LEN(A310)=3,VLOOKUP(A310,HTTK1!$A$5:$F$80,6,0),VLOOKUP('CĐPS_TH&amp;CT'!A310,DMTK!$B$5:$Q$263,11,0))</f>
        <v>0</v>
      </c>
      <c r="E310" s="69">
        <f>SUMIFS(CT!$H$5:$H$143,CT!$D$5:$D$143,'CĐPS_TH&amp;CT'!A310&amp;"*")</f>
        <v>0</v>
      </c>
      <c r="F310" s="69">
        <f>SUMIFS(CT!$H$5:$H$143,CT!$E$5:$E$143,'CĐPS_TH&amp;CT'!A310&amp;"*")</f>
        <v>0</v>
      </c>
      <c r="G310" s="69">
        <f t="shared" si="8"/>
        <v>0</v>
      </c>
      <c r="H310" s="69">
        <f t="shared" si="9"/>
        <v>0</v>
      </c>
    </row>
    <row r="311" spans="1:8" x14ac:dyDescent="0.25">
      <c r="A311" s="65" t="str">
        <f>[3]Sheet3!A310</f>
        <v>9111.0303</v>
      </c>
      <c r="B311" s="65" t="str">
        <f>IF(LEN(A311)=3,VLOOKUP('CĐPS_TH&amp;CT'!A311,HTTK1!$A$5:$F$80,3,0),VLOOKUP('CĐPS_TH&amp;CT'!A311,DMTK!$B$5:$Q$263,3,0))</f>
        <v>Xác định kết quả kinh doanh</v>
      </c>
      <c r="C311" s="69">
        <f>IF(LEN(A311)=3,VLOOKUP(A311,HTTK1!$A$5:$F$80,5,0),VLOOKUP('CĐPS_TH&amp;CT'!A311,DMTK!$B$5:$Q$263,10,0))</f>
        <v>0</v>
      </c>
      <c r="D311" s="69">
        <f>IF(LEN(A311)=3,VLOOKUP(A311,HTTK1!$A$5:$F$80,6,0),VLOOKUP('CĐPS_TH&amp;CT'!A311,DMTK!$B$5:$Q$263,11,0))</f>
        <v>0</v>
      </c>
      <c r="E311" s="69">
        <f>SUMIFS(CT!$H$5:$H$143,CT!$D$5:$D$143,'CĐPS_TH&amp;CT'!A311&amp;"*")</f>
        <v>0</v>
      </c>
      <c r="F311" s="69">
        <f>SUMIFS(CT!$H$5:$H$143,CT!$E$5:$E$143,'CĐPS_TH&amp;CT'!A311&amp;"*")</f>
        <v>0</v>
      </c>
      <c r="G311" s="69">
        <f t="shared" si="8"/>
        <v>0</v>
      </c>
      <c r="H311" s="69">
        <f t="shared" si="9"/>
        <v>0</v>
      </c>
    </row>
    <row r="312" spans="1:8" s="72" customFormat="1" x14ac:dyDescent="0.25">
      <c r="B312" s="72" t="s">
        <v>916</v>
      </c>
      <c r="C312" s="81">
        <f>SUMIFS(C6:C311,A6:A311,"???")</f>
        <v>3407449000</v>
      </c>
      <c r="D312" s="81">
        <f>SUMIFS(C6:C311,A6:A311,"???")</f>
        <v>3407449000</v>
      </c>
      <c r="E312" s="81">
        <f>SUMIFS(E6:E311,A6:A311,"???")</f>
        <v>1787856169</v>
      </c>
      <c r="F312" s="81">
        <f>SUMIFS(E6:E311,A6:A311,"???")</f>
        <v>1787856169</v>
      </c>
      <c r="G312" s="81">
        <f>SUMIFS(G6:G311,A6:A311,"???")</f>
        <v>3409708266</v>
      </c>
      <c r="H312" s="81">
        <f>SUMIFS(H6:H311,A6:A311,"???")</f>
        <v>3409708266</v>
      </c>
    </row>
  </sheetData>
  <mergeCells count="6">
    <mergeCell ref="A1:H1"/>
    <mergeCell ref="A3:A4"/>
    <mergeCell ref="B3:B4"/>
    <mergeCell ref="C3:D3"/>
    <mergeCell ref="E3:F3"/>
    <mergeCell ref="G3:H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A7D304C9BA2429C7B424B3D47A57D" ma:contentTypeVersion="4" ma:contentTypeDescription="Create a new document." ma:contentTypeScope="" ma:versionID="34ac08e1db1184e7cf0bff6a68e11c01">
  <xsd:schema xmlns:xsd="http://www.w3.org/2001/XMLSchema" xmlns:xs="http://www.w3.org/2001/XMLSchema" xmlns:p="http://schemas.microsoft.com/office/2006/metadata/properties" xmlns:ns2="169f7cc1-b0a2-4692-b6b1-350d9740846d" targetNamespace="http://schemas.microsoft.com/office/2006/metadata/properties" ma:root="true" ma:fieldsID="b57741027f974e3d744c7f2359a81c1c" ns2:_="">
    <xsd:import namespace="169f7cc1-b0a2-4692-b6b1-350d9740846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7cc1-b0a2-4692-b6b1-350d9740846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69f7cc1-b0a2-4692-b6b1-350d9740846d" xsi:nil="true"/>
  </documentManagement>
</p:properties>
</file>

<file path=customXml/itemProps1.xml><?xml version="1.0" encoding="utf-8"?>
<ds:datastoreItem xmlns:ds="http://schemas.openxmlformats.org/officeDocument/2006/customXml" ds:itemID="{F02EB236-2DEA-449D-BCE3-9C8119922485}"/>
</file>

<file path=customXml/itemProps2.xml><?xml version="1.0" encoding="utf-8"?>
<ds:datastoreItem xmlns:ds="http://schemas.openxmlformats.org/officeDocument/2006/customXml" ds:itemID="{331FCDAA-880C-4D84-B320-FC7AB6FC27F7}"/>
</file>

<file path=customXml/itemProps3.xml><?xml version="1.0" encoding="utf-8"?>
<ds:datastoreItem xmlns:ds="http://schemas.openxmlformats.org/officeDocument/2006/customXml" ds:itemID="{B69E9ECB-B0EE-4910-A835-92A30D673F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DMTK</vt:lpstr>
      <vt:lpstr>CT</vt:lpstr>
      <vt:lpstr>HTTK1</vt:lpstr>
      <vt:lpstr>NKTT</vt:lpstr>
      <vt:lpstr>NKBH</vt:lpstr>
      <vt:lpstr>NKCT</vt:lpstr>
      <vt:lpstr>NKMH</vt:lpstr>
      <vt:lpstr>SNKC</vt:lpstr>
      <vt:lpstr>SNKC (DÒNG 7)</vt:lpstr>
      <vt:lpstr>SC</vt:lpstr>
      <vt:lpstr>SC NGÀY</vt:lpstr>
      <vt:lpstr>SCTTK</vt:lpstr>
      <vt:lpstr>SQTM </vt:lpstr>
      <vt:lpstr>SQTM &amp; TGNH NGÀY</vt:lpstr>
      <vt:lpstr>SCTVTHH</vt:lpstr>
      <vt:lpstr>SCTVTHH NGÀY</vt:lpstr>
      <vt:lpstr>BTHCTTK (TH131)</vt:lpstr>
      <vt:lpstr>BTHCTTK (TH131) NGÀY</vt:lpstr>
      <vt:lpstr>BTHCTVTHH</vt:lpstr>
      <vt:lpstr>BTHCTVTHH NGÀY</vt:lpstr>
      <vt:lpstr>CĐPS_CT</vt:lpstr>
      <vt:lpstr>CĐPS_TH</vt:lpstr>
      <vt:lpstr>CĐPS_TH&amp;CT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nguyenanhthuqn76@gmail.com</cp:lastModifiedBy>
  <cp:revision/>
  <dcterms:created xsi:type="dcterms:W3CDTF">2025-05-14T23:58:25Z</dcterms:created>
  <dcterms:modified xsi:type="dcterms:W3CDTF">2025-07-13T04:52:48Z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0x010100DC1A7D304C9BA2429C7B424B3D47A57D</vt:lpwstr>
  </property>
</Properties>
</file>